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rtin\Documents\GitHub\LB_DEV\data\District\"/>
    </mc:Choice>
  </mc:AlternateContent>
  <xr:revisionPtr revIDLastSave="0" documentId="13_ncr:1_{4FAF9FC1-C91E-4634-B6C3-01F4C47CBC65}" xr6:coauthVersionLast="47" xr6:coauthVersionMax="47" xr10:uidLastSave="{00000000-0000-0000-0000-000000000000}"/>
  <bookViews>
    <workbookView xWindow="0" yWindow="0" windowWidth="14400" windowHeight="15600" activeTab="1" xr2:uid="{CF86581F-E3AF-419C-BC77-44A2876D6B3A}"/>
  </bookViews>
  <sheets>
    <sheet name="Sheet3" sheetId="3" r:id="rId1"/>
    <sheet name="Master Sheet" sheetId="1" r:id="rId2"/>
    <sheet name="Sheet13" sheetId="13" r:id="rId3"/>
    <sheet name="Sheet8" sheetId="8" r:id="rId4"/>
    <sheet name="Sheet7" sheetId="7" r:id="rId5"/>
    <sheet name="Displacement" sheetId="6" r:id="rId6"/>
    <sheet name="Sheet10" sheetId="10" r:id="rId7"/>
    <sheet name="Sheet12" sheetId="12" r:id="rId8"/>
  </sheets>
  <definedNames>
    <definedName name="_xlnm._FilterDatabase" localSheetId="5" hidden="1">Displacement!$A$1:$E$636</definedName>
    <definedName name="_xlnm._FilterDatabase" localSheetId="1" hidden="1">'Master Sheet'!$A$1:$J$1612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 i="1"/>
  <c r="G2" i="13" a="1"/>
  <c r="G2" i="13" s="1"/>
  <c r="V187" i="8" l="1"/>
  <c r="X187" i="8" s="1"/>
  <c r="V5" i="8"/>
  <c r="W5" i="8"/>
  <c r="X5" i="8" s="1"/>
  <c r="V6" i="8"/>
  <c r="X6" i="8" s="1"/>
  <c r="W6" i="8"/>
  <c r="V7" i="8"/>
  <c r="W7" i="8"/>
  <c r="X7" i="8" s="1"/>
  <c r="V8" i="8"/>
  <c r="W8" i="8"/>
  <c r="X8" i="8"/>
  <c r="V9" i="8"/>
  <c r="W9" i="8"/>
  <c r="X9" i="8"/>
  <c r="V10" i="8"/>
  <c r="X10" i="8" s="1"/>
  <c r="W10" i="8"/>
  <c r="V11" i="8"/>
  <c r="W11" i="8"/>
  <c r="X11" i="8" s="1"/>
  <c r="V12" i="8"/>
  <c r="W12" i="8"/>
  <c r="X12" i="8"/>
  <c r="V13" i="8"/>
  <c r="W13" i="8"/>
  <c r="X13" i="8"/>
  <c r="V14" i="8"/>
  <c r="X14" i="8" s="1"/>
  <c r="W14" i="8"/>
  <c r="V15" i="8"/>
  <c r="W15" i="8"/>
  <c r="X15" i="8" s="1"/>
  <c r="V16" i="8"/>
  <c r="W16" i="8"/>
  <c r="X16" i="8"/>
  <c r="V17" i="8"/>
  <c r="W17" i="8"/>
  <c r="X17" i="8"/>
  <c r="V18" i="8"/>
  <c r="X18" i="8" s="1"/>
  <c r="W18" i="8"/>
  <c r="V19" i="8"/>
  <c r="W19" i="8"/>
  <c r="X19" i="8"/>
  <c r="V20" i="8"/>
  <c r="W20" i="8"/>
  <c r="X20" i="8"/>
  <c r="V21" i="8"/>
  <c r="W21" i="8"/>
  <c r="X21" i="8"/>
  <c r="V22" i="8"/>
  <c r="X22" i="8" s="1"/>
  <c r="W22" i="8"/>
  <c r="V23" i="8"/>
  <c r="W23" i="8"/>
  <c r="X23" i="8"/>
  <c r="V24" i="8"/>
  <c r="W24" i="8"/>
  <c r="X24" i="8"/>
  <c r="V25" i="8"/>
  <c r="W25" i="8"/>
  <c r="X25" i="8"/>
  <c r="V26" i="8"/>
  <c r="X26" i="8" s="1"/>
  <c r="W26" i="8"/>
  <c r="V27" i="8"/>
  <c r="W27" i="8"/>
  <c r="X27" i="8"/>
  <c r="V28" i="8"/>
  <c r="W28" i="8"/>
  <c r="X28" i="8"/>
  <c r="V29" i="8"/>
  <c r="W29" i="8"/>
  <c r="X29" i="8"/>
  <c r="V30" i="8"/>
  <c r="X30" i="8" s="1"/>
  <c r="W30" i="8"/>
  <c r="V31" i="8"/>
  <c r="W31" i="8"/>
  <c r="X31" i="8"/>
  <c r="V32" i="8"/>
  <c r="W32" i="8"/>
  <c r="X32" i="8"/>
  <c r="V33" i="8"/>
  <c r="W33" i="8"/>
  <c r="X33" i="8"/>
  <c r="V34" i="8"/>
  <c r="X34" i="8" s="1"/>
  <c r="W34" i="8"/>
  <c r="V35" i="8"/>
  <c r="W35" i="8"/>
  <c r="X35" i="8"/>
  <c r="V36" i="8"/>
  <c r="W36" i="8"/>
  <c r="X36" i="8"/>
  <c r="V37" i="8"/>
  <c r="W37" i="8"/>
  <c r="X37" i="8"/>
  <c r="V38" i="8"/>
  <c r="X38" i="8" s="1"/>
  <c r="W38" i="8"/>
  <c r="V39" i="8"/>
  <c r="W39" i="8"/>
  <c r="X39" i="8"/>
  <c r="V40" i="8"/>
  <c r="W40" i="8"/>
  <c r="X40" i="8"/>
  <c r="V41" i="8"/>
  <c r="W41" i="8"/>
  <c r="X41" i="8"/>
  <c r="V42" i="8"/>
  <c r="X42" i="8" s="1"/>
  <c r="W42" i="8"/>
  <c r="V43" i="8"/>
  <c r="W43" i="8"/>
  <c r="X43" i="8"/>
  <c r="V44" i="8"/>
  <c r="W44" i="8"/>
  <c r="X44" i="8"/>
  <c r="V45" i="8"/>
  <c r="W45" i="8"/>
  <c r="X45" i="8"/>
  <c r="V46" i="8"/>
  <c r="X46" i="8" s="1"/>
  <c r="W46" i="8"/>
  <c r="V47" i="8"/>
  <c r="W47" i="8"/>
  <c r="X47" i="8"/>
  <c r="V48" i="8"/>
  <c r="W48" i="8"/>
  <c r="X48" i="8"/>
  <c r="V49" i="8"/>
  <c r="W49" i="8"/>
  <c r="X49" i="8"/>
  <c r="V50" i="8"/>
  <c r="X50" i="8" s="1"/>
  <c r="W50" i="8"/>
  <c r="V51" i="8"/>
  <c r="W51" i="8"/>
  <c r="X51" i="8"/>
  <c r="V52" i="8"/>
  <c r="W52" i="8"/>
  <c r="X52" i="8"/>
  <c r="V53" i="8"/>
  <c r="W53" i="8"/>
  <c r="X53" i="8"/>
  <c r="V54" i="8"/>
  <c r="X54" i="8" s="1"/>
  <c r="W54" i="8"/>
  <c r="V55" i="8"/>
  <c r="W55" i="8"/>
  <c r="X55" i="8"/>
  <c r="V56" i="8"/>
  <c r="W56" i="8"/>
  <c r="X56" i="8"/>
  <c r="V57" i="8"/>
  <c r="W57" i="8"/>
  <c r="X57" i="8"/>
  <c r="V58" i="8"/>
  <c r="X58" i="8" s="1"/>
  <c r="W58" i="8"/>
  <c r="V59" i="8"/>
  <c r="W59" i="8"/>
  <c r="X59" i="8"/>
  <c r="V60" i="8"/>
  <c r="W60" i="8"/>
  <c r="X60" i="8"/>
  <c r="V61" i="8"/>
  <c r="W61" i="8"/>
  <c r="X61" i="8"/>
  <c r="V62" i="8"/>
  <c r="X62" i="8" s="1"/>
  <c r="W62" i="8"/>
  <c r="V63" i="8"/>
  <c r="W63" i="8"/>
  <c r="X63" i="8"/>
  <c r="V64" i="8"/>
  <c r="W64" i="8"/>
  <c r="X64" i="8"/>
  <c r="V65" i="8"/>
  <c r="W65" i="8"/>
  <c r="X65" i="8"/>
  <c r="V66" i="8"/>
  <c r="X66" i="8" s="1"/>
  <c r="W66" i="8"/>
  <c r="V67" i="8"/>
  <c r="W67" i="8"/>
  <c r="X67" i="8"/>
  <c r="V68" i="8"/>
  <c r="W68" i="8"/>
  <c r="X68" i="8"/>
  <c r="V69" i="8"/>
  <c r="W69" i="8"/>
  <c r="X69" i="8"/>
  <c r="V70" i="8"/>
  <c r="X70" i="8" s="1"/>
  <c r="W70" i="8"/>
  <c r="V71" i="8"/>
  <c r="W71" i="8"/>
  <c r="X71" i="8"/>
  <c r="V72" i="8"/>
  <c r="W72" i="8"/>
  <c r="X72" i="8"/>
  <c r="V73" i="8"/>
  <c r="W73" i="8"/>
  <c r="X73" i="8"/>
  <c r="V74" i="8"/>
  <c r="X74" i="8" s="1"/>
  <c r="W74" i="8"/>
  <c r="V75" i="8"/>
  <c r="W75" i="8"/>
  <c r="X75" i="8"/>
  <c r="V76" i="8"/>
  <c r="W76" i="8"/>
  <c r="X76" i="8"/>
  <c r="V77" i="8"/>
  <c r="W77" i="8"/>
  <c r="X77" i="8"/>
  <c r="V78" i="8"/>
  <c r="X78" i="8" s="1"/>
  <c r="W78" i="8"/>
  <c r="V79" i="8"/>
  <c r="W79" i="8"/>
  <c r="X79" i="8"/>
  <c r="V80" i="8"/>
  <c r="W80" i="8"/>
  <c r="X80" i="8"/>
  <c r="V81" i="8"/>
  <c r="W81" i="8"/>
  <c r="X81" i="8"/>
  <c r="V82" i="8"/>
  <c r="X82" i="8" s="1"/>
  <c r="W82" i="8"/>
  <c r="V83" i="8"/>
  <c r="W83" i="8"/>
  <c r="X83" i="8"/>
  <c r="V84" i="8"/>
  <c r="W84" i="8"/>
  <c r="X84" i="8"/>
  <c r="V85" i="8"/>
  <c r="W85" i="8"/>
  <c r="X85" i="8"/>
  <c r="V86" i="8"/>
  <c r="X86" i="8" s="1"/>
  <c r="W86" i="8"/>
  <c r="V87" i="8"/>
  <c r="W87" i="8"/>
  <c r="X87" i="8"/>
  <c r="V88" i="8"/>
  <c r="W88" i="8"/>
  <c r="X88" i="8"/>
  <c r="V89" i="8"/>
  <c r="W89" i="8"/>
  <c r="X89" i="8"/>
  <c r="V90" i="8"/>
  <c r="X90" i="8" s="1"/>
  <c r="W90" i="8"/>
  <c r="V91" i="8"/>
  <c r="W91" i="8"/>
  <c r="X91" i="8"/>
  <c r="V92" i="8"/>
  <c r="W92" i="8"/>
  <c r="X92" i="8"/>
  <c r="V93" i="8"/>
  <c r="W93" i="8"/>
  <c r="X93" i="8"/>
  <c r="V94" i="8"/>
  <c r="X94" i="8" s="1"/>
  <c r="W94" i="8"/>
  <c r="V95" i="8"/>
  <c r="W95" i="8"/>
  <c r="X95" i="8"/>
  <c r="V96" i="8"/>
  <c r="W96" i="8"/>
  <c r="X96" i="8"/>
  <c r="V97" i="8"/>
  <c r="W97" i="8"/>
  <c r="X97" i="8"/>
  <c r="V98" i="8"/>
  <c r="X98" i="8" s="1"/>
  <c r="W98" i="8"/>
  <c r="V99" i="8"/>
  <c r="W99" i="8"/>
  <c r="X99" i="8"/>
  <c r="V100" i="8"/>
  <c r="W100" i="8"/>
  <c r="X100" i="8"/>
  <c r="V101" i="8"/>
  <c r="W101" i="8"/>
  <c r="X101" i="8"/>
  <c r="V102" i="8"/>
  <c r="X102" i="8" s="1"/>
  <c r="W102" i="8"/>
  <c r="V103" i="8"/>
  <c r="W103" i="8"/>
  <c r="X103" i="8"/>
  <c r="V104" i="8"/>
  <c r="W104" i="8"/>
  <c r="X104" i="8"/>
  <c r="V105" i="8"/>
  <c r="W105" i="8"/>
  <c r="X105" i="8"/>
  <c r="V106" i="8"/>
  <c r="X106" i="8" s="1"/>
  <c r="W106" i="8"/>
  <c r="V107" i="8"/>
  <c r="W107" i="8"/>
  <c r="X107" i="8"/>
  <c r="V108" i="8"/>
  <c r="W108" i="8"/>
  <c r="X108" i="8"/>
  <c r="V109" i="8"/>
  <c r="W109" i="8"/>
  <c r="X109" i="8"/>
  <c r="V110" i="8"/>
  <c r="X110" i="8" s="1"/>
  <c r="W110" i="8"/>
  <c r="V111" i="8"/>
  <c r="W111" i="8"/>
  <c r="X111" i="8"/>
  <c r="V112" i="8"/>
  <c r="W112" i="8"/>
  <c r="X112" i="8"/>
  <c r="V113" i="8"/>
  <c r="W113" i="8"/>
  <c r="X113" i="8"/>
  <c r="V114" i="8"/>
  <c r="X114" i="8" s="1"/>
  <c r="W114" i="8"/>
  <c r="V115" i="8"/>
  <c r="W115" i="8"/>
  <c r="X115" i="8"/>
  <c r="V116" i="8"/>
  <c r="W116" i="8"/>
  <c r="X116" i="8"/>
  <c r="V117" i="8"/>
  <c r="W117" i="8"/>
  <c r="X117" i="8"/>
  <c r="V118" i="8"/>
  <c r="X118" i="8" s="1"/>
  <c r="W118" i="8"/>
  <c r="V119" i="8"/>
  <c r="W119" i="8"/>
  <c r="X119" i="8"/>
  <c r="V120" i="8"/>
  <c r="W120" i="8"/>
  <c r="X120" i="8"/>
  <c r="V121" i="8"/>
  <c r="W121" i="8"/>
  <c r="X121" i="8"/>
  <c r="V122" i="8"/>
  <c r="X122" i="8" s="1"/>
  <c r="W122" i="8"/>
  <c r="V123" i="8"/>
  <c r="W123" i="8"/>
  <c r="X123" i="8"/>
  <c r="V124" i="8"/>
  <c r="W124" i="8"/>
  <c r="X124" i="8"/>
  <c r="V125" i="8"/>
  <c r="W125" i="8"/>
  <c r="X125" i="8"/>
  <c r="V126" i="8"/>
  <c r="X126" i="8" s="1"/>
  <c r="W126" i="8"/>
  <c r="V127" i="8"/>
  <c r="W127" i="8"/>
  <c r="X127" i="8"/>
  <c r="V128" i="8"/>
  <c r="W128" i="8"/>
  <c r="X128" i="8"/>
  <c r="V129" i="8"/>
  <c r="W129" i="8"/>
  <c r="X129" i="8"/>
  <c r="V130" i="8"/>
  <c r="X130" i="8" s="1"/>
  <c r="W130" i="8"/>
  <c r="V131" i="8"/>
  <c r="W131" i="8"/>
  <c r="X131" i="8"/>
  <c r="V132" i="8"/>
  <c r="W132" i="8"/>
  <c r="X132" i="8"/>
  <c r="V133" i="8"/>
  <c r="W133" i="8"/>
  <c r="X133" i="8"/>
  <c r="V134" i="8"/>
  <c r="X134" i="8" s="1"/>
  <c r="W134" i="8"/>
  <c r="V135" i="8"/>
  <c r="W135" i="8"/>
  <c r="X135" i="8"/>
  <c r="V136" i="8"/>
  <c r="W136" i="8"/>
  <c r="X136" i="8"/>
  <c r="V137" i="8"/>
  <c r="W137" i="8"/>
  <c r="X137" i="8"/>
  <c r="V138" i="8"/>
  <c r="X138" i="8" s="1"/>
  <c r="W138" i="8"/>
  <c r="V139" i="8"/>
  <c r="W139" i="8"/>
  <c r="X139" i="8"/>
  <c r="V140" i="8"/>
  <c r="W140" i="8"/>
  <c r="X140" i="8"/>
  <c r="V141" i="8"/>
  <c r="W141" i="8"/>
  <c r="X141" i="8"/>
  <c r="V142" i="8"/>
  <c r="X142" i="8" s="1"/>
  <c r="W142" i="8"/>
  <c r="V143" i="8"/>
  <c r="W143" i="8"/>
  <c r="X143" i="8"/>
  <c r="V144" i="8"/>
  <c r="W144" i="8"/>
  <c r="X144" i="8"/>
  <c r="V145" i="8"/>
  <c r="W145" i="8"/>
  <c r="X145" i="8"/>
  <c r="V146" i="8"/>
  <c r="X146" i="8" s="1"/>
  <c r="W146" i="8"/>
  <c r="V147" i="8"/>
  <c r="W147" i="8"/>
  <c r="X147" i="8"/>
  <c r="V148" i="8"/>
  <c r="W148" i="8"/>
  <c r="X148" i="8"/>
  <c r="V149" i="8"/>
  <c r="W149" i="8"/>
  <c r="X149" i="8"/>
  <c r="V150" i="8"/>
  <c r="X150" i="8" s="1"/>
  <c r="W150" i="8"/>
  <c r="V151" i="8"/>
  <c r="W151" i="8"/>
  <c r="X151" i="8"/>
  <c r="V152" i="8"/>
  <c r="W152" i="8"/>
  <c r="X152" i="8"/>
  <c r="V153" i="8"/>
  <c r="W153" i="8"/>
  <c r="X153" i="8"/>
  <c r="V154" i="8"/>
  <c r="X154" i="8" s="1"/>
  <c r="W154" i="8"/>
  <c r="V155" i="8"/>
  <c r="W155" i="8"/>
  <c r="X155" i="8"/>
  <c r="V156" i="8"/>
  <c r="W156" i="8"/>
  <c r="X156" i="8"/>
  <c r="V157" i="8"/>
  <c r="W157" i="8"/>
  <c r="X157" i="8"/>
  <c r="V158" i="8"/>
  <c r="X158" i="8" s="1"/>
  <c r="W158" i="8"/>
  <c r="V159" i="8"/>
  <c r="W159" i="8"/>
  <c r="X159" i="8"/>
  <c r="V160" i="8"/>
  <c r="W160" i="8"/>
  <c r="X160" i="8"/>
  <c r="V161" i="8"/>
  <c r="W161" i="8"/>
  <c r="X161" i="8"/>
  <c r="V162" i="8"/>
  <c r="X162" i="8" s="1"/>
  <c r="W162" i="8"/>
  <c r="V163" i="8"/>
  <c r="W163" i="8"/>
  <c r="X163" i="8"/>
  <c r="V164" i="8"/>
  <c r="W164" i="8"/>
  <c r="X164" i="8"/>
  <c r="V165" i="8"/>
  <c r="W165" i="8"/>
  <c r="X165" i="8"/>
  <c r="V166" i="8"/>
  <c r="X166" i="8" s="1"/>
  <c r="W166" i="8"/>
  <c r="V167" i="8"/>
  <c r="W167" i="8"/>
  <c r="X167" i="8"/>
  <c r="V168" i="8"/>
  <c r="W168" i="8"/>
  <c r="X168" i="8"/>
  <c r="V169" i="8"/>
  <c r="W169" i="8"/>
  <c r="X169" i="8"/>
  <c r="V170" i="8"/>
  <c r="X170" i="8" s="1"/>
  <c r="W170" i="8"/>
  <c r="V171" i="8"/>
  <c r="W171" i="8"/>
  <c r="X171" i="8"/>
  <c r="V172" i="8"/>
  <c r="W172" i="8"/>
  <c r="X172" i="8"/>
  <c r="V173" i="8"/>
  <c r="W173" i="8"/>
  <c r="X173" i="8"/>
  <c r="V174" i="8"/>
  <c r="X174" i="8" s="1"/>
  <c r="W174" i="8"/>
  <c r="V175" i="8"/>
  <c r="W175" i="8"/>
  <c r="X175" i="8"/>
  <c r="V176" i="8"/>
  <c r="W176" i="8"/>
  <c r="X176" i="8"/>
  <c r="V177" i="8"/>
  <c r="W177" i="8"/>
  <c r="X177" i="8"/>
  <c r="V178" i="8"/>
  <c r="X178" i="8" s="1"/>
  <c r="W178" i="8"/>
  <c r="V179" i="8"/>
  <c r="W179" i="8"/>
  <c r="X179" i="8"/>
  <c r="V180" i="8"/>
  <c r="W180" i="8"/>
  <c r="X180" i="8"/>
  <c r="V181" i="8"/>
  <c r="W181" i="8"/>
  <c r="X181" i="8"/>
  <c r="V182" i="8"/>
  <c r="X182" i="8" s="1"/>
  <c r="W182" i="8"/>
  <c r="V183" i="8"/>
  <c r="W183" i="8"/>
  <c r="X183" i="8"/>
  <c r="V184" i="8"/>
  <c r="W184" i="8"/>
  <c r="X184" i="8"/>
  <c r="V185" i="8"/>
  <c r="W185" i="8"/>
  <c r="X185" i="8"/>
  <c r="V186" i="8"/>
  <c r="X186" i="8" s="1"/>
  <c r="W186" i="8"/>
  <c r="W187" i="8"/>
  <c r="V188" i="8"/>
  <c r="W188" i="8"/>
  <c r="X188" i="8"/>
  <c r="V189" i="8"/>
  <c r="W189" i="8"/>
  <c r="X189" i="8"/>
  <c r="V190" i="8"/>
  <c r="X190" i="8" s="1"/>
  <c r="W190" i="8"/>
  <c r="V191" i="8"/>
  <c r="W191" i="8"/>
  <c r="X191" i="8"/>
  <c r="V192" i="8"/>
  <c r="W192" i="8"/>
  <c r="X192" i="8"/>
  <c r="V193" i="8"/>
  <c r="W193" i="8"/>
  <c r="X193" i="8"/>
  <c r="V194" i="8"/>
  <c r="X194" i="8" s="1"/>
  <c r="W194" i="8"/>
  <c r="V195" i="8"/>
  <c r="W195" i="8"/>
  <c r="X195" i="8"/>
  <c r="V196" i="8"/>
  <c r="W196" i="8"/>
  <c r="X196" i="8"/>
  <c r="V197" i="8"/>
  <c r="W197" i="8"/>
  <c r="X197" i="8"/>
  <c r="V198" i="8"/>
  <c r="W198" i="8"/>
  <c r="X198" i="8"/>
  <c r="V199" i="8"/>
  <c r="W199" i="8"/>
  <c r="X199" i="8"/>
  <c r="V200" i="8"/>
  <c r="W200" i="8"/>
  <c r="X200" i="8"/>
  <c r="V201" i="8"/>
  <c r="W201" i="8"/>
  <c r="X201" i="8"/>
  <c r="V202" i="8"/>
  <c r="W202" i="8"/>
  <c r="X202" i="8"/>
  <c r="V203" i="8"/>
  <c r="W203" i="8"/>
  <c r="X203" i="8"/>
  <c r="V204" i="8"/>
  <c r="W204" i="8"/>
  <c r="X204" i="8"/>
  <c r="V205" i="8"/>
  <c r="W205" i="8"/>
  <c r="X205" i="8"/>
  <c r="V206" i="8"/>
  <c r="W206" i="8"/>
  <c r="X206" i="8"/>
  <c r="V207" i="8"/>
  <c r="W207" i="8"/>
  <c r="X207" i="8"/>
  <c r="V208" i="8"/>
  <c r="W208" i="8"/>
  <c r="X208" i="8"/>
  <c r="V209" i="8"/>
  <c r="W209" i="8"/>
  <c r="X209" i="8"/>
  <c r="V210" i="8"/>
  <c r="W210" i="8"/>
  <c r="X210" i="8"/>
  <c r="V211" i="8"/>
  <c r="W211" i="8"/>
  <c r="X211" i="8"/>
  <c r="V212" i="8"/>
  <c r="W212" i="8"/>
  <c r="X212" i="8"/>
  <c r="V213" i="8"/>
  <c r="W213" i="8"/>
  <c r="X213" i="8"/>
  <c r="V214" i="8"/>
  <c r="W214" i="8"/>
  <c r="X214" i="8"/>
  <c r="V215" i="8"/>
  <c r="W215" i="8"/>
  <c r="X215" i="8"/>
  <c r="V216" i="8"/>
  <c r="W216" i="8"/>
  <c r="X216" i="8"/>
  <c r="V217" i="8"/>
  <c r="W217" i="8"/>
  <c r="X217" i="8"/>
  <c r="V218" i="8"/>
  <c r="W218" i="8"/>
  <c r="X218" i="8"/>
  <c r="V219" i="8"/>
  <c r="W219" i="8"/>
  <c r="X219" i="8"/>
  <c r="V220" i="8"/>
  <c r="W220" i="8"/>
  <c r="X220" i="8"/>
  <c r="V221" i="8"/>
  <c r="W221" i="8"/>
  <c r="X221" i="8"/>
  <c r="V222" i="8"/>
  <c r="W222" i="8"/>
  <c r="X222" i="8"/>
  <c r="V223" i="8"/>
  <c r="W223" i="8"/>
  <c r="X223" i="8"/>
  <c r="V224" i="8"/>
  <c r="W224" i="8"/>
  <c r="X224" i="8"/>
  <c r="V225" i="8"/>
  <c r="W225" i="8"/>
  <c r="X225" i="8"/>
  <c r="V226" i="8"/>
  <c r="W226" i="8"/>
  <c r="X226" i="8"/>
  <c r="V227" i="8"/>
  <c r="W227" i="8"/>
  <c r="X227" i="8"/>
  <c r="V228" i="8"/>
  <c r="W228" i="8"/>
  <c r="X228" i="8"/>
  <c r="V229" i="8"/>
  <c r="W229" i="8"/>
  <c r="X229" i="8"/>
  <c r="V230" i="8"/>
  <c r="W230" i="8"/>
  <c r="X230" i="8"/>
  <c r="V231" i="8"/>
  <c r="W231" i="8"/>
  <c r="X231" i="8"/>
  <c r="V232" i="8"/>
  <c r="W232" i="8"/>
  <c r="X232" i="8"/>
  <c r="V233" i="8"/>
  <c r="W233" i="8"/>
  <c r="X233" i="8"/>
  <c r="V234" i="8"/>
  <c r="W234" i="8"/>
  <c r="X234" i="8"/>
  <c r="V235" i="8"/>
  <c r="W235" i="8"/>
  <c r="X235" i="8"/>
  <c r="V236" i="8"/>
  <c r="W236" i="8"/>
  <c r="X236" i="8"/>
  <c r="V237" i="8"/>
  <c r="W237" i="8"/>
  <c r="X237" i="8"/>
  <c r="V238" i="8"/>
  <c r="W238" i="8"/>
  <c r="X238" i="8"/>
  <c r="V239" i="8"/>
  <c r="W239" i="8"/>
  <c r="X239" i="8"/>
  <c r="V240" i="8"/>
  <c r="W240" i="8"/>
  <c r="X240" i="8"/>
  <c r="V241" i="8"/>
  <c r="W241" i="8"/>
  <c r="X241" i="8"/>
  <c r="V242" i="8"/>
  <c r="W242" i="8"/>
  <c r="X242" i="8"/>
  <c r="V243" i="8"/>
  <c r="W243" i="8"/>
  <c r="X243" i="8"/>
  <c r="V244" i="8"/>
  <c r="W244" i="8"/>
  <c r="X244" i="8"/>
  <c r="V245" i="8"/>
  <c r="W245" i="8"/>
  <c r="X245" i="8"/>
  <c r="V246" i="8"/>
  <c r="W246" i="8"/>
  <c r="X246" i="8"/>
  <c r="V247" i="8"/>
  <c r="W247" i="8"/>
  <c r="X247" i="8"/>
  <c r="V248" i="8"/>
  <c r="W248" i="8"/>
  <c r="X248" i="8"/>
  <c r="V249" i="8"/>
  <c r="W249" i="8"/>
  <c r="X249" i="8"/>
  <c r="V250" i="8"/>
  <c r="W250" i="8"/>
  <c r="X250" i="8"/>
  <c r="V251" i="8"/>
  <c r="W251" i="8"/>
  <c r="X251" i="8"/>
  <c r="V252" i="8"/>
  <c r="W252" i="8"/>
  <c r="X252" i="8"/>
  <c r="V253" i="8"/>
  <c r="W253" i="8"/>
  <c r="X253" i="8"/>
  <c r="V254" i="8"/>
  <c r="W254" i="8"/>
  <c r="X254" i="8"/>
  <c r="V255" i="8"/>
  <c r="W255" i="8"/>
  <c r="X255" i="8"/>
  <c r="V256" i="8"/>
  <c r="W256" i="8"/>
  <c r="X256" i="8"/>
  <c r="V257" i="8"/>
  <c r="W257" i="8"/>
  <c r="X257" i="8"/>
  <c r="V258" i="8"/>
  <c r="W258" i="8"/>
  <c r="X258" i="8"/>
  <c r="V259" i="8"/>
  <c r="W259" i="8"/>
  <c r="X259" i="8"/>
  <c r="V260" i="8"/>
  <c r="W260" i="8"/>
  <c r="X260" i="8"/>
  <c r="V261" i="8"/>
  <c r="W261" i="8"/>
  <c r="X261" i="8"/>
  <c r="V262" i="8"/>
  <c r="W262" i="8"/>
  <c r="X262" i="8"/>
  <c r="V263" i="8"/>
  <c r="W263" i="8"/>
  <c r="X263" i="8"/>
  <c r="V264" i="8"/>
  <c r="W264" i="8"/>
  <c r="X264" i="8"/>
  <c r="V265" i="8"/>
  <c r="W265" i="8"/>
  <c r="X265" i="8"/>
  <c r="V266" i="8"/>
  <c r="W266" i="8"/>
  <c r="X266" i="8"/>
  <c r="V267" i="8"/>
  <c r="W267" i="8"/>
  <c r="X267" i="8"/>
  <c r="V268" i="8"/>
  <c r="W268" i="8"/>
  <c r="X268" i="8"/>
  <c r="V269" i="8"/>
  <c r="W269" i="8"/>
  <c r="X269" i="8"/>
  <c r="V270" i="8"/>
  <c r="W270" i="8"/>
  <c r="X270" i="8"/>
  <c r="V271" i="8"/>
  <c r="W271" i="8"/>
  <c r="X271" i="8"/>
  <c r="V272" i="8"/>
  <c r="W272" i="8"/>
  <c r="X272" i="8"/>
  <c r="V273" i="8"/>
  <c r="W273" i="8"/>
  <c r="X273" i="8"/>
  <c r="V274" i="8"/>
  <c r="W274" i="8"/>
  <c r="X274" i="8"/>
  <c r="V275" i="8"/>
  <c r="W275" i="8"/>
  <c r="X275" i="8"/>
  <c r="V276" i="8"/>
  <c r="W276" i="8"/>
  <c r="X276" i="8"/>
  <c r="V277" i="8"/>
  <c r="W277" i="8"/>
  <c r="X277" i="8"/>
  <c r="V278" i="8"/>
  <c r="W278" i="8"/>
  <c r="X278" i="8"/>
  <c r="V279" i="8"/>
  <c r="W279" i="8"/>
  <c r="X279" i="8"/>
  <c r="V280" i="8"/>
  <c r="W280" i="8"/>
  <c r="X280" i="8"/>
  <c r="V281" i="8"/>
  <c r="W281" i="8"/>
  <c r="X281" i="8"/>
  <c r="V282" i="8"/>
  <c r="W282" i="8"/>
  <c r="X282" i="8"/>
  <c r="V283" i="8"/>
  <c r="W283" i="8"/>
  <c r="X283" i="8"/>
  <c r="V284" i="8"/>
  <c r="W284" i="8"/>
  <c r="X284" i="8"/>
  <c r="V285" i="8"/>
  <c r="W285" i="8"/>
  <c r="X285" i="8"/>
  <c r="V286" i="8"/>
  <c r="W286" i="8"/>
  <c r="X286" i="8"/>
  <c r="V287" i="8"/>
  <c r="W287" i="8"/>
  <c r="X287" i="8"/>
  <c r="V288" i="8"/>
  <c r="W288" i="8"/>
  <c r="X288" i="8"/>
  <c r="V289" i="8"/>
  <c r="W289" i="8"/>
  <c r="X289" i="8"/>
  <c r="V290" i="8"/>
  <c r="W290" i="8"/>
  <c r="X290" i="8"/>
  <c r="V291" i="8"/>
  <c r="W291" i="8"/>
  <c r="X291" i="8"/>
  <c r="V292" i="8"/>
  <c r="W292" i="8"/>
  <c r="X292" i="8"/>
  <c r="V293" i="8"/>
  <c r="W293" i="8"/>
  <c r="X293" i="8"/>
  <c r="V294" i="8"/>
  <c r="X294" i="8" s="1"/>
  <c r="W294" i="8"/>
  <c r="V295" i="8"/>
  <c r="W295" i="8"/>
  <c r="X295" i="8"/>
  <c r="V296" i="8"/>
  <c r="W296" i="8"/>
  <c r="X296" i="8"/>
  <c r="V297" i="8"/>
  <c r="W297" i="8"/>
  <c r="X297" i="8"/>
  <c r="V298" i="8"/>
  <c r="W298" i="8"/>
  <c r="X298" i="8"/>
  <c r="V299" i="8"/>
  <c r="W299" i="8"/>
  <c r="X299" i="8"/>
  <c r="V300" i="8"/>
  <c r="W300" i="8"/>
  <c r="X300" i="8"/>
  <c r="V301" i="8"/>
  <c r="W301" i="8"/>
  <c r="X301" i="8"/>
  <c r="V302" i="8"/>
  <c r="W302" i="8"/>
  <c r="X302" i="8"/>
  <c r="V303" i="8"/>
  <c r="W303" i="8"/>
  <c r="X303" i="8"/>
  <c r="V304" i="8"/>
  <c r="W304" i="8"/>
  <c r="X304" i="8"/>
  <c r="V305" i="8"/>
  <c r="W305" i="8"/>
  <c r="X305" i="8" s="1"/>
  <c r="V306" i="8"/>
  <c r="X306" i="8" s="1"/>
  <c r="W306" i="8"/>
  <c r="V307" i="8"/>
  <c r="W307" i="8"/>
  <c r="X307" i="8"/>
  <c r="V308" i="8"/>
  <c r="W308" i="8"/>
  <c r="X308" i="8"/>
  <c r="V309" i="8"/>
  <c r="W309" i="8"/>
  <c r="X309" i="8" s="1"/>
  <c r="V310" i="8"/>
  <c r="X310" i="8" s="1"/>
  <c r="W310" i="8"/>
  <c r="V311" i="8"/>
  <c r="W311" i="8"/>
  <c r="X311" i="8"/>
  <c r="V312" i="8"/>
  <c r="W312" i="8"/>
  <c r="X312" i="8"/>
  <c r="V313" i="8"/>
  <c r="W313" i="8"/>
  <c r="X313" i="8"/>
  <c r="V314" i="8"/>
  <c r="X314" i="8" s="1"/>
  <c r="W314" i="8"/>
  <c r="V315" i="8"/>
  <c r="W315" i="8"/>
  <c r="X315" i="8"/>
  <c r="V316" i="8"/>
  <c r="W316" i="8"/>
  <c r="X316" i="8"/>
  <c r="V317" i="8"/>
  <c r="W317" i="8"/>
  <c r="X317" i="8"/>
  <c r="V318" i="8"/>
  <c r="X318" i="8" s="1"/>
  <c r="W318" i="8"/>
  <c r="V319" i="8"/>
  <c r="W319" i="8"/>
  <c r="X319" i="8"/>
  <c r="V320" i="8"/>
  <c r="W320" i="8"/>
  <c r="X320" i="8"/>
  <c r="V321" i="8"/>
  <c r="W321" i="8"/>
  <c r="X321" i="8"/>
  <c r="V322" i="8"/>
  <c r="X322" i="8" s="1"/>
  <c r="W322" i="8"/>
  <c r="V323" i="8"/>
  <c r="W323" i="8"/>
  <c r="X323" i="8"/>
  <c r="V324" i="8"/>
  <c r="W324" i="8"/>
  <c r="X324" i="8"/>
  <c r="V325" i="8"/>
  <c r="W325" i="8"/>
  <c r="X325" i="8"/>
  <c r="V326" i="8"/>
  <c r="X326" i="8" s="1"/>
  <c r="W326" i="8"/>
  <c r="V327" i="8"/>
  <c r="W327" i="8"/>
  <c r="X327" i="8"/>
  <c r="V328" i="8"/>
  <c r="W328" i="8"/>
  <c r="X328" i="8"/>
  <c r="V329" i="8"/>
  <c r="W329" i="8"/>
  <c r="X329" i="8"/>
  <c r="V330" i="8"/>
  <c r="X330" i="8" s="1"/>
  <c r="W330" i="8"/>
  <c r="V331" i="8"/>
  <c r="W331" i="8"/>
  <c r="X331" i="8"/>
  <c r="V332" i="8"/>
  <c r="W332" i="8"/>
  <c r="X332" i="8"/>
  <c r="V333" i="8"/>
  <c r="W333" i="8"/>
  <c r="X333" i="8"/>
  <c r="V334" i="8"/>
  <c r="X334" i="8" s="1"/>
  <c r="W334" i="8"/>
  <c r="V335" i="8"/>
  <c r="W335" i="8"/>
  <c r="X335" i="8"/>
  <c r="V336" i="8"/>
  <c r="W336" i="8"/>
  <c r="X336" i="8"/>
  <c r="V337" i="8"/>
  <c r="W337" i="8"/>
  <c r="X337" i="8"/>
  <c r="V338" i="8"/>
  <c r="X338" i="8" s="1"/>
  <c r="W338" i="8"/>
  <c r="V339" i="8"/>
  <c r="W339" i="8"/>
  <c r="X339" i="8"/>
  <c r="V340" i="8"/>
  <c r="W340" i="8"/>
  <c r="X340" i="8"/>
  <c r="V341" i="8"/>
  <c r="W341" i="8"/>
  <c r="X341" i="8"/>
  <c r="V342" i="8"/>
  <c r="X342" i="8" s="1"/>
  <c r="W342" i="8"/>
  <c r="V343" i="8"/>
  <c r="W343" i="8"/>
  <c r="X343" i="8"/>
  <c r="V344" i="8"/>
  <c r="W344" i="8"/>
  <c r="X344" i="8"/>
  <c r="V345" i="8"/>
  <c r="W345" i="8"/>
  <c r="X345" i="8" s="1"/>
  <c r="V346" i="8"/>
  <c r="X346" i="8" s="1"/>
  <c r="W346" i="8"/>
  <c r="V347" i="8"/>
  <c r="W347" i="8"/>
  <c r="X347" i="8"/>
  <c r="V348" i="8"/>
  <c r="W348" i="8"/>
  <c r="X348" i="8"/>
  <c r="V349" i="8"/>
  <c r="W349" i="8"/>
  <c r="X349" i="8"/>
  <c r="V350" i="8"/>
  <c r="X350" i="8" s="1"/>
  <c r="W350" i="8"/>
  <c r="V351" i="8"/>
  <c r="W351" i="8"/>
  <c r="X351" i="8"/>
  <c r="V352" i="8"/>
  <c r="W352" i="8"/>
  <c r="X352" i="8"/>
  <c r="V353" i="8"/>
  <c r="W353" i="8"/>
  <c r="X353" i="8"/>
  <c r="V354" i="8"/>
  <c r="X354" i="8" s="1"/>
  <c r="W354" i="8"/>
  <c r="V355" i="8"/>
  <c r="W355" i="8"/>
  <c r="X355" i="8"/>
  <c r="V356" i="8"/>
  <c r="W356" i="8"/>
  <c r="X356" i="8"/>
  <c r="V357" i="8"/>
  <c r="W357" i="8"/>
  <c r="X357" i="8"/>
  <c r="V358" i="8"/>
  <c r="X358" i="8" s="1"/>
  <c r="W358" i="8"/>
  <c r="V359" i="8"/>
  <c r="W359" i="8"/>
  <c r="X359" i="8"/>
  <c r="V360" i="8"/>
  <c r="W360" i="8"/>
  <c r="X360" i="8"/>
  <c r="V361" i="8"/>
  <c r="W361" i="8"/>
  <c r="X361" i="8"/>
  <c r="V362" i="8"/>
  <c r="X362" i="8" s="1"/>
  <c r="W362" i="8"/>
  <c r="V363" i="8"/>
  <c r="W363" i="8"/>
  <c r="X363" i="8"/>
  <c r="V364" i="8"/>
  <c r="W364" i="8"/>
  <c r="X364" i="8"/>
  <c r="V365" i="8"/>
  <c r="W365" i="8"/>
  <c r="X365" i="8"/>
  <c r="V366" i="8"/>
  <c r="X366" i="8" s="1"/>
  <c r="W366" i="8"/>
  <c r="V367" i="8"/>
  <c r="W367" i="8"/>
  <c r="X367" i="8"/>
  <c r="V368" i="8"/>
  <c r="X368" i="8" s="1"/>
  <c r="W368" i="8"/>
  <c r="V369" i="8"/>
  <c r="W369" i="8"/>
  <c r="X369" i="8"/>
  <c r="V370" i="8"/>
  <c r="X370" i="8" s="1"/>
  <c r="W370" i="8"/>
  <c r="V371" i="8"/>
  <c r="W371" i="8"/>
  <c r="X371" i="8"/>
  <c r="V372" i="8"/>
  <c r="W372" i="8"/>
  <c r="X372" i="8"/>
  <c r="V373" i="8"/>
  <c r="W373" i="8"/>
  <c r="X373" i="8"/>
  <c r="V374" i="8"/>
  <c r="X374" i="8" s="1"/>
  <c r="W374" i="8"/>
  <c r="V375" i="8"/>
  <c r="W375" i="8"/>
  <c r="X375" i="8"/>
  <c r="V376" i="8"/>
  <c r="W376" i="8"/>
  <c r="X376" i="8"/>
  <c r="V377" i="8"/>
  <c r="W377" i="8"/>
  <c r="X377" i="8"/>
  <c r="V378" i="8"/>
  <c r="X378" i="8" s="1"/>
  <c r="W378" i="8"/>
  <c r="V379" i="8"/>
  <c r="W379" i="8"/>
  <c r="X379" i="8"/>
  <c r="V380" i="8"/>
  <c r="W380" i="8"/>
  <c r="X380" i="8"/>
  <c r="V381" i="8"/>
  <c r="W381" i="8"/>
  <c r="X381" i="8"/>
  <c r="V382" i="8"/>
  <c r="X382" i="8" s="1"/>
  <c r="W382" i="8"/>
  <c r="V383" i="8"/>
  <c r="W383" i="8"/>
  <c r="X383" i="8"/>
  <c r="V384" i="8"/>
  <c r="W384" i="8"/>
  <c r="X384" i="8"/>
  <c r="V385" i="8"/>
  <c r="W385" i="8"/>
  <c r="X385" i="8"/>
  <c r="V386" i="8"/>
  <c r="X386" i="8" s="1"/>
  <c r="W386" i="8"/>
  <c r="X4" i="8"/>
  <c r="W4" i="8"/>
  <c r="V4" i="8"/>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<sst xmlns="http://schemas.openxmlformats.org/spreadsheetml/2006/main" count="68541" uniqueCount="8286">
  <si>
    <t>0c1</t>
  </si>
  <si>
    <t>0c10</t>
  </si>
  <si>
    <t>0c11</t>
  </si>
  <si>
    <t>0c12</t>
  </si>
  <si>
    <t>0c13</t>
  </si>
  <si>
    <t>0c14</t>
  </si>
  <si>
    <t>0c15</t>
  </si>
  <si>
    <t>0c16</t>
  </si>
  <si>
    <t>0c17</t>
  </si>
  <si>
    <t>0c2</t>
  </si>
  <si>
    <t>0c3</t>
  </si>
  <si>
    <t>0c4</t>
  </si>
  <si>
    <t>0c5</t>
  </si>
  <si>
    <t>0c6</t>
  </si>
  <si>
    <t>0c7</t>
  </si>
  <si>
    <t>0c8</t>
  </si>
  <si>
    <t>0c9</t>
  </si>
  <si>
    <t>Aain el-Mraisse foncière</t>
  </si>
  <si>
    <t>Ras Beyrouth foncière</t>
  </si>
  <si>
    <t>Msaitbé foncière</t>
  </si>
  <si>
    <t>Mina el-Hosn foncière</t>
  </si>
  <si>
    <t>Mazraa foncière</t>
  </si>
  <si>
    <t>Bachoura foncière</t>
  </si>
  <si>
    <t>Zqaq el-Blat foncière</t>
  </si>
  <si>
    <t>Marfa' foncière</t>
  </si>
  <si>
    <t>Saifi foncière</t>
  </si>
  <si>
    <t>Rmeil foncière</t>
  </si>
  <si>
    <t>Mdaouar foncière</t>
  </si>
  <si>
    <t>Achrafieh foncière</t>
  </si>
  <si>
    <t>Beirut Central District</t>
  </si>
  <si>
    <t>Chiyah</t>
  </si>
  <si>
    <t>Furn Ech-Chebbak</t>
  </si>
  <si>
    <t>Haret Hreik</t>
  </si>
  <si>
    <t>Laylaké</t>
  </si>
  <si>
    <t>Bourj El-Brajneh</t>
  </si>
  <si>
    <t>Tahouitat El Ghadir</t>
  </si>
  <si>
    <t>Baabda</t>
  </si>
  <si>
    <t>Hadath Beyrouth</t>
  </si>
  <si>
    <t>Boutchay</t>
  </si>
  <si>
    <t>Merdache</t>
  </si>
  <si>
    <t>Louayzé Baabda</t>
  </si>
  <si>
    <t>Kfar Chima</t>
  </si>
  <si>
    <t>Ouadi Chahrour Es-Soufla</t>
  </si>
  <si>
    <t>Ouadi Chahrour El Aaoulia</t>
  </si>
  <si>
    <t>Haret Es-Sit</t>
  </si>
  <si>
    <t>Bsaba Baabda</t>
  </si>
  <si>
    <t>Baalchmay</t>
  </si>
  <si>
    <t>Aain Mouaffaq</t>
  </si>
  <si>
    <t>Rouayssrt El-Ballout</t>
  </si>
  <si>
    <t>Mzairaa Baabda</t>
  </si>
  <si>
    <t>Hlaliyé Baabda</t>
  </si>
  <si>
    <t>Haret Hamzé</t>
  </si>
  <si>
    <t>Qtalé Baabda</t>
  </si>
  <si>
    <t>Ras El-Href</t>
  </si>
  <si>
    <t>Deir Khouna</t>
  </si>
  <si>
    <t>Aabadiyé</t>
  </si>
  <si>
    <t>Qrayet Baabda</t>
  </si>
  <si>
    <t>Chmeisset Baabda</t>
  </si>
  <si>
    <t>Ras El Matn</t>
  </si>
  <si>
    <t>Chouit</t>
  </si>
  <si>
    <t>Qobbayaa</t>
  </si>
  <si>
    <t>Qordata</t>
  </si>
  <si>
    <t>Qsaibé Baabda</t>
  </si>
  <si>
    <t>Deir El-harf</t>
  </si>
  <si>
    <t>Aaraiya</t>
  </si>
  <si>
    <t>Zandouqa</t>
  </si>
  <si>
    <t>Kneisset Baabda</t>
  </si>
  <si>
    <t>Aarbaniyé</t>
  </si>
  <si>
    <t>Dlaybé</t>
  </si>
  <si>
    <t>Salima Baabda</t>
  </si>
  <si>
    <t>Hasbaiya El-Matn</t>
  </si>
  <si>
    <t>Hammana</t>
  </si>
  <si>
    <t>Qalaat Baabda</t>
  </si>
  <si>
    <t>Khalouat Baabda</t>
  </si>
  <si>
    <t>Chbaniyé</t>
  </si>
  <si>
    <t>Khreibet Baabda</t>
  </si>
  <si>
    <t>Bmaryam</t>
  </si>
  <si>
    <t>Btekhnay</t>
  </si>
  <si>
    <t>Falougha</t>
  </si>
  <si>
    <t>Btibyat</t>
  </si>
  <si>
    <t>Qornayel</t>
  </si>
  <si>
    <t>Jouar El-Haouz</t>
  </si>
  <si>
    <t>Bzebdine</t>
  </si>
  <si>
    <t>Arsoun</t>
  </si>
  <si>
    <t>Kfar Selouane</t>
  </si>
  <si>
    <t>Tarchich</t>
  </si>
  <si>
    <t>Jouret Arsoun</t>
  </si>
  <si>
    <t>litige</t>
  </si>
  <si>
    <t>Bourj Hammoud</t>
  </si>
  <si>
    <t>Sinn El-Fil</t>
  </si>
  <si>
    <t>Jdaidet El-Matn</t>
  </si>
  <si>
    <t>Baouchriyé</t>
  </si>
  <si>
    <t>Deir mar Roukoz</t>
  </si>
  <si>
    <t>Dekouané</t>
  </si>
  <si>
    <t>Mkalles</t>
  </si>
  <si>
    <t>Antelias</t>
  </si>
  <si>
    <t>Menqlet Mezher</t>
  </si>
  <si>
    <t>Jall Ed-Did</t>
  </si>
  <si>
    <t>Naqqach</t>
  </si>
  <si>
    <t>Aamaret Chalhoub</t>
  </si>
  <si>
    <t>Zalqa</t>
  </si>
  <si>
    <t>Byaqout</t>
  </si>
  <si>
    <t>Mazraat El-Hdaira</t>
  </si>
  <si>
    <t>Dbayé</t>
  </si>
  <si>
    <t>Haret El-Ballane</t>
  </si>
  <si>
    <t>Mazraat Deir Aaoukar</t>
  </si>
  <si>
    <t>Mansouriyet El-Matn</t>
  </si>
  <si>
    <t>Daychouniyé</t>
  </si>
  <si>
    <t>Fanar</t>
  </si>
  <si>
    <t>Aain Saadé</t>
  </si>
  <si>
    <t>Roumié</t>
  </si>
  <si>
    <t>Bqennaya</t>
  </si>
  <si>
    <t>Majzoub</t>
  </si>
  <si>
    <t>Bsalim</t>
  </si>
  <si>
    <t>Nabay</t>
  </si>
  <si>
    <t>Mtayleb</t>
  </si>
  <si>
    <t>Beit El-Kekko</t>
  </si>
  <si>
    <t>Qornet Chehouane</t>
  </si>
  <si>
    <t>Beit Ech-Chaar</t>
  </si>
  <si>
    <t>Dik El-Mehdi</t>
  </si>
  <si>
    <t>Zouk El-Kharab</t>
  </si>
  <si>
    <t>Aain Aar</t>
  </si>
  <si>
    <t>Mazraat Yachouaa</t>
  </si>
  <si>
    <t>Deir Tamich</t>
  </si>
  <si>
    <t>Zakrit</t>
  </si>
  <si>
    <t>Deir Mar Aabda el Mchammar</t>
  </si>
  <si>
    <t>Bikfaya</t>
  </si>
  <si>
    <t>Mhaidset Matn</t>
  </si>
  <si>
    <t>Ouadi Chahine</t>
  </si>
  <si>
    <t>Aain El-Qach</t>
  </si>
  <si>
    <t>Mar Boutros Karm Et-Tine</t>
  </si>
  <si>
    <t>Beit Chabab</t>
  </si>
  <si>
    <t>Bhersaf</t>
  </si>
  <si>
    <t>Mayassé</t>
  </si>
  <si>
    <t>Aain El-Kharroubé</t>
  </si>
  <si>
    <t>Himlaya</t>
  </si>
  <si>
    <t>aain Aalaq</t>
  </si>
  <si>
    <t>Aatchané</t>
  </si>
  <si>
    <t>Chaouiyé</t>
  </si>
  <si>
    <t>Aain Et-Teffaha</t>
  </si>
  <si>
    <t>Sfeilet Bikfaya</t>
  </si>
  <si>
    <t>Fraiké</t>
  </si>
  <si>
    <t>Abou Mizane</t>
  </si>
  <si>
    <t>Deir Chamra</t>
  </si>
  <si>
    <t>Hbous</t>
  </si>
  <si>
    <t>Jouar El-Matn</t>
  </si>
  <si>
    <t>Chrine</t>
  </si>
  <si>
    <t>Qornet El-Hamra</t>
  </si>
  <si>
    <t>Broummana El-Matn</t>
  </si>
  <si>
    <t>Jouret El-Ballout</t>
  </si>
  <si>
    <t>Masqa</t>
  </si>
  <si>
    <t>Aayoun El-Matn</t>
  </si>
  <si>
    <t>Qennabet Broummana</t>
  </si>
  <si>
    <t>Mzakké</t>
  </si>
  <si>
    <t>Baabdat</t>
  </si>
  <si>
    <t>Beit Meri</t>
  </si>
  <si>
    <t>Dahr Es-Souane El-Matn</t>
  </si>
  <si>
    <t>Qannebet Salima</t>
  </si>
  <si>
    <t>Bsifrine</t>
  </si>
  <si>
    <t>Mtain</t>
  </si>
  <si>
    <t>Aain Ez-Zeitouné</t>
  </si>
  <si>
    <t>Mchikha</t>
  </si>
  <si>
    <t>Khillet El-Mtain</t>
  </si>
  <si>
    <t>Bnabil</t>
  </si>
  <si>
    <t>Aain es-Sofsaf El-Matn</t>
  </si>
  <si>
    <t>Ouata El-Mrouj</t>
  </si>
  <si>
    <t>Mrouj</t>
  </si>
  <si>
    <t>Marjaba</t>
  </si>
  <si>
    <t>Aain Es-Sindiane</t>
  </si>
  <si>
    <t>Zaraaoun</t>
  </si>
  <si>
    <t>Qaaqour</t>
  </si>
  <si>
    <t>Khinchara</t>
  </si>
  <si>
    <t>Aintoura El-Matn</t>
  </si>
  <si>
    <t>Choueir</t>
  </si>
  <si>
    <t>Bteghrine</t>
  </si>
  <si>
    <t>Douar El-Matn</t>
  </si>
  <si>
    <t>Chouaya El-Matn</t>
  </si>
  <si>
    <t>Aayroun</t>
  </si>
  <si>
    <t>Zighrine El-Matn</t>
  </si>
  <si>
    <t>Majdel tarchich</t>
  </si>
  <si>
    <t>Aain El-Qabu</t>
  </si>
  <si>
    <t>Kfar Aaqab</t>
  </si>
  <si>
    <t>Mar Moussa Ed-Douar</t>
  </si>
  <si>
    <t>Machraah El-Matn</t>
  </si>
  <si>
    <t>Ouadi El-Karm El-Matn</t>
  </si>
  <si>
    <t>Zabbougha</t>
  </si>
  <si>
    <t>Baskinta</t>
  </si>
  <si>
    <t>Kfar Tay El-Matn</t>
  </si>
  <si>
    <t>Damour</t>
  </si>
  <si>
    <t>Naamé</t>
  </si>
  <si>
    <t>Mechref</t>
  </si>
  <si>
    <t>Chhim</t>
  </si>
  <si>
    <t>mazboud</t>
  </si>
  <si>
    <t>Dalhoun</t>
  </si>
  <si>
    <t>Chammis Ech-Chouf</t>
  </si>
  <si>
    <t>Daraiya Ech-Chouf</t>
  </si>
  <si>
    <t>Ketermaya</t>
  </si>
  <si>
    <t>maaniyé</t>
  </si>
  <si>
    <t>Ouadi Abou Youssef</t>
  </si>
  <si>
    <t>Aanout</t>
  </si>
  <si>
    <t>Sibline</t>
  </si>
  <si>
    <t>Bourjein</t>
  </si>
  <si>
    <t>Barja</t>
  </si>
  <si>
    <t>Bkechtine Ouel Mcheiaa</t>
  </si>
  <si>
    <t>Baassir</t>
  </si>
  <si>
    <t>Dibbiyé</t>
  </si>
  <si>
    <t>Benouati Ech-Chouf</t>
  </si>
  <si>
    <t>Jiyé</t>
  </si>
  <si>
    <t>Jadra</t>
  </si>
  <si>
    <t>Chmaarine</t>
  </si>
  <si>
    <t>Dahr Ech-Chouf</t>
  </si>
  <si>
    <t>Aalmane Ech-Chouf</t>
  </si>
  <si>
    <t>Jmailiyé</t>
  </si>
  <si>
    <t>Rmeilet Ech-Chouf</t>
  </si>
  <si>
    <t>Majdalouna</t>
  </si>
  <si>
    <t>Ouardaniyé</t>
  </si>
  <si>
    <t>Joun</t>
  </si>
  <si>
    <t>Mghairiyé Ech-Chouf</t>
  </si>
  <si>
    <t>Deir  El-Moukhalles Ech-Chouf</t>
  </si>
  <si>
    <t>Qreiaa</t>
  </si>
  <si>
    <t>Bkifa Ech-Chouf</t>
  </si>
  <si>
    <t>Mazmoura</t>
  </si>
  <si>
    <t>Mtollé</t>
  </si>
  <si>
    <t>Mazraat Es-Dahr</t>
  </si>
  <si>
    <t>Khirbet Bisri</t>
  </si>
  <si>
    <t>Jleiliyé</t>
  </si>
  <si>
    <t>Zaarouriyé</t>
  </si>
  <si>
    <t>Bsaba Ech-Chouf</t>
  </si>
  <si>
    <t>Beit Ed-Dine</t>
  </si>
  <si>
    <t>Deir El-Qamar</t>
  </si>
  <si>
    <t>Kfar Hamal</t>
  </si>
  <si>
    <t>Semqaniyé</t>
  </si>
  <si>
    <t>Kfar Qatra</t>
  </si>
  <si>
    <t>Maasser Beit Ed-Dine</t>
  </si>
  <si>
    <t>Bchtfine</t>
  </si>
  <si>
    <t>Kneisset Ech-Chouf</t>
  </si>
  <si>
    <t>Aammiq Ech-Chouf</t>
  </si>
  <si>
    <t>Deir Kouché</t>
  </si>
  <si>
    <t>Mazraat Ed-Douair</t>
  </si>
  <si>
    <t>Kfar Faqoud</t>
  </si>
  <si>
    <t>Deir Baba</t>
  </si>
  <si>
    <t>Sirjbal</t>
  </si>
  <si>
    <t>GHabet Jaafar</t>
  </si>
  <si>
    <t>Kfar Him</t>
  </si>
  <si>
    <t>Ouadi Ed-Deir</t>
  </si>
  <si>
    <t>Ouadi Es-Sitt</t>
  </si>
  <si>
    <t>Majdel El-Meouch</t>
  </si>
  <si>
    <t>Dmit</t>
  </si>
  <si>
    <t>Faouarat Jaafar</t>
  </si>
  <si>
    <t>Biret Ech-Chouf</t>
  </si>
  <si>
    <t>Chourit</t>
  </si>
  <si>
    <t>Kfar hay</t>
  </si>
  <si>
    <t>Kfar Niss</t>
  </si>
  <si>
    <t>Bqaiaa Ech-Chouf</t>
  </si>
  <si>
    <t>Brih</t>
  </si>
  <si>
    <t>Moughayret Ech-Chouf</t>
  </si>
  <si>
    <t>Ouarhaniyé</t>
  </si>
  <si>
    <t>Fraudis Ech-Chouf</t>
  </si>
  <si>
    <t>Aain Zhalta</t>
  </si>
  <si>
    <t>Baaqline</t>
  </si>
  <si>
    <t>Deir Dourit</t>
  </si>
  <si>
    <t>Aainbal</t>
  </si>
  <si>
    <t>Aathrine</t>
  </si>
  <si>
    <t>Ouadi bnehlay</t>
  </si>
  <si>
    <t>Gharifé</t>
  </si>
  <si>
    <t>Jahliyé</t>
  </si>
  <si>
    <t>Hasrout</t>
  </si>
  <si>
    <t>Moukhtara</t>
  </si>
  <si>
    <t>Botmé</t>
  </si>
  <si>
    <t>Aain Qania</t>
  </si>
  <si>
    <t>Jdeidet Ech-Chouf</t>
  </si>
  <si>
    <t>Niha El-Chouf</t>
  </si>
  <si>
    <t>Aain Ouzain</t>
  </si>
  <si>
    <t>Baadarane</t>
  </si>
  <si>
    <t>Khereibet Ech-Chouf</t>
  </si>
  <si>
    <t>Aammatour</t>
  </si>
  <si>
    <t>Kahlouniet Ech-Chouf</t>
  </si>
  <si>
    <t>Haret Jandal</t>
  </si>
  <si>
    <t>Mazraat Ech-Chouf</t>
  </si>
  <si>
    <t>Kfar Nabrakh</t>
  </si>
  <si>
    <t>Mristi</t>
  </si>
  <si>
    <t>Batloun</t>
  </si>
  <si>
    <t>Maasser Ech-Chouf</t>
  </si>
  <si>
    <t>Jbaa Ech-Chouf</t>
  </si>
  <si>
    <t>Bater</t>
  </si>
  <si>
    <t>Barouk</t>
  </si>
  <si>
    <t>Bayqoun</t>
  </si>
  <si>
    <t>Choueifat El-Aamrousiyé</t>
  </si>
  <si>
    <t>Choueifat El-Quoubbé</t>
  </si>
  <si>
    <t>Choueifat El-Oumara</t>
  </si>
  <si>
    <t>Deir Qoubel</t>
  </si>
  <si>
    <t>Aaramoun Aaley</t>
  </si>
  <si>
    <t>Aain Drafil</t>
  </si>
  <si>
    <t>Sirhmoul</t>
  </si>
  <si>
    <t>Baaouerta</t>
  </si>
  <si>
    <t>Bchamoun</t>
  </si>
  <si>
    <t>Daqqoun</t>
  </si>
  <si>
    <t>Aain Aanoub</t>
  </si>
  <si>
    <t>Blaybel</t>
  </si>
  <si>
    <t>Houmal</t>
  </si>
  <si>
    <t>Bdadoun</t>
  </si>
  <si>
    <t>Bsous</t>
  </si>
  <si>
    <t>Aaley</t>
  </si>
  <si>
    <t>Kahhalé</t>
  </si>
  <si>
    <t>Qmatiyé</t>
  </si>
  <si>
    <t>Aain Er-Roummané Aaley</t>
  </si>
  <si>
    <t>Bmakine</t>
  </si>
  <si>
    <t>Bkhichtay</t>
  </si>
  <si>
    <t>Ghaboune</t>
  </si>
  <si>
    <t>Aain Ej-Jdidé Aaley</t>
  </si>
  <si>
    <t>Behouara</t>
  </si>
  <si>
    <t>Aaytat</t>
  </si>
  <si>
    <t>Souq El-Gharb</t>
  </si>
  <si>
    <t>Taazaniyé</t>
  </si>
  <si>
    <t>Rijmé</t>
  </si>
  <si>
    <t>Keyfoun</t>
  </si>
  <si>
    <t>Chimlane</t>
  </si>
  <si>
    <t>Kfar Aamay</t>
  </si>
  <si>
    <t>Bayssour Aaley</t>
  </si>
  <si>
    <t>Douair Er-Remmané</t>
  </si>
  <si>
    <t>Rouayssat En-Naamane</t>
  </si>
  <si>
    <t>Mejdlaiya</t>
  </si>
  <si>
    <t>Aaynab</t>
  </si>
  <si>
    <t>Chartoun</t>
  </si>
  <si>
    <t>Bou Zridé</t>
  </si>
  <si>
    <t>Dfoun</t>
  </si>
  <si>
    <t>Richmaiya</t>
  </si>
  <si>
    <t>Aain Traz</t>
  </si>
  <si>
    <t>Selfaya</t>
  </si>
  <si>
    <t>Aaley Bsatine</t>
  </si>
  <si>
    <t>Rimhala</t>
  </si>
  <si>
    <t>Binnay</t>
  </si>
  <si>
    <t>Aain Ksour</t>
  </si>
  <si>
    <t>Jisr El Qadi</t>
  </si>
  <si>
    <t>Aabey</t>
  </si>
  <si>
    <t>Kfar Matta</t>
  </si>
  <si>
    <t>Bhamdoun El-Mhatta</t>
  </si>
  <si>
    <t>Bhamdoun Ed-Dayaa</t>
  </si>
  <si>
    <t>Chanay</t>
  </si>
  <si>
    <t>Btalloun</t>
  </si>
  <si>
    <t>Majdel Baana</t>
  </si>
  <si>
    <t>Saoufar</t>
  </si>
  <si>
    <t>Aain El Halazoun</t>
  </si>
  <si>
    <t>Bedghan Oua Ouadi Bedghan</t>
  </si>
  <si>
    <t>Homs Oua Hama</t>
  </si>
  <si>
    <t>Mansouriyet Bhamdoun</t>
  </si>
  <si>
    <t>Mchekhti</t>
  </si>
  <si>
    <t>Charoun</t>
  </si>
  <si>
    <t>Btater</t>
  </si>
  <si>
    <t>Ighmid</t>
  </si>
  <si>
    <t xml:space="preserve"> Aazouniyé</t>
  </si>
  <si>
    <t>Mcherfé</t>
  </si>
  <si>
    <t>Habramoun</t>
  </si>
  <si>
    <t>Bserrine</t>
  </si>
  <si>
    <t>Ramlié</t>
  </si>
  <si>
    <t>Maasrati</t>
  </si>
  <si>
    <t>Mazraat En-Nahr Aaley</t>
  </si>
  <si>
    <t>Aain Dara</t>
  </si>
  <si>
    <t>Mrayjat Aaley</t>
  </si>
  <si>
    <t>Bmahray</t>
  </si>
  <si>
    <t>Jounié Sarba</t>
  </si>
  <si>
    <t>Zouk Mkayel</t>
  </si>
  <si>
    <t>Jounie Ghadir</t>
  </si>
  <si>
    <t>Zouk Mousbeh</t>
  </si>
  <si>
    <t>Jounie Haret Sakhr</t>
  </si>
  <si>
    <t>Sahel Aalma</t>
  </si>
  <si>
    <t>Ouata Sillam</t>
  </si>
  <si>
    <t>Kfar Yassine</t>
  </si>
  <si>
    <t>Tabarja</t>
  </si>
  <si>
    <t>Adma Oua Dafine</t>
  </si>
  <si>
    <t>Safra Kesrouane</t>
  </si>
  <si>
    <t>Bouar</t>
  </si>
  <si>
    <t>Aaqaibé Kesrouane</t>
  </si>
  <si>
    <t>Bqaq Ed-Dine</t>
  </si>
  <si>
    <t>Kharayeb Nahr Ibrahim</t>
  </si>
  <si>
    <t>Aajaltoun</t>
  </si>
  <si>
    <t>Balloune</t>
  </si>
  <si>
    <t>Shaylé Kesrouane</t>
  </si>
  <si>
    <t>Daraiya Kesrouane</t>
  </si>
  <si>
    <t>Aain Er-Rihane</t>
  </si>
  <si>
    <t>Jaaita</t>
  </si>
  <si>
    <t>Aintoura Kesrouane</t>
  </si>
  <si>
    <t>Mazraat Er-Ras</t>
  </si>
  <si>
    <t>Ghazir</t>
  </si>
  <si>
    <t>Bourj El-Ftouh</t>
  </si>
  <si>
    <t>Chnanaair</t>
  </si>
  <si>
    <t>Jdaidet Ghazir</t>
  </si>
  <si>
    <t>Ghosta</t>
  </si>
  <si>
    <t>Maarab</t>
  </si>
  <si>
    <t>Dlebta</t>
  </si>
  <si>
    <t>Batha</t>
  </si>
  <si>
    <t>Aaramoun Kesrouane</t>
  </si>
  <si>
    <t>Kfour Kesrouane</t>
  </si>
  <si>
    <t>Ghidras</t>
  </si>
  <si>
    <t>Harharaya</t>
  </si>
  <si>
    <t>Deir Baqlouch</t>
  </si>
  <si>
    <t>Bzoummar</t>
  </si>
  <si>
    <t>Harissa Kesrouane</t>
  </si>
  <si>
    <t>Nammoura Kesrouane</t>
  </si>
  <si>
    <t>Ghiné</t>
  </si>
  <si>
    <t>Hsayn</t>
  </si>
  <si>
    <t>Daraaoun</t>
  </si>
  <si>
    <t>Hayata</t>
  </si>
  <si>
    <t>Chahtoul</t>
  </si>
  <si>
    <t>Zaaitré</t>
  </si>
  <si>
    <t>Jouret E-Tourmos</t>
  </si>
  <si>
    <t>Maaysra Kesrouane</t>
  </si>
  <si>
    <t>Jouret Mhad</t>
  </si>
  <si>
    <t>Aazra ouel Aazr</t>
  </si>
  <si>
    <t>Ghbalé Kesrouane</t>
  </si>
  <si>
    <t>Jouret Bedrane</t>
  </si>
  <si>
    <t>Mradiyé</t>
  </si>
  <si>
    <t>Bizhel</t>
  </si>
  <si>
    <t>Nahr Ed-Dahab</t>
  </si>
  <si>
    <t>yahchouch</t>
  </si>
  <si>
    <t>Zaitoun</t>
  </si>
  <si>
    <t>Ighbé</t>
  </si>
  <si>
    <t>Rayfoun</t>
  </si>
  <si>
    <t>Qleiaat Kesrouane</t>
  </si>
  <si>
    <t>Mazraat Mrah El-Mir</t>
  </si>
  <si>
    <t>Aachqout</t>
  </si>
  <si>
    <t>Faytroun</t>
  </si>
  <si>
    <t>Beqaata Aachqout</t>
  </si>
  <si>
    <t>Raachine</t>
  </si>
  <si>
    <t>Kfar Dibiane</t>
  </si>
  <si>
    <t>Beqaata Kanaan</t>
  </si>
  <si>
    <t>Kfar Tay Kesrouane</t>
  </si>
  <si>
    <t>Bqaatouta</t>
  </si>
  <si>
    <t>Ouata El-Jaouz</t>
  </si>
  <si>
    <t>Mayrouba</t>
  </si>
  <si>
    <t>Aain Ed-Delbé Kesrouane</t>
  </si>
  <si>
    <t>Mghayer</t>
  </si>
  <si>
    <t>Hrajel</t>
  </si>
  <si>
    <t>Faraya</t>
  </si>
  <si>
    <t>Chouane</t>
  </si>
  <si>
    <t>Mchaa Kfar Dibiane</t>
  </si>
  <si>
    <t>Mchaa Faraya</t>
  </si>
  <si>
    <t>Mchaa El Ftouh</t>
  </si>
  <si>
    <t>Jbayl</t>
  </si>
  <si>
    <t>Mastita</t>
  </si>
  <si>
    <t>Qartaboun</t>
  </si>
  <si>
    <t>Blat Jbeil</t>
  </si>
  <si>
    <t>Eddé Jbayl</t>
  </si>
  <si>
    <t>Aamchit</t>
  </si>
  <si>
    <t>Halate</t>
  </si>
  <si>
    <t>Hasrayel</t>
  </si>
  <si>
    <t>Rihanet Jbayl</t>
  </si>
  <si>
    <t>Jeoddayel Jbayl</t>
  </si>
  <si>
    <t>Nahr Ibrahim</t>
  </si>
  <si>
    <t>Mounsef</t>
  </si>
  <si>
    <t>Berbara Jbayl</t>
  </si>
  <si>
    <t>Kfar Kiddé</t>
  </si>
  <si>
    <t>Ehmej</t>
  </si>
  <si>
    <t>Aalmat Ech-Chamliyé</t>
  </si>
  <si>
    <t>Mazraat El-Maaden</t>
  </si>
  <si>
    <t>Aalmat Ej-Jnoubiyé</t>
  </si>
  <si>
    <t>Tourzaiya</t>
  </si>
  <si>
    <t>Ferhet</t>
  </si>
  <si>
    <t>Michmich Jbayl</t>
  </si>
  <si>
    <t>Aalita</t>
  </si>
  <si>
    <t>Souanet Jbayl</t>
  </si>
  <si>
    <t>Aain Ed-Delbé Jbayl</t>
  </si>
  <si>
    <t>Frat</t>
  </si>
  <si>
    <t>Kfar Baal</t>
  </si>
  <si>
    <t>Hjoula</t>
  </si>
  <si>
    <t>Aain Jrain</t>
  </si>
  <si>
    <t>Hsoun</t>
  </si>
  <si>
    <t>Mchané</t>
  </si>
  <si>
    <t>Lehfed</t>
  </si>
  <si>
    <t>Habil</t>
  </si>
  <si>
    <t>Jouret El-Qattine</t>
  </si>
  <si>
    <t>Birket Hjoula</t>
  </si>
  <si>
    <t>Adonis Jbayl</t>
  </si>
  <si>
    <t>Ras Osta</t>
  </si>
  <si>
    <t>Bichtlida</t>
  </si>
  <si>
    <t>Bchille Jbayl</t>
  </si>
  <si>
    <t>Zibdine Jbayl</t>
  </si>
  <si>
    <t>Haqel</t>
  </si>
  <si>
    <t>Kharbet Jbayl</t>
  </si>
  <si>
    <t>Qottara Jbayl</t>
  </si>
  <si>
    <t>Brayj Jbayl</t>
  </si>
  <si>
    <t>Sebrine</t>
  </si>
  <si>
    <t>Aabaydat</t>
  </si>
  <si>
    <t>Mayfouq</t>
  </si>
  <si>
    <t>Behdaydat</t>
  </si>
  <si>
    <t>Ramout</t>
  </si>
  <si>
    <t>Saqiet El-Khayt</t>
  </si>
  <si>
    <t>Kfar Qouas</t>
  </si>
  <si>
    <t>Fatre</t>
  </si>
  <si>
    <t>Kfoun</t>
  </si>
  <si>
    <t>Bintaael</t>
  </si>
  <si>
    <t>Beit Habbaq</t>
  </si>
  <si>
    <t>kafr</t>
  </si>
  <si>
    <t>Jlissé</t>
  </si>
  <si>
    <t>Bejjé</t>
  </si>
  <si>
    <t>Ghalboun</t>
  </si>
  <si>
    <t>Chamate</t>
  </si>
  <si>
    <t>Hbaline</t>
  </si>
  <si>
    <t>Bmehrayn</t>
  </si>
  <si>
    <t>Hboub</t>
  </si>
  <si>
    <t>Hsarat</t>
  </si>
  <si>
    <t>Kfar Mashoun</t>
  </si>
  <si>
    <t>Aain Kfaa</t>
  </si>
  <si>
    <t>Ghofrine</t>
  </si>
  <si>
    <t>Maad</t>
  </si>
  <si>
    <t>Gharzouz</t>
  </si>
  <si>
    <t>Chikhane</t>
  </si>
  <si>
    <t>Chmout</t>
  </si>
  <si>
    <t>Bekhaaz</t>
  </si>
  <si>
    <t>Fghal</t>
  </si>
  <si>
    <t>Bayzoun</t>
  </si>
  <si>
    <t>Qartaba</t>
  </si>
  <si>
    <t>Mar Sarkis</t>
  </si>
  <si>
    <t>Aain El-Ghouaybé</t>
  </si>
  <si>
    <t>Mazraat Es Siyad</t>
  </si>
  <si>
    <t>Hdeine</t>
  </si>
  <si>
    <t>Janné</t>
  </si>
  <si>
    <t>Lassa</t>
  </si>
  <si>
    <t>Seraaiita</t>
  </si>
  <si>
    <t>Ghabat</t>
  </si>
  <si>
    <t>Mghayré Jbeil</t>
  </si>
  <si>
    <t>Tadmor</t>
  </si>
  <si>
    <t>Yanouh Jbayl</t>
  </si>
  <si>
    <t>Qorqraiya</t>
  </si>
  <si>
    <t>Boulhos</t>
  </si>
  <si>
    <t>Majdel El-Aqoura</t>
  </si>
  <si>
    <t>Laqlouq</t>
  </si>
  <si>
    <t>Afqa Jbayl</t>
  </si>
  <si>
    <t>Qahmez</t>
  </si>
  <si>
    <t>Aaqoura</t>
  </si>
  <si>
    <t>Aarab El-Lahib</t>
  </si>
  <si>
    <t>Saqi Richmaya</t>
  </si>
  <si>
    <t>Jaj</t>
  </si>
  <si>
    <t>Tartij</t>
  </si>
  <si>
    <t>Hema Mar Maroun Aannaya</t>
  </si>
  <si>
    <t>Hema Er-Rehban</t>
  </si>
  <si>
    <t>Aarasta</t>
  </si>
  <si>
    <t>Trablous Ez-Zeitoun</t>
  </si>
  <si>
    <t>Trablous El-Haddadine, El-Hadid, El-Mharta</t>
  </si>
  <si>
    <t>Trablous Et-Tell</t>
  </si>
  <si>
    <t>Trablous En-Nouri</t>
  </si>
  <si>
    <t>Trablous El Mhatra</t>
  </si>
  <si>
    <t>Trablous Er-Remmaneh</t>
  </si>
  <si>
    <t>Trablous Es-Souayqa</t>
  </si>
  <si>
    <t>Trablous El Hadid</t>
  </si>
  <si>
    <t>Trablous El-Qobbe</t>
  </si>
  <si>
    <t>Trablous Ez-Zahrieh</t>
  </si>
  <si>
    <t>Trablous et Tabbaneh</t>
  </si>
  <si>
    <t>Trablous jardins</t>
  </si>
  <si>
    <t>Mina N:1</t>
  </si>
  <si>
    <t>Mina N:2</t>
  </si>
  <si>
    <t>Mina N:3</t>
  </si>
  <si>
    <t>Mina Jardin</t>
  </si>
  <si>
    <t>Qalamoun</t>
  </si>
  <si>
    <t>Amioun</t>
  </si>
  <si>
    <t>Kfar Aaqqa</t>
  </si>
  <si>
    <t>Kfar Saroun El-Koura</t>
  </si>
  <si>
    <t>Bechmizzine</t>
  </si>
  <si>
    <t>Bterram</t>
  </si>
  <si>
    <t>Bziza</t>
  </si>
  <si>
    <t>Kfar Hazir</t>
  </si>
  <si>
    <t>Bsarma</t>
  </si>
  <si>
    <t>Aafsdiq</t>
  </si>
  <si>
    <t>Dar Chmizzine</t>
  </si>
  <si>
    <t>Dar Baaechtar</t>
  </si>
  <si>
    <t>Bhabbouch El-Koura</t>
  </si>
  <si>
    <t>Ain Aakrine</t>
  </si>
  <si>
    <t>Kousba</t>
  </si>
  <si>
    <t>Rechdibbine</t>
  </si>
  <si>
    <t>Bnehran</t>
  </si>
  <si>
    <t>Aaba</t>
  </si>
  <si>
    <t>Bdebba</t>
  </si>
  <si>
    <t>Fiaa</t>
  </si>
  <si>
    <t>Majdel el-Koura</t>
  </si>
  <si>
    <t>Kaftoun</t>
  </si>
  <si>
    <t>Btaaboura</t>
  </si>
  <si>
    <t>Kfar Hata El-Koura</t>
  </si>
  <si>
    <t>Ijdaabrine</t>
  </si>
  <si>
    <t>Batroumine</t>
  </si>
  <si>
    <t>Badbhoun</t>
  </si>
  <si>
    <t>Barghoun</t>
  </si>
  <si>
    <t>Bednayel El-Koura</t>
  </si>
  <si>
    <t>Kfar Kahel</t>
  </si>
  <si>
    <t>Btouratij</t>
  </si>
  <si>
    <t>Qalhat</t>
  </si>
  <si>
    <t>Deir El-Balamand</t>
  </si>
  <si>
    <t>Zakroun</t>
  </si>
  <si>
    <t>Kafraya El-Koura</t>
  </si>
  <si>
    <t>Deddé</t>
  </si>
  <si>
    <t>Enfé</t>
  </si>
  <si>
    <t>Hraiche</t>
  </si>
  <si>
    <t>Ras Masqa</t>
  </si>
  <si>
    <t>Barsa</t>
  </si>
  <si>
    <t>Bkeftine</t>
  </si>
  <si>
    <t>Nakhlé</t>
  </si>
  <si>
    <t>Bqaiaa El-Koura</t>
  </si>
  <si>
    <t>Zgharta El-Mtaouile</t>
  </si>
  <si>
    <t>Zgharta</t>
  </si>
  <si>
    <t>Aardat</t>
  </si>
  <si>
    <t>Kfardlaqous</t>
  </si>
  <si>
    <t>Rachaaine</t>
  </si>
  <si>
    <t>Qarah Bach</t>
  </si>
  <si>
    <t>Kfarhata Zgharta</t>
  </si>
  <si>
    <t>Arde</t>
  </si>
  <si>
    <t>Asnoun</t>
  </si>
  <si>
    <t>Mazraat Ajbeaa</t>
  </si>
  <si>
    <t>Mejdlaiya Zgharta</t>
  </si>
  <si>
    <t>Hariq Zgharta</t>
  </si>
  <si>
    <t>Aalma</t>
  </si>
  <si>
    <t>Mazraat Jnaid</t>
  </si>
  <si>
    <t>Deir Jdeide</t>
  </si>
  <si>
    <t>Khaldiyé</t>
  </si>
  <si>
    <t>Iaal</t>
  </si>
  <si>
    <t>Kfarhoura</t>
  </si>
  <si>
    <t>Kfarzaina</t>
  </si>
  <si>
    <t>Kfarchakhna</t>
  </si>
  <si>
    <t>Bsebaal</t>
  </si>
  <si>
    <t>Sakhra</t>
  </si>
  <si>
    <t>Houakir</t>
  </si>
  <si>
    <t>Kfaryachit</t>
  </si>
  <si>
    <t>Morh Kfarsghab</t>
  </si>
  <si>
    <t>Bchannine</t>
  </si>
  <si>
    <t>Bnechaai</t>
  </si>
  <si>
    <t>Aarjis</t>
  </si>
  <si>
    <t>Daraiya Zgharta</t>
  </si>
  <si>
    <t>Kfarfou</t>
  </si>
  <si>
    <t>Ras Kifa</t>
  </si>
  <si>
    <t>Karm Saddé</t>
  </si>
  <si>
    <t>Tallet Zgharta</t>
  </si>
  <si>
    <t>Ehden</t>
  </si>
  <si>
    <t>Beslouqit</t>
  </si>
  <si>
    <t>Aintourine</t>
  </si>
  <si>
    <t>Kfarsghab</t>
  </si>
  <si>
    <t>Aarbet Qozhaiya</t>
  </si>
  <si>
    <t>Toula Zgharta</t>
  </si>
  <si>
    <t>Mazraat Et-Teffah</t>
  </si>
  <si>
    <t>Bhairet Toula</t>
  </si>
  <si>
    <t>Ayto</t>
  </si>
  <si>
    <t>Miziara</t>
  </si>
  <si>
    <t>Seraal</t>
  </si>
  <si>
    <t>Sebaal Zgharta</t>
  </si>
  <si>
    <t>Danha</t>
  </si>
  <si>
    <t>Aachach</t>
  </si>
  <si>
    <t>Miriata</t>
  </si>
  <si>
    <t>Hailan</t>
  </si>
  <si>
    <t>Boussit</t>
  </si>
  <si>
    <t>Mzraat Kefraya</t>
  </si>
  <si>
    <t>Hraiqis</t>
  </si>
  <si>
    <t>Ijbaa</t>
  </si>
  <si>
    <t>Batroun</t>
  </si>
  <si>
    <t>Rachana</t>
  </si>
  <si>
    <t>Thoum</t>
  </si>
  <si>
    <t>Kfar Aabida</t>
  </si>
  <si>
    <t>Koubba</t>
  </si>
  <si>
    <t>Selaata</t>
  </si>
  <si>
    <t>Heri</t>
  </si>
  <si>
    <t>Chikka</t>
  </si>
  <si>
    <t>Dahr Abi Yaghi</t>
  </si>
  <si>
    <t>Toula El-Batroun</t>
  </si>
  <si>
    <t>Masrah</t>
  </si>
  <si>
    <t>Daraya El-Batroun</t>
  </si>
  <si>
    <t>AAbdelli</t>
  </si>
  <si>
    <t>Douq</t>
  </si>
  <si>
    <t>Jrabta El-Batroun</t>
  </si>
  <si>
    <t>Chibtine</t>
  </si>
  <si>
    <t>Deir Kfifane</t>
  </si>
  <si>
    <t>Sghar</t>
  </si>
  <si>
    <t>Mar Mama</t>
  </si>
  <si>
    <t>Deir Mar Youssef Jrabta</t>
  </si>
  <si>
    <t>Mrah Ez Ziyat</t>
  </si>
  <si>
    <t>Ghouma</t>
  </si>
  <si>
    <t>Kfifane</t>
  </si>
  <si>
    <t>Jrane El-Batroun</t>
  </si>
  <si>
    <t>Mehmarch</t>
  </si>
  <si>
    <t>Aalali</t>
  </si>
  <si>
    <t>Smar Jbayl</t>
  </si>
  <si>
    <t>Kfar Hatna</t>
  </si>
  <si>
    <t>Zané</t>
  </si>
  <si>
    <t>Ftahat El-Batroun</t>
  </si>
  <si>
    <t>Kour</t>
  </si>
  <si>
    <t>Racha</t>
  </si>
  <si>
    <t>Basbina</t>
  </si>
  <si>
    <t>Aartiz</t>
  </si>
  <si>
    <t>Harbouna</t>
  </si>
  <si>
    <t>Mrah El-Hajj</t>
  </si>
  <si>
    <t>Mrah Chdid</t>
  </si>
  <si>
    <t>Kfarb Shlaimane</t>
  </si>
  <si>
    <t>Edde El-Batroun</t>
  </si>
  <si>
    <t>Sourat El-Batroun</t>
  </si>
  <si>
    <t>Assia</t>
  </si>
  <si>
    <t>Bijdarfil</t>
  </si>
  <si>
    <t>Ijdabra</t>
  </si>
  <si>
    <t>Helta</t>
  </si>
  <si>
    <t>Aabrine</t>
  </si>
  <si>
    <t>Kfar Hay</t>
  </si>
  <si>
    <t>Nahlé El-Batroun</t>
  </si>
  <si>
    <t>Jebla</t>
  </si>
  <si>
    <t>Rachkida</t>
  </si>
  <si>
    <t>Boqsmaiya</t>
  </si>
  <si>
    <t>Daael</t>
  </si>
  <si>
    <t>Kfar Khollos</t>
  </si>
  <si>
    <t>Qatnaaoun</t>
  </si>
  <si>
    <t>Ras Nahhach</t>
  </si>
  <si>
    <t>Ouajh El-Hajjar</t>
  </si>
  <si>
    <t>Hamat</t>
  </si>
  <si>
    <t>Douma</t>
  </si>
  <si>
    <t>Bcheaali</t>
  </si>
  <si>
    <t>Beit Chlala</t>
  </si>
  <si>
    <t>Deir Mar Youhanna EL-Batroun</t>
  </si>
  <si>
    <t>Bechtoudar</t>
  </si>
  <si>
    <t>Kfar Hilda</t>
  </si>
  <si>
    <t>Kfour El-Aarbi</t>
  </si>
  <si>
    <t>Ram El-Batroun</t>
  </si>
  <si>
    <t>Hadtoun</t>
  </si>
  <si>
    <t>Tannourine Et-Tahta</t>
  </si>
  <si>
    <t>Hardine</t>
  </si>
  <si>
    <t>Chatine</t>
  </si>
  <si>
    <t>Beit Kassab</t>
  </si>
  <si>
    <t>Deir Billa</t>
  </si>
  <si>
    <t>Niha El-Batroun</t>
  </si>
  <si>
    <t>Ouata Houb</t>
  </si>
  <si>
    <t>Tannourine El-Faouqa</t>
  </si>
  <si>
    <t>Halba</t>
  </si>
  <si>
    <t>Cheikh Mohammad</t>
  </si>
  <si>
    <t>Nfissé</t>
  </si>
  <si>
    <t>Idbil</t>
  </si>
  <si>
    <t>Kroum El-Aarab</t>
  </si>
  <si>
    <t>Cheikh Taba Es-Sahl</t>
  </si>
  <si>
    <t>Cheikh Taba</t>
  </si>
  <si>
    <t>Jdidet Ej-Joumeh</t>
  </si>
  <si>
    <t>Daouret Aakkar</t>
  </si>
  <si>
    <t>Zouarib</t>
  </si>
  <si>
    <t>Majdel Akkar</t>
  </si>
  <si>
    <t>Minyara</t>
  </si>
  <si>
    <t>Hakour</t>
  </si>
  <si>
    <t>Karm Aasfour</t>
  </si>
  <si>
    <t>Mazraat Beit Ghattas</t>
  </si>
  <si>
    <t>Qantarat Aakkar</t>
  </si>
  <si>
    <t>Machha</t>
  </si>
  <si>
    <t>Hayzouq</t>
  </si>
  <si>
    <t>Aarqa</t>
  </si>
  <si>
    <t>Souaisset Aakkar</t>
  </si>
  <si>
    <t>Ilat</t>
  </si>
  <si>
    <t>Bqerzla</t>
  </si>
  <si>
    <t>Deir Dalloum</t>
  </si>
  <si>
    <t>Zouq El Hosniyé</t>
  </si>
  <si>
    <t>Zouq El-Hbalsa</t>
  </si>
  <si>
    <t>Dahr Laissine</t>
  </si>
  <si>
    <t>Kfar Harra</t>
  </si>
  <si>
    <t>Balde WaMazraatBaldé</t>
  </si>
  <si>
    <t>Zouq El-Hadara</t>
  </si>
  <si>
    <t>Zouq El-Moqachrine</t>
  </si>
  <si>
    <t>Jebrayel</t>
  </si>
  <si>
    <t>Mar Touma</t>
  </si>
  <si>
    <t>Hedd</t>
  </si>
  <si>
    <t>Tikrit</t>
  </si>
  <si>
    <t>Tallet Chattaha</t>
  </si>
  <si>
    <t>Beit Mellat</t>
  </si>
  <si>
    <t>Beino</t>
  </si>
  <si>
    <t>Aayoun Aakkar</t>
  </si>
  <si>
    <t>Qboula</t>
  </si>
  <si>
    <t>Chaqdouf</t>
  </si>
  <si>
    <t>Borj Aakkar</t>
  </si>
  <si>
    <t>Aaiyat</t>
  </si>
  <si>
    <t>Aain Yaaqoub</t>
  </si>
  <si>
    <t>Bezbina</t>
  </si>
  <si>
    <t>Aakkar El-Aatiqa</t>
  </si>
  <si>
    <t>Tall Aabbas El-Gharbi</t>
  </si>
  <si>
    <t>Tall Aabbas Ech-Charqi</t>
  </si>
  <si>
    <t>Koueikhat</t>
  </si>
  <si>
    <t>Khreibet Ej-Jindi</t>
  </si>
  <si>
    <t>Saadine</t>
  </si>
  <si>
    <t>Haouchab</t>
  </si>
  <si>
    <t>Hayssa</t>
  </si>
  <si>
    <t>Hokr Etti</t>
  </si>
  <si>
    <t>Chir Hmairine</t>
  </si>
  <si>
    <t>Darine</t>
  </si>
  <si>
    <t>Sammouniyé</t>
  </si>
  <si>
    <t>Massaaoudiyé</t>
  </si>
  <si>
    <t>Tall Meaayan Tall Kiri</t>
  </si>
  <si>
    <t>Qaabrine</t>
  </si>
  <si>
    <t>Kfar Melki Aakkar</t>
  </si>
  <si>
    <t>Tall Biré</t>
  </si>
  <si>
    <t>Tall Hmayra</t>
  </si>
  <si>
    <t>Hokr Jouret Srar</t>
  </si>
  <si>
    <t>Barcha</t>
  </si>
  <si>
    <t>Qleiaat Aakkar</t>
  </si>
  <si>
    <t>Kneisset Aakkar</t>
  </si>
  <si>
    <t>Tall Sebaal</t>
  </si>
  <si>
    <t>Aabboudiyé</t>
  </si>
  <si>
    <t>Mighraq Aakkar</t>
  </si>
  <si>
    <t>Hokr Ed-Dahri</t>
  </si>
  <si>
    <t>Marlaya Melhem</t>
  </si>
  <si>
    <t>Kharnoubet Aakkar</t>
  </si>
  <si>
    <t>Semmaqli</t>
  </si>
  <si>
    <t>Mqaiteaa</t>
  </si>
  <si>
    <t>Janine</t>
  </si>
  <si>
    <t>Aamaret Aakkar</t>
  </si>
  <si>
    <t>Cheikh Zennad</t>
  </si>
  <si>
    <t>Qoubber Chamra</t>
  </si>
  <si>
    <t>Sammaqiyé</t>
  </si>
  <si>
    <t>AAridet Cheikh Zennad</t>
  </si>
  <si>
    <t>Bebnine</t>
  </si>
  <si>
    <t>Mhammaret</t>
  </si>
  <si>
    <t>Rmoul</t>
  </si>
  <si>
    <t>Sayssouq</t>
  </si>
  <si>
    <t>berqayel</t>
  </si>
  <si>
    <t>Bzal</t>
  </si>
  <si>
    <t>Qloud El-Baqié</t>
  </si>
  <si>
    <t>Dinbou</t>
  </si>
  <si>
    <t>Chane</t>
  </si>
  <si>
    <t>Beit Younes</t>
  </si>
  <si>
    <t>Houaich</t>
  </si>
  <si>
    <t>Sfaynet El-Qaitaa</t>
  </si>
  <si>
    <t>Qabaait</t>
  </si>
  <si>
    <t>Habchit</t>
  </si>
  <si>
    <t>Sadaqa</t>
  </si>
  <si>
    <t>Hrar</t>
  </si>
  <si>
    <t>Khreibet Aakkar</t>
  </si>
  <si>
    <t>Hmairé Aakkar</t>
  </si>
  <si>
    <t>Qraiyat</t>
  </si>
  <si>
    <t>Beit Ayoub</t>
  </si>
  <si>
    <t>Qardaf</t>
  </si>
  <si>
    <t>Jdeidet El-Qaitaa</t>
  </si>
  <si>
    <t>Aayoun El-Ghizlane</t>
  </si>
  <si>
    <t>Michmich Aakkar</t>
  </si>
  <si>
    <t>Qornet Aakkar</t>
  </si>
  <si>
    <t>Fnaydeq</t>
  </si>
  <si>
    <t>Majdala</t>
  </si>
  <si>
    <t>Tshea</t>
  </si>
  <si>
    <t>Rahbé</t>
  </si>
  <si>
    <t>Ouadi El-Jamous</t>
  </si>
  <si>
    <t>Beit El-Haouch</t>
  </si>
  <si>
    <t>Menneaa</t>
  </si>
  <si>
    <t>Cheikhlar</t>
  </si>
  <si>
    <t>Rmah</t>
  </si>
  <si>
    <t>Kfar Noun</t>
  </si>
  <si>
    <t>Bardé</t>
  </si>
  <si>
    <t>Khirbet Er Remmane</t>
  </si>
  <si>
    <t>Sindianet Zeidane</t>
  </si>
  <si>
    <t>Fraydes Aakkar</t>
  </si>
  <si>
    <t>Mounjez</t>
  </si>
  <si>
    <t>Qsair Aakkar</t>
  </si>
  <si>
    <t>Biret Aakkar</t>
  </si>
  <si>
    <t>Khirbet Daoud Aakkar</t>
  </si>
  <si>
    <t>Daghlé</t>
  </si>
  <si>
    <t>Aaouaainat Aakkar</t>
  </si>
  <si>
    <t>Aamriyet Aakkar</t>
  </si>
  <si>
    <t>Kafr</t>
  </si>
  <si>
    <t>Bsatine Aakkar</t>
  </si>
  <si>
    <t>Aain Ez-Zeit</t>
  </si>
  <si>
    <t>Kouachra</t>
  </si>
  <si>
    <t>Khalsa</t>
  </si>
  <si>
    <t>Khirbet Char</t>
  </si>
  <si>
    <t>Dibbabiyé</t>
  </si>
  <si>
    <t>Berbara Aakkar</t>
  </si>
  <si>
    <t>Aain Tinta</t>
  </si>
  <si>
    <t>Machta Hammoud</t>
  </si>
  <si>
    <t>Baghdadi</t>
  </si>
  <si>
    <t>Deir Jannine</t>
  </si>
  <si>
    <t>Douair Aadouiyé</t>
  </si>
  <si>
    <t>Noura Et-Tahta</t>
  </si>
  <si>
    <t>Sfinet Ed-Draib</t>
  </si>
  <si>
    <t>Aamaret El-Baykat</t>
  </si>
  <si>
    <t>Msalla</t>
  </si>
  <si>
    <t>Qachlaq</t>
  </si>
  <si>
    <t>Ouadi El-Haour</t>
  </si>
  <si>
    <t>Charbila</t>
  </si>
  <si>
    <t>Tleil</t>
  </si>
  <si>
    <t>Mzeihmé</t>
  </si>
  <si>
    <t>Haytla</t>
  </si>
  <si>
    <t>Knissé</t>
  </si>
  <si>
    <t>Rihaniyet Aakkar</t>
  </si>
  <si>
    <t>Saidnaya</t>
  </si>
  <si>
    <t>Hmaiss Aakkar</t>
  </si>
  <si>
    <t>Srar</t>
  </si>
  <si>
    <t>Ghazaylé</t>
  </si>
  <si>
    <t>Aarmé</t>
  </si>
  <si>
    <t>Mazraat En-Nahriyé</t>
  </si>
  <si>
    <t>Qbaiyat Aakkar</t>
  </si>
  <si>
    <t>Aandqet</t>
  </si>
  <si>
    <t>Dayret Nahr El-Kabir</t>
  </si>
  <si>
    <t>Aamayer</t>
  </si>
  <si>
    <t>Hnaider</t>
  </si>
  <si>
    <t>Kneisset Hnaider</t>
  </si>
  <si>
    <t>Mazareaa Jabal Akroum</t>
  </si>
  <si>
    <t>Qarha Aakkar</t>
  </si>
  <si>
    <t>Mchaa Ej-Jibbé</t>
  </si>
  <si>
    <t>Bcharré</t>
  </si>
  <si>
    <t>Qnayouer</t>
  </si>
  <si>
    <t>Billa</t>
  </si>
  <si>
    <t>Aabdine</t>
  </si>
  <si>
    <t>Tourza</t>
  </si>
  <si>
    <t>Qnat</t>
  </si>
  <si>
    <t>Haqath Ej-Jebbé</t>
  </si>
  <si>
    <t>Mazraat Bani Saab</t>
  </si>
  <si>
    <t>Berhalioun</t>
  </si>
  <si>
    <t>Ouadi Qannoubine</t>
  </si>
  <si>
    <t>Mazraat Aassaf</t>
  </si>
  <si>
    <t>Bane</t>
  </si>
  <si>
    <t>Blaouza</t>
  </si>
  <si>
    <t>Moghr El-Ahoual</t>
  </si>
  <si>
    <t>Breissat</t>
  </si>
  <si>
    <t>Dimane</t>
  </si>
  <si>
    <t>Metrit</t>
  </si>
  <si>
    <t>Hasroun</t>
  </si>
  <si>
    <t>Hadchit</t>
  </si>
  <si>
    <t>Bazaaoun</t>
  </si>
  <si>
    <t>Bqerqacha</t>
  </si>
  <si>
    <t>Beit Menzer</t>
  </si>
  <si>
    <t>Bqaa Kafra</t>
  </si>
  <si>
    <t>Beddaoui</t>
  </si>
  <si>
    <t>Deir Aammar</t>
  </si>
  <si>
    <t>Borj El-Yahoudiyé</t>
  </si>
  <si>
    <t>Nabi Youcheaa</t>
  </si>
  <si>
    <t>Minie</t>
  </si>
  <si>
    <t>Rihaniyet-Miniyé</t>
  </si>
  <si>
    <t>Zouq Bhannine</t>
  </si>
  <si>
    <t>Sir Ed-Danniyé</t>
  </si>
  <si>
    <t>Aassoun</t>
  </si>
  <si>
    <t>Mazraat Ketrane</t>
  </si>
  <si>
    <t>Qattiné-Miniyé</t>
  </si>
  <si>
    <t>Bqaa Sefrine</t>
  </si>
  <si>
    <t>Bqarsouna</t>
  </si>
  <si>
    <t>Hazmiyet-Miniyé</t>
  </si>
  <si>
    <t>tarane</t>
  </si>
  <si>
    <t>Mimrine</t>
  </si>
  <si>
    <t>Haql el Aazimé</t>
  </si>
  <si>
    <t>Beit El-Faqs</t>
  </si>
  <si>
    <t>Mrah Es-Sfire</t>
  </si>
  <si>
    <t>Aain Et-Tiné-Miniyé</t>
  </si>
  <si>
    <t>Kharroub-Miniyé</t>
  </si>
  <si>
    <t>Sfiré</t>
  </si>
  <si>
    <t>Qarsaita</t>
  </si>
  <si>
    <t>Izal</t>
  </si>
  <si>
    <t>Btermaz</t>
  </si>
  <si>
    <t>Qemmamine</t>
  </si>
  <si>
    <t>Harf Es-Sayad</t>
  </si>
  <si>
    <t>Karm El-Mohr</t>
  </si>
  <si>
    <t>Beit Zoud</t>
  </si>
  <si>
    <t>Mrah Es-Srayj</t>
  </si>
  <si>
    <t>Qraine</t>
  </si>
  <si>
    <t>Haouaret-Miniyé</t>
  </si>
  <si>
    <t>Debaael</t>
  </si>
  <si>
    <t>Beit Haouik</t>
  </si>
  <si>
    <t>Jayroun</t>
  </si>
  <si>
    <t>Bechnnata</t>
  </si>
  <si>
    <t>Qarhaiya</t>
  </si>
  <si>
    <t>Aazqai</t>
  </si>
  <si>
    <t>Aasaymout</t>
  </si>
  <si>
    <t>Kfar Chellane</t>
  </si>
  <si>
    <t>Kfar Habou</t>
  </si>
  <si>
    <t>Aaymar</t>
  </si>
  <si>
    <t>Zaghartaghrine</t>
  </si>
  <si>
    <t>Behouaita</t>
  </si>
  <si>
    <t>Kahf El-Malloul</t>
  </si>
  <si>
    <t>Jarjour</t>
  </si>
  <si>
    <t>Deir Nbouh</t>
  </si>
  <si>
    <t>Bechehhara</t>
  </si>
  <si>
    <t>Merkebta</t>
  </si>
  <si>
    <t>Raouda-Aadoua</t>
  </si>
  <si>
    <t>Qarne</t>
  </si>
  <si>
    <t>Mrebbine</t>
  </si>
  <si>
    <t>Terbol-Miniyé</t>
  </si>
  <si>
    <t>Mazraat El-Kreme</t>
  </si>
  <si>
    <t>Bakhaaoun</t>
  </si>
  <si>
    <t>Kfar Bibnine</t>
  </si>
  <si>
    <t>Zahlé El-Midane</t>
  </si>
  <si>
    <t>Zahlé Haouch Ez-Zaraane</t>
  </si>
  <si>
    <t>Zahlé Mar Gerges</t>
  </si>
  <si>
    <t>Zahlé Er-Rassiyé</t>
  </si>
  <si>
    <t>Zahlé El-Berbara</t>
  </si>
  <si>
    <t>Zahlé El-Maallaqa</t>
  </si>
  <si>
    <t>Zahlé Mar Antonios</t>
  </si>
  <si>
    <t>Zahlé Maallaqa Aradi</t>
  </si>
  <si>
    <t>Zahlé Haouch El-Oumara Aradi</t>
  </si>
  <si>
    <t>Zahlé Saydet En-Najat</t>
  </si>
  <si>
    <t>Zahlé Haouch El-Oumara</t>
  </si>
  <si>
    <t>Zahlé Aradi</t>
  </si>
  <si>
    <t>Zahlé Mar Elias</t>
  </si>
  <si>
    <t>Fourzol</t>
  </si>
  <si>
    <t>Touaite Zahlé</t>
  </si>
  <si>
    <t>Nabi Ayla</t>
  </si>
  <si>
    <t>Hazerta</t>
  </si>
  <si>
    <t>Ablah</t>
  </si>
  <si>
    <t>Qaa Er-Rim</t>
  </si>
  <si>
    <t>Niha Zahlé</t>
  </si>
  <si>
    <t>Ksara</t>
  </si>
  <si>
    <t>Mazraat Er-Remtaniyé</t>
  </si>
  <si>
    <t>Ouadi El-Aarayech</t>
  </si>
  <si>
    <t>Chtaura</t>
  </si>
  <si>
    <t>Zebdoul</t>
  </si>
  <si>
    <t>Maksé</t>
  </si>
  <si>
    <t>Taalbaya</t>
  </si>
  <si>
    <t>Jdita</t>
  </si>
  <si>
    <t>Taanayel</t>
  </si>
  <si>
    <t>Saadnayel</t>
  </si>
  <si>
    <t>Qabb Elias</t>
  </si>
  <si>
    <t>Haouch Mandara</t>
  </si>
  <si>
    <t>Mrayjat Zahlé</t>
  </si>
  <si>
    <t>Bouarej</t>
  </si>
  <si>
    <t>Chebrqiyet Tabet</t>
  </si>
  <si>
    <t>Haouch Es-Siyadé</t>
  </si>
  <si>
    <t>Ouadi Ed-Delm</t>
  </si>
  <si>
    <t>Tcheflik Qiqano</t>
  </si>
  <si>
    <t>Haouch Qayssar</t>
  </si>
  <si>
    <t>Barr Elias</t>
  </si>
  <si>
    <t>Mzaraat Zahlé</t>
  </si>
  <si>
    <t>Tcheflik Eddé Haouch</t>
  </si>
  <si>
    <t>Tell El-Akhdar</t>
  </si>
  <si>
    <t>Aanjar (Haouch Moussa)</t>
  </si>
  <si>
    <t>Majdel Aanjar</t>
  </si>
  <si>
    <t>Nasriyet Zahlé</t>
  </si>
  <si>
    <t>Riyaq</t>
  </si>
  <si>
    <t>Haouch Hala</t>
  </si>
  <si>
    <t>Aali En-Nahri</t>
  </si>
  <si>
    <t>Haouch El-Ghanam</t>
  </si>
  <si>
    <t>Haouch El-Aamara</t>
  </si>
  <si>
    <t>Hoshmosh</t>
  </si>
  <si>
    <t>Deir El-Ghazal</t>
  </si>
  <si>
    <t>Qoussaya</t>
  </si>
  <si>
    <t>Nasriyet Rizk</t>
  </si>
  <si>
    <t>Raait</t>
  </si>
  <si>
    <t>Terbol Zahlé</t>
  </si>
  <si>
    <t>Massa</t>
  </si>
  <si>
    <t>Aain Kfar Zabad</t>
  </si>
  <si>
    <t>Dalhamiyet Zahlé</t>
  </si>
  <si>
    <t>Kfarzabad</t>
  </si>
  <si>
    <t>Machghara</t>
  </si>
  <si>
    <t>Aain Et-Tiné BG</t>
  </si>
  <si>
    <t>Aaytanit</t>
  </si>
  <si>
    <t>Bab Mareaa</t>
  </si>
  <si>
    <t>Deir Aain Ej-Jaouzé</t>
  </si>
  <si>
    <t>Saghbine</t>
  </si>
  <si>
    <t>Loussa</t>
  </si>
  <si>
    <t>Aain Zebdé</t>
  </si>
  <si>
    <t>Khirbet Qanafar</t>
  </si>
  <si>
    <t>Kafraiya BG</t>
  </si>
  <si>
    <t>Aana</t>
  </si>
  <si>
    <t>Deir Tahniche</t>
  </si>
  <si>
    <t>Mansoura BG</t>
  </si>
  <si>
    <t>Aammiq BG</t>
  </si>
  <si>
    <t>Chebrqiyet Aammiq</t>
  </si>
  <si>
    <t>Joubb Jannine</t>
  </si>
  <si>
    <t>Lala</t>
  </si>
  <si>
    <t>Kamed El-Laouz</t>
  </si>
  <si>
    <t>Tall Znoub</t>
  </si>
  <si>
    <t>Baaloul BG</t>
  </si>
  <si>
    <t>Ghazzé</t>
  </si>
  <si>
    <t>Soultan Yaacoub Faouqa</t>
  </si>
  <si>
    <t>Khiara</t>
  </si>
  <si>
    <t>Qaraaoun</t>
  </si>
  <si>
    <t>Soltan Yacoub el Aradi</t>
  </si>
  <si>
    <t>Manara (Hammara) BG</t>
  </si>
  <si>
    <t>Khiara El-Aatiqa</t>
  </si>
  <si>
    <t>Dakoué</t>
  </si>
  <si>
    <t>Haouch El-Harime</t>
  </si>
  <si>
    <t>Jazira BG</t>
  </si>
  <si>
    <t>Ouaqf BG</t>
  </si>
  <si>
    <t>Souairi</t>
  </si>
  <si>
    <t>Sohmor</t>
  </si>
  <si>
    <t>Harimé Es-Soughra</t>
  </si>
  <si>
    <t>Libbaya BG</t>
  </si>
  <si>
    <t>Marj BG</t>
  </si>
  <si>
    <t>Yohmor BG</t>
  </si>
  <si>
    <t>Zilaya</t>
  </si>
  <si>
    <t>Maydoun</t>
  </si>
  <si>
    <t>Qelaya</t>
  </si>
  <si>
    <t>Raouda (Istabel)</t>
  </si>
  <si>
    <t>Baalbek</t>
  </si>
  <si>
    <t>Aain Bourday</t>
  </si>
  <si>
    <t>Douris</t>
  </si>
  <si>
    <t>Iaat</t>
  </si>
  <si>
    <t>Aadous</t>
  </si>
  <si>
    <t>Aamchki</t>
  </si>
  <si>
    <t>Haouch Tall Safiyé</t>
  </si>
  <si>
    <t>Taibet Baalbek</t>
  </si>
  <si>
    <t>Nahlé baalbek</t>
  </si>
  <si>
    <t>Majdaloun</t>
  </si>
  <si>
    <t>Haouche Barada</t>
  </si>
  <si>
    <t>Maqné</t>
  </si>
  <si>
    <t>haouch El-Dehab</t>
  </si>
  <si>
    <t>Aain Es-Siyaa Chadoura</t>
  </si>
  <si>
    <t>Saaidé</t>
  </si>
  <si>
    <t>Jebaa</t>
  </si>
  <si>
    <t>Kfar Dane</t>
  </si>
  <si>
    <t>Hadath Baalbek</t>
  </si>
  <si>
    <t>Ras Baalbek Es-Sahel</t>
  </si>
  <si>
    <t>Fekehe</t>
  </si>
  <si>
    <t>Aain Baalbek</t>
  </si>
  <si>
    <t>Bajjaje</t>
  </si>
  <si>
    <t>Nabi Osmane</t>
  </si>
  <si>
    <t>Ras Baalbek Ech-Charqi</t>
  </si>
  <si>
    <t>Aarsal</t>
  </si>
  <si>
    <t>Laboué</t>
  </si>
  <si>
    <t>Zabboud</t>
  </si>
  <si>
    <t>Qaa Baalbek</t>
  </si>
  <si>
    <t>Deir Mar Maroun Baalbek</t>
  </si>
  <si>
    <t>Halbata</t>
  </si>
  <si>
    <t>Moqraq</t>
  </si>
  <si>
    <t>Qaa Ouadi El-Khanzir</t>
  </si>
  <si>
    <t>Qaa Baayoun</t>
  </si>
  <si>
    <t>Sbouba</t>
  </si>
  <si>
    <t>Harabta</t>
  </si>
  <si>
    <t>Qaa Jouar Maqiyé</t>
  </si>
  <si>
    <t>Nabha Ed-Damdoum</t>
  </si>
  <si>
    <t>Chaat</t>
  </si>
  <si>
    <t>Qarha Baalbek</t>
  </si>
  <si>
    <t>Ram Baalbek</t>
  </si>
  <si>
    <t>Youmine</t>
  </si>
  <si>
    <t>Deir El-Ahmar</t>
  </si>
  <si>
    <t>Kneisset Baalbek</t>
  </si>
  <si>
    <t>Bechouat</t>
  </si>
  <si>
    <t>Barqa</t>
  </si>
  <si>
    <t>Riha</t>
  </si>
  <si>
    <t>Dar El-Ouassaa</t>
  </si>
  <si>
    <t>Btedaai</t>
  </si>
  <si>
    <t>Aaynata Baalbek</t>
  </si>
  <si>
    <t>Yammouné</t>
  </si>
  <si>
    <t>Bednayel Baalbak</t>
  </si>
  <si>
    <t>Qsarnaba</t>
  </si>
  <si>
    <t>Temnine El-Faouqa</t>
  </si>
  <si>
    <t>Beit Chama</t>
  </si>
  <si>
    <t>Haouch Er-Rafqa</t>
  </si>
  <si>
    <t>Mousrayé</t>
  </si>
  <si>
    <t>Slouqi</t>
  </si>
  <si>
    <t>Temnine Et-Tahta</t>
  </si>
  <si>
    <t>Kfar Dabach</t>
  </si>
  <si>
    <t>Chmistar</t>
  </si>
  <si>
    <t>Haouch En-Nabi</t>
  </si>
  <si>
    <t>Haouch Snaid</t>
  </si>
  <si>
    <t>Taraiya</t>
  </si>
  <si>
    <t>Serraaine Et-Tahta</t>
  </si>
  <si>
    <t>Talia</t>
  </si>
  <si>
    <t>Hizzine</t>
  </si>
  <si>
    <t>Khodr Baalbek</t>
  </si>
  <si>
    <t>Nabi Chit</t>
  </si>
  <si>
    <t>Jenta</t>
  </si>
  <si>
    <t>Yahfoufa</t>
  </si>
  <si>
    <t>Haour Taala</t>
  </si>
  <si>
    <t>Brital</t>
  </si>
  <si>
    <t>Khreibet Baalbek</t>
  </si>
  <si>
    <t>Mazraat beit Mchaik</t>
  </si>
  <si>
    <t>Bouday</t>
  </si>
  <si>
    <t>Maaraboun</t>
  </si>
  <si>
    <t>Ham</t>
  </si>
  <si>
    <t>Aain El-Barnaya</t>
  </si>
  <si>
    <t>Chlifa</t>
  </si>
  <si>
    <t>Chaaibé</t>
  </si>
  <si>
    <t>Nabi Chbay</t>
  </si>
  <si>
    <t>Aain Ej-Jaouz Baalbek</t>
  </si>
  <si>
    <t>Tfail</t>
  </si>
  <si>
    <t>Hermel</t>
  </si>
  <si>
    <t>Michaa Mrajhiné</t>
  </si>
  <si>
    <t>Zighrine</t>
  </si>
  <si>
    <t>Charbine El-Hermel</t>
  </si>
  <si>
    <t>Ras Baalbek El Gharbi</t>
  </si>
  <si>
    <t>Ras Baalbek Ouadi Faara</t>
  </si>
  <si>
    <t>Ouadi Faara</t>
  </si>
  <si>
    <t>Hermel Jbab</t>
  </si>
  <si>
    <t>Maaysra El-Hermel</t>
  </si>
  <si>
    <t>Kharayeb El-Hermel</t>
  </si>
  <si>
    <t>Ouadi El-Aaoss</t>
  </si>
  <si>
    <t>Rachaiya</t>
  </si>
  <si>
    <t>Aaqabet Rachaya</t>
  </si>
  <si>
    <t>Aayha</t>
  </si>
  <si>
    <t>Bakkifac Rachaya</t>
  </si>
  <si>
    <t>Dahr El-Ahmar</t>
  </si>
  <si>
    <t>Beit Lahia</t>
  </si>
  <si>
    <t>Tannoura</t>
  </si>
  <si>
    <t>Kfar Qouq</t>
  </si>
  <si>
    <t>Kfar Denis</t>
  </si>
  <si>
    <t>Mhaiydsé Rachaiya</t>
  </si>
  <si>
    <t>Kaoukaba Bou Arab</t>
  </si>
  <si>
    <t>Aain Rouha</t>
  </si>
  <si>
    <t>Khirbet Rouha</t>
  </si>
  <si>
    <t>Kfar Lichki</t>
  </si>
  <si>
    <t>Rafid Rachaiya</t>
  </si>
  <si>
    <t>Haouch El Qinnabé Rachaiya</t>
  </si>
  <si>
    <t>Biret Rachaiya</t>
  </si>
  <si>
    <t>Aain Aarab Rachaiya</t>
  </si>
  <si>
    <t>Aain Aata</t>
  </si>
  <si>
    <t>Majdel Balhis</t>
  </si>
  <si>
    <t>Bakka</t>
  </si>
  <si>
    <t>Mdoukha</t>
  </si>
  <si>
    <t>Yanta</t>
  </si>
  <si>
    <t>Deir El-Aachayer</t>
  </si>
  <si>
    <t>Selsata (Mazraat Deir El-Aachaiyer)</t>
  </si>
  <si>
    <t>Aayta El-Foukhar</t>
  </si>
  <si>
    <t>Helouet Rachaiya</t>
  </si>
  <si>
    <t>Nabi Safa</t>
  </si>
  <si>
    <t>Saida El-Oustani</t>
  </si>
  <si>
    <t>Saida El-Qadimeh</t>
  </si>
  <si>
    <t>Saida Ed-Dekermane</t>
  </si>
  <si>
    <t>Bramiyé</t>
  </si>
  <si>
    <t>Hlaliyé Saida</t>
  </si>
  <si>
    <t>Haret Saida</t>
  </si>
  <si>
    <t>Miyé ou Miyé</t>
  </si>
  <si>
    <t>Salhiyet Saida</t>
  </si>
  <si>
    <t>Saida Kefraya</t>
  </si>
  <si>
    <t>Majdelyoun</t>
  </si>
  <si>
    <t>AAbra Saida</t>
  </si>
  <si>
    <t>Qraiyet Saida</t>
  </si>
  <si>
    <t>Bqosta</t>
  </si>
  <si>
    <t>Aain Ed-Delb</t>
  </si>
  <si>
    <t>Ghaziyé</t>
  </si>
  <si>
    <t>Maghdouché</t>
  </si>
  <si>
    <t>Darb Es-Sim</t>
  </si>
  <si>
    <t>Qennarit</t>
  </si>
  <si>
    <t>Zeita</t>
  </si>
  <si>
    <t>Zaghdraiya</t>
  </si>
  <si>
    <t>Tanbourit</t>
  </si>
  <si>
    <t>Jazira Saida</t>
  </si>
  <si>
    <t>Mazraat El Yahoudiyé (Aaitaniyé)</t>
  </si>
  <si>
    <t>Mzaraat El-Ouasta</t>
  </si>
  <si>
    <t>Matariyet Ech-Choumar</t>
  </si>
  <si>
    <t>Arzai</t>
  </si>
  <si>
    <t>Mazraat Kfar Beda</t>
  </si>
  <si>
    <t>Khayayeb Saida</t>
  </si>
  <si>
    <t>Mazraat Jamjim</t>
  </si>
  <si>
    <t>Hartiyé</t>
  </si>
  <si>
    <t>Mazraat El-Mhaydalé</t>
  </si>
  <si>
    <t>Mazraat Kaoutariyet Er-Riz</t>
  </si>
  <si>
    <t>Zrariyé</t>
  </si>
  <si>
    <t>Mazraat Sari</t>
  </si>
  <si>
    <t>Mazraat Deir Taqla</t>
  </si>
  <si>
    <t>Mazraat Oussamiyat</t>
  </si>
  <si>
    <t>Aadloun</t>
  </si>
  <si>
    <t>Insariyé</t>
  </si>
  <si>
    <t>Mazraat Sinai</t>
  </si>
  <si>
    <t>Loubié</t>
  </si>
  <si>
    <t>Daoudiyé</t>
  </si>
  <si>
    <t>Khirbet Ed-Douair Saida</t>
  </si>
  <si>
    <t>Babliyé</t>
  </si>
  <si>
    <t>Khartoum</t>
  </si>
  <si>
    <t>Ghassaniyé</t>
  </si>
  <si>
    <t>Sarafand</t>
  </si>
  <si>
    <t>Qaaqaiyet Es-Snaoubar</t>
  </si>
  <si>
    <t>Bissariyé</t>
  </si>
  <si>
    <t>Kaoutariyet Es-Siyad</t>
  </si>
  <si>
    <t>Tebna</t>
  </si>
  <si>
    <t>Mazraat 'Snaiber</t>
  </si>
  <si>
    <t>Teffahta</t>
  </si>
  <si>
    <t>Saksakiyé</t>
  </si>
  <si>
    <t>Merouaniyé</t>
  </si>
  <si>
    <t>Najjariyé</t>
  </si>
  <si>
    <t>Aadoussiyé</t>
  </si>
  <si>
    <t>Khirbet El-Bassal</t>
  </si>
  <si>
    <t>Mazraat 'Mseileh</t>
  </si>
  <si>
    <t>Hajjé</t>
  </si>
  <si>
    <t>Mazraat El-Houssainiyé</t>
  </si>
  <si>
    <t>Khzaiz</t>
  </si>
  <si>
    <t>Maamriyé</t>
  </si>
  <si>
    <t>Aaqtanit</t>
  </si>
  <si>
    <t>Erkay</t>
  </si>
  <si>
    <t>Bnaafoul</t>
  </si>
  <si>
    <t>Aarab Tabbaya</t>
  </si>
  <si>
    <t>Mtayriyé</t>
  </si>
  <si>
    <t>Mazraat Aarab Soukkar</t>
  </si>
  <si>
    <t>Aarab Ej-Jall</t>
  </si>
  <si>
    <t>Berti</t>
  </si>
  <si>
    <t>Aanqoun</t>
  </si>
  <si>
    <t>Kfar Beit</t>
  </si>
  <si>
    <t>Kfar Hatta Saida</t>
  </si>
  <si>
    <t>Kfar Chellal</t>
  </si>
  <si>
    <t>Kfar Melki Saida</t>
  </si>
  <si>
    <t>Sfenta</t>
  </si>
  <si>
    <t>Sour</t>
  </si>
  <si>
    <t>Borj Ech-Chemali</t>
  </si>
  <si>
    <t>Batoulay</t>
  </si>
  <si>
    <t>Deir Qanoun El-Aain</t>
  </si>
  <si>
    <t>Jouaiya</t>
  </si>
  <si>
    <t>Debaal Sour</t>
  </si>
  <si>
    <t>Majdel</t>
  </si>
  <si>
    <t>Mazraat Mechref</t>
  </si>
  <si>
    <t>Aaytit</t>
  </si>
  <si>
    <t>Ouadi Jilo</t>
  </si>
  <si>
    <t>Yanouh Sour</t>
  </si>
  <si>
    <t>Bafliyé</t>
  </si>
  <si>
    <t>Deir Aames</t>
  </si>
  <si>
    <t>Barich</t>
  </si>
  <si>
    <t>Biyad</t>
  </si>
  <si>
    <t>Selaa Sour</t>
  </si>
  <si>
    <t>Qana</t>
  </si>
  <si>
    <t>Maaraké</t>
  </si>
  <si>
    <t>Neftakhiyé</t>
  </si>
  <si>
    <t>Maaroub</t>
  </si>
  <si>
    <t>Recheknanay</t>
  </si>
  <si>
    <t>Jennata</t>
  </si>
  <si>
    <t>Derdaghaiya</t>
  </si>
  <si>
    <t>Sadiqine</t>
  </si>
  <si>
    <t>Aaiyé</t>
  </si>
  <si>
    <t>Aain Baal</t>
  </si>
  <si>
    <t>Hmairi Sour</t>
  </si>
  <si>
    <t>Mheilib</t>
  </si>
  <si>
    <t>Bazouriyé</t>
  </si>
  <si>
    <t>Hanaouay</t>
  </si>
  <si>
    <t>Bestiyat</t>
  </si>
  <si>
    <t>Deir Kifa</t>
  </si>
  <si>
    <t>Tayr Debbé</t>
  </si>
  <si>
    <t>Chehabiyé</t>
  </si>
  <si>
    <t>Arzoun</t>
  </si>
  <si>
    <t>Niha Sour</t>
  </si>
  <si>
    <t>Rmadiyé</t>
  </si>
  <si>
    <t>Toura</t>
  </si>
  <si>
    <t>Deir Qanoun En-Nahr</t>
  </si>
  <si>
    <t>Chehour</t>
  </si>
  <si>
    <t>Srifa</t>
  </si>
  <si>
    <t>Kneisset Sour</t>
  </si>
  <si>
    <t>Halloussiyé</t>
  </si>
  <si>
    <t>Tayr Falsay</t>
  </si>
  <si>
    <t>Touayri</t>
  </si>
  <si>
    <t>Bedias</t>
  </si>
  <si>
    <t>Aabbassiyet Sour</t>
  </si>
  <si>
    <t>Chaaitiyé</t>
  </si>
  <si>
    <t>Jbal El-Botm</t>
  </si>
  <si>
    <t>Mazraat Tayr Semhat</t>
  </si>
  <si>
    <t>Borj Rahhal</t>
  </si>
  <si>
    <t>Marnba</t>
  </si>
  <si>
    <t>Chihine</t>
  </si>
  <si>
    <t>Zebqine</t>
  </si>
  <si>
    <t>Qlailé Sour</t>
  </si>
  <si>
    <t>Aain Abou Abdallah</t>
  </si>
  <si>
    <t>Jibbayn</t>
  </si>
  <si>
    <t>Henniyé</t>
  </si>
  <si>
    <t>Aaziyé</t>
  </si>
  <si>
    <t>Tayr Harfa</t>
  </si>
  <si>
    <t>Mansouri Sour</t>
  </si>
  <si>
    <t>Majdelzoun</t>
  </si>
  <si>
    <t>Chamaa</t>
  </si>
  <si>
    <t>Iskandarouna Sour</t>
  </si>
  <si>
    <t>Yarine</t>
  </si>
  <si>
    <t>Merouahine</t>
  </si>
  <si>
    <t>Borj En-Naqoura</t>
  </si>
  <si>
    <t>Hamoul</t>
  </si>
  <si>
    <t>Aalma Ech-Chaab</t>
  </si>
  <si>
    <t>Jijim</t>
  </si>
  <si>
    <t>Abou Chech</t>
  </si>
  <si>
    <t>Boustane</t>
  </si>
  <si>
    <t>Btaychiyé</t>
  </si>
  <si>
    <t>Dhayra</t>
  </si>
  <si>
    <t>Mazraat Ez-Zalloutiyeh</t>
  </si>
  <si>
    <t>Jezzine</t>
  </si>
  <si>
    <t>Wadi Jezzine</t>
  </si>
  <si>
    <t>Qabaa Jezzine</t>
  </si>
  <si>
    <t>Qaytoulé</t>
  </si>
  <si>
    <t>Bkassine</t>
  </si>
  <si>
    <t>Homsiyé</t>
  </si>
  <si>
    <t>Aaray</t>
  </si>
  <si>
    <t>Sabbah</t>
  </si>
  <si>
    <t>Haytoura</t>
  </si>
  <si>
    <t>Ghabbatiyé</t>
  </si>
  <si>
    <t>Benouati Jezzine</t>
  </si>
  <si>
    <t>Maknounet Jezzine</t>
  </si>
  <si>
    <t>Btedine El-Leqch</t>
  </si>
  <si>
    <t>Roummanet</t>
  </si>
  <si>
    <t>Machmouché</t>
  </si>
  <si>
    <t>Midane Jezzine</t>
  </si>
  <si>
    <t>Jabal Toura</t>
  </si>
  <si>
    <t>Kfar Houné</t>
  </si>
  <si>
    <t>Harf Jezzine</t>
  </si>
  <si>
    <t>Bébé</t>
  </si>
  <si>
    <t>Zhilta</t>
  </si>
  <si>
    <t>Bhannine</t>
  </si>
  <si>
    <t>Aazour</t>
  </si>
  <si>
    <t>Taaid</t>
  </si>
  <si>
    <t>Bisri</t>
  </si>
  <si>
    <t>Mazraat Er-Rouhbane</t>
  </si>
  <si>
    <t>Kfar Falous</t>
  </si>
  <si>
    <t>A'ain El-Mir (El Establ)</t>
  </si>
  <si>
    <t>Mrah El-Hbasse</t>
  </si>
  <si>
    <t>Bayssour Jezzine</t>
  </si>
  <si>
    <t>Haytoulé</t>
  </si>
  <si>
    <t>Lebaa</t>
  </si>
  <si>
    <t>Mharbiyé</t>
  </si>
  <si>
    <t>Ouadi El-Laymoun</t>
  </si>
  <si>
    <t>Sfaray</t>
  </si>
  <si>
    <t>Hassaniyé</t>
  </si>
  <si>
    <t>Karkha</t>
  </si>
  <si>
    <t>Choualiq Jezzine</t>
  </si>
  <si>
    <t>Ouadi Baanqoudaine</t>
  </si>
  <si>
    <t>Mjaydel Jezzine</t>
  </si>
  <si>
    <t>Dahr Ed-Deir</t>
  </si>
  <si>
    <t>Jensnaya</t>
  </si>
  <si>
    <t>Rimat</t>
  </si>
  <si>
    <t>Kfar Jarra</t>
  </si>
  <si>
    <t>Saydoun</t>
  </si>
  <si>
    <t>Anane</t>
  </si>
  <si>
    <t>Roum</t>
  </si>
  <si>
    <t>Hidab</t>
  </si>
  <si>
    <t>Deir El Qattine</t>
  </si>
  <si>
    <t>Sanaya</t>
  </si>
  <si>
    <t>Qtalé Jezzine</t>
  </si>
  <si>
    <t>Jernaya</t>
  </si>
  <si>
    <t>Mazraat El-Mathane</t>
  </si>
  <si>
    <t>Srayri</t>
  </si>
  <si>
    <t>Aaramta</t>
  </si>
  <si>
    <t>Mlikh</t>
  </si>
  <si>
    <t>Rihane Jezzine</t>
  </si>
  <si>
    <t>Mazraat</t>
  </si>
  <si>
    <t>Qatrani</t>
  </si>
  <si>
    <t>Louayzet Jezzine</t>
  </si>
  <si>
    <t>Mazraat Khallet Khazen</t>
  </si>
  <si>
    <t>Mazraat Qrouh</t>
  </si>
  <si>
    <t>Mazraat Zighrine Jezzine</t>
  </si>
  <si>
    <t>Chbail</t>
  </si>
  <si>
    <t>Mazraat Louzid (Louayziyé)</t>
  </si>
  <si>
    <t>Séjoud</t>
  </si>
  <si>
    <t>Aaychiyé</t>
  </si>
  <si>
    <t>Maraat Ouazaiyé</t>
  </si>
  <si>
    <t>Ouardiyé</t>
  </si>
  <si>
    <t>Mazraat El-Aarqoub</t>
  </si>
  <si>
    <t>Mahmoudiyé Jezzine</t>
  </si>
  <si>
    <t>Jarmaq</t>
  </si>
  <si>
    <t>Mazraat Daraya</t>
  </si>
  <si>
    <t>Demachqiyé</t>
  </si>
  <si>
    <t>Mazraat Tamra</t>
  </si>
  <si>
    <t>Bouslaya</t>
  </si>
  <si>
    <t>Nabatieh Et-Tahta</t>
  </si>
  <si>
    <t>Nabatiyeh El-Faouka</t>
  </si>
  <si>
    <t>Aali Et-Taher</t>
  </si>
  <si>
    <t>Mazraat Kfarjaouz</t>
  </si>
  <si>
    <t>Zibdine En-Nabatiyeh</t>
  </si>
  <si>
    <t>Kfar Roummane</t>
  </si>
  <si>
    <t>Choukine</t>
  </si>
  <si>
    <t>Habbouch En-Nabatiyeh</t>
  </si>
  <si>
    <t>Kfar Tibnit</t>
  </si>
  <si>
    <t>Kfour En-Nabatieh</t>
  </si>
  <si>
    <t>Jbaa En-Nabatiyeh</t>
  </si>
  <si>
    <t>Aain Bou Souar</t>
  </si>
  <si>
    <t>Kfarfila</t>
  </si>
  <si>
    <t>Aain Qana</t>
  </si>
  <si>
    <t>Jarjouaa</t>
  </si>
  <si>
    <t>Sarba En-Nabatieh</t>
  </si>
  <si>
    <t>Mzaraat El-Khreibé</t>
  </si>
  <si>
    <t>Houmine El-Faouqa</t>
  </si>
  <si>
    <t>Hmailé</t>
  </si>
  <si>
    <t>Aarab Salim</t>
  </si>
  <si>
    <t>Roumine</t>
  </si>
  <si>
    <t>Houmine Et-Tahta</t>
  </si>
  <si>
    <t>Aazzi</t>
  </si>
  <si>
    <t>Bfaroué</t>
  </si>
  <si>
    <t>Zefta</t>
  </si>
  <si>
    <t>Deir Ez-Zahrani</t>
  </si>
  <si>
    <t>Mazraat El-Bayad En-Nabatieh</t>
  </si>
  <si>
    <t>Charqiyé</t>
  </si>
  <si>
    <t>Toul</t>
  </si>
  <si>
    <t>Nmairiyé</t>
  </si>
  <si>
    <t>Harouf En-Nabatiyeh</t>
  </si>
  <si>
    <t>Douair En-Nabatiyeh</t>
  </si>
  <si>
    <t>Jibchit</t>
  </si>
  <si>
    <t>Mazraat Chalbaal</t>
  </si>
  <si>
    <t>Mayfadoun</t>
  </si>
  <si>
    <t>Aadchit Ech-Chqif</t>
  </si>
  <si>
    <t>Aabba</t>
  </si>
  <si>
    <t>Kfar Djal En-Nabatiyeh</t>
  </si>
  <si>
    <t>Mazraat Dmoul</t>
  </si>
  <si>
    <t>Ansar</t>
  </si>
  <si>
    <t>Zaoutar El-Gharbiyé</t>
  </si>
  <si>
    <t>Zaoutar Ech-Charqiyé</t>
  </si>
  <si>
    <t>Hamra En-Nabattiyeh</t>
  </si>
  <si>
    <t>Qsaibet En-Nabatiyeh</t>
  </si>
  <si>
    <t>Arnoun</t>
  </si>
  <si>
    <t>Qaaqaaiyet Ej-Jisr</t>
  </si>
  <si>
    <t>Mazraat Qalaat El-Meis</t>
  </si>
  <si>
    <t>Mazraat Bsaffour</t>
  </si>
  <si>
    <t>Braiqeaa</t>
  </si>
  <si>
    <t>Kfar Sir</t>
  </si>
  <si>
    <t>Yohmor En-Nabatiyeh</t>
  </si>
  <si>
    <t>Sir El-Gharbiyé</t>
  </si>
  <si>
    <t>Bent Jbayl</t>
  </si>
  <si>
    <t>Aaynata Bent Jbayl</t>
  </si>
  <si>
    <t>Maroun Er-Ras</t>
  </si>
  <si>
    <t>Salhani</t>
  </si>
  <si>
    <t>Aain Ibl</t>
  </si>
  <si>
    <t>Aaintaroun</t>
  </si>
  <si>
    <t>Yaroun</t>
  </si>
  <si>
    <t>Rmaich</t>
  </si>
  <si>
    <t>Qatmoun</t>
  </si>
  <si>
    <t>Aayta Ech-Chaab</t>
  </si>
  <si>
    <t>Ramyet Bent Jbayl</t>
  </si>
  <si>
    <t>Tibnine</t>
  </si>
  <si>
    <t>Soultaniyet Bent Jbayl</t>
  </si>
  <si>
    <t>Safad Al-Battikh</t>
  </si>
  <si>
    <t>Jmaijmé</t>
  </si>
  <si>
    <t>Aaita Ej-Jabal</t>
  </si>
  <si>
    <t>Baraachit</t>
  </si>
  <si>
    <t>Chaqra</t>
  </si>
  <si>
    <t>Haddatha</t>
  </si>
  <si>
    <t>Khirbet Selm</t>
  </si>
  <si>
    <t>Beit Yahoun</t>
  </si>
  <si>
    <t>Haris</t>
  </si>
  <si>
    <t>Deir Ntar</t>
  </si>
  <si>
    <t>Kfar Dounine</t>
  </si>
  <si>
    <t>Kounine</t>
  </si>
  <si>
    <t>Tiri</t>
  </si>
  <si>
    <t>Kafra Bant Jbayl</t>
  </si>
  <si>
    <t>Qalaouiyé</t>
  </si>
  <si>
    <t>Borj qalaouiyé</t>
  </si>
  <si>
    <t>Srobbine</t>
  </si>
  <si>
    <t>Rachaf</t>
  </si>
  <si>
    <t>Ghandouriyet Bent Jbayl</t>
  </si>
  <si>
    <t>Froun</t>
  </si>
  <si>
    <t>Yater</t>
  </si>
  <si>
    <t>Debl</t>
  </si>
  <si>
    <t>Hanine</t>
  </si>
  <si>
    <t>Beit Lif</t>
  </si>
  <si>
    <t>Qaouzah</t>
  </si>
  <si>
    <t>Marjaayoun</t>
  </si>
  <si>
    <t>Boueyda Marjaayoun</t>
  </si>
  <si>
    <t>Dibbine</t>
  </si>
  <si>
    <t>Ibl Es-Saqi</t>
  </si>
  <si>
    <t>Blat Marjaayoun</t>
  </si>
  <si>
    <t>Mazraat Doumiat</t>
  </si>
  <si>
    <t>Borj El-Moulouk</t>
  </si>
  <si>
    <t>Qlaiaa</t>
  </si>
  <si>
    <t>Khiyam Marjaayoun</t>
  </si>
  <si>
    <t>Aain Aarab Marjaayoun</t>
  </si>
  <si>
    <t>Deir Mimas</t>
  </si>
  <si>
    <t>Mazraat Sarada</t>
  </si>
  <si>
    <t>Houra</t>
  </si>
  <si>
    <t>Aamra</t>
  </si>
  <si>
    <t>Aadayssé Marjaayoun</t>
  </si>
  <si>
    <t>Bany haiyane</t>
  </si>
  <si>
    <t>Kfar Kila</t>
  </si>
  <si>
    <t>Deir Siriane</t>
  </si>
  <si>
    <t>Taybet Matjaayoun</t>
  </si>
  <si>
    <t>Houla</t>
  </si>
  <si>
    <t>Talloussa</t>
  </si>
  <si>
    <t>Markaba</t>
  </si>
  <si>
    <t>Mhaibib</t>
  </si>
  <si>
    <t>Meiss Ej-Jabal</t>
  </si>
  <si>
    <t>Aadchit El-Qoussair</t>
  </si>
  <si>
    <t>Rabb Et-Tlatine</t>
  </si>
  <si>
    <t>Qabrikha</t>
  </si>
  <si>
    <t>Qantara</t>
  </si>
  <si>
    <t>Majdel Selm</t>
  </si>
  <si>
    <t>Saouanet Marjayoun</t>
  </si>
  <si>
    <t>Touline</t>
  </si>
  <si>
    <t>Blida</t>
  </si>
  <si>
    <t>Aalmane Marjaayoun</t>
  </si>
  <si>
    <t>Hasbaiya</t>
  </si>
  <si>
    <t>Abou Qamha</t>
  </si>
  <si>
    <t>Aain Jarfa</t>
  </si>
  <si>
    <t>Fardis Hasbaiya</t>
  </si>
  <si>
    <t>Rachaiya El-Foukhar</t>
  </si>
  <si>
    <t>Kfar Hamam</t>
  </si>
  <si>
    <t>Hebbariyé</t>
  </si>
  <si>
    <t>Chouaya Hasbaiya</t>
  </si>
  <si>
    <t>Aain Qinia</t>
  </si>
  <si>
    <t>Meimes</t>
  </si>
  <si>
    <t>Chebaa</t>
  </si>
  <si>
    <t>Marj Ez-Zouhour (Haouch El-Qinnaabé)</t>
  </si>
  <si>
    <t>Kaoukaba Hasbaiya</t>
  </si>
  <si>
    <t>Salaiyeb</t>
  </si>
  <si>
    <t>Bourghos</t>
  </si>
  <si>
    <t>Meri</t>
  </si>
  <si>
    <t>Kfar Chouba</t>
  </si>
  <si>
    <t>Khalouet Hasbaiya</t>
  </si>
  <si>
    <t>Kfayr Ez-Zait</t>
  </si>
  <si>
    <t>Majidiyé Hasbaiya</t>
  </si>
  <si>
    <t>Dellafé</t>
  </si>
  <si>
    <t>Khreibet Hasbaiya</t>
  </si>
  <si>
    <t>Conflict</t>
  </si>
  <si>
    <t>Chebaa Farms</t>
  </si>
  <si>
    <t>Ain el-Mreissé</t>
  </si>
  <si>
    <t>Ras Beyrouth</t>
  </si>
  <si>
    <t>Moussaytbeh</t>
  </si>
  <si>
    <t>Minet el-Hosn</t>
  </si>
  <si>
    <t>Mazraa</t>
  </si>
  <si>
    <t>Bachoura</t>
  </si>
  <si>
    <t>Zoukak el-Blatt</t>
  </si>
  <si>
    <t>Port</t>
  </si>
  <si>
    <t>Saifé</t>
  </si>
  <si>
    <t>Remeil</t>
  </si>
  <si>
    <t>Medawar</t>
  </si>
  <si>
    <t>Achrafieh</t>
  </si>
  <si>
    <t>Chiah</t>
  </si>
  <si>
    <t>Forn El-Chobbek</t>
  </si>
  <si>
    <t>Haret Horaïk</t>
  </si>
  <si>
    <t>Laylaki</t>
  </si>
  <si>
    <t>Borge el Baragenat</t>
  </si>
  <si>
    <t>Tahouitat-el-Ghadir</t>
  </si>
  <si>
    <t>Hadace</t>
  </si>
  <si>
    <t>Mardachat</t>
  </si>
  <si>
    <t>Louaizé</t>
  </si>
  <si>
    <t>Kfarchima</t>
  </si>
  <si>
    <t>Wadi Chahrour el Soufla</t>
  </si>
  <si>
    <t>Wadi Chahrour el Olia</t>
  </si>
  <si>
    <t>Haret -el-Sit</t>
  </si>
  <si>
    <t>Bsaba Wadi Dlab</t>
  </si>
  <si>
    <t>Baalchemay</t>
  </si>
  <si>
    <t>Aïn Mouaffak</t>
  </si>
  <si>
    <t>Roueissat-el-Ballout</t>
  </si>
  <si>
    <t>Mazraet-el-Mzeiraa</t>
  </si>
  <si>
    <t>El Halaliyeh</t>
  </si>
  <si>
    <t>Ktalé</t>
  </si>
  <si>
    <t>Ras-el-Harf</t>
  </si>
  <si>
    <t>El-Abadiyeh</t>
  </si>
  <si>
    <t>El-Krayé</t>
  </si>
  <si>
    <t>El-Chmeice</t>
  </si>
  <si>
    <t>Ras el Meten</t>
  </si>
  <si>
    <t>Kobbaï</t>
  </si>
  <si>
    <t>Kartada</t>
  </si>
  <si>
    <t>El-Ksaibeh</t>
  </si>
  <si>
    <t>Deir El-Harf</t>
  </si>
  <si>
    <t>Araya</t>
  </si>
  <si>
    <t>Zandouka</t>
  </si>
  <si>
    <t>El-Kneissé</t>
  </si>
  <si>
    <t>El-Erbaniyeh</t>
  </si>
  <si>
    <t>El-Dleibé</t>
  </si>
  <si>
    <t>Salima</t>
  </si>
  <si>
    <t>Hasbaya-el Meten</t>
  </si>
  <si>
    <t>El-Kalaa</t>
  </si>
  <si>
    <t>El-Khalouat</t>
  </si>
  <si>
    <t>Chbaniyeh</t>
  </si>
  <si>
    <t>El-Khreibé</t>
  </si>
  <si>
    <t>Bmariam</t>
  </si>
  <si>
    <t>Btebiat</t>
  </si>
  <si>
    <t>Kernayel</t>
  </si>
  <si>
    <t>Jouar el Haouz</t>
  </si>
  <si>
    <t>Arsoune</t>
  </si>
  <si>
    <t>Tarchiche</t>
  </si>
  <si>
    <t>Jouret Arsoune</t>
  </si>
  <si>
    <t>Borge Hammoud</t>
  </si>
  <si>
    <t>Senn el Fil</t>
  </si>
  <si>
    <t>Jodaidat</t>
  </si>
  <si>
    <t>Baouchariat</t>
  </si>
  <si>
    <t>Mar Roukose et Dahr El-Hossain</t>
  </si>
  <si>
    <t>Dekouanet</t>
  </si>
  <si>
    <t>Mkallesse</t>
  </si>
  <si>
    <t>Antélias</t>
  </si>
  <si>
    <t>Mezher</t>
  </si>
  <si>
    <t>Jal-el-Dib</t>
  </si>
  <si>
    <t>Naccache</t>
  </si>
  <si>
    <t>Wata Amaret Chalhoub</t>
  </si>
  <si>
    <t>El-Zalka</t>
  </si>
  <si>
    <t>Biakoute</t>
  </si>
  <si>
    <t>Mazraet El-Hadira</t>
  </si>
  <si>
    <t>Haret El-Belleni</t>
  </si>
  <si>
    <t>Mazraet Deir Aoukar</t>
  </si>
  <si>
    <t>El-Mansouriyeh</t>
  </si>
  <si>
    <t>El-Dechouniyeh</t>
  </si>
  <si>
    <t>Aïn-Saâdé</t>
  </si>
  <si>
    <t>Roumieh</t>
  </si>
  <si>
    <t>Bkennaya</t>
  </si>
  <si>
    <t>Majdoub</t>
  </si>
  <si>
    <t>Bsalime</t>
  </si>
  <si>
    <t>Nabiyeh</t>
  </si>
  <si>
    <t>El-Mtaileb</t>
  </si>
  <si>
    <t>Beit El Koukou</t>
  </si>
  <si>
    <t>Kornet Chahouane</t>
  </si>
  <si>
    <t>Mazraet Beit Chaar</t>
  </si>
  <si>
    <t>Zouk-Khrab</t>
  </si>
  <si>
    <t>Aïn Aar</t>
  </si>
  <si>
    <t>Mazraet Yachou</t>
  </si>
  <si>
    <t>Deir Tamiche</t>
  </si>
  <si>
    <t>Zacrite</t>
  </si>
  <si>
    <t>Mar Abda El-Mchammar</t>
  </si>
  <si>
    <t>El-Mhaidcé</t>
  </si>
  <si>
    <t>Wadi Chahine</t>
  </si>
  <si>
    <t>Aïn-El-Kach</t>
  </si>
  <si>
    <t>Mar Boutros Karm El-Tine</t>
  </si>
  <si>
    <t>Beit Chebab</t>
  </si>
  <si>
    <t>Sakiet-El-Misk et Bhorsaf</t>
  </si>
  <si>
    <t>El-Mayassé</t>
  </si>
  <si>
    <t>Aïn-El-Kharroubé</t>
  </si>
  <si>
    <t>Hemlaya</t>
  </si>
  <si>
    <t>Aïn-Alak</t>
  </si>
  <si>
    <t>El-Atchané</t>
  </si>
  <si>
    <t>Chaouié, Knaitré et Mar gergesse Bhurdok</t>
  </si>
  <si>
    <t>Aïn-el-Teffaha</t>
  </si>
  <si>
    <t>El-Sfailé</t>
  </si>
  <si>
    <t>El Freiké</t>
  </si>
  <si>
    <t>Abou-Mizane</t>
  </si>
  <si>
    <t>Hebouss</t>
  </si>
  <si>
    <t>El-Jouar</t>
  </si>
  <si>
    <t>Kornet-El-Hamra</t>
  </si>
  <si>
    <t>Broummana</t>
  </si>
  <si>
    <t>Jouret-El-Ballout</t>
  </si>
  <si>
    <t>Maska et El-Ghabeh</t>
  </si>
  <si>
    <t>El-Ouyoun</t>
  </si>
  <si>
    <t>Kanabet Broummana</t>
  </si>
  <si>
    <t>Mar Chaya et Mzakki</t>
  </si>
  <si>
    <t>Baabdat et Sfaïlé</t>
  </si>
  <si>
    <t>Beit Mery</t>
  </si>
  <si>
    <t>Dahr El Souwan</t>
  </si>
  <si>
    <t>Kannabet Salima</t>
  </si>
  <si>
    <t>Bsifrine et El-Zahriyé</t>
  </si>
  <si>
    <t>El Mtein</t>
  </si>
  <si>
    <t>Aïn -El-Zeitouné</t>
  </si>
  <si>
    <t>El-Khellé</t>
  </si>
  <si>
    <t>Mar Mikhael Bnabil</t>
  </si>
  <si>
    <t>Aïn-El-Safsaf</t>
  </si>
  <si>
    <t>Wata El-Mrouge</t>
  </si>
  <si>
    <t>El-Mrouge</t>
  </si>
  <si>
    <t>Aïn-El-Sindiané</t>
  </si>
  <si>
    <t>Zaraoune</t>
  </si>
  <si>
    <t>Kaakour</t>
  </si>
  <si>
    <t>El-Khounchara</t>
  </si>
  <si>
    <t>Antoura</t>
  </si>
  <si>
    <t>Douar</t>
  </si>
  <si>
    <t>Chouaya</t>
  </si>
  <si>
    <t>Aïroune</t>
  </si>
  <si>
    <t>Zeghrine</t>
  </si>
  <si>
    <t>Majdel Tarchiche</t>
  </si>
  <si>
    <t>Aïn El-Kabou</t>
  </si>
  <si>
    <t>Kfar Akab</t>
  </si>
  <si>
    <t>Mar Mousa-El-Douar</t>
  </si>
  <si>
    <t>El-Machera</t>
  </si>
  <si>
    <t>Wadi El-Karm</t>
  </si>
  <si>
    <t>Kfartaï</t>
  </si>
  <si>
    <t>Naamat</t>
  </si>
  <si>
    <t>El-Mouchref</t>
  </si>
  <si>
    <t>Chehime</t>
  </si>
  <si>
    <t>Mazboud</t>
  </si>
  <si>
    <t>Dalhoune</t>
  </si>
  <si>
    <t>Aïn-el-Assad et Chmeicé</t>
  </si>
  <si>
    <t>Daraya</t>
  </si>
  <si>
    <t>Katermaya</t>
  </si>
  <si>
    <t>El-Maaniyeh</t>
  </si>
  <si>
    <t>Wadi Abou Youssef</t>
  </si>
  <si>
    <t>Anoute</t>
  </si>
  <si>
    <t>Sebline</t>
  </si>
  <si>
    <t>El-Berjaine</t>
  </si>
  <si>
    <t>Bkhchtaine</t>
  </si>
  <si>
    <t>Debbiyeh</t>
  </si>
  <si>
    <t>Benouaïti</t>
  </si>
  <si>
    <t>El Jiyeh</t>
  </si>
  <si>
    <t>Chemaarine</t>
  </si>
  <si>
    <t>Dahr El-Mghara</t>
  </si>
  <si>
    <t>Almane</t>
  </si>
  <si>
    <t>Jmeiliyeh</t>
  </si>
  <si>
    <t>Rmeileh</t>
  </si>
  <si>
    <t>El-Wardaniyeh</t>
  </si>
  <si>
    <t>El-Moghaïriyeh</t>
  </si>
  <si>
    <t>Deir Mkhallesse</t>
  </si>
  <si>
    <t>Kraya</t>
  </si>
  <si>
    <t>Bkifa</t>
  </si>
  <si>
    <t>Mtoullé Bzina</t>
  </si>
  <si>
    <t>Mazraet El-Dahr</t>
  </si>
  <si>
    <t>Kherbet Bisri</t>
  </si>
  <si>
    <t>El-Jleiliyeh</t>
  </si>
  <si>
    <t>Zaarouriyeh</t>
  </si>
  <si>
    <t>Bsaba</t>
  </si>
  <si>
    <t>Beit Eddine</t>
  </si>
  <si>
    <t>Deir El-Kamar</t>
  </si>
  <si>
    <t>Kfar Haml</t>
  </si>
  <si>
    <t>El-Samkanieh</t>
  </si>
  <si>
    <t>Kfar Katra</t>
  </si>
  <si>
    <t>Maasser Beit Eddine</t>
  </si>
  <si>
    <t>Bchatfine</t>
  </si>
  <si>
    <t>Ammik</t>
  </si>
  <si>
    <t>Deir Couché</t>
  </si>
  <si>
    <t>Douair Bsennaï</t>
  </si>
  <si>
    <t>Kfar Fakoud</t>
  </si>
  <si>
    <t>Ghabet Jaafar</t>
  </si>
  <si>
    <t>Kfarhime</t>
  </si>
  <si>
    <t>Wadi El-Deir</t>
  </si>
  <si>
    <t>Wadi El-Sit</t>
  </si>
  <si>
    <t>Majdel Meouche</t>
  </si>
  <si>
    <t>Dmite</t>
  </si>
  <si>
    <t>El-Fouara</t>
  </si>
  <si>
    <t>El-Biré</t>
  </si>
  <si>
    <t>Chourite</t>
  </si>
  <si>
    <t>Jdael et Kfarhi</t>
  </si>
  <si>
    <t>Kfarnice</t>
  </si>
  <si>
    <t>El-Bkaya</t>
  </si>
  <si>
    <t>Brih et Mteilé</t>
  </si>
  <si>
    <t>El-Moghaïré</t>
  </si>
  <si>
    <t>El-Werhaniyeh</t>
  </si>
  <si>
    <t>El-Freidice</t>
  </si>
  <si>
    <t>Aïn Zhalta</t>
  </si>
  <si>
    <t>Baakline</t>
  </si>
  <si>
    <t>Dardourite</t>
  </si>
  <si>
    <t>Anbal</t>
  </si>
  <si>
    <t>Atrine</t>
  </si>
  <si>
    <t>Wadi Bnahley</t>
  </si>
  <si>
    <t>El-Jahliyeh</t>
  </si>
  <si>
    <t>Hasroute</t>
  </si>
  <si>
    <t>El-Moukhtara</t>
  </si>
  <si>
    <t>Aïn Kéni</t>
  </si>
  <si>
    <t>El-Jdeidé</t>
  </si>
  <si>
    <t>Niha</t>
  </si>
  <si>
    <t>Aïn Ouzaï</t>
  </si>
  <si>
    <t>Ammatour</t>
  </si>
  <si>
    <t>El-Kahlouniyeh</t>
  </si>
  <si>
    <t>Mazraet El-Chouf</t>
  </si>
  <si>
    <t>Mristé</t>
  </si>
  <si>
    <t>Batloune</t>
  </si>
  <si>
    <t>Maasser el-Chouf</t>
  </si>
  <si>
    <t>Jebah</t>
  </si>
  <si>
    <t>El-Barouk</t>
  </si>
  <si>
    <t>Baïkoun</t>
  </si>
  <si>
    <t>Chouaifat Amroussyat</t>
  </si>
  <si>
    <t>Chouaifat Qobbat</t>
  </si>
  <si>
    <t>Chouaifat Oumara</t>
  </si>
  <si>
    <t>Deir-Koubel</t>
  </si>
  <si>
    <t>Aramoun</t>
  </si>
  <si>
    <t>Aïn Drafile</t>
  </si>
  <si>
    <t>Sarahmoul</t>
  </si>
  <si>
    <t>Baouarta</t>
  </si>
  <si>
    <t>Bchamoune</t>
  </si>
  <si>
    <t>Dakkoun</t>
  </si>
  <si>
    <t>Aïn-Enoub</t>
  </si>
  <si>
    <t>Bleibel</t>
  </si>
  <si>
    <t>Houmale</t>
  </si>
  <si>
    <t>Bdédoune</t>
  </si>
  <si>
    <t>Aley</t>
  </si>
  <si>
    <t>El-Kahalé</t>
  </si>
  <si>
    <t>El-Kamatiyeh</t>
  </si>
  <si>
    <t>Aïn-Rommané</t>
  </si>
  <si>
    <t>Bmakkine</t>
  </si>
  <si>
    <t>El-Ghaboun</t>
  </si>
  <si>
    <t>Aïn-El-Jdeidé</t>
  </si>
  <si>
    <t>Bhouara</t>
  </si>
  <si>
    <t>Aïtate</t>
  </si>
  <si>
    <t>Souk-El-Gharb</t>
  </si>
  <si>
    <t>Bteezanieh</t>
  </si>
  <si>
    <t>El-Rejmeh</t>
  </si>
  <si>
    <t>Kaïfoun</t>
  </si>
  <si>
    <t>Chamlane</t>
  </si>
  <si>
    <t>Kfar-Aammay</t>
  </si>
  <si>
    <t>Baïssour</t>
  </si>
  <si>
    <t>Douair El-Roummane</t>
  </si>
  <si>
    <t>Roueissat El-Naaman</t>
  </si>
  <si>
    <t>Mejdlaya</t>
  </si>
  <si>
    <t>Aïnab</t>
  </si>
  <si>
    <t>Bouzridé</t>
  </si>
  <si>
    <t>Rechmaya</t>
  </si>
  <si>
    <t>Aïn Traz</t>
  </si>
  <si>
    <t>El-Fsaïkine</t>
  </si>
  <si>
    <t>Remhala</t>
  </si>
  <si>
    <t>El-Bennayé</t>
  </si>
  <si>
    <t>Aïn Ksour</t>
  </si>
  <si>
    <t xml:space="preserve"> </t>
  </si>
  <si>
    <t>Abey</t>
  </si>
  <si>
    <t>Bhamdoun (Gare)</t>
  </si>
  <si>
    <t>Bhamdoun (Village)</t>
  </si>
  <si>
    <t>Btallaoun</t>
  </si>
  <si>
    <t>Aïn Sofar</t>
  </si>
  <si>
    <t>Aïn El-Halzoune</t>
  </si>
  <si>
    <t>Bedghane</t>
  </si>
  <si>
    <t>Homs et Hama</t>
  </si>
  <si>
    <t>El-Mansouriyeh et Aïn-El-Marge</t>
  </si>
  <si>
    <t>Mchakhté</t>
  </si>
  <si>
    <t>Aghmide</t>
  </si>
  <si>
    <t>EL-Azouniyeh</t>
  </si>
  <si>
    <t>El-Mechrefeh</t>
  </si>
  <si>
    <t>Bisrine</t>
  </si>
  <si>
    <t>El-Ramliyeh</t>
  </si>
  <si>
    <t>Maasraïti</t>
  </si>
  <si>
    <t>Mazraet El-Nahr</t>
  </si>
  <si>
    <t>Aïn-Dara</t>
  </si>
  <si>
    <t>El-Mreijate</t>
  </si>
  <si>
    <t>Bmehraï</t>
  </si>
  <si>
    <t>Djounié Sarba</t>
  </si>
  <si>
    <t>Zouk Mikaèl</t>
  </si>
  <si>
    <t>Djounié Ghadir</t>
  </si>
  <si>
    <t>Djounié Haret Sakhr</t>
  </si>
  <si>
    <t>Djounié Salel Alma</t>
  </si>
  <si>
    <t>Wata Salam</t>
  </si>
  <si>
    <t>Kferyacine</t>
  </si>
  <si>
    <t>Edma et Defné</t>
  </si>
  <si>
    <t>EL-Safra</t>
  </si>
  <si>
    <t>El-Bouar</t>
  </si>
  <si>
    <t>El-Ekaïbé</t>
  </si>
  <si>
    <t>Boukak El-Dine</t>
  </si>
  <si>
    <t>Ajeltoun</t>
  </si>
  <si>
    <t>Ballouné</t>
  </si>
  <si>
    <t>Souhailet El-Faouka</t>
  </si>
  <si>
    <t>Aïn El-Rihané</t>
  </si>
  <si>
    <t>Jeita</t>
  </si>
  <si>
    <t>Aïntoura</t>
  </si>
  <si>
    <t>Mazraet El-Ras</t>
  </si>
  <si>
    <t>Fatka</t>
  </si>
  <si>
    <t>Chenanhir</t>
  </si>
  <si>
    <t>Jdeidet Ghazir</t>
  </si>
  <si>
    <t>El-Kfour</t>
  </si>
  <si>
    <t>Ghodrace</t>
  </si>
  <si>
    <t>Herhraya et Kattine</t>
  </si>
  <si>
    <t>Deir Baklouche</t>
  </si>
  <si>
    <t>Bzoumar</t>
  </si>
  <si>
    <t>Harissa</t>
  </si>
  <si>
    <t>Nammoura et Kfar Jerif</t>
  </si>
  <si>
    <t>El-Ghuiné</t>
  </si>
  <si>
    <t>El-Hossein</t>
  </si>
  <si>
    <t>Daraoun</t>
  </si>
  <si>
    <t>Jouret Termos</t>
  </si>
  <si>
    <t>El-Mouaïsra</t>
  </si>
  <si>
    <t>El-Azra</t>
  </si>
  <si>
    <t>Ghbélé</t>
  </si>
  <si>
    <t>El-Mradiyeh</t>
  </si>
  <si>
    <t>Bezhel</t>
  </si>
  <si>
    <t>Nahr El-Dahab</t>
  </si>
  <si>
    <t>Yahchouche</t>
  </si>
  <si>
    <t>Zeitoune</t>
  </si>
  <si>
    <t>Eghbeh</t>
  </si>
  <si>
    <t>El-Kleiyate</t>
  </si>
  <si>
    <t>Mazraet Mrah el-Mir</t>
  </si>
  <si>
    <t>Achkoute</t>
  </si>
  <si>
    <t>Faïtroun</t>
  </si>
  <si>
    <t>Bekaatet-Achkoute</t>
  </si>
  <si>
    <t>Mazraet Kfardebiane</t>
  </si>
  <si>
    <t>Bekaatet Kénaan</t>
  </si>
  <si>
    <t>Kfertaï</t>
  </si>
  <si>
    <t>Bekaatouta</t>
  </si>
  <si>
    <t>Wata-El-Jaouz</t>
  </si>
  <si>
    <t>Aïn El-Delbé</t>
  </si>
  <si>
    <t>El-Mghaer</t>
  </si>
  <si>
    <t>El-Abri et Chouan</t>
  </si>
  <si>
    <t>Mouchaa Kesrouan (Kfardebian)</t>
  </si>
  <si>
    <t>Mouchaa Kesrouan (Faraya)</t>
  </si>
  <si>
    <t>Jbail</t>
  </si>
  <si>
    <t>Kartaboune</t>
  </si>
  <si>
    <t>Blat</t>
  </si>
  <si>
    <t>Eddé</t>
  </si>
  <si>
    <t>Amchite</t>
  </si>
  <si>
    <t>Hisraïl</t>
  </si>
  <si>
    <t>El-Rihané</t>
  </si>
  <si>
    <t>Jeddeyel</t>
  </si>
  <si>
    <t>Nahr-Ibrahim</t>
  </si>
  <si>
    <t>El-Mouncef</t>
  </si>
  <si>
    <t>El-Berbara</t>
  </si>
  <si>
    <t>Kfar-Keddé</t>
  </si>
  <si>
    <t>Ehmège</t>
  </si>
  <si>
    <t>Almate El-Chemaliat</t>
  </si>
  <si>
    <t>Almate El-Jenoubiat</t>
  </si>
  <si>
    <t>Torzaya</t>
  </si>
  <si>
    <t>Farhat</t>
  </si>
  <si>
    <t>Mechmech</t>
  </si>
  <si>
    <t>Alita</t>
  </si>
  <si>
    <t>El-Souané</t>
  </si>
  <si>
    <t>Aïn-el-Delbé</t>
  </si>
  <si>
    <t>Kfarbaal (Annaya)</t>
  </si>
  <si>
    <t>Hejoula</t>
  </si>
  <si>
    <t>Aïn-Jraïne</t>
  </si>
  <si>
    <t>El-Hsoune</t>
  </si>
  <si>
    <t>Mechane</t>
  </si>
  <si>
    <t>Jouret-el-Kattine</t>
  </si>
  <si>
    <t>Berket Hejoula</t>
  </si>
  <si>
    <t>Adonis et Sannour</t>
  </si>
  <si>
    <t>Ras-Osta</t>
  </si>
  <si>
    <t>Bachtlida</t>
  </si>
  <si>
    <t>Bchillé</t>
  </si>
  <si>
    <t>Zebdine</t>
  </si>
  <si>
    <t>Hakel</t>
  </si>
  <si>
    <t>El-Kharbé</t>
  </si>
  <si>
    <t>Al Kattara</t>
  </si>
  <si>
    <t>Breige</t>
  </si>
  <si>
    <t>Sirine</t>
  </si>
  <si>
    <t>Obeidate</t>
  </si>
  <si>
    <t>Maïfouk</t>
  </si>
  <si>
    <t>Behdaidate</t>
  </si>
  <si>
    <t>El-Ramout</t>
  </si>
  <si>
    <t>Sakiet-el-Kheite</t>
  </si>
  <si>
    <t>Kfar Kaouass</t>
  </si>
  <si>
    <t>Fatré et Bir-el-Haït</t>
  </si>
  <si>
    <t>El-Kfoune</t>
  </si>
  <si>
    <t>Bintaél (Fdar-El-Soufla)</t>
  </si>
  <si>
    <t>Beit Habbak</t>
  </si>
  <si>
    <t>El-Kafr et El-Harf</t>
  </si>
  <si>
    <t>El-Jlaicé</t>
  </si>
  <si>
    <t>Ghalboune</t>
  </si>
  <si>
    <t>Hbeline</t>
  </si>
  <si>
    <t>Mehrine</t>
  </si>
  <si>
    <t>Hsarate et Richkif</t>
  </si>
  <si>
    <t>Kfar-Mashoune et Dmalsa</t>
  </si>
  <si>
    <t>Aïn Kfah</t>
  </si>
  <si>
    <t>Ghorfine</t>
  </si>
  <si>
    <t>Gharzouze</t>
  </si>
  <si>
    <t>Bakhaase</t>
  </si>
  <si>
    <t>Bazyoune</t>
  </si>
  <si>
    <t>Kartaba</t>
  </si>
  <si>
    <t>Deir Mar Sarkis</t>
  </si>
  <si>
    <t>Aïn-El-Ghouaibé</t>
  </si>
  <si>
    <t>Mazraet-el-Siyad</t>
  </si>
  <si>
    <t>Hedayné</t>
  </si>
  <si>
    <t>Sarhita</t>
  </si>
  <si>
    <t>Ghabate</t>
  </si>
  <si>
    <t>El-Mghaïré</t>
  </si>
  <si>
    <t>Tedmor et Serghal</t>
  </si>
  <si>
    <t>Yanouh</t>
  </si>
  <si>
    <t>Korkraya</t>
  </si>
  <si>
    <t>Belhos</t>
  </si>
  <si>
    <t>El-Mejdel</t>
  </si>
  <si>
    <t>El-Laklouk</t>
  </si>
  <si>
    <t>Afka</t>
  </si>
  <si>
    <t>Kehmez</t>
  </si>
  <si>
    <t>Akoura</t>
  </si>
  <si>
    <t>Arab El-Haibe</t>
  </si>
  <si>
    <t>Saki-Rechmaya</t>
  </si>
  <si>
    <t>Jage</t>
  </si>
  <si>
    <t>Tartige</t>
  </si>
  <si>
    <t>Tripoli Zeitoun</t>
  </si>
  <si>
    <t>Tripoli Al Haddadin</t>
  </si>
  <si>
    <t>Tripoli Al-Tal</t>
  </si>
  <si>
    <t>Tripoli Al-Nouri</t>
  </si>
  <si>
    <t>Tripoli Al-Mouhaitra</t>
  </si>
  <si>
    <t>Tripoli Al-Rmmanieh</t>
  </si>
  <si>
    <t>Tripoli Al-Souéka</t>
  </si>
  <si>
    <t>Tripoli Al-Hadid</t>
  </si>
  <si>
    <t>Tripoli Al-Kobbé</t>
  </si>
  <si>
    <t>Tripoli Al-Zehrieh</t>
  </si>
  <si>
    <t>Tripoli Al-Tabbaneh</t>
  </si>
  <si>
    <t>Tripoli Jardins</t>
  </si>
  <si>
    <t>Al-Mina No1</t>
  </si>
  <si>
    <t>Al-Mina No2</t>
  </si>
  <si>
    <t>Al-Mina No3</t>
  </si>
  <si>
    <t>Al-Mina Jardins</t>
  </si>
  <si>
    <t>Al-Kalmoune</t>
  </si>
  <si>
    <t>Amioune</t>
  </si>
  <si>
    <t>Kfar Akka</t>
  </si>
  <si>
    <t>Kfar Saroun</t>
  </si>
  <si>
    <t>Bechmezzine</t>
  </si>
  <si>
    <t>Afsdik</t>
  </si>
  <si>
    <t>Dar Chmezzine</t>
  </si>
  <si>
    <t>Dar Bechtar</t>
  </si>
  <si>
    <t>Bhabbouche</t>
  </si>
  <si>
    <t>Aïn Akrine</t>
  </si>
  <si>
    <t>Rechdebbine</t>
  </si>
  <si>
    <t>Bnehrane</t>
  </si>
  <si>
    <t>Aba</t>
  </si>
  <si>
    <t>Fih</t>
  </si>
  <si>
    <t>Kaftoune</t>
  </si>
  <si>
    <t>Kfar Hatta</t>
  </si>
  <si>
    <t>Ejdabrine</t>
  </si>
  <si>
    <t>Beitroumine</t>
  </si>
  <si>
    <t>Bargoune</t>
  </si>
  <si>
    <t>Bednayel</t>
  </si>
  <si>
    <t>Btouratige</t>
  </si>
  <si>
    <t>Kelhate</t>
  </si>
  <si>
    <t>Belmand</t>
  </si>
  <si>
    <t>Zakroune</t>
  </si>
  <si>
    <t>Kefraya</t>
  </si>
  <si>
    <t>Déddé</t>
  </si>
  <si>
    <t>Enfeh</t>
  </si>
  <si>
    <t>Al-Hraïché</t>
  </si>
  <si>
    <t>Ras Maska</t>
  </si>
  <si>
    <t>En-Nakhlé</t>
  </si>
  <si>
    <t>Al-Boukaia</t>
  </si>
  <si>
    <t>Zghorta el-Métaoulé</t>
  </si>
  <si>
    <t>Zghorta</t>
  </si>
  <si>
    <t>Ardate</t>
  </si>
  <si>
    <t>Kfar Dalakoss</t>
  </si>
  <si>
    <t>Rachehine</t>
  </si>
  <si>
    <t>Karabeiche</t>
  </si>
  <si>
    <t>Kfar hata</t>
  </si>
  <si>
    <t>Ardé</t>
  </si>
  <si>
    <t>Asnoune</t>
  </si>
  <si>
    <t>Mazraat Ejbeh</t>
  </si>
  <si>
    <t>Al-Harik</t>
  </si>
  <si>
    <t>Alma</t>
  </si>
  <si>
    <t>Mazraat Jneide</t>
  </si>
  <si>
    <t>Al-Jdeidé</t>
  </si>
  <si>
    <t>Al-Khaldyé</t>
  </si>
  <si>
    <t>Iâl</t>
  </si>
  <si>
    <t>Kfar Haoura</t>
  </si>
  <si>
    <t>Kfar Zeina</t>
  </si>
  <si>
    <t>Kfar Chakna</t>
  </si>
  <si>
    <t>Bsebhil</t>
  </si>
  <si>
    <t>Kfar Yachite</t>
  </si>
  <si>
    <t>Merh Kfarsghabe</t>
  </si>
  <si>
    <t>Bchenine</t>
  </si>
  <si>
    <t>Benachée</t>
  </si>
  <si>
    <t>Argesse</t>
  </si>
  <si>
    <t>Raskifa</t>
  </si>
  <si>
    <t>El-Tellé</t>
  </si>
  <si>
    <t>Basloukite</t>
  </si>
  <si>
    <t>Aïntourine</t>
  </si>
  <si>
    <t>Arbet Koshaya</t>
  </si>
  <si>
    <t>Toula</t>
  </si>
  <si>
    <t>Mazraat el Teffah</t>
  </si>
  <si>
    <t>Bouhairet Toula</t>
  </si>
  <si>
    <t>Aïto</t>
  </si>
  <si>
    <t>Serhel</t>
  </si>
  <si>
    <t>Sebhel</t>
  </si>
  <si>
    <t>Danhi</t>
  </si>
  <si>
    <t>Acheiche</t>
  </si>
  <si>
    <t>Mériata</t>
  </si>
  <si>
    <t>Halane</t>
  </si>
  <si>
    <t>Boucite</t>
  </si>
  <si>
    <t>Mazraet Hreikess</t>
  </si>
  <si>
    <t>Ejbeh</t>
  </si>
  <si>
    <t>Batroune</t>
  </si>
  <si>
    <t>Tehoum</t>
  </si>
  <si>
    <t>Kfar Obeida</t>
  </si>
  <si>
    <t>Salaata</t>
  </si>
  <si>
    <t>Al-Hery</t>
  </si>
  <si>
    <t>Chekka</t>
  </si>
  <si>
    <t>Al-Boukaïa et Dahr Abi Yaghi</t>
  </si>
  <si>
    <t>Masreh</t>
  </si>
  <si>
    <t>Deria</t>
  </si>
  <si>
    <t>Abdilli</t>
  </si>
  <si>
    <t>Douk</t>
  </si>
  <si>
    <t>Jrabta</t>
  </si>
  <si>
    <t>Chabtine</t>
  </si>
  <si>
    <t>Sghar et Wata Sfarta</t>
  </si>
  <si>
    <t>Mrah-El-Ziet</t>
  </si>
  <si>
    <t>Chouma</t>
  </si>
  <si>
    <t>Jrane</t>
  </si>
  <si>
    <t>Mehemrech</t>
  </si>
  <si>
    <t>El-Alaly</t>
  </si>
  <si>
    <t>Smar Jbeil</t>
  </si>
  <si>
    <t>Zane</t>
  </si>
  <si>
    <t>El-Ftahat</t>
  </si>
  <si>
    <t>Artiz</t>
  </si>
  <si>
    <t>Mrah el Hage</t>
  </si>
  <si>
    <t>Kfar Chleïman</t>
  </si>
  <si>
    <t>Sourate</t>
  </si>
  <si>
    <t>Bejdarfel</t>
  </si>
  <si>
    <t>Ejdabra</t>
  </si>
  <si>
    <t>Abrine</t>
  </si>
  <si>
    <t>Nahla</t>
  </si>
  <si>
    <t>Boksmaya</t>
  </si>
  <si>
    <t>Dael</t>
  </si>
  <si>
    <t>Kfar Heloss</t>
  </si>
  <si>
    <t>Karnaoun</t>
  </si>
  <si>
    <t>Ras Nahache</t>
  </si>
  <si>
    <t>Wejh-el-Hajar</t>
  </si>
  <si>
    <t>Bchaalé</t>
  </si>
  <si>
    <t>Beit Chlale</t>
  </si>
  <si>
    <t>Deir Mar Youhanna Douma</t>
  </si>
  <si>
    <t>Bechtoudar-Aoura</t>
  </si>
  <si>
    <t>Kfar Halda</t>
  </si>
  <si>
    <t>Kfour El-Arabi</t>
  </si>
  <si>
    <t>Ram</t>
  </si>
  <si>
    <t>Hadtoune</t>
  </si>
  <si>
    <t>Tannourine el Tahta</t>
  </si>
  <si>
    <t>Beit Ksab</t>
  </si>
  <si>
    <t>Dar Bella</t>
  </si>
  <si>
    <t>Wata Houb</t>
  </si>
  <si>
    <t>Tannourine Foka</t>
  </si>
  <si>
    <t>Cheikh Mohamed</t>
  </si>
  <si>
    <t>El-Nfeicé</t>
  </si>
  <si>
    <t>Edbel</t>
  </si>
  <si>
    <t>Kroum Arabe</t>
  </si>
  <si>
    <t>Cheikh Taba Plaine</t>
  </si>
  <si>
    <t>Cheikh Taba Montagne</t>
  </si>
  <si>
    <t>Al-Jédidé</t>
  </si>
  <si>
    <t>Daoura</t>
  </si>
  <si>
    <t>Al-Zoureiribe</t>
  </si>
  <si>
    <t>Mechaïlha Hakour</t>
  </si>
  <si>
    <t>Karem-Asfour-El-Nahrieh</t>
  </si>
  <si>
    <t>Beit-Ghattas</t>
  </si>
  <si>
    <t>El-Kantara</t>
  </si>
  <si>
    <t>Hayzouk</t>
  </si>
  <si>
    <t>Arka</t>
  </si>
  <si>
    <t>Al-Souaissé</t>
  </si>
  <si>
    <t>Ilate</t>
  </si>
  <si>
    <t>Bkarzala</t>
  </si>
  <si>
    <t>Deir-Daloum</t>
  </si>
  <si>
    <t>Zouk-El-Hosmieh et Dahr Ayasse</t>
  </si>
  <si>
    <t>Zouk-El-Habalça</t>
  </si>
  <si>
    <t>Dahr-Leyciné</t>
  </si>
  <si>
    <t>Mazraat Baldé</t>
  </si>
  <si>
    <t>Dahr Haddara</t>
  </si>
  <si>
    <t>Zouk el Moukachérine</t>
  </si>
  <si>
    <t>Jebrâil</t>
  </si>
  <si>
    <t>El-Hed</t>
  </si>
  <si>
    <t>Tikrite</t>
  </si>
  <si>
    <t>Tellé et Chattaha</t>
  </si>
  <si>
    <t>Beit Mallat</t>
  </si>
  <si>
    <t>ElAyoune</t>
  </si>
  <si>
    <t>Kboula</t>
  </si>
  <si>
    <t>Chakdouf</t>
  </si>
  <si>
    <t>El-Borge</t>
  </si>
  <si>
    <t>Iate</t>
  </si>
  <si>
    <t>Aïn-Yacoub</t>
  </si>
  <si>
    <t>Bazbina</t>
  </si>
  <si>
    <t>Akkar El-Atika</t>
  </si>
  <si>
    <t>Tal Abbas El-gharbié</t>
  </si>
  <si>
    <t>Tal Abbas El-Charkié</t>
  </si>
  <si>
    <t>Al-Khraibé</t>
  </si>
  <si>
    <t>El-Haouchab</t>
  </si>
  <si>
    <t>Al-Hissa</t>
  </si>
  <si>
    <t>Katté</t>
  </si>
  <si>
    <t>Cheir Homeirine</t>
  </si>
  <si>
    <t>Deirine</t>
  </si>
  <si>
    <t>Al-Sammounié</t>
  </si>
  <si>
    <t>Al-Massoudié</t>
  </si>
  <si>
    <t>Tal Kerri</t>
  </si>
  <si>
    <t>Kaabarine</t>
  </si>
  <si>
    <t>Kafr Malka</t>
  </si>
  <si>
    <t>Tal Biré</t>
  </si>
  <si>
    <t>Tal Homeira</t>
  </si>
  <si>
    <t>Jouret Srar</t>
  </si>
  <si>
    <t>Al-Kleiat</t>
  </si>
  <si>
    <t>Al-Kneissé</t>
  </si>
  <si>
    <t>Tal Sibhel</t>
  </si>
  <si>
    <t>Al-Abboudié</t>
  </si>
  <si>
    <t>Al Moghrak</t>
  </si>
  <si>
    <t>Hekr el Dahiri</t>
  </si>
  <si>
    <t>Merlayet Melhem</t>
  </si>
  <si>
    <t>Al-Kharnoubé</t>
  </si>
  <si>
    <t>Al-Semmakli</t>
  </si>
  <si>
    <t>Al-Moukaiteh</t>
  </si>
  <si>
    <t>Al-Amara</t>
  </si>
  <si>
    <t>Cheikh Zennad Tal Bibé</t>
  </si>
  <si>
    <t>Kobbet Bchamra</t>
  </si>
  <si>
    <t>Al-Semmakié</t>
  </si>
  <si>
    <t>Arida</t>
  </si>
  <si>
    <t>Al-Mehamra</t>
  </si>
  <si>
    <t>Al-Roumoul</t>
  </si>
  <si>
    <t>Saïssouk</t>
  </si>
  <si>
    <t>Berkayel</t>
  </si>
  <si>
    <t>Kloud El-Bakia</t>
  </si>
  <si>
    <t>Danbou</t>
  </si>
  <si>
    <t>El-Houaïche</t>
  </si>
  <si>
    <t>Safiné-El-Kayteh</t>
  </si>
  <si>
    <t>Qabbait</t>
  </si>
  <si>
    <t>Habchite</t>
  </si>
  <si>
    <t>Sadaka</t>
  </si>
  <si>
    <t>Harare</t>
  </si>
  <si>
    <t>Homeira</t>
  </si>
  <si>
    <t>El-Krayat</t>
  </si>
  <si>
    <t>El-Karkaf</t>
  </si>
  <si>
    <t>Jedeidet-El-Kayteh</t>
  </si>
  <si>
    <t>Eyoune-El-Ghouzlane</t>
  </si>
  <si>
    <t>Michmiche</t>
  </si>
  <si>
    <t>El-Korné</t>
  </si>
  <si>
    <t>Fneidek</t>
  </si>
  <si>
    <t>Majdla</t>
  </si>
  <si>
    <t>Beit-El-Haouche</t>
  </si>
  <si>
    <t>Mimnih</t>
  </si>
  <si>
    <t>Chikhlar</t>
  </si>
  <si>
    <t>Kfarnoune</t>
  </si>
  <si>
    <t>El-Bardé</t>
  </si>
  <si>
    <t>Sindianet Zeidan</t>
  </si>
  <si>
    <t>Freidice</t>
  </si>
  <si>
    <t>El-Kousseir</t>
  </si>
  <si>
    <t>Kherbet Daoud</t>
  </si>
  <si>
    <t>El-Daghlé</t>
  </si>
  <si>
    <t>Aaouainat</t>
  </si>
  <si>
    <t>Denké et El-Amriyeh</t>
  </si>
  <si>
    <t>Kefr El-Ftouh</t>
  </si>
  <si>
    <t>Fseikine et Aïn Achma</t>
  </si>
  <si>
    <t>Aïn El-Zeit</t>
  </si>
  <si>
    <t>El-Kouachra</t>
  </si>
  <si>
    <t>Kherbet Char</t>
  </si>
  <si>
    <t>Dabbabiyé Charkié</t>
  </si>
  <si>
    <t>Barbara</t>
  </si>
  <si>
    <t>Aïn Tanta</t>
  </si>
  <si>
    <t>Daoucé et Baghdadi</t>
  </si>
  <si>
    <t>Deir-Janine</t>
  </si>
  <si>
    <t>Douair Adouiyé</t>
  </si>
  <si>
    <t>Noura El-Faouka et Tahta</t>
  </si>
  <si>
    <t>Sfeinite El-Dreibe</t>
  </si>
  <si>
    <t>Omar el-Beikate</t>
  </si>
  <si>
    <t>El-Msallé</t>
  </si>
  <si>
    <t>Kachlak</t>
  </si>
  <si>
    <t>Wadi el-Haour</t>
  </si>
  <si>
    <t>El-Tleil</t>
  </si>
  <si>
    <t>Al-Mouzeihmé</t>
  </si>
  <si>
    <t>Dahr el-Kneissé</t>
  </si>
  <si>
    <t>Al-Rihanié</t>
  </si>
  <si>
    <t>Saïdnaya</t>
  </si>
  <si>
    <t>Hmais</t>
  </si>
  <si>
    <t>El-Ghozaili</t>
  </si>
  <si>
    <t>El-Armeh</t>
  </si>
  <si>
    <t>Mazraet-El-Nahrieh</t>
  </si>
  <si>
    <t>El-Koubayet</t>
  </si>
  <si>
    <t>Andeket</t>
  </si>
  <si>
    <t>Dayret Nahr El-Kébir</t>
  </si>
  <si>
    <t>Ouadi Khaled</t>
  </si>
  <si>
    <t>Hnaïder</t>
  </si>
  <si>
    <t>Akroum</t>
  </si>
  <si>
    <t>Qarha</t>
  </si>
  <si>
    <t>Mchaa Ej Jobbé</t>
  </si>
  <si>
    <t>Knaiouer</t>
  </si>
  <si>
    <t>Abdine</t>
  </si>
  <si>
    <t>Knate</t>
  </si>
  <si>
    <t>Hadeth-el-Jebbé</t>
  </si>
  <si>
    <t>Mazraet-Beni-Saab</t>
  </si>
  <si>
    <t>Wadi-kannoubine</t>
  </si>
  <si>
    <t>Mazraet Assaf</t>
  </si>
  <si>
    <t>Mugher-el-Ahwel</t>
  </si>
  <si>
    <t>Brissat</t>
  </si>
  <si>
    <t>El-Dimane</t>
  </si>
  <si>
    <t>Metrite</t>
  </si>
  <si>
    <t>Hasroune</t>
  </si>
  <si>
    <t>Hadchite</t>
  </si>
  <si>
    <t>Bazoune</t>
  </si>
  <si>
    <t>Bkarkacha</t>
  </si>
  <si>
    <t>Bikaa kafra</t>
  </si>
  <si>
    <t>Al-Beddaoui</t>
  </si>
  <si>
    <t>Deir Omar</t>
  </si>
  <si>
    <t>Borge-El-Yahoudié</t>
  </si>
  <si>
    <t>Al-Minieh</t>
  </si>
  <si>
    <t>Zouk Bhanine</t>
  </si>
  <si>
    <t>Sir</t>
  </si>
  <si>
    <t>Assoun</t>
  </si>
  <si>
    <t>Kattiné</t>
  </si>
  <si>
    <t>Bkaa Safrine</t>
  </si>
  <si>
    <t>Bkarsouna</t>
  </si>
  <si>
    <t>El-Hazmieh</t>
  </si>
  <si>
    <t>Tarane</t>
  </si>
  <si>
    <t>Nemrine et Bakoura</t>
  </si>
  <si>
    <t>Beit-El-Faks</t>
  </si>
  <si>
    <t>Mrah-El-Sfiré</t>
  </si>
  <si>
    <t>Aïn-El-Tiné</t>
  </si>
  <si>
    <t>Kharnoub</t>
  </si>
  <si>
    <t>Al-Sfiré</t>
  </si>
  <si>
    <t>Karseita</t>
  </si>
  <si>
    <t>El-Watié et Harf Siad</t>
  </si>
  <si>
    <t>Btehline</t>
  </si>
  <si>
    <t>Beit Zaoud</t>
  </si>
  <si>
    <t>Mrah-el-Sreige</t>
  </si>
  <si>
    <t>Hawara</t>
  </si>
  <si>
    <t>Jaroun</t>
  </si>
  <si>
    <t>Bchnnata</t>
  </si>
  <si>
    <t>Azka</t>
  </si>
  <si>
    <t>Aassaymout</t>
  </si>
  <si>
    <t>Kfar Chlane</t>
  </si>
  <si>
    <t>Omar</t>
  </si>
  <si>
    <t>Zaghrteghrine</t>
  </si>
  <si>
    <t>Behweité</t>
  </si>
  <si>
    <t>Kahf-El-Malloul</t>
  </si>
  <si>
    <t>Jarjoura</t>
  </si>
  <si>
    <t>Deir Nebouh</t>
  </si>
  <si>
    <t>Bechhara</t>
  </si>
  <si>
    <t>Markabta</t>
  </si>
  <si>
    <t>Aadoua</t>
  </si>
  <si>
    <t>Mazraet-El-Kreine</t>
  </si>
  <si>
    <t>Mrabine</t>
  </si>
  <si>
    <t>Tourbol</t>
  </si>
  <si>
    <t>Mazraet El-Krême</t>
  </si>
  <si>
    <t>Bakhoune</t>
  </si>
  <si>
    <t>Zahlé Midan</t>
  </si>
  <si>
    <t>Zahlé Haouche Al-Zaraané</t>
  </si>
  <si>
    <t>Zahlé Mar Gérios</t>
  </si>
  <si>
    <t>Zahlé Al-Rassié</t>
  </si>
  <si>
    <t>Zahlé Barbara</t>
  </si>
  <si>
    <t>Zahlé Maallaka Kerek</t>
  </si>
  <si>
    <t>Maallaka (Terres)</t>
  </si>
  <si>
    <t>Haouche-al-Omara (Terres)</t>
  </si>
  <si>
    <t>Zahlé Saidet Al-Najda</t>
  </si>
  <si>
    <t>Zahlé Haouche Al-Oumara</t>
  </si>
  <si>
    <t>Zahlé (Terres)</t>
  </si>
  <si>
    <t>Touaité</t>
  </si>
  <si>
    <t>Al-Nabi Aïla</t>
  </si>
  <si>
    <t>Hizzerta</t>
  </si>
  <si>
    <t>Kaa-el-Rime</t>
  </si>
  <si>
    <t>Maazraat-el-Ramtanieh</t>
  </si>
  <si>
    <t>Wadi-el-Arayeche</t>
  </si>
  <si>
    <t>Zebdol</t>
  </si>
  <si>
    <t>Talabaya</t>
  </si>
  <si>
    <t>Jditah</t>
  </si>
  <si>
    <t>Tanaïl</t>
  </si>
  <si>
    <t>Saïd Neil</t>
  </si>
  <si>
    <t>Kab Elias</t>
  </si>
  <si>
    <t>Mandara</t>
  </si>
  <si>
    <t>Mreijat</t>
  </si>
  <si>
    <t>Bouerije</t>
  </si>
  <si>
    <t>Chouberkié  Tabet</t>
  </si>
  <si>
    <t>Haouche Sayadi</t>
  </si>
  <si>
    <t>Wadi-el-Dalam</t>
  </si>
  <si>
    <t>Tchiflik Kikano</t>
  </si>
  <si>
    <t>Haouche Kaissar</t>
  </si>
  <si>
    <t>Bar-Elias</t>
  </si>
  <si>
    <t>Al-Mazraa</t>
  </si>
  <si>
    <t>Tchiflik Eddé</t>
  </si>
  <si>
    <t>Tal-el-Akhdar</t>
  </si>
  <si>
    <t>Anjar</t>
  </si>
  <si>
    <t>Mejdel-Anjar</t>
  </si>
  <si>
    <t>Al-Nasriyé</t>
  </si>
  <si>
    <t>Rayak</t>
  </si>
  <si>
    <t>Haouche Hala</t>
  </si>
  <si>
    <t>Al-Ali-Nahri</t>
  </si>
  <si>
    <t>Haouche-el-Ghanam</t>
  </si>
  <si>
    <t>Tal-al-Amara</t>
  </si>
  <si>
    <t>Hochemoche</t>
  </si>
  <si>
    <t>Dair-el-Ghazel</t>
  </si>
  <si>
    <t>Koussaya</t>
  </si>
  <si>
    <t>Nasriyat Rizk</t>
  </si>
  <si>
    <t>Rait</t>
  </si>
  <si>
    <t>Terbol</t>
  </si>
  <si>
    <t>Aïn Kfar Zabed</t>
  </si>
  <si>
    <t>Delhamié</t>
  </si>
  <si>
    <t>Kfar Zabed</t>
  </si>
  <si>
    <t>Aïn-el-Tiné</t>
  </si>
  <si>
    <t>Aïtanit</t>
  </si>
  <si>
    <t>Bab Mareh</t>
  </si>
  <si>
    <t>Deir-Aïn-el-Jaouzé</t>
  </si>
  <si>
    <t>Loucia</t>
  </si>
  <si>
    <t>Aïn-Zebdé</t>
  </si>
  <si>
    <t>Kherbet Kanafar</t>
  </si>
  <si>
    <t>Ana</t>
  </si>
  <si>
    <t>Dair Tahmiche</t>
  </si>
  <si>
    <t>Mansoura</t>
  </si>
  <si>
    <t>Ammik et "Jouret Ammik"</t>
  </si>
  <si>
    <t>Chouberkié "Ammik"</t>
  </si>
  <si>
    <t>Jib Jénine</t>
  </si>
  <si>
    <t>Kamed-el-Lauze</t>
  </si>
  <si>
    <t>Tal Zenoub</t>
  </si>
  <si>
    <t>Baaloul</t>
  </si>
  <si>
    <t>Soltan-Yacoub</t>
  </si>
  <si>
    <t>Al-Khiara</t>
  </si>
  <si>
    <t>El-Karaoun</t>
  </si>
  <si>
    <t>Hamara</t>
  </si>
  <si>
    <t>Khiara-el-Atika</t>
  </si>
  <si>
    <t>Haouche-el-Harimé</t>
  </si>
  <si>
    <t>Al-Djeziré</t>
  </si>
  <si>
    <t>Al-Wakf</t>
  </si>
  <si>
    <t>Al-Sawiré</t>
  </si>
  <si>
    <t>Harime-el-Soughra</t>
  </si>
  <si>
    <t>Lebbaya</t>
  </si>
  <si>
    <t>Al-Marje</t>
  </si>
  <si>
    <t>Yohmor</t>
  </si>
  <si>
    <t>Zellaya</t>
  </si>
  <si>
    <t>Maïdoune</t>
  </si>
  <si>
    <t>Kélia</t>
  </si>
  <si>
    <t>Al-Istable</t>
  </si>
  <si>
    <t>Aïn Bourday</t>
  </si>
  <si>
    <t>Douress</t>
  </si>
  <si>
    <t>Yât</t>
  </si>
  <si>
    <t>Addous</t>
  </si>
  <si>
    <t>Oummouchki</t>
  </si>
  <si>
    <t>Haouche El-Tal Safyat</t>
  </si>
  <si>
    <t>Al-Taybat</t>
  </si>
  <si>
    <t>Nahlé</t>
  </si>
  <si>
    <t>Majdeloun</t>
  </si>
  <si>
    <t>Haouche El-Dahab</t>
  </si>
  <si>
    <t>Aïn Séa et Chadourah</t>
  </si>
  <si>
    <t>Al-Saïdat</t>
  </si>
  <si>
    <t>Jabba</t>
  </si>
  <si>
    <t>Kfardan</t>
  </si>
  <si>
    <t>Haddet</t>
  </si>
  <si>
    <t>Ras Baalbek El-Sahl</t>
  </si>
  <si>
    <t>Al-Fakiat</t>
  </si>
  <si>
    <t>Al-Aïne</t>
  </si>
  <si>
    <t>Jaboulé et Al-Bijage</t>
  </si>
  <si>
    <t>Al-Nabi Osman</t>
  </si>
  <si>
    <t>Ras Baalbek El-Charki</t>
  </si>
  <si>
    <t>Arsale</t>
  </si>
  <si>
    <t>Al-Labouat</t>
  </si>
  <si>
    <t>Zaboud</t>
  </si>
  <si>
    <t>Al-Qa El-Benjakie</t>
  </si>
  <si>
    <t>Couvent St Maron</t>
  </si>
  <si>
    <t>Mikrak</t>
  </si>
  <si>
    <t>Al-Qa Wadi El-Khanzir</t>
  </si>
  <si>
    <t>Al-Qa Bayoun</t>
  </si>
  <si>
    <t>Harbta</t>
  </si>
  <si>
    <t>Al-Qa Jouar Mekie</t>
  </si>
  <si>
    <t>Nabha</t>
  </si>
  <si>
    <t>Karha</t>
  </si>
  <si>
    <t>El-Ram</t>
  </si>
  <si>
    <t>Younine</t>
  </si>
  <si>
    <t>Dair El-Ahmar</t>
  </si>
  <si>
    <t>Knaissat</t>
  </si>
  <si>
    <t>Bachwat</t>
  </si>
  <si>
    <t>Barka</t>
  </si>
  <si>
    <t>Dar El-Ouassia</t>
  </si>
  <si>
    <t>Btédy</t>
  </si>
  <si>
    <t>Aïnata</t>
  </si>
  <si>
    <t>Yamouné</t>
  </si>
  <si>
    <t>Ksarnaba</t>
  </si>
  <si>
    <t>Tamnine-el-Fauqa</t>
  </si>
  <si>
    <t>Bait Chama</t>
  </si>
  <si>
    <t>Haouche el-Rafika</t>
  </si>
  <si>
    <t>Misraya</t>
  </si>
  <si>
    <t>Slouky</t>
  </si>
  <si>
    <t>Tamnine El-Tahta</t>
  </si>
  <si>
    <t>Kfar Dabache</t>
  </si>
  <si>
    <t>Chemistar</t>
  </si>
  <si>
    <t>Wakf al-Nabi Chite</t>
  </si>
  <si>
    <t>Haouche Al-Sonaid</t>
  </si>
  <si>
    <t>Taraya</t>
  </si>
  <si>
    <t>Saraïne</t>
  </si>
  <si>
    <t>Al-Khodré</t>
  </si>
  <si>
    <t>Al-Nabi Chite</t>
  </si>
  <si>
    <t>Hourtala</t>
  </si>
  <si>
    <t>Khreibé</t>
  </si>
  <si>
    <t>Mazraet Beit Mcheik</t>
  </si>
  <si>
    <t>Aïn El-Beniyé</t>
  </si>
  <si>
    <t>Chaïbé</t>
  </si>
  <si>
    <t>Nabi Sbate</t>
  </si>
  <si>
    <t>Aïn El-Jaouzé</t>
  </si>
  <si>
    <t>Tfeil</t>
  </si>
  <si>
    <t>Hermel Zighrine</t>
  </si>
  <si>
    <t>Hermel Charbine</t>
  </si>
  <si>
    <t>Ras Baalbek El-Gharbi</t>
  </si>
  <si>
    <t>Ras-Baalbek - Wadi Faara</t>
  </si>
  <si>
    <t>Hermel Djebab</t>
  </si>
  <si>
    <t>El-Méaisseri</t>
  </si>
  <si>
    <t>Al-Kharayeb</t>
  </si>
  <si>
    <t>Ouadi El-Osse</t>
  </si>
  <si>
    <t>Rachaya El-Wadi</t>
  </si>
  <si>
    <t>Akabé</t>
  </si>
  <si>
    <t>Aïha</t>
  </si>
  <si>
    <t>Bakkifa</t>
  </si>
  <si>
    <t>Kfar Kouk</t>
  </si>
  <si>
    <t>Kfar Dinès</t>
  </si>
  <si>
    <t>Mohaïdcé</t>
  </si>
  <si>
    <t>Kaoukaba</t>
  </si>
  <si>
    <t>Aïn Horché</t>
  </si>
  <si>
    <t>Kherbet Rouha</t>
  </si>
  <si>
    <t>Kfar Mechké</t>
  </si>
  <si>
    <t>El-RafidE</t>
  </si>
  <si>
    <t>Haouche El-Kannabé</t>
  </si>
  <si>
    <t>Aïn Arab</t>
  </si>
  <si>
    <t>Aïn Aata</t>
  </si>
  <si>
    <t>Majdel Balhice</t>
  </si>
  <si>
    <t>Deir El-Achayer</t>
  </si>
  <si>
    <t>Mazraet el-Selasata</t>
  </si>
  <si>
    <t>Aïta El-Fokhar</t>
  </si>
  <si>
    <t>Héloua</t>
  </si>
  <si>
    <t>Saïda Wastani</t>
  </si>
  <si>
    <t>Saïda Ville</t>
  </si>
  <si>
    <t>Saïda Dekerman</t>
  </si>
  <si>
    <t>Bramiat</t>
  </si>
  <si>
    <t>Helaliat</t>
  </si>
  <si>
    <t>Haret Saïda</t>
  </si>
  <si>
    <t>Miemié</t>
  </si>
  <si>
    <t>Salhiat</t>
  </si>
  <si>
    <t>Majdalioun</t>
  </si>
  <si>
    <t>Abra</t>
  </si>
  <si>
    <t>Krayé</t>
  </si>
  <si>
    <t>Aïn-el-Dib</t>
  </si>
  <si>
    <t>Ghazyat</t>
  </si>
  <si>
    <t>Darbessim</t>
  </si>
  <si>
    <t>Kanarite</t>
  </si>
  <si>
    <t>Zaghdraya</t>
  </si>
  <si>
    <t>Tanbourite</t>
  </si>
  <si>
    <t>Jaziré</t>
  </si>
  <si>
    <t>Yahoudiat</t>
  </si>
  <si>
    <t>Mazraat El-Wasta</t>
  </si>
  <si>
    <t>Matriet El-Choumar</t>
  </si>
  <si>
    <t>Arzey</t>
  </si>
  <si>
    <t>Kfar Badda</t>
  </si>
  <si>
    <t>El-Kharayeb</t>
  </si>
  <si>
    <t>Mazraat Jimjim</t>
  </si>
  <si>
    <t>El Hartiyé</t>
  </si>
  <si>
    <t>Mohaidalé</t>
  </si>
  <si>
    <t>Kaoutarite El-Riz</t>
  </si>
  <si>
    <t>El-Zrariyé</t>
  </si>
  <si>
    <t>Sari</t>
  </si>
  <si>
    <t>Deir Takla</t>
  </si>
  <si>
    <t>Samiate</t>
  </si>
  <si>
    <t>Adloun</t>
  </si>
  <si>
    <t>Ansariyé</t>
  </si>
  <si>
    <t>Mazraet Sinai</t>
  </si>
  <si>
    <t>Kherbet El-Douair</t>
  </si>
  <si>
    <t>Sarafend</t>
  </si>
  <si>
    <t>Kaakiet El-Senaoubar</t>
  </si>
  <si>
    <t>Bissariat</t>
  </si>
  <si>
    <t>Kaoutarite El-Siyad</t>
  </si>
  <si>
    <t>Tibna</t>
  </si>
  <si>
    <t>Snaiber</t>
  </si>
  <si>
    <t>Teffehta</t>
  </si>
  <si>
    <t>Saksakiat</t>
  </si>
  <si>
    <t>El-Merwaniyé</t>
  </si>
  <si>
    <t>Nadjariat</t>
  </si>
  <si>
    <t>Addoussiat</t>
  </si>
  <si>
    <t>Kherbet Bassal</t>
  </si>
  <si>
    <t>Msaileh</t>
  </si>
  <si>
    <t>El-Hajjé</t>
  </si>
  <si>
    <t>El-Husseiniyé</t>
  </si>
  <si>
    <t>Khazize</t>
  </si>
  <si>
    <t>El-Mhammariyé</t>
  </si>
  <si>
    <t>Aktanite</t>
  </si>
  <si>
    <t>Arké</t>
  </si>
  <si>
    <t>Arab Tabbaya</t>
  </si>
  <si>
    <t>Mazraet Matarite Jebah</t>
  </si>
  <si>
    <t>Arab Soukar</t>
  </si>
  <si>
    <t>Arab-el-Jal</t>
  </si>
  <si>
    <t>Ankoune</t>
  </si>
  <si>
    <t>Kfar-Bite</t>
  </si>
  <si>
    <t>Kfar-Challal</t>
  </si>
  <si>
    <t>Kfar Melki</t>
  </si>
  <si>
    <t>Sfenté</t>
  </si>
  <si>
    <t>Sour (Tyr)</t>
  </si>
  <si>
    <t>Borge El-Chémali</t>
  </si>
  <si>
    <t>Batouliyat</t>
  </si>
  <si>
    <t>Deir Kanoun Ras El Aïn</t>
  </si>
  <si>
    <t>Jouaya</t>
  </si>
  <si>
    <t>Debhalé</t>
  </si>
  <si>
    <t>Mjadel</t>
  </si>
  <si>
    <t>Aïtite</t>
  </si>
  <si>
    <t>Ouadi Djilou</t>
  </si>
  <si>
    <t>Deir Amess</t>
  </si>
  <si>
    <t>Beiriche</t>
  </si>
  <si>
    <t>El-Biyad</t>
  </si>
  <si>
    <t>Salha</t>
  </si>
  <si>
    <t>Kana</t>
  </si>
  <si>
    <t>Mâaraké</t>
  </si>
  <si>
    <t>Neffahiyé</t>
  </si>
  <si>
    <t>Mahroub</t>
  </si>
  <si>
    <t>Recheknaniyeh</t>
  </si>
  <si>
    <t>Derdaghaya</t>
  </si>
  <si>
    <t>Saddikine</t>
  </si>
  <si>
    <t>Aïn Baal</t>
  </si>
  <si>
    <t>Hmairé</t>
  </si>
  <si>
    <t>Mahaïlib</t>
  </si>
  <si>
    <t>Bazouriat</t>
  </si>
  <si>
    <t>Hanawé</t>
  </si>
  <si>
    <t>Bestiace</t>
  </si>
  <si>
    <t>Taïr-Dabba</t>
  </si>
  <si>
    <t>Tairzibna</t>
  </si>
  <si>
    <t>Arzoune</t>
  </si>
  <si>
    <t>Remadiyeh</t>
  </si>
  <si>
    <t>Deir Kanoun El-Nahr</t>
  </si>
  <si>
    <t>Kneissé</t>
  </si>
  <si>
    <t>El-Héloussiyé</t>
  </si>
  <si>
    <t>Trafelsiyé</t>
  </si>
  <si>
    <t>Touaire</t>
  </si>
  <si>
    <t>Bidias</t>
  </si>
  <si>
    <t>Abbassyat</t>
  </si>
  <si>
    <t>Cheïetiyé</t>
  </si>
  <si>
    <t>Jebel-El-Batm</t>
  </si>
  <si>
    <t>Mazraat Torsemhat</t>
  </si>
  <si>
    <t>Bordje Rahhal</t>
  </si>
  <si>
    <t>Rafid-el-Mernaba</t>
  </si>
  <si>
    <t>Zebkine</t>
  </si>
  <si>
    <t>El-Kleilé</t>
  </si>
  <si>
    <t>Aïn Abou Abdallah</t>
  </si>
  <si>
    <t>El Jbine</t>
  </si>
  <si>
    <t>El-Henniyé</t>
  </si>
  <si>
    <t>Izzié</t>
  </si>
  <si>
    <t>Tair Harf</t>
  </si>
  <si>
    <t>El-Mansouri</t>
  </si>
  <si>
    <t>Majdalzoun</t>
  </si>
  <si>
    <t>Chameh</t>
  </si>
  <si>
    <t>Eskandaroun</t>
  </si>
  <si>
    <t>Marouhine</t>
  </si>
  <si>
    <t>Nakoura</t>
  </si>
  <si>
    <t>Alma Chaab</t>
  </si>
  <si>
    <t>Jejime</t>
  </si>
  <si>
    <t>Mazraat Dhaira</t>
  </si>
  <si>
    <t>Mazraat Ez-Zalloutieh</t>
  </si>
  <si>
    <t>Djezzine</t>
  </si>
  <si>
    <t>Wadi Djezzine</t>
  </si>
  <si>
    <t>El-Kabeh</t>
  </si>
  <si>
    <t>Kaïtoulé</t>
  </si>
  <si>
    <t>Bkessine</t>
  </si>
  <si>
    <t>El-Homsiyé</t>
  </si>
  <si>
    <t>Ariya</t>
  </si>
  <si>
    <t>Haïtoura</t>
  </si>
  <si>
    <t>El-Ghabbatieh</t>
  </si>
  <si>
    <t>Benwati</t>
  </si>
  <si>
    <t>El-Maknouniyé</t>
  </si>
  <si>
    <t>Bteddine El-Lekche</t>
  </si>
  <si>
    <t>El-Remmané</t>
  </si>
  <si>
    <t>El-Midan</t>
  </si>
  <si>
    <t>Kefer-Houné</t>
  </si>
  <si>
    <t>El-Harf</t>
  </si>
  <si>
    <t>Baba</t>
  </si>
  <si>
    <t>Zhalta</t>
  </si>
  <si>
    <t>Bhanine</t>
  </si>
  <si>
    <t>Azour</t>
  </si>
  <si>
    <t>Taïd</t>
  </si>
  <si>
    <t>El-Rahbane</t>
  </si>
  <si>
    <t>Kafr-Falouce</t>
  </si>
  <si>
    <t>Aïn el-Mir</t>
  </si>
  <si>
    <t>Mrah-el-Hbasse</t>
  </si>
  <si>
    <t>Baissour</t>
  </si>
  <si>
    <t>Haitoulé</t>
  </si>
  <si>
    <t>El-Mharbiyé</t>
  </si>
  <si>
    <t>Wadi Laimoune</t>
  </si>
  <si>
    <t>Sfarai</t>
  </si>
  <si>
    <t>Chawalik</t>
  </si>
  <si>
    <t>Wadi Baankoudine</t>
  </si>
  <si>
    <t>Mjaïdel</t>
  </si>
  <si>
    <t>Mazraat Dahr el-Deir</t>
  </si>
  <si>
    <t>Rimate</t>
  </si>
  <si>
    <t>Kafr-Jarra</t>
  </si>
  <si>
    <t>Saïdoune</t>
  </si>
  <si>
    <t>Haïdab</t>
  </si>
  <si>
    <t>Kattine</t>
  </si>
  <si>
    <t>Sniyé</t>
  </si>
  <si>
    <t>Mazraat el-Mathané</t>
  </si>
  <si>
    <t>Aramté</t>
  </si>
  <si>
    <t>El-Rihane</t>
  </si>
  <si>
    <t>Akmata</t>
  </si>
  <si>
    <t>Katrani</t>
  </si>
  <si>
    <t>El-Louaizé</t>
  </si>
  <si>
    <t>Khellet Khazen</t>
  </si>
  <si>
    <t>Krouh</t>
  </si>
  <si>
    <t>El-Zeghrine</t>
  </si>
  <si>
    <t>Chabil</t>
  </si>
  <si>
    <t>Soujoud</t>
  </si>
  <si>
    <t>Aïchiyé</t>
  </si>
  <si>
    <t>Mazraat El Ouazaaiyé</t>
  </si>
  <si>
    <t>El-Wadié</t>
  </si>
  <si>
    <t>Arkoub (Mazraat)</t>
  </si>
  <si>
    <t>El-Mahmoudiyeh</t>
  </si>
  <si>
    <t>El-Jarmak</t>
  </si>
  <si>
    <t>El-Demachkiyeh</t>
  </si>
  <si>
    <t>Tamra</t>
  </si>
  <si>
    <t>Nabatiyé El-Tahta</t>
  </si>
  <si>
    <t>Nabatiyé El-Faouka</t>
  </si>
  <si>
    <t>Ali El-Taher</t>
  </si>
  <si>
    <t>Mazraet Kfar Jaouz</t>
  </si>
  <si>
    <t>Kfar Remmane</t>
  </si>
  <si>
    <t>Habbouche</t>
  </si>
  <si>
    <t>Kfar Tebnite</t>
  </si>
  <si>
    <t>Kafra-Jbah</t>
  </si>
  <si>
    <t>Aïn-Boussouar</t>
  </si>
  <si>
    <t>Aïn-Kana</t>
  </si>
  <si>
    <t>Jarjouh</t>
  </si>
  <si>
    <t>Sarba</t>
  </si>
  <si>
    <t>Mazraat-el-Khreibé</t>
  </si>
  <si>
    <t>Houmine-el-Faouka</t>
  </si>
  <si>
    <t>Hmaïla</t>
  </si>
  <si>
    <t>Arab Salim</t>
  </si>
  <si>
    <t>Houmine El-Tahta</t>
  </si>
  <si>
    <t>Izzé</t>
  </si>
  <si>
    <t>Bfarwé</t>
  </si>
  <si>
    <t>Deir El-Zehrani</t>
  </si>
  <si>
    <t>Mazraet El-Bayad</t>
  </si>
  <si>
    <t>El-Charkiyé</t>
  </si>
  <si>
    <t>Toule</t>
  </si>
  <si>
    <t>Nmériyé</t>
  </si>
  <si>
    <t>Harouf</t>
  </si>
  <si>
    <t>Douair</t>
  </si>
  <si>
    <t>Jobchite</t>
  </si>
  <si>
    <t>Mazraet Chaal Baal</t>
  </si>
  <si>
    <t>Maifadoune</t>
  </si>
  <si>
    <t>Adchite</t>
  </si>
  <si>
    <t>Abba</t>
  </si>
  <si>
    <t>Kafr Dajjal</t>
  </si>
  <si>
    <t>Mazraet Dmoul</t>
  </si>
  <si>
    <t>Zaoutar El-Charkiyé</t>
  </si>
  <si>
    <t>El-Hamra</t>
  </si>
  <si>
    <t>Ksaibé</t>
  </si>
  <si>
    <t>Arnoune</t>
  </si>
  <si>
    <t>Kakiat El-Jisr</t>
  </si>
  <si>
    <t>Mazraet Kalaat Meiss</t>
  </si>
  <si>
    <t>Mazraet Bsaffour</t>
  </si>
  <si>
    <t>Braikeh</t>
  </si>
  <si>
    <t>Kefer Sir</t>
  </si>
  <si>
    <t>Bint Jbail</t>
  </si>
  <si>
    <t>Maroune-el-Ras</t>
  </si>
  <si>
    <t>Salhané</t>
  </si>
  <si>
    <t>Aïn-Ebel</t>
  </si>
  <si>
    <t>Aïtaroun</t>
  </si>
  <si>
    <t>Yaroune</t>
  </si>
  <si>
    <t>Rmeiche</t>
  </si>
  <si>
    <t>Aïn-el-Katmoune</t>
  </si>
  <si>
    <t>Aïta-el-Chaab</t>
  </si>
  <si>
    <t>Ramié</t>
  </si>
  <si>
    <t>Soultaniyé</t>
  </si>
  <si>
    <t>Safad-el-Battikh</t>
  </si>
  <si>
    <t>Jmeijmé</t>
  </si>
  <si>
    <t>Aïta-el-Zut</t>
  </si>
  <si>
    <t>Baraachite</t>
  </si>
  <si>
    <t>Chakra</t>
  </si>
  <si>
    <t>Haddacé</t>
  </si>
  <si>
    <t>Kherbet Salem</t>
  </si>
  <si>
    <t>Beit Yahoune</t>
  </si>
  <si>
    <t>Harisse</t>
  </si>
  <si>
    <t>Kfardounine</t>
  </si>
  <si>
    <t>El-Taïri</t>
  </si>
  <si>
    <t>Kafra</t>
  </si>
  <si>
    <t>Kalaouiyé</t>
  </si>
  <si>
    <t>Borge Kalaouiyé</t>
  </si>
  <si>
    <t>Sarbine</t>
  </si>
  <si>
    <t>Rachafe</t>
  </si>
  <si>
    <t>Ghandouriyé</t>
  </si>
  <si>
    <t>Froune</t>
  </si>
  <si>
    <t>Debel</t>
  </si>
  <si>
    <t>El-Kouzah</t>
  </si>
  <si>
    <t>Merjayoun</t>
  </si>
  <si>
    <t>Mazraet-El-Jrein</t>
  </si>
  <si>
    <t>Ebel-El-Saki</t>
  </si>
  <si>
    <t>Deir Mimas Doumiat</t>
  </si>
  <si>
    <t>El-Kherbeh</t>
  </si>
  <si>
    <t>El-Kleia</t>
  </si>
  <si>
    <t>EL-Khiam</t>
  </si>
  <si>
    <t>Ain Aarab</t>
  </si>
  <si>
    <t>Mazraet el-Sarada</t>
  </si>
  <si>
    <t>El-Amra</t>
  </si>
  <si>
    <t>Adeicé</t>
  </si>
  <si>
    <t>Bani Haiyane</t>
  </si>
  <si>
    <t>Kfarkala</t>
  </si>
  <si>
    <t>Deir Sériane</t>
  </si>
  <si>
    <t>Al-Taïbé</t>
  </si>
  <si>
    <t>Mhaïbib</t>
  </si>
  <si>
    <t>Meis El-Jabal</t>
  </si>
  <si>
    <t>Adchite El-Koussair</t>
  </si>
  <si>
    <t>Rabb Salacine</t>
  </si>
  <si>
    <t>Kabrikha</t>
  </si>
  <si>
    <t>Kantara</t>
  </si>
  <si>
    <t>Souané</t>
  </si>
  <si>
    <t>Hasbaya</t>
  </si>
  <si>
    <t>Abou Kamha</t>
  </si>
  <si>
    <t>Aïn Jarfa</t>
  </si>
  <si>
    <t>El-Fraïdice</t>
  </si>
  <si>
    <t>Rachaya El-Fokhar</t>
  </si>
  <si>
    <t>Kfar Hamame</t>
  </si>
  <si>
    <t>El-Habbariyé</t>
  </si>
  <si>
    <t>Aïn Kinia</t>
  </si>
  <si>
    <t>Mimas</t>
  </si>
  <si>
    <t>Chabaaa</t>
  </si>
  <si>
    <t>Slaïyeb</t>
  </si>
  <si>
    <t>Burghoz</t>
  </si>
  <si>
    <t>El- Mery</t>
  </si>
  <si>
    <t>Nkhailé</t>
  </si>
  <si>
    <t>El-Kahlouat</t>
  </si>
  <si>
    <t>El-Kfeir</t>
  </si>
  <si>
    <t>El-Majidiyé</t>
  </si>
  <si>
    <t>Al-Dellafé</t>
  </si>
  <si>
    <t>ACS_CODE</t>
  </si>
  <si>
    <t>Msaitbe foncière</t>
  </si>
  <si>
    <t>Laylake</t>
  </si>
  <si>
    <t>Louayze Baabda</t>
  </si>
  <si>
    <t>Hlaliye Baabda</t>
  </si>
  <si>
    <t>Haret Hamze</t>
  </si>
  <si>
    <t>Qtale Baabda</t>
  </si>
  <si>
    <t>Aabadiye</t>
  </si>
  <si>
    <t>Qsaibe Baabda</t>
  </si>
  <si>
    <t>Aarbaniye</t>
  </si>
  <si>
    <t>Dlaybe</t>
  </si>
  <si>
    <t>Chbaniye</t>
  </si>
  <si>
    <t>Baouchriye</t>
  </si>
  <si>
    <t>Dekouane</t>
  </si>
  <si>
    <t>Dbaye</t>
  </si>
  <si>
    <t>Daychouniye</t>
  </si>
  <si>
    <t>Aain Saade</t>
  </si>
  <si>
    <t>Roumie</t>
  </si>
  <si>
    <t>Mayasse</t>
  </si>
  <si>
    <t>Aain El-Kharroube</t>
  </si>
  <si>
    <t>Aatchane</t>
  </si>
  <si>
    <t>Chaouiye</t>
  </si>
  <si>
    <t>Fraike</t>
  </si>
  <si>
    <t>Mzakke</t>
  </si>
  <si>
    <t>Aain Ez-Zeitoune</t>
  </si>
  <si>
    <t>Naame</t>
  </si>
  <si>
    <t>maaniye</t>
  </si>
  <si>
    <t>Dibbiye</t>
  </si>
  <si>
    <t>Jiye</t>
  </si>
  <si>
    <t>Jmailiye</t>
  </si>
  <si>
    <t>Ouardaniye</t>
  </si>
  <si>
    <t>Mghairiye Ech-Chouf</t>
  </si>
  <si>
    <t>Mtolle</t>
  </si>
  <si>
    <t>Jleiliye</t>
  </si>
  <si>
    <t>Zaarouriye</t>
  </si>
  <si>
    <t>Semqaniye</t>
  </si>
  <si>
    <t>Deir Kouche</t>
  </si>
  <si>
    <t>Ouarhaniye</t>
  </si>
  <si>
    <t>Gharife</t>
  </si>
  <si>
    <t>Jahliye</t>
  </si>
  <si>
    <t>Botme</t>
  </si>
  <si>
    <t>Choueifat El-Aamrousiye</t>
  </si>
  <si>
    <t>Choueifat El-Quoubbe</t>
  </si>
  <si>
    <t>Kahhale</t>
  </si>
  <si>
    <t>Qmatiye</t>
  </si>
  <si>
    <t>Aain Er-Roummane Aaley</t>
  </si>
  <si>
    <t>Aain Ej-Jdide Aaley</t>
  </si>
  <si>
    <t>Taazaniye</t>
  </si>
  <si>
    <t>Rijme</t>
  </si>
  <si>
    <t>Douair Er-Remmane</t>
  </si>
  <si>
    <t>Bou Zride</t>
  </si>
  <si>
    <t xml:space="preserve"> Aazouniye</t>
  </si>
  <si>
    <t>Mcherfe</t>
  </si>
  <si>
    <t>Ramlie</t>
  </si>
  <si>
    <t>Jounie Sarba</t>
  </si>
  <si>
    <t>Aaqaibe Kesrouane</t>
  </si>
  <si>
    <t>Shayle Kesrouane</t>
  </si>
  <si>
    <t>Ghine</t>
  </si>
  <si>
    <t>Zaaitre</t>
  </si>
  <si>
    <t>Ghbale Kesrouane</t>
  </si>
  <si>
    <t>Mradiye</t>
  </si>
  <si>
    <t>Ighbe</t>
  </si>
  <si>
    <t>Aain Ed-Delbe Kesrouane</t>
  </si>
  <si>
    <t>Edde Jbayl</t>
  </si>
  <si>
    <t>Kfar Kidde</t>
  </si>
  <si>
    <t>Aalmat Ech-Chamliye</t>
  </si>
  <si>
    <t>Aalmat Ej-Jnoubiye</t>
  </si>
  <si>
    <t>Aain Ed-Delbe Jbayl</t>
  </si>
  <si>
    <t>Mchane</t>
  </si>
  <si>
    <t>Jlisse</t>
  </si>
  <si>
    <t>Bejje</t>
  </si>
  <si>
    <t>Aain El-Ghouaybe</t>
  </si>
  <si>
    <t>Janne</t>
  </si>
  <si>
    <t>Mghayre Jbeil</t>
  </si>
  <si>
    <t>Mina N 1</t>
  </si>
  <si>
    <t>Mina N 2</t>
  </si>
  <si>
    <t>Mina N 3</t>
  </si>
  <si>
    <t>Dedde</t>
  </si>
  <si>
    <t>Enfe</t>
  </si>
  <si>
    <t>Nakhle</t>
  </si>
  <si>
    <t>Khaldiye</t>
  </si>
  <si>
    <t>Karm Sadde</t>
  </si>
  <si>
    <t>Nahle El-Batroun</t>
  </si>
  <si>
    <t>Nfisse</t>
  </si>
  <si>
    <t>Zouq El Hosniye</t>
  </si>
  <si>
    <t>Balde WaMazraatBalde</t>
  </si>
  <si>
    <t>Sammouniye</t>
  </si>
  <si>
    <t>Massaaoudiye</t>
  </si>
  <si>
    <t>Tall Bire</t>
  </si>
  <si>
    <t>Aabboudiye</t>
  </si>
  <si>
    <t>Sammaqiye</t>
  </si>
  <si>
    <t>Qloud El-Baqie</t>
  </si>
  <si>
    <t>Hmaire Aakkar</t>
  </si>
  <si>
    <t>Rahbe</t>
  </si>
  <si>
    <t>Barde</t>
  </si>
  <si>
    <t>Daghle</t>
  </si>
  <si>
    <t>Dibbabiye</t>
  </si>
  <si>
    <t>Douair Aadouiye</t>
  </si>
  <si>
    <t>Mzeihme</t>
  </si>
  <si>
    <t>Knisse</t>
  </si>
  <si>
    <t>Ghazayle</t>
  </si>
  <si>
    <t>Aarme</t>
  </si>
  <si>
    <t>Mazraat En-Nahriye</t>
  </si>
  <si>
    <t>Mchaa Ej-Jibbe</t>
  </si>
  <si>
    <t>Bcharre</t>
  </si>
  <si>
    <t>Haqath Ej-Jebbe</t>
  </si>
  <si>
    <t>Borj El-Yahoudiye</t>
  </si>
  <si>
    <t>Rihaniyet-Miniye</t>
  </si>
  <si>
    <t>Sir Ed-Danniye</t>
  </si>
  <si>
    <t>Qattine-Miniyé</t>
  </si>
  <si>
    <t>Hazmiyet-Miniye</t>
  </si>
  <si>
    <t>Haql el Aazime</t>
  </si>
  <si>
    <t>Aain Et-Tine-Miniyé</t>
  </si>
  <si>
    <t>Kharroub-Miniye</t>
  </si>
  <si>
    <t>Sfire</t>
  </si>
  <si>
    <t>Haouaret-Miniye</t>
  </si>
  <si>
    <t>Terbol-Miniye</t>
  </si>
  <si>
    <t>Zahle El-Midane</t>
  </si>
  <si>
    <t>Zahle Haouch Ez-Zaraane</t>
  </si>
  <si>
    <t>Zahle Mar Gerges</t>
  </si>
  <si>
    <t>Zahle Er-Rassiyé</t>
  </si>
  <si>
    <t>Zahle El-Berbara</t>
  </si>
  <si>
    <t>Zahle El-Maallaqa</t>
  </si>
  <si>
    <t>Zahle Mar Antonios</t>
  </si>
  <si>
    <t>Zahle Maallaqa Aradi</t>
  </si>
  <si>
    <t>Zahle Haouch El-Oumara Aradi</t>
  </si>
  <si>
    <t>Zahle Saydet En-Najat</t>
  </si>
  <si>
    <t>Zahle Haouch El-Oumara</t>
  </si>
  <si>
    <t>Zahle Aradi</t>
  </si>
  <si>
    <t>Zahle Mar Elias</t>
  </si>
  <si>
    <t>Touaite Zahle</t>
  </si>
  <si>
    <t>Niha Zahle</t>
  </si>
  <si>
    <t>Mazraat Er-Remtaniye</t>
  </si>
  <si>
    <t>Makse</t>
  </si>
  <si>
    <t>Mrayjat Zahle</t>
  </si>
  <si>
    <t>Haouch Es-Siyade</t>
  </si>
  <si>
    <t>Mzaraat Zahle</t>
  </si>
  <si>
    <t>Tcheflik Edde Haouch</t>
  </si>
  <si>
    <t>Nasriyet Zahle</t>
  </si>
  <si>
    <t>Terbol Zahle</t>
  </si>
  <si>
    <t>Dalhamiyet Zahle</t>
  </si>
  <si>
    <t>Aain Et-Tine BG</t>
  </si>
  <si>
    <t>Deir Aain Ej-Jaouze</t>
  </si>
  <si>
    <t>Aain Zebde</t>
  </si>
  <si>
    <t>Ghazze</t>
  </si>
  <si>
    <t>Dakoue</t>
  </si>
  <si>
    <t>Harime Es-Soughra</t>
  </si>
  <si>
    <t>Haouch Tall Safiye</t>
  </si>
  <si>
    <t>Nahle baalbek</t>
  </si>
  <si>
    <t>Maqne</t>
  </si>
  <si>
    <t>Saaide</t>
  </si>
  <si>
    <t>Laboue</t>
  </si>
  <si>
    <t>Qaa Jouar Maqiye</t>
  </si>
  <si>
    <t>Yammoune</t>
  </si>
  <si>
    <t>Mousraye</t>
  </si>
  <si>
    <t>Chaaibe</t>
  </si>
  <si>
    <t>Michaa Mrajhine</t>
  </si>
  <si>
    <t>Mhaiydse Rachaiya</t>
  </si>
  <si>
    <t>Haouch El Qinnabe Rachaiya</t>
  </si>
  <si>
    <t>Bramiye</t>
  </si>
  <si>
    <t>Hlaliye Saida</t>
  </si>
  <si>
    <t>Miye ou Miyé</t>
  </si>
  <si>
    <t>Ghaziye</t>
  </si>
  <si>
    <t>Maghdouche</t>
  </si>
  <si>
    <t>Mazraat El Yahoudiye (Aaitaniyé)</t>
  </si>
  <si>
    <t>Hartiye</t>
  </si>
  <si>
    <t>Mazraat El-Mhaydale</t>
  </si>
  <si>
    <t>Zrariye</t>
  </si>
  <si>
    <t>Insariye</t>
  </si>
  <si>
    <t>Loubie</t>
  </si>
  <si>
    <t>Daoudiye</t>
  </si>
  <si>
    <t>Babliye</t>
  </si>
  <si>
    <t>Ghassaniye</t>
  </si>
  <si>
    <t>Bissariye</t>
  </si>
  <si>
    <t>Saksakiye</t>
  </si>
  <si>
    <t>Merouaniye</t>
  </si>
  <si>
    <t>Najjariye</t>
  </si>
  <si>
    <t>Aadoussiye</t>
  </si>
  <si>
    <t>Hajje</t>
  </si>
  <si>
    <t>Mazraat El-Houssainiye</t>
  </si>
  <si>
    <t>Maamriye</t>
  </si>
  <si>
    <t>Mtayriye</t>
  </si>
  <si>
    <t>Bafliye</t>
  </si>
  <si>
    <t>Maarake</t>
  </si>
  <si>
    <t>Neftakhiye</t>
  </si>
  <si>
    <t>Aaiye</t>
  </si>
  <si>
    <t>Bazouriye</t>
  </si>
  <si>
    <t>Tayr Debbe</t>
  </si>
  <si>
    <t>Chehabiye</t>
  </si>
  <si>
    <t>Rmadiye</t>
  </si>
  <si>
    <t>Halloussiye</t>
  </si>
  <si>
    <t>Chaaitiye</t>
  </si>
  <si>
    <t>Qlaile Sour</t>
  </si>
  <si>
    <t>Henniye</t>
  </si>
  <si>
    <t>Aaziye</t>
  </si>
  <si>
    <t>Btaychiye</t>
  </si>
  <si>
    <t>Qaytoule</t>
  </si>
  <si>
    <t>Homsiye</t>
  </si>
  <si>
    <t>Ghabbatiye</t>
  </si>
  <si>
    <t>Machmouche</t>
  </si>
  <si>
    <t>Kfar Houne</t>
  </si>
  <si>
    <t>Bebé</t>
  </si>
  <si>
    <t>Haytoule</t>
  </si>
  <si>
    <t>Mharbiye</t>
  </si>
  <si>
    <t>Hassaniye</t>
  </si>
  <si>
    <t>Qtale Jezzine</t>
  </si>
  <si>
    <t>Mazraat Louzid (Louayziye)</t>
  </si>
  <si>
    <t>Sejoud</t>
  </si>
  <si>
    <t>Aaychiye</t>
  </si>
  <si>
    <t>Maraat Ouazaiye</t>
  </si>
  <si>
    <t>Ouardiye</t>
  </si>
  <si>
    <t>Mahmoudiye Jezzine</t>
  </si>
  <si>
    <t>Demachqiye</t>
  </si>
  <si>
    <t>Mzaraat El-Khreibe</t>
  </si>
  <si>
    <t>Hmaile</t>
  </si>
  <si>
    <t>Bfaroue</t>
  </si>
  <si>
    <t>Charqiye</t>
  </si>
  <si>
    <t>Nmairiye</t>
  </si>
  <si>
    <t>Zaoutar El-Gharbiye</t>
  </si>
  <si>
    <t>Zaoutar Ech-Charqiye</t>
  </si>
  <si>
    <t>Sir El-Gharbiye</t>
  </si>
  <si>
    <t>Jmaijme</t>
  </si>
  <si>
    <t>Qalaouiye</t>
  </si>
  <si>
    <t>Borj qalaouiye</t>
  </si>
  <si>
    <t>Aadaysse Marjaayoun</t>
  </si>
  <si>
    <t>Hebbariye</t>
  </si>
  <si>
    <t>Marj Ez-Zouhour (Haouch El-Qinnaabe)</t>
  </si>
  <si>
    <t>Majidiye Hasbaiya</t>
  </si>
  <si>
    <t>Dellafe</t>
  </si>
  <si>
    <t>C_Ref_name
THIS ONE</t>
  </si>
  <si>
    <t>ACS_NAME</t>
  </si>
  <si>
    <t>CAD_NAME</t>
  </si>
  <si>
    <t>villages</t>
  </si>
  <si>
    <t>Aaramoun</t>
  </si>
  <si>
    <t>Qoubbe Choueifat</t>
  </si>
  <si>
    <t>Bir Hassan</t>
  </si>
  <si>
    <t>Aamroussieh Choueifat</t>
  </si>
  <si>
    <t>Saida</t>
  </si>
  <si>
    <t>Saida Ed Dekermane</t>
  </si>
  <si>
    <t>Aabra</t>
  </si>
  <si>
    <t>Darb es Sim</t>
  </si>
  <si>
    <t>Qaraoun</t>
  </si>
  <si>
    <t>Zahle Maalaqa Aradi</t>
  </si>
  <si>
    <t>Zahle</t>
  </si>
  <si>
    <t>Majdal Balhis</t>
  </si>
  <si>
    <t>Aaqbe</t>
  </si>
  <si>
    <t>El Marj</t>
  </si>
  <si>
    <t>Kamed el Laouz</t>
  </si>
  <si>
    <t>Kafraiya West Bekaa</t>
  </si>
  <si>
    <t>Al Aaqbe</t>
  </si>
  <si>
    <t>Ras Baalbek</t>
  </si>
  <si>
    <t>Mejdel Baana</t>
  </si>
  <si>
    <t>Sofar</t>
  </si>
  <si>
    <t>Benouati</t>
  </si>
  <si>
    <t>Najjaryie</t>
  </si>
  <si>
    <t>Qraiye Saida</t>
  </si>
  <si>
    <t>Bahbouch</t>
  </si>
  <si>
    <t>Deir el Ghazal</t>
  </si>
  <si>
    <t>Marj Ez Zouhour Dnaibe</t>
  </si>
  <si>
    <t>Ainab</t>
  </si>
  <si>
    <t>Mansouriye</t>
  </si>
  <si>
    <t>Rafid</t>
  </si>
  <si>
    <t>Deir El Ahmar</t>
  </si>
  <si>
    <t>Miyeh ou Miyeh</t>
  </si>
  <si>
    <t>Mjaydel</t>
  </si>
  <si>
    <t>Tal</t>
  </si>
  <si>
    <t>Kefraiya</t>
  </si>
  <si>
    <t>Qoubbe</t>
  </si>
  <si>
    <t>Cheik Mohammad</t>
  </si>
  <si>
    <t>Bire Akkar</t>
  </si>
  <si>
    <t>Ramliye</t>
  </si>
  <si>
    <t>Kfar Helda</t>
  </si>
  <si>
    <t>Rouisset el Ballout</t>
  </si>
  <si>
    <t>Miryata</t>
  </si>
  <si>
    <t>Deir Amar</t>
  </si>
  <si>
    <t>Bar Elias</t>
  </si>
  <si>
    <t>Zahrieh</t>
  </si>
  <si>
    <t>Kafar Zeina</t>
  </si>
  <si>
    <t>Aakkar El Attiqa</t>
  </si>
  <si>
    <t>Furn ech Chebak</t>
  </si>
  <si>
    <t>Quardaniye</t>
  </si>
  <si>
    <t>Ain Bal</t>
  </si>
  <si>
    <t>Mghairiye Chouf</t>
  </si>
  <si>
    <t>Jdaide el Meten</t>
  </si>
  <si>
    <t>Borj Hammoud</t>
  </si>
  <si>
    <t>Jall Ed Dib</t>
  </si>
  <si>
    <t>Fakehe</t>
  </si>
  <si>
    <t>Takrit</t>
  </si>
  <si>
    <t>El Houssoun</t>
  </si>
  <si>
    <t>Mtein</t>
  </si>
  <si>
    <t>Sinn el Fil</t>
  </si>
  <si>
    <t>Borjein</t>
  </si>
  <si>
    <t>Daraiya</t>
  </si>
  <si>
    <t>Bhamdoun ed Dayaa</t>
  </si>
  <si>
    <t>Deir el Qamar</t>
  </si>
  <si>
    <t>Bnaiye</t>
  </si>
  <si>
    <t>Houch el Harime</t>
  </si>
  <si>
    <t>Rechmaiya</t>
  </si>
  <si>
    <t>Ghaboun</t>
  </si>
  <si>
    <t>Ain Anoub</t>
  </si>
  <si>
    <t>Majdalaya</t>
  </si>
  <si>
    <t>Aazzouniye</t>
  </si>
  <si>
    <t>Maaroufiye</t>
  </si>
  <si>
    <t>El Mina</t>
  </si>
  <si>
    <t>Kfair</t>
  </si>
  <si>
    <t>Dhour Ech Choueir</t>
  </si>
  <si>
    <t>Edde</t>
  </si>
  <si>
    <t>Kfar Mechki</t>
  </si>
  <si>
    <t>Joub Jannine</t>
  </si>
  <si>
    <t>Ain el Hiloue</t>
  </si>
  <si>
    <t>Dahr AlAin</t>
  </si>
  <si>
    <t>Kfar Danis</t>
  </si>
  <si>
    <t>Ain Qenya</t>
  </si>
  <si>
    <t>El Minie</t>
  </si>
  <si>
    <t>El Beddaoui</t>
  </si>
  <si>
    <t>Meksi</t>
  </si>
  <si>
    <t>Majdel Tarchich</t>
  </si>
  <si>
    <t>Mazraat ech Chouf</t>
  </si>
  <si>
    <t>Chiayah</t>
  </si>
  <si>
    <t>Bhannine El Minieh</t>
  </si>
  <si>
    <t>Kfour</t>
  </si>
  <si>
    <t>Bire rachaya</t>
  </si>
  <si>
    <t>Maaysra</t>
  </si>
  <si>
    <t>Bhamdoun el Mhatta</t>
  </si>
  <si>
    <t>Kawashra</t>
  </si>
  <si>
    <t>Mazraat Aazzi</t>
  </si>
  <si>
    <t>Mechrefe</t>
  </si>
  <si>
    <t>Yahchouch</t>
  </si>
  <si>
    <t>Kaifoun</t>
  </si>
  <si>
    <t>Sibnay</t>
  </si>
  <si>
    <t>Khalde</t>
  </si>
  <si>
    <t>Hlaliye</t>
  </si>
  <si>
    <t>Raboue</t>
  </si>
  <si>
    <t>Bakhaoun</t>
  </si>
  <si>
    <t>Zeitoun</t>
  </si>
  <si>
    <t>El Qaa</t>
  </si>
  <si>
    <t>Dahr el Ahmar</t>
  </si>
  <si>
    <t>Ain Saade</t>
  </si>
  <si>
    <t>Jnah</t>
  </si>
  <si>
    <t>Montiverdi</t>
  </si>
  <si>
    <t>Kfar Sal</t>
  </si>
  <si>
    <t>Adonis</t>
  </si>
  <si>
    <t>Ramiet el Hsoun</t>
  </si>
  <si>
    <t>Bechtelida</t>
  </si>
  <si>
    <t>Beziyoun</t>
  </si>
  <si>
    <t>Chemlane</t>
  </si>
  <si>
    <t>Ain Ed Delbe Jbeil</t>
  </si>
  <si>
    <t>Almat Ej Jnoubiye</t>
  </si>
  <si>
    <t>Almat ech Chemaliye</t>
  </si>
  <si>
    <t>Souane</t>
  </si>
  <si>
    <t>Mghaira</t>
  </si>
  <si>
    <t>Ain er Roummane</t>
  </si>
  <si>
    <t>Ghobeire</t>
  </si>
  <si>
    <t>Khraibe Baabda</t>
  </si>
  <si>
    <t>Aitat</t>
  </si>
  <si>
    <t>Rmaile</t>
  </si>
  <si>
    <t>Ain Dara</t>
  </si>
  <si>
    <t>Aabbassiye</t>
  </si>
  <si>
    <t>Jounieh</t>
  </si>
  <si>
    <t>Bissariyeh</t>
  </si>
  <si>
    <t>Mazraat Arab Tobbaya</t>
  </si>
  <si>
    <t>Ghadir jounieh</t>
  </si>
  <si>
    <t>Jdaide chouf</t>
  </si>
  <si>
    <t>Ain Ouzain</t>
  </si>
  <si>
    <t>Hissa</t>
  </si>
  <si>
    <t>Fidar</t>
  </si>
  <si>
    <t>Bsatine</t>
  </si>
  <si>
    <t>Bchelli</t>
  </si>
  <si>
    <t>Mechakhti</t>
  </si>
  <si>
    <t>Borj el Arab</t>
  </si>
  <si>
    <t>Baasir</t>
  </si>
  <si>
    <t>Ain Jerfa</t>
  </si>
  <si>
    <t>Mtoulle</t>
  </si>
  <si>
    <t>Karak Nouh</t>
  </si>
  <si>
    <t>Majdel Anjar</t>
  </si>
  <si>
    <t>Beirut</t>
  </si>
  <si>
    <t>Mar Elias</t>
  </si>
  <si>
    <t>El Wata</t>
  </si>
  <si>
    <t>Ras El Nabaa</t>
  </si>
  <si>
    <t>Sanayeh</t>
  </si>
  <si>
    <t>Bourj Abi Haidar</t>
  </si>
  <si>
    <t>Minet el Hosn</t>
  </si>
  <si>
    <t>Moussaitbe</t>
  </si>
  <si>
    <t>Zoqaq el Blat</t>
  </si>
  <si>
    <t>Ras Beirut</t>
  </si>
  <si>
    <t>El Zarif</t>
  </si>
  <si>
    <t>Basta Tahta</t>
  </si>
  <si>
    <t>Snoubra</t>
  </si>
  <si>
    <t>Basta Faouka</t>
  </si>
  <si>
    <t>Tariq El Jdide</t>
  </si>
  <si>
    <t>El Hamra</t>
  </si>
  <si>
    <t>Unesco</t>
  </si>
  <si>
    <t>Ain Mreisse</t>
  </si>
  <si>
    <t>Dar Al Fatwa</t>
  </si>
  <si>
    <t>Manara</t>
  </si>
  <si>
    <t>Achrafiye</t>
  </si>
  <si>
    <t>Ramlet el Bayda</t>
  </si>
  <si>
    <t>Raoucheh</t>
  </si>
  <si>
    <t>Marfaa</t>
  </si>
  <si>
    <t>Ouadi el Aarayech</t>
  </si>
  <si>
    <t>Bourghliye</t>
  </si>
  <si>
    <t>Biaqout</t>
  </si>
  <si>
    <t>Jisr</t>
  </si>
  <si>
    <t>Berqayel</t>
  </si>
  <si>
    <t>Kfar Hata</t>
  </si>
  <si>
    <t>Jal Baher</t>
  </si>
  <si>
    <t>Hazmiye</t>
  </si>
  <si>
    <t>Hammara</t>
  </si>
  <si>
    <t>nb_idps</t>
  </si>
  <si>
    <t>governorate_name</t>
  </si>
  <si>
    <t>Mount Lebanon</t>
  </si>
  <si>
    <t>South</t>
  </si>
  <si>
    <t>Bekaa</t>
  </si>
  <si>
    <t>North</t>
  </si>
  <si>
    <t>Baalbek-El Hermel</t>
  </si>
  <si>
    <t>Akkar</t>
  </si>
  <si>
    <t>El Nabatieh</t>
  </si>
  <si>
    <t>district_name</t>
  </si>
  <si>
    <t>Chouf</t>
  </si>
  <si>
    <t>West Bekaa</t>
  </si>
  <si>
    <t>Rachaya</t>
  </si>
  <si>
    <t>El Koura</t>
  </si>
  <si>
    <t>El Meten</t>
  </si>
  <si>
    <t>Tripoli</t>
  </si>
  <si>
    <t>El Batroun</t>
  </si>
  <si>
    <t>Jbeil</t>
  </si>
  <si>
    <t>El Minieh-Dennie</t>
  </si>
  <si>
    <t>Kesrwane</t>
  </si>
  <si>
    <t>Bent Jbeil</t>
  </si>
  <si>
    <t>P_Code</t>
  </si>
  <si>
    <t>24243_002</t>
  </si>
  <si>
    <t>23336_001</t>
  </si>
  <si>
    <t>24235_001</t>
  </si>
  <si>
    <t>24211_002</t>
  </si>
  <si>
    <t>24133_003</t>
  </si>
  <si>
    <t>21111_001</t>
  </si>
  <si>
    <t>23251_002</t>
  </si>
  <si>
    <t>24155_010</t>
  </si>
  <si>
    <t>62111_005</t>
  </si>
  <si>
    <t>61111_002</t>
  </si>
  <si>
    <t>61111_001</t>
  </si>
  <si>
    <t>61111_003</t>
  </si>
  <si>
    <t>61111_004</t>
  </si>
  <si>
    <t>63277_001</t>
  </si>
  <si>
    <t>61159_002</t>
  </si>
  <si>
    <t>61159_001</t>
  </si>
  <si>
    <t>61323_001</t>
  </si>
  <si>
    <t>61244_001</t>
  </si>
  <si>
    <t>61335_001</t>
  </si>
  <si>
    <t>63111_002</t>
  </si>
  <si>
    <t>63111_003</t>
  </si>
  <si>
    <t>52227_001</t>
  </si>
  <si>
    <t>52237_001</t>
  </si>
  <si>
    <t>55144_001</t>
  </si>
  <si>
    <t>51125_001</t>
  </si>
  <si>
    <t>51131_003</t>
  </si>
  <si>
    <t>55174_001</t>
  </si>
  <si>
    <t>55114_001</t>
  </si>
  <si>
    <t>52277_001</t>
  </si>
  <si>
    <t>52217_001</t>
  </si>
  <si>
    <t>52224_001</t>
  </si>
  <si>
    <t>52156_001</t>
  </si>
  <si>
    <t>52136_001</t>
  </si>
  <si>
    <t>33113_001</t>
  </si>
  <si>
    <t>53211_001</t>
  </si>
  <si>
    <t>53214_001</t>
  </si>
  <si>
    <t>24343_002</t>
  </si>
  <si>
    <t>24424_001</t>
  </si>
  <si>
    <t>24311_004</t>
  </si>
  <si>
    <t>24427_001</t>
  </si>
  <si>
    <t>62111_002</t>
  </si>
  <si>
    <t>62111_011</t>
  </si>
  <si>
    <t>62111_003</t>
  </si>
  <si>
    <t>62111_004</t>
  </si>
  <si>
    <t>63111_008</t>
  </si>
  <si>
    <t>63124_002</t>
  </si>
  <si>
    <t>63144_001</t>
  </si>
  <si>
    <t>61119_002</t>
  </si>
  <si>
    <t>61119_006</t>
  </si>
  <si>
    <t>61323_003</t>
  </si>
  <si>
    <t>61464_001</t>
  </si>
  <si>
    <t>61119_003</t>
  </si>
  <si>
    <t>61255_001</t>
  </si>
  <si>
    <t>32133_003</t>
  </si>
  <si>
    <t>33111_001</t>
  </si>
  <si>
    <t>23625_001</t>
  </si>
  <si>
    <t>51359_001</t>
  </si>
  <si>
    <t>51347_001</t>
  </si>
  <si>
    <t>51131_004</t>
  </si>
  <si>
    <t>51139_001</t>
  </si>
  <si>
    <t>35111_007</t>
  </si>
  <si>
    <t>74131_001</t>
  </si>
  <si>
    <t>74111_004</t>
  </si>
  <si>
    <t>24351_001</t>
  </si>
  <si>
    <t>63111_001</t>
  </si>
  <si>
    <t>63227_002</t>
  </si>
  <si>
    <t>61183_001</t>
  </si>
  <si>
    <t>63111_004</t>
  </si>
  <si>
    <t>51111_001</t>
  </si>
  <si>
    <t>22411_001</t>
  </si>
  <si>
    <t>51133_001</t>
  </si>
  <si>
    <t>55157_001</t>
  </si>
  <si>
    <t>53111_002</t>
  </si>
  <si>
    <t>53311_001</t>
  </si>
  <si>
    <t>53459_001</t>
  </si>
  <si>
    <t>53231_005</t>
  </si>
  <si>
    <t>61115_008</t>
  </si>
  <si>
    <t>61183_002</t>
  </si>
  <si>
    <t>61119_007</t>
  </si>
  <si>
    <t>63254_002</t>
  </si>
  <si>
    <t>61463_001</t>
  </si>
  <si>
    <t>61115_009</t>
  </si>
  <si>
    <t>63254_003</t>
  </si>
  <si>
    <t>61159_004</t>
  </si>
  <si>
    <t>61115_003</t>
  </si>
  <si>
    <t>62111_006</t>
  </si>
  <si>
    <t>63277_002</t>
  </si>
  <si>
    <t>31156_001</t>
  </si>
  <si>
    <t>31156_002</t>
  </si>
  <si>
    <t>34284_001</t>
  </si>
  <si>
    <t>33117_001</t>
  </si>
  <si>
    <t>32177_001</t>
  </si>
  <si>
    <t>31221_001</t>
  </si>
  <si>
    <t>31111_001</t>
  </si>
  <si>
    <t>32111_006</t>
  </si>
  <si>
    <t>26111_001</t>
  </si>
  <si>
    <t>26141_001</t>
  </si>
  <si>
    <t>35113_001</t>
  </si>
  <si>
    <t>35416_001</t>
  </si>
  <si>
    <t>35111_001</t>
  </si>
  <si>
    <t>35235_001</t>
  </si>
  <si>
    <t>35161_001</t>
  </si>
  <si>
    <t>31121_001</t>
  </si>
  <si>
    <t>51157_002</t>
  </si>
  <si>
    <t>51244_001</t>
  </si>
  <si>
    <t>51111_002</t>
  </si>
  <si>
    <t>51117_001</t>
  </si>
  <si>
    <t>35357_002</t>
  </si>
  <si>
    <t>51163_001</t>
  </si>
  <si>
    <t>26111_005</t>
  </si>
  <si>
    <t>24467_001</t>
  </si>
  <si>
    <t>26111_004</t>
  </si>
  <si>
    <t>61476_001</t>
  </si>
  <si>
    <t>37365_001</t>
  </si>
  <si>
    <t>37381_002</t>
  </si>
  <si>
    <t>32137_001</t>
  </si>
  <si>
    <t>34336_001</t>
  </si>
  <si>
    <t>63124_001</t>
  </si>
  <si>
    <t>62215_003</t>
  </si>
  <si>
    <t>61115_001</t>
  </si>
  <si>
    <t>61115_004</t>
  </si>
  <si>
    <t>61115_005</t>
  </si>
  <si>
    <t>21311_001</t>
  </si>
  <si>
    <t>21317_001</t>
  </si>
  <si>
    <t>53311_003</t>
  </si>
  <si>
    <t>32111_001</t>
  </si>
  <si>
    <t>32137_002</t>
  </si>
  <si>
    <t>33271_001</t>
  </si>
  <si>
    <t>21411_001</t>
  </si>
  <si>
    <t>33111_006</t>
  </si>
  <si>
    <t>37241_010</t>
  </si>
  <si>
    <t>32141_003</t>
  </si>
  <si>
    <t>74111_007</t>
  </si>
  <si>
    <t>23511_002</t>
  </si>
  <si>
    <t>51267_002</t>
  </si>
  <si>
    <t>51267_003</t>
  </si>
  <si>
    <t>51234_009</t>
  </si>
  <si>
    <t>51244_002</t>
  </si>
  <si>
    <t>52237_008</t>
  </si>
  <si>
    <t>31111_002</t>
  </si>
  <si>
    <t>31166_003</t>
  </si>
  <si>
    <t>33271_002</t>
  </si>
  <si>
    <t>33145_001</t>
  </si>
  <si>
    <t>34111_004</t>
  </si>
  <si>
    <t>22262_014</t>
  </si>
  <si>
    <t>22262_001</t>
  </si>
  <si>
    <t>22262_013</t>
  </si>
  <si>
    <t>22262_002</t>
  </si>
  <si>
    <t>35191_002</t>
  </si>
  <si>
    <t>35137_001</t>
  </si>
  <si>
    <t>23433_001</t>
  </si>
  <si>
    <t>23423_001</t>
  </si>
  <si>
    <t>23211_002</t>
  </si>
  <si>
    <t>21111_088</t>
  </si>
  <si>
    <t>23331_001</t>
  </si>
  <si>
    <t>23577_001</t>
  </si>
  <si>
    <t>23239_001</t>
  </si>
  <si>
    <t>23251_004</t>
  </si>
  <si>
    <t>23566_001</t>
  </si>
  <si>
    <t>23215_001</t>
  </si>
  <si>
    <t>23588_001</t>
  </si>
  <si>
    <t>23219_001</t>
  </si>
  <si>
    <t>23544_001</t>
  </si>
  <si>
    <t>23341_001</t>
  </si>
  <si>
    <t>23243_001</t>
  </si>
  <si>
    <t>23336_002</t>
  </si>
  <si>
    <t>22228_002</t>
  </si>
  <si>
    <t>22228_003</t>
  </si>
  <si>
    <t>22351_002</t>
  </si>
  <si>
    <t>22311_001</t>
  </si>
  <si>
    <t>22111_022</t>
  </si>
  <si>
    <t>22111_008</t>
  </si>
  <si>
    <t>22431_002</t>
  </si>
  <si>
    <t>23141_002</t>
  </si>
  <si>
    <t>53211_003</t>
  </si>
  <si>
    <t>53214_002</t>
  </si>
  <si>
    <t>53214_010</t>
  </si>
  <si>
    <t>23111_001</t>
  </si>
  <si>
    <t>22228_004</t>
  </si>
  <si>
    <t>35126_001</t>
  </si>
  <si>
    <t>22211_001</t>
  </si>
  <si>
    <t>35171_001</t>
  </si>
  <si>
    <t>32123_001</t>
  </si>
  <si>
    <t>26229_001</t>
  </si>
  <si>
    <t>26111_006</t>
  </si>
  <si>
    <t>26111_003</t>
  </si>
  <si>
    <t>22711_005</t>
  </si>
  <si>
    <t>61119_005</t>
  </si>
  <si>
    <t>22111_003</t>
  </si>
  <si>
    <t>61119_004</t>
  </si>
  <si>
    <t>22797_002</t>
  </si>
  <si>
    <t>51281_006</t>
  </si>
  <si>
    <t>22335_001</t>
  </si>
  <si>
    <t>22155_001</t>
  </si>
  <si>
    <t>22155_002</t>
  </si>
  <si>
    <t>23247_001</t>
  </si>
  <si>
    <t>22419_007</t>
  </si>
  <si>
    <t>23251_015</t>
  </si>
  <si>
    <t>35189_002</t>
  </si>
  <si>
    <t>35326_001</t>
  </si>
  <si>
    <t>63111_007</t>
  </si>
  <si>
    <t>62111_026</t>
  </si>
  <si>
    <t>62111_030</t>
  </si>
  <si>
    <t>62111_027</t>
  </si>
  <si>
    <t>23111_006</t>
  </si>
  <si>
    <t>23251_018</t>
  </si>
  <si>
    <t>23227_001</t>
  </si>
  <si>
    <t>24414_001</t>
  </si>
  <si>
    <t>23411_002</t>
  </si>
  <si>
    <t>23267_001</t>
  </si>
  <si>
    <t>32147_001</t>
  </si>
  <si>
    <t>55151_003</t>
  </si>
  <si>
    <t>24377_001</t>
  </si>
  <si>
    <t>24369_001</t>
  </si>
  <si>
    <t>24155_001</t>
  </si>
  <si>
    <t>51227_002</t>
  </si>
  <si>
    <t>52254_001</t>
  </si>
  <si>
    <t>52254_003</t>
  </si>
  <si>
    <t>52221_002</t>
  </si>
  <si>
    <t>23227_004</t>
  </si>
  <si>
    <t>31111_023</t>
  </si>
  <si>
    <t>31151_006</t>
  </si>
  <si>
    <t>24359_001</t>
  </si>
  <si>
    <t>24323_001</t>
  </si>
  <si>
    <t>24259_001</t>
  </si>
  <si>
    <t>24427_006</t>
  </si>
  <si>
    <t>24349_003</t>
  </si>
  <si>
    <t>24454_001</t>
  </si>
  <si>
    <t>24434_001</t>
  </si>
  <si>
    <t>24311_002</t>
  </si>
  <si>
    <t>24259_002</t>
  </si>
  <si>
    <t>24447_001</t>
  </si>
  <si>
    <t>24444_001</t>
  </si>
  <si>
    <t>31171_003</t>
  </si>
  <si>
    <t>74175_001</t>
  </si>
  <si>
    <t>22754_002</t>
  </si>
  <si>
    <t>26135_002</t>
  </si>
  <si>
    <t>21476_002</t>
  </si>
  <si>
    <t>55154_002</t>
  </si>
  <si>
    <t>52211_001</t>
  </si>
  <si>
    <t>52171_001</t>
  </si>
  <si>
    <t>52234_001</t>
  </si>
  <si>
    <t>52214_001</t>
  </si>
  <si>
    <t>51224_002</t>
  </si>
  <si>
    <t>61119_008</t>
  </si>
  <si>
    <t>24315_004</t>
  </si>
  <si>
    <t>23243_009</t>
  </si>
  <si>
    <t>35275_006</t>
  </si>
  <si>
    <t>23381_003</t>
  </si>
  <si>
    <t>53231_004</t>
  </si>
  <si>
    <t>23259_003</t>
  </si>
  <si>
    <t>22419_008</t>
  </si>
  <si>
    <t>32185_001</t>
  </si>
  <si>
    <t>32159_002</t>
  </si>
  <si>
    <t>55137_002</t>
  </si>
  <si>
    <t>74124_001</t>
  </si>
  <si>
    <t>55181_001</t>
  </si>
  <si>
    <t>55157_002</t>
  </si>
  <si>
    <t>51111_003</t>
  </si>
  <si>
    <t>53111_041</t>
  </si>
  <si>
    <t>61115_010</t>
  </si>
  <si>
    <t>22754_001</t>
  </si>
  <si>
    <t>33129_004</t>
  </si>
  <si>
    <t>61159_005</t>
  </si>
  <si>
    <t>37231_007</t>
  </si>
  <si>
    <t>31151_003</t>
  </si>
  <si>
    <t>24375_001</t>
  </si>
  <si>
    <t>51217_001</t>
  </si>
  <si>
    <t>22774_001</t>
  </si>
  <si>
    <t>23651_001</t>
  </si>
  <si>
    <t>63111_010</t>
  </si>
  <si>
    <t>21111_007</t>
  </si>
  <si>
    <t>37291_001</t>
  </si>
  <si>
    <t>25329_002</t>
  </si>
  <si>
    <t>35331_001</t>
  </si>
  <si>
    <t>55164_003</t>
  </si>
  <si>
    <t>25357_007</t>
  </si>
  <si>
    <t>21341_002</t>
  </si>
  <si>
    <t>52217_003</t>
  </si>
  <si>
    <t>24411_002</t>
  </si>
  <si>
    <t>24411_003</t>
  </si>
  <si>
    <t>23251_003</t>
  </si>
  <si>
    <t>23251_001</t>
  </si>
  <si>
    <t>23381_001</t>
  </si>
  <si>
    <t>21211_001</t>
  </si>
  <si>
    <t>21133_002</t>
  </si>
  <si>
    <t>23331_005</t>
  </si>
  <si>
    <t>53231_017</t>
  </si>
  <si>
    <t>35429_001</t>
  </si>
  <si>
    <t>55164_002</t>
  </si>
  <si>
    <t>25211_001</t>
  </si>
  <si>
    <t>23247_003</t>
  </si>
  <si>
    <t>36164_001</t>
  </si>
  <si>
    <t>24457_001</t>
  </si>
  <si>
    <t>25373_001</t>
  </si>
  <si>
    <t>33111_005</t>
  </si>
  <si>
    <t>24337_001</t>
  </si>
  <si>
    <t>21456_001</t>
  </si>
  <si>
    <t>61323_008</t>
  </si>
  <si>
    <t>61119_018</t>
  </si>
  <si>
    <t>21111_005</t>
  </si>
  <si>
    <t>21219_001</t>
  </si>
  <si>
    <t>21111_004</t>
  </si>
  <si>
    <t>26231_001</t>
  </si>
  <si>
    <t>21476_001</t>
  </si>
  <si>
    <t>24211_009</t>
  </si>
  <si>
    <t>24133_028</t>
  </si>
  <si>
    <t>24243_011</t>
  </si>
  <si>
    <t>21324_002</t>
  </si>
  <si>
    <t>23267_005</t>
  </si>
  <si>
    <t>22311_004</t>
  </si>
  <si>
    <t>31161_004</t>
  </si>
  <si>
    <t>37391_006</t>
  </si>
  <si>
    <t>22733_004</t>
  </si>
  <si>
    <t>51133_009</t>
  </si>
  <si>
    <t>25375_001</t>
  </si>
  <si>
    <t>52227_002</t>
  </si>
  <si>
    <t>53211_009</t>
  </si>
  <si>
    <t>31151_001</t>
  </si>
  <si>
    <t>24349_001</t>
  </si>
  <si>
    <t>53241_005</t>
  </si>
  <si>
    <t>23211_005</t>
  </si>
  <si>
    <t>25329_001</t>
  </si>
  <si>
    <t>55124_003</t>
  </si>
  <si>
    <t>34188_001</t>
  </si>
  <si>
    <t>22311_005</t>
  </si>
  <si>
    <t>32141_001</t>
  </si>
  <si>
    <t>22423_004</t>
  </si>
  <si>
    <t>25357_006</t>
  </si>
  <si>
    <t>21111_013</t>
  </si>
  <si>
    <t>25347_007</t>
  </si>
  <si>
    <t>23215_004</t>
  </si>
  <si>
    <t>22667_005</t>
  </si>
  <si>
    <t>23231_001</t>
  </si>
  <si>
    <t>23231_006</t>
  </si>
  <si>
    <t>23231_002</t>
  </si>
  <si>
    <t>23625_002</t>
  </si>
  <si>
    <t>24424_005</t>
  </si>
  <si>
    <t>26141_006</t>
  </si>
  <si>
    <t>26226_001</t>
  </si>
  <si>
    <t>23211_004</t>
  </si>
  <si>
    <t>26239_002</t>
  </si>
  <si>
    <t>26231_003</t>
  </si>
  <si>
    <t>26231_002</t>
  </si>
  <si>
    <t>26229_002</t>
  </si>
  <si>
    <t>26241_001</t>
  </si>
  <si>
    <t>26243_005</t>
  </si>
  <si>
    <t>26243_002</t>
  </si>
  <si>
    <t>26229_003</t>
  </si>
  <si>
    <t>26229_005</t>
  </si>
  <si>
    <t>26293_002</t>
  </si>
  <si>
    <t>26217_001</t>
  </si>
  <si>
    <t>52211_002</t>
  </si>
  <si>
    <t>61119_032</t>
  </si>
  <si>
    <t>24337_003</t>
  </si>
  <si>
    <t>26221_001</t>
  </si>
  <si>
    <t>26212_001</t>
  </si>
  <si>
    <t>26212_002</t>
  </si>
  <si>
    <t>26220_001</t>
  </si>
  <si>
    <t>26223_001</t>
  </si>
  <si>
    <t>26327_002</t>
  </si>
  <si>
    <t>26341_001</t>
  </si>
  <si>
    <t>26341_003</t>
  </si>
  <si>
    <t>26331_001</t>
  </si>
  <si>
    <t>26331_004</t>
  </si>
  <si>
    <t>63227_003</t>
  </si>
  <si>
    <t>24133_007</t>
  </si>
  <si>
    <t>21111_091</t>
  </si>
  <si>
    <t>24311_019</t>
  </si>
  <si>
    <t>21133_006</t>
  </si>
  <si>
    <t>52161_002</t>
  </si>
  <si>
    <t>24133_038</t>
  </si>
  <si>
    <t>24311_020</t>
  </si>
  <si>
    <t>52211_007</t>
  </si>
  <si>
    <t>55111_008</t>
  </si>
  <si>
    <t>51234_010</t>
  </si>
  <si>
    <t>51234_011</t>
  </si>
  <si>
    <t>61115_011</t>
  </si>
  <si>
    <t>22262_017</t>
  </si>
  <si>
    <t>25319_005</t>
  </si>
  <si>
    <t>74111_020</t>
  </si>
  <si>
    <t>53311_007</t>
  </si>
  <si>
    <t>35147_004</t>
  </si>
  <si>
    <t>61115_012</t>
  </si>
  <si>
    <t>61119_009</t>
  </si>
  <si>
    <t>21111_102</t>
  </si>
  <si>
    <t>21324_001</t>
  </si>
  <si>
    <t>21441_001</t>
  </si>
  <si>
    <t>21431_001</t>
  </si>
  <si>
    <t>24329_001</t>
  </si>
  <si>
    <t>74111_006</t>
  </si>
  <si>
    <t>23321_001</t>
  </si>
  <si>
    <t>23675_001</t>
  </si>
  <si>
    <t>62111_033</t>
  </si>
  <si>
    <t>31121_002</t>
  </si>
  <si>
    <t>52224_002</t>
  </si>
  <si>
    <t>24477_001</t>
  </si>
  <si>
    <t>24315_002</t>
  </si>
  <si>
    <t>24315_001</t>
  </si>
  <si>
    <t>23239_002</t>
  </si>
  <si>
    <t>23663_002</t>
  </si>
  <si>
    <t>62276_002</t>
  </si>
  <si>
    <t>23623_001</t>
  </si>
  <si>
    <t>25357_002</t>
  </si>
  <si>
    <t>25121_002</t>
  </si>
  <si>
    <t>61453_001</t>
  </si>
  <si>
    <t>61453_002</t>
  </si>
  <si>
    <t>24111_003</t>
  </si>
  <si>
    <t>24311_001</t>
  </si>
  <si>
    <t>61483_001</t>
  </si>
  <si>
    <t>61311_002</t>
  </si>
  <si>
    <t>61493_001</t>
  </si>
  <si>
    <t>35357_003</t>
  </si>
  <si>
    <t>25319_001</t>
  </si>
  <si>
    <t>25347_001</t>
  </si>
  <si>
    <t>25121_001</t>
  </si>
  <si>
    <t>25131_001</t>
  </si>
  <si>
    <t>25423_001</t>
  </si>
  <si>
    <t>25211_006</t>
  </si>
  <si>
    <t>53241_001</t>
  </si>
  <si>
    <t>25311_005</t>
  </si>
  <si>
    <t>25471_001</t>
  </si>
  <si>
    <t>23623_002</t>
  </si>
  <si>
    <t>23435_001</t>
  </si>
  <si>
    <t>23511_001</t>
  </si>
  <si>
    <t>26286_001</t>
  </si>
  <si>
    <t>61323_007</t>
  </si>
  <si>
    <t>61323_002</t>
  </si>
  <si>
    <t>23627_001</t>
  </si>
  <si>
    <t>53241_002</t>
  </si>
  <si>
    <t>35221_001</t>
  </si>
  <si>
    <t>25311_001</t>
  </si>
  <si>
    <t>26147_001</t>
  </si>
  <si>
    <t>24365_001</t>
  </si>
  <si>
    <t>51234_002</t>
  </si>
  <si>
    <t>26244_001</t>
  </si>
  <si>
    <t>24211_012</t>
  </si>
  <si>
    <t>24451_001</t>
  </si>
  <si>
    <t>51234_003</t>
  </si>
  <si>
    <t>35149_002</t>
  </si>
  <si>
    <t>23255_001</t>
  </si>
  <si>
    <t>26135_001</t>
  </si>
  <si>
    <t>26111_002</t>
  </si>
  <si>
    <t>74114_001</t>
  </si>
  <si>
    <t>72143_003</t>
  </si>
  <si>
    <t>53344_001</t>
  </si>
  <si>
    <t>22262_012</t>
  </si>
  <si>
    <t>23413_001</t>
  </si>
  <si>
    <t>31186_002</t>
  </si>
  <si>
    <t>51234_001</t>
  </si>
  <si>
    <t>62111_034</t>
  </si>
  <si>
    <t>74131_003</t>
  </si>
  <si>
    <t>52277_002</t>
  </si>
  <si>
    <t>52264_002</t>
  </si>
  <si>
    <t>52151_006</t>
  </si>
  <si>
    <t>23447_002</t>
  </si>
  <si>
    <t>23251_026</t>
  </si>
  <si>
    <t>61489_002</t>
  </si>
  <si>
    <t>61489_001</t>
  </si>
  <si>
    <t>61159_006</t>
  </si>
  <si>
    <t>23211_014</t>
  </si>
  <si>
    <t>23267_003</t>
  </si>
  <si>
    <t>23251_024</t>
  </si>
  <si>
    <t>23227_005</t>
  </si>
  <si>
    <t>23227_006</t>
  </si>
  <si>
    <t>31186_005</t>
  </si>
  <si>
    <t>24315_005</t>
  </si>
  <si>
    <t>32121_002</t>
  </si>
  <si>
    <t>23365_001</t>
  </si>
  <si>
    <t>21354_002</t>
  </si>
  <si>
    <t>51267_001</t>
  </si>
  <si>
    <t>51121_001</t>
  </si>
  <si>
    <t>51284_002</t>
  </si>
  <si>
    <t>52277_003</t>
  </si>
  <si>
    <t>10210_002</t>
  </si>
  <si>
    <t>10210_016</t>
  </si>
  <si>
    <t>10110_001</t>
  </si>
  <si>
    <t>10210_004</t>
  </si>
  <si>
    <t>10650_003</t>
  </si>
  <si>
    <t>10210_007</t>
  </si>
  <si>
    <t>10210_037</t>
  </si>
  <si>
    <t>10310_004</t>
  </si>
  <si>
    <t>10250_005</t>
  </si>
  <si>
    <t>10350_016</t>
  </si>
  <si>
    <t>10310_044</t>
  </si>
  <si>
    <t>10410_008</t>
  </si>
  <si>
    <t>10150_001</t>
  </si>
  <si>
    <t>10210_001</t>
  </si>
  <si>
    <t>10350_001</t>
  </si>
  <si>
    <t>10350_009</t>
  </si>
  <si>
    <t>10310_002</t>
  </si>
  <si>
    <t>10150_005</t>
  </si>
  <si>
    <t>10210_011</t>
  </si>
  <si>
    <t>10410_001</t>
  </si>
  <si>
    <t>10310_003</t>
  </si>
  <si>
    <t>10350_015</t>
  </si>
  <si>
    <t>10210_003</t>
  </si>
  <si>
    <t>10310_001</t>
  </si>
  <si>
    <t>10310_014</t>
  </si>
  <si>
    <t>10210_021</t>
  </si>
  <si>
    <t>10310_010</t>
  </si>
  <si>
    <t>10310_013</t>
  </si>
  <si>
    <t>10150_004</t>
  </si>
  <si>
    <t>10210_015</t>
  </si>
  <si>
    <t>21188_004</t>
  </si>
  <si>
    <t>10310_007</t>
  </si>
  <si>
    <t>10210_006</t>
  </si>
  <si>
    <t>21111_002</t>
  </si>
  <si>
    <t>10310_008</t>
  </si>
  <si>
    <t>10150_002</t>
  </si>
  <si>
    <t>10310_015</t>
  </si>
  <si>
    <t>10310_062</t>
  </si>
  <si>
    <t>10350_011</t>
  </si>
  <si>
    <t>10310_025</t>
  </si>
  <si>
    <t>10650_014</t>
  </si>
  <si>
    <t>10350_018</t>
  </si>
  <si>
    <t>10150_036</t>
  </si>
  <si>
    <t>10350_027</t>
  </si>
  <si>
    <t>10210_025</t>
  </si>
  <si>
    <t>10210_041</t>
  </si>
  <si>
    <t>10410_004</t>
  </si>
  <si>
    <t>10210_010</t>
  </si>
  <si>
    <t>10210_027</t>
  </si>
  <si>
    <t>10410_005</t>
  </si>
  <si>
    <t>10310_019</t>
  </si>
  <si>
    <t>10210_040</t>
  </si>
  <si>
    <t>10250_006</t>
  </si>
  <si>
    <t>10310_011</t>
  </si>
  <si>
    <t>10310_020</t>
  </si>
  <si>
    <t>10350_002</t>
  </si>
  <si>
    <t>10210_023</t>
  </si>
  <si>
    <t>10110_004</t>
  </si>
  <si>
    <t>10310_032</t>
  </si>
  <si>
    <t>10150_016</t>
  </si>
  <si>
    <t>10350_023</t>
  </si>
  <si>
    <t>21111_087</t>
  </si>
  <si>
    <t>10210_029</t>
  </si>
  <si>
    <t>10150_019</t>
  </si>
  <si>
    <t>10310_027</t>
  </si>
  <si>
    <t>10310_021</t>
  </si>
  <si>
    <t>10310_071</t>
  </si>
  <si>
    <t>10310_012</t>
  </si>
  <si>
    <t>10510_004</t>
  </si>
  <si>
    <t>10310_067</t>
  </si>
  <si>
    <t>10150_021</t>
  </si>
  <si>
    <t>10210_044</t>
  </si>
  <si>
    <t>10210_024</t>
  </si>
  <si>
    <t>10150_024</t>
  </si>
  <si>
    <t>10150_025</t>
  </si>
  <si>
    <t>10210_046</t>
  </si>
  <si>
    <t>10410_018</t>
  </si>
  <si>
    <t>10210_047</t>
  </si>
  <si>
    <t>10210_014</t>
  </si>
  <si>
    <t>10150_029</t>
  </si>
  <si>
    <t>10210_050</t>
  </si>
  <si>
    <t>10110_006</t>
  </si>
  <si>
    <t>10150_030</t>
  </si>
  <si>
    <t>10110_008</t>
  </si>
  <si>
    <t>10110_019</t>
  </si>
  <si>
    <t>10110_016</t>
  </si>
  <si>
    <t>10110_018</t>
  </si>
  <si>
    <t>10210_051</t>
  </si>
  <si>
    <t>10410_021</t>
  </si>
  <si>
    <t>10350_032</t>
  </si>
  <si>
    <t>10150_037</t>
  </si>
  <si>
    <t>10310_075</t>
  </si>
  <si>
    <t>10610_001</t>
  </si>
  <si>
    <t>10310_079</t>
  </si>
  <si>
    <t>10110_022</t>
  </si>
  <si>
    <t>10210_060</t>
  </si>
  <si>
    <t>10150_044</t>
  </si>
  <si>
    <t>10350_042</t>
  </si>
  <si>
    <t>10350_017</t>
  </si>
  <si>
    <t>10310_041</t>
  </si>
  <si>
    <t>10310_088</t>
  </si>
  <si>
    <t>10410_025</t>
  </si>
  <si>
    <t>10310_076</t>
  </si>
  <si>
    <t>10350_030</t>
  </si>
  <si>
    <t>10150_007</t>
  </si>
  <si>
    <t>10210_036</t>
  </si>
  <si>
    <t>10110_025</t>
  </si>
  <si>
    <t>10210_045</t>
  </si>
  <si>
    <t>10310_016</t>
  </si>
  <si>
    <t>10310_006</t>
  </si>
  <si>
    <t>10310_089</t>
  </si>
  <si>
    <t>10310_055</t>
  </si>
  <si>
    <t>10310_090</t>
  </si>
  <si>
    <t>10310_094</t>
  </si>
  <si>
    <t>10310_095</t>
  </si>
  <si>
    <t>10310_091</t>
  </si>
  <si>
    <t>10310_092</t>
  </si>
  <si>
    <t>10310_093</t>
  </si>
  <si>
    <t>10650_026</t>
  </si>
  <si>
    <t>10150_047</t>
  </si>
  <si>
    <t>10250_008</t>
  </si>
  <si>
    <t>10210_063</t>
  </si>
  <si>
    <t>32133_002</t>
  </si>
  <si>
    <t>61311_001</t>
  </si>
  <si>
    <t>51189_001</t>
  </si>
  <si>
    <t>34374_001</t>
  </si>
  <si>
    <t>34374_002</t>
  </si>
  <si>
    <t>62245_001</t>
  </si>
  <si>
    <t>22359_002</t>
  </si>
  <si>
    <t>22359_003</t>
  </si>
  <si>
    <t>22359_004</t>
  </si>
  <si>
    <t>10650_004</t>
  </si>
  <si>
    <t>10410_012</t>
  </si>
  <si>
    <t>10150_048</t>
  </si>
  <si>
    <t>10410_016</t>
  </si>
  <si>
    <t>23413_007</t>
  </si>
  <si>
    <t>23211_003</t>
  </si>
  <si>
    <t>51157_001</t>
  </si>
  <si>
    <t>34276_002</t>
  </si>
  <si>
    <t>23267_006</t>
  </si>
  <si>
    <t>37231_001</t>
  </si>
  <si>
    <t>35314_001</t>
  </si>
  <si>
    <t>23231_007</t>
  </si>
  <si>
    <t>62276_018</t>
  </si>
  <si>
    <t>10210_064</t>
  </si>
  <si>
    <t>10250_010</t>
  </si>
  <si>
    <t>10250_011</t>
  </si>
  <si>
    <t>10210_065</t>
  </si>
  <si>
    <t>24133_039</t>
  </si>
  <si>
    <t>71281_001</t>
  </si>
  <si>
    <t>21111_006</t>
  </si>
  <si>
    <t>10150_033</t>
  </si>
  <si>
    <t>34276_003</t>
  </si>
  <si>
    <t>32155_002</t>
  </si>
  <si>
    <t>62276_019</t>
  </si>
  <si>
    <t>22659_001</t>
  </si>
  <si>
    <t>21211_018</t>
  </si>
  <si>
    <t>61463_003</t>
  </si>
  <si>
    <t>52244_002</t>
  </si>
  <si>
    <t>23267_007</t>
  </si>
  <si>
    <t>ACS</t>
  </si>
  <si>
    <t>Pcode</t>
  </si>
  <si>
    <t>24343_001</t>
  </si>
  <si>
    <t>24211_001</t>
  </si>
  <si>
    <t>24417_001</t>
  </si>
  <si>
    <t>24133_001</t>
  </si>
  <si>
    <t>duplicate</t>
  </si>
  <si>
    <t>51131_001</t>
  </si>
  <si>
    <t>52244_001</t>
  </si>
  <si>
    <t>55124_001</t>
  </si>
  <si>
    <t>51131_002</t>
  </si>
  <si>
    <t>51281_001</t>
  </si>
  <si>
    <t>31181_001</t>
  </si>
  <si>
    <t>53377_001</t>
  </si>
  <si>
    <t>53413_001</t>
  </si>
  <si>
    <t>53231_001</t>
  </si>
  <si>
    <t>53211_002</t>
  </si>
  <si>
    <t>31181_008</t>
  </si>
  <si>
    <t>53247_001</t>
  </si>
  <si>
    <t>24424_002</t>
  </si>
  <si>
    <t>24227_002</t>
  </si>
  <si>
    <t>62111_028</t>
  </si>
  <si>
    <t>62128_001</t>
  </si>
  <si>
    <t>62111_001</t>
  </si>
  <si>
    <t>61383_001</t>
  </si>
  <si>
    <t>61277_001</t>
  </si>
  <si>
    <t>32155_003</t>
  </si>
  <si>
    <t>10350_014</t>
  </si>
  <si>
    <t>74111_003</t>
  </si>
  <si>
    <t>74133_002</t>
  </si>
  <si>
    <t>74133_001</t>
  </si>
  <si>
    <t>71377_001</t>
  </si>
  <si>
    <t>71361_001</t>
  </si>
  <si>
    <t>71361_002</t>
  </si>
  <si>
    <t>51241_002</t>
  </si>
  <si>
    <t>51365_001</t>
  </si>
  <si>
    <t>53445_001</t>
  </si>
  <si>
    <t>35275_020</t>
  </si>
  <si>
    <t>35261_002</t>
  </si>
  <si>
    <t>51267_012</t>
  </si>
  <si>
    <t>51113_001</t>
  </si>
  <si>
    <t>51311_006</t>
  </si>
  <si>
    <t>61115_007</t>
  </si>
  <si>
    <t>63277_003</t>
  </si>
  <si>
    <t>32181_003</t>
  </si>
  <si>
    <t>35125_001</t>
  </si>
  <si>
    <t>35314_002</t>
  </si>
  <si>
    <t>35275_002</t>
  </si>
  <si>
    <t>35416_002</t>
  </si>
  <si>
    <t>35275_001</t>
  </si>
  <si>
    <t>35357_001</t>
  </si>
  <si>
    <t>35129_001</t>
  </si>
  <si>
    <t>35153_001</t>
  </si>
  <si>
    <t>35151_001</t>
  </si>
  <si>
    <t>35229_001</t>
  </si>
  <si>
    <t>73111_006</t>
  </si>
  <si>
    <t>51221_001</t>
  </si>
  <si>
    <t>35416_006</t>
  </si>
  <si>
    <t>35357_006</t>
  </si>
  <si>
    <t>24155_002</t>
  </si>
  <si>
    <t>35237_001</t>
  </si>
  <si>
    <t>35325_001</t>
  </si>
  <si>
    <t>35245_002</t>
  </si>
  <si>
    <t>35267_001</t>
  </si>
  <si>
    <t>35449_001</t>
  </si>
  <si>
    <t>35344_001</t>
  </si>
  <si>
    <t>35147_001</t>
  </si>
  <si>
    <t>73111_001</t>
  </si>
  <si>
    <t>73127_001</t>
  </si>
  <si>
    <t>10350_008</t>
  </si>
  <si>
    <t>10310_017</t>
  </si>
  <si>
    <t>53241_004</t>
  </si>
  <si>
    <t>53221_004</t>
  </si>
  <si>
    <t>53111_037</t>
  </si>
  <si>
    <t>21456_002</t>
  </si>
  <si>
    <t>21344_001</t>
  </si>
  <si>
    <t>71111_022</t>
  </si>
  <si>
    <t>71111_021</t>
  </si>
  <si>
    <t>10310_066</t>
  </si>
  <si>
    <t>10210_035</t>
  </si>
  <si>
    <t>37271_001</t>
  </si>
  <si>
    <t>25439_005</t>
  </si>
  <si>
    <t>21111_089</t>
  </si>
  <si>
    <t>52244_003</t>
  </si>
  <si>
    <t>62111_029</t>
  </si>
  <si>
    <t>51177_003</t>
  </si>
  <si>
    <t>51231_009</t>
  </si>
  <si>
    <t>51177_002</t>
  </si>
  <si>
    <t>33129_003</t>
  </si>
  <si>
    <t>31151_004</t>
  </si>
  <si>
    <t>51231_010</t>
  </si>
  <si>
    <t>52237_006</t>
  </si>
  <si>
    <t>34284_002</t>
  </si>
  <si>
    <t>52237_007</t>
  </si>
  <si>
    <t>31151_005</t>
  </si>
  <si>
    <t>31111_049</t>
  </si>
  <si>
    <t>52237_005</t>
  </si>
  <si>
    <t>33129_001</t>
  </si>
  <si>
    <t>33155_001</t>
  </si>
  <si>
    <t>51241_003</t>
  </si>
  <si>
    <t>37319_002</t>
  </si>
  <si>
    <t>33141_001</t>
  </si>
  <si>
    <t>32113_002</t>
  </si>
  <si>
    <t>37261_001</t>
  </si>
  <si>
    <t>34188_003</t>
  </si>
  <si>
    <t>33117_002</t>
  </si>
  <si>
    <t>53461_001</t>
  </si>
  <si>
    <t>53475_001</t>
  </si>
  <si>
    <t>53211_007</t>
  </si>
  <si>
    <t>35314_011</t>
  </si>
  <si>
    <t>35351_007</t>
  </si>
  <si>
    <t>35277_001</t>
  </si>
  <si>
    <t>35512_015</t>
  </si>
  <si>
    <t>35322_001</t>
  </si>
  <si>
    <t>35354_001</t>
  </si>
  <si>
    <t>35328_001</t>
  </si>
  <si>
    <t>10350_010</t>
  </si>
  <si>
    <t>10350_012</t>
  </si>
  <si>
    <t>23255_004</t>
  </si>
  <si>
    <t>23566_003</t>
  </si>
  <si>
    <t>23655_001</t>
  </si>
  <si>
    <t>23631_001</t>
  </si>
  <si>
    <t>22262_003</t>
  </si>
  <si>
    <t>22757_002</t>
  </si>
  <si>
    <t>22797_001</t>
  </si>
  <si>
    <t>53274_002</t>
  </si>
  <si>
    <t>35243_001</t>
  </si>
  <si>
    <t>35437_012</t>
  </si>
  <si>
    <t>22359_001</t>
  </si>
  <si>
    <t>35149_001</t>
  </si>
  <si>
    <t>35429_002</t>
  </si>
  <si>
    <t>55137_003</t>
  </si>
  <si>
    <t>22711_001</t>
  </si>
  <si>
    <t>53147_001</t>
  </si>
  <si>
    <t>53211_008</t>
  </si>
  <si>
    <t>53211_006</t>
  </si>
  <si>
    <t>53111_038</t>
  </si>
  <si>
    <t>53111_040</t>
  </si>
  <si>
    <t>53111_039</t>
  </si>
  <si>
    <t>53459_005</t>
  </si>
  <si>
    <t>22751_001</t>
  </si>
  <si>
    <t>22611_001</t>
  </si>
  <si>
    <t>10410_014</t>
  </si>
  <si>
    <t>10210_034</t>
  </si>
  <si>
    <t>51267_007</t>
  </si>
  <si>
    <t>51231_002</t>
  </si>
  <si>
    <t>22531_001</t>
  </si>
  <si>
    <t>23259_001</t>
  </si>
  <si>
    <t>51267_024</t>
  </si>
  <si>
    <t>23251_016</t>
  </si>
  <si>
    <t>31111_028</t>
  </si>
  <si>
    <t>23413_006</t>
  </si>
  <si>
    <t>35189_001</t>
  </si>
  <si>
    <t>35271_001</t>
  </si>
  <si>
    <t>35314_003</t>
  </si>
  <si>
    <t>37323_001</t>
  </si>
  <si>
    <t>37271_002</t>
  </si>
  <si>
    <t>37365_003</t>
  </si>
  <si>
    <t>37231_002</t>
  </si>
  <si>
    <t>37343_001</t>
  </si>
  <si>
    <t>32155_001</t>
  </si>
  <si>
    <t>23247_004</t>
  </si>
  <si>
    <t>31166_005</t>
  </si>
  <si>
    <t>31141_003</t>
  </si>
  <si>
    <t>63271_001</t>
  </si>
  <si>
    <t>53271_002</t>
  </si>
  <si>
    <t>53377_002</t>
  </si>
  <si>
    <t>51111_009</t>
  </si>
  <si>
    <t>52121_005</t>
  </si>
  <si>
    <t>52121_004</t>
  </si>
  <si>
    <t>53433_004</t>
  </si>
  <si>
    <t>37339_001</t>
  </si>
  <si>
    <t>52121_003</t>
  </si>
  <si>
    <t>51231_008</t>
  </si>
  <si>
    <t>32171_001</t>
  </si>
  <si>
    <t>23215_003</t>
  </si>
  <si>
    <t>51267_025</t>
  </si>
  <si>
    <t>32179_001</t>
  </si>
  <si>
    <t>51267_004</t>
  </si>
  <si>
    <t>35432_002</t>
  </si>
  <si>
    <t>24319_002</t>
  </si>
  <si>
    <t>53221_003</t>
  </si>
  <si>
    <t>35155_001</t>
  </si>
  <si>
    <t>25126_001</t>
  </si>
  <si>
    <t>35512_002</t>
  </si>
  <si>
    <t>35453_001</t>
  </si>
  <si>
    <t>24351_002</t>
  </si>
  <si>
    <t>24351_003</t>
  </si>
  <si>
    <t>31111_014</t>
  </si>
  <si>
    <t>37241_004</t>
  </si>
  <si>
    <t>24375_005</t>
  </si>
  <si>
    <t>37329_001</t>
  </si>
  <si>
    <t>31111_010</t>
  </si>
  <si>
    <t>24343_004</t>
  </si>
  <si>
    <t>24434_002</t>
  </si>
  <si>
    <t>61255_003</t>
  </si>
  <si>
    <t>22531_003</t>
  </si>
  <si>
    <t>53375_001</t>
  </si>
  <si>
    <t>35351_008</t>
  </si>
  <si>
    <t>55154_003</t>
  </si>
  <si>
    <t>51267_026</t>
  </si>
  <si>
    <t>52237_010</t>
  </si>
  <si>
    <t>51231_012</t>
  </si>
  <si>
    <t>35171_004</t>
  </si>
  <si>
    <t>53333_001</t>
  </si>
  <si>
    <t>53211_005</t>
  </si>
  <si>
    <t>10310_040</t>
  </si>
  <si>
    <t>35211_001</t>
  </si>
  <si>
    <t>23243_008</t>
  </si>
  <si>
    <t>35224_002</t>
  </si>
  <si>
    <t>35216_001</t>
  </si>
  <si>
    <t>35231_001</t>
  </si>
  <si>
    <t>35227_001</t>
  </si>
  <si>
    <t>21394_001</t>
  </si>
  <si>
    <t>24411_004</t>
  </si>
  <si>
    <t>31111_011</t>
  </si>
  <si>
    <t>35351_001</t>
  </si>
  <si>
    <t>32181_001</t>
  </si>
  <si>
    <t>32163_001</t>
  </si>
  <si>
    <t>10350_020</t>
  </si>
  <si>
    <t>74128_001</t>
  </si>
  <si>
    <t>52295_001</t>
  </si>
  <si>
    <t>55171_001</t>
  </si>
  <si>
    <t>22155_012</t>
  </si>
  <si>
    <t>61119_021</t>
  </si>
  <si>
    <t>37341_004</t>
  </si>
  <si>
    <t>74111_017</t>
  </si>
  <si>
    <t>74175_003</t>
  </si>
  <si>
    <t>74124_002</t>
  </si>
  <si>
    <t>52264_001</t>
  </si>
  <si>
    <t>51231_003</t>
  </si>
  <si>
    <t>63111_009</t>
  </si>
  <si>
    <t>34111_003</t>
  </si>
  <si>
    <t>34111_002</t>
  </si>
  <si>
    <t>34177_001</t>
  </si>
  <si>
    <t>61277_002</t>
  </si>
  <si>
    <t>22797_007</t>
  </si>
  <si>
    <t>37231_006</t>
  </si>
  <si>
    <t>31176_001</t>
  </si>
  <si>
    <t>33251_01</t>
  </si>
  <si>
    <t>31111_022</t>
  </si>
  <si>
    <t>35352_001</t>
  </si>
  <si>
    <t>32117_001</t>
  </si>
  <si>
    <t>23251_020</t>
  </si>
  <si>
    <t>23211_011</t>
  </si>
  <si>
    <t>35411_001</t>
  </si>
  <si>
    <t>35265_001</t>
  </si>
  <si>
    <t>53231_003</t>
  </si>
  <si>
    <t>23211_008</t>
  </si>
  <si>
    <t>35211_003</t>
  </si>
  <si>
    <t>35123_001</t>
  </si>
  <si>
    <t>73111_008</t>
  </si>
  <si>
    <t>22751_002</t>
  </si>
  <si>
    <t>24111_034</t>
  </si>
  <si>
    <t>24133_020</t>
  </si>
  <si>
    <t>23141_011</t>
  </si>
  <si>
    <t>23331_004</t>
  </si>
  <si>
    <t>53231_002</t>
  </si>
  <si>
    <t>37329_002</t>
  </si>
  <si>
    <t>23639_001</t>
  </si>
  <si>
    <t>23381_002</t>
  </si>
  <si>
    <t>23247_006</t>
  </si>
  <si>
    <t>23247_002</t>
  </si>
  <si>
    <t>37271_006</t>
  </si>
  <si>
    <t>71111_023</t>
  </si>
  <si>
    <t>51383_001</t>
  </si>
  <si>
    <t>35467_001</t>
  </si>
  <si>
    <t>10310_057</t>
  </si>
  <si>
    <t>35437_003</t>
  </si>
  <si>
    <t>34269_002</t>
  </si>
  <si>
    <t>34277_001</t>
  </si>
  <si>
    <t>10310_030</t>
  </si>
  <si>
    <t>35149_006</t>
  </si>
  <si>
    <t>53214_011</t>
  </si>
  <si>
    <t>35131_001</t>
  </si>
  <si>
    <t>53214_004</t>
  </si>
  <si>
    <t>10310_069</t>
  </si>
  <si>
    <t>23251_022</t>
  </si>
  <si>
    <t>10150_018</t>
  </si>
  <si>
    <t>31111_026</t>
  </si>
  <si>
    <t>22754_005</t>
  </si>
  <si>
    <t>53231_006</t>
  </si>
  <si>
    <t>37311_007</t>
  </si>
  <si>
    <t>37345_001</t>
  </si>
  <si>
    <t>23171_001</t>
  </si>
  <si>
    <t>23171_002</t>
  </si>
  <si>
    <t>51173_001</t>
  </si>
  <si>
    <t>35275_009</t>
  </si>
  <si>
    <t>10210_042</t>
  </si>
  <si>
    <t>10210_043</t>
  </si>
  <si>
    <t>10350_024</t>
  </si>
  <si>
    <t>35177_001</t>
  </si>
  <si>
    <t>37339_002</t>
  </si>
  <si>
    <t>23511_010</t>
  </si>
  <si>
    <t>10410_017</t>
  </si>
  <si>
    <t>37311_003</t>
  </si>
  <si>
    <t>31176_005</t>
  </si>
  <si>
    <t>37231_024</t>
  </si>
  <si>
    <t>24457_002</t>
  </si>
  <si>
    <t>22531_008</t>
  </si>
  <si>
    <t>22531_009</t>
  </si>
  <si>
    <t>37271_007</t>
  </si>
  <si>
    <t>31116_007</t>
  </si>
  <si>
    <t>10150_020</t>
  </si>
  <si>
    <t>21311_002</t>
  </si>
  <si>
    <t>35411_002</t>
  </si>
  <si>
    <t>23243_010</t>
  </si>
  <si>
    <t>24211_006</t>
  </si>
  <si>
    <t>10150_022</t>
  </si>
  <si>
    <t>35143_001</t>
  </si>
  <si>
    <t>23247_009</t>
  </si>
  <si>
    <t>23511_011</t>
  </si>
  <si>
    <t>22741_001</t>
  </si>
  <si>
    <t>24444_002</t>
  </si>
  <si>
    <t>24343_005</t>
  </si>
  <si>
    <t>37231_008</t>
  </si>
  <si>
    <t>22511_004</t>
  </si>
  <si>
    <t>22511_005</t>
  </si>
  <si>
    <t>33259_002</t>
  </si>
  <si>
    <t>35437_013</t>
  </si>
  <si>
    <t>37271_008</t>
  </si>
  <si>
    <t>10150_023</t>
  </si>
  <si>
    <t>22111_023</t>
  </si>
  <si>
    <t>10310_072</t>
  </si>
  <si>
    <t>10650_022</t>
  </si>
  <si>
    <t>10310_033</t>
  </si>
  <si>
    <t>35224_001</t>
  </si>
  <si>
    <t>25156_002</t>
  </si>
  <si>
    <t>25171_002</t>
  </si>
  <si>
    <t>25357_008</t>
  </si>
  <si>
    <t>25357_009</t>
  </si>
  <si>
    <t>25357_010</t>
  </si>
  <si>
    <t>25357_011</t>
  </si>
  <si>
    <t>25357_012</t>
  </si>
  <si>
    <t>25357_013</t>
  </si>
  <si>
    <t>25357_014</t>
  </si>
  <si>
    <t>25361_001</t>
  </si>
  <si>
    <t>25331_001</t>
  </si>
  <si>
    <t>51244_006</t>
  </si>
  <si>
    <t>51244_003</t>
  </si>
  <si>
    <t>51353_001</t>
  </si>
  <si>
    <t>10350_025</t>
  </si>
  <si>
    <t>35318_003</t>
  </si>
  <si>
    <t>24331_002</t>
  </si>
  <si>
    <t>35427_001</t>
  </si>
  <si>
    <t>24331_003</t>
  </si>
  <si>
    <t>24211_011</t>
  </si>
  <si>
    <t>34269_001</t>
  </si>
  <si>
    <t>10150_027</t>
  </si>
  <si>
    <t>53267_001</t>
  </si>
  <si>
    <t>10210_048</t>
  </si>
  <si>
    <t>21111_090</t>
  </si>
  <si>
    <t>74111_001</t>
  </si>
  <si>
    <t>10150_028</t>
  </si>
  <si>
    <t>10310_073</t>
  </si>
  <si>
    <t>23111_007</t>
  </si>
  <si>
    <t>51244_004</t>
  </si>
  <si>
    <t>24133_029</t>
  </si>
  <si>
    <t>74111_018</t>
  </si>
  <si>
    <t>10210_049</t>
  </si>
  <si>
    <t>25475_001</t>
  </si>
  <si>
    <t>10110_005</t>
  </si>
  <si>
    <t>22555_002</t>
  </si>
  <si>
    <t>51244_005</t>
  </si>
  <si>
    <t>22455_004</t>
  </si>
  <si>
    <t>32141_002</t>
  </si>
  <si>
    <t>35187_002</t>
  </si>
  <si>
    <t>35325_003</t>
  </si>
  <si>
    <t>24337_002</t>
  </si>
  <si>
    <t>35215_001</t>
  </si>
  <si>
    <t>35337_001</t>
  </si>
  <si>
    <t>35245_001</t>
  </si>
  <si>
    <t>35175_001</t>
  </si>
  <si>
    <t>22511_006</t>
  </si>
  <si>
    <t>35322_002</t>
  </si>
  <si>
    <t>71113_006</t>
  </si>
  <si>
    <t>22754_006</t>
  </si>
  <si>
    <t>25211_007</t>
  </si>
  <si>
    <t>22611_004</t>
  </si>
  <si>
    <t>22155_013</t>
  </si>
  <si>
    <t>22733_003</t>
  </si>
  <si>
    <t>35353_002</t>
  </si>
  <si>
    <t>51347_002</t>
  </si>
  <si>
    <t>32131_003</t>
  </si>
  <si>
    <t>22211_006</t>
  </si>
  <si>
    <t>10999_002</t>
  </si>
  <si>
    <t>51111_011</t>
  </si>
  <si>
    <t>51111_012</t>
  </si>
  <si>
    <t>51111_013</t>
  </si>
  <si>
    <t>35439_004</t>
  </si>
  <si>
    <t>35518_001</t>
  </si>
  <si>
    <t>35516_003</t>
  </si>
  <si>
    <t>35325_002</t>
  </si>
  <si>
    <t>22111_026</t>
  </si>
  <si>
    <t>24331_004</t>
  </si>
  <si>
    <t>24343_006</t>
  </si>
  <si>
    <t>24133_030</t>
  </si>
  <si>
    <t>35511_001</t>
  </si>
  <si>
    <t>55151_001</t>
  </si>
  <si>
    <t>53231_019</t>
  </si>
  <si>
    <t>53231_020</t>
  </si>
  <si>
    <t>53231_021</t>
  </si>
  <si>
    <t>53241_006</t>
  </si>
  <si>
    <t>10350_028</t>
  </si>
  <si>
    <t>22411_005</t>
  </si>
  <si>
    <t>74111_019</t>
  </si>
  <si>
    <t>25211_008</t>
  </si>
  <si>
    <t>10110_009</t>
  </si>
  <si>
    <t>24311_018</t>
  </si>
  <si>
    <t>10110_013</t>
  </si>
  <si>
    <t>10110_017</t>
  </si>
  <si>
    <t>10150_032</t>
  </si>
  <si>
    <t>25319_004</t>
  </si>
  <si>
    <t>51281_007</t>
  </si>
  <si>
    <t>31111_004</t>
  </si>
  <si>
    <t>22262_015</t>
  </si>
  <si>
    <t>10350_031</t>
  </si>
  <si>
    <t>25423_004</t>
  </si>
  <si>
    <t>10310_074</t>
  </si>
  <si>
    <t>10410_019</t>
  </si>
  <si>
    <t>22411_006</t>
  </si>
  <si>
    <t>51281_008</t>
  </si>
  <si>
    <t>53111_042</t>
  </si>
  <si>
    <t>52254_004</t>
  </si>
  <si>
    <t>53111_043</t>
  </si>
  <si>
    <t>61335_003</t>
  </si>
  <si>
    <t>53221_005</t>
  </si>
  <si>
    <t>31161_010</t>
  </si>
  <si>
    <t>37351_001</t>
  </si>
  <si>
    <t>24375_006</t>
  </si>
  <si>
    <t>24211_013</t>
  </si>
  <si>
    <t>35191_003</t>
  </si>
  <si>
    <t>22262_016</t>
  </si>
  <si>
    <t>25353_001</t>
  </si>
  <si>
    <t>24411_005</t>
  </si>
  <si>
    <t>24243_012</t>
  </si>
  <si>
    <t>23243_006</t>
  </si>
  <si>
    <t>53214_012</t>
  </si>
  <si>
    <t>10150_034</t>
  </si>
  <si>
    <t>10150_035</t>
  </si>
  <si>
    <t>26243_004</t>
  </si>
  <si>
    <t>23141_003</t>
  </si>
  <si>
    <t>23141_001</t>
  </si>
  <si>
    <t>21219_034</t>
  </si>
  <si>
    <t>24343_007</t>
  </si>
  <si>
    <t>10410_020</t>
  </si>
  <si>
    <t>26243_003</t>
  </si>
  <si>
    <t>26243_001</t>
  </si>
  <si>
    <t>31111_012</t>
  </si>
  <si>
    <t>22419_009</t>
  </si>
  <si>
    <t>35416_007</t>
  </si>
  <si>
    <t>10150_031</t>
  </si>
  <si>
    <t>53231_018</t>
  </si>
  <si>
    <t>24133_034</t>
  </si>
  <si>
    <t>51111_014</t>
  </si>
  <si>
    <t>10150_038</t>
  </si>
  <si>
    <t>24243_013</t>
  </si>
  <si>
    <t>26229_004</t>
  </si>
  <si>
    <t>23251_023</t>
  </si>
  <si>
    <t>24133_035</t>
  </si>
  <si>
    <t>23321_004</t>
  </si>
  <si>
    <t>26327_001</t>
  </si>
  <si>
    <t>26341_002</t>
  </si>
  <si>
    <t>26364_002</t>
  </si>
  <si>
    <t>26331_002</t>
  </si>
  <si>
    <t>26331_003</t>
  </si>
  <si>
    <t>10410_022</t>
  </si>
  <si>
    <t>24211_014</t>
  </si>
  <si>
    <t>10210_052</t>
  </si>
  <si>
    <t>10650_023</t>
  </si>
  <si>
    <t>22733_005</t>
  </si>
  <si>
    <t>23231_005</t>
  </si>
  <si>
    <t>23331_003</t>
  </si>
  <si>
    <t>23255_003</t>
  </si>
  <si>
    <t>23211_015</t>
  </si>
  <si>
    <t>24331_005</t>
  </si>
  <si>
    <t>24414_003</t>
  </si>
  <si>
    <t>22459_001</t>
  </si>
  <si>
    <t>21111_092</t>
  </si>
  <si>
    <t>21111_093</t>
  </si>
  <si>
    <t>21111_094</t>
  </si>
  <si>
    <t>21111_095</t>
  </si>
  <si>
    <t>35185_002</t>
  </si>
  <si>
    <t>35149_007</t>
  </si>
  <si>
    <t>35235_002</t>
  </si>
  <si>
    <t>10150_040</t>
  </si>
  <si>
    <t>10350_036</t>
  </si>
  <si>
    <t>26111_014</t>
  </si>
  <si>
    <t>26364_001</t>
  </si>
  <si>
    <t>24133_037</t>
  </si>
  <si>
    <t>10310_080</t>
  </si>
  <si>
    <t>34111_009</t>
  </si>
  <si>
    <t>34111_010</t>
  </si>
  <si>
    <t>35277_014</t>
  </si>
  <si>
    <t>22627_001</t>
  </si>
  <si>
    <t>53231_022</t>
  </si>
  <si>
    <t>53221_007</t>
  </si>
  <si>
    <t>52244_007</t>
  </si>
  <si>
    <t>55177_001</t>
  </si>
  <si>
    <t>10210_053</t>
  </si>
  <si>
    <t>61183_009</t>
  </si>
  <si>
    <t>21367_001</t>
  </si>
  <si>
    <t>25116_008</t>
  </si>
  <si>
    <t>22375_002</t>
  </si>
  <si>
    <t>22155_016</t>
  </si>
  <si>
    <t>10210_059</t>
  </si>
  <si>
    <t>37313_007</t>
  </si>
  <si>
    <t>10350_039</t>
  </si>
  <si>
    <t>10150_026</t>
  </si>
  <si>
    <t>10310_085</t>
  </si>
  <si>
    <t>10310_086</t>
  </si>
  <si>
    <t>10150_042</t>
  </si>
  <si>
    <t>51241_005</t>
  </si>
  <si>
    <t>51241_006</t>
  </si>
  <si>
    <t>51244_007</t>
  </si>
  <si>
    <t>51244_008</t>
  </si>
  <si>
    <t>10350_041</t>
  </si>
  <si>
    <t>53311_008</t>
  </si>
  <si>
    <t>53311_009</t>
  </si>
  <si>
    <t>53241_007</t>
  </si>
  <si>
    <t>53231_023</t>
  </si>
  <si>
    <t>53241_008</t>
  </si>
  <si>
    <t>10410_024</t>
  </si>
  <si>
    <t>10310_087</t>
  </si>
  <si>
    <t>35328_003</t>
  </si>
  <si>
    <t>35427_003</t>
  </si>
  <si>
    <t>35357_009</t>
  </si>
  <si>
    <t>21111_101</t>
  </si>
  <si>
    <t>37343_002</t>
  </si>
  <si>
    <t>35325_004</t>
  </si>
  <si>
    <t>35445_001</t>
  </si>
  <si>
    <t>25375_002</t>
  </si>
  <si>
    <t>10150_043</t>
  </si>
  <si>
    <t>25357_015</t>
  </si>
  <si>
    <t>35467_002</t>
  </si>
  <si>
    <t>35414_001</t>
  </si>
  <si>
    <t>35320_001</t>
  </si>
  <si>
    <t>35512_007</t>
  </si>
  <si>
    <t>35185_001</t>
  </si>
  <si>
    <t>10110_023</t>
  </si>
  <si>
    <t>10110_024</t>
  </si>
  <si>
    <t>24411_006</t>
  </si>
  <si>
    <t>37391_007</t>
  </si>
  <si>
    <t>34269_004</t>
  </si>
  <si>
    <t>22335_006</t>
  </si>
  <si>
    <t>10150_046</t>
  </si>
  <si>
    <t>23459_001</t>
  </si>
  <si>
    <t>23663_003</t>
  </si>
  <si>
    <t>Need to check</t>
  </si>
  <si>
    <t>10650_015</t>
  </si>
  <si>
    <t>21219_018</t>
  </si>
  <si>
    <t>21219_003</t>
  </si>
  <si>
    <t>21219_002</t>
  </si>
  <si>
    <t>21251_002</t>
  </si>
  <si>
    <t>21466_001</t>
  </si>
  <si>
    <t>21446_001</t>
  </si>
  <si>
    <t>21446_002</t>
  </si>
  <si>
    <t>21357_006</t>
  </si>
  <si>
    <t>21188_001</t>
  </si>
  <si>
    <t>21177_007</t>
  </si>
  <si>
    <t>21177_008</t>
  </si>
  <si>
    <t>21111_015</t>
  </si>
  <si>
    <t>21111_016</t>
  </si>
  <si>
    <t>21133_003</t>
  </si>
  <si>
    <t>21111_017</t>
  </si>
  <si>
    <t>21411_002</t>
  </si>
  <si>
    <t>21111_010</t>
  </si>
  <si>
    <t>21251_001</t>
  </si>
  <si>
    <t>21267_001</t>
  </si>
  <si>
    <t>21351_001</t>
  </si>
  <si>
    <t>21426_001</t>
  </si>
  <si>
    <t>21351_002</t>
  </si>
  <si>
    <t>53221_006</t>
  </si>
  <si>
    <t>wrong</t>
  </si>
  <si>
    <t>53254_002</t>
  </si>
  <si>
    <t>74112_001</t>
  </si>
  <si>
    <t>22455_005</t>
  </si>
  <si>
    <t>24133_032</t>
  </si>
  <si>
    <t>74158_001</t>
  </si>
  <si>
    <t>34188_005</t>
  </si>
  <si>
    <t>26141_002</t>
  </si>
  <si>
    <t>25231_003</t>
  </si>
  <si>
    <t>24111_002</t>
  </si>
  <si>
    <t>23215_005</t>
  </si>
  <si>
    <t>23111_002</t>
  </si>
  <si>
    <t>24427_008</t>
  </si>
  <si>
    <t>24133_031</t>
  </si>
  <si>
    <t>10210_062</t>
  </si>
  <si>
    <t>35187_001</t>
  </si>
  <si>
    <t>55121_001</t>
  </si>
  <si>
    <t>52227_004</t>
  </si>
  <si>
    <t>25161_001</t>
  </si>
  <si>
    <t>52231_001</t>
  </si>
  <si>
    <t>21341_001</t>
  </si>
  <si>
    <t>71351_001</t>
  </si>
  <si>
    <t>62276_001</t>
  </si>
  <si>
    <t>62276_003</t>
  </si>
  <si>
    <t>62276_004</t>
  </si>
  <si>
    <t>62276_005</t>
  </si>
  <si>
    <t>62276_006</t>
  </si>
  <si>
    <t>62276_007</t>
  </si>
  <si>
    <t>62276_008</t>
  </si>
  <si>
    <t>62276_009</t>
  </si>
  <si>
    <t>62276_010</t>
  </si>
  <si>
    <t>62276_011</t>
  </si>
  <si>
    <t>62276_012</t>
  </si>
  <si>
    <t>62276_013</t>
  </si>
  <si>
    <t>62276_014</t>
  </si>
  <si>
    <t>62276_015</t>
  </si>
  <si>
    <t>62276_016</t>
  </si>
  <si>
    <t>62276_017</t>
  </si>
  <si>
    <t>36121_001</t>
  </si>
  <si>
    <t>24375_002</t>
  </si>
  <si>
    <t>24375_003</t>
  </si>
  <si>
    <t>24375_004</t>
  </si>
  <si>
    <t>61244_002</t>
  </si>
  <si>
    <t>61244_003</t>
  </si>
  <si>
    <t>61244_004</t>
  </si>
  <si>
    <t>34269_003</t>
  </si>
  <si>
    <t>33267_001</t>
  </si>
  <si>
    <t>33267_002</t>
  </si>
  <si>
    <t>25423_002</t>
  </si>
  <si>
    <t>25423_003</t>
  </si>
  <si>
    <t>73211_001</t>
  </si>
  <si>
    <t>71347_001</t>
  </si>
  <si>
    <t>61434_001</t>
  </si>
  <si>
    <t>61434_002</t>
  </si>
  <si>
    <t>61434_003</t>
  </si>
  <si>
    <t>61466_001</t>
  </si>
  <si>
    <t>73162_001</t>
  </si>
  <si>
    <t>62291_001</t>
  </si>
  <si>
    <t>62291_002</t>
  </si>
  <si>
    <t>62243_001</t>
  </si>
  <si>
    <t>62243_002</t>
  </si>
  <si>
    <t>62243_003</t>
  </si>
  <si>
    <t>62243_004</t>
  </si>
  <si>
    <t>62243_005</t>
  </si>
  <si>
    <t>62243_006</t>
  </si>
  <si>
    <t>53217_001</t>
  </si>
  <si>
    <t>53217_002</t>
  </si>
  <si>
    <t>53217_003</t>
  </si>
  <si>
    <t>53217_004</t>
  </si>
  <si>
    <t>53217_005</t>
  </si>
  <si>
    <t>53217_006</t>
  </si>
  <si>
    <t>53217_007</t>
  </si>
  <si>
    <t>53217_008</t>
  </si>
  <si>
    <t>53217_009</t>
  </si>
  <si>
    <t>53217_010</t>
  </si>
  <si>
    <t>53115_001</t>
  </si>
  <si>
    <t>53115_002</t>
  </si>
  <si>
    <t>53115_003</t>
  </si>
  <si>
    <t>24477_002</t>
  </si>
  <si>
    <t>61277_003</t>
  </si>
  <si>
    <t>22543_001</t>
  </si>
  <si>
    <t>22543_002</t>
  </si>
  <si>
    <t>10110_007</t>
  </si>
  <si>
    <t>10110_010</t>
  </si>
  <si>
    <t>10110_011</t>
  </si>
  <si>
    <t>10110_012</t>
  </si>
  <si>
    <t>10110_014</t>
  </si>
  <si>
    <t>10110_015</t>
  </si>
  <si>
    <t>10110_020</t>
  </si>
  <si>
    <t>10110_021</t>
  </si>
  <si>
    <t>10110_002</t>
  </si>
  <si>
    <t>10110_003</t>
  </si>
  <si>
    <t>25251_001</t>
  </si>
  <si>
    <t>25251_002</t>
  </si>
  <si>
    <t>52116_001</t>
  </si>
  <si>
    <t>37333_001</t>
  </si>
  <si>
    <t>35427_002</t>
  </si>
  <si>
    <t>72143_001</t>
  </si>
  <si>
    <t>72143_002</t>
  </si>
  <si>
    <t>51377_001</t>
  </si>
  <si>
    <t>24371_001</t>
  </si>
  <si>
    <t>71226_001</t>
  </si>
  <si>
    <t>22423_001</t>
  </si>
  <si>
    <t>22423_002</t>
  </si>
  <si>
    <t>22423_003</t>
  </si>
  <si>
    <t>35435_001</t>
  </si>
  <si>
    <t>35187_003</t>
  </si>
  <si>
    <t>23469_001</t>
  </si>
  <si>
    <t>72151_001</t>
  </si>
  <si>
    <t>72151_002</t>
  </si>
  <si>
    <t>72151_003</t>
  </si>
  <si>
    <t>72151_004</t>
  </si>
  <si>
    <t>72151_005</t>
  </si>
  <si>
    <t>72151_006</t>
  </si>
  <si>
    <t>72224_001</t>
  </si>
  <si>
    <t>62242_001</t>
  </si>
  <si>
    <t>62242_002</t>
  </si>
  <si>
    <t>25211_002</t>
  </si>
  <si>
    <t>25211_003</t>
  </si>
  <si>
    <t>25211_004</t>
  </si>
  <si>
    <t>25211_005</t>
  </si>
  <si>
    <t>35191_004</t>
  </si>
  <si>
    <t>35191_011</t>
  </si>
  <si>
    <t>35191_001</t>
  </si>
  <si>
    <t>35191_005</t>
  </si>
  <si>
    <t>35191_006</t>
  </si>
  <si>
    <t>35191_007</t>
  </si>
  <si>
    <t>35191_008</t>
  </si>
  <si>
    <t>35191_009</t>
  </si>
  <si>
    <t>35191_010</t>
  </si>
  <si>
    <t>24311_005</t>
  </si>
  <si>
    <t>24311_016</t>
  </si>
  <si>
    <t>24311_017</t>
  </si>
  <si>
    <t>24311_021</t>
  </si>
  <si>
    <t>24311_022</t>
  </si>
  <si>
    <t>24311_003</t>
  </si>
  <si>
    <t>24311_006</t>
  </si>
  <si>
    <t>24311_007</t>
  </si>
  <si>
    <t>24311_008</t>
  </si>
  <si>
    <t>24311_009</t>
  </si>
  <si>
    <t>24311_010</t>
  </si>
  <si>
    <t>24311_011</t>
  </si>
  <si>
    <t>24311_012</t>
  </si>
  <si>
    <t>24311_013</t>
  </si>
  <si>
    <t>24311_014</t>
  </si>
  <si>
    <t>24311_015</t>
  </si>
  <si>
    <t>24365_002</t>
  </si>
  <si>
    <t>51323_001</t>
  </si>
  <si>
    <t>51323_002</t>
  </si>
  <si>
    <t>51323_003</t>
  </si>
  <si>
    <t>51323_004</t>
  </si>
  <si>
    <t>51323_005</t>
  </si>
  <si>
    <t>51323_006</t>
  </si>
  <si>
    <t>51323_007</t>
  </si>
  <si>
    <t>51323_008</t>
  </si>
  <si>
    <t>51323_009</t>
  </si>
  <si>
    <t>33133_001</t>
  </si>
  <si>
    <t>33133_002</t>
  </si>
  <si>
    <t>62316_001</t>
  </si>
  <si>
    <t>62316_002</t>
  </si>
  <si>
    <t>62316_003</t>
  </si>
  <si>
    <t>35265_002</t>
  </si>
  <si>
    <t>35265_003</t>
  </si>
  <si>
    <t>35265_004</t>
  </si>
  <si>
    <t>35265_005</t>
  </si>
  <si>
    <t>35449_002</t>
  </si>
  <si>
    <t>35449_003</t>
  </si>
  <si>
    <t>35512_001</t>
  </si>
  <si>
    <t>35512_003</t>
  </si>
  <si>
    <t>35512_004</t>
  </si>
  <si>
    <t>35512_005</t>
  </si>
  <si>
    <t>35512_006</t>
  </si>
  <si>
    <t>35512_008</t>
  </si>
  <si>
    <t>35512_009</t>
  </si>
  <si>
    <t>35512_010</t>
  </si>
  <si>
    <t>35512_011</t>
  </si>
  <si>
    <t>35512_012</t>
  </si>
  <si>
    <t>35512_013</t>
  </si>
  <si>
    <t>35512_014</t>
  </si>
  <si>
    <t>26141_003</t>
  </si>
  <si>
    <t>26141_004</t>
  </si>
  <si>
    <t>26141_005</t>
  </si>
  <si>
    <t>35421_001</t>
  </si>
  <si>
    <t>35421_002</t>
  </si>
  <si>
    <t>52161_001</t>
  </si>
  <si>
    <t>35498_001</t>
  </si>
  <si>
    <t>35498_002</t>
  </si>
  <si>
    <t>51281_009</t>
  </si>
  <si>
    <t>51281_002</t>
  </si>
  <si>
    <t>51281_003</t>
  </si>
  <si>
    <t>51281_004</t>
  </si>
  <si>
    <t>51281_005</t>
  </si>
  <si>
    <t>23239_003</t>
  </si>
  <si>
    <t>23239_004</t>
  </si>
  <si>
    <t>23239_005</t>
  </si>
  <si>
    <t>23239_006</t>
  </si>
  <si>
    <t>61489_003</t>
  </si>
  <si>
    <t>25171_001</t>
  </si>
  <si>
    <t>26371_001</t>
  </si>
  <si>
    <t>71256_001</t>
  </si>
  <si>
    <t>71256_002</t>
  </si>
  <si>
    <t>61483_002</t>
  </si>
  <si>
    <t>21371_001</t>
  </si>
  <si>
    <t>24211_015</t>
  </si>
  <si>
    <t>24211_003</t>
  </si>
  <si>
    <t>24211_004</t>
  </si>
  <si>
    <t>24211_005</t>
  </si>
  <si>
    <t>24211_007</t>
  </si>
  <si>
    <t>24211_008</t>
  </si>
  <si>
    <t>24211_010</t>
  </si>
  <si>
    <t>33113_002</t>
  </si>
  <si>
    <t>33113_003</t>
  </si>
  <si>
    <t>35273_001</t>
  </si>
  <si>
    <t>35141_001</t>
  </si>
  <si>
    <t>35141_002</t>
  </si>
  <si>
    <t>53231_007</t>
  </si>
  <si>
    <t>53231_008</t>
  </si>
  <si>
    <t>53231_009</t>
  </si>
  <si>
    <t>53231_010</t>
  </si>
  <si>
    <t>53231_011</t>
  </si>
  <si>
    <t>53231_012</t>
  </si>
  <si>
    <t>53231_013</t>
  </si>
  <si>
    <t>53231_014</t>
  </si>
  <si>
    <t>53231_015</t>
  </si>
  <si>
    <t>53231_016</t>
  </si>
  <si>
    <t>37313_001</t>
  </si>
  <si>
    <t>37313_002</t>
  </si>
  <si>
    <t>37313_003</t>
  </si>
  <si>
    <t>37313_004</t>
  </si>
  <si>
    <t>37313_005</t>
  </si>
  <si>
    <t>37313_006</t>
  </si>
  <si>
    <t>22555_001</t>
  </si>
  <si>
    <t>23544_002</t>
  </si>
  <si>
    <t>55117_001</t>
  </si>
  <si>
    <t>72119_001</t>
  </si>
  <si>
    <t>72119_002</t>
  </si>
  <si>
    <t>72119_003</t>
  </si>
  <si>
    <t>72119_004</t>
  </si>
  <si>
    <t>72183_001</t>
  </si>
  <si>
    <t>72183_002</t>
  </si>
  <si>
    <t>72183_003</t>
  </si>
  <si>
    <t>72183_004</t>
  </si>
  <si>
    <t>72183_005</t>
  </si>
  <si>
    <t>72183_006</t>
  </si>
  <si>
    <t>55194_001</t>
  </si>
  <si>
    <t>52121_001</t>
  </si>
  <si>
    <t>52121_002</t>
  </si>
  <si>
    <t>62217_001</t>
  </si>
  <si>
    <t>62217_002</t>
  </si>
  <si>
    <t>62217_003</t>
  </si>
  <si>
    <t>37361_002</t>
  </si>
  <si>
    <t>37361_001</t>
  </si>
  <si>
    <t>51163_002</t>
  </si>
  <si>
    <t>51163_003</t>
  </si>
  <si>
    <t>10650_002</t>
  </si>
  <si>
    <t>10650_024</t>
  </si>
  <si>
    <t>10650_025</t>
  </si>
  <si>
    <t>10650_001</t>
  </si>
  <si>
    <t>10650_005</t>
  </si>
  <si>
    <t>10650_006</t>
  </si>
  <si>
    <t>10650_007</t>
  </si>
  <si>
    <t>10650_008</t>
  </si>
  <si>
    <t>10650_009</t>
  </si>
  <si>
    <t>10650_010</t>
  </si>
  <si>
    <t>10650_011</t>
  </si>
  <si>
    <t>10650_012</t>
  </si>
  <si>
    <t>10650_013</t>
  </si>
  <si>
    <t>10650_016</t>
  </si>
  <si>
    <t>10650_017</t>
  </si>
  <si>
    <t>10650_018</t>
  </si>
  <si>
    <t>10650_019</t>
  </si>
  <si>
    <t>10650_020</t>
  </si>
  <si>
    <t>10650_021</t>
  </si>
  <si>
    <t>25156_001</t>
  </si>
  <si>
    <t>26239_001</t>
  </si>
  <si>
    <t>25271_001</t>
  </si>
  <si>
    <t>25271_002</t>
  </si>
  <si>
    <t>32111_005</t>
  </si>
  <si>
    <t>32111_002</t>
  </si>
  <si>
    <t>32111_003</t>
  </si>
  <si>
    <t>32111_004</t>
  </si>
  <si>
    <t>71361_003</t>
  </si>
  <si>
    <t>71361_004</t>
  </si>
  <si>
    <t>71361_005</t>
  </si>
  <si>
    <t>71361_006</t>
  </si>
  <si>
    <t>71361_007</t>
  </si>
  <si>
    <t>22311_002</t>
  </si>
  <si>
    <t>22311_003</t>
  </si>
  <si>
    <t>33123_001</t>
  </si>
  <si>
    <t>33123_002</t>
  </si>
  <si>
    <t>33123_003</t>
  </si>
  <si>
    <t>33123_004</t>
  </si>
  <si>
    <t>33123_005</t>
  </si>
  <si>
    <t>71377_002</t>
  </si>
  <si>
    <t>21471_001</t>
  </si>
  <si>
    <t>61417_001</t>
  </si>
  <si>
    <t>61417_002</t>
  </si>
  <si>
    <t>61417_003</t>
  </si>
  <si>
    <t>61417_004</t>
  </si>
  <si>
    <t>34263_001</t>
  </si>
  <si>
    <t>21211_002</t>
  </si>
  <si>
    <t>21211_016</t>
  </si>
  <si>
    <t>21211_017</t>
  </si>
  <si>
    <t>21211_003</t>
  </si>
  <si>
    <t>21211_004</t>
  </si>
  <si>
    <t>21211_005</t>
  </si>
  <si>
    <t>21211_006</t>
  </si>
  <si>
    <t>21211_007</t>
  </si>
  <si>
    <t>21211_008</t>
  </si>
  <si>
    <t>21211_009</t>
  </si>
  <si>
    <t>21211_010</t>
  </si>
  <si>
    <t>21211_011</t>
  </si>
  <si>
    <t>21211_012</t>
  </si>
  <si>
    <t>21211_013</t>
  </si>
  <si>
    <t>21211_014</t>
  </si>
  <si>
    <t>21211_015</t>
  </si>
  <si>
    <t>22659_002</t>
  </si>
  <si>
    <t>22659_003</t>
  </si>
  <si>
    <t>53111_044</t>
  </si>
  <si>
    <t>53111_045</t>
  </si>
  <si>
    <t>53111_001</t>
  </si>
  <si>
    <t>53111_003</t>
  </si>
  <si>
    <t>53111_004</t>
  </si>
  <si>
    <t>53111_005</t>
  </si>
  <si>
    <t>53111_006</t>
  </si>
  <si>
    <t>53111_007</t>
  </si>
  <si>
    <t>53111_008</t>
  </si>
  <si>
    <t>53111_009</t>
  </si>
  <si>
    <t>53111_010</t>
  </si>
  <si>
    <t>53111_011</t>
  </si>
  <si>
    <t>53111_012</t>
  </si>
  <si>
    <t>53111_013</t>
  </si>
  <si>
    <t>53111_014</t>
  </si>
  <si>
    <t>53111_015</t>
  </si>
  <si>
    <t>53111_016</t>
  </si>
  <si>
    <t>53111_017</t>
  </si>
  <si>
    <t>53111_018</t>
  </si>
  <si>
    <t>53111_019</t>
  </si>
  <si>
    <t>53111_020</t>
  </si>
  <si>
    <t>53111_021</t>
  </si>
  <si>
    <t>53111_022</t>
  </si>
  <si>
    <t>53111_023</t>
  </si>
  <si>
    <t>53111_024</t>
  </si>
  <si>
    <t>53111_025</t>
  </si>
  <si>
    <t>53111_026</t>
  </si>
  <si>
    <t>53111_027</t>
  </si>
  <si>
    <t>53111_029</t>
  </si>
  <si>
    <t>53111_030</t>
  </si>
  <si>
    <t>53111_031</t>
  </si>
  <si>
    <t>53111_032</t>
  </si>
  <si>
    <t>53111_033</t>
  </si>
  <si>
    <t>53111_034</t>
  </si>
  <si>
    <t>53111_035</t>
  </si>
  <si>
    <t>53111_036</t>
  </si>
  <si>
    <t>23511_009</t>
  </si>
  <si>
    <t>23511_003</t>
  </si>
  <si>
    <t>23511_004</t>
  </si>
  <si>
    <t>23511_005</t>
  </si>
  <si>
    <t>23511_006</t>
  </si>
  <si>
    <t>23511_007</t>
  </si>
  <si>
    <t>23511_008</t>
  </si>
  <si>
    <t>23255_002</t>
  </si>
  <si>
    <t>61444_001</t>
  </si>
  <si>
    <t>61444_002</t>
  </si>
  <si>
    <t>10350_019</t>
  </si>
  <si>
    <t>10350_021</t>
  </si>
  <si>
    <t>10350_022</t>
  </si>
  <si>
    <t>10350_026</t>
  </si>
  <si>
    <t>10350_034</t>
  </si>
  <si>
    <t>10350_040</t>
  </si>
  <si>
    <t>10350_007</t>
  </si>
  <si>
    <t>10350_013</t>
  </si>
  <si>
    <t>10350_029</t>
  </si>
  <si>
    <t>10350_033</t>
  </si>
  <si>
    <t>10350_035</t>
  </si>
  <si>
    <t>10350_037</t>
  </si>
  <si>
    <t>10350_038</t>
  </si>
  <si>
    <t>10350_003</t>
  </si>
  <si>
    <t>10350_004</t>
  </si>
  <si>
    <t>10350_005</t>
  </si>
  <si>
    <t>10350_006</t>
  </si>
  <si>
    <t>62221_001</t>
  </si>
  <si>
    <t>35439_001</t>
  </si>
  <si>
    <t>35439_002</t>
  </si>
  <si>
    <t>35439_003</t>
  </si>
  <si>
    <t>53221_001</t>
  </si>
  <si>
    <t>53221_002</t>
  </si>
  <si>
    <t>37391_001</t>
  </si>
  <si>
    <t>37391_002</t>
  </si>
  <si>
    <t>37391_003</t>
  </si>
  <si>
    <t>37391_004</t>
  </si>
  <si>
    <t>37391_005</t>
  </si>
  <si>
    <t>35158_001</t>
  </si>
  <si>
    <t>22228_001</t>
  </si>
  <si>
    <t>22228_005</t>
  </si>
  <si>
    <t>22228_006</t>
  </si>
  <si>
    <t>22228_007</t>
  </si>
  <si>
    <t>22228_008</t>
  </si>
  <si>
    <t>22228_009</t>
  </si>
  <si>
    <t>22228_010</t>
  </si>
  <si>
    <t>22228_011</t>
  </si>
  <si>
    <t>22228_012</t>
  </si>
  <si>
    <t>22228_013</t>
  </si>
  <si>
    <t>22228_014</t>
  </si>
  <si>
    <t>22228_015</t>
  </si>
  <si>
    <t>22228_016</t>
  </si>
  <si>
    <t>22228_017</t>
  </si>
  <si>
    <t>72227_001</t>
  </si>
  <si>
    <t>72227_002</t>
  </si>
  <si>
    <t>62224_001</t>
  </si>
  <si>
    <t>23251_017</t>
  </si>
  <si>
    <t>23251_019</t>
  </si>
  <si>
    <t>23251_021</t>
  </si>
  <si>
    <t>23251_025</t>
  </si>
  <si>
    <t>23251_005</t>
  </si>
  <si>
    <t>23251_006</t>
  </si>
  <si>
    <t>23251_007</t>
  </si>
  <si>
    <t>23251_008</t>
  </si>
  <si>
    <t>23251_009</t>
  </si>
  <si>
    <t>23251_010</t>
  </si>
  <si>
    <t>23251_011</t>
  </si>
  <si>
    <t>23251_012</t>
  </si>
  <si>
    <t>23251_013</t>
  </si>
  <si>
    <t>23251_014</t>
  </si>
  <si>
    <t>23679_001</t>
  </si>
  <si>
    <t>51267_027</t>
  </si>
  <si>
    <t>51267_005</t>
  </si>
  <si>
    <t>51267_006</t>
  </si>
  <si>
    <t>51267_008</t>
  </si>
  <si>
    <t>51267_009</t>
  </si>
  <si>
    <t>51267_010</t>
  </si>
  <si>
    <t>51267_011</t>
  </si>
  <si>
    <t>51267_013</t>
  </si>
  <si>
    <t>51267_014</t>
  </si>
  <si>
    <t>51267_015</t>
  </si>
  <si>
    <t>51267_016</t>
  </si>
  <si>
    <t>51267_017</t>
  </si>
  <si>
    <t>51267_018</t>
  </si>
  <si>
    <t>51267_019</t>
  </si>
  <si>
    <t>51267_020</t>
  </si>
  <si>
    <t>51267_021</t>
  </si>
  <si>
    <t>51267_022</t>
  </si>
  <si>
    <t>51267_023</t>
  </si>
  <si>
    <t>32187_001</t>
  </si>
  <si>
    <t>32187_002</t>
  </si>
  <si>
    <t>32187_003</t>
  </si>
  <si>
    <t>22797_003</t>
  </si>
  <si>
    <t>22797_004</t>
  </si>
  <si>
    <t>22797_005</t>
  </si>
  <si>
    <t>22797_006</t>
  </si>
  <si>
    <t>23663_001</t>
  </si>
  <si>
    <t>23663_004</t>
  </si>
  <si>
    <t>62162_001</t>
  </si>
  <si>
    <t>32159_001</t>
  </si>
  <si>
    <t>34111_001</t>
  </si>
  <si>
    <t>34111_005</t>
  </si>
  <si>
    <t>34111_006</t>
  </si>
  <si>
    <t>34111_007</t>
  </si>
  <si>
    <t>34111_008</t>
  </si>
  <si>
    <t>24343_003</t>
  </si>
  <si>
    <t>62246_001</t>
  </si>
  <si>
    <t>62246_002</t>
  </si>
  <si>
    <t>62246_003</t>
  </si>
  <si>
    <t>62246_004</t>
  </si>
  <si>
    <t>62246_005</t>
  </si>
  <si>
    <t>62246_006</t>
  </si>
  <si>
    <t>24243_001</t>
  </si>
  <si>
    <t>24243_003</t>
  </si>
  <si>
    <t>24243_004</t>
  </si>
  <si>
    <t>24243_005</t>
  </si>
  <si>
    <t>24243_006</t>
  </si>
  <si>
    <t>24243_007</t>
  </si>
  <si>
    <t>24243_008</t>
  </si>
  <si>
    <t>24243_009</t>
  </si>
  <si>
    <t>24243_010</t>
  </si>
  <si>
    <t>36111_001</t>
  </si>
  <si>
    <t>36111_002</t>
  </si>
  <si>
    <t>36111_003</t>
  </si>
  <si>
    <t>36111_004</t>
  </si>
  <si>
    <t>24283_001</t>
  </si>
  <si>
    <t>35275_019</t>
  </si>
  <si>
    <t>35275_003</t>
  </si>
  <si>
    <t>35275_004</t>
  </si>
  <si>
    <t>35275_005</t>
  </si>
  <si>
    <t>35275_007</t>
  </si>
  <si>
    <t>35275_008</t>
  </si>
  <si>
    <t>35275_010</t>
  </si>
  <si>
    <t>35275_011</t>
  </si>
  <si>
    <t>35275_012</t>
  </si>
  <si>
    <t>35275_013</t>
  </si>
  <si>
    <t>35275_014</t>
  </si>
  <si>
    <t>35275_015</t>
  </si>
  <si>
    <t>35275_016</t>
  </si>
  <si>
    <t>35275_017</t>
  </si>
  <si>
    <t>35275_018</t>
  </si>
  <si>
    <t>37231_025</t>
  </si>
  <si>
    <t>37231_003</t>
  </si>
  <si>
    <t>37231_004</t>
  </si>
  <si>
    <t>37231_005</t>
  </si>
  <si>
    <t>37231_009</t>
  </si>
  <si>
    <t>37231_010</t>
  </si>
  <si>
    <t>37231_011</t>
  </si>
  <si>
    <t>37231_012</t>
  </si>
  <si>
    <t>37231_013</t>
  </si>
  <si>
    <t>37231_014</t>
  </si>
  <si>
    <t>37231_015</t>
  </si>
  <si>
    <t>37231_016</t>
  </si>
  <si>
    <t>37231_017</t>
  </si>
  <si>
    <t>37231_018</t>
  </si>
  <si>
    <t>37231_019</t>
  </si>
  <si>
    <t>37231_020</t>
  </si>
  <si>
    <t>37231_021</t>
  </si>
  <si>
    <t>37231_022</t>
  </si>
  <si>
    <t>37231_023</t>
  </si>
  <si>
    <t>62274_001</t>
  </si>
  <si>
    <t>53411_001</t>
  </si>
  <si>
    <t>10999_001</t>
  </si>
  <si>
    <t>22531_007</t>
  </si>
  <si>
    <t>22531_002</t>
  </si>
  <si>
    <t>22531_004</t>
  </si>
  <si>
    <t>22531_005</t>
  </si>
  <si>
    <t>22531_006</t>
  </si>
  <si>
    <t>53417_001</t>
  </si>
  <si>
    <t>23411_003</t>
  </si>
  <si>
    <t>23411_001</t>
  </si>
  <si>
    <t>26271_001</t>
  </si>
  <si>
    <t>26271_002</t>
  </si>
  <si>
    <t>37357_001</t>
  </si>
  <si>
    <t>55127_001</t>
  </si>
  <si>
    <t>35174_001</t>
  </si>
  <si>
    <t>22667_001</t>
  </si>
  <si>
    <t>22667_002</t>
  </si>
  <si>
    <t>22667_003</t>
  </si>
  <si>
    <t>22667_004</t>
  </si>
  <si>
    <t>35321_001</t>
  </si>
  <si>
    <t>35321_002</t>
  </si>
  <si>
    <t>37349_001</t>
  </si>
  <si>
    <t>37349_002</t>
  </si>
  <si>
    <t>72111_001</t>
  </si>
  <si>
    <t>72111_002</t>
  </si>
  <si>
    <t>72111_003</t>
  </si>
  <si>
    <t>72111_004</t>
  </si>
  <si>
    <t>72111_005</t>
  </si>
  <si>
    <t>72111_006</t>
  </si>
  <si>
    <t>25431_001</t>
  </si>
  <si>
    <t>35314_004</t>
  </si>
  <si>
    <t>35314_005</t>
  </si>
  <si>
    <t>35314_006</t>
  </si>
  <si>
    <t>35314_007</t>
  </si>
  <si>
    <t>35314_008</t>
  </si>
  <si>
    <t>35314_009</t>
  </si>
  <si>
    <t>35314_010</t>
  </si>
  <si>
    <t>62249_001</t>
  </si>
  <si>
    <t>35189_003</t>
  </si>
  <si>
    <t>35189_004</t>
  </si>
  <si>
    <t>35189_005</t>
  </si>
  <si>
    <t>32133_001</t>
  </si>
  <si>
    <t>24414_002</t>
  </si>
  <si>
    <t>24411_001</t>
  </si>
  <si>
    <t>22511_001</t>
  </si>
  <si>
    <t>22511_007</t>
  </si>
  <si>
    <t>22511_008</t>
  </si>
  <si>
    <t>22511_002</t>
  </si>
  <si>
    <t>22511_003</t>
  </si>
  <si>
    <t>26269_001</t>
  </si>
  <si>
    <t>35416_003</t>
  </si>
  <si>
    <t>35416_004</t>
  </si>
  <si>
    <t>35416_005</t>
  </si>
  <si>
    <t>61453_003</t>
  </si>
  <si>
    <t>61453_004</t>
  </si>
  <si>
    <t>62226_001</t>
  </si>
  <si>
    <t>63124_003</t>
  </si>
  <si>
    <t>32189_001</t>
  </si>
  <si>
    <t>26129_001</t>
  </si>
  <si>
    <t>26129_002</t>
  </si>
  <si>
    <t>26129_003</t>
  </si>
  <si>
    <t>26129_004</t>
  </si>
  <si>
    <t>73135_001</t>
  </si>
  <si>
    <t>24267_001</t>
  </si>
  <si>
    <t>73288_001</t>
  </si>
  <si>
    <t>24319_001</t>
  </si>
  <si>
    <t>61481_001</t>
  </si>
  <si>
    <t>62128_002</t>
  </si>
  <si>
    <t>62128_003</t>
  </si>
  <si>
    <t>62128_004</t>
  </si>
  <si>
    <t>62128_005</t>
  </si>
  <si>
    <t>62128_006</t>
  </si>
  <si>
    <t>62128_007</t>
  </si>
  <si>
    <t>62128_008</t>
  </si>
  <si>
    <t>62128_009</t>
  </si>
  <si>
    <t>62128_010</t>
  </si>
  <si>
    <t>62128_011</t>
  </si>
  <si>
    <t>62128_012</t>
  </si>
  <si>
    <t>62128_013</t>
  </si>
  <si>
    <t>62312_001</t>
  </si>
  <si>
    <t>62312_002</t>
  </si>
  <si>
    <t>62283_001</t>
  </si>
  <si>
    <t>25161_005</t>
  </si>
  <si>
    <t>25166_001</t>
  </si>
  <si>
    <t>53459_002</t>
  </si>
  <si>
    <t>53459_003</t>
  </si>
  <si>
    <t>53459_004</t>
  </si>
  <si>
    <t>53459_006</t>
  </si>
  <si>
    <t>53459_007</t>
  </si>
  <si>
    <t>74155_001</t>
  </si>
  <si>
    <t>74155_002</t>
  </si>
  <si>
    <t>21177_001</t>
  </si>
  <si>
    <t>21177_002</t>
  </si>
  <si>
    <t>21177_063</t>
  </si>
  <si>
    <t>21177_003</t>
  </si>
  <si>
    <t>21177_004</t>
  </si>
  <si>
    <t>21177_005</t>
  </si>
  <si>
    <t>21177_006</t>
  </si>
  <si>
    <t>21177_009</t>
  </si>
  <si>
    <t>21177_010</t>
  </si>
  <si>
    <t>21177_011</t>
  </si>
  <si>
    <t>21177_012</t>
  </si>
  <si>
    <t>21177_013</t>
  </si>
  <si>
    <t>21177_014</t>
  </si>
  <si>
    <t>21177_015</t>
  </si>
  <si>
    <t>21177_016</t>
  </si>
  <si>
    <t>21177_017</t>
  </si>
  <si>
    <t>21177_018</t>
  </si>
  <si>
    <t>21177_019</t>
  </si>
  <si>
    <t>21177_020</t>
  </si>
  <si>
    <t>21177_021</t>
  </si>
  <si>
    <t>21177_022</t>
  </si>
  <si>
    <t>21177_023</t>
  </si>
  <si>
    <t>21177_024</t>
  </si>
  <si>
    <t>21177_025</t>
  </si>
  <si>
    <t>21177_026</t>
  </si>
  <si>
    <t>21177_027</t>
  </si>
  <si>
    <t>21177_028</t>
  </si>
  <si>
    <t>21177_029</t>
  </si>
  <si>
    <t>21177_030</t>
  </si>
  <si>
    <t>21177_031</t>
  </si>
  <si>
    <t>21177_032</t>
  </si>
  <si>
    <t>21177_033</t>
  </si>
  <si>
    <t>21177_034</t>
  </si>
  <si>
    <t>21177_035</t>
  </si>
  <si>
    <t>21177_036</t>
  </si>
  <si>
    <t>21177_037</t>
  </si>
  <si>
    <t>21177_038</t>
  </si>
  <si>
    <t>21177_039</t>
  </si>
  <si>
    <t>21177_040</t>
  </si>
  <si>
    <t>21177_041</t>
  </si>
  <si>
    <t>21177_042</t>
  </si>
  <si>
    <t>21177_043</t>
  </si>
  <si>
    <t>21177_044</t>
  </si>
  <si>
    <t>21177_045</t>
  </si>
  <si>
    <t>21177_046</t>
  </si>
  <si>
    <t>21177_047</t>
  </si>
  <si>
    <t>21177_048</t>
  </si>
  <si>
    <t>21177_049</t>
  </si>
  <si>
    <t>21177_050</t>
  </si>
  <si>
    <t>21177_051</t>
  </si>
  <si>
    <t>21177_052</t>
  </si>
  <si>
    <t>21177_053</t>
  </si>
  <si>
    <t>21177_054</t>
  </si>
  <si>
    <t>21177_055</t>
  </si>
  <si>
    <t>21177_056</t>
  </si>
  <si>
    <t>21177_057</t>
  </si>
  <si>
    <t>21177_058</t>
  </si>
  <si>
    <t>21177_059</t>
  </si>
  <si>
    <t>21177_060</t>
  </si>
  <si>
    <t>21177_061</t>
  </si>
  <si>
    <t>21177_062</t>
  </si>
  <si>
    <t>25313_001</t>
  </si>
  <si>
    <t>22111_001</t>
  </si>
  <si>
    <t>22111_010</t>
  </si>
  <si>
    <t>22111_024</t>
  </si>
  <si>
    <t>22111_025</t>
  </si>
  <si>
    <t>22111_002</t>
  </si>
  <si>
    <t>22111_004</t>
  </si>
  <si>
    <t>22111_005</t>
  </si>
  <si>
    <t>22111_006</t>
  </si>
  <si>
    <t>22111_007</t>
  </si>
  <si>
    <t>22111_009</t>
  </si>
  <si>
    <t>22111_011</t>
  </si>
  <si>
    <t>22111_012</t>
  </si>
  <si>
    <t>22111_013</t>
  </si>
  <si>
    <t>22111_014</t>
  </si>
  <si>
    <t>22111_015</t>
  </si>
  <si>
    <t>22111_016</t>
  </si>
  <si>
    <t>22111_017</t>
  </si>
  <si>
    <t>22111_018</t>
  </si>
  <si>
    <t>22111_019</t>
  </si>
  <si>
    <t>22111_020</t>
  </si>
  <si>
    <t>22111_021</t>
  </si>
  <si>
    <t>23247_008</t>
  </si>
  <si>
    <t>23247_005</t>
  </si>
  <si>
    <t>23247_007</t>
  </si>
  <si>
    <t>37317_001</t>
  </si>
  <si>
    <t>37317_002</t>
  </si>
  <si>
    <t>25176_001</t>
  </si>
  <si>
    <t>37319_001</t>
  </si>
  <si>
    <t>22431_001</t>
  </si>
  <si>
    <t>22431_003</t>
  </si>
  <si>
    <t>35147_002</t>
  </si>
  <si>
    <t>35147_003</t>
  </si>
  <si>
    <t>61266_002</t>
  </si>
  <si>
    <t>61266_001</t>
  </si>
  <si>
    <t>71387_001</t>
  </si>
  <si>
    <t>61123_001</t>
  </si>
  <si>
    <t>61123_002</t>
  </si>
  <si>
    <t>61123_003</t>
  </si>
  <si>
    <t>53453_001</t>
  </si>
  <si>
    <t>53453_002</t>
  </si>
  <si>
    <t>53453_003</t>
  </si>
  <si>
    <t>53453_004</t>
  </si>
  <si>
    <t>53453_005</t>
  </si>
  <si>
    <t>53453_006</t>
  </si>
  <si>
    <t>53453_007</t>
  </si>
  <si>
    <t>53453_008</t>
  </si>
  <si>
    <t>22611_002</t>
  </si>
  <si>
    <t>22611_003</t>
  </si>
  <si>
    <t>22439_001</t>
  </si>
  <si>
    <t>22439_002</t>
  </si>
  <si>
    <t>22757_001</t>
  </si>
  <si>
    <t>22757_003</t>
  </si>
  <si>
    <t>32119_001</t>
  </si>
  <si>
    <t>32119_002</t>
  </si>
  <si>
    <t>32119_003</t>
  </si>
  <si>
    <t>32169_001</t>
  </si>
  <si>
    <t>32169_002</t>
  </si>
  <si>
    <t>32169_003</t>
  </si>
  <si>
    <t>35316_001</t>
  </si>
  <si>
    <t>32121_001</t>
  </si>
  <si>
    <t>25337_002</t>
  </si>
  <si>
    <t>25337_001</t>
  </si>
  <si>
    <t>53274_001</t>
  </si>
  <si>
    <t>53274_003</t>
  </si>
  <si>
    <t>53274_004</t>
  </si>
  <si>
    <t>53274_005</t>
  </si>
  <si>
    <t>53274_006</t>
  </si>
  <si>
    <t>53274_007</t>
  </si>
  <si>
    <t>53274_008</t>
  </si>
  <si>
    <t>53274_009</t>
  </si>
  <si>
    <t>72229_001</t>
  </si>
  <si>
    <t>72229_002</t>
  </si>
  <si>
    <t>72229_003</t>
  </si>
  <si>
    <t>54127_001</t>
  </si>
  <si>
    <t>54127_002</t>
  </si>
  <si>
    <t>54127_003</t>
  </si>
  <si>
    <t>54127_004</t>
  </si>
  <si>
    <t>71321_001</t>
  </si>
  <si>
    <t>71321_002</t>
  </si>
  <si>
    <t>71321_003</t>
  </si>
  <si>
    <t>71321_004</t>
  </si>
  <si>
    <t>74130_001</t>
  </si>
  <si>
    <t>74130_002</t>
  </si>
  <si>
    <t>62254_001</t>
  </si>
  <si>
    <t>62254_002</t>
  </si>
  <si>
    <t>62254_003</t>
  </si>
  <si>
    <t>62264_001</t>
  </si>
  <si>
    <t>62264_002</t>
  </si>
  <si>
    <t>35113_002</t>
  </si>
  <si>
    <t>35113_003</t>
  </si>
  <si>
    <t>35113_004</t>
  </si>
  <si>
    <t>35113_005</t>
  </si>
  <si>
    <t>35123_002</t>
  </si>
  <si>
    <t>35123_003</t>
  </si>
  <si>
    <t>35267_002</t>
  </si>
  <si>
    <t>23211_013</t>
  </si>
  <si>
    <t>23211_001</t>
  </si>
  <si>
    <t>23211_006</t>
  </si>
  <si>
    <t>23211_007</t>
  </si>
  <si>
    <t>23211_009</t>
  </si>
  <si>
    <t>23211_010</t>
  </si>
  <si>
    <t>23211_012</t>
  </si>
  <si>
    <t>34188_002</t>
  </si>
  <si>
    <t>34188_004</t>
  </si>
  <si>
    <t>34188_006</t>
  </si>
  <si>
    <t>34188_007</t>
  </si>
  <si>
    <t>34188_008</t>
  </si>
  <si>
    <t>34188_009</t>
  </si>
  <si>
    <t>35224_003</t>
  </si>
  <si>
    <t>21111_003</t>
  </si>
  <si>
    <t>21111_084</t>
  </si>
  <si>
    <t>21111_085</t>
  </si>
  <si>
    <t>21111_086</t>
  </si>
  <si>
    <t>21111_098</t>
  </si>
  <si>
    <t>21111_099</t>
  </si>
  <si>
    <t>21111_100</t>
  </si>
  <si>
    <t>21111_096</t>
  </si>
  <si>
    <t>21111_097</t>
  </si>
  <si>
    <t>21111_008</t>
  </si>
  <si>
    <t>21111_009</t>
  </si>
  <si>
    <t>21111_011</t>
  </si>
  <si>
    <t>21111_012</t>
  </si>
  <si>
    <t>21111_014</t>
  </si>
  <si>
    <t>21111_018</t>
  </si>
  <si>
    <t>21111_019</t>
  </si>
  <si>
    <t>21111_020</t>
  </si>
  <si>
    <t>21111_021</t>
  </si>
  <si>
    <t>21111_022</t>
  </si>
  <si>
    <t>21111_023</t>
  </si>
  <si>
    <t>21111_024</t>
  </si>
  <si>
    <t>21111_025</t>
  </si>
  <si>
    <t>21111_026</t>
  </si>
  <si>
    <t>21111_027</t>
  </si>
  <si>
    <t>21111_028</t>
  </si>
  <si>
    <t>21111_029</t>
  </si>
  <si>
    <t>21111_030</t>
  </si>
  <si>
    <t>21111_031</t>
  </si>
  <si>
    <t>21111_032</t>
  </si>
  <si>
    <t>21111_033</t>
  </si>
  <si>
    <t>21111_034</t>
  </si>
  <si>
    <t>21111_035</t>
  </si>
  <si>
    <t>21111_036</t>
  </si>
  <si>
    <t>21111_037</t>
  </si>
  <si>
    <t>21111_038</t>
  </si>
  <si>
    <t>21111_039</t>
  </si>
  <si>
    <t>21111_040</t>
  </si>
  <si>
    <t>21111_041</t>
  </si>
  <si>
    <t>21111_042</t>
  </si>
  <si>
    <t>21111_043</t>
  </si>
  <si>
    <t>21111_044</t>
  </si>
  <si>
    <t>21111_045</t>
  </si>
  <si>
    <t>21111_046</t>
  </si>
  <si>
    <t>21111_047</t>
  </si>
  <si>
    <t>21111_048</t>
  </si>
  <si>
    <t>21111_049</t>
  </si>
  <si>
    <t>21111_050</t>
  </si>
  <si>
    <t>21111_051</t>
  </si>
  <si>
    <t>21111_052</t>
  </si>
  <si>
    <t>21111_053</t>
  </si>
  <si>
    <t>21111_054</t>
  </si>
  <si>
    <t>21111_055</t>
  </si>
  <si>
    <t>21111_056</t>
  </si>
  <si>
    <t>21111_057</t>
  </si>
  <si>
    <t>21111_058</t>
  </si>
  <si>
    <t>21111_059</t>
  </si>
  <si>
    <t>21111_060</t>
  </si>
  <si>
    <t>21111_061</t>
  </si>
  <si>
    <t>21111_062</t>
  </si>
  <si>
    <t>21111_063</t>
  </si>
  <si>
    <t>21111_064</t>
  </si>
  <si>
    <t>21111_065</t>
  </si>
  <si>
    <t>21111_066</t>
  </si>
  <si>
    <t>21111_067</t>
  </si>
  <si>
    <t>21111_068</t>
  </si>
  <si>
    <t>21111_069</t>
  </si>
  <si>
    <t>21111_070</t>
  </si>
  <si>
    <t>21111_071</t>
  </si>
  <si>
    <t>21111_072</t>
  </si>
  <si>
    <t>21111_073</t>
  </si>
  <si>
    <t>21111_074</t>
  </si>
  <si>
    <t>21111_075</t>
  </si>
  <si>
    <t>21111_076</t>
  </si>
  <si>
    <t>21111_077</t>
  </si>
  <si>
    <t>21111_078</t>
  </si>
  <si>
    <t>21111_079</t>
  </si>
  <si>
    <t>21111_080</t>
  </si>
  <si>
    <t>21111_081</t>
  </si>
  <si>
    <t>21111_082</t>
  </si>
  <si>
    <t>21111_083</t>
  </si>
  <si>
    <t>53429_001</t>
  </si>
  <si>
    <t>53429_002</t>
  </si>
  <si>
    <t>53429_003</t>
  </si>
  <si>
    <t>53429_004</t>
  </si>
  <si>
    <t>53429_005</t>
  </si>
  <si>
    <t>53429_006</t>
  </si>
  <si>
    <t>24111_001</t>
  </si>
  <si>
    <t>24111_043</t>
  </si>
  <si>
    <t>24111_041</t>
  </si>
  <si>
    <t>24111_044</t>
  </si>
  <si>
    <t>24111_045</t>
  </si>
  <si>
    <t>24111_046</t>
  </si>
  <si>
    <t>24111_004</t>
  </si>
  <si>
    <t>24111_005</t>
  </si>
  <si>
    <t>24111_006</t>
  </si>
  <si>
    <t>24111_007</t>
  </si>
  <si>
    <t>24111_008</t>
  </si>
  <si>
    <t>24111_009</t>
  </si>
  <si>
    <t>24111_010</t>
  </si>
  <si>
    <t>24111_011</t>
  </si>
  <si>
    <t>24111_012</t>
  </si>
  <si>
    <t>24111_013</t>
  </si>
  <si>
    <t>24111_014</t>
  </si>
  <si>
    <t>24111_015</t>
  </si>
  <si>
    <t>24111_016</t>
  </si>
  <si>
    <t>24111_017</t>
  </si>
  <si>
    <t>24111_018</t>
  </si>
  <si>
    <t>24111_019</t>
  </si>
  <si>
    <t>24111_020</t>
  </si>
  <si>
    <t>24111_021</t>
  </si>
  <si>
    <t>24111_022</t>
  </si>
  <si>
    <t>24111_023</t>
  </si>
  <si>
    <t>24111_024</t>
  </si>
  <si>
    <t>24111_025</t>
  </si>
  <si>
    <t>24111_026</t>
  </si>
  <si>
    <t>24111_027</t>
  </si>
  <si>
    <t>24111_028</t>
  </si>
  <si>
    <t>24111_029</t>
  </si>
  <si>
    <t>24111_030</t>
  </si>
  <si>
    <t>24111_031</t>
  </si>
  <si>
    <t>24111_032</t>
  </si>
  <si>
    <t>24111_033</t>
  </si>
  <si>
    <t>24111_035</t>
  </si>
  <si>
    <t>24111_036</t>
  </si>
  <si>
    <t>24111_037</t>
  </si>
  <si>
    <t>24111_038</t>
  </si>
  <si>
    <t>24111_039</t>
  </si>
  <si>
    <t>24111_040</t>
  </si>
  <si>
    <t>24111_042</t>
  </si>
  <si>
    <t>24155_003</t>
  </si>
  <si>
    <t>24155_004</t>
  </si>
  <si>
    <t>24155_005</t>
  </si>
  <si>
    <t>24155_006</t>
  </si>
  <si>
    <t>24155_007</t>
  </si>
  <si>
    <t>24155_008</t>
  </si>
  <si>
    <t>24155_009</t>
  </si>
  <si>
    <t>24133_002</t>
  </si>
  <si>
    <t>24133_033</t>
  </si>
  <si>
    <t>24133_036</t>
  </si>
  <si>
    <t>24133_004</t>
  </si>
  <si>
    <t>24133_005</t>
  </si>
  <si>
    <t>24133_006</t>
  </si>
  <si>
    <t>24133_008</t>
  </si>
  <si>
    <t>24133_009</t>
  </si>
  <si>
    <t>24133_010</t>
  </si>
  <si>
    <t>24133_011</t>
  </si>
  <si>
    <t>24133_012</t>
  </si>
  <si>
    <t>24133_013</t>
  </si>
  <si>
    <t>24133_014</t>
  </si>
  <si>
    <t>24133_015</t>
  </si>
  <si>
    <t>24133_016</t>
  </si>
  <si>
    <t>24133_017</t>
  </si>
  <si>
    <t>24133_018</t>
  </si>
  <si>
    <t>24133_019</t>
  </si>
  <si>
    <t>24133_021</t>
  </si>
  <si>
    <t>24133_022</t>
  </si>
  <si>
    <t>24133_023</t>
  </si>
  <si>
    <t>24133_024</t>
  </si>
  <si>
    <t>24133_025</t>
  </si>
  <si>
    <t>24133_026</t>
  </si>
  <si>
    <t>24133_027</t>
  </si>
  <si>
    <t>22754_004</t>
  </si>
  <si>
    <t>22754_003</t>
  </si>
  <si>
    <t>21354_001</t>
  </si>
  <si>
    <t>71144_001</t>
  </si>
  <si>
    <t>35419_001</t>
  </si>
  <si>
    <t>35419_002</t>
  </si>
  <si>
    <t>55124_002</t>
  </si>
  <si>
    <t>55124_004</t>
  </si>
  <si>
    <t>55124_005</t>
  </si>
  <si>
    <t>23219_002</t>
  </si>
  <si>
    <t>23111_003</t>
  </si>
  <si>
    <t>23111_004</t>
  </si>
  <si>
    <t>23111_005</t>
  </si>
  <si>
    <t>32131_001</t>
  </si>
  <si>
    <t>32131_002</t>
  </si>
  <si>
    <t>25347_002</t>
  </si>
  <si>
    <t>25347_003</t>
  </si>
  <si>
    <t>25347_004</t>
  </si>
  <si>
    <t>25347_005</t>
  </si>
  <si>
    <t>25347_006</t>
  </si>
  <si>
    <t>23227_002</t>
  </si>
  <si>
    <t>23227_003</t>
  </si>
  <si>
    <t>61335_002</t>
  </si>
  <si>
    <t>35511_002</t>
  </si>
  <si>
    <t>35511_003</t>
  </si>
  <si>
    <t>35511_004</t>
  </si>
  <si>
    <t>22375_001</t>
  </si>
  <si>
    <t>37356_001</t>
  </si>
  <si>
    <t>62212_001</t>
  </si>
  <si>
    <t>72281_001</t>
  </si>
  <si>
    <t>72281_002</t>
  </si>
  <si>
    <t>32179_002</t>
  </si>
  <si>
    <t>32179_003</t>
  </si>
  <si>
    <t>23346_001</t>
  </si>
  <si>
    <t>23346_002</t>
  </si>
  <si>
    <t>62223_001</t>
  </si>
  <si>
    <t>37241_001</t>
  </si>
  <si>
    <t>37241_002</t>
  </si>
  <si>
    <t>37241_003</t>
  </si>
  <si>
    <t>37241_005</t>
  </si>
  <si>
    <t>37241_006</t>
  </si>
  <si>
    <t>37241_007</t>
  </si>
  <si>
    <t>37241_008</t>
  </si>
  <si>
    <t>37241_009</t>
  </si>
  <si>
    <t>35149_003</t>
  </si>
  <si>
    <t>35149_004</t>
  </si>
  <si>
    <t>35149_005</t>
  </si>
  <si>
    <t>55187_001</t>
  </si>
  <si>
    <t>53311_004</t>
  </si>
  <si>
    <t>53311_005</t>
  </si>
  <si>
    <t>53311_006</t>
  </si>
  <si>
    <t>53311_002</t>
  </si>
  <si>
    <t>32173_001</t>
  </si>
  <si>
    <t>23413_005</t>
  </si>
  <si>
    <t>23413_002</t>
  </si>
  <si>
    <t>23413_003</t>
  </si>
  <si>
    <t>23413_004</t>
  </si>
  <si>
    <t>71311_001</t>
  </si>
  <si>
    <t>71311_002</t>
  </si>
  <si>
    <t>71311_003</t>
  </si>
  <si>
    <t>33137_001</t>
  </si>
  <si>
    <t>33137_002</t>
  </si>
  <si>
    <t>62251_001</t>
  </si>
  <si>
    <t>23429_003</t>
  </si>
  <si>
    <t>23429_001</t>
  </si>
  <si>
    <t>23429_002</t>
  </si>
  <si>
    <t>22245_001</t>
  </si>
  <si>
    <t>22245_002</t>
  </si>
  <si>
    <t>37377_001</t>
  </si>
  <si>
    <t>72244_001</t>
  </si>
  <si>
    <t>62179_001</t>
  </si>
  <si>
    <t>62179_002</t>
  </si>
  <si>
    <t>62263_001</t>
  </si>
  <si>
    <t>24177_001</t>
  </si>
  <si>
    <t>24177_002</t>
  </si>
  <si>
    <t>22262_004</t>
  </si>
  <si>
    <t>22262_005</t>
  </si>
  <si>
    <t>22262_006</t>
  </si>
  <si>
    <t>22262_007</t>
  </si>
  <si>
    <t>22262_008</t>
  </si>
  <si>
    <t>22262_009</t>
  </si>
  <si>
    <t>22262_010</t>
  </si>
  <si>
    <t>22262_011</t>
  </si>
  <si>
    <t>62239_001</t>
  </si>
  <si>
    <t>62239_002</t>
  </si>
  <si>
    <t>62239_003</t>
  </si>
  <si>
    <t>62341_001</t>
  </si>
  <si>
    <t>62341_002</t>
  </si>
  <si>
    <t>35432_001</t>
  </si>
  <si>
    <t>23259_002</t>
  </si>
  <si>
    <t>22463_001</t>
  </si>
  <si>
    <t>22463_002</t>
  </si>
  <si>
    <t>35318_001</t>
  </si>
  <si>
    <t>35318_002</t>
  </si>
  <si>
    <t>35318_004</t>
  </si>
  <si>
    <t>35318_005</t>
  </si>
  <si>
    <t>35318_006</t>
  </si>
  <si>
    <t>35318_007</t>
  </si>
  <si>
    <t>23447_001</t>
  </si>
  <si>
    <t>71334_001</t>
  </si>
  <si>
    <t>71334_002</t>
  </si>
  <si>
    <t>71334_003</t>
  </si>
  <si>
    <t>71334_004</t>
  </si>
  <si>
    <t>71334_005</t>
  </si>
  <si>
    <t>22761_001</t>
  </si>
  <si>
    <t>34311_001</t>
  </si>
  <si>
    <t>34311_002</t>
  </si>
  <si>
    <t>34311_003</t>
  </si>
  <si>
    <t>53119_002</t>
  </si>
  <si>
    <t>53119_001</t>
  </si>
  <si>
    <t>53119_003</t>
  </si>
  <si>
    <t>53119_004</t>
  </si>
  <si>
    <t>53119_005</t>
  </si>
  <si>
    <t>53119_006</t>
  </si>
  <si>
    <t>53119_007</t>
  </si>
  <si>
    <t>53119_008</t>
  </si>
  <si>
    <t>53119_009</t>
  </si>
  <si>
    <t>53119_010</t>
  </si>
  <si>
    <t>53119_011</t>
  </si>
  <si>
    <t>53119_012</t>
  </si>
  <si>
    <t>53119_013</t>
  </si>
  <si>
    <t>53119_014</t>
  </si>
  <si>
    <t>34259_001</t>
  </si>
  <si>
    <t>26135_003</t>
  </si>
  <si>
    <t>26211_001</t>
  </si>
  <si>
    <t>26211_002</t>
  </si>
  <si>
    <t>26211_003</t>
  </si>
  <si>
    <t>32181_002</t>
  </si>
  <si>
    <t>61479_001</t>
  </si>
  <si>
    <t>22419_001</t>
  </si>
  <si>
    <t>22419_002</t>
  </si>
  <si>
    <t>22419_003</t>
  </si>
  <si>
    <t>22419_004</t>
  </si>
  <si>
    <t>22419_005</t>
  </si>
  <si>
    <t>22419_006</t>
  </si>
  <si>
    <t>25427_001</t>
  </si>
  <si>
    <t>53214_003</t>
  </si>
  <si>
    <t>53214_005</t>
  </si>
  <si>
    <t>53214_006</t>
  </si>
  <si>
    <t>53214_007</t>
  </si>
  <si>
    <t>53214_008</t>
  </si>
  <si>
    <t>53214_009</t>
  </si>
  <si>
    <t>32147_002</t>
  </si>
  <si>
    <t>35353_001</t>
  </si>
  <si>
    <t>35353_003</t>
  </si>
  <si>
    <t>35353_004</t>
  </si>
  <si>
    <t>35353_005</t>
  </si>
  <si>
    <t>35353_006</t>
  </si>
  <si>
    <t>35353_007</t>
  </si>
  <si>
    <t>35353_008</t>
  </si>
  <si>
    <t>35353_009</t>
  </si>
  <si>
    <t>35353_010</t>
  </si>
  <si>
    <t>35353_011</t>
  </si>
  <si>
    <t>35353_012</t>
  </si>
  <si>
    <t>51139_003</t>
  </si>
  <si>
    <t>51139_002</t>
  </si>
  <si>
    <t>72276_001</t>
  </si>
  <si>
    <t>21133_001</t>
  </si>
  <si>
    <t>21133_005</t>
  </si>
  <si>
    <t>21133_004</t>
  </si>
  <si>
    <t>72274_001</t>
  </si>
  <si>
    <t>72274_002</t>
  </si>
  <si>
    <t>72274_003</t>
  </si>
  <si>
    <t>23566_002</t>
  </si>
  <si>
    <t>61447_001</t>
  </si>
  <si>
    <t>25311_002</t>
  </si>
  <si>
    <t>25311_003</t>
  </si>
  <si>
    <t>25311_004</t>
  </si>
  <si>
    <t>61311_003</t>
  </si>
  <si>
    <t>61311_004</t>
  </si>
  <si>
    <t>61311_005</t>
  </si>
  <si>
    <t>61311_006</t>
  </si>
  <si>
    <t>61311_007</t>
  </si>
  <si>
    <t>61311_008</t>
  </si>
  <si>
    <t>52227_003</t>
  </si>
  <si>
    <t>25363_001</t>
  </si>
  <si>
    <t>25319_006</t>
  </si>
  <si>
    <t>25319_002</t>
  </si>
  <si>
    <t>25319_003</t>
  </si>
  <si>
    <t>71155_001</t>
  </si>
  <si>
    <t>71155_002</t>
  </si>
  <si>
    <t>71155_003</t>
  </si>
  <si>
    <t>71155_004</t>
  </si>
  <si>
    <t>53183_005</t>
  </si>
  <si>
    <t>53183_003</t>
  </si>
  <si>
    <t>53183_004</t>
  </si>
  <si>
    <t>53183_006</t>
  </si>
  <si>
    <t>53183_007</t>
  </si>
  <si>
    <t>53183_001</t>
  </si>
  <si>
    <t>53183_002</t>
  </si>
  <si>
    <t>21219_035</t>
  </si>
  <si>
    <t>21219_036</t>
  </si>
  <si>
    <t>21219_037</t>
  </si>
  <si>
    <t>21219_004</t>
  </si>
  <si>
    <t>21219_005</t>
  </si>
  <si>
    <t>21219_006</t>
  </si>
  <si>
    <t>21219_007</t>
  </si>
  <si>
    <t>21219_008</t>
  </si>
  <si>
    <t>21219_009</t>
  </si>
  <si>
    <t>21219_010</t>
  </si>
  <si>
    <t>21219_011</t>
  </si>
  <si>
    <t>21219_012</t>
  </si>
  <si>
    <t>21219_013</t>
  </si>
  <si>
    <t>21219_014</t>
  </si>
  <si>
    <t>21219_015</t>
  </si>
  <si>
    <t>21219_016</t>
  </si>
  <si>
    <t>21219_017</t>
  </si>
  <si>
    <t>21219_019</t>
  </si>
  <si>
    <t>21219_020</t>
  </si>
  <si>
    <t>21219_021</t>
  </si>
  <si>
    <t>21219_022</t>
  </si>
  <si>
    <t>21219_023</t>
  </si>
  <si>
    <t>21219_024</t>
  </si>
  <si>
    <t>21219_025</t>
  </si>
  <si>
    <t>21219_026</t>
  </si>
  <si>
    <t>21219_027</t>
  </si>
  <si>
    <t>21219_028</t>
  </si>
  <si>
    <t>21219_029</t>
  </si>
  <si>
    <t>21219_030</t>
  </si>
  <si>
    <t>21219_031</t>
  </si>
  <si>
    <t>21219_032</t>
  </si>
  <si>
    <t>21219_033</t>
  </si>
  <si>
    <t>36177_001</t>
  </si>
  <si>
    <t>36177_002</t>
  </si>
  <si>
    <t>36177_003</t>
  </si>
  <si>
    <t>33275_001</t>
  </si>
  <si>
    <t>26147_002</t>
  </si>
  <si>
    <t>35111_002</t>
  </si>
  <si>
    <t>35111_003</t>
  </si>
  <si>
    <t>35111_004</t>
  </si>
  <si>
    <t>35111_005</t>
  </si>
  <si>
    <t>35111_006</t>
  </si>
  <si>
    <t>53463_001</t>
  </si>
  <si>
    <t>34287_001</t>
  </si>
  <si>
    <t>21411_003</t>
  </si>
  <si>
    <t>21411_004</t>
  </si>
  <si>
    <t>21411_005</t>
  </si>
  <si>
    <t>62247_001</t>
  </si>
  <si>
    <t>62247_002</t>
  </si>
  <si>
    <t>37355_001</t>
  </si>
  <si>
    <t>37355_002</t>
  </si>
  <si>
    <t>53159_001</t>
  </si>
  <si>
    <t>51329_001</t>
  </si>
  <si>
    <t>52254_002</t>
  </si>
  <si>
    <t>53419_001</t>
  </si>
  <si>
    <t>53419_002</t>
  </si>
  <si>
    <t>53419_003</t>
  </si>
  <si>
    <t>53419_004</t>
  </si>
  <si>
    <t>51317_001</t>
  </si>
  <si>
    <t>51317_002</t>
  </si>
  <si>
    <t>51317_003</t>
  </si>
  <si>
    <t>51317_004</t>
  </si>
  <si>
    <t>51317_005</t>
  </si>
  <si>
    <t>51317_006</t>
  </si>
  <si>
    <t>53433_001</t>
  </si>
  <si>
    <t>53433_002</t>
  </si>
  <si>
    <t>53433_003</t>
  </si>
  <si>
    <t>53135_001</t>
  </si>
  <si>
    <t>53451_001</t>
  </si>
  <si>
    <t>53451_002</t>
  </si>
  <si>
    <t>53451_003</t>
  </si>
  <si>
    <t>53451_004</t>
  </si>
  <si>
    <t>53451_005</t>
  </si>
  <si>
    <t>36131_001</t>
  </si>
  <si>
    <t>37327_001</t>
  </si>
  <si>
    <t>53264_001</t>
  </si>
  <si>
    <t>22383_001</t>
  </si>
  <si>
    <t>21144_001</t>
  </si>
  <si>
    <t>21144_002</t>
  </si>
  <si>
    <t>21144_003</t>
  </si>
  <si>
    <t>21144_004</t>
  </si>
  <si>
    <t>21144_005</t>
  </si>
  <si>
    <t>21144_006</t>
  </si>
  <si>
    <t>21144_007</t>
  </si>
  <si>
    <t>21144_008</t>
  </si>
  <si>
    <t>21144_009</t>
  </si>
  <si>
    <t>21144_010</t>
  </si>
  <si>
    <t>21144_011</t>
  </si>
  <si>
    <t>21144_012</t>
  </si>
  <si>
    <t>21144_013</t>
  </si>
  <si>
    <t>21144_014</t>
  </si>
  <si>
    <t>21144_015</t>
  </si>
  <si>
    <t>21144_016</t>
  </si>
  <si>
    <t>21144_017</t>
  </si>
  <si>
    <t>21144_018</t>
  </si>
  <si>
    <t>21144_019</t>
  </si>
  <si>
    <t>21144_020</t>
  </si>
  <si>
    <t>21144_021</t>
  </si>
  <si>
    <t>21144_022</t>
  </si>
  <si>
    <t>23647_001</t>
  </si>
  <si>
    <t>61159_003</t>
  </si>
  <si>
    <t>37345_002</t>
  </si>
  <si>
    <t>63171_001</t>
  </si>
  <si>
    <t>72241_001</t>
  </si>
  <si>
    <t>72241_002</t>
  </si>
  <si>
    <t>71331_001</t>
  </si>
  <si>
    <t>71331_002</t>
  </si>
  <si>
    <t>71331_003</t>
  </si>
  <si>
    <t>71331_004</t>
  </si>
  <si>
    <t>71331_005</t>
  </si>
  <si>
    <t>71331_006</t>
  </si>
  <si>
    <t>74111_002</t>
  </si>
  <si>
    <t>74111_005</t>
  </si>
  <si>
    <t>74111_008</t>
  </si>
  <si>
    <t>74111_009</t>
  </si>
  <si>
    <t>74111_010</t>
  </si>
  <si>
    <t>74111_011</t>
  </si>
  <si>
    <t>74111_012</t>
  </si>
  <si>
    <t>74111_013</t>
  </si>
  <si>
    <t>74111_014</t>
  </si>
  <si>
    <t>74111_015</t>
  </si>
  <si>
    <t>74111_016</t>
  </si>
  <si>
    <t>36171_001</t>
  </si>
  <si>
    <t>36171_002</t>
  </si>
  <si>
    <t>36171_003</t>
  </si>
  <si>
    <t>23588_002</t>
  </si>
  <si>
    <t>35463_001</t>
  </si>
  <si>
    <t>35139_001</t>
  </si>
  <si>
    <t>35139_002</t>
  </si>
  <si>
    <t>22583_001</t>
  </si>
  <si>
    <t>22583_002</t>
  </si>
  <si>
    <t>74122_001</t>
  </si>
  <si>
    <t>74122_002</t>
  </si>
  <si>
    <t>54111_001</t>
  </si>
  <si>
    <t>54111_002</t>
  </si>
  <si>
    <t>54111_003</t>
  </si>
  <si>
    <t>54111_004</t>
  </si>
  <si>
    <t>54111_005</t>
  </si>
  <si>
    <t>54111_006</t>
  </si>
  <si>
    <t>54111_007</t>
  </si>
  <si>
    <t>54111_008</t>
  </si>
  <si>
    <t>54111_009</t>
  </si>
  <si>
    <t>54111_010</t>
  </si>
  <si>
    <t>54111_011</t>
  </si>
  <si>
    <t>54111_012</t>
  </si>
  <si>
    <t>54111_013</t>
  </si>
  <si>
    <t>54111_014</t>
  </si>
  <si>
    <t>54111_015</t>
  </si>
  <si>
    <t>54111_016</t>
  </si>
  <si>
    <t>54111_017</t>
  </si>
  <si>
    <t>54111_018</t>
  </si>
  <si>
    <t>54111_019</t>
  </si>
  <si>
    <t>54111_020</t>
  </si>
  <si>
    <t>54111_021</t>
  </si>
  <si>
    <t>54111_022</t>
  </si>
  <si>
    <t>54111_023</t>
  </si>
  <si>
    <t>54111_024</t>
  </si>
  <si>
    <t>54111_025</t>
  </si>
  <si>
    <t>54111_026</t>
  </si>
  <si>
    <t>54111_027</t>
  </si>
  <si>
    <t>54111_028</t>
  </si>
  <si>
    <t>54111_029</t>
  </si>
  <si>
    <t>54111_030</t>
  </si>
  <si>
    <t>61123_004</t>
  </si>
  <si>
    <t>62244_001</t>
  </si>
  <si>
    <t>35514_001</t>
  </si>
  <si>
    <t>35514_002</t>
  </si>
  <si>
    <t>73234_001</t>
  </si>
  <si>
    <t>73234_002</t>
  </si>
  <si>
    <t>73234_003</t>
  </si>
  <si>
    <t>73234_004</t>
  </si>
  <si>
    <t>71246_001</t>
  </si>
  <si>
    <t>71266_001</t>
  </si>
  <si>
    <t>33287_001</t>
  </si>
  <si>
    <t>25471_002</t>
  </si>
  <si>
    <t>35328_006</t>
  </si>
  <si>
    <t>35328_007</t>
  </si>
  <si>
    <t>35328_002</t>
  </si>
  <si>
    <t>35328_004</t>
  </si>
  <si>
    <t>35328_005</t>
  </si>
  <si>
    <t>26286_002</t>
  </si>
  <si>
    <t>53123_001</t>
  </si>
  <si>
    <t>53123_002</t>
  </si>
  <si>
    <t>53123_003</t>
  </si>
  <si>
    <t>35117_001</t>
  </si>
  <si>
    <t>35145_001</t>
  </si>
  <si>
    <t>61436_001</t>
  </si>
  <si>
    <t>61436_002</t>
  </si>
  <si>
    <t>37341_001</t>
  </si>
  <si>
    <t>37341_002</t>
  </si>
  <si>
    <t>37341_003</t>
  </si>
  <si>
    <t>37341_005</t>
  </si>
  <si>
    <t>37341_006</t>
  </si>
  <si>
    <t>37341_007</t>
  </si>
  <si>
    <t>23271_001</t>
  </si>
  <si>
    <t>23577_002</t>
  </si>
  <si>
    <t>22327_001</t>
  </si>
  <si>
    <t>71231_001</t>
  </si>
  <si>
    <t>37358_001</t>
  </si>
  <si>
    <t>61411_001</t>
  </si>
  <si>
    <t>23671_001</t>
  </si>
  <si>
    <t>71211_001</t>
  </si>
  <si>
    <t>71211_002</t>
  </si>
  <si>
    <t>71211_003</t>
  </si>
  <si>
    <t>71211_004</t>
  </si>
  <si>
    <t>62279_001</t>
  </si>
  <si>
    <t>26111_012</t>
  </si>
  <si>
    <t>26111_013</t>
  </si>
  <si>
    <t>26111_007</t>
  </si>
  <si>
    <t>26111_008</t>
  </si>
  <si>
    <t>26111_009</t>
  </si>
  <si>
    <t>26111_010</t>
  </si>
  <si>
    <t>26111_011</t>
  </si>
  <si>
    <t>22211_003</t>
  </si>
  <si>
    <t>22211_002</t>
  </si>
  <si>
    <t>22211_004</t>
  </si>
  <si>
    <t>22211_005</t>
  </si>
  <si>
    <t>23623_004</t>
  </si>
  <si>
    <t>23623_003</t>
  </si>
  <si>
    <t>51224_001</t>
  </si>
  <si>
    <t>35163_001</t>
  </si>
  <si>
    <t>62237_001</t>
  </si>
  <si>
    <t>63261_001</t>
  </si>
  <si>
    <t>53447_001</t>
  </si>
  <si>
    <t>63111_005</t>
  </si>
  <si>
    <t>63111_006</t>
  </si>
  <si>
    <t>71337_001</t>
  </si>
  <si>
    <t>71337_002</t>
  </si>
  <si>
    <t>71337_003</t>
  </si>
  <si>
    <t>71337_004</t>
  </si>
  <si>
    <t>71337_005</t>
  </si>
  <si>
    <t>71337_006</t>
  </si>
  <si>
    <t>71337_007</t>
  </si>
  <si>
    <t>71337_008</t>
  </si>
  <si>
    <t>23267_002</t>
  </si>
  <si>
    <t>23267_004</t>
  </si>
  <si>
    <t>72221_001</t>
  </si>
  <si>
    <t>72221_002</t>
  </si>
  <si>
    <t>72221_003</t>
  </si>
  <si>
    <t>72221_004</t>
  </si>
  <si>
    <t>62211_001</t>
  </si>
  <si>
    <t>62211_002</t>
  </si>
  <si>
    <t>62211_003</t>
  </si>
  <si>
    <t>62211_004</t>
  </si>
  <si>
    <t>62211_005</t>
  </si>
  <si>
    <t>52211_003</t>
  </si>
  <si>
    <t>52211_004</t>
  </si>
  <si>
    <t>52211_005</t>
  </si>
  <si>
    <t>52211_006</t>
  </si>
  <si>
    <t>25121_003</t>
  </si>
  <si>
    <t>25121_004</t>
  </si>
  <si>
    <t>25121_005</t>
  </si>
  <si>
    <t>25121_006</t>
  </si>
  <si>
    <t>25121_007</t>
  </si>
  <si>
    <t>25131_003</t>
  </si>
  <si>
    <t>25131_002</t>
  </si>
  <si>
    <t>25131_005</t>
  </si>
  <si>
    <t>25131_004</t>
  </si>
  <si>
    <t>22619_001</t>
  </si>
  <si>
    <t>34234_001</t>
  </si>
  <si>
    <t>72257_001</t>
  </si>
  <si>
    <t>72257_002</t>
  </si>
  <si>
    <t>72257_003</t>
  </si>
  <si>
    <t>24313_001</t>
  </si>
  <si>
    <t>52217_004</t>
  </si>
  <si>
    <t>52217_005</t>
  </si>
  <si>
    <t>55144_002</t>
  </si>
  <si>
    <t>61454_001</t>
  </si>
  <si>
    <t>61454_002</t>
  </si>
  <si>
    <t>37347_001</t>
  </si>
  <si>
    <t>33169_001</t>
  </si>
  <si>
    <t>33169_002</t>
  </si>
  <si>
    <t>23231_004</t>
  </si>
  <si>
    <t>23231_003</t>
  </si>
  <si>
    <t>32113_001</t>
  </si>
  <si>
    <t>32113_003</t>
  </si>
  <si>
    <t>37395_001</t>
  </si>
  <si>
    <t>21251_012</t>
  </si>
  <si>
    <t>21251_003</t>
  </si>
  <si>
    <t>21251_004</t>
  </si>
  <si>
    <t>21251_005</t>
  </si>
  <si>
    <t>21251_006</t>
  </si>
  <si>
    <t>21251_007</t>
  </si>
  <si>
    <t>21251_008</t>
  </si>
  <si>
    <t>21251_009</t>
  </si>
  <si>
    <t>21251_010</t>
  </si>
  <si>
    <t>21251_011</t>
  </si>
  <si>
    <t>74160_001</t>
  </si>
  <si>
    <t>74160_002</t>
  </si>
  <si>
    <t>74160_003</t>
  </si>
  <si>
    <t>53179_001</t>
  </si>
  <si>
    <t>25439_001</t>
  </si>
  <si>
    <t>25439_002</t>
  </si>
  <si>
    <t>25439_003</t>
  </si>
  <si>
    <t>25439_004</t>
  </si>
  <si>
    <t>72247_001</t>
  </si>
  <si>
    <t>37365_002</t>
  </si>
  <si>
    <t>61493_002</t>
  </si>
  <si>
    <t>23439_001</t>
  </si>
  <si>
    <t>23439_002</t>
  </si>
  <si>
    <t>23439_003</t>
  </si>
  <si>
    <t>73228_001</t>
  </si>
  <si>
    <t>73228_002</t>
  </si>
  <si>
    <t>73228_003</t>
  </si>
  <si>
    <t>55154_001</t>
  </si>
  <si>
    <t>35234_001</t>
  </si>
  <si>
    <t>61496_001</t>
  </si>
  <si>
    <t>61496_002</t>
  </si>
  <si>
    <t>35406_001</t>
  </si>
  <si>
    <t>23419_001</t>
  </si>
  <si>
    <t>55134_001</t>
  </si>
  <si>
    <t>71133_001</t>
  </si>
  <si>
    <t>71133_002</t>
  </si>
  <si>
    <t>71133_003</t>
  </si>
  <si>
    <t>71133_004</t>
  </si>
  <si>
    <t>71391_001</t>
  </si>
  <si>
    <t>71391_002</t>
  </si>
  <si>
    <t>71391_003</t>
  </si>
  <si>
    <t>71166_001</t>
  </si>
  <si>
    <t>25146_001</t>
  </si>
  <si>
    <t>71221_001</t>
  </si>
  <si>
    <t>71221_002</t>
  </si>
  <si>
    <t>71221_003</t>
  </si>
  <si>
    <t>33153_001</t>
  </si>
  <si>
    <t>51389_004</t>
  </si>
  <si>
    <t>51389_001</t>
  </si>
  <si>
    <t>51389_002</t>
  </si>
  <si>
    <t>51389_003</t>
  </si>
  <si>
    <t>33145_002</t>
  </si>
  <si>
    <t>74175_002</t>
  </si>
  <si>
    <t>25329_003</t>
  </si>
  <si>
    <t>33139_001</t>
  </si>
  <si>
    <t>21421_001</t>
  </si>
  <si>
    <t>74168_001</t>
  </si>
  <si>
    <t>61419_001</t>
  </si>
  <si>
    <t>61419_002</t>
  </si>
  <si>
    <t>23635_001</t>
  </si>
  <si>
    <t>52234_002</t>
  </si>
  <si>
    <t>22747_001</t>
  </si>
  <si>
    <t>61467_001</t>
  </si>
  <si>
    <t>52151_001</t>
  </si>
  <si>
    <t>52151_002</t>
  </si>
  <si>
    <t>52151_003</t>
  </si>
  <si>
    <t>52151_004</t>
  </si>
  <si>
    <t>52151_005</t>
  </si>
  <si>
    <t>55151_002</t>
  </si>
  <si>
    <t>72234_001</t>
  </si>
  <si>
    <t>73159_001</t>
  </si>
  <si>
    <t>73159_002</t>
  </si>
  <si>
    <t>73159_003</t>
  </si>
  <si>
    <t>73159_004</t>
  </si>
  <si>
    <t>73159_005</t>
  </si>
  <si>
    <t>53443_001</t>
  </si>
  <si>
    <t>53443_002</t>
  </si>
  <si>
    <t>35330_001</t>
  </si>
  <si>
    <t>35216_002</t>
  </si>
  <si>
    <t>35216_003</t>
  </si>
  <si>
    <t>35216_004</t>
  </si>
  <si>
    <t>35216_005</t>
  </si>
  <si>
    <t>35515_001</t>
  </si>
  <si>
    <t>62267_001</t>
  </si>
  <si>
    <t>62267_002</t>
  </si>
  <si>
    <t>35429_003</t>
  </si>
  <si>
    <t>35429_004</t>
  </si>
  <si>
    <t>35119_001</t>
  </si>
  <si>
    <t>53234_001</t>
  </si>
  <si>
    <t>53234_002</t>
  </si>
  <si>
    <t>53234_003</t>
  </si>
  <si>
    <t>53234_004</t>
  </si>
  <si>
    <t>53234_005</t>
  </si>
  <si>
    <t>53234_006</t>
  </si>
  <si>
    <t>21166_001</t>
  </si>
  <si>
    <t>52274_001</t>
  </si>
  <si>
    <t>52274_002</t>
  </si>
  <si>
    <t>21243_001</t>
  </si>
  <si>
    <t>21243_002</t>
  </si>
  <si>
    <t>21243_003</t>
  </si>
  <si>
    <t>61439_001</t>
  </si>
  <si>
    <t>26293_001</t>
  </si>
  <si>
    <t>61476_002</t>
  </si>
  <si>
    <t>62231_001</t>
  </si>
  <si>
    <t>62231_002</t>
  </si>
  <si>
    <t>62231_003</t>
  </si>
  <si>
    <t>62234_001</t>
  </si>
  <si>
    <t>25357_005</t>
  </si>
  <si>
    <t>25357_001</t>
  </si>
  <si>
    <t>25357_003</t>
  </si>
  <si>
    <t>25357_004</t>
  </si>
  <si>
    <t>52111_001</t>
  </si>
  <si>
    <t>52111_002</t>
  </si>
  <si>
    <t>52111_003</t>
  </si>
  <si>
    <t>52111_004</t>
  </si>
  <si>
    <t>52111_005</t>
  </si>
  <si>
    <t>52111_006</t>
  </si>
  <si>
    <t>52111_007</t>
  </si>
  <si>
    <t>35137_002</t>
  </si>
  <si>
    <t>35137_003</t>
  </si>
  <si>
    <t>35137_004</t>
  </si>
  <si>
    <t>35137_005</t>
  </si>
  <si>
    <t>35437_005</t>
  </si>
  <si>
    <t>35437_001</t>
  </si>
  <si>
    <t>35437_002</t>
  </si>
  <si>
    <t>35437_004</t>
  </si>
  <si>
    <t>35437_006</t>
  </si>
  <si>
    <t>35437_007</t>
  </si>
  <si>
    <t>35437_008</t>
  </si>
  <si>
    <t>35437_009</t>
  </si>
  <si>
    <t>35437_010</t>
  </si>
  <si>
    <t>35437_011</t>
  </si>
  <si>
    <t>61323_004</t>
  </si>
  <si>
    <t>61323_005</t>
  </si>
  <si>
    <t>61323_006</t>
  </si>
  <si>
    <t>62214_001</t>
  </si>
  <si>
    <t>62214_002</t>
  </si>
  <si>
    <t>62214_003</t>
  </si>
  <si>
    <t>51284_011</t>
  </si>
  <si>
    <t>51284_012</t>
  </si>
  <si>
    <t>51284_001</t>
  </si>
  <si>
    <t>51284_003</t>
  </si>
  <si>
    <t>51284_004</t>
  </si>
  <si>
    <t>51284_005</t>
  </si>
  <si>
    <t>51284_006</t>
  </si>
  <si>
    <t>51284_007</t>
  </si>
  <si>
    <t>51284_008</t>
  </si>
  <si>
    <t>51284_009</t>
  </si>
  <si>
    <t>51284_010</t>
  </si>
  <si>
    <t>24424_003</t>
  </si>
  <si>
    <t>24424_004</t>
  </si>
  <si>
    <t>23445_001</t>
  </si>
  <si>
    <t>23445_002</t>
  </si>
  <si>
    <t>73279_001</t>
  </si>
  <si>
    <t>73279_002</t>
  </si>
  <si>
    <t>73279_003</t>
  </si>
  <si>
    <t>62297_001</t>
  </si>
  <si>
    <t>22435_001</t>
  </si>
  <si>
    <t>51217_003</t>
  </si>
  <si>
    <t>51217_004</t>
  </si>
  <si>
    <t>51217_002</t>
  </si>
  <si>
    <t>52244_004</t>
  </si>
  <si>
    <t>52244_005</t>
  </si>
  <si>
    <t>52244_006</t>
  </si>
  <si>
    <t>62296_001</t>
  </si>
  <si>
    <t>22411_002</t>
  </si>
  <si>
    <t>22411_003</t>
  </si>
  <si>
    <t>22411_004</t>
  </si>
  <si>
    <t>53155_001</t>
  </si>
  <si>
    <t>35167_001</t>
  </si>
  <si>
    <t>52277_004</t>
  </si>
  <si>
    <t>52277_005</t>
  </si>
  <si>
    <t>52277_006</t>
  </si>
  <si>
    <t>52277_007</t>
  </si>
  <si>
    <t>74131_002</t>
  </si>
  <si>
    <t>73111_005</t>
  </si>
  <si>
    <t>73111_007</t>
  </si>
  <si>
    <t>73111_002</t>
  </si>
  <si>
    <t>73111_003</t>
  </si>
  <si>
    <t>73111_004</t>
  </si>
  <si>
    <t>73245_001</t>
  </si>
  <si>
    <t>51371_001</t>
  </si>
  <si>
    <t>61415_001</t>
  </si>
  <si>
    <t>52287_001</t>
  </si>
  <si>
    <t>71344_001</t>
  </si>
  <si>
    <t>71344_002</t>
  </si>
  <si>
    <t>71344_003</t>
  </si>
  <si>
    <t>26257_001</t>
  </si>
  <si>
    <t>26257_002</t>
  </si>
  <si>
    <t>35516_013</t>
  </si>
  <si>
    <t>35516_012</t>
  </si>
  <si>
    <t>35516_002</t>
  </si>
  <si>
    <t>35516_001</t>
  </si>
  <si>
    <t>35516_004</t>
  </si>
  <si>
    <t>35516_005</t>
  </si>
  <si>
    <t>35516_006</t>
  </si>
  <si>
    <t>35516_007</t>
  </si>
  <si>
    <t>35516_008</t>
  </si>
  <si>
    <t>35516_009</t>
  </si>
  <si>
    <t>35516_010</t>
  </si>
  <si>
    <t>35516_011</t>
  </si>
  <si>
    <t>23215_002</t>
  </si>
  <si>
    <t>10310_005</t>
  </si>
  <si>
    <t>10310_018</t>
  </si>
  <si>
    <t>10310_065</t>
  </si>
  <si>
    <t>10310_070</t>
  </si>
  <si>
    <t>10310_023</t>
  </si>
  <si>
    <t>10310_063</t>
  </si>
  <si>
    <t>10310_064</t>
  </si>
  <si>
    <t>10310_068</t>
  </si>
  <si>
    <t>10310_077</t>
  </si>
  <si>
    <t>10310_078</t>
  </si>
  <si>
    <t>10310_081</t>
  </si>
  <si>
    <t>10310_082</t>
  </si>
  <si>
    <t>10310_083</t>
  </si>
  <si>
    <t>10310_084</t>
  </si>
  <si>
    <t>10310_022</t>
  </si>
  <si>
    <t>10310_024</t>
  </si>
  <si>
    <t>10310_026</t>
  </si>
  <si>
    <t>10310_028</t>
  </si>
  <si>
    <t>10310_029</t>
  </si>
  <si>
    <t>10310_031</t>
  </si>
  <si>
    <t>10310_034</t>
  </si>
  <si>
    <t>10310_035</t>
  </si>
  <si>
    <t>10310_036</t>
  </si>
  <si>
    <t>10310_037</t>
  </si>
  <si>
    <t>10310_038</t>
  </si>
  <si>
    <t>10310_039</t>
  </si>
  <si>
    <t>10310_042</t>
  </si>
  <si>
    <t>10310_043</t>
  </si>
  <si>
    <t>10310_045</t>
  </si>
  <si>
    <t>10310_046</t>
  </si>
  <si>
    <t>10310_047</t>
  </si>
  <si>
    <t>10310_048</t>
  </si>
  <si>
    <t>10310_049</t>
  </si>
  <si>
    <t>10310_050</t>
  </si>
  <si>
    <t>10310_051</t>
  </si>
  <si>
    <t>10310_052</t>
  </si>
  <si>
    <t>10310_053</t>
  </si>
  <si>
    <t>10310_054</t>
  </si>
  <si>
    <t>10310_056</t>
  </si>
  <si>
    <t>10310_058</t>
  </si>
  <si>
    <t>10310_059</t>
  </si>
  <si>
    <t>10310_060</t>
  </si>
  <si>
    <t>10310_061</t>
  </si>
  <si>
    <t>22391_001</t>
  </si>
  <si>
    <t>22391_002</t>
  </si>
  <si>
    <t>35486_005</t>
  </si>
  <si>
    <t>35486_001</t>
  </si>
  <si>
    <t>35486_002</t>
  </si>
  <si>
    <t>35486_003</t>
  </si>
  <si>
    <t>35486_004</t>
  </si>
  <si>
    <t>25281_001</t>
  </si>
  <si>
    <t>51185_001</t>
  </si>
  <si>
    <t>62351_001</t>
  </si>
  <si>
    <t>62351_002</t>
  </si>
  <si>
    <t>71117_001</t>
  </si>
  <si>
    <t>71117_002</t>
  </si>
  <si>
    <t>62215_001</t>
  </si>
  <si>
    <t>62215_002</t>
  </si>
  <si>
    <t>25419_001</t>
  </si>
  <si>
    <t>61429_001</t>
  </si>
  <si>
    <t>61437_001</t>
  </si>
  <si>
    <t>22475_001</t>
  </si>
  <si>
    <t>22475_002</t>
  </si>
  <si>
    <t>22475_003</t>
  </si>
  <si>
    <t>10610_002</t>
  </si>
  <si>
    <t>10610_003</t>
  </si>
  <si>
    <t>10610_004</t>
  </si>
  <si>
    <t>10610_005</t>
  </si>
  <si>
    <t>10610_006</t>
  </si>
  <si>
    <t>73250_001</t>
  </si>
  <si>
    <t>73250_002</t>
  </si>
  <si>
    <t>73250_003</t>
  </si>
  <si>
    <t>24349_002</t>
  </si>
  <si>
    <t>33129_002</t>
  </si>
  <si>
    <t>33129_005</t>
  </si>
  <si>
    <t>33129_006</t>
  </si>
  <si>
    <t>33129_007</t>
  </si>
  <si>
    <t>33129_008</t>
  </si>
  <si>
    <t>33129_009</t>
  </si>
  <si>
    <t>33129_010</t>
  </si>
  <si>
    <t>33129_011</t>
  </si>
  <si>
    <t>37381_001</t>
  </si>
  <si>
    <t>37381_003</t>
  </si>
  <si>
    <t>62311_001</t>
  </si>
  <si>
    <t>61463_002</t>
  </si>
  <si>
    <t>61463_004</t>
  </si>
  <si>
    <t>61463_005</t>
  </si>
  <si>
    <t>61463_006</t>
  </si>
  <si>
    <t>61463_007</t>
  </si>
  <si>
    <t>61463_008</t>
  </si>
  <si>
    <t>23341_002</t>
  </si>
  <si>
    <t>55141_001</t>
  </si>
  <si>
    <t>55141_002</t>
  </si>
  <si>
    <t>35277_011</t>
  </si>
  <si>
    <t>35277_012</t>
  </si>
  <si>
    <t>35277_013</t>
  </si>
  <si>
    <t>35277_002</t>
  </si>
  <si>
    <t>35277_003</t>
  </si>
  <si>
    <t>35277_004</t>
  </si>
  <si>
    <t>35277_005</t>
  </si>
  <si>
    <t>35277_006</t>
  </si>
  <si>
    <t>35277_007</t>
  </si>
  <si>
    <t>35277_008</t>
  </si>
  <si>
    <t>35277_009</t>
  </si>
  <si>
    <t>35277_010</t>
  </si>
  <si>
    <t>62245_002</t>
  </si>
  <si>
    <t>54114_001</t>
  </si>
  <si>
    <t>35351_002</t>
  </si>
  <si>
    <t>35351_003</t>
  </si>
  <si>
    <t>35351_004</t>
  </si>
  <si>
    <t>35351_005</t>
  </si>
  <si>
    <t>35351_006</t>
  </si>
  <si>
    <t>26218_001</t>
  </si>
  <si>
    <t>37325_001</t>
  </si>
  <si>
    <t>37325_002</t>
  </si>
  <si>
    <t>10250_007</t>
  </si>
  <si>
    <t>10250_001</t>
  </si>
  <si>
    <t>10250_002</t>
  </si>
  <si>
    <t>10250_003</t>
  </si>
  <si>
    <t>10250_004</t>
  </si>
  <si>
    <t>31186_007</t>
  </si>
  <si>
    <t>31186_001</t>
  </si>
  <si>
    <t>31186_003</t>
  </si>
  <si>
    <t>31186_004</t>
  </si>
  <si>
    <t>31186_006</t>
  </si>
  <si>
    <t>31171_001</t>
  </si>
  <si>
    <t>31171_002</t>
  </si>
  <si>
    <t>31176_002</t>
  </si>
  <si>
    <t>31176_003</t>
  </si>
  <si>
    <t>31176_004</t>
  </si>
  <si>
    <t>31176_006</t>
  </si>
  <si>
    <t>31176_007</t>
  </si>
  <si>
    <t>31176_008</t>
  </si>
  <si>
    <t>31176_009</t>
  </si>
  <si>
    <t>31181_002</t>
  </si>
  <si>
    <t>31181_003</t>
  </si>
  <si>
    <t>31181_004</t>
  </si>
  <si>
    <t>31181_005</t>
  </si>
  <si>
    <t>31181_006</t>
  </si>
  <si>
    <t>31181_007</t>
  </si>
  <si>
    <t>37271_003</t>
  </si>
  <si>
    <t>37271_004</t>
  </si>
  <si>
    <t>37271_005</t>
  </si>
  <si>
    <t>37271_009</t>
  </si>
  <si>
    <t>37271_010</t>
  </si>
  <si>
    <t>37271_011</t>
  </si>
  <si>
    <t>37271_012</t>
  </si>
  <si>
    <t>37271_013</t>
  </si>
  <si>
    <t>37271_014</t>
  </si>
  <si>
    <t>37271_015</t>
  </si>
  <si>
    <t>37271_016</t>
  </si>
  <si>
    <t>37271_017</t>
  </si>
  <si>
    <t>37271_018</t>
  </si>
  <si>
    <t>37271_019</t>
  </si>
  <si>
    <t>37271_020</t>
  </si>
  <si>
    <t>35129_006</t>
  </si>
  <si>
    <t>35129_002</t>
  </si>
  <si>
    <t>35129_003</t>
  </si>
  <si>
    <t>35129_004</t>
  </si>
  <si>
    <t>35129_005</t>
  </si>
  <si>
    <t>33271_003</t>
  </si>
  <si>
    <t>33271_004</t>
  </si>
  <si>
    <t>33271_005</t>
  </si>
  <si>
    <t>61183_003</t>
  </si>
  <si>
    <t>61183_004</t>
  </si>
  <si>
    <t>61183_005</t>
  </si>
  <si>
    <t>61183_006</t>
  </si>
  <si>
    <t>61183_007</t>
  </si>
  <si>
    <t>61183_008</t>
  </si>
  <si>
    <t>33251_02</t>
  </si>
  <si>
    <t>63254_001</t>
  </si>
  <si>
    <t>22279_002</t>
  </si>
  <si>
    <t>22279_001</t>
  </si>
  <si>
    <t>23611_001</t>
  </si>
  <si>
    <t>35414_002</t>
  </si>
  <si>
    <t>26177_001</t>
  </si>
  <si>
    <t>35261_001</t>
  </si>
  <si>
    <t>25367_001</t>
  </si>
  <si>
    <t>37351_002</t>
  </si>
  <si>
    <t>51241_004</t>
  </si>
  <si>
    <t>51241_001</t>
  </si>
  <si>
    <t>23659_001</t>
  </si>
  <si>
    <t>22733_001</t>
  </si>
  <si>
    <t>22733_002</t>
  </si>
  <si>
    <t>10210_005</t>
  </si>
  <si>
    <t>10210_039</t>
  </si>
  <si>
    <t>10210_009</t>
  </si>
  <si>
    <t>10210_013</t>
  </si>
  <si>
    <t>10210_038</t>
  </si>
  <si>
    <t>10210_054</t>
  </si>
  <si>
    <t>10210_055</t>
  </si>
  <si>
    <t>10210_056</t>
  </si>
  <si>
    <t>10210_057</t>
  </si>
  <si>
    <t>10210_058</t>
  </si>
  <si>
    <t>10210_061</t>
  </si>
  <si>
    <t>10210_008</t>
  </si>
  <si>
    <t>10210_012</t>
  </si>
  <si>
    <t>10210_017</t>
  </si>
  <si>
    <t>10210_018</t>
  </si>
  <si>
    <t>10210_019</t>
  </si>
  <si>
    <t>10210_020</t>
  </si>
  <si>
    <t>10210_022</t>
  </si>
  <si>
    <t>10210_026</t>
  </si>
  <si>
    <t>10210_028</t>
  </si>
  <si>
    <t>10210_030</t>
  </si>
  <si>
    <t>10210_031</t>
  </si>
  <si>
    <t>10210_032</t>
  </si>
  <si>
    <t>10210_033</t>
  </si>
  <si>
    <t>22711_006</t>
  </si>
  <si>
    <t>22711_002</t>
  </si>
  <si>
    <t>22711_003</t>
  </si>
  <si>
    <t>22711_004</t>
  </si>
  <si>
    <t>22447_001</t>
  </si>
  <si>
    <t>23365_002</t>
  </si>
  <si>
    <t>51271_001</t>
  </si>
  <si>
    <t>23141_010</t>
  </si>
  <si>
    <t>23141_004</t>
  </si>
  <si>
    <t>23141_005</t>
  </si>
  <si>
    <t>23141_006</t>
  </si>
  <si>
    <t>23141_007</t>
  </si>
  <si>
    <t>23141_008</t>
  </si>
  <si>
    <t>23141_009</t>
  </si>
  <si>
    <t>71111_020</t>
  </si>
  <si>
    <t>71111_001</t>
  </si>
  <si>
    <t>71111_002</t>
  </si>
  <si>
    <t>71111_003</t>
  </si>
  <si>
    <t>71111_004</t>
  </si>
  <si>
    <t>71111_005</t>
  </si>
  <si>
    <t>71111_006</t>
  </si>
  <si>
    <t>71111_007</t>
  </si>
  <si>
    <t>71111_008</t>
  </si>
  <si>
    <t>71111_009</t>
  </si>
  <si>
    <t>71111_010</t>
  </si>
  <si>
    <t>71111_011</t>
  </si>
  <si>
    <t>71111_012</t>
  </si>
  <si>
    <t>71111_013</t>
  </si>
  <si>
    <t>71111_014</t>
  </si>
  <si>
    <t>71111_015</t>
  </si>
  <si>
    <t>71111_016</t>
  </si>
  <si>
    <t>71111_017</t>
  </si>
  <si>
    <t>71111_018</t>
  </si>
  <si>
    <t>71111_019</t>
  </si>
  <si>
    <t>71113_001</t>
  </si>
  <si>
    <t>71113_002</t>
  </si>
  <si>
    <t>71113_003</t>
  </si>
  <si>
    <t>71113_004</t>
  </si>
  <si>
    <t>71113_005</t>
  </si>
  <si>
    <t>22443_001</t>
  </si>
  <si>
    <t>53271_001</t>
  </si>
  <si>
    <t>53445_002</t>
  </si>
  <si>
    <t>53445_003</t>
  </si>
  <si>
    <t>53445_004</t>
  </si>
  <si>
    <t>53445_005</t>
  </si>
  <si>
    <t>53224_001</t>
  </si>
  <si>
    <t>37261_002</t>
  </si>
  <si>
    <t>37261_003</t>
  </si>
  <si>
    <t>53143_001</t>
  </si>
  <si>
    <t>32191_001</t>
  </si>
  <si>
    <t>32191_002</t>
  </si>
  <si>
    <t>22335_002</t>
  </si>
  <si>
    <t>22335_003</t>
  </si>
  <si>
    <t>22335_004</t>
  </si>
  <si>
    <t>22335_005</t>
  </si>
  <si>
    <t>51354_001</t>
  </si>
  <si>
    <t>62257_001</t>
  </si>
  <si>
    <t>51177_001</t>
  </si>
  <si>
    <t>71327_001</t>
  </si>
  <si>
    <t>21267_002</t>
  </si>
  <si>
    <t>21259_001</t>
  </si>
  <si>
    <t>51189_002</t>
  </si>
  <si>
    <t>35455_001</t>
  </si>
  <si>
    <t>35364_001</t>
  </si>
  <si>
    <t>35364_002</t>
  </si>
  <si>
    <t>35364_003</t>
  </si>
  <si>
    <t>35364_004</t>
  </si>
  <si>
    <t>62218_001</t>
  </si>
  <si>
    <t>23331_002</t>
  </si>
  <si>
    <t>23463_001</t>
  </si>
  <si>
    <t>22731_001</t>
  </si>
  <si>
    <t>53241_003</t>
  </si>
  <si>
    <t>53254_001</t>
  </si>
  <si>
    <t>35233_001</t>
  </si>
  <si>
    <t>71381_001</t>
  </si>
  <si>
    <t>71381_002</t>
  </si>
  <si>
    <t>61451_001</t>
  </si>
  <si>
    <t>61451_002</t>
  </si>
  <si>
    <t>61451_003</t>
  </si>
  <si>
    <t>51234_004</t>
  </si>
  <si>
    <t>51234_005</t>
  </si>
  <si>
    <t>51234_006</t>
  </si>
  <si>
    <t>51234_007</t>
  </si>
  <si>
    <t>51234_008</t>
  </si>
  <si>
    <t>73262_001</t>
  </si>
  <si>
    <t>31221_002</t>
  </si>
  <si>
    <t>31221_003</t>
  </si>
  <si>
    <t>31221_004</t>
  </si>
  <si>
    <t>31221_005</t>
  </si>
  <si>
    <t>31221_006</t>
  </si>
  <si>
    <t>31221_007</t>
  </si>
  <si>
    <t>72261_001</t>
  </si>
  <si>
    <t>62229_001</t>
  </si>
  <si>
    <t>62229_002</t>
  </si>
  <si>
    <t>62229_003</t>
  </si>
  <si>
    <t>72291_001</t>
  </si>
  <si>
    <t>52237_009</t>
  </si>
  <si>
    <t>52237_011</t>
  </si>
  <si>
    <t>52237_002</t>
  </si>
  <si>
    <t>52237_003</t>
  </si>
  <si>
    <t>52237_004</t>
  </si>
  <si>
    <t>35341_001</t>
  </si>
  <si>
    <t>35341_002</t>
  </si>
  <si>
    <t>37360_001</t>
  </si>
  <si>
    <t>37339_003</t>
  </si>
  <si>
    <t>26311_001</t>
  </si>
  <si>
    <t>26311_002</t>
  </si>
  <si>
    <t>37315_001</t>
  </si>
  <si>
    <t>35487_001</t>
  </si>
  <si>
    <t>35487_002</t>
  </si>
  <si>
    <t>35487_003</t>
  </si>
  <si>
    <t>35487_004</t>
  </si>
  <si>
    <t>35487_005</t>
  </si>
  <si>
    <t>35487_006</t>
  </si>
  <si>
    <t>35487_007</t>
  </si>
  <si>
    <t>35487_008</t>
  </si>
  <si>
    <t>35179_001</t>
  </si>
  <si>
    <t>52291_001</t>
  </si>
  <si>
    <t>37344_001</t>
  </si>
  <si>
    <t>61347_001</t>
  </si>
  <si>
    <t>73151_001</t>
  </si>
  <si>
    <t>73151_002</t>
  </si>
  <si>
    <t>73151_003</t>
  </si>
  <si>
    <t>62287_001</t>
  </si>
  <si>
    <t>62287_002</t>
  </si>
  <si>
    <t>62287_003</t>
  </si>
  <si>
    <t>24315_003</t>
  </si>
  <si>
    <t>21357_002</t>
  </si>
  <si>
    <t>21357_003</t>
  </si>
  <si>
    <t>21357_004</t>
  </si>
  <si>
    <t>21357_005</t>
  </si>
  <si>
    <t>21456_003</t>
  </si>
  <si>
    <t>21456_004</t>
  </si>
  <si>
    <t>35352_002</t>
  </si>
  <si>
    <t>35352_003</t>
  </si>
  <si>
    <t>22455_001</t>
  </si>
  <si>
    <t>22455_002</t>
  </si>
  <si>
    <t>22455_003</t>
  </si>
  <si>
    <t>26251_001</t>
  </si>
  <si>
    <t>35269_001</t>
  </si>
  <si>
    <t>35269_002</t>
  </si>
  <si>
    <t>35269_003</t>
  </si>
  <si>
    <t>35269_004</t>
  </si>
  <si>
    <t>37353_001</t>
  </si>
  <si>
    <t>37353_002</t>
  </si>
  <si>
    <t>37353_003</t>
  </si>
  <si>
    <t>37353_004</t>
  </si>
  <si>
    <t>61255_002</t>
  </si>
  <si>
    <t>71374_001</t>
  </si>
  <si>
    <t>71374_002</t>
  </si>
  <si>
    <t>71374_003</t>
  </si>
  <si>
    <t>71374_004</t>
  </si>
  <si>
    <t>71374_005</t>
  </si>
  <si>
    <t>71374_006</t>
  </si>
  <si>
    <t>71374_007</t>
  </si>
  <si>
    <t>71374_008</t>
  </si>
  <si>
    <t>53413_002</t>
  </si>
  <si>
    <t>53413_003</t>
  </si>
  <si>
    <t>53413_004</t>
  </si>
  <si>
    <t>25435_001</t>
  </si>
  <si>
    <t>25435_002</t>
  </si>
  <si>
    <t>51359_002</t>
  </si>
  <si>
    <t>55111_001</t>
  </si>
  <si>
    <t>55111_002</t>
  </si>
  <si>
    <t>55111_003</t>
  </si>
  <si>
    <t>55111_004</t>
  </si>
  <si>
    <t>55111_005</t>
  </si>
  <si>
    <t>55111_006</t>
  </si>
  <si>
    <t>55111_007</t>
  </si>
  <si>
    <t>34276_001</t>
  </si>
  <si>
    <t>55157_003</t>
  </si>
  <si>
    <t>35357_007</t>
  </si>
  <si>
    <t>35357_008</t>
  </si>
  <si>
    <t>35357_004</t>
  </si>
  <si>
    <t>35357_005</t>
  </si>
  <si>
    <t>72191_001</t>
  </si>
  <si>
    <t>37382_001</t>
  </si>
  <si>
    <t>53211_004</t>
  </si>
  <si>
    <t>10150_017</t>
  </si>
  <si>
    <t>10150_039</t>
  </si>
  <si>
    <t>10150_041</t>
  </si>
  <si>
    <t>10150_045</t>
  </si>
  <si>
    <t>10150_003</t>
  </si>
  <si>
    <t>10150_006</t>
  </si>
  <si>
    <t>10150_008</t>
  </si>
  <si>
    <t>10150_009</t>
  </si>
  <si>
    <t>10150_010</t>
  </si>
  <si>
    <t>10150_011</t>
  </si>
  <si>
    <t>10150_012</t>
  </si>
  <si>
    <t>10150_013</t>
  </si>
  <si>
    <t>10150_014</t>
  </si>
  <si>
    <t>10150_015</t>
  </si>
  <si>
    <t>32185_002</t>
  </si>
  <si>
    <t>32185_003</t>
  </si>
  <si>
    <t>32185_004</t>
  </si>
  <si>
    <t>32185_005</t>
  </si>
  <si>
    <t>32185_006</t>
  </si>
  <si>
    <t>25411_001</t>
  </si>
  <si>
    <t>62236_001</t>
  </si>
  <si>
    <t>24359_002</t>
  </si>
  <si>
    <t>24359_003</t>
  </si>
  <si>
    <t>63319_001</t>
  </si>
  <si>
    <t>37281_001</t>
  </si>
  <si>
    <t>37281_002</t>
  </si>
  <si>
    <t>24367_001</t>
  </si>
  <si>
    <t>24367_002</t>
  </si>
  <si>
    <t>24367_003</t>
  </si>
  <si>
    <t>24367_004</t>
  </si>
  <si>
    <t>24367_005</t>
  </si>
  <si>
    <t>51311_001</t>
  </si>
  <si>
    <t>51311_002</t>
  </si>
  <si>
    <t>51311_003</t>
  </si>
  <si>
    <t>51311_004</t>
  </si>
  <si>
    <t>51311_005</t>
  </si>
  <si>
    <t>62259_001</t>
  </si>
  <si>
    <t>35404_001</t>
  </si>
  <si>
    <t>72167_005</t>
  </si>
  <si>
    <t>72167_001</t>
  </si>
  <si>
    <t>72167_002</t>
  </si>
  <si>
    <t>72167_003</t>
  </si>
  <si>
    <t>72167_004</t>
  </si>
  <si>
    <t>10550_002</t>
  </si>
  <si>
    <t>10550_013</t>
  </si>
  <si>
    <t>10550_001</t>
  </si>
  <si>
    <t>10550_003</t>
  </si>
  <si>
    <t>10550_004</t>
  </si>
  <si>
    <t>10550_005</t>
  </si>
  <si>
    <t>10550_006</t>
  </si>
  <si>
    <t>10550_007</t>
  </si>
  <si>
    <t>10550_008</t>
  </si>
  <si>
    <t>10550_009</t>
  </si>
  <si>
    <t>10550_010</t>
  </si>
  <si>
    <t>10550_011</t>
  </si>
  <si>
    <t>10550_012</t>
  </si>
  <si>
    <t>23321_002</t>
  </si>
  <si>
    <t>23321_003</t>
  </si>
  <si>
    <t>35281_001</t>
  </si>
  <si>
    <t>22427_003</t>
  </si>
  <si>
    <t>22427_001</t>
  </si>
  <si>
    <t>22427_002</t>
  </si>
  <si>
    <t>71261_001</t>
  </si>
  <si>
    <t>71261_002</t>
  </si>
  <si>
    <t>51231_011</t>
  </si>
  <si>
    <t>51231_013</t>
  </si>
  <si>
    <t>51231_014</t>
  </si>
  <si>
    <t>51231_001</t>
  </si>
  <si>
    <t>51231_004</t>
  </si>
  <si>
    <t>51231_005</t>
  </si>
  <si>
    <t>51231_006</t>
  </si>
  <si>
    <t>51231_007</t>
  </si>
  <si>
    <t>25161_002</t>
  </si>
  <si>
    <t>25161_003</t>
  </si>
  <si>
    <t>25161_004</t>
  </si>
  <si>
    <t>52136_002</t>
  </si>
  <si>
    <t>25136_001</t>
  </si>
  <si>
    <t>25136_002</t>
  </si>
  <si>
    <t>61119_031</t>
  </si>
  <si>
    <t>61119_033</t>
  </si>
  <si>
    <t>61119_034</t>
  </si>
  <si>
    <t>61119_035</t>
  </si>
  <si>
    <t>61119_001</t>
  </si>
  <si>
    <t>61119_010</t>
  </si>
  <si>
    <t>61119_011</t>
  </si>
  <si>
    <t>61119_012</t>
  </si>
  <si>
    <t>61119_013</t>
  </si>
  <si>
    <t>61119_014</t>
  </si>
  <si>
    <t>61119_015</t>
  </si>
  <si>
    <t>61119_016</t>
  </si>
  <si>
    <t>61119_017</t>
  </si>
  <si>
    <t>61119_019</t>
  </si>
  <si>
    <t>61119_020</t>
  </si>
  <si>
    <t>61119_022</t>
  </si>
  <si>
    <t>61119_023</t>
  </si>
  <si>
    <t>61119_024</t>
  </si>
  <si>
    <t>61119_025</t>
  </si>
  <si>
    <t>61119_026</t>
  </si>
  <si>
    <t>61119_027</t>
  </si>
  <si>
    <t>61119_028</t>
  </si>
  <si>
    <t>61119_029</t>
  </si>
  <si>
    <t>61119_030</t>
  </si>
  <si>
    <t>61111_009</t>
  </si>
  <si>
    <t>61111_005</t>
  </si>
  <si>
    <t>61111_006</t>
  </si>
  <si>
    <t>61111_007</t>
  </si>
  <si>
    <t>61111_008</t>
  </si>
  <si>
    <t>61115_006</t>
  </si>
  <si>
    <t>61115_002</t>
  </si>
  <si>
    <t>61222_001</t>
  </si>
  <si>
    <t>10510_003</t>
  </si>
  <si>
    <t>10510_001</t>
  </si>
  <si>
    <t>10510_002</t>
  </si>
  <si>
    <t>61461_001</t>
  </si>
  <si>
    <t>61461_002</t>
  </si>
  <si>
    <t>61461_003</t>
  </si>
  <si>
    <t>61461_004</t>
  </si>
  <si>
    <t>73280_002</t>
  </si>
  <si>
    <t>73280_001</t>
  </si>
  <si>
    <t>24427_007</t>
  </si>
  <si>
    <t>24427_002</t>
  </si>
  <si>
    <t>24427_003</t>
  </si>
  <si>
    <t>24427_004</t>
  </si>
  <si>
    <t>24427_005</t>
  </si>
  <si>
    <t>61449_001</t>
  </si>
  <si>
    <t>61449_002</t>
  </si>
  <si>
    <t>61449_003</t>
  </si>
  <si>
    <t>61449_004</t>
  </si>
  <si>
    <t>61449_005</t>
  </si>
  <si>
    <t>61449_006</t>
  </si>
  <si>
    <t>61449_007</t>
  </si>
  <si>
    <t>61449_008</t>
  </si>
  <si>
    <t>61449_009</t>
  </si>
  <si>
    <t>61449_010</t>
  </si>
  <si>
    <t>61449_011</t>
  </si>
  <si>
    <t>33259_001</t>
  </si>
  <si>
    <t>23417_001</t>
  </si>
  <si>
    <t>23417_002</t>
  </si>
  <si>
    <t>23417_003</t>
  </si>
  <si>
    <t>23417_004</t>
  </si>
  <si>
    <t>53437_001</t>
  </si>
  <si>
    <t>53437_002</t>
  </si>
  <si>
    <t>53437_003</t>
  </si>
  <si>
    <t>53437_004</t>
  </si>
  <si>
    <t>63237_002</t>
  </si>
  <si>
    <t>63237_001</t>
  </si>
  <si>
    <t>35324_001</t>
  </si>
  <si>
    <t>22567_001</t>
  </si>
  <si>
    <t>37337_001</t>
  </si>
  <si>
    <t>37337_002</t>
  </si>
  <si>
    <t>37337_003</t>
  </si>
  <si>
    <t>37337_004</t>
  </si>
  <si>
    <t>25231_001</t>
  </si>
  <si>
    <t>25231_002</t>
  </si>
  <si>
    <t>23243_011</t>
  </si>
  <si>
    <t>23243_002</t>
  </si>
  <si>
    <t>23243_003</t>
  </si>
  <si>
    <t>23243_004</t>
  </si>
  <si>
    <t>23243_005</t>
  </si>
  <si>
    <t>23243_007</t>
  </si>
  <si>
    <t>22155_003</t>
  </si>
  <si>
    <t>22155_010</t>
  </si>
  <si>
    <t>22155_015</t>
  </si>
  <si>
    <t>22155_014</t>
  </si>
  <si>
    <t>22155_004</t>
  </si>
  <si>
    <t>22155_005</t>
  </si>
  <si>
    <t>22155_006</t>
  </si>
  <si>
    <t>22155_007</t>
  </si>
  <si>
    <t>22155_008</t>
  </si>
  <si>
    <t>22155_009</t>
  </si>
  <si>
    <t>22155_011</t>
  </si>
  <si>
    <t>37311_002</t>
  </si>
  <si>
    <t>37311_001</t>
  </si>
  <si>
    <t>37311_004</t>
  </si>
  <si>
    <t>37311_005</t>
  </si>
  <si>
    <t>37311_006</t>
  </si>
  <si>
    <t>71397_001</t>
  </si>
  <si>
    <t>24227_001</t>
  </si>
  <si>
    <t>23437_001</t>
  </si>
  <si>
    <t>23437_002</t>
  </si>
  <si>
    <t>52267_001</t>
  </si>
  <si>
    <t>52267_002</t>
  </si>
  <si>
    <t>52267_003</t>
  </si>
  <si>
    <t>52267_004</t>
  </si>
  <si>
    <t>52267_005</t>
  </si>
  <si>
    <t>52267_006</t>
  </si>
  <si>
    <t>52264_003</t>
  </si>
  <si>
    <t>52264_004</t>
  </si>
  <si>
    <t>52264_005</t>
  </si>
  <si>
    <t>52264_006</t>
  </si>
  <si>
    <t>52231_002</t>
  </si>
  <si>
    <t>72214_001</t>
  </si>
  <si>
    <t>72214_002</t>
  </si>
  <si>
    <t>72214_003</t>
  </si>
  <si>
    <t>72214_004</t>
  </si>
  <si>
    <t>24331_001</t>
  </si>
  <si>
    <t>62111_010</t>
  </si>
  <si>
    <t>62111_031</t>
  </si>
  <si>
    <t>62111_032</t>
  </si>
  <si>
    <t>62111_007</t>
  </si>
  <si>
    <t>62111_008</t>
  </si>
  <si>
    <t>62111_009</t>
  </si>
  <si>
    <t>62111_012</t>
  </si>
  <si>
    <t>62111_013</t>
  </si>
  <si>
    <t>62111_014</t>
  </si>
  <si>
    <t>62111_015</t>
  </si>
  <si>
    <t>62111_016</t>
  </si>
  <si>
    <t>62111_017</t>
  </si>
  <si>
    <t>62111_018</t>
  </si>
  <si>
    <t>62111_019</t>
  </si>
  <si>
    <t>62111_020</t>
  </si>
  <si>
    <t>62111_021</t>
  </si>
  <si>
    <t>62111_022</t>
  </si>
  <si>
    <t>62111_023</t>
  </si>
  <si>
    <t>62111_024</t>
  </si>
  <si>
    <t>62111_025</t>
  </si>
  <si>
    <t>34261_001</t>
  </si>
  <si>
    <t>62266_001</t>
  </si>
  <si>
    <t>62266_002</t>
  </si>
  <si>
    <t>51221_002</t>
  </si>
  <si>
    <t>51221_003</t>
  </si>
  <si>
    <t>51221_004</t>
  </si>
  <si>
    <t>51221_005</t>
  </si>
  <si>
    <t>51221_006</t>
  </si>
  <si>
    <t>51221_007</t>
  </si>
  <si>
    <t>51221_008</t>
  </si>
  <si>
    <t>51221_009</t>
  </si>
  <si>
    <t>51227_003</t>
  </si>
  <si>
    <t>51227_001</t>
  </si>
  <si>
    <t>21188_002</t>
  </si>
  <si>
    <t>21188_003</t>
  </si>
  <si>
    <t>21188_005</t>
  </si>
  <si>
    <t>21188_006</t>
  </si>
  <si>
    <t>21188_007</t>
  </si>
  <si>
    <t>21188_008</t>
  </si>
  <si>
    <t>21188_009</t>
  </si>
  <si>
    <t>21188_010</t>
  </si>
  <si>
    <t>21188_011</t>
  </si>
  <si>
    <t>21188_012</t>
  </si>
  <si>
    <t>53139_001</t>
  </si>
  <si>
    <t>53139_002</t>
  </si>
  <si>
    <t>35213_001</t>
  </si>
  <si>
    <t>35211_002</t>
  </si>
  <si>
    <t>52221_001</t>
  </si>
  <si>
    <t>55131_001</t>
  </si>
  <si>
    <t>34386_001</t>
  </si>
  <si>
    <t>34386_002</t>
  </si>
  <si>
    <t>34386_003</t>
  </si>
  <si>
    <t>53435_001</t>
  </si>
  <si>
    <t>53435_002</t>
  </si>
  <si>
    <t>53435_003</t>
  </si>
  <si>
    <t>37323_002</t>
  </si>
  <si>
    <t>73232_001</t>
  </si>
  <si>
    <t>73232_002</t>
  </si>
  <si>
    <t>73232_003</t>
  </si>
  <si>
    <t>73232_004</t>
  </si>
  <si>
    <t>62253_001</t>
  </si>
  <si>
    <t>62253_002</t>
  </si>
  <si>
    <t>62271_001</t>
  </si>
  <si>
    <t>62295_001</t>
  </si>
  <si>
    <t>61459_001</t>
  </si>
  <si>
    <t>53415_001</t>
  </si>
  <si>
    <t>53425_001</t>
  </si>
  <si>
    <t>53425_002</t>
  </si>
  <si>
    <t>53425_003</t>
  </si>
  <si>
    <t>51365_002</t>
  </si>
  <si>
    <t>51365_003</t>
  </si>
  <si>
    <t>72211_001</t>
  </si>
  <si>
    <t>72211_002</t>
  </si>
  <si>
    <t>72211_003</t>
  </si>
  <si>
    <t>72211_004</t>
  </si>
  <si>
    <t>72211_005</t>
  </si>
  <si>
    <t>72211_006</t>
  </si>
  <si>
    <t>72211_007</t>
  </si>
  <si>
    <t>72211_008</t>
  </si>
  <si>
    <t>72211_009</t>
  </si>
  <si>
    <t>35171_002</t>
  </si>
  <si>
    <t>35171_003</t>
  </si>
  <si>
    <t>35459_001</t>
  </si>
  <si>
    <t>35459_002</t>
  </si>
  <si>
    <t>71324_001</t>
  </si>
  <si>
    <t>71324_002</t>
  </si>
  <si>
    <t>71324_003</t>
  </si>
  <si>
    <t>71324_004</t>
  </si>
  <si>
    <t>71324_005</t>
  </si>
  <si>
    <t>73282_001</t>
  </si>
  <si>
    <t>62261_001</t>
  </si>
  <si>
    <t>36124_001</t>
  </si>
  <si>
    <t>36124_002</t>
  </si>
  <si>
    <t>31146_001</t>
  </si>
  <si>
    <t>31131_001</t>
  </si>
  <si>
    <t>31116_006</t>
  </si>
  <si>
    <t>31116_001</t>
  </si>
  <si>
    <t>31116_002</t>
  </si>
  <si>
    <t>31116_003</t>
  </si>
  <si>
    <t>31116_004</t>
  </si>
  <si>
    <t>31116_005</t>
  </si>
  <si>
    <t>31116_008</t>
  </si>
  <si>
    <t>31116_009</t>
  </si>
  <si>
    <t>31116_010</t>
  </si>
  <si>
    <t>31151_002</t>
  </si>
  <si>
    <t>31151_007</t>
  </si>
  <si>
    <t>31151_008</t>
  </si>
  <si>
    <t>31151_009</t>
  </si>
  <si>
    <t>31151_010</t>
  </si>
  <si>
    <t>31151_011</t>
  </si>
  <si>
    <t>31126_001</t>
  </si>
  <si>
    <t>31141_001</t>
  </si>
  <si>
    <t>31141_002</t>
  </si>
  <si>
    <t>31141_004</t>
  </si>
  <si>
    <t>31141_005</t>
  </si>
  <si>
    <t>31161_008</t>
  </si>
  <si>
    <t>31161_009</t>
  </si>
  <si>
    <t>31161_001</t>
  </si>
  <si>
    <t>31161_002</t>
  </si>
  <si>
    <t>31161_003</t>
  </si>
  <si>
    <t>31161_005</t>
  </si>
  <si>
    <t>31161_006</t>
  </si>
  <si>
    <t>31161_007</t>
  </si>
  <si>
    <t>31121_003</t>
  </si>
  <si>
    <t>31121_004</t>
  </si>
  <si>
    <t>31121_005</t>
  </si>
  <si>
    <t>31121_006</t>
  </si>
  <si>
    <t>31121_007</t>
  </si>
  <si>
    <t>31121_008</t>
  </si>
  <si>
    <t>31121_009</t>
  </si>
  <si>
    <t>31121_010</t>
  </si>
  <si>
    <t>31121_011</t>
  </si>
  <si>
    <t>31121_012</t>
  </si>
  <si>
    <t>31121_013</t>
  </si>
  <si>
    <t>31121_014</t>
  </si>
  <si>
    <t>31121_015</t>
  </si>
  <si>
    <t>31156_003</t>
  </si>
  <si>
    <t>31156_004</t>
  </si>
  <si>
    <t>31156_005</t>
  </si>
  <si>
    <t>31111_027</t>
  </si>
  <si>
    <t>31111_003</t>
  </si>
  <si>
    <t>31111_005</t>
  </si>
  <si>
    <t>31111_006</t>
  </si>
  <si>
    <t>31111_007</t>
  </si>
  <si>
    <t>31111_008</t>
  </si>
  <si>
    <t>31111_009</t>
  </si>
  <si>
    <t>31111_013</t>
  </si>
  <si>
    <t>31111_015</t>
  </si>
  <si>
    <t>31111_016</t>
  </si>
  <si>
    <t>31111_017</t>
  </si>
  <si>
    <t>31111_018</t>
  </si>
  <si>
    <t>31111_019</t>
  </si>
  <si>
    <t>31111_020</t>
  </si>
  <si>
    <t>31111_021</t>
  </si>
  <si>
    <t>31111_024</t>
  </si>
  <si>
    <t>31111_025</t>
  </si>
  <si>
    <t>31111_029</t>
  </si>
  <si>
    <t>31111_030</t>
  </si>
  <si>
    <t>31111_031</t>
  </si>
  <si>
    <t>31111_032</t>
  </si>
  <si>
    <t>31111_033</t>
  </si>
  <si>
    <t>31111_034</t>
  </si>
  <si>
    <t>31111_035</t>
  </si>
  <si>
    <t>31111_036</t>
  </si>
  <si>
    <t>31111_037</t>
  </si>
  <si>
    <t>31111_038</t>
  </si>
  <si>
    <t>31111_039</t>
  </si>
  <si>
    <t>31111_040</t>
  </si>
  <si>
    <t>31111_041</t>
  </si>
  <si>
    <t>31111_042</t>
  </si>
  <si>
    <t>31111_043</t>
  </si>
  <si>
    <t>31111_044</t>
  </si>
  <si>
    <t>31111_045</t>
  </si>
  <si>
    <t>31111_046</t>
  </si>
  <si>
    <t>31111_047</t>
  </si>
  <si>
    <t>31111_048</t>
  </si>
  <si>
    <t>31166_010</t>
  </si>
  <si>
    <t>31166_023</t>
  </si>
  <si>
    <t>31166_001</t>
  </si>
  <si>
    <t>31166_002</t>
  </si>
  <si>
    <t>31166_004</t>
  </si>
  <si>
    <t>31166_006</t>
  </si>
  <si>
    <t>31166_007</t>
  </si>
  <si>
    <t>31166_008</t>
  </si>
  <si>
    <t>31166_009</t>
  </si>
  <si>
    <t>31166_011</t>
  </si>
  <si>
    <t>31166_012</t>
  </si>
  <si>
    <t>31166_013</t>
  </si>
  <si>
    <t>31166_014</t>
  </si>
  <si>
    <t>31166_015</t>
  </si>
  <si>
    <t>31166_016</t>
  </si>
  <si>
    <t>31166_017</t>
  </si>
  <si>
    <t>31166_018</t>
  </si>
  <si>
    <t>31166_019</t>
  </si>
  <si>
    <t>31166_020</t>
  </si>
  <si>
    <t>31166_021</t>
  </si>
  <si>
    <t>31166_022</t>
  </si>
  <si>
    <t>25373_002</t>
  </si>
  <si>
    <t>53449_001</t>
  </si>
  <si>
    <t>53388_002</t>
  </si>
  <si>
    <t>62219_001</t>
  </si>
  <si>
    <t>62219_002</t>
  </si>
  <si>
    <t>55184_001</t>
  </si>
  <si>
    <t>62308_001</t>
  </si>
  <si>
    <t>72159_001</t>
  </si>
  <si>
    <t>72277_001</t>
  </si>
  <si>
    <t>52281_001</t>
  </si>
  <si>
    <t>71394_001</t>
  </si>
  <si>
    <t>53284_001</t>
  </si>
  <si>
    <t>53284_002</t>
  </si>
  <si>
    <t>53284_003</t>
  </si>
  <si>
    <t>53237_001</t>
  </si>
  <si>
    <t>51133_010</t>
  </si>
  <si>
    <t>51133_002</t>
  </si>
  <si>
    <t>51133_003</t>
  </si>
  <si>
    <t>51133_004</t>
  </si>
  <si>
    <t>51133_005</t>
  </si>
  <si>
    <t>51133_006</t>
  </si>
  <si>
    <t>51133_007</t>
  </si>
  <si>
    <t>51133_008</t>
  </si>
  <si>
    <t>51119_001</t>
  </si>
  <si>
    <t>51119_002</t>
  </si>
  <si>
    <t>51111_010</t>
  </si>
  <si>
    <t>51111_004</t>
  </si>
  <si>
    <t>51111_005</t>
  </si>
  <si>
    <t>51111_006</t>
  </si>
  <si>
    <t>51111_007</t>
  </si>
  <si>
    <t>51111_008</t>
  </si>
  <si>
    <t>51117_002</t>
  </si>
  <si>
    <t>51131_007</t>
  </si>
  <si>
    <t>51131_005</t>
  </si>
  <si>
    <t>51131_006</t>
  </si>
  <si>
    <t>51127_001</t>
  </si>
  <si>
    <t>51113_002</t>
  </si>
  <si>
    <t>51125_003</t>
  </si>
  <si>
    <t>51125_002</t>
  </si>
  <si>
    <t>51135_001</t>
  </si>
  <si>
    <t>51115_003</t>
  </si>
  <si>
    <t>51115_001</t>
  </si>
  <si>
    <t>51115_002</t>
  </si>
  <si>
    <t>51129_001</t>
  </si>
  <si>
    <t>22351_001</t>
  </si>
  <si>
    <t>22351_003</t>
  </si>
  <si>
    <t>22351_004</t>
  </si>
  <si>
    <t>22351_005</t>
  </si>
  <si>
    <t>22351_006</t>
  </si>
  <si>
    <t>71367_001</t>
  </si>
  <si>
    <t>71364_005</t>
  </si>
  <si>
    <t>62286_001</t>
  </si>
  <si>
    <t>71281_002</t>
  </si>
  <si>
    <t>71281_003</t>
  </si>
  <si>
    <t>71281_004</t>
  </si>
  <si>
    <t>61359_001</t>
  </si>
  <si>
    <t>33111_002</t>
  </si>
  <si>
    <t>33111_003</t>
  </si>
  <si>
    <t>33111_004</t>
  </si>
  <si>
    <t>33111_007</t>
  </si>
  <si>
    <t>33111_008</t>
  </si>
  <si>
    <t>33111_009</t>
  </si>
  <si>
    <t>33111_010</t>
  </si>
  <si>
    <t>33111_011</t>
  </si>
  <si>
    <t>71122_001</t>
  </si>
  <si>
    <t>71122_002</t>
  </si>
  <si>
    <t>71122_003</t>
  </si>
  <si>
    <t>54119_001</t>
  </si>
  <si>
    <t>35127_001</t>
  </si>
  <si>
    <t>25116_001</t>
  </si>
  <si>
    <t>25116_002</t>
  </si>
  <si>
    <t>25116_003</t>
  </si>
  <si>
    <t>25116_004</t>
  </si>
  <si>
    <t>25116_005</t>
  </si>
  <si>
    <t>25116_006</t>
  </si>
  <si>
    <t>25116_007</t>
  </si>
  <si>
    <t>25126_002</t>
  </si>
  <si>
    <t>25126_003</t>
  </si>
  <si>
    <t>37291_002</t>
  </si>
  <si>
    <t>35161_002</t>
  </si>
  <si>
    <t>10410_015</t>
  </si>
  <si>
    <t>10410_023</t>
  </si>
  <si>
    <t>10410_002</t>
  </si>
  <si>
    <t>10410_003</t>
  </si>
  <si>
    <t>10410_006</t>
  </si>
  <si>
    <t>10410_007</t>
  </si>
  <si>
    <t>10410_009</t>
  </si>
  <si>
    <t>10410_010</t>
  </si>
  <si>
    <t>10410_011</t>
  </si>
  <si>
    <t>10410_013</t>
  </si>
  <si>
    <t>61427_001</t>
  </si>
  <si>
    <t>61427_002</t>
  </si>
  <si>
    <t>61427_003</t>
  </si>
  <si>
    <t>61427_004</t>
  </si>
  <si>
    <t>61427_005</t>
  </si>
  <si>
    <t>Cadaster</t>
  </si>
  <si>
    <t>Aazouniye</t>
  </si>
  <si>
    <t>61489_004</t>
  </si>
  <si>
    <t>51267_028</t>
  </si>
  <si>
    <t>52277_008</t>
  </si>
  <si>
    <t>52277_009</t>
  </si>
  <si>
    <t>34276_004</t>
  </si>
  <si>
    <t>Total Leb</t>
  </si>
  <si>
    <t>Ratio</t>
  </si>
  <si>
    <t>Governorate</t>
  </si>
  <si>
    <t>District</t>
  </si>
  <si>
    <t>Syr</t>
  </si>
  <si>
    <t>PRL</t>
  </si>
  <si>
    <t>PRS</t>
  </si>
  <si>
    <t>Leb</t>
  </si>
  <si>
    <t>Migrant</t>
  </si>
  <si>
    <t>El Hermel</t>
  </si>
  <si>
    <t>Palestinian/Leb</t>
  </si>
  <si>
    <t>Number of CS</t>
  </si>
  <si>
    <t>MOA Field Surveys</t>
  </si>
  <si>
    <t>Forest</t>
  </si>
  <si>
    <t>Crops</t>
  </si>
  <si>
    <t>Fruit</t>
  </si>
  <si>
    <t>Caza</t>
  </si>
  <si>
    <t>Village</t>
  </si>
  <si>
    <t>Total Area (Hectar)</t>
  </si>
  <si>
    <t>Min affected area</t>
  </si>
  <si>
    <t>Max affected area</t>
  </si>
  <si>
    <t>Ratio of damaged forests</t>
  </si>
  <si>
    <t>range</t>
  </si>
  <si>
    <t>Area of affected forest  (Based on the % midpoint)</t>
  </si>
  <si>
    <t>min affected area</t>
  </si>
  <si>
    <t>max affected area</t>
  </si>
  <si>
    <t>ratio of damaged crops</t>
  </si>
  <si>
    <t>Area of affected crops  (Based on the % midpoint)</t>
  </si>
  <si>
    <t>ratio of damaged fruit trees</t>
  </si>
  <si>
    <t>Area of affected fruit trees  (Based on the % midpoint)</t>
  </si>
  <si>
    <t>Wazzani</t>
  </si>
  <si>
    <t>[25-50]</t>
  </si>
  <si>
    <t>[75-100]</t>
  </si>
  <si>
    <t>[50-75]</t>
  </si>
  <si>
    <t>[0-25]</t>
  </si>
  <si>
    <t>Qoussair</t>
  </si>
  <si>
    <t>Bint Jbeil</t>
  </si>
  <si>
    <t>Aaitaroun</t>
  </si>
  <si>
    <t>Nabatiye</t>
  </si>
  <si>
    <t>&lt;Null&gt;</t>
  </si>
  <si>
    <t>Baalbek Hermel</t>
  </si>
  <si>
    <t>Null</t>
  </si>
  <si>
    <t>TotalArea</t>
  </si>
  <si>
    <t>Total Effected Area</t>
  </si>
  <si>
    <t>Ration</t>
  </si>
  <si>
    <t>Serial number</t>
  </si>
  <si>
    <t>Incident date</t>
  </si>
  <si>
    <t>Year</t>
  </si>
  <si>
    <t>Month</t>
  </si>
  <si>
    <t>Day</t>
  </si>
  <si>
    <t>P-code</t>
  </si>
  <si>
    <t>City/Town/Village</t>
  </si>
  <si>
    <t>Neighbourhood/street</t>
  </si>
  <si>
    <t>Latitude</t>
  </si>
  <si>
    <t>Longitude</t>
  </si>
  <si>
    <t>Actor 1</t>
  </si>
  <si>
    <t>Actor 2</t>
  </si>
  <si>
    <t>Type of incident</t>
  </si>
  <si>
    <t>Narrative</t>
  </si>
  <si>
    <t>Social Tensions Typology</t>
  </si>
  <si>
    <t>Direction</t>
  </si>
  <si>
    <t>Fatalities</t>
  </si>
  <si>
    <t>Casualties</t>
  </si>
  <si>
    <t>Tags</t>
  </si>
  <si>
    <t>Violent</t>
  </si>
  <si>
    <t>January</t>
  </si>
  <si>
    <t>LBN21150</t>
  </si>
  <si>
    <t>Saraain el Faouqa</t>
  </si>
  <si>
    <t>organized civilian</t>
  </si>
  <si>
    <t>Demonstration</t>
  </si>
  <si>
    <t xml:space="preserve">A group of residents demonstrated in “Saraain el Faouqa” protesting the severe electricity outage (since 5 months) due to a technical problem in the state network </t>
  </si>
  <si>
    <t>Service-related</t>
  </si>
  <si>
    <t>vertical</t>
  </si>
  <si>
    <t>Open Sources</t>
  </si>
  <si>
    <t>https://www.elnashra.com/news/show/1704650/اعتصام-لاهالي-سرعين-احتجاجا-على-انقطاع-التيار-الكه</t>
  </si>
  <si>
    <t>Electricity</t>
  </si>
  <si>
    <t>No</t>
  </si>
  <si>
    <t>LBN24003</t>
  </si>
  <si>
    <t>Aain Et-Tineh BG</t>
  </si>
  <si>
    <t>Ain et Tine West Bekaa</t>
  </si>
  <si>
    <t>Establishment/State Official(s)</t>
  </si>
  <si>
    <t>Other</t>
  </si>
  <si>
    <t>The Minister of Environment Dr. Nasser Yassin, launched a campaign to distribute aid to families affected by the recent aggression on the “West Bekaa” region.</t>
  </si>
  <si>
    <t>https://www.lebanon24.com/news/lebanon/1301992/ياسين-أطلق-من-البقاع-الغربي-حملة-توزيع-مساعدات-على-متضرري-الحرب</t>
  </si>
  <si>
    <t>Aid Provision</t>
  </si>
  <si>
    <t>LBN56002</t>
  </si>
  <si>
    <t>Police</t>
  </si>
  <si>
    <t>spontaneous civilian</t>
  </si>
  <si>
    <t>Police Operation</t>
  </si>
  <si>
    <t>State Security Forces fined a generator subscription office in "E Mina" for not complying with the official pricing conditions</t>
  </si>
  <si>
    <t>https://almarkazia.com/ar/إشكاليّة-تسعيرة-المولدات-تتفاقم-شمالا-وأمن-الدولة</t>
  </si>
  <si>
    <t>Generator</t>
  </si>
  <si>
    <t>LBN61003</t>
  </si>
  <si>
    <t>Consumer protection fined a generator subscription office in "Aadloun" for not complying with the official rules and conditions</t>
  </si>
  <si>
    <t>https://www.lebanon24.com/news/lebanon/1302944/مراقبو-الاقتصاد-جالوا-في-صور-وصيدا-للتثبت-من-اعلان-الاسعار</t>
  </si>
  <si>
    <t>LBN56018</t>
  </si>
  <si>
    <t>Abou Samra</t>
  </si>
  <si>
    <t xml:space="preserve">State security Forces fined 1 generator owner in "Abou Samra" for not complying with the official rules and conditions
</t>
  </si>
  <si>
    <t xml:space="preserve">https://www.lebanonfiles.com/articles/أخبار-محليّة/أمن-الدولة-تتابع-مهامها-في-ضبط-تسعيرة-ا/
</t>
  </si>
  <si>
    <t>LBN63018</t>
  </si>
  <si>
    <t>Borj ech Chmali</t>
  </si>
  <si>
    <t>Other Nationality</t>
  </si>
  <si>
    <t>A group of Borj Ech Chmali residents demonstrated in "Borj Ech Chmali” camp protesting UNRWA’s decision to merge 2 schools in one</t>
  </si>
  <si>
    <t>https://m.facebook.com/story.php?story_fbid=pfbid0UBwSiSfKLE4p7LNxZfqPwq75UAWLzu2TSgvpE7HnZU3dZMsfUXM1HQjNjiWVetLDl&amp;id=100083569112772&amp;mibextid=wwXIfr</t>
  </si>
  <si>
    <t>Palestinian</t>
  </si>
  <si>
    <t>Education</t>
  </si>
  <si>
    <t>LBN320058</t>
  </si>
  <si>
    <t>Haret Hraik</t>
  </si>
  <si>
    <t>Several IDPs refused compnesation checks offered by HZB to reconstructed their destroyed houses protesting its low value in relation to the damage caused</t>
  </si>
  <si>
    <t>Triangulation</t>
  </si>
  <si>
    <t>LBN56012</t>
  </si>
  <si>
    <t>Tabbaneh</t>
  </si>
  <si>
    <t xml:space="preserve">Tripoli Municipality Police arrested 2 individuals while dumping food waste into Abou Ali River in “Tabbaneh”
</t>
  </si>
  <si>
    <t>https://www.lebanon24.com/news/lebanon/1305557/مخالفة-بيئية-في-طرابلس-مخلفات-لحوم-ودجاج-مرمية-في-نهر</t>
  </si>
  <si>
    <t>Waste/Environment</t>
  </si>
  <si>
    <t>Unarmed clashes</t>
  </si>
  <si>
    <t>Health</t>
  </si>
  <si>
    <t>Yes</t>
  </si>
  <si>
    <t>LBN21010</t>
  </si>
  <si>
    <t>Other (specify in Narrative)</t>
  </si>
  <si>
    <t xml:space="preserve">“Baalbek” Municipal Union distributed 2,000 waste containers in collaboration with UNDP to the municipalities of the union.
</t>
  </si>
  <si>
    <t>horizontal</t>
  </si>
  <si>
    <t>https://www.elnashra.com/news/show/1706385/اتحاد-بلديات-بعلبك-وزع-2000-حاوية-نفايات-بالتعاون-</t>
  </si>
  <si>
    <t>LBN11009</t>
  </si>
  <si>
    <t xml:space="preserve">Social Committee of the Nation Movement is distributing meals to those affected by the Israeli aggression in “Beirut”
</t>
  </si>
  <si>
    <t>https://www.lebanon24.com/news/lebanon/1306481/تجمع-العلماء-وحركة-الأمة-يواصلان-مساعدة-المتضررين-من-العدوان</t>
  </si>
  <si>
    <t>IDPs</t>
  </si>
  <si>
    <t>LBN51203</t>
  </si>
  <si>
    <t>Nahr El Bared</t>
  </si>
  <si>
    <t>International Organizations</t>
  </si>
  <si>
    <t xml:space="preserve">A group of activists in “Nahr El Bared” camp closed several UNRWA centers demanding the agency to improve the living conditions as refugees 
</t>
  </si>
  <si>
    <t>https://www.facebook.com/share/p/1AtioRFks5/?mibextid=wwXIfr</t>
  </si>
  <si>
    <t>Unknown</t>
  </si>
  <si>
    <t>LBN61010</t>
  </si>
  <si>
    <t xml:space="preserve">A group of “Ain el Hiloue” camp students demonstrated, protesting the delay of UNRWA in repairing the (Marj eben Amr) school </t>
  </si>
  <si>
    <t>https://www.facebook.com/share/p/15YXH6FT79/?mibextid=wwXIfr</t>
  </si>
  <si>
    <t>LBN56013</t>
  </si>
  <si>
    <t>State Security Forces fined a generator owners in "Tal" for not complying with the official pricing conditions</t>
  </si>
  <si>
    <t>LBN61100</t>
  </si>
  <si>
    <t xml:space="preserve">Several Palestinian  individuals demonstrated in "Saida" protesting the suspension of several UNRWA teachers over their patriotic stances. 
</t>
  </si>
  <si>
    <t>LBN55040</t>
  </si>
  <si>
    <t>A group of Palestinian residents closed UNRWA school in "El Beddaoui" camp, protesting the agency decision to suspend several teachers due to their  support for Palestine</t>
  </si>
  <si>
    <t>LBN54022</t>
  </si>
  <si>
    <t>Unknown indoviduals burned a large quatity of  waste in "Dahr al Ain" which caused tension among residents</t>
  </si>
  <si>
    <t>Proximity</t>
  </si>
  <si>
    <t>LBN25034</t>
  </si>
  <si>
    <t>State Security Forces raided a warehouse for medical supplies and equipment in “Jdita”, confiscated and destroyed a large quantity of expired medical supplies and products</t>
  </si>
  <si>
    <t>https://www.lebanon24.com/news/lebanon/1312560/أمن-الدولة-في-البقاع-تدهم-مستودعًا-للمستحضرات-الطبيّة</t>
  </si>
  <si>
    <t>LBN35031</t>
  </si>
  <si>
    <t xml:space="preserve">Clashes erupted between 1 individual and the medical staff at the Bouar Governmental Hospital in "Bouar" due to a dispute over admistratibe issues . No injuries were reported </t>
  </si>
  <si>
    <t>Display of arms</t>
  </si>
  <si>
    <t>LBN56019</t>
  </si>
  <si>
    <t>Bab Al Ramel</t>
  </si>
  <si>
    <t xml:space="preserve">State Security Forces fined a generator owner in “Bab al Ramel” for not complying with the official pricing conditions.
</t>
  </si>
  <si>
    <t>February</t>
  </si>
  <si>
    <t xml:space="preserve">https://www.lebanon24.com/news/lebanon/1315654/مصلحة-الاقتصاد-في-الجنوب-5-محاضر-ضبط-في-حق-مخالفين
</t>
  </si>
  <si>
    <t>LBN61078</t>
  </si>
  <si>
    <t>Merouaniyeh</t>
  </si>
  <si>
    <t xml:space="preserve">Related to the above, Inspectors of the Regional Economy Department Office fined 1 generator owner in "Merouaniye" for not complying with the official rules and conditions.
</t>
  </si>
  <si>
    <t>Armed clashes</t>
  </si>
  <si>
    <t>LBN63070</t>
  </si>
  <si>
    <t>Majdel Zoun</t>
  </si>
  <si>
    <t>UNIFIL</t>
  </si>
  <si>
    <t xml:space="preserve">UNIFIL organized a food donation for “Majdel Zoun” residents 
</t>
  </si>
  <si>
    <t xml:space="preserve">https://www.lebanon24.com/news/lebanon/1317969/الكتيبة-الإيطالية-في-اليونيفيل-تنظم-تبرعًا-غذائيًا-لسكان-مجدل-زون
</t>
  </si>
  <si>
    <t>LBN62047</t>
  </si>
  <si>
    <t xml:space="preserve">A group of east "Saida" residents demonstrated in the "Saida" protesting the severe electricity outage 
</t>
  </si>
  <si>
    <t xml:space="preserve">https://janobiyat.com/news120707/اعتصام-احتجاجي-في-جنسنايا-رفضاً-للتقنين-الكهربائي-القاسي--حمادة-يدعو-للتصعيد-أمام-مؤسسة-كهرباء-لبنان
</t>
  </si>
  <si>
    <t>LBN61092</t>
  </si>
  <si>
    <t>Road blockage</t>
  </si>
  <si>
    <t xml:space="preserve">Related tot the above, Several individuals blocked "Qraiye Saida" road protesting the severe electricity outage in the town
</t>
  </si>
  <si>
    <t xml:space="preserve">https://www.lebanon24.com/news/lebanon/1318965/وقفة-إحتجاجية-بسبب-إنقطاع-الكهرباء
</t>
  </si>
  <si>
    <t>LBN320049</t>
  </si>
  <si>
    <t xml:space="preserve">Unknown individuals shot gunfire towards a subscrition generator in “Ghobeire”. No injuries reported
</t>
  </si>
  <si>
    <t>LBN11054</t>
  </si>
  <si>
    <t>Kaskas</t>
  </si>
  <si>
    <t>Riot</t>
  </si>
  <si>
    <t>March</t>
  </si>
  <si>
    <t>LBN320072</t>
  </si>
  <si>
    <t>Laylakeh</t>
  </si>
  <si>
    <t>Lailake</t>
  </si>
  <si>
    <t>Unknown individuals riding a motorcycle shot gunfire in front of a generator subscription office in "Lailake". No injuries reported</t>
  </si>
  <si>
    <t>LBN63092</t>
  </si>
  <si>
    <t>Rachidiye</t>
  </si>
  <si>
    <t xml:space="preserve">https://www.facebook.com/share/p/1CFLbXXcHu/?
</t>
  </si>
  <si>
    <t>LBN56017</t>
  </si>
  <si>
    <t>Armed clashes erupted between several individuals in "Zahrieh" due to a dispute over installing a generator subscription panel on a building entrance. 2 injuries were reported</t>
  </si>
  <si>
    <t>yes</t>
  </si>
  <si>
    <t>LBN35112</t>
  </si>
  <si>
    <t>Jounieh Sarba</t>
  </si>
  <si>
    <t>Jounieh Kaslik</t>
  </si>
  <si>
    <t>Several residents demonstrated in “Jounieh Kaslik” protesting the severe water outage in the area</t>
  </si>
  <si>
    <t>Water</t>
  </si>
  <si>
    <t>LBN21118</t>
  </si>
  <si>
    <t>Mrah el Blata</t>
  </si>
  <si>
    <t>Several residents demonstrated in "Mrah Blata" protesting the severe electricity cut</t>
  </si>
  <si>
    <t>LBN35111</t>
  </si>
  <si>
    <t>Several residents demnstrated in “Jounieh-Ghadir/Haret Sakher” protesting the sevre water cut</t>
  </si>
  <si>
    <t>LBN24044</t>
  </si>
  <si>
    <t>Yohmor West Bekaa</t>
  </si>
  <si>
    <t>Several residents demonstrated in "Bekaa" protesting the severe state power cut</t>
  </si>
  <si>
    <t>Tabbaneh Jabal Mohsen</t>
  </si>
  <si>
    <t>Syrian</t>
  </si>
  <si>
    <t>LBN36086</t>
  </si>
  <si>
    <t>En Nabaa</t>
  </si>
  <si>
    <t>Clashes erupted between mamebers of a family and 2 generator subscrption employees in "En Nabaa" due to a dispute over generator subsction issues. 1 injury was reported</t>
  </si>
  <si>
    <t>LBN21132</t>
  </si>
  <si>
    <t>Nahleh baalbek</t>
  </si>
  <si>
    <t>Nahle</t>
  </si>
  <si>
    <t xml:space="preserve">A group of "Nahle" residents demonstrated in "Nahle” demanding their share of water from "Al-Lajuj spring" </t>
  </si>
  <si>
    <t>https://www.lebanon24.com/news/lebanon/1335164/مُطالبين-بحصتهم-من-مياه-النبع-وقفة-احتجاجية-في-هذه-البلدة</t>
  </si>
  <si>
    <t>LBN24017</t>
  </si>
  <si>
    <t>Several residents demonstrated in "Houch el Harime" protesting the severe electricity cut</t>
  </si>
  <si>
    <t>LBN24026</t>
  </si>
  <si>
    <t>Several residents demonstrated in "Lala" protesting the severe electricity cut</t>
  </si>
  <si>
    <t>LBN320095</t>
  </si>
  <si>
    <t>Tahouitet el Ghadir</t>
  </si>
  <si>
    <t>Unknown individuals destroyed several electric panel boards for generator subscrption in "Tahouitet el Ghadir"</t>
  </si>
  <si>
    <t>LBN24029</t>
  </si>
  <si>
    <t>Machgara</t>
  </si>
  <si>
    <t>Road Blockage</t>
  </si>
  <si>
    <t>Several individuals blocked the road in front of "EDL" in “Machgara” protesting the svere electricity cut</t>
  </si>
  <si>
    <t>https://dailynewslb.com/84242/</t>
  </si>
  <si>
    <t>EL Dahieh</t>
  </si>
  <si>
    <t>ISF</t>
  </si>
  <si>
    <t>https://www.lebanonfiles.com/articles/أخبار-محليّة/7-من-أصحاب-المولدات-في-الضاحية-موقوفون/</t>
  </si>
  <si>
    <t>LBN24015</t>
  </si>
  <si>
    <t>Ghazzeh</t>
  </si>
  <si>
    <t xml:space="preserve">Several individuals demonstrated in  “Ghazze” protesting the severe electricity cut </t>
  </si>
  <si>
    <t>LBN24004</t>
  </si>
  <si>
    <t>Aain Zebdeh</t>
  </si>
  <si>
    <t>Ain Zebde</t>
  </si>
  <si>
    <t>Several individuals demonstrated in "Ain Zabad" protesting the severe electricity cut</t>
  </si>
  <si>
    <t>LBN24034</t>
  </si>
  <si>
    <t xml:space="preserve">Residents of "West Bekaa" and "Rachaiya" demonstrated in “Qaraoun” protesting the severe electricity cut </t>
  </si>
  <si>
    <t>https://www.lebanon24.com/news/lebanon/1337065/اعتصام-احتجاجي-واسع-لأهالي-البقاع-الغربي-وراشيا-رفضا-للتقنين-الكهربائي</t>
  </si>
  <si>
    <t>LBN23016</t>
  </si>
  <si>
    <t>En Nabi Safa</t>
  </si>
  <si>
    <t>Several individuals demonstrated in "Nabi Safa" protesting the severe electricity cut</t>
  </si>
  <si>
    <t>LBN51137</t>
  </si>
  <si>
    <t>Several individuals assaulted a doctor in "Abdallah al Rassi Government Hospital" in "Halba" due to a dispute over medical procedures. No injuries were reported</t>
  </si>
  <si>
    <t>https://www.lebanon24.com/news/lebanon/1337459/مجهول-يطلق-النار-باتجاه-المستشفى-الحكومي-في-حلبا
https://dailynewslb.com/84570/</t>
  </si>
  <si>
    <t>LBN23038</t>
  </si>
  <si>
    <t>A group of residents demonstarted in "Rachaya" protesting the severe electricity cut</t>
  </si>
  <si>
    <t>LBN23037</t>
  </si>
  <si>
    <t>Haouch El Qinnabeh Rachaiya</t>
  </si>
  <si>
    <t>Qnaabe</t>
  </si>
  <si>
    <t>Several residents demonstrated in "Qnaabe" protesting the severe elecricity cut</t>
  </si>
  <si>
    <t>LBN51194</t>
  </si>
  <si>
    <t>Related to the above, landlines and internet services were unavailable in all surrounding towns due to the thef operation</t>
  </si>
  <si>
    <t>https://almarkazia.com/ar/بالصور---سرقة-كابلات-هاتفية-تعزل-بلدات-1</t>
  </si>
  <si>
    <t>Communication</t>
  </si>
  <si>
    <t>Personal/Family Dispute</t>
  </si>
  <si>
    <t>LBN43019</t>
  </si>
  <si>
    <t>1 citizen (Supporter of "HZB") blocked the road in the "South" protesting against Hezbollah for not paying hin compensation for his destroyed house and destroyed shop, and accused HZB of paying only for specific individuals</t>
  </si>
  <si>
    <t>https://www.instagram.com/skynewsarabia/reel/DHwk7iJPYHr/</t>
  </si>
  <si>
    <t>April</t>
  </si>
  <si>
    <t>https://www.elnashra.com/news/show/1717207/النشرة-قطع-طريق-مشغرة-وطريق-التل-سحمر-احتجاجا-على-</t>
  </si>
  <si>
    <t>LBN24037</t>
  </si>
  <si>
    <t>Several individuals blocked the road in “Sohmor” protesting the severe electricity outage</t>
  </si>
  <si>
    <t>https://www.lebanon24.com/news/lebanon/1343113/بجرم-تزوير-ادوية-توقيف-3-أشخاص-في-الضاحية-الجنوبية</t>
  </si>
  <si>
    <t>LBN31068</t>
  </si>
  <si>
    <t>Choueifat El-Aamrousiyeh</t>
  </si>
  <si>
    <t>Hay es Sellom</t>
  </si>
  <si>
    <t>Related to the above, ISF arrested 1 wanted citizen in “Hay es Sellom” and confiscated a quantity of counterfeited medicines</t>
  </si>
  <si>
    <t>LBN25074</t>
  </si>
  <si>
    <t>Zahleh El-Midane</t>
  </si>
  <si>
    <t>Unknown indviduals shot gunfire towards a generator subsription in “Zahle”. No injuries reported</t>
  </si>
  <si>
    <t>https://www.facebook.com/share/p/16M1a8bCnx/?mibextid=wwXIfr</t>
  </si>
  <si>
    <t>LBN35143</t>
  </si>
  <si>
    <t>Nahr el Kalb</t>
  </si>
  <si>
    <t>unarmed clashes</t>
  </si>
  <si>
    <t>Clashes erupted between several idividuals in “Nahr el Kalb” due to a dispute over stealing water from private tanks. No injuries reported</t>
  </si>
  <si>
    <t>LBN25064</t>
  </si>
  <si>
    <t>Several armed individuals shot gunfire towards "Rayak" hospital and assaulted its employees due to a dispute over an admitted patient. No injuries were reported</t>
  </si>
  <si>
    <t>School/Hospital</t>
  </si>
  <si>
    <t>LBN51227</t>
  </si>
  <si>
    <t>Several individuals burned a large quantity of stolen electrical cables to extract copper from them in “Rmah” which caused tension among residents</t>
  </si>
  <si>
    <t>https://dailynewslb.com/86858/</t>
  </si>
  <si>
    <t>LBN33024</t>
  </si>
  <si>
    <t xml:space="preserve">Armed clashes erupted between several individuals in “Barja” due to a dispute over installing internet networks and cables illegaly in the area. 3 injuries were reported </t>
  </si>
  <si>
    <t>LBN320060</t>
  </si>
  <si>
    <t>Clashes erupted between several individuals in "Hazmiye" due to dispute over water provision. 1 injury was reported</t>
  </si>
  <si>
    <t>LBN56010</t>
  </si>
  <si>
    <t xml:space="preserve">Unknown trucks coming from other towns are dumping waste in “Qoubbe” overnight </t>
  </si>
  <si>
    <t>https://www.facebook.com/share/v/1591nrp2s7/?</t>
  </si>
  <si>
    <t>https://www.facebook.com/share/p/1FSEMByvrB/?</t>
  </si>
  <si>
    <t>https://www.elnashra.com/news/show/1720867/سائقو-الباصات-العمومية-شمالًا-قطعوا-الطريق-أمام-سر</t>
  </si>
  <si>
    <t>May</t>
  </si>
  <si>
    <t>LBN61034</t>
  </si>
  <si>
    <t>Hlaliyeh Saida</t>
  </si>
  <si>
    <t xml:space="preserve">Consumer Protection Division conducted inspections on generator sector in “Hlaliye Saida” and fined 2 generator owners for not complying with the official rules and conditions </t>
  </si>
  <si>
    <t>https://atahari.com/2025/05/05/10-محاضر-ضبط-بحق-أصحاب-مولدات-في-الجنوب/</t>
  </si>
  <si>
    <t>LBN61001</t>
  </si>
  <si>
    <t xml:space="preserve">Consumer Protection Division conducted inspections on generator sector in “Aabra” and fined 2 generator owners for not complying with the official rules and conditions </t>
  </si>
  <si>
    <t>LBN61058</t>
  </si>
  <si>
    <t xml:space="preserve">Consumer Protection Division conducted inspections on generator sector in “Majdelyoun” and fined 2 generator owners for not complying with the official rules and conditions </t>
  </si>
  <si>
    <t>LBN63051</t>
  </si>
  <si>
    <t>Hannaouiye</t>
  </si>
  <si>
    <t xml:space="preserve">Consumer Protection Division conducted inspections on generator sector in “Hannaouiye” and fined 2 generator owners for not complying with the official rules and conditions </t>
  </si>
  <si>
    <t>LBN63089</t>
  </si>
  <si>
    <t xml:space="preserve">Consumer Protection Division conducted inspections on generator sector in “Qana” and fined 1 generator owner for not complying with the official rules and conditions </t>
  </si>
  <si>
    <t>LBN63100</t>
  </si>
  <si>
    <t>Siddiqine</t>
  </si>
  <si>
    <t xml:space="preserve">Consumer Protection Division conducted inspections on generator sector in “Siddiqine” and fined 1 generator owner for not complying with the official rules and conditions </t>
  </si>
  <si>
    <t>LBN61029</t>
  </si>
  <si>
    <t>Ghaziyeh</t>
  </si>
  <si>
    <t>Consumer protection division fined several generator owners in "Ghaziye" for not complying with the official pricing conditions</t>
  </si>
  <si>
    <t>https://www.lebanon24.com/news/lebanon/1357050/15-محضر-ضبط-بحقّ-أصحاب-مولدات-في-الجنوب</t>
  </si>
  <si>
    <t>LBN61088</t>
  </si>
  <si>
    <t>Consumer protection division fined several generator owners in "Qennarit" for not complying with the official pricing conditions</t>
  </si>
  <si>
    <t>LBN11055</t>
  </si>
  <si>
    <t xml:space="preserve">Several students demonstrated in front of the Ministry of Education in “Unesco” demanding the adoption of optional subjects in official exams </t>
  </si>
  <si>
    <t>https://www.instagram.com/reel/DJbQNObIMk1/?igsh=ZTFrbmhmM25tbjVo</t>
  </si>
  <si>
    <t>https://www.lebanon24.com/news/lebanon/1359348/خالفوا-تسعيرة-المولدات-13-ضبطًا-في-يوم-واحد</t>
  </si>
  <si>
    <t>LBN61009</t>
  </si>
  <si>
    <t>Ain Ed Delb</t>
  </si>
  <si>
    <t>Consumer protection division fined several generator owners in "Ain ed Delb" for not complying with the official pricing conditions</t>
  </si>
  <si>
    <t>LBN63013</t>
  </si>
  <si>
    <t>Batouliye</t>
  </si>
  <si>
    <t>Consumer protection division fined 1 generator owner in "Batouliye" for not complying with the official pricing conditions</t>
  </si>
  <si>
    <t>https://www.lebanon24.com/news/lebanon/1360307/خالفوا-التسعيرة-الرسمية-9-محاضر-ضبط-جنوباً-بحق-أصحاب-مولدات</t>
  </si>
  <si>
    <t>LBN63009</t>
  </si>
  <si>
    <t>Ain Baal</t>
  </si>
  <si>
    <t>Consumer protection division fined 1 generator owner in "Ain Baal" for not complying with the official pricing conditions</t>
  </si>
  <si>
    <t>LBN61096</t>
  </si>
  <si>
    <t>Consumer protection division fined 2 generator owners in "Sarafand" for not complying with the official pricing conditions</t>
  </si>
  <si>
    <t>LBN61094</t>
  </si>
  <si>
    <t>Saksakiyeh</t>
  </si>
  <si>
    <t>Consumer protection division fined 3 generator owners in "Saksakiye" for not complying with the official pricing conditions</t>
  </si>
  <si>
    <t>LBN61057</t>
  </si>
  <si>
    <t>Maghdoucheh</t>
  </si>
  <si>
    <t xml:space="preserve">Consumer Protection Division conducted inspections on several generator offices in “Maghdouche” verifying that they are following the official rules and conditions </t>
  </si>
  <si>
    <t>https://www.elnashra.com/news/show/1723674/مراقبو-الاقتصاد-سطروا-محاضر-ضبط-بحق-أصحاب-مولدات-ب</t>
  </si>
  <si>
    <t>LBN61004</t>
  </si>
  <si>
    <t xml:space="preserve">Consumer Protection Division conducted inspections on several generator offices in “Aanqoun” verifying that they are following the official rules and conditions </t>
  </si>
  <si>
    <t>LBN61062</t>
  </si>
  <si>
    <t>Mazraat Aarab ej Jall</t>
  </si>
  <si>
    <t>Consumer Protection Division conducted inspections on several generator offices in "Mazraat Aarab ej Jall ” and fined 1 generator owner for not complying with the official pricing conditions</t>
  </si>
  <si>
    <t>LBN61013</t>
  </si>
  <si>
    <t>Babliyeh</t>
  </si>
  <si>
    <t>Consumer Protection Division conducted inspections on several generator offices in "Babliye ” and fined 1 generator owner for not complying with the official pricing conditions</t>
  </si>
  <si>
    <t>LBN61028</t>
  </si>
  <si>
    <t>Ghassaniyeh</t>
  </si>
  <si>
    <t>Consumer Protection Division conducted inspections on several generator offices in "Ghassaniye” and fined 1 generator owner for not complying with the official pricing conditions</t>
  </si>
  <si>
    <t>LBN61041</t>
  </si>
  <si>
    <t>Kaoutariyet es Siyad</t>
  </si>
  <si>
    <t>Consumer Protection Division conducted inspections on several generator offices in "Kaoutariyat es Siyad” and fined 1 generator owner for not complying with the official pricing conditions</t>
  </si>
  <si>
    <t>LBN61087</t>
  </si>
  <si>
    <t>Qaaqaaii es Snoubar</t>
  </si>
  <si>
    <t>Consumer Protection Division conducted inspections on several generator offices in "Qaaqaaii es Snoubar” and fined 1 generator owner for not complying with the official pricing conditions</t>
  </si>
  <si>
    <t>LBN56021</t>
  </si>
  <si>
    <t>Dam Wal Farz</t>
  </si>
  <si>
    <t>Tripoli Municipal Police deployed in “Dam Wal Farz” and confiscated a quantity of tires prepared to be burned</t>
  </si>
  <si>
    <t>https://www.facebook.com/share/p/1EjKw9MrKZ/?</t>
  </si>
  <si>
    <t>LBN11045</t>
  </si>
  <si>
    <t>Qoraitem</t>
  </si>
  <si>
    <t>State Security Forces sealed 1 cosmetic clinic in “Qoraitem” and arrested its owner for working illegaly, and confiscated a quantity of expired medicines</t>
  </si>
  <si>
    <t>https://atahari.com/2025/05/25/امن-الدولة-تختم-عيادة-تجميل-في-هذه-المن/</t>
  </si>
  <si>
    <t>House</t>
  </si>
  <si>
    <t>LBN55049</t>
  </si>
  <si>
    <t>En Nabi Youchaa</t>
  </si>
  <si>
    <t>“En Nabi Youchaa” municipal police removed garbage from the streets</t>
  </si>
  <si>
    <t>https://www.facebook.com/share/p/1AfUyZhz1R/?</t>
  </si>
  <si>
    <t>LBN55045</t>
  </si>
  <si>
    <t xml:space="preserve">El Minie municipal police deployed in “El Minie” and removed the street garbage </t>
  </si>
  <si>
    <t>https://www.facebook.com/share/p/1Ef3nAtP6p/?</t>
  </si>
  <si>
    <t>LBN36123</t>
  </si>
  <si>
    <t>LAF</t>
  </si>
  <si>
    <t>LAF raided in “Mansouriye”, arrested 2 wanted Syrian individuals, and confiscated a quantity of expired medicines</t>
  </si>
  <si>
    <t>https://www.kataeb.org/articles/-مداهمة-وتوقيف-مطلوبين-في-المنصورية-ماذا-في-التفاصيل</t>
  </si>
  <si>
    <t>June</t>
  </si>
  <si>
    <t>Beirut Airport</t>
  </si>
  <si>
    <t>https://www.facebook.com/share/p/1ASVJyGqFZ/?</t>
  </si>
  <si>
    <t>Smuggling</t>
  </si>
  <si>
    <t>LBN44011</t>
  </si>
  <si>
    <t>Deir ez Zahrani</t>
  </si>
  <si>
    <t xml:space="preserve">Unknown individuals set fire to an electric generator that powers the water station in “Deir ez Zahrani” No injuries were reported </t>
  </si>
  <si>
    <t>https://www.elnashra.com/news/show/1726720/مجهولون-أشعلوا-النيران-بمولد-كهربائي-يغذي-محطة-ميا</t>
  </si>
  <si>
    <t>LBN33004</t>
  </si>
  <si>
    <t>Several individuals demonstrated in front of "Aanout" public school, protesting  the Minister of Education's decision to close the English Department in the school</t>
  </si>
  <si>
    <t>https://www.lebanon24.com/news/lebanon/1380029/في-بلدة-لبنانية-اعتصام-امام-ثانوية-رسمية</t>
  </si>
  <si>
    <t>LBN21002</t>
  </si>
  <si>
    <t>State Security Forces arrested 1 Syrian individual in “Aarsal” for working as a doctor illegaly, and confiscated medical tools</t>
  </si>
  <si>
    <t>https://www.elnashra.com/news/show/1730226/أمن-الدولة-توقيف-سوري-لمزاولته-مهنة-الطب-دون-ترخيص</t>
  </si>
  <si>
    <t>https://www.facebook.com/share/p/1b2uZLiPdn/?</t>
  </si>
  <si>
    <t>July</t>
  </si>
  <si>
    <t>LBN43024</t>
  </si>
  <si>
    <t>Several individuals demonstrated In "Marjaayoun" protesting the burning of waste in "Kfar Tebnit" old landfill.</t>
  </si>
  <si>
    <t>LBN44017</t>
  </si>
  <si>
    <t>Habbouch</t>
  </si>
  <si>
    <t>Consumer protection division conducted inspections on water purification plants in "Habbouch", verifiying that they are following the official rules and conditions, and fined violators</t>
  </si>
  <si>
    <t>LBN44057</t>
  </si>
  <si>
    <t>Consumer protection division conducted inspections on water purification plants in "Toul", verifiying that they are following the official rules and conditions, and fined violators</t>
  </si>
  <si>
    <t>El Dahieh</t>
  </si>
  <si>
    <t>LBN25037</t>
  </si>
  <si>
    <t>Kfar Zabad</t>
  </si>
  <si>
    <t>Inspectors of "Bekaa Water Establishment" and "Kfar Zabad" municipality removed violations and encroachments along the water pumping lines</t>
  </si>
  <si>
    <t>LBN21071</t>
  </si>
  <si>
    <t xml:space="preserve">Armed clashes erupted between 2 families members (Najjar and Seiffeddine families) due to disputes over water provsion in “Kfar Dabach”. 2 fatalities were reported </t>
  </si>
  <si>
    <t>https://www.lebanon24.com/news/lebanon/1386209/بسبب-إشكال-حول-تعبئة-صهاريج-مياه-مقتل-شخصين-في-بلدة-كفردبش</t>
  </si>
  <si>
    <t>LBN11058</t>
  </si>
  <si>
    <t>Several residents demonstrated in front of their buildings “Zqaq Blat” protesting the severe water cut</t>
  </si>
  <si>
    <t>LBN21135</t>
  </si>
  <si>
    <t>A group of residents demonstrated in “El Qaa” protesting the measures taken by the security forces regarding the cleaning of artesian wells which will affect the little water storage they have, and protesting water shortage in the area</t>
  </si>
  <si>
    <t>https://www.lebanon24.com/news/lebanon/1387989/أهالي-بلدة-القاع-نفذوا-اعتصاما-في-ساحة-مار-الياس-الحيّ</t>
  </si>
  <si>
    <t>LBN11002</t>
  </si>
  <si>
    <t>Clashes erupted between 1 citizen and the generator subscripton employee in "Ashraieh" dute to dispute over subscription. No injuries reported</t>
  </si>
  <si>
    <t>LBN54041</t>
  </si>
  <si>
    <t>State Security Forces raided an illegal beauty center in “Kfar Saroun” and arrested the beauty center owner</t>
  </si>
  <si>
    <t>https://www.lebanon24.com/news/lebanon/1389043/في-هذه-المنطقة-مداهمة-عيادة-تجميل-ما-السبب؟</t>
  </si>
  <si>
    <t>LBN25057</t>
  </si>
  <si>
    <t>Several "Bekaa" residents shot gunfire in the air protesting the rising smoke from "Qabb Elias" landfill burning which have spread across "Bekaa Valley"</t>
  </si>
  <si>
    <t>Suicide</t>
  </si>
  <si>
    <t>LBN41003</t>
  </si>
  <si>
    <t>Theft</t>
  </si>
  <si>
    <t xml:space="preserve">Unknown individuals stole equipment from "Ouadi es Slouqi" water station in "Bent Jubail" </t>
  </si>
  <si>
    <t>LBN36175</t>
  </si>
  <si>
    <t>Unknown individuals burned tires and garbages in "Sinn el Fil"</t>
  </si>
  <si>
    <t>LBN35092</t>
  </si>
  <si>
    <t>Ghbaleh Kesrouane</t>
  </si>
  <si>
    <t>Ghbale</t>
  </si>
  <si>
    <t>Clashes erupted between 1 citizen and the town's water manager in "Ghbaleh" due to a dispute over water rationing. No injuries reported</t>
  </si>
  <si>
    <t>LBN35146</t>
  </si>
  <si>
    <t>Ouata Ej Jaouz</t>
  </si>
  <si>
    <t>Armed clashes erupted between several farmers in "Ouata Ej Jaouz" due to a dispute over irrigation water. No injuries reported</t>
  </si>
  <si>
    <t>LBN36070</t>
  </si>
  <si>
    <t>Dekouaneh</t>
  </si>
  <si>
    <t>Clashes eruptued between residents of a building and the building's foreman in "Dekwaneh" due to a duspute over water provsion. No injuries reported</t>
  </si>
  <si>
    <t>LBN36107</t>
  </si>
  <si>
    <t xml:space="preserve">Unknown individuals burned garbage in “Jdaide el Meten” No injuries were reported </t>
  </si>
  <si>
    <t>https://www.facebook.com/share/v/19KNcJoggB/?mibextid=wwXIfr</t>
  </si>
  <si>
    <t>LBN25067</t>
  </si>
  <si>
    <t>Taalabaya</t>
  </si>
  <si>
    <t>Unknown individuals burned garbage in a Syrian camp in  “Taalabaya”</t>
  </si>
  <si>
    <t>https://www.facebook.com/share/v/1Bv8iSD2QR/?mibextid=wwXIfr</t>
  </si>
  <si>
    <t>LBN57016</t>
  </si>
  <si>
    <t xml:space="preserve">Unknown individuals burned garbage in “Bchannine” </t>
  </si>
  <si>
    <t>https://www.facebook.com/share/v/16bEUz7acg/?mibextid=wwXIfr</t>
  </si>
  <si>
    <t>LBN24038</t>
  </si>
  <si>
    <t>1 individual commited suicide in "Souairi"</t>
  </si>
  <si>
    <t>https://www.lebanon24.com/news/lebanon/1394642/داخل-غرفته-العثور-على-شاب-مشنوقاً</t>
  </si>
  <si>
    <t>LBN11014</t>
  </si>
  <si>
    <t>Ej Jeitaoui</t>
  </si>
  <si>
    <t>Calshes erupted between several Lebanese and Syrian individuals in “Yohmor West Bekaa” due to a dispute over water irrigation. 1 injury was reported</t>
  </si>
  <si>
    <t>https://znnlb.com/?p=598434</t>
  </si>
  <si>
    <t>LBN21023</t>
  </si>
  <si>
    <t>Britel</t>
  </si>
  <si>
    <t>Several individuals demonstrated in “Britel” protesting the severe water outage</t>
  </si>
  <si>
    <t>https://www.lebanon24.com/news/lebanon/1397605/إعتصام-في-ساحة-بريتال-إحتجاجاً-على-انقطاع-المياه</t>
  </si>
  <si>
    <t xml:space="preserve">1 female individual committed suicide in “Tariq el Jdide” </t>
  </si>
  <si>
    <t>https://www.lebanon24.com/news/lebanon/1397577/حادثة-مروّعة-في-طريق-الجديدة-إليكم-ما-فعلته-شابة</t>
  </si>
  <si>
    <t>August</t>
  </si>
  <si>
    <t>https://www.facebook.com/share/1B7UKvhdrh/?mibextid=wwXIfr</t>
  </si>
  <si>
    <t>LBN320016</t>
  </si>
  <si>
    <t>Boutchai</t>
  </si>
  <si>
    <t>Clashes erupted between several individuals in "Mansouryeh" due to a dsipute over stealing water from water private tanks. No injuires reported</t>
  </si>
  <si>
    <t>LBN35173</t>
  </si>
  <si>
    <t>1 citizen stole water from the state network in "Yahshoush"</t>
  </si>
  <si>
    <t>LBN36060</t>
  </si>
  <si>
    <t>Dbayeh</t>
  </si>
  <si>
    <t>Dbaiye</t>
  </si>
  <si>
    <t>A group of families of road accidents victims demonstrated in “Dbaiye” demanding for better roads conditions</t>
  </si>
  <si>
    <t>https://dailynewslb.com/99852/</t>
  </si>
  <si>
    <t>Infrastructure</t>
  </si>
  <si>
    <t>LBN51208</t>
  </si>
  <si>
    <t>Ouadi Ej jamous</t>
  </si>
  <si>
    <t>State Security Forces sealed a health center in “Ouadi Ej jamous” and arrested the center owner</t>
  </si>
  <si>
    <t>https://www.lebanon24.com/news/lebanon/1403556/في-عكار-إقفال-مستوصف-بـالشمع-الأحمر</t>
  </si>
  <si>
    <t>LBN31078</t>
  </si>
  <si>
    <t>Choueifat El-Quoubbeh</t>
  </si>
  <si>
    <t>Clashes eupted between residents of the same building in "Khaldeh" due to a dispute over stealing water. No injuires reported</t>
  </si>
  <si>
    <t>LBN55037</t>
  </si>
  <si>
    <t>A group of residents demonstrated in "Deir Amar" protesting the svere electricity outage</t>
  </si>
  <si>
    <t>LBN21014</t>
  </si>
  <si>
    <t xml:space="preserve">Armed clashes erupted between several individuals in “Bednayel” due to disputes over waste dumping. 2 injuries were reported </t>
  </si>
  <si>
    <t>https://www.elnashra.com/news/show/1737010/النشرة-إشكال-بدنايل-بسبب-خلاف-على-رمي-النفايات-تطو</t>
  </si>
  <si>
    <t>LBN51045</t>
  </si>
  <si>
    <t>Chadra</t>
  </si>
  <si>
    <t>Armed clashes erupted between several individuals in chadra due to a dispute over watering gardens. No injuries reported</t>
  </si>
  <si>
    <t>https://www.lebanon24.com/news/lebanon/1405820/بسبب-الاشتراكات-إشكال-في-الكورة-يتحوّل-إلى-إطلاق-نار</t>
  </si>
  <si>
    <t>https://www.facebook.com/share/p/16pNm2uSCN/?mibextid=wwXIfr</t>
  </si>
  <si>
    <t>LBN21031</t>
  </si>
  <si>
    <t>Armed clashes eruptud between several farmers in "Deir El Ahmar" due to a dispute over irrigation water. No injuries were reported</t>
  </si>
  <si>
    <t>LBN44049</t>
  </si>
  <si>
    <t>Nabatiye el Faouqa</t>
  </si>
  <si>
    <t>State Security Forces conducted inspections of beauty centers in “Nabatiye El Faouqa”, closed several for not following health safety regulations, and issued violation reports for others</t>
  </si>
  <si>
    <t>https://www.lebanon24.com/news/lebanon/1407812/اقفال-مراكز-تجميل-لمخالفتها-أنظمة-السلامة-الصحية</t>
  </si>
  <si>
    <t>LBN36036</t>
  </si>
  <si>
    <t>Several residents complianed from the severe water shortage an high prices of water delivery in “Biaquout”</t>
  </si>
  <si>
    <t>https://www.lebanon24.com/news/lebanon/1408106/مفاجأة-توقيف-موظف-في-الجمارك-لسبب-غير-متوقع</t>
  </si>
  <si>
    <t>LBN24013</t>
  </si>
  <si>
    <t>Several residentss protest iin "El marej" prontesting the severe electricity and water cuts</t>
  </si>
  <si>
    <t>LBN35002</t>
  </si>
  <si>
    <t>State Security Forces sealed a medical clinic in “Aachqout” and confiscated a quantity of expired and smuggled medicines and unlicensed medical equipments</t>
  </si>
  <si>
    <t>https://www.lebanon24.com/news/lebanon/1409602/بالصورة-ختم-عيادة-طبيّة-في-كسروان-بالشمع-الأحمر</t>
  </si>
  <si>
    <t>https://www.lebanon24.com/news/lebanon/1409587/ضبط-أدوية-تركية-مهربة-في-البقاع-الغربي-وتسليمها-لمصلحة-الصحة</t>
  </si>
  <si>
    <t>LBN31025</t>
  </si>
  <si>
    <t xml:space="preserve">Several residetns of "Bachamoun" faced a severe water outage for consecutive weeks and informed the ministry without any response, which caused anger a crross residents </t>
  </si>
  <si>
    <t>LBN57027</t>
  </si>
  <si>
    <t>Armed clashes erupted between a restaurant owner, and the water company employee in “Ehden”, due to a dispute over water rationing. No injuries reported</t>
  </si>
  <si>
    <t>LBN35132</t>
  </si>
  <si>
    <t>Kfardibiane</t>
  </si>
  <si>
    <t>Clashes erupted between 2 citizens in "Kafrdebaine" due to a dispute over stealing water from the state s network. No injuries reported</t>
  </si>
  <si>
    <t>LBN51003</t>
  </si>
  <si>
    <t xml:space="preserve">Several residents of "Aiitat" complained about severe water cuts for several consecutive days which caused anger in the town </t>
  </si>
  <si>
    <t>September</t>
  </si>
  <si>
    <t>LBN63032</t>
  </si>
  <si>
    <t>Chehabiyeh</t>
  </si>
  <si>
    <t>Chehabiye Municipal Police selaed 2 beauty centers in “Chehabiye” for carrying out illegal medical practices.</t>
  </si>
  <si>
    <t>https://www.elnashra.com/news/show/1739651/النشرة-إقفال-صالونَي-تجميل-منطقة-الشهابية-بسبب-قيا</t>
  </si>
  <si>
    <t>LBN54029</t>
  </si>
  <si>
    <t>Majdel el Koura</t>
  </si>
  <si>
    <t>Local CSOs</t>
  </si>
  <si>
    <t>A group of “Biladi Akhdar Association” members demonstrated in “Majdel el Koura” demanding the import of cement and an end to deadly pollution</t>
  </si>
  <si>
    <t>https://www.facebook.com/share/v/1AxhPYP9B9/?mibextid=wwXIfr</t>
  </si>
  <si>
    <t>LBN36042</t>
  </si>
  <si>
    <t>Broumana</t>
  </si>
  <si>
    <t>A group of residents demonstrated in “Broumana” protesting the environmental and health pollution caused by generators.</t>
  </si>
  <si>
    <t>https://alhadeel.net/article/798666/</t>
  </si>
  <si>
    <t>LBN33030</t>
  </si>
  <si>
    <t>Beit ed Dine</t>
  </si>
  <si>
    <t>A group of residents demonstrated in “Beit ed Dine” protesting the decision to close the National Social Security Center</t>
  </si>
  <si>
    <t>https://www.lebanon24.com/news/lebanon/1414570/تحرّك-شعبي-في-الشوف-ضد-قرار-إقفال-مركز-الضمان-الوطني</t>
  </si>
  <si>
    <t>LBN55027</t>
  </si>
  <si>
    <t>State Security Forces sealed a beauty center and arrested 1 Syrian individual (the owner) and confiscated a quantity of expired and unidentified medicines, cosmetic products, botox injections, and a plasma device in "Bhannine el Minieh"</t>
  </si>
  <si>
    <t>https://www.facebook.com/share/p/1ECoYYDDZd/?mibextid=wwXIfr</t>
  </si>
  <si>
    <t>LBN56022</t>
  </si>
  <si>
    <t>Fouwar zgharta</t>
  </si>
  <si>
    <t>Clashes erupted between 2 citizens in "Zgharta" due to a dispute over stealing water. 2 injuries were reported</t>
  </si>
  <si>
    <t>LBN21167</t>
  </si>
  <si>
    <t xml:space="preserve">Unknown individuals shot gunfire at the electricity transmission lines belonging to the Lebanon Electric Company in “Younine” No injuries were reported </t>
  </si>
  <si>
    <t>https://www.lebanon24.com/news/lebanon/1418947/سرقة-ضخمة-حصلت-بيان-من-كهرباء-لبنان-وهذا-ما-جاء-فيه</t>
  </si>
  <si>
    <t>LBN51038</t>
  </si>
  <si>
    <t>Military operation</t>
  </si>
  <si>
    <t>Related to the above, a decision was taken to close the school until the investigation is concluded</t>
  </si>
  <si>
    <t>https://www.lebanon24.com/news/lebanon/1423108/في-الشمال-المخابرات-توقف-مُعتدٍ-على-مديرة-مدرسة</t>
  </si>
  <si>
    <t>https://almarsadonline.com/209967/</t>
  </si>
  <si>
    <t>LBN36146</t>
  </si>
  <si>
    <t>Mtaileb</t>
  </si>
  <si>
    <t>Several residents in “Mtaileb” complained from the high electricity bills despite the severe cuts in the area</t>
  </si>
  <si>
    <t>LBN36164</t>
  </si>
  <si>
    <t>Several residents in “Raboueh” complained from the high electricity bills despite the severe cuts in the area</t>
  </si>
  <si>
    <t>https://www.facebook.com/share/p/17PWBfGR39/?mibextid=wwXIfr</t>
  </si>
  <si>
    <t>LBN62049</t>
  </si>
  <si>
    <t>Armed clashes eruptud between several individuals in "Jezzine" due to a dispute over water for plants and lands. No injuries were reported</t>
  </si>
  <si>
    <t>October</t>
  </si>
  <si>
    <t>https://www.lebanon24.com/news/lebanon/1424495/حملة-أمنية-واقتصادية-في-صيدا-لضبط-أسعار-الكهرباء-غير-القانونية</t>
  </si>
  <si>
    <t>LBN61032</t>
  </si>
  <si>
    <t>Hara</t>
  </si>
  <si>
    <t>State Security Forces and Inspectors of the Regional Economy Department Office conducted several inspections on generator offices in “Hara” and issued violation reports to 20 generator owners</t>
  </si>
  <si>
    <t>LBN42017</t>
  </si>
  <si>
    <t xml:space="preserve">Inspectors of the Ministry of Public Health Office conducted inspections on beauty centers in “Hasbaiya” sealed several beauty centers, issued violation reports and fined violators </t>
  </si>
  <si>
    <t>https://www.lebanon24.com/news/lebanon/1424409/في-حاصبيا-تسطير-مخالفات-وإنذارات-في-مراكز-تجميل</t>
  </si>
  <si>
    <t xml:space="preserve">Clashes erupted between several individuals in “Ej Jeitaoui” due to a dispute over water trucks order. No injuries were reported </t>
  </si>
  <si>
    <t>https://www.elnashra.com/news/show/1744740/مداهمات-لمراقبي-مصلحة-الاقتصاد-الجنوب-قضاء-صور-تطا</t>
  </si>
  <si>
    <t>LBN63056</t>
  </si>
  <si>
    <t>Jbal el Botm</t>
  </si>
  <si>
    <t xml:space="preserve">State Security Forces &amp; Inspectors of the Regional Economy Department Office conducted several inspections on generator offices in “Jbal el Botm” issued violation reports and fined violators </t>
  </si>
  <si>
    <t>LBN23010</t>
  </si>
  <si>
    <t>Bayader el Aadas</t>
  </si>
  <si>
    <t xml:space="preserve">Unknown individuals driving a car attempted to smuggle a quantity of pills and medicines in “Bayader el Aadas” </t>
  </si>
  <si>
    <t>https://www.lebanon24.com/news/lebanon/1426739/بالصور-ضبط-بضائع-مُهرّبة-في-البقاع</t>
  </si>
  <si>
    <t>LBN25050</t>
  </si>
  <si>
    <t>Nasriyet Zahleh</t>
  </si>
  <si>
    <t>LAF raided in “Nasriyet Zahle” and removed water network violations</t>
  </si>
  <si>
    <t>https://www.lebanon24.com/news/lebanon/1427227/حملة-قمع-مخالفات-على-شبكة-المياه-في-بلدة-الناصرية</t>
  </si>
  <si>
    <t>LBN34120</t>
  </si>
  <si>
    <t>Clashes erupted between residents of a building in "Jbeil" due to dispute over water stealing. No injuries reported</t>
  </si>
  <si>
    <t>LBN43016</t>
  </si>
  <si>
    <t xml:space="preserve">A group of residents demonstrated and blocked the road in “Houla”demanding compensation for war losses </t>
  </si>
  <si>
    <t>https://www.facebook.com/share/r/1Bc3No75fj/?mibextid=wwXIfr</t>
  </si>
  <si>
    <t>LBN22078</t>
  </si>
  <si>
    <t>Qasr</t>
  </si>
  <si>
    <t>Several smugglers smuggled a quantity of medicines and fuel though illegal crossing routes into "Hermel"</t>
  </si>
  <si>
    <t>LBN55083</t>
  </si>
  <si>
    <t>Sir Ed-Danniyeh</t>
  </si>
  <si>
    <t>Sir Ed Danniye</t>
  </si>
  <si>
    <t xml:space="preserve">Clashes erupted between 1 individual and 2 female doctors in a hospital in “Sir ed Danniye” due to disputes over doing the corona test. No injuries were reported </t>
  </si>
  <si>
    <t>https://www.lebanon24.com/news/lebanon/1430687/شاهدوا-بالفيديو-هذا-ما-جرى-داخل-مستشفى-بين-والد-طفل-وطبيبة</t>
  </si>
  <si>
    <t>LBN43013</t>
  </si>
  <si>
    <t>A group of residents closed the road in “Deir Siriane” protesting the delay in addressing the compensation file</t>
  </si>
  <si>
    <t>https://www.lebanon24.com/news/lebanon/1431587/بالفيديو-إقفال-طريق-دير-سريان-الطيبة-احتجاجا-على-التباطؤ-في-متابعة-ملف</t>
  </si>
  <si>
    <t>LBN41006</t>
  </si>
  <si>
    <t xml:space="preserve">Unknown individual impersonated a doctor, examined patients in his home in “Beit Lif”, and sold them medicines </t>
  </si>
  <si>
    <t>https://www.lebanon24.com/news/lebanon/1435459/توقيف-طبيب-وهميّ-كان-يُعطي-المرضى-أدوية-مُهرّبة</t>
  </si>
  <si>
    <t>LBN41025</t>
  </si>
  <si>
    <t>Kafra Bent Jbeil</t>
  </si>
  <si>
    <t xml:space="preserve">Related to the above, ISF raided a house in “Kafra Bent Jbeil” arrested 1 citizen involved in the incident and confiscated a quantity of medicines (Tramal) </t>
  </si>
  <si>
    <t>November</t>
  </si>
  <si>
    <t>LBN34006</t>
  </si>
  <si>
    <t xml:space="preserve">A group of residents demonstrated in “Aamchit” protesting the attempt to pour concrete over Al Fouqma cave </t>
  </si>
  <si>
    <t>https://www.facebook.com/share/r/1UyXhwXe8f/?mibextid=wwXIfr</t>
  </si>
  <si>
    <t>LBN63001</t>
  </si>
  <si>
    <t xml:space="preserve">Inspectors of the Ministry of Public Health Office conducted inspections on several institutions in “Aabbassiye” and sealed a beauty center </t>
  </si>
  <si>
    <t>https://www.lebanon24.com/news/lebanon/1438398/إقفال-مراكز-تجميل-غير-مرخّصة-في-العباسية</t>
  </si>
  <si>
    <t>https://www.lebanon24.com/news/lebanon/1440039/بالصورة-إقفال-صيدليّة-في-البترون-بالشمع-الأحمر</t>
  </si>
  <si>
    <t>https://www.lebanon24.com/news/lebanon/1441813/في-الضاحية-محاضر-لأشخاص-خالفوا-تسعيرة-المولدات</t>
  </si>
  <si>
    <t>LBN31024</t>
  </si>
  <si>
    <t xml:space="preserve">Customs raided a house in “Baissour” arrested 1 individual and confiscated a quantity of smuggled medicines </t>
  </si>
  <si>
    <t>https://www.lebanon24.com/news/lebanon/1441790/بالصور-أدوية-مهرّبة-داخل-منزل</t>
  </si>
  <si>
    <t>LBN43041</t>
  </si>
  <si>
    <t>Taibe Marjaayoun</t>
  </si>
  <si>
    <t>1 individual closed the road in “Taibe Marjaayoun”  protesting the damage caused to his house by IDF and reuesting for reconstruction aids</t>
  </si>
  <si>
    <t>https://www.facebook.com/share/p/1KQgnrjj7W/?mibextid=wwXIfr</t>
  </si>
  <si>
    <t>https://www.elnashra.com/news/show/1750650/وقفة-احتجاجية-لحملة-الشط-لكل-الناس-أمام-وزارة-الأش</t>
  </si>
  <si>
    <t>https://www.lebanon24.com/news/lebanon/1444638/بعد-ان-تكررت-الشكاوى-بحقه-توقيف-صاحب-مولد-في-كفرجرة</t>
  </si>
  <si>
    <t>LBN62053</t>
  </si>
  <si>
    <t xml:space="preserve">State Security Forces and Inspectors of the Regional Economy Department Office raided generators offices in “Kfar Jarra” and arrested 1 violator </t>
  </si>
  <si>
    <t>LBN62087</t>
  </si>
  <si>
    <t>Ouadi Baanqoudine</t>
  </si>
  <si>
    <t xml:space="preserve">State Security Forces and Inspectors of the Regional Economy Department Office raided generators offices in “Ouadi Baanqoudine” and fined 1 violator </t>
  </si>
  <si>
    <t>LBN62022</t>
  </si>
  <si>
    <t>Choualiq</t>
  </si>
  <si>
    <t>State Security Forces and Inspectors of the Regional Economy Department Office raided generators offices in “Choualiq”</t>
  </si>
  <si>
    <t>LBN62005</t>
  </si>
  <si>
    <t>Ain el Mir el Estabel</t>
  </si>
  <si>
    <t>State Security Forces and Inspectors of the Regional Economy Department Office raided generators offices in “Ain el Mir el Estabel”</t>
  </si>
  <si>
    <t>LBN62099</t>
  </si>
  <si>
    <t>State Security Forces and Inspectors of the Regional Economy Department Office raided generators offices in “Roum”</t>
  </si>
  <si>
    <t>LBN62003</t>
  </si>
  <si>
    <t>Aariye</t>
  </si>
  <si>
    <t>State Security Forces and Inspectors of the Regional Economy Department Office raided generators offices in “Aariye”</t>
  </si>
  <si>
    <t>LBN25048</t>
  </si>
  <si>
    <t>Mrayjat Zahleh</t>
  </si>
  <si>
    <t>A group of residents closed the road in “Mreijat” protesting the repeated road accidents, and demanding for road reconstruction</t>
  </si>
  <si>
    <t>https://www.elnashra.com/news/show/1751698/النشرة-عدد-أهالي-البقاع-قطعوا-طريق-ضهر-البيدر-المر</t>
  </si>
  <si>
    <t>LBN55058</t>
  </si>
  <si>
    <t>ISF sealed a newly discovered natural cave in “Izal”</t>
  </si>
  <si>
    <t>https://www.facebook.com/share/1G7w33RMrx/</t>
  </si>
  <si>
    <t>December</t>
  </si>
  <si>
    <t>LBN31005</t>
  </si>
  <si>
    <t xml:space="preserve">Inspectors of the Regional Economy Department Office &amp; State Security Forces conducted inspections on generator offices in “Aaramoun” and fined violators </t>
  </si>
  <si>
    <t>https://www.lebanonfiles.com/2025/articles/أخبار-محليّة/أمن-الدولة-رصد-مخالفات-في-قطاع-المولدا/</t>
  </si>
  <si>
    <t>LBN31053</t>
  </si>
  <si>
    <t>Deir Qoubil</t>
  </si>
  <si>
    <t xml:space="preserve">Inspectors of the Regional Economy Department Office &amp; State Security Forces conducted inspections on generator offices in “Deir Qoubil”and fined violators </t>
  </si>
  <si>
    <t>LBN44032</t>
  </si>
  <si>
    <t>A group of residents demonstrated in “Kfar Roummane” “protesting the delay in reconstruction</t>
  </si>
  <si>
    <t>https://www.facebook.com/share/r/17jTWgXRWV/?mibextid=wwXIfr</t>
  </si>
  <si>
    <t>LBN25012</t>
  </si>
  <si>
    <t xml:space="preserve">Customs raided in “Chtaura” arrested 1 individual and confiscated tools used to counterfeit protein materials </t>
  </si>
  <si>
    <t>https://www.lebanon24.com/news/lebanon/1452304/بالفيديو-ضبط-موقع-في-شتورا-لتزوير-مواد-بروتينية</t>
  </si>
  <si>
    <t>LBN320028</t>
  </si>
  <si>
    <t>Dahr el Baidar</t>
  </si>
  <si>
    <t>A group of owners of pickup dealerships closed the road in “Dahr el Baidar” protesting their inability to register some of their vehicles.</t>
  </si>
  <si>
    <t>https://www.lebanon24.com/news/lebanon/1453579/قطع-طريق-ضهر-البيدر-من-قبل-أصحاب-معارض-البيك-آب</t>
  </si>
  <si>
    <t>Vehicle Inspection Center</t>
  </si>
  <si>
    <t>LBN36105</t>
  </si>
  <si>
    <t xml:space="preserve">Customs raided a pharmacy and a warehouse in “Antelias” arrested 1 individual and confiscated a large quantity of expired medications, smuggled botox, fillers, and hormones </t>
  </si>
  <si>
    <t>https://www.lebanondebate.com/article/772470-مداهمة-صيدلية-ومستودع-في-أنطلياسبوتوكس-وهورمونات-مهربة</t>
  </si>
  <si>
    <t>LBN25006</t>
  </si>
  <si>
    <t xml:space="preserve">ISF raided a clinic in “Bar Elias” arrested 1 wanted Palestinian individual confiscated a personalized ring and a medical prescription notebook and sealed it. </t>
  </si>
  <si>
    <t>https://www.lebanon24.com/news/lebanon/1458433/في-البقاع-توقيف-طبيب-يزاول-المهنة-من-دون-ترخيص-وضبط-كميّة-من-الأدوية-ا</t>
  </si>
  <si>
    <t>Building Violation</t>
  </si>
  <si>
    <t>LBN24040</t>
  </si>
  <si>
    <t>Soultane Yaaqoub el Tahta</t>
  </si>
  <si>
    <t xml:space="preserve">State Security Forces sealed an unlicensed beauty center in “Soultane Yaaqoub el Tahta” and confiscated beauty equipments </t>
  </si>
  <si>
    <t>https://www.lebanon24.com/news/lebanon/1471432/حوّل-منزله-إلى-عيادة-غير-مرخّصة-وهذا-ما-فعله-أمن-الدولة</t>
  </si>
  <si>
    <t>Eviction/Evacuation</t>
  </si>
  <si>
    <t>https://almarkazia.com/ar/أدوية-مهرّبة-ومنتهية-الصلاحية-في-مستوصف-غير-1</t>
  </si>
  <si>
    <t>LBN56003</t>
  </si>
  <si>
    <t>A group of residents evacuated a building in “Qalamoun” due to the risk of collapse.</t>
  </si>
  <si>
    <t>https://www.facebook.com/share/1NWR4dYtXo/?mibextid=wwXIfr</t>
  </si>
  <si>
    <t>LBN43010</t>
  </si>
  <si>
    <t xml:space="preserve">A group of residents evacuated the targeted house in “Blida” </t>
  </si>
  <si>
    <t>https://www.elnashra.com/news/show/1761477/المنار-تعرض-أطراف-بلدة-يارون-لرشقات-رشاشة-مصدرها-د</t>
  </si>
  <si>
    <t>LBN55013</t>
  </si>
  <si>
    <t>A group of residents evacuated a building in “Bakhaoun” following the ISF &amp; municipal police orders due to the risk of collapse.</t>
  </si>
  <si>
    <t>https://www.lebanon24.com/news/lebanon/1486705/قبل-فوات-الأوان-مبانٍ-مهددة-بالانهيار-في-الضنية-والبلدية-تتحرك</t>
  </si>
  <si>
    <t>FID</t>
  </si>
  <si>
    <t>Shape</t>
  </si>
  <si>
    <t>CODE</t>
  </si>
  <si>
    <t>ADM3_NAME</t>
  </si>
  <si>
    <t>KADA_NA</t>
  </si>
  <si>
    <t>AREA</t>
  </si>
  <si>
    <t>PERIMETER</t>
  </si>
  <si>
    <t>CADAST_LIM</t>
  </si>
  <si>
    <t>CADAST_L_1</t>
  </si>
  <si>
    <t>ADMIN_CAZA</t>
  </si>
  <si>
    <t>CAD_CAZA</t>
  </si>
  <si>
    <t>ACS_CD_SP</t>
  </si>
  <si>
    <t>UN_ID</t>
  </si>
  <si>
    <t>MOH_NEW</t>
  </si>
  <si>
    <t>POP_AREA</t>
  </si>
  <si>
    <t>POP_SUR1</t>
  </si>
  <si>
    <t>LOG_SUT</t>
  </si>
  <si>
    <t>LOG_SUR</t>
  </si>
  <si>
    <t>SHAPE_AREA</t>
  </si>
  <si>
    <t>SHAPE_LEN</t>
  </si>
  <si>
    <t>OBJECTID</t>
  </si>
  <si>
    <t>Join_Count</t>
  </si>
  <si>
    <t>TARGET_FID</t>
  </si>
  <si>
    <t>Means of Verification</t>
  </si>
  <si>
    <t>Code 1</t>
  </si>
  <si>
    <t>Code 2</t>
  </si>
  <si>
    <t>Shape_Length</t>
  </si>
  <si>
    <t>Shape_Area</t>
  </si>
  <si>
    <t>Polygon</t>
  </si>
  <si>
    <t>AarmT</t>
  </si>
  <si>
    <t>MassaaoudiyT</t>
  </si>
  <si>
    <t>Al-MassoudiT</t>
  </si>
  <si>
    <t>Cheikh Zennad Tal BibT</t>
  </si>
  <si>
    <t>Hnander</t>
  </si>
  <si>
    <t>Al-KneissT</t>
  </si>
  <si>
    <t>Dayret Nahr El-KTbir</t>
  </si>
  <si>
    <t>SammaqiyT</t>
  </si>
  <si>
    <t>Al-SemmakiT</t>
  </si>
  <si>
    <t>AabboudiyT</t>
  </si>
  <si>
    <t>Al-AbboudiT</t>
  </si>
  <si>
    <t>Al-KharnoubT</t>
  </si>
  <si>
    <t>DibbabiyT</t>
  </si>
  <si>
    <t>DabbabiyT CharkiT</t>
  </si>
  <si>
    <t>Tall BirT</t>
  </si>
  <si>
    <t>Tal BirT</t>
  </si>
  <si>
    <t>DaoucT et Baghdadi</t>
  </si>
  <si>
    <t>MzeihmT</t>
  </si>
  <si>
    <t>Al-MouzeihmT</t>
  </si>
  <si>
    <t>Tal Abbas El-CharkiT</t>
  </si>
  <si>
    <t>Mazraat En-NahriyT</t>
  </si>
  <si>
    <t>DenkT et El-Amriyeh</t>
  </si>
  <si>
    <t>GhazaylT</t>
  </si>
  <si>
    <t>El-KneissT</t>
  </si>
  <si>
    <t>BardT</t>
  </si>
  <si>
    <t>El-BardT</t>
  </si>
  <si>
    <t>El-BirT</t>
  </si>
  <si>
    <t>El-MsallT</t>
  </si>
  <si>
    <t>Tal Abbas El-gharbiT</t>
  </si>
  <si>
    <t>Ann El-Zeit</t>
  </si>
  <si>
    <t>Sandnaya</t>
  </si>
  <si>
    <t>Ann Tanta</t>
  </si>
  <si>
    <t>Al-RihaniT</t>
  </si>
  <si>
    <t>SammouniyT</t>
  </si>
  <si>
    <t>Al-SammouniT</t>
  </si>
  <si>
    <t>Fseikine et Ann Achma</t>
  </si>
  <si>
    <t>DaghlT</t>
  </si>
  <si>
    <t>El-DaghlT</t>
  </si>
  <si>
    <t>Douair AadouiyT</t>
  </si>
  <si>
    <t>Douair AdouiyT</t>
  </si>
  <si>
    <t>Al-KhraibT</t>
  </si>
  <si>
    <t>KattT</t>
  </si>
  <si>
    <t>KnissT</t>
  </si>
  <si>
    <t>Dahr el-KneissT</t>
  </si>
  <si>
    <t>Balde WaMazraatBaldT</t>
  </si>
  <si>
    <t>Mazraat BaldT</t>
  </si>
  <si>
    <t>Al-SouaissT</t>
  </si>
  <si>
    <t>NfissT</t>
  </si>
  <si>
    <t>El-NfeicT</t>
  </si>
  <si>
    <t>Al-JTdidT</t>
  </si>
  <si>
    <t>Dahr-LeycinT</t>
  </si>
  <si>
    <t>JebrGil</t>
  </si>
  <si>
    <t>TellT et Chattaha</t>
  </si>
  <si>
    <t>Ann-Yacoub</t>
  </si>
  <si>
    <t>Mechanlha Hakour</t>
  </si>
  <si>
    <t>Zouq El HosniyT</t>
  </si>
  <si>
    <t>Zouk el MoukachTrine</t>
  </si>
  <si>
    <t>RahbT</t>
  </si>
  <si>
    <t>Zouk-El-Habalta</t>
  </si>
  <si>
    <t>Minieh-Danieh</t>
  </si>
  <si>
    <t>El-Houanche</t>
  </si>
  <si>
    <t>HmairT Aakkar</t>
  </si>
  <si>
    <t>Rihaniyet-MiniyT</t>
  </si>
  <si>
    <t>Qloud El-BaqiT</t>
  </si>
  <si>
    <t>Sanssouk</t>
  </si>
  <si>
    <t>El-KornT</t>
  </si>
  <si>
    <t>Michaa MrajhinT</t>
  </si>
  <si>
    <t>SafinT-El-Kayteh</t>
  </si>
  <si>
    <t>Borj El-YahoudiyT</t>
  </si>
  <si>
    <t>Borge-El-YahoudiT</t>
  </si>
  <si>
    <t>https://elnashra.com/news/show/1708212/%D9%85%D8%AF%D8%A7%D8%B1%D8%B3-%D8%A7%D9%84%D8%A7%D9%88%D9%86%D8%B1%D9%88%D8%A7-%D9%85%D8%AE%D9%8A%D9%85-%D8%A7%D9%84%D8%A8%D8%AF%D8%A7%D9%88%D9%8A-%D9%86%D9%81%D8%B0%D8%AA-%D8%A7%D8%B6%D8%B1%D8%A7%D8%A8%D8%A7-%D8%AA</t>
  </si>
  <si>
    <t>Terbol-MiniyT</t>
  </si>
  <si>
    <t>Tripoli Al-KobbT</t>
  </si>
  <si>
    <t>Tripoli Al-SouTka</t>
  </si>
  <si>
    <t>El-WatiT et Harf Siad</t>
  </si>
  <si>
    <t>ArdT</t>
  </si>
  <si>
    <t>MTriata</t>
  </si>
  <si>
    <t>Haouaret-MiniyT</t>
  </si>
  <si>
    <t>Koura</t>
  </si>
  <si>
    <t>Qaa Jouar MaqiyT</t>
  </si>
  <si>
    <t>SfirT</t>
  </si>
  <si>
    <t>Al-SfirT</t>
  </si>
  <si>
    <t>Kharroub-MiniyT</t>
  </si>
  <si>
    <t>Haql el AazimT</t>
  </si>
  <si>
    <t>QattinT-MiniyT</t>
  </si>
  <si>
    <t>KattinT</t>
  </si>
  <si>
    <t>El-TellT</t>
  </si>
  <si>
    <t>Mrah-El-SfirT</t>
  </si>
  <si>
    <t>DeddT</t>
  </si>
  <si>
    <t>DTddT</t>
  </si>
  <si>
    <t>Aain Et-TinT-MiniyT</t>
  </si>
  <si>
    <t>Ann-El-TinT</t>
  </si>
  <si>
    <t>Hazmiyet-MiniyT</t>
  </si>
  <si>
    <t>Kasrouane</t>
  </si>
  <si>
    <t>Haouch Tall SafiyT</t>
  </si>
  <si>
    <t>Edma et DefnT</t>
  </si>
  <si>
    <t>SaaidT</t>
  </si>
  <si>
    <t>Al-Sandat</t>
  </si>
  <si>
    <t>IghbT</t>
  </si>
  <si>
    <t>Al-DjezirT</t>
  </si>
  <si>
    <t>ChouberkiT "Ammik"</t>
  </si>
  <si>
    <t>Haouche-el-HarimT</t>
  </si>
  <si>
    <t>Deir KouchT</t>
  </si>
  <si>
    <t>Deir CouchT</t>
  </si>
  <si>
    <t>Brih et MteilT</t>
  </si>
  <si>
    <t>OuarhaniyT</t>
  </si>
  <si>
    <t>Kfar Matta (KlaliyT)</t>
  </si>
  <si>
    <t>Douair Bsennan</t>
  </si>
  <si>
    <t>Sir Ed-DanniyT</t>
  </si>
  <si>
    <t>NakhlT</t>
  </si>
  <si>
    <t>En-NakhlT</t>
  </si>
  <si>
    <t>Al-HranchT</t>
  </si>
  <si>
    <t>KhaldiyT</t>
  </si>
  <si>
    <t>Al-KhaldyT</t>
  </si>
  <si>
    <t>Al-JdeidT</t>
  </si>
  <si>
    <t>IGl</t>
  </si>
  <si>
    <t>EnfT</t>
  </si>
  <si>
    <t>Mazraet El-KrOme</t>
  </si>
  <si>
    <t>BenachTe</t>
  </si>
  <si>
    <t>BehweitT</t>
  </si>
  <si>
    <t>Anto</t>
  </si>
  <si>
    <t>Karm SaddT</t>
  </si>
  <si>
    <t>BcharrT</t>
  </si>
  <si>
    <t>Anntourine</t>
  </si>
  <si>
    <t>Ann Akrine</t>
  </si>
  <si>
    <t>El-MTaisseri</t>
  </si>
  <si>
    <t>Zghorta el-MTtaoulT</t>
  </si>
  <si>
    <t>Haqath Ej-JebbT</t>
  </si>
  <si>
    <t>Hadeth-el-JebbT</t>
  </si>
  <si>
    <t>EddT</t>
  </si>
  <si>
    <t>Kfar Chlenman</t>
  </si>
  <si>
    <t>JaboulT et Al-Bijage</t>
  </si>
  <si>
    <t>Al-Anne</t>
  </si>
  <si>
    <t>Annata</t>
  </si>
  <si>
    <t>ZanT</t>
  </si>
  <si>
    <t>NahlT El-Batroun</t>
  </si>
  <si>
    <t>LabouT</t>
  </si>
  <si>
    <t>BchaalT</t>
  </si>
  <si>
    <t>Mchaa Ej-JibbT</t>
  </si>
  <si>
    <t>Mchaa Ej JobbT</t>
  </si>
  <si>
    <t>Jubail</t>
  </si>
  <si>
    <t>Kfar KiddT</t>
  </si>
  <si>
    <t>Kfar-KeddT</t>
  </si>
  <si>
    <t>Manfouk</t>
  </si>
  <si>
    <t>Ann Kfah</t>
  </si>
  <si>
    <t>BejjT</t>
  </si>
  <si>
    <t>Al-Boukana et Dahr Abi Yaghi</t>
  </si>
  <si>
    <t>El-KharbT</t>
  </si>
  <si>
    <t>El-RihanT</t>
  </si>
  <si>
    <t>Hisranl</t>
  </si>
  <si>
    <t>YammounT</t>
  </si>
  <si>
    <t>YamounT</t>
  </si>
  <si>
    <t>EddT Jbayl</t>
  </si>
  <si>
    <t>BintaTl (Fdar-El-Soufla)</t>
  </si>
  <si>
    <t>EhmFge</t>
  </si>
  <si>
    <t>BtTdy</t>
  </si>
  <si>
    <t>JlissT</t>
  </si>
  <si>
    <t>El-JlaicT</t>
  </si>
  <si>
    <t>Aalmat Ej-JnoubiyT</t>
  </si>
  <si>
    <t>MghayrT Jbeil</t>
  </si>
  <si>
    <t>El-MghanrT</t>
  </si>
  <si>
    <t>Aalmat Ech-ChamliyT</t>
  </si>
  <si>
    <t>BchillT</t>
  </si>
  <si>
    <t>MaqnT</t>
  </si>
  <si>
    <t>El-SouanT</t>
  </si>
  <si>
    <t>NahlT baalbek</t>
  </si>
  <si>
    <t>NahlT</t>
  </si>
  <si>
    <t>Aain Ed-DelbT Jbayl</t>
  </si>
  <si>
    <t>Ann-el-DelbT</t>
  </si>
  <si>
    <t>HedaynT</t>
  </si>
  <si>
    <t>FatrT et Bir-el-Hant</t>
  </si>
  <si>
    <t>Ann-Jranne</t>
  </si>
  <si>
    <t>MchanT</t>
  </si>
  <si>
    <t>Aain El-GhouaybT</t>
  </si>
  <si>
    <t>Ann-El-GhouaibT</t>
  </si>
  <si>
    <t>JannT</t>
  </si>
  <si>
    <t>YGt</t>
  </si>
  <si>
    <t>El-Mouansra</t>
  </si>
  <si>
    <t>MradiyT</t>
  </si>
  <si>
    <t>ZaaitrT</t>
  </si>
  <si>
    <t>GhbalT Kesrouane</t>
  </si>
  <si>
    <t>GhbTlT</t>
  </si>
  <si>
    <t>AaqaibT Kesrouane</t>
  </si>
  <si>
    <t>El-EkanbT</t>
  </si>
  <si>
    <t>Aain Ed-DelbT Kesrouane</t>
  </si>
  <si>
    <t>Ann El-DelbT</t>
  </si>
  <si>
    <t>Haouch El-Dehab</t>
  </si>
  <si>
    <t>GhinT</t>
  </si>
  <si>
    <t>El-GhuinT</t>
  </si>
  <si>
    <t>Fantroun</t>
  </si>
  <si>
    <t>DjouniT Salel Alma</t>
  </si>
  <si>
    <t>DjouniT Haret Sakhr</t>
  </si>
  <si>
    <t>Ann Bourday</t>
  </si>
  <si>
    <t>JouniT Sarba</t>
  </si>
  <si>
    <t>DjouniT Sarba</t>
  </si>
  <si>
    <t>DjouniT Ghadir</t>
  </si>
  <si>
    <t>Zouk MikaFl</t>
  </si>
  <si>
    <t>El Metn</t>
  </si>
  <si>
    <t>Kfartan</t>
  </si>
  <si>
    <t>Bekaatet KTnaan</t>
  </si>
  <si>
    <t>Ann El-RihanT</t>
  </si>
  <si>
    <t>ShaylT Kesrouane</t>
  </si>
  <si>
    <t>Ann STa et Chadourah</t>
  </si>
  <si>
    <t>Anntoura</t>
  </si>
  <si>
    <t>Kfertan</t>
  </si>
  <si>
    <t>BallounT</t>
  </si>
  <si>
    <t>DbayT</t>
  </si>
  <si>
    <t>El-SfailT</t>
  </si>
  <si>
    <t>MayassT</t>
  </si>
  <si>
    <t>El-MayassT</t>
  </si>
  <si>
    <t>Ann El-Kabou</t>
  </si>
  <si>
    <t>FraikT</t>
  </si>
  <si>
    <t>El FreikT</t>
  </si>
  <si>
    <t>Aain El-KharroubT</t>
  </si>
  <si>
    <t>Ann-El-KharroubT</t>
  </si>
  <si>
    <t>Ann-el-Teffaha</t>
  </si>
  <si>
    <t>ChaouiyT</t>
  </si>
  <si>
    <t>ChaouiT, KnaitrT et Mar gergesse Bhurdok</t>
  </si>
  <si>
    <t>ChaaibT</t>
  </si>
  <si>
    <t>ChanbT</t>
  </si>
  <si>
    <t>Ann-El-Kach</t>
  </si>
  <si>
    <t>El-MhaidcT</t>
  </si>
  <si>
    <t>Ann Aar</t>
  </si>
  <si>
    <t>Ann-Alak</t>
  </si>
  <si>
    <t>AntTlias</t>
  </si>
  <si>
    <t>Al-KhodrT</t>
  </si>
  <si>
    <t>MousrayT</t>
  </si>
  <si>
    <t>AatchanT</t>
  </si>
  <si>
    <t>El-AtchanT</t>
  </si>
  <si>
    <t>Ann-El-Safsaf</t>
  </si>
  <si>
    <t>Niha ZahlT</t>
  </si>
  <si>
    <t>Ann El-BeniyT</t>
  </si>
  <si>
    <t>Mdaouar fonciFre</t>
  </si>
  <si>
    <t>Saranne</t>
  </si>
  <si>
    <t>Anroune</t>
  </si>
  <si>
    <t>Mina el-Hosn fonciFre</t>
  </si>
  <si>
    <t>Baabdat et SfanlT</t>
  </si>
  <si>
    <t>Aain Ez-ZeitounT</t>
  </si>
  <si>
    <t>Ann -El-ZeitounT</t>
  </si>
  <si>
    <t>Marfa' fonciFre</t>
  </si>
  <si>
    <t>Aain el-Mraisse fonciFre</t>
  </si>
  <si>
    <t>Ain el-MreissT</t>
  </si>
  <si>
    <t>Ann-El-SindianT</t>
  </si>
  <si>
    <t>MzakkT</t>
  </si>
  <si>
    <t>BaouchriyT</t>
  </si>
  <si>
    <t>Ras Beyrouth fonciFre</t>
  </si>
  <si>
    <t>El-KhellT</t>
  </si>
  <si>
    <t>Zqaq el-Blat fonciFre</t>
  </si>
  <si>
    <t>Saifi fonciFre</t>
  </si>
  <si>
    <t>SaifT</t>
  </si>
  <si>
    <t>KhreibT</t>
  </si>
  <si>
    <t>Rmeil fonciFre</t>
  </si>
  <si>
    <t>MsaitbT fonciFre</t>
  </si>
  <si>
    <t>Bachoura fonciFre</t>
  </si>
  <si>
    <t>RoumiT</t>
  </si>
  <si>
    <t>Achrafieh fonciFre</t>
  </si>
  <si>
    <t>Al-Nabi Anla</t>
  </si>
  <si>
    <t>https://almarkazia.com/ar/%D8%AD%D8%B1%D9%8A%D9%82-%D9%86%D9%81%D8%A7%D9%8A%D8%A7%D8%AA-%D9%88%D8%AF%D9%88%D8%A7%D9%84%D9%8A%D8%A8-%D9%81%D9%8A-%D9%85%D9%8A%D8%B1%D9%86%D8%A7-%D8%A7%D9%84%D8%B4%D8%A7%D9%84%D9%88%D8%AD%D9%8A-%D9%88%D8%AA%D8%B5%D8%A7%D8%B9%</t>
  </si>
  <si>
    <t>Bsifrine et El-ZahriyT</t>
  </si>
  <si>
    <t>Touaite ZahlT</t>
  </si>
  <si>
    <t>TouaitT</t>
  </si>
  <si>
    <t>DekouanT</t>
  </si>
  <si>
    <t>Mazraa fonciFre</t>
  </si>
  <si>
    <t>Aain SaadT</t>
  </si>
  <si>
    <t>Ann-SaGdT</t>
  </si>
  <si>
    <t>DlaybT</t>
  </si>
  <si>
    <t>El-DleibT</t>
  </si>
  <si>
    <t>AarbaniyT</t>
  </si>
  <si>
    <t>QsaibT Baabda</t>
  </si>
  <si>
    <t>ZahlT Maallaqa Aradi</t>
  </si>
  <si>
    <t>Ann El-JaouzT</t>
  </si>
  <si>
    <t>ZahlT Aradi</t>
  </si>
  <si>
    <t>ZahlT (Terres)</t>
  </si>
  <si>
    <t>Haret Horank</t>
  </si>
  <si>
    <t>https://alahdath24.com/ar/health/161286/%D8%A5%D8%B7%D9%84%D8%A7%D9%82-%D9%86%D8%A7%D8%B1-%D8%B9%D9%84%D9%89-%D9%85%D8%B3%D8%AA%D8%B4%D9%81%D9%89-%D8%B1%D9%8A%D8%A7%D9%82-%D9%88%D9%88%D8%B2%D8%A7%D8%B1%D8%A9-%D8%A7%D9%84%D8%B5%D8%AD%D8%A9-%D8%A7%D8%B9%D8%</t>
  </si>
  <si>
    <t>DaychouniyT</t>
  </si>
  <si>
    <t>ZahlT El-Berbara</t>
  </si>
  <si>
    <t>ZahlT Barbara</t>
  </si>
  <si>
    <t>https://almarkazia.com/ar/%D8%A7%D9%84%D8%AD%D8%B2%D8%A8-%D8%A3%D8%A8%D9%84%D8%BA-%D8%A3%D8%B5%D8%AD%D8%A7%D8%A8-%D8%A7%D9%84%D8%A8%D9%8A%D9%88%D8%AA-%D8%A7%D9%84%D9%85%D9%87%D8%AF%D9%91%D9%85%D8%A9-%D8%A8%D8%A7%D9%84%D8%AA%D9%88%D9%82%D9%81-%D8%B9%D9%86-</t>
  </si>
  <si>
    <t>ZahlT Er-RassiyT</t>
  </si>
  <si>
    <t>ZahlT Al-RassiT</t>
  </si>
  <si>
    <t>Mazraat Er-RemtaniyT</t>
  </si>
  <si>
    <t>AabadiyT</t>
  </si>
  <si>
    <t>LouayzT Baabda</t>
  </si>
  <si>
    <t>LouaizT</t>
  </si>
  <si>
    <t>ZahlT El-Midane</t>
  </si>
  <si>
    <t>ZahlT Midan</t>
  </si>
  <si>
    <t>ZahlT El-Maallaqa</t>
  </si>
  <si>
    <t>ZahlT Maallaka Kerek</t>
  </si>
  <si>
    <t>ZahlT Haouch Ez-Zaraane</t>
  </si>
  <si>
    <t>ZahlT Haouche Al-ZaraanT</t>
  </si>
  <si>
    <t>ZahlT Mar Antonios</t>
  </si>
  <si>
    <t>ZahlT Saydet En-Najat</t>
  </si>
  <si>
    <t>ZahlT Saidet Al-Najda</t>
  </si>
  <si>
    <t>ZahlT Mar Gerges</t>
  </si>
  <si>
    <t>ZahlT Mar GTrios</t>
  </si>
  <si>
    <t>ZahlT Mar Elias</t>
  </si>
  <si>
    <t>ZahlT Haouch El-Oumara</t>
  </si>
  <si>
    <t>ZahlT Haouche Al-Oumara</t>
  </si>
  <si>
    <t>LaylakT</t>
  </si>
  <si>
    <t>HlaliyT Baabda</t>
  </si>
  <si>
    <t>Terbol ZahlT</t>
  </si>
  <si>
    <t>ZahlT Haouch El-Oumara Aradi</t>
  </si>
  <si>
    <t>Choueifat El-AamrousiyT</t>
  </si>
  <si>
    <t>KahhalT</t>
  </si>
  <si>
    <t>El-KahalT</t>
  </si>
  <si>
    <t>Haret HamzT</t>
  </si>
  <si>
    <t>Sand Neil</t>
  </si>
  <si>
    <t>Dalhamiyet ZahlT</t>
  </si>
  <si>
    <t>DelhamiT</t>
  </si>
  <si>
    <t>El-KhreibT</t>
  </si>
  <si>
    <t>QtalT Baabda</t>
  </si>
  <si>
    <t>KtalT</t>
  </si>
  <si>
    <t>ChbaniyT</t>
  </si>
  <si>
    <t>Ann Mouaffak</t>
  </si>
  <si>
    <t>Mrayjat ZahlT</t>
  </si>
  <si>
    <t>Kobban</t>
  </si>
  <si>
    <t>BdTdoune</t>
  </si>
  <si>
    <t>Choueifat El-QuoubbT</t>
  </si>
  <si>
    <t>MaksT</t>
  </si>
  <si>
    <t>Aain Ej-JdidT Aaley</t>
  </si>
  <si>
    <t>Ann-El-JdeidT</t>
  </si>
  <si>
    <t>El-KrayT</t>
  </si>
  <si>
    <t>Aain Er-RoummanT Aaley</t>
  </si>
  <si>
    <t>Ann-RommanT</t>
  </si>
  <si>
    <t>Ann-Dara</t>
  </si>
  <si>
    <t>Ann-Enoub</t>
  </si>
  <si>
    <t>QmatiyT</t>
  </si>
  <si>
    <t>Ann Sofar</t>
  </si>
  <si>
    <t>Antate</t>
  </si>
  <si>
    <t>Ann Kfar Zabed</t>
  </si>
  <si>
    <t>Tananl</t>
  </si>
  <si>
    <t>RijmT</t>
  </si>
  <si>
    <t>AazouniyT</t>
  </si>
  <si>
    <t>https://www.elnashra.com/news/show/1731321/%D9%82%D9%85%D8%B9-%D8%A7%D9%84%D9%85%D8%AE%D8%A7%D9%84%D9%81%D8%A7%D8%AA-%D8%B9%D9%84%D9%89-%D8%B4%D8%A8%D9%83%D8%A9-%D8%A7%D9%84%D9%85%D9%8A%D8%A7%D9%87-%D9%83%D9%81%D8%B1%D8%B2%D8%A8%D8%AF-%D9%88%D9%82%D8%B1%D</t>
  </si>
  <si>
    <t>TaazaniyT</t>
  </si>
  <si>
    <t>Kanfoun</t>
  </si>
  <si>
    <t>El-Mansouriyeh et Ann-El-Marge</t>
  </si>
  <si>
    <t>Banssour</t>
  </si>
  <si>
    <t>ChouberkiT  Tabet</t>
  </si>
  <si>
    <t>Annab</t>
  </si>
  <si>
    <t>Haouch Es-SiyadT</t>
  </si>
  <si>
    <t>Ann El-Halzoune</t>
  </si>
  <si>
    <t>Bmehran</t>
  </si>
  <si>
    <t>Mzaraat ZahlT</t>
  </si>
  <si>
    <t>McherfT</t>
  </si>
  <si>
    <t>NaamT</t>
  </si>
  <si>
    <t>Tcheflik EddT Haouch</t>
  </si>
  <si>
    <t>Tchiflik EddT</t>
  </si>
  <si>
    <t>Ann Drafile</t>
  </si>
  <si>
    <t>El-Fsankine</t>
  </si>
  <si>
    <t>Nasriyet ZahlT</t>
  </si>
  <si>
    <t>Al-NasriyT</t>
  </si>
  <si>
    <t>Douair Er-RemmanT</t>
  </si>
  <si>
    <t>MchakhtT</t>
  </si>
  <si>
    <t>Ann Ksour</t>
  </si>
  <si>
    <t>Ann Zhalta</t>
  </si>
  <si>
    <t>RamliT</t>
  </si>
  <si>
    <t>Maasranti</t>
  </si>
  <si>
    <t>Bou ZridT</t>
  </si>
  <si>
    <t>BouzridT</t>
  </si>
  <si>
    <t>El-BennayT</t>
  </si>
  <si>
    <t>Ann Traz</t>
  </si>
  <si>
    <t>HarimT Es-Soughra</t>
  </si>
  <si>
    <t>DakouT</t>
  </si>
  <si>
    <t>DibbiyT</t>
  </si>
  <si>
    <t>El-MoghanrT</t>
  </si>
  <si>
    <t>Al-SawirT</t>
  </si>
  <si>
    <t>GhazzT</t>
  </si>
  <si>
    <t>JiyT</t>
  </si>
  <si>
    <t>SemqaniyT</t>
  </si>
  <si>
    <t>Ann Ouzan</t>
  </si>
  <si>
    <t>BotmT</t>
  </si>
  <si>
    <t>Rachiaya</t>
  </si>
  <si>
    <t>Benouanti</t>
  </si>
  <si>
    <t>Anta El-Fokhar</t>
  </si>
  <si>
    <t>El-JdeidT</t>
  </si>
  <si>
    <t>JahliyT</t>
  </si>
  <si>
    <t>Jib JTnine</t>
  </si>
  <si>
    <t>Debbiyeh (Ain el Haour)</t>
  </si>
  <si>
    <t>Ann KTni</t>
  </si>
  <si>
    <t>GharifT</t>
  </si>
  <si>
    <t>Ann-el-Assad et ChmeicT</t>
  </si>
  <si>
    <t>MaaniyT</t>
  </si>
  <si>
    <t>Aain ZebdT</t>
  </si>
  <si>
    <t>Ann-ZebdT</t>
  </si>
  <si>
    <t>MristT</t>
  </si>
  <si>
    <t>HTloua</t>
  </si>
  <si>
    <t>OuardaniyT</t>
  </si>
  <si>
    <t>Bankoun</t>
  </si>
  <si>
    <t>ZaarouriyT</t>
  </si>
  <si>
    <t>JleiliyT</t>
  </si>
  <si>
    <t>MtollT</t>
  </si>
  <si>
    <t>MtoullT Bzina</t>
  </si>
  <si>
    <t>MghairiyT Ech-Chouf</t>
  </si>
  <si>
    <t>El-Moghanriyeh</t>
  </si>
  <si>
    <t>JmailiyT</t>
  </si>
  <si>
    <t>Deir Aain Ej-JaouzT</t>
  </si>
  <si>
    <t>Deir-Ann-el-JaouzT</t>
  </si>
  <si>
    <t>Ann Arab</t>
  </si>
  <si>
    <t>Sanda Wastani</t>
  </si>
  <si>
    <t>GhabbatiyT</t>
  </si>
  <si>
    <t>MachmouchT</t>
  </si>
  <si>
    <t>MhaiydsT Rachaiya</t>
  </si>
  <si>
    <t>MohandcT</t>
  </si>
  <si>
    <t>Mazraat el-MathanT</t>
  </si>
  <si>
    <t>Antanit</t>
  </si>
  <si>
    <t>BramiyT</t>
  </si>
  <si>
    <t>QtalT Jezzine</t>
  </si>
  <si>
    <t>Tand</t>
  </si>
  <si>
    <t>HlaliyT Saida</t>
  </si>
  <si>
    <t>Sanda Dekerman</t>
  </si>
  <si>
    <t>Sanda Ville</t>
  </si>
  <si>
    <t>BTbT</t>
  </si>
  <si>
    <t>Haret Sanda</t>
  </si>
  <si>
    <t>Kfar DinFs</t>
  </si>
  <si>
    <t>HomsiyT</t>
  </si>
  <si>
    <t>El-HomsiyT</t>
  </si>
  <si>
    <t>Ann-el-Dib</t>
  </si>
  <si>
    <t>KrayT</t>
  </si>
  <si>
    <t>MiyT ou MiyT</t>
  </si>
  <si>
    <t>MiemiT</t>
  </si>
  <si>
    <t>QaytoulT</t>
  </si>
  <si>
    <t>KantoulT</t>
  </si>
  <si>
    <t>Ann el-Mir</t>
  </si>
  <si>
    <t>GhaziyT</t>
  </si>
  <si>
    <t>MharbiyT</t>
  </si>
  <si>
    <t>El-MharbiyT</t>
  </si>
  <si>
    <t>El-MaknouniyT</t>
  </si>
  <si>
    <t>Mjandel</t>
  </si>
  <si>
    <t>MaghdouchT</t>
  </si>
  <si>
    <t>Kfar MechkT</t>
  </si>
  <si>
    <t>Handab</t>
  </si>
  <si>
    <t>Sandoune</t>
  </si>
  <si>
    <t>HaytoulT</t>
  </si>
  <si>
    <t>HaitoulT</t>
  </si>
  <si>
    <t>HassaniyT</t>
  </si>
  <si>
    <t>Hantoura</t>
  </si>
  <si>
    <t>SniyT</t>
  </si>
  <si>
    <t>MtayriyT</t>
  </si>
  <si>
    <t>AkabT</t>
  </si>
  <si>
    <t>Anha</t>
  </si>
  <si>
    <t>SfentT</t>
  </si>
  <si>
    <t>El-RemmanT</t>
  </si>
  <si>
    <t>Kfar HounT</t>
  </si>
  <si>
    <t>Kefer-HounT</t>
  </si>
  <si>
    <t>Aain Et-TinT BG</t>
  </si>
  <si>
    <t>Ann-el-TinT</t>
  </si>
  <si>
    <t>Mazraat El-HoussainiyT</t>
  </si>
  <si>
    <t>El-HusseiniyT</t>
  </si>
  <si>
    <t>MaamriyT</t>
  </si>
  <si>
    <t>El-MhammariyT</t>
  </si>
  <si>
    <t>Haouch El QinnabT Rachaiya</t>
  </si>
  <si>
    <t>Haouche El-KannabT</t>
  </si>
  <si>
    <t>NajjariyT</t>
  </si>
  <si>
    <t>AadoussiyT</t>
  </si>
  <si>
    <t>ArkT</t>
  </si>
  <si>
    <t>Mandoune</t>
  </si>
  <si>
    <t>HajjT</t>
  </si>
  <si>
    <t>El-HajjT</t>
  </si>
  <si>
    <t>BissariyT</t>
  </si>
  <si>
    <t>Ann-Kana</t>
  </si>
  <si>
    <t>Mzaraat El-KhreibT</t>
  </si>
  <si>
    <t>Mazraat-el-KhreibT</t>
  </si>
  <si>
    <t>Ann-Boussouar</t>
  </si>
  <si>
    <t>Ann HorchT</t>
  </si>
  <si>
    <t>Marj Ez-Zouhour (Haouch El-QinnaabT)</t>
  </si>
  <si>
    <t>MerouaniyT</t>
  </si>
  <si>
    <t>El-MerwaniyT</t>
  </si>
  <si>
    <t>El-LouaizT</t>
  </si>
  <si>
    <t>AramtT</t>
  </si>
  <si>
    <t>IzzT</t>
  </si>
  <si>
    <t>Ann Aata</t>
  </si>
  <si>
    <t>BfarouT</t>
  </si>
  <si>
    <t>BfarwT</t>
  </si>
  <si>
    <t>HmailT</t>
  </si>
  <si>
    <t>Hmanla</t>
  </si>
  <si>
    <t>KTlia</t>
  </si>
  <si>
    <t>SaksakiyT</t>
  </si>
  <si>
    <t>STjoud</t>
  </si>
  <si>
    <t>DaoudiyT</t>
  </si>
  <si>
    <t>LoubiT</t>
  </si>
  <si>
    <t>NmairiyT</t>
  </si>
  <si>
    <t>NmTriyT</t>
  </si>
  <si>
    <t>BabliyT</t>
  </si>
  <si>
    <t>DellafT</t>
  </si>
  <si>
    <t>Al-DellafT</t>
  </si>
  <si>
    <t>InsariyT</t>
  </si>
  <si>
    <t>AnsariyT</t>
  </si>
  <si>
    <t>GhassaniyT</t>
  </si>
  <si>
    <t>CharqiyT</t>
  </si>
  <si>
    <t>El-CharkiyT</t>
  </si>
  <si>
    <t>AaychiyT</t>
  </si>
  <si>
    <t>AnchiyT</t>
  </si>
  <si>
    <t>Mazraat Louzid (LouayziyT)</t>
  </si>
  <si>
    <t>https://www.janobiyat.com/news128092/%D9%81%D9%8A-%D8%A7%D9%84%D9%86%D8%A8%D8%B7%D9%8A%D8%A9...-%D9%85%D8%AD%D8%A7%D8%B6%D8%B1-%D8%B6%D8%A8%D8%B7-%D9%88%D8%A3%D9%88%D8%A7%D9%85%D8%B1-%D9%85%D8%B9%D8%A7%D9%84%D8%AC%D8%A9-%D9%84%D9%84%D9%85%D8%B9%D8%A7%D9%8</t>
  </si>
  <si>
    <t>Ann Kinia</t>
  </si>
  <si>
    <t>OuardiyT</t>
  </si>
  <si>
    <t>El-WadiT</t>
  </si>
  <si>
    <t>Mazraat El-MhaydalT</t>
  </si>
  <si>
    <t>MohaidalT</t>
  </si>
  <si>
    <t>Maraat OuazaiyT</t>
  </si>
  <si>
    <t>Mazraat El OuazaaiyT</t>
  </si>
  <si>
    <t>HartiyT</t>
  </si>
  <si>
    <t>El HartiyT</t>
  </si>
  <si>
    <t>NabatiyT El-Tahta</t>
  </si>
  <si>
    <t>MahmoudiyT Jezzine</t>
  </si>
  <si>
    <t>Ann Jarfa</t>
  </si>
  <si>
    <t>HebbariyT</t>
  </si>
  <si>
    <t>El-HabbariyT</t>
  </si>
  <si>
    <t>DemachqiyT</t>
  </si>
  <si>
    <t>Mazraat El YahoudiyT (AaitaniyT)</t>
  </si>
  <si>
    <t>El-Frandice</t>
  </si>
  <si>
    <t>NabatiyT El-Faouka</t>
  </si>
  <si>
    <t>ZrariyT</t>
  </si>
  <si>
    <t>El-ZrariyT</t>
  </si>
  <si>
    <t>https://www.lebanon24.com/news/lebanon/1385268/%D9%88%D9%82%D9%81%D8%A9-%D8%A7%D8%AD%D8%AA%D8%AC%D8%A7%D8%AC%D9%8A%D8%A9-%D9%81%D9%8A-%D9%85%D8%B1%D8%AC%D8%B9%D9%8A%D9%88%D9%86-%D8%B1%D9%81%D8%B6%D9%8B%D8%A7-%D9%84%D8%AD%D8%B1%D9%82-%D8%A7%D9%84%D9%86%D9%</t>
  </si>
  <si>
    <t>KsaibT</t>
  </si>
  <si>
    <t>Ann Abou Abdallah</t>
  </si>
  <si>
    <t>NkhailT</t>
  </si>
  <si>
    <t>JazirT</t>
  </si>
  <si>
    <t>Zaoutar El-GharbiyT</t>
  </si>
  <si>
    <t>Sir El-GharbiyT</t>
  </si>
  <si>
    <t>Zaoutar Ech-CharqiyT</t>
  </si>
  <si>
    <t>Zaoutar El-CharkiyT</t>
  </si>
  <si>
    <t>TrafelsiyT</t>
  </si>
  <si>
    <t>Mahanlib</t>
  </si>
  <si>
    <t>HalloussiyT</t>
  </si>
  <si>
    <t>El-HTloussiyT</t>
  </si>
  <si>
    <t>Bint Jubail</t>
  </si>
  <si>
    <t>HmairT</t>
  </si>
  <si>
    <t>Deir STriane</t>
  </si>
  <si>
    <t>MajidiyT Hasbaiya</t>
  </si>
  <si>
    <t>El-MajidiyT</t>
  </si>
  <si>
    <t>Al-TanbT</t>
  </si>
  <si>
    <t>Tayr DebbT</t>
  </si>
  <si>
    <t>Tanr-Dabba</t>
  </si>
  <si>
    <t>GhandouriyT</t>
  </si>
  <si>
    <t>MaarakT</t>
  </si>
  <si>
    <t>MGarakT</t>
  </si>
  <si>
    <t>Slanyeb</t>
  </si>
  <si>
    <t>Borge El-ChTmali</t>
  </si>
  <si>
    <t>1 Palestinian individual from “Rachidiye” camp entered “Tal Zaatar” hospital, assaulted its employees and medical staff, and destroyed some facilities in the hospital’s reception due to a dispute over medical and administartive issues. No injuries were re</t>
  </si>
  <si>
    <t>NeftakhiyT</t>
  </si>
  <si>
    <t>NeffahiyT</t>
  </si>
  <si>
    <t>BazouriyT</t>
  </si>
  <si>
    <t>BafliyT</t>
  </si>
  <si>
    <t>Borj qalaouiyT</t>
  </si>
  <si>
    <t>Borge KalaouiyT</t>
  </si>
  <si>
    <t>DebhalT</t>
  </si>
  <si>
    <t>AadayssT Marjaayoun</t>
  </si>
  <si>
    <t>AdeicT</t>
  </si>
  <si>
    <t>QalaouiyT</t>
  </si>
  <si>
    <t>KalaouiyT</t>
  </si>
  <si>
    <t>ChehabiyT</t>
  </si>
  <si>
    <t>Ann Baal</t>
  </si>
  <si>
    <t>SouanT</t>
  </si>
  <si>
    <t>Antite</t>
  </si>
  <si>
    <t>HanawT</t>
  </si>
  <si>
    <t>Deir Kanoun Ras El Ann</t>
  </si>
  <si>
    <t>JmaijmT</t>
  </si>
  <si>
    <t>JmeijmT</t>
  </si>
  <si>
    <t>ChaaitiyT</t>
  </si>
  <si>
    <t>ChenetiyT</t>
  </si>
  <si>
    <t>QlailT Sour</t>
  </si>
  <si>
    <t>El-KleilT</t>
  </si>
  <si>
    <t>SoultaniyT</t>
  </si>
  <si>
    <t>KneissT</t>
  </si>
  <si>
    <t>RmadiyT</t>
  </si>
  <si>
    <t>HenniyT</t>
  </si>
  <si>
    <t>El-HenniyT</t>
  </si>
  <si>
    <t>AaziyT</t>
  </si>
  <si>
    <t>IzziT</t>
  </si>
  <si>
    <t>AaiyT</t>
  </si>
  <si>
    <t>Anta-el-Zut</t>
  </si>
  <si>
    <t>HaddacT</t>
  </si>
  <si>
    <t>Mhanbib</t>
  </si>
  <si>
    <t>El-Tanri</t>
  </si>
  <si>
    <t>SalhanT</t>
  </si>
  <si>
    <t>Ann-Ebel</t>
  </si>
  <si>
    <t>Antaroun</t>
  </si>
  <si>
    <t>https://www.elnashra.com/news/show/1732886/%D9%85%D9%8A%D8%A7%D9%87-%D9%84%D8%A8%D9%86%D8%A7%D9%86-%D8%A7%D9%84%D8%AC%D9%86%D9%88%D8%A8%D9%8A-%D8%AA%D8%B9%D8%B1%D8%B6-%D9%85%D8%AD%D8%B7%D8%A9-%D9%88%D8%A7%D8%AF%D9%8A-%D8%A7%D9%84%D8%B3%D9%84%D9%88%D9%82%D</t>
  </si>
  <si>
    <t>RamiT</t>
  </si>
  <si>
    <t>BtaychiyT</t>
  </si>
  <si>
    <t>Anta-el-Chaab</t>
  </si>
  <si>
    <t>Ann-el-Katmoune</t>
  </si>
  <si>
    <t>ACS_Codes</t>
  </si>
  <si>
    <t>Tension 
(Fill box w/ Tension Level, as 'Tension Key')</t>
  </si>
  <si>
    <t>Low</t>
  </si>
  <si>
    <t>No Tension/No Record</t>
  </si>
  <si>
    <t>Moderate</t>
  </si>
  <si>
    <t>High</t>
  </si>
  <si>
    <t>SWM issues continue to be reported in the area</t>
  </si>
  <si>
    <t>Tension between the community and Syrians celebrating the fall of the regime in syria - situation to be monitored</t>
  </si>
  <si>
    <t>Unemployment rate</t>
  </si>
  <si>
    <t>القضاء</t>
  </si>
  <si>
    <t>معدل البطالة</t>
  </si>
  <si>
    <t>Women</t>
  </si>
  <si>
    <t>Men</t>
  </si>
  <si>
    <t xml:space="preserve">Lebanon </t>
  </si>
  <si>
    <t>نساء</t>
  </si>
  <si>
    <t>رجال</t>
  </si>
  <si>
    <t xml:space="preserve">لبنان </t>
  </si>
  <si>
    <t>بيروت</t>
  </si>
  <si>
    <t>بعبدا</t>
  </si>
  <si>
    <t>Matn</t>
  </si>
  <si>
    <t>المتن</t>
  </si>
  <si>
    <t>الشوف</t>
  </si>
  <si>
    <t>عاليه</t>
  </si>
  <si>
    <t>Keserwan</t>
  </si>
  <si>
    <t>كسروان</t>
  </si>
  <si>
    <t>جبيل</t>
  </si>
  <si>
    <t>طرابلس</t>
  </si>
  <si>
    <t>الكورة</t>
  </si>
  <si>
    <t>زغرتا</t>
  </si>
  <si>
    <t>البترون</t>
  </si>
  <si>
    <t>عكار</t>
  </si>
  <si>
    <t>بشري</t>
  </si>
  <si>
    <t>المنية - الضنية</t>
  </si>
  <si>
    <t>زحلة</t>
  </si>
  <si>
    <t>البقاع الغربي</t>
  </si>
  <si>
    <t>بعلبك</t>
  </si>
  <si>
    <t>الهرمل</t>
  </si>
  <si>
    <t>راشيا</t>
  </si>
  <si>
    <t>صيدا</t>
  </si>
  <si>
    <t>صور</t>
  </si>
  <si>
    <t>جزين</t>
  </si>
  <si>
    <t>النبطية</t>
  </si>
  <si>
    <t>بنت جبيل</t>
  </si>
  <si>
    <t>مرجعيون</t>
  </si>
  <si>
    <t>حاصبيا</t>
  </si>
  <si>
    <t>Dist Name</t>
  </si>
  <si>
    <t>Bsharri</t>
  </si>
  <si>
    <t>Marjeyoun</t>
  </si>
  <si>
    <t>Miniyeh-Danniyeh</t>
  </si>
  <si>
    <t>Nabatiyeh</t>
  </si>
  <si>
    <t>Rashaya</t>
  </si>
  <si>
    <t>Sidon</t>
  </si>
  <si>
    <t>Tyre</t>
  </si>
  <si>
    <t>Western Beqaa</t>
  </si>
  <si>
    <t>HDS</t>
  </si>
  <si>
    <t>Coping4</t>
  </si>
  <si>
    <t>Coping5</t>
  </si>
  <si>
    <t>Coping6</t>
  </si>
  <si>
    <t>Coping7</t>
  </si>
  <si>
    <t>Coping8</t>
  </si>
  <si>
    <t>Coping9</t>
  </si>
  <si>
    <t>Coping10</t>
  </si>
  <si>
    <t>Coping11</t>
  </si>
  <si>
    <t>ADM2_Name</t>
  </si>
  <si>
    <t>Beyrouth</t>
  </si>
  <si>
    <t>Bent Jbail</t>
  </si>
  <si>
    <t>Kesrouane</t>
  </si>
  <si>
    <t>Marjayoun</t>
  </si>
  <si>
    <t>Minie-Danniye</t>
  </si>
  <si>
    <t>Bekaa Ouest</t>
  </si>
  <si>
    <t>Nighttime light radiance</t>
  </si>
  <si>
    <t>Food insecurity level (IPC)</t>
  </si>
  <si>
    <t>Population dependency ratio</t>
  </si>
  <si>
    <t>Negative coping tendency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</si>
</sst>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1"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ptos Narrow"/>
      <family val="2"/>
      <scheme val="minor"/>
    </font>
    <font>
      <b/>
      <sz val="11"/>
      <name val="Aptos Narrow"/>
      <family val="2"/>
      <scheme val="minor"/>
    </font>
    <font>
      <sz val="10"/>
      <color theme="1"/>
      <name val="Calibri"/>
      <family val="2"/>
    </font>
    <font>
      <sz val="10"/>
      <name val="Calibri"/>
      <family val="2"/>
    </font>
    <font>
      <sz val="10"/>
      <color theme="1"/>
      <name val="Aptos Narrow"/>
      <family val="1"/>
      <scheme val="minor"/>
    </font>
    <font>
      <sz val="10"/>
      <name val="Aptos Narrow"/>
      <family val="1"/>
      <scheme val="minor"/>
    </font>
    <font>
      <sz val="10"/>
      <color rgb="FF000000"/>
      <name val="Aptos Narrow"/>
      <family val="1"/>
      <scheme val="minor"/>
    </font>
    <font>
      <b/>
      <sz val="11"/>
      <name val="Aptos Narrow"/>
      <family val="2"/>
    </font>
    <font>
      <sz val="11"/>
      <color theme="1"/>
      <name val="Calibri"/>
      <family val="2"/>
    </font>
    <font>
      <sz val="11"/>
      <name val="Calibri"/>
      <family val="2"/>
    </font>
    <font>
      <b/>
      <sz val="16"/>
      <color theme="1"/>
      <name val="Calibri"/>
      <family val="2"/>
    </font>
    <font>
      <b/>
      <sz val="11"/>
      <color theme="1"/>
      <name val="Calibri"/>
      <family val="2"/>
    </font>
    <font>
      <b/>
      <sz val="11"/>
      <color rgb="FF000000"/>
      <name val="Calibri"/>
      <family val="2"/>
    </font>
    <font>
      <sz val="11"/>
      <color rgb="FF000000"/>
      <name val="Aptos Narrow"/>
      <family val="2"/>
      <scheme val="minor"/>
    </font>
    <font>
      <b/>
      <sz val="11"/>
      <color rgb="FF000000"/>
      <name val="Aptos Narrow"/>
      <family val="2"/>
      <scheme val="minor"/>
    </font>
    <font>
      <b/>
      <sz val="11"/>
      <name val="Calibri"/>
      <family val="2"/>
    </font>
    <font>
      <sz val="11"/>
      <color rgb="FF000000"/>
      <name val="Calibri"/>
      <family val="2"/>
    </font>
    <font>
      <sz val="11"/>
      <color theme="1"/>
      <name val="Aptos Display"/>
      <family val="2"/>
      <scheme val="major"/>
    </font>
    <font>
      <sz val="11"/>
      <color theme="1"/>
      <name val="Segoe UI"/>
      <family val="2"/>
    </font>
    <font>
      <b/>
      <sz val="14"/>
      <color theme="0"/>
      <name val="Segoe UI"/>
      <family val="2"/>
    </font>
    <font>
      <sz val="11"/>
      <color theme="1"/>
      <name val="Arial"/>
      <family val="2"/>
    </font>
    <font>
      <sz val="11"/>
      <color theme="1"/>
      <name val="Times New Roman"/>
      <family val="1"/>
    </font>
    <font>
      <b/>
      <sz val="10"/>
      <color rgb="FF000000"/>
      <name val="Times New Roman"/>
      <family val="1"/>
    </font>
    <font>
      <sz val="10"/>
      <name val="Times New Roman"/>
      <family val="1"/>
    </font>
    <font>
      <sz val="10"/>
      <color rgb="FF000000"/>
      <name val="Times New Roman"/>
      <family val="1"/>
    </font>
    <font>
      <b/>
      <sz val="12"/>
      <color rgb="FF000000"/>
      <name val="Times New Roman"/>
      <family val="1"/>
    </font>
    <font>
      <sz val="12"/>
      <color theme="1"/>
      <name val="Aptos Narrow"/>
      <family val="2"/>
      <scheme val="minor"/>
    </font>
    <font>
      <sz val="8"/>
      <name val="Aptos Narrow"/>
      <family val="2"/>
      <scheme val="minor"/>
    </font>
  </fonts>
  <fills count="26">
    <fill>
      <patternFill patternType="none"/>
    </fill>
    <fill>
      <patternFill patternType="gray125"/>
    </fill>
    <fill>
      <patternFill patternType="solid">
        <fgColor theme="8" tint="0.39997558519241921"/>
        <bgColor indexed="65"/>
      </patternFill>
    </fill>
    <fill>
      <patternFill patternType="solid">
        <fgColor theme="4" tint="0.79998168889431442"/>
        <bgColor theme="4" tint="0.79998168889431442"/>
      </patternFill>
    </fill>
    <fill>
      <patternFill patternType="solid">
        <fgColor theme="4" tint="-0.249977111117893"/>
        <bgColor indexed="64"/>
      </patternFill>
    </fill>
    <fill>
      <patternFill patternType="solid">
        <fgColor rgb="FF0070C0"/>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FF00"/>
        <bgColor theme="4" tint="0.79998168889431442"/>
      </patternFill>
    </fill>
    <fill>
      <patternFill patternType="solid">
        <fgColor rgb="FF92D050"/>
        <bgColor theme="4" tint="0.79998168889431442"/>
      </patternFill>
    </fill>
    <fill>
      <patternFill patternType="solid">
        <fgColor rgb="FFFF0000"/>
        <bgColor theme="4" tint="0.79998168889431442"/>
      </patternFill>
    </fill>
    <fill>
      <patternFill patternType="solid">
        <fgColor theme="7" tint="0.59999389629810485"/>
        <bgColor indexed="64"/>
      </patternFill>
    </fill>
    <fill>
      <patternFill patternType="solid">
        <fgColor theme="9" tint="0.59999389629810485"/>
        <bgColor indexed="64"/>
      </patternFill>
    </fill>
    <fill>
      <patternFill patternType="solid">
        <fgColor rgb="FF00B0F0"/>
        <bgColor indexed="64"/>
      </patternFill>
    </fill>
    <fill>
      <patternFill patternType="solid">
        <fgColor rgb="FFFBE4D5"/>
        <bgColor rgb="FFFBE4D5"/>
      </patternFill>
    </fill>
    <fill>
      <patternFill patternType="solid">
        <fgColor rgb="FFFEF2CB"/>
        <bgColor rgb="FFFEF2CB"/>
      </patternFill>
    </fill>
    <fill>
      <patternFill patternType="solid">
        <fgColor rgb="FFDEEAF6"/>
        <bgColor rgb="FFDEEAF6"/>
      </patternFill>
    </fill>
    <fill>
      <patternFill patternType="solid">
        <fgColor theme="0"/>
        <bgColor theme="0"/>
      </patternFill>
    </fill>
    <fill>
      <patternFill patternType="solid">
        <fgColor rgb="FFE06666"/>
        <bgColor rgb="FFE06666"/>
      </patternFill>
    </fill>
    <fill>
      <patternFill patternType="solid">
        <fgColor rgb="FFE2EFDA"/>
        <bgColor rgb="FF000000"/>
      </patternFill>
    </fill>
    <fill>
      <patternFill patternType="solid">
        <fgColor theme="0"/>
        <bgColor indexed="64"/>
      </patternFill>
    </fill>
    <fill>
      <patternFill patternType="solid">
        <fgColor rgb="FF0070C0"/>
        <bgColor theme="4" tint="-0.249977111117893"/>
      </patternFill>
    </fill>
    <fill>
      <patternFill patternType="solid">
        <fgColor theme="9"/>
        <bgColor indexed="64"/>
      </patternFill>
    </fill>
    <fill>
      <patternFill patternType="solid">
        <fgColor rgb="FFB8CCE4"/>
        <bgColor rgb="FF000000"/>
      </patternFill>
    </fill>
    <fill>
      <patternFill patternType="solid">
        <fgColor theme="8" tint="0.79998168889431442"/>
        <bgColor indexed="64"/>
      </patternFill>
    </fill>
  </fills>
  <borders count="4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medium">
        <color indexed="64"/>
      </left>
      <right style="dotted">
        <color indexed="64"/>
      </right>
      <top style="medium">
        <color indexed="64"/>
      </top>
      <bottom/>
      <diagonal/>
    </border>
    <border>
      <left/>
      <right/>
      <top style="medium">
        <color indexed="64"/>
      </top>
      <bottom/>
      <diagonal/>
    </border>
    <border>
      <left/>
      <right/>
      <top style="medium">
        <color indexed="64"/>
      </top>
      <bottom style="thin">
        <color indexed="64"/>
      </bottom>
      <diagonal/>
    </border>
    <border>
      <left style="dotted">
        <color indexed="64"/>
      </left>
      <right style="medium">
        <color indexed="64"/>
      </right>
      <top style="medium">
        <color indexed="64"/>
      </top>
      <bottom/>
      <diagonal/>
    </border>
    <border>
      <left style="medium">
        <color indexed="64"/>
      </left>
      <right style="dotted">
        <color indexed="64"/>
      </right>
      <top/>
      <bottom/>
      <diagonal/>
    </border>
    <border>
      <left style="dotted">
        <color indexed="64"/>
      </left>
      <right/>
      <top style="thin">
        <color indexed="64"/>
      </top>
      <bottom style="thin">
        <color indexed="64"/>
      </bottom>
      <diagonal/>
    </border>
    <border>
      <left/>
      <right/>
      <top style="thin">
        <color indexed="64"/>
      </top>
      <bottom style="thin">
        <color indexed="64"/>
      </bottom>
      <diagonal/>
    </border>
    <border>
      <left/>
      <right style="dotted">
        <color indexed="64"/>
      </right>
      <top style="thin">
        <color indexed="64"/>
      </top>
      <bottom style="thin">
        <color indexed="64"/>
      </bottom>
      <diagonal/>
    </border>
    <border>
      <left style="dotted">
        <color indexed="64"/>
      </left>
      <right style="medium">
        <color indexed="64"/>
      </right>
      <top/>
      <bottom/>
      <diagonal/>
    </border>
    <border>
      <left/>
      <right style="dashed">
        <color indexed="64"/>
      </right>
      <top/>
      <bottom style="thin">
        <color indexed="64"/>
      </bottom>
      <diagonal/>
    </border>
    <border>
      <left style="dashed">
        <color indexed="64"/>
      </left>
      <right style="dashed">
        <color indexed="64"/>
      </right>
      <top/>
      <bottom style="thin">
        <color indexed="64"/>
      </bottom>
      <diagonal/>
    </border>
    <border>
      <left style="dashed">
        <color indexed="64"/>
      </left>
      <right/>
      <top/>
      <bottom style="thin">
        <color indexed="64"/>
      </bottom>
      <diagonal/>
    </border>
    <border>
      <left style="medium">
        <color indexed="64"/>
      </left>
      <right style="dotted">
        <color indexed="64"/>
      </right>
      <top/>
      <bottom style="thin">
        <color indexed="64"/>
      </bottom>
      <diagonal/>
    </border>
    <border>
      <left/>
      <right style="dashed">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dotted">
        <color indexed="64"/>
      </left>
      <right style="medium">
        <color indexed="64"/>
      </right>
      <top/>
      <bottom style="thin">
        <color indexed="64"/>
      </bottom>
      <diagonal/>
    </border>
    <border>
      <left style="medium">
        <color indexed="64"/>
      </left>
      <right style="dashed">
        <color indexed="64"/>
      </right>
      <top style="thin">
        <color indexed="64"/>
      </top>
      <bottom style="thin">
        <color indexed="64"/>
      </bottom>
      <diagonal/>
    </border>
    <border>
      <left style="dotted">
        <color indexed="64"/>
      </left>
      <right style="medium">
        <color indexed="64"/>
      </right>
      <top style="thin">
        <color indexed="64"/>
      </top>
      <bottom style="thin">
        <color indexed="64"/>
      </bottom>
      <diagonal/>
    </border>
    <border>
      <left style="dashed">
        <color indexed="64"/>
      </left>
      <right style="medium">
        <color indexed="64"/>
      </right>
      <top style="thin">
        <color indexed="64"/>
      </top>
      <bottom style="thin">
        <color indexed="64"/>
      </bottom>
      <diagonal/>
    </border>
    <border>
      <left style="medium">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thin">
        <color indexed="64"/>
      </left>
      <right/>
      <top/>
      <bottom/>
      <diagonal/>
    </border>
    <border>
      <left/>
      <right/>
      <top/>
      <bottom style="thick">
        <color indexed="64"/>
      </bottom>
      <diagonal/>
    </border>
  </borders>
  <cellStyleXfs count="4">
    <xf numFmtId="0" fontId="0" fillId="0" borderId="0"/>
    <xf numFmtId="0" fontId="1" fillId="2" borderId="0" applyNumberFormat="0" applyBorder="0" applyAlignment="0" applyProtection="0"/>
    <xf numFmtId="9" fontId="1" fillId="0" borderId="0" applyFont="0" applyFill="0" applyBorder="0" applyAlignment="0" applyProtection="0"/>
    <xf numFmtId="0" fontId="29" fillId="0" borderId="0"/>
  </cellStyleXfs>
  <cellXfs count="139">
    <xf numFmtId="0" fontId="0" fillId="0" borderId="0" xfId="0"/>
    <xf numFmtId="0" fontId="0" fillId="0" borderId="0" xfId="0" applyAlignment="1">
      <alignment horizontal="left" vertical="center" indent="1"/>
    </xf>
    <xf numFmtId="0" fontId="3" fillId="3" borderId="1" xfId="0" applyFont="1" applyFill="1" applyBorder="1"/>
    <xf numFmtId="0" fontId="3" fillId="0" borderId="1" xfId="0" applyFont="1" applyBorder="1"/>
    <xf numFmtId="0" fontId="3" fillId="0" borderId="1" xfId="0" applyFont="1" applyBorder="1" applyAlignment="1">
      <alignment horizontal="right"/>
    </xf>
    <xf numFmtId="0" fontId="3" fillId="3" borderId="1" xfId="0" applyFont="1" applyFill="1" applyBorder="1" applyAlignment="1">
      <alignment horizontal="right"/>
    </xf>
    <xf numFmtId="0" fontId="3" fillId="3" borderId="2" xfId="0" applyFont="1" applyFill="1" applyBorder="1"/>
    <xf numFmtId="0" fontId="3" fillId="0" borderId="2" xfId="0" applyFont="1" applyBorder="1"/>
    <xf numFmtId="0" fontId="0" fillId="0" borderId="0" xfId="0" applyAlignment="1">
      <alignment horizontal="center"/>
    </xf>
    <xf numFmtId="0" fontId="0" fillId="0" borderId="0" xfId="0" applyAlignment="1">
      <alignment horizontal="left" vertical="center"/>
    </xf>
    <xf numFmtId="0" fontId="4" fillId="2" borderId="2" xfId="1" applyFont="1" applyBorder="1" applyAlignment="1">
      <alignment horizontal="center" vertical="center" wrapText="1"/>
    </xf>
    <xf numFmtId="0" fontId="4" fillId="2" borderId="1" xfId="1" applyFont="1" applyBorder="1" applyAlignment="1">
      <alignment horizontal="center" vertical="center" wrapText="1"/>
    </xf>
    <xf numFmtId="0" fontId="0" fillId="4" borderId="3" xfId="0" applyFill="1" applyBorder="1" applyAlignment="1">
      <alignment horizontal="left" vertical="top"/>
    </xf>
    <xf numFmtId="0" fontId="0" fillId="0" borderId="3" xfId="0" applyBorder="1" applyAlignment="1">
      <alignment horizontal="left" vertical="top"/>
    </xf>
    <xf numFmtId="0" fontId="0" fillId="5" borderId="3" xfId="0" applyFill="1" applyBorder="1" applyAlignment="1">
      <alignment horizontal="left" vertical="top"/>
    </xf>
    <xf numFmtId="0" fontId="0" fillId="6" borderId="3" xfId="0" applyFill="1" applyBorder="1" applyAlignment="1">
      <alignment horizontal="left" vertical="top"/>
    </xf>
    <xf numFmtId="0" fontId="0" fillId="7" borderId="3" xfId="0" applyFill="1" applyBorder="1" applyAlignment="1">
      <alignment horizontal="left" vertical="top"/>
    </xf>
    <xf numFmtId="0" fontId="0" fillId="8" borderId="3" xfId="0" applyFill="1" applyBorder="1" applyAlignment="1">
      <alignment horizontal="left" vertical="top"/>
    </xf>
    <xf numFmtId="0" fontId="5" fillId="9" borderId="2" xfId="0" applyFont="1" applyFill="1" applyBorder="1" applyAlignment="1">
      <alignment horizontal="left" vertical="top"/>
    </xf>
    <xf numFmtId="0" fontId="6" fillId="10" borderId="2" xfId="0" applyFont="1" applyFill="1" applyBorder="1" applyAlignment="1">
      <alignment horizontal="left"/>
    </xf>
    <xf numFmtId="0" fontId="7" fillId="11" borderId="2" xfId="0" applyFont="1" applyFill="1" applyBorder="1" applyAlignment="1">
      <alignment horizontal="left" vertical="top"/>
    </xf>
    <xf numFmtId="0" fontId="0" fillId="12" borderId="3" xfId="0" applyFill="1" applyBorder="1" applyAlignment="1">
      <alignment horizontal="left" vertical="top"/>
    </xf>
    <xf numFmtId="0" fontId="5" fillId="10" borderId="2" xfId="0" applyFont="1" applyFill="1" applyBorder="1" applyAlignment="1">
      <alignment horizontal="left" vertical="top"/>
    </xf>
    <xf numFmtId="0" fontId="8" fillId="6" borderId="3" xfId="0" applyFont="1" applyFill="1" applyBorder="1" applyAlignment="1">
      <alignment horizontal="left" vertical="top"/>
    </xf>
    <xf numFmtId="0" fontId="7" fillId="7" borderId="2" xfId="0" applyFont="1" applyFill="1" applyBorder="1" applyAlignment="1">
      <alignment horizontal="left" vertical="top"/>
    </xf>
    <xf numFmtId="0" fontId="5" fillId="11" borderId="2" xfId="0" applyFont="1" applyFill="1" applyBorder="1" applyAlignment="1">
      <alignment horizontal="left" vertical="top"/>
    </xf>
    <xf numFmtId="0" fontId="5" fillId="10" borderId="2" xfId="0" applyFont="1" applyFill="1" applyBorder="1" applyAlignment="1">
      <alignment horizontal="left"/>
    </xf>
    <xf numFmtId="0" fontId="9" fillId="7" borderId="3" xfId="0" applyFont="1" applyFill="1" applyBorder="1" applyAlignment="1">
      <alignment horizontal="left" vertical="top"/>
    </xf>
    <xf numFmtId="0" fontId="7" fillId="10" borderId="2" xfId="0" applyFont="1" applyFill="1" applyBorder="1" applyAlignment="1">
      <alignment horizontal="left" vertical="top"/>
    </xf>
    <xf numFmtId="0" fontId="0" fillId="0" borderId="0" xfId="0" applyAlignment="1">
      <alignment horizontal="left" vertical="top"/>
    </xf>
    <xf numFmtId="0" fontId="9" fillId="13" borderId="0" xfId="0" applyFont="1" applyFill="1" applyAlignment="1">
      <alignment horizontal="left" vertical="top"/>
    </xf>
    <xf numFmtId="0" fontId="9" fillId="7" borderId="0" xfId="0" applyFont="1" applyFill="1" applyAlignment="1">
      <alignment horizontal="left" vertical="top"/>
    </xf>
    <xf numFmtId="0" fontId="0" fillId="7" borderId="0" xfId="0" applyFill="1" applyAlignment="1">
      <alignment horizontal="left" vertical="top"/>
    </xf>
    <xf numFmtId="0" fontId="0" fillId="14" borderId="0" xfId="0" applyFill="1" applyAlignment="1">
      <alignment horizontal="left" vertical="top"/>
    </xf>
    <xf numFmtId="0" fontId="0" fillId="0" borderId="4" xfId="0" applyBorder="1"/>
    <xf numFmtId="0" fontId="10" fillId="0" borderId="0" xfId="0" applyFont="1"/>
    <xf numFmtId="0" fontId="12" fillId="0" borderId="7" xfId="0" applyFont="1" applyBorder="1"/>
    <xf numFmtId="0" fontId="12" fillId="0" borderId="13" xfId="0" applyFont="1" applyBorder="1"/>
    <xf numFmtId="0" fontId="14" fillId="0" borderId="14" xfId="0" applyFont="1" applyBorder="1" applyAlignment="1">
      <alignment horizontal="center"/>
    </xf>
    <xf numFmtId="0" fontId="4" fillId="2" borderId="0" xfId="1" applyFont="1" applyBorder="1" applyAlignment="1" applyProtection="1">
      <alignment horizontal="center" vertical="center" wrapText="1"/>
    </xf>
    <xf numFmtId="0" fontId="14" fillId="15" borderId="14" xfId="0" applyFont="1" applyFill="1" applyBorder="1" applyAlignment="1">
      <alignment horizontal="center" vertical="center" wrapText="1"/>
    </xf>
    <xf numFmtId="0" fontId="14" fillId="16" borderId="14" xfId="0" applyFont="1" applyFill="1" applyBorder="1" applyAlignment="1">
      <alignment horizontal="center" vertical="center" wrapText="1"/>
    </xf>
    <xf numFmtId="0" fontId="14" fillId="17" borderId="14" xfId="0" applyFont="1" applyFill="1" applyBorder="1" applyAlignment="1">
      <alignment horizontal="center" vertical="center" wrapText="1"/>
    </xf>
    <xf numFmtId="0" fontId="15" fillId="0" borderId="14" xfId="0" applyFont="1" applyBorder="1" applyAlignment="1">
      <alignment horizontal="center"/>
    </xf>
    <xf numFmtId="0" fontId="1" fillId="15" borderId="14" xfId="0" applyFont="1" applyFill="1" applyBorder="1" applyAlignment="1">
      <alignment horizontal="center"/>
    </xf>
    <xf numFmtId="0" fontId="11" fillId="16" borderId="14" xfId="0" applyFont="1" applyFill="1" applyBorder="1" applyAlignment="1">
      <alignment horizontal="center"/>
    </xf>
    <xf numFmtId="0" fontId="1" fillId="16" borderId="14" xfId="0" applyFont="1" applyFill="1" applyBorder="1" applyAlignment="1">
      <alignment horizontal="center"/>
    </xf>
    <xf numFmtId="0" fontId="1" fillId="17" borderId="14" xfId="0" applyFont="1" applyFill="1" applyBorder="1" applyAlignment="1">
      <alignment horizontal="center"/>
    </xf>
    <xf numFmtId="0" fontId="14" fillId="0" borderId="14" xfId="0" applyFont="1" applyBorder="1" applyAlignment="1">
      <alignment horizontal="center" wrapText="1"/>
    </xf>
    <xf numFmtId="0" fontId="11" fillId="15" borderId="14" xfId="0" applyFont="1" applyFill="1" applyBorder="1" applyAlignment="1">
      <alignment horizontal="center" wrapText="1"/>
    </xf>
    <xf numFmtId="0" fontId="1" fillId="15" borderId="14" xfId="0" applyFont="1" applyFill="1" applyBorder="1" applyAlignment="1">
      <alignment horizontal="center" wrapText="1"/>
    </xf>
    <xf numFmtId="0" fontId="11" fillId="16" borderId="14" xfId="0" applyFont="1" applyFill="1" applyBorder="1" applyAlignment="1">
      <alignment horizontal="center" wrapText="1"/>
    </xf>
    <xf numFmtId="0" fontId="1" fillId="16" borderId="14" xfId="0" applyFont="1" applyFill="1" applyBorder="1" applyAlignment="1">
      <alignment horizontal="center" wrapText="1"/>
    </xf>
    <xf numFmtId="0" fontId="11" fillId="17" borderId="14" xfId="0" applyFont="1" applyFill="1" applyBorder="1" applyAlignment="1">
      <alignment horizontal="center" wrapText="1"/>
    </xf>
    <xf numFmtId="0" fontId="1" fillId="17" borderId="14" xfId="0" applyFont="1" applyFill="1" applyBorder="1" applyAlignment="1">
      <alignment horizontal="center" wrapText="1"/>
    </xf>
    <xf numFmtId="0" fontId="2" fillId="18" borderId="14" xfId="0" applyFont="1" applyFill="1" applyBorder="1" applyAlignment="1">
      <alignment horizontal="center"/>
    </xf>
    <xf numFmtId="0" fontId="0" fillId="15" borderId="14" xfId="0" applyFill="1" applyBorder="1" applyAlignment="1">
      <alignment horizontal="center"/>
    </xf>
    <xf numFmtId="0" fontId="16" fillId="15" borderId="14" xfId="0" applyFont="1" applyFill="1" applyBorder="1" applyAlignment="1">
      <alignment horizontal="center"/>
    </xf>
    <xf numFmtId="0" fontId="0" fillId="16" borderId="14" xfId="0" applyFill="1" applyBorder="1" applyAlignment="1">
      <alignment horizontal="center"/>
    </xf>
    <xf numFmtId="0" fontId="0" fillId="17" borderId="14" xfId="0" applyFill="1" applyBorder="1" applyAlignment="1">
      <alignment horizontal="center"/>
    </xf>
    <xf numFmtId="0" fontId="17" fillId="18" borderId="14" xfId="0" applyFont="1" applyFill="1" applyBorder="1" applyAlignment="1">
      <alignment horizontal="center" vertical="center"/>
    </xf>
    <xf numFmtId="0" fontId="16" fillId="16" borderId="14" xfId="0" applyFont="1" applyFill="1" applyBorder="1" applyAlignment="1">
      <alignment horizontal="center"/>
    </xf>
    <xf numFmtId="0" fontId="16" fillId="17" borderId="14" xfId="0" applyFont="1" applyFill="1" applyBorder="1" applyAlignment="1">
      <alignment horizontal="center"/>
    </xf>
    <xf numFmtId="0" fontId="1" fillId="16" borderId="0" xfId="0" applyFont="1" applyFill="1" applyAlignment="1">
      <alignment horizontal="center"/>
    </xf>
    <xf numFmtId="0" fontId="2" fillId="0" borderId="14" xfId="0" applyFont="1" applyBorder="1" applyAlignment="1">
      <alignment horizontal="center"/>
    </xf>
    <xf numFmtId="0" fontId="2" fillId="19" borderId="14" xfId="0" applyFont="1" applyFill="1" applyBorder="1" applyAlignment="1">
      <alignment horizontal="center"/>
    </xf>
    <xf numFmtId="0" fontId="14" fillId="17" borderId="16" xfId="0" applyFont="1" applyFill="1" applyBorder="1" applyAlignment="1">
      <alignment horizontal="center" vertical="center" wrapText="1"/>
    </xf>
    <xf numFmtId="0" fontId="18" fillId="0" borderId="3" xfId="0" applyFont="1" applyBorder="1" applyAlignment="1">
      <alignment horizontal="center" vertical="center"/>
    </xf>
    <xf numFmtId="0" fontId="12" fillId="0" borderId="3" xfId="0" applyFont="1" applyBorder="1" applyAlignment="1">
      <alignment horizontal="center" vertical="center"/>
    </xf>
    <xf numFmtId="0" fontId="18" fillId="0" borderId="3" xfId="0" applyFont="1" applyBorder="1" applyAlignment="1">
      <alignment horizontal="left" vertical="top"/>
    </xf>
    <xf numFmtId="0" fontId="18" fillId="0" borderId="3" xfId="0" applyFont="1" applyBorder="1" applyAlignment="1">
      <alignment horizontal="right" vertical="center"/>
    </xf>
    <xf numFmtId="0" fontId="18" fillId="0" borderId="0" xfId="0" applyFont="1" applyAlignment="1">
      <alignment horizontal="center" vertical="center"/>
    </xf>
    <xf numFmtId="0" fontId="20" fillId="0" borderId="0" xfId="0" applyFont="1" applyAlignment="1">
      <alignment horizontal="left" vertical="top"/>
    </xf>
    <xf numFmtId="0" fontId="20" fillId="0" borderId="0" xfId="0" applyFont="1" applyAlignment="1">
      <alignment horizontal="right"/>
    </xf>
    <xf numFmtId="0" fontId="19" fillId="20" borderId="0" xfId="0" applyFont="1" applyFill="1"/>
    <xf numFmtId="0" fontId="20" fillId="0" borderId="0" xfId="0" applyFont="1"/>
    <xf numFmtId="14" fontId="0" fillId="0" borderId="0" xfId="0" applyNumberFormat="1"/>
    <xf numFmtId="0" fontId="0" fillId="0" borderId="0" xfId="0" applyAlignment="1">
      <alignment wrapText="1"/>
    </xf>
    <xf numFmtId="0" fontId="22" fillId="22" borderId="17" xfId="0" applyFont="1" applyFill="1" applyBorder="1" applyAlignment="1">
      <alignment horizontal="center" vertical="center"/>
    </xf>
    <xf numFmtId="0" fontId="21" fillId="21" borderId="3" xfId="0" applyFont="1" applyFill="1" applyBorder="1" applyAlignment="1">
      <alignment horizontal="center" vertical="center"/>
    </xf>
    <xf numFmtId="0" fontId="23" fillId="21" borderId="3" xfId="0" applyFont="1" applyFill="1" applyBorder="1" applyAlignment="1">
      <alignment horizontal="center" vertical="center"/>
    </xf>
    <xf numFmtId="0" fontId="0" fillId="21" borderId="3" xfId="0" applyFill="1" applyBorder="1" applyAlignment="1">
      <alignment horizontal="center" vertical="center"/>
    </xf>
    <xf numFmtId="0" fontId="21" fillId="0" borderId="3" xfId="0" applyFont="1" applyBorder="1" applyAlignment="1">
      <alignment horizontal="center" vertical="center"/>
    </xf>
    <xf numFmtId="0" fontId="21" fillId="23" borderId="3" xfId="0" applyFont="1" applyFill="1" applyBorder="1" applyAlignment="1">
      <alignment horizontal="center" vertical="center"/>
    </xf>
    <xf numFmtId="0" fontId="23" fillId="0" borderId="3" xfId="0" applyFont="1" applyBorder="1" applyAlignment="1">
      <alignment horizontal="center" vertical="center"/>
    </xf>
    <xf numFmtId="0" fontId="23" fillId="0" borderId="3" xfId="0" applyFont="1" applyBorder="1" applyAlignment="1">
      <alignment vertical="center"/>
    </xf>
    <xf numFmtId="0" fontId="23" fillId="0" borderId="3" xfId="0" applyFont="1" applyBorder="1" applyAlignment="1">
      <alignment horizontal="center" vertical="center" wrapText="1"/>
    </xf>
    <xf numFmtId="0" fontId="0" fillId="0" borderId="3" xfId="0" applyBorder="1" applyAlignment="1">
      <alignment horizontal="center" vertical="center"/>
    </xf>
    <xf numFmtId="0" fontId="21" fillId="0" borderId="3" xfId="0" applyFont="1" applyBorder="1" applyAlignment="1" applyProtection="1">
      <alignment horizontal="center" vertical="center"/>
      <protection locked="0"/>
    </xf>
    <xf numFmtId="0" fontId="24" fillId="0" borderId="3" xfId="0" applyFont="1" applyBorder="1" applyAlignment="1" applyProtection="1">
      <alignment horizontal="center" vertical="center"/>
      <protection locked="0"/>
    </xf>
    <xf numFmtId="0" fontId="21" fillId="0" borderId="3" xfId="0" applyFont="1" applyBorder="1" applyAlignment="1" applyProtection="1">
      <alignment horizontal="left" vertical="top"/>
      <protection locked="0"/>
    </xf>
    <xf numFmtId="0" fontId="0" fillId="0" borderId="3" xfId="0" applyBorder="1" applyProtection="1">
      <protection locked="0"/>
    </xf>
    <xf numFmtId="0" fontId="16" fillId="0" borderId="3" xfId="0" applyFont="1" applyBorder="1" applyAlignment="1" applyProtection="1">
      <alignment vertical="top"/>
      <protection locked="0"/>
    </xf>
    <xf numFmtId="0" fontId="25" fillId="24" borderId="19" xfId="0" applyFont="1" applyFill="1" applyBorder="1"/>
    <xf numFmtId="0" fontId="25" fillId="24" borderId="20" xfId="0" applyFont="1" applyFill="1" applyBorder="1"/>
    <xf numFmtId="0" fontId="25" fillId="24" borderId="23" xfId="0" applyFont="1" applyFill="1" applyBorder="1"/>
    <xf numFmtId="0" fontId="25" fillId="24" borderId="24" xfId="0" applyFont="1" applyFill="1" applyBorder="1"/>
    <xf numFmtId="0" fontId="25" fillId="24" borderId="25" xfId="0" applyFont="1" applyFill="1" applyBorder="1" applyAlignment="1">
      <alignment readingOrder="2"/>
    </xf>
    <xf numFmtId="0" fontId="25" fillId="24" borderId="27" xfId="0" applyFont="1" applyFill="1" applyBorder="1"/>
    <xf numFmtId="0" fontId="25" fillId="24" borderId="28" xfId="0" applyFont="1" applyFill="1" applyBorder="1"/>
    <xf numFmtId="0" fontId="25" fillId="24" borderId="29" xfId="0" applyFont="1" applyFill="1" applyBorder="1"/>
    <xf numFmtId="0" fontId="25" fillId="24" borderId="31" xfId="0" applyFont="1" applyFill="1" applyBorder="1" applyAlignment="1">
      <alignment readingOrder="2"/>
    </xf>
    <xf numFmtId="0" fontId="25" fillId="24" borderId="32" xfId="0" applyFont="1" applyFill="1" applyBorder="1" applyAlignment="1">
      <alignment readingOrder="2"/>
    </xf>
    <xf numFmtId="0" fontId="25" fillId="24" borderId="33" xfId="0" applyFont="1" applyFill="1" applyBorder="1" applyAlignment="1">
      <alignment readingOrder="2"/>
    </xf>
    <xf numFmtId="0" fontId="26" fillId="0" borderId="35" xfId="0" applyFont="1" applyBorder="1" applyAlignment="1">
      <alignment wrapText="1"/>
    </xf>
    <xf numFmtId="0" fontId="27" fillId="0" borderId="32" xfId="0" applyFont="1" applyBorder="1"/>
    <xf numFmtId="0" fontId="27" fillId="0" borderId="33" xfId="0" applyFont="1" applyBorder="1"/>
    <xf numFmtId="0" fontId="26" fillId="0" borderId="36" xfId="0" applyFont="1" applyBorder="1" applyAlignment="1">
      <alignment wrapText="1" readingOrder="2"/>
    </xf>
    <xf numFmtId="0" fontId="26" fillId="0" borderId="37" xfId="0" applyFont="1" applyBorder="1" applyAlignment="1">
      <alignment wrapText="1" readingOrder="2"/>
    </xf>
    <xf numFmtId="0" fontId="28" fillId="0" borderId="38" xfId="0" applyFont="1" applyBorder="1"/>
    <xf numFmtId="0" fontId="25" fillId="0" borderId="39" xfId="0" applyFont="1" applyBorder="1"/>
    <xf numFmtId="0" fontId="28" fillId="0" borderId="40" xfId="0" applyFont="1" applyBorder="1" applyAlignment="1">
      <alignment readingOrder="2"/>
    </xf>
    <xf numFmtId="0" fontId="0" fillId="0" borderId="41" xfId="0" applyBorder="1"/>
    <xf numFmtId="0" fontId="29" fillId="25" borderId="0" xfId="3" applyFill="1"/>
    <xf numFmtId="0" fontId="29" fillId="25" borderId="42" xfId="3" applyFill="1" applyBorder="1"/>
    <xf numFmtId="9" fontId="29" fillId="25" borderId="0" xfId="2" applyFont="1" applyFill="1" applyBorder="1"/>
    <xf numFmtId="9" fontId="29" fillId="25" borderId="42" xfId="2" applyFont="1" applyFill="1" applyBorder="1"/>
    <xf numFmtId="164" fontId="0" fillId="0" borderId="0" xfId="0" applyNumberFormat="1" applyAlignment="1">
      <alignment horizontal="right"/>
    </xf>
    <xf numFmtId="0" fontId="25" fillId="24" borderId="18" xfId="0" applyFont="1" applyFill="1" applyBorder="1"/>
    <xf numFmtId="0" fontId="25" fillId="24" borderId="22" xfId="0" applyFont="1" applyFill="1" applyBorder="1"/>
    <xf numFmtId="0" fontId="25" fillId="24" borderId="30" xfId="0" applyFont="1" applyFill="1" applyBorder="1"/>
    <xf numFmtId="0" fontId="25" fillId="24" borderId="21" xfId="0" applyFont="1" applyFill="1" applyBorder="1" applyAlignment="1">
      <alignment readingOrder="2"/>
    </xf>
    <xf numFmtId="0" fontId="25" fillId="24" borderId="26" xfId="0" applyFont="1" applyFill="1" applyBorder="1" applyAlignment="1">
      <alignment readingOrder="2"/>
    </xf>
    <xf numFmtId="0" fontId="25" fillId="24" borderId="34" xfId="0" applyFont="1" applyFill="1" applyBorder="1" applyAlignment="1">
      <alignment readingOrder="2"/>
    </xf>
    <xf numFmtId="0" fontId="2" fillId="0" borderId="15" xfId="0" applyFont="1" applyBorder="1" applyAlignment="1">
      <alignment horizontal="center" vertical="center"/>
    </xf>
    <xf numFmtId="0" fontId="12" fillId="0" borderId="16" xfId="0" applyFont="1" applyBorder="1"/>
    <xf numFmtId="0" fontId="11" fillId="0" borderId="5" xfId="0" applyFont="1" applyBorder="1" applyAlignment="1">
      <alignment horizontal="center"/>
    </xf>
    <xf numFmtId="0" fontId="12" fillId="0" borderId="6" xfId="0" applyFont="1" applyBorder="1"/>
    <xf numFmtId="0" fontId="12" fillId="0" borderId="11" xfId="0" applyFont="1" applyBorder="1"/>
    <xf numFmtId="0" fontId="12" fillId="0" borderId="12" xfId="0" applyFont="1" applyBorder="1"/>
    <xf numFmtId="0" fontId="13" fillId="0" borderId="8" xfId="0" applyFont="1" applyBorder="1" applyAlignment="1">
      <alignment horizontal="center"/>
    </xf>
    <xf numFmtId="0" fontId="12" fillId="0" borderId="9" xfId="0" applyFont="1" applyBorder="1"/>
    <xf numFmtId="0" fontId="12" fillId="0" borderId="10" xfId="0" applyFont="1" applyBorder="1"/>
    <xf numFmtId="0" fontId="14" fillId="15" borderId="8" xfId="0" applyFont="1" applyFill="1" applyBorder="1" applyAlignment="1">
      <alignment horizontal="center"/>
    </xf>
    <xf numFmtId="0" fontId="14" fillId="16" borderId="8" xfId="0" applyFont="1" applyFill="1" applyBorder="1" applyAlignment="1">
      <alignment horizontal="center"/>
    </xf>
    <xf numFmtId="0" fontId="14" fillId="17" borderId="8" xfId="0" applyFont="1" applyFill="1" applyBorder="1" applyAlignment="1">
      <alignment horizontal="center"/>
    </xf>
    <xf numFmtId="0" fontId="14" fillId="0" borderId="15" xfId="0" applyFont="1" applyBorder="1" applyAlignment="1">
      <alignment horizontal="center" vertical="center"/>
    </xf>
    <xf numFmtId="0" fontId="14" fillId="0" borderId="15" xfId="0" applyFont="1" applyBorder="1" applyAlignment="1">
      <alignment horizontal="center" vertical="center" wrapText="1"/>
    </xf>
    <xf numFmtId="0" fontId="2" fillId="18" borderId="15" xfId="0" applyFont="1" applyFill="1" applyBorder="1" applyAlignment="1">
      <alignment horizontal="center" vertical="center"/>
    </xf>
  </cellXfs>
  <cellStyles count="4">
    <cellStyle name="60% - Accent5" xfId="1" builtinId="48"/>
    <cellStyle name="Normal" xfId="0" builtinId="0"/>
    <cellStyle name="Normal 2 2" xfId="3" xr:uid="{86982204-F6A7-49B8-B4F9-0B28F25089EC}"/>
    <cellStyle name="Percent" xfId="2" builtinId="5"/>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patternType="solid">
          <fgColor rgb="FFFCE5CD"/>
          <bgColor rgb="FFFCE5CD"/>
        </patternFill>
      </fill>
    </dxf>
    <dxf>
      <fill>
        <patternFill>
          <bgColor rgb="FFFF0000"/>
        </patternFill>
      </fill>
    </dxf>
    <dxf>
      <fill>
        <patternFill>
          <bgColor theme="5"/>
        </patternFill>
      </fill>
    </dxf>
    <dxf>
      <fill>
        <patternFill>
          <bgColor rgb="FF92D050"/>
        </patternFill>
      </fill>
    </dxf>
    <dxf>
      <fill>
        <patternFill>
          <bgColor rgb="FFFF0000"/>
        </patternFill>
      </fill>
    </dxf>
    <dxf>
      <fill>
        <patternFill>
          <bgColor theme="5"/>
        </patternFill>
      </fill>
    </dxf>
    <dxf>
      <fill>
        <patternFill>
          <bgColor rgb="FF92D050"/>
        </patternFill>
      </fill>
    </dxf>
    <dxf>
      <fill>
        <patternFill>
          <bgColor rgb="FFFF0000"/>
        </patternFill>
      </fill>
    </dxf>
    <dxf>
      <fill>
        <patternFill>
          <bgColor theme="5"/>
        </patternFill>
      </fill>
    </dxf>
    <dxf>
      <fill>
        <patternFill>
          <bgColor rgb="FF92D050"/>
        </patternFill>
      </fill>
    </dxf>
    <dxf>
      <fill>
        <patternFill patternType="none">
          <bgColor auto="1"/>
        </patternFill>
      </fill>
    </dxf>
    <dxf>
      <fill>
        <patternFill patternType="none">
          <bgColor auto="1"/>
        </patternFill>
      </fill>
    </dxf>
    <dxf>
      <fill>
        <patternFill patternType="none">
          <bgColor auto="1"/>
        </patternFill>
      </fill>
    </dxf>
    <dxf>
      <fill>
        <patternFill>
          <bgColor rgb="FFFF0000"/>
        </patternFill>
      </fill>
    </dxf>
    <dxf>
      <fill>
        <patternFill>
          <bgColor rgb="FFFFFF00"/>
        </patternFill>
      </fill>
    </dxf>
    <dxf>
      <fill>
        <patternFill>
          <bgColor rgb="FFFFC000"/>
        </patternFill>
      </fill>
    </dxf>
    <dxf>
      <fill>
        <patternFill patternType="none">
          <bgColor auto="1"/>
        </patternFill>
      </fill>
    </dxf>
    <dxf>
      <fill>
        <patternFill patternType="none">
          <bgColor auto="1"/>
        </patternFill>
      </fill>
    </dxf>
    <dxf>
      <fill>
        <patternFill patternType="none">
          <bgColor auto="1"/>
        </patternFill>
      </fill>
    </dxf>
    <dxf>
      <fill>
        <patternFill>
          <bgColor rgb="FFFF0000"/>
        </patternFill>
      </fill>
    </dxf>
    <dxf>
      <fill>
        <patternFill>
          <bgColor rgb="FFFF0000"/>
        </patternFill>
      </fill>
    </dxf>
    <dxf>
      <fill>
        <patternFill>
          <bgColor theme="5"/>
        </patternFill>
      </fill>
    </dxf>
    <dxf>
      <fill>
        <patternFill>
          <bgColor rgb="FF92D050"/>
        </patternFill>
      </fill>
    </dxf>
    <dxf>
      <font>
        <color rgb="FF70AD47"/>
      </font>
    </dxf>
    <dxf>
      <fill>
        <patternFill>
          <bgColor theme="9"/>
        </patternFill>
      </fill>
    </dxf>
    <dxf>
      <font>
        <color theme="1"/>
      </font>
      <fill>
        <patternFill>
          <bgColor theme="9"/>
        </patternFill>
      </fill>
    </dxf>
    <dxf>
      <fill>
        <patternFill>
          <bgColor rgb="FFFF0000"/>
        </patternFill>
      </fill>
    </dxf>
    <dxf>
      <fill>
        <patternFill>
          <bgColor rgb="FFFFC000"/>
        </patternFill>
      </fill>
    </dxf>
    <dxf>
      <fill>
        <patternFill>
          <bgColor theme="5"/>
        </patternFill>
      </fill>
    </dxf>
    <dxf>
      <fill>
        <patternFill>
          <bgColor rgb="FFFF0000"/>
        </patternFill>
      </fill>
    </dxf>
    <dxf>
      <fill>
        <patternFill>
          <bgColor theme="5"/>
        </patternFill>
      </fill>
    </dxf>
    <dxf>
      <fill>
        <patternFill>
          <bgColor rgb="FF92D05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fill>
        <patternFill patternType="none">
          <fgColor indexed="64"/>
          <bgColor indexed="65"/>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numFmt numFmtId="0" formatCode="General"/>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0</xdr:row>
      <xdr:rowOff>0</xdr:rowOff>
    </xdr:to>
    <xdr:cxnSp macro="">
      <xdr:nvCxnSpPr>
        <xdr:cNvPr id="2" name="Straight Connector 1">
          <a:extLst>
            <a:ext uri="{FF2B5EF4-FFF2-40B4-BE49-F238E27FC236}">
              <a16:creationId xmlns:a16="http://schemas.microsoft.com/office/drawing/2014/main" id="{4E9B8923-A0AD-4331-B723-8FA544123856}"/>
            </a:ext>
          </a:extLst>
        </xdr:cNvPr>
        <xdr:cNvCxnSpPr/>
      </xdr:nvCxnSpPr>
      <xdr:spPr>
        <a:xfrm>
          <a:off x="54429" y="489857"/>
          <a:ext cx="18866031" cy="0"/>
        </a:xfrm>
        <a:prstGeom prst="line">
          <a:avLst/>
        </a:prstGeom>
        <a:ln w="12700"/>
      </xdr:spPr>
      <xdr:style>
        <a:lnRef idx="3">
          <a:schemeClr val="accent1"/>
        </a:lnRef>
        <a:fillRef idx="0">
          <a:schemeClr val="accent1"/>
        </a:fillRef>
        <a:effectRef idx="2">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0017D6-D538-4622-A927-A0F71C649D0B}" name="Table1" displayName="Table1" ref="A1:J1628" totalsRowShown="0" headerRowDxfId="58" dataDxfId="57">
  <autoFilter ref="A1:J1628" xr:uid="{230017D6-D538-4622-A927-A0F71C649D0B}"/>
  <sortState xmlns:xlrd2="http://schemas.microsoft.com/office/spreadsheetml/2017/richdata2" ref="A2:I1628">
    <sortCondition descending="1" ref="E1:E1628"/>
  </sortState>
  <tableColumns count="10">
    <tableColumn id="1" xr3:uid="{B20838F3-82DB-4C03-BC0E-9A08C29E7817}" name="ACS_CODE" dataDxfId="56"/>
    <tableColumn id="3" xr3:uid="{F63AE476-75FC-401F-AF97-EDE43B30D8E3}" name="Governorate" dataDxfId="55"/>
    <tableColumn id="4" xr3:uid="{C43F8270-6927-4A46-9323-2692ED76EE59}" name="District" dataDxfId="54"/>
    <tableColumn id="5" xr3:uid="{068D21E8-262A-4786-AD32-1C34FACF66B0}" name="Cadaster" dataDxfId="53"/>
    <tableColumn id="15" xr3:uid="{723C435F-DD98-4A83-AB89-6C72DF589336}" name="Syr" dataDxfId="52"/>
    <tableColumn id="8" xr3:uid="{57A532CF-B18C-4BDE-A289-010C02282D6D}" name="PRL" dataDxfId="51"/>
    <tableColumn id="7" xr3:uid="{16483AB7-DEDB-433A-B1E6-664A543D93B1}" name="PRS" dataDxfId="50"/>
    <tableColumn id="18" xr3:uid="{A60F38D7-07AE-4972-8A26-33B156150A51}" name="Leb" dataDxfId="49"/>
    <tableColumn id="9" xr3:uid="{68A0593A-BD53-47BB-A245-ACA668E78800}" name="Migrant" dataDxfId="48"/>
    <tableColumn id="2" xr3:uid="{16B34173-9E73-446B-849D-E58B836E27F5}" name="Palestinian/Leb" dataDxfId="4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E6F77-76B8-4A9A-A78E-AE84F8712243}">
  <dimension ref="A1:D1629"/>
  <sheetViews>
    <sheetView workbookViewId="0">
      <selection activeCell="D1" sqref="D1"/>
    </sheetView>
  </sheetViews>
  <sheetFormatPr defaultRowHeight="15" x14ac:dyDescent="0.25"/>
  <sheetData>
    <row r="1" spans="1:4" ht="60" x14ac:dyDescent="0.25">
      <c r="A1" s="10" t="s">
        <v>3031</v>
      </c>
      <c r="B1" s="10" t="s">
        <v>3032</v>
      </c>
      <c r="C1" s="10" t="s">
        <v>3033</v>
      </c>
      <c r="D1" s="11" t="s">
        <v>2802</v>
      </c>
    </row>
    <row r="2" spans="1:4" x14ac:dyDescent="0.25">
      <c r="A2" s="6" t="s">
        <v>17</v>
      </c>
      <c r="B2" s="6" t="s">
        <v>17</v>
      </c>
      <c r="C2" s="6" t="s">
        <v>1565</v>
      </c>
      <c r="D2" s="2">
        <v>10110</v>
      </c>
    </row>
    <row r="3" spans="1:4" x14ac:dyDescent="0.25">
      <c r="A3" s="7" t="s">
        <v>18</v>
      </c>
      <c r="B3" s="7" t="s">
        <v>18</v>
      </c>
      <c r="C3" s="7" t="s">
        <v>1566</v>
      </c>
      <c r="D3" s="3">
        <v>10150</v>
      </c>
    </row>
    <row r="4" spans="1:4" x14ac:dyDescent="0.25">
      <c r="A4" s="6" t="s">
        <v>2803</v>
      </c>
      <c r="B4" s="6" t="s">
        <v>19</v>
      </c>
      <c r="C4" s="6" t="s">
        <v>1567</v>
      </c>
      <c r="D4" s="2">
        <v>10210</v>
      </c>
    </row>
    <row r="5" spans="1:4" x14ac:dyDescent="0.25">
      <c r="A5" s="7" t="s">
        <v>20</v>
      </c>
      <c r="B5" s="7" t="s">
        <v>20</v>
      </c>
      <c r="C5" s="7" t="s">
        <v>1568</v>
      </c>
      <c r="D5" s="3">
        <v>10250</v>
      </c>
    </row>
    <row r="6" spans="1:4" x14ac:dyDescent="0.25">
      <c r="A6" s="6" t="s">
        <v>21</v>
      </c>
      <c r="B6" s="6" t="s">
        <v>21</v>
      </c>
      <c r="C6" s="6" t="s">
        <v>1569</v>
      </c>
      <c r="D6" s="2">
        <v>10310</v>
      </c>
    </row>
    <row r="7" spans="1:4" x14ac:dyDescent="0.25">
      <c r="A7" s="7" t="s">
        <v>22</v>
      </c>
      <c r="B7" s="7" t="s">
        <v>22</v>
      </c>
      <c r="C7" s="7" t="s">
        <v>1570</v>
      </c>
      <c r="D7" s="3">
        <v>10350</v>
      </c>
    </row>
    <row r="8" spans="1:4" x14ac:dyDescent="0.25">
      <c r="A8" s="6" t="s">
        <v>23</v>
      </c>
      <c r="B8" s="6" t="s">
        <v>23</v>
      </c>
      <c r="C8" s="6" t="s">
        <v>1571</v>
      </c>
      <c r="D8" s="2">
        <v>10410</v>
      </c>
    </row>
    <row r="9" spans="1:4" x14ac:dyDescent="0.25">
      <c r="A9" s="7" t="s">
        <v>24</v>
      </c>
      <c r="B9" s="7" t="s">
        <v>24</v>
      </c>
      <c r="C9" s="7" t="s">
        <v>1572</v>
      </c>
      <c r="D9" s="3">
        <v>10450</v>
      </c>
    </row>
    <row r="10" spans="1:4" x14ac:dyDescent="0.25">
      <c r="A10" s="6" t="s">
        <v>25</v>
      </c>
      <c r="B10" s="6" t="s">
        <v>25</v>
      </c>
      <c r="C10" s="6" t="s">
        <v>1573</v>
      </c>
      <c r="D10" s="2">
        <v>10510</v>
      </c>
    </row>
    <row r="11" spans="1:4" x14ac:dyDescent="0.25">
      <c r="A11" s="7" t="s">
        <v>26</v>
      </c>
      <c r="B11" s="7" t="s">
        <v>26</v>
      </c>
      <c r="C11" s="7" t="s">
        <v>1574</v>
      </c>
      <c r="D11" s="3">
        <v>10550</v>
      </c>
    </row>
    <row r="12" spans="1:4" x14ac:dyDescent="0.25">
      <c r="A12" s="6" t="s">
        <v>27</v>
      </c>
      <c r="B12" s="6" t="s">
        <v>27</v>
      </c>
      <c r="C12" s="6" t="s">
        <v>1575</v>
      </c>
      <c r="D12" s="2">
        <v>10610</v>
      </c>
    </row>
    <row r="13" spans="1:4" x14ac:dyDescent="0.25">
      <c r="A13" s="7" t="s">
        <v>28</v>
      </c>
      <c r="B13" s="7" t="s">
        <v>28</v>
      </c>
      <c r="C13" s="7" t="s">
        <v>1576</v>
      </c>
      <c r="D13" s="3">
        <v>10650</v>
      </c>
    </row>
    <row r="14" spans="1:4" x14ac:dyDescent="0.25">
      <c r="A14" s="6" t="s">
        <v>29</v>
      </c>
      <c r="B14" s="6" t="s">
        <v>29</v>
      </c>
      <c r="C14" s="6" t="s">
        <v>29</v>
      </c>
      <c r="D14" s="2">
        <v>10999</v>
      </c>
    </row>
    <row r="15" spans="1:4" x14ac:dyDescent="0.25">
      <c r="A15" s="7" t="s">
        <v>30</v>
      </c>
      <c r="B15" s="7" t="s">
        <v>30</v>
      </c>
      <c r="C15" s="7" t="s">
        <v>1577</v>
      </c>
      <c r="D15" s="3">
        <v>21111</v>
      </c>
    </row>
    <row r="16" spans="1:4" x14ac:dyDescent="0.25">
      <c r="A16" s="6" t="s">
        <v>31</v>
      </c>
      <c r="B16" s="6" t="s">
        <v>31</v>
      </c>
      <c r="C16" s="6" t="s">
        <v>1578</v>
      </c>
      <c r="D16" s="2">
        <v>21133</v>
      </c>
    </row>
    <row r="17" spans="1:4" x14ac:dyDescent="0.25">
      <c r="A17" s="7" t="s">
        <v>32</v>
      </c>
      <c r="B17" s="7" t="s">
        <v>32</v>
      </c>
      <c r="C17" s="7" t="s">
        <v>1579</v>
      </c>
      <c r="D17" s="3">
        <v>21144</v>
      </c>
    </row>
    <row r="18" spans="1:4" x14ac:dyDescent="0.25">
      <c r="A18" s="6" t="s">
        <v>2804</v>
      </c>
      <c r="B18" s="6" t="s">
        <v>33</v>
      </c>
      <c r="C18" s="6" t="s">
        <v>1580</v>
      </c>
      <c r="D18" s="2">
        <v>21166</v>
      </c>
    </row>
    <row r="19" spans="1:4" x14ac:dyDescent="0.25">
      <c r="A19" s="7" t="s">
        <v>34</v>
      </c>
      <c r="B19" s="7" t="s">
        <v>34</v>
      </c>
      <c r="C19" s="7" t="s">
        <v>1581</v>
      </c>
      <c r="D19" s="3">
        <v>21177</v>
      </c>
    </row>
    <row r="20" spans="1:4" x14ac:dyDescent="0.25">
      <c r="A20" s="6" t="s">
        <v>35</v>
      </c>
      <c r="B20" s="6" t="s">
        <v>35</v>
      </c>
      <c r="C20" s="6" t="s">
        <v>1582</v>
      </c>
      <c r="D20" s="2">
        <v>21188</v>
      </c>
    </row>
    <row r="21" spans="1:4" x14ac:dyDescent="0.25">
      <c r="A21" s="7" t="s">
        <v>36</v>
      </c>
      <c r="B21" s="7" t="s">
        <v>36</v>
      </c>
      <c r="C21" s="7" t="s">
        <v>36</v>
      </c>
      <c r="D21" s="3">
        <v>21211</v>
      </c>
    </row>
    <row r="22" spans="1:4" x14ac:dyDescent="0.25">
      <c r="A22" s="6" t="s">
        <v>37</v>
      </c>
      <c r="B22" s="6" t="s">
        <v>37</v>
      </c>
      <c r="C22" s="6" t="s">
        <v>1583</v>
      </c>
      <c r="D22" s="2">
        <v>21219</v>
      </c>
    </row>
    <row r="23" spans="1:4" x14ac:dyDescent="0.25">
      <c r="A23" s="7" t="s">
        <v>38</v>
      </c>
      <c r="B23" s="7" t="s">
        <v>38</v>
      </c>
      <c r="C23" s="7" t="s">
        <v>38</v>
      </c>
      <c r="D23" s="3">
        <v>21227</v>
      </c>
    </row>
    <row r="24" spans="1:4" x14ac:dyDescent="0.25">
      <c r="A24" s="6" t="s">
        <v>39</v>
      </c>
      <c r="B24" s="6" t="s">
        <v>39</v>
      </c>
      <c r="C24" s="6" t="s">
        <v>1584</v>
      </c>
      <c r="D24" s="2">
        <v>21235</v>
      </c>
    </row>
    <row r="25" spans="1:4" x14ac:dyDescent="0.25">
      <c r="A25" s="7" t="s">
        <v>2805</v>
      </c>
      <c r="B25" s="7" t="s">
        <v>40</v>
      </c>
      <c r="C25" s="7" t="s">
        <v>1585</v>
      </c>
      <c r="D25" s="3">
        <v>21243</v>
      </c>
    </row>
    <row r="26" spans="1:4" x14ac:dyDescent="0.25">
      <c r="A26" s="6" t="s">
        <v>41</v>
      </c>
      <c r="B26" s="6" t="s">
        <v>41</v>
      </c>
      <c r="C26" s="6" t="s">
        <v>1586</v>
      </c>
      <c r="D26" s="2">
        <v>21251</v>
      </c>
    </row>
    <row r="27" spans="1:4" x14ac:dyDescent="0.25">
      <c r="A27" s="7" t="s">
        <v>42</v>
      </c>
      <c r="B27" s="7" t="s">
        <v>42</v>
      </c>
      <c r="C27" s="7" t="s">
        <v>1587</v>
      </c>
      <c r="D27" s="3">
        <v>21259</v>
      </c>
    </row>
    <row r="28" spans="1:4" x14ac:dyDescent="0.25">
      <c r="A28" s="6" t="s">
        <v>43</v>
      </c>
      <c r="B28" s="6" t="s">
        <v>43</v>
      </c>
      <c r="C28" s="6" t="s">
        <v>1588</v>
      </c>
      <c r="D28" s="2">
        <v>21267</v>
      </c>
    </row>
    <row r="29" spans="1:4" x14ac:dyDescent="0.25">
      <c r="A29" s="7" t="s">
        <v>44</v>
      </c>
      <c r="B29" s="7" t="s">
        <v>44</v>
      </c>
      <c r="C29" s="7" t="s">
        <v>1589</v>
      </c>
      <c r="D29" s="3">
        <v>21275</v>
      </c>
    </row>
    <row r="30" spans="1:4" x14ac:dyDescent="0.25">
      <c r="A30" s="6" t="s">
        <v>45</v>
      </c>
      <c r="B30" s="6" t="s">
        <v>45</v>
      </c>
      <c r="C30" s="6" t="s">
        <v>1590</v>
      </c>
      <c r="D30" s="2">
        <v>21283</v>
      </c>
    </row>
    <row r="31" spans="1:4" x14ac:dyDescent="0.25">
      <c r="A31" s="7" t="s">
        <v>46</v>
      </c>
      <c r="B31" s="7" t="s">
        <v>46</v>
      </c>
      <c r="C31" s="7" t="s">
        <v>1591</v>
      </c>
      <c r="D31" s="3">
        <v>21311</v>
      </c>
    </row>
    <row r="32" spans="1:4" x14ac:dyDescent="0.25">
      <c r="A32" s="6" t="s">
        <v>47</v>
      </c>
      <c r="B32" s="6" t="s">
        <v>47</v>
      </c>
      <c r="C32" s="6" t="s">
        <v>1592</v>
      </c>
      <c r="D32" s="2">
        <v>21314</v>
      </c>
    </row>
    <row r="33" spans="1:4" x14ac:dyDescent="0.25">
      <c r="A33" s="7" t="s">
        <v>48</v>
      </c>
      <c r="B33" s="7" t="s">
        <v>48</v>
      </c>
      <c r="C33" s="7" t="s">
        <v>1593</v>
      </c>
      <c r="D33" s="3">
        <v>21317</v>
      </c>
    </row>
    <row r="34" spans="1:4" x14ac:dyDescent="0.25">
      <c r="A34" s="6" t="s">
        <v>49</v>
      </c>
      <c r="B34" s="6" t="s">
        <v>49</v>
      </c>
      <c r="C34" s="6" t="s">
        <v>1594</v>
      </c>
      <c r="D34" s="2">
        <v>21321</v>
      </c>
    </row>
    <row r="35" spans="1:4" x14ac:dyDescent="0.25">
      <c r="A35" s="7" t="s">
        <v>2806</v>
      </c>
      <c r="B35" s="7" t="s">
        <v>50</v>
      </c>
      <c r="C35" s="7" t="s">
        <v>1595</v>
      </c>
      <c r="D35" s="3">
        <v>21324</v>
      </c>
    </row>
    <row r="36" spans="1:4" x14ac:dyDescent="0.25">
      <c r="A36" s="6" t="s">
        <v>2807</v>
      </c>
      <c r="B36" s="6" t="s">
        <v>51</v>
      </c>
      <c r="C36" s="6" t="s">
        <v>51</v>
      </c>
      <c r="D36" s="2">
        <v>21327</v>
      </c>
    </row>
    <row r="37" spans="1:4" x14ac:dyDescent="0.25">
      <c r="A37" s="7" t="s">
        <v>2808</v>
      </c>
      <c r="B37" s="7" t="s">
        <v>52</v>
      </c>
      <c r="C37" s="7" t="s">
        <v>1596</v>
      </c>
      <c r="D37" s="3">
        <v>21331</v>
      </c>
    </row>
    <row r="38" spans="1:4" x14ac:dyDescent="0.25">
      <c r="A38" s="6" t="s">
        <v>53</v>
      </c>
      <c r="B38" s="6" t="s">
        <v>53</v>
      </c>
      <c r="C38" s="6" t="s">
        <v>1597</v>
      </c>
      <c r="D38" s="2">
        <v>21334</v>
      </c>
    </row>
    <row r="39" spans="1:4" x14ac:dyDescent="0.25">
      <c r="A39" s="7" t="s">
        <v>54</v>
      </c>
      <c r="B39" s="7" t="s">
        <v>54</v>
      </c>
      <c r="C39" s="7" t="s">
        <v>54</v>
      </c>
      <c r="D39" s="3">
        <v>21337</v>
      </c>
    </row>
    <row r="40" spans="1:4" x14ac:dyDescent="0.25">
      <c r="A40" s="6" t="s">
        <v>2809</v>
      </c>
      <c r="B40" s="6" t="s">
        <v>55</v>
      </c>
      <c r="C40" s="6" t="s">
        <v>1598</v>
      </c>
      <c r="D40" s="2">
        <v>21341</v>
      </c>
    </row>
    <row r="41" spans="1:4" x14ac:dyDescent="0.25">
      <c r="A41" s="7" t="s">
        <v>56</v>
      </c>
      <c r="B41" s="7" t="s">
        <v>56</v>
      </c>
      <c r="C41" s="7" t="s">
        <v>1599</v>
      </c>
      <c r="D41" s="3">
        <v>21344</v>
      </c>
    </row>
    <row r="42" spans="1:4" x14ac:dyDescent="0.25">
      <c r="A42" s="6" t="s">
        <v>57</v>
      </c>
      <c r="B42" s="6" t="s">
        <v>57</v>
      </c>
      <c r="C42" s="6" t="s">
        <v>1600</v>
      </c>
      <c r="D42" s="2">
        <v>21347</v>
      </c>
    </row>
    <row r="43" spans="1:4" x14ac:dyDescent="0.25">
      <c r="A43" s="7" t="s">
        <v>58</v>
      </c>
      <c r="B43" s="7" t="s">
        <v>58</v>
      </c>
      <c r="C43" s="7" t="s">
        <v>1601</v>
      </c>
      <c r="D43" s="3">
        <v>21351</v>
      </c>
    </row>
    <row r="44" spans="1:4" x14ac:dyDescent="0.25">
      <c r="A44" s="6" t="s">
        <v>59</v>
      </c>
      <c r="B44" s="6" t="s">
        <v>59</v>
      </c>
      <c r="C44" s="6" t="s">
        <v>59</v>
      </c>
      <c r="D44" s="2">
        <v>21354</v>
      </c>
    </row>
    <row r="45" spans="1:4" x14ac:dyDescent="0.25">
      <c r="A45" s="7" t="s">
        <v>60</v>
      </c>
      <c r="B45" s="7" t="s">
        <v>60</v>
      </c>
      <c r="C45" s="7" t="s">
        <v>1602</v>
      </c>
      <c r="D45" s="3">
        <v>21357</v>
      </c>
    </row>
    <row r="46" spans="1:4" x14ac:dyDescent="0.25">
      <c r="A46" s="6" t="s">
        <v>61</v>
      </c>
      <c r="B46" s="6" t="s">
        <v>61</v>
      </c>
      <c r="C46" s="6" t="s">
        <v>1603</v>
      </c>
      <c r="D46" s="2">
        <v>21361</v>
      </c>
    </row>
    <row r="47" spans="1:4" x14ac:dyDescent="0.25">
      <c r="A47" s="7" t="s">
        <v>2810</v>
      </c>
      <c r="B47" s="7" t="s">
        <v>62</v>
      </c>
      <c r="C47" s="7" t="s">
        <v>1604</v>
      </c>
      <c r="D47" s="3">
        <v>21364</v>
      </c>
    </row>
    <row r="48" spans="1:4" x14ac:dyDescent="0.25">
      <c r="A48" s="6" t="s">
        <v>63</v>
      </c>
      <c r="B48" s="6" t="s">
        <v>63</v>
      </c>
      <c r="C48" s="6" t="s">
        <v>1605</v>
      </c>
      <c r="D48" s="2">
        <v>21367</v>
      </c>
    </row>
    <row r="49" spans="1:4" x14ac:dyDescent="0.25">
      <c r="A49" s="7" t="s">
        <v>64</v>
      </c>
      <c r="B49" s="7" t="s">
        <v>64</v>
      </c>
      <c r="C49" s="7" t="s">
        <v>1606</v>
      </c>
      <c r="D49" s="3">
        <v>21371</v>
      </c>
    </row>
    <row r="50" spans="1:4" x14ac:dyDescent="0.25">
      <c r="A50" s="6" t="s">
        <v>65</v>
      </c>
      <c r="B50" s="6" t="s">
        <v>65</v>
      </c>
      <c r="C50" s="6" t="s">
        <v>1607</v>
      </c>
      <c r="D50" s="2">
        <v>21374</v>
      </c>
    </row>
    <row r="51" spans="1:4" x14ac:dyDescent="0.25">
      <c r="A51" s="7" t="s">
        <v>66</v>
      </c>
      <c r="B51" s="7" t="s">
        <v>66</v>
      </c>
      <c r="C51" s="7" t="s">
        <v>1608</v>
      </c>
      <c r="D51" s="3">
        <v>21377</v>
      </c>
    </row>
    <row r="52" spans="1:4" x14ac:dyDescent="0.25">
      <c r="A52" s="6" t="s">
        <v>2811</v>
      </c>
      <c r="B52" s="6" t="s">
        <v>67</v>
      </c>
      <c r="C52" s="6" t="s">
        <v>1609</v>
      </c>
      <c r="D52" s="2">
        <v>21381</v>
      </c>
    </row>
    <row r="53" spans="1:4" x14ac:dyDescent="0.25">
      <c r="A53" s="7" t="s">
        <v>2812</v>
      </c>
      <c r="B53" s="7" t="s">
        <v>68</v>
      </c>
      <c r="C53" s="7" t="s">
        <v>1610</v>
      </c>
      <c r="D53" s="3">
        <v>21391</v>
      </c>
    </row>
    <row r="54" spans="1:4" x14ac:dyDescent="0.25">
      <c r="A54" s="6" t="s">
        <v>69</v>
      </c>
      <c r="B54" s="6" t="s">
        <v>69</v>
      </c>
      <c r="C54" s="6" t="s">
        <v>1611</v>
      </c>
      <c r="D54" s="2">
        <v>21394</v>
      </c>
    </row>
    <row r="55" spans="1:4" x14ac:dyDescent="0.25">
      <c r="A55" s="7" t="s">
        <v>70</v>
      </c>
      <c r="B55" s="7" t="s">
        <v>70</v>
      </c>
      <c r="C55" s="7" t="s">
        <v>1612</v>
      </c>
      <c r="D55" s="3">
        <v>21397</v>
      </c>
    </row>
    <row r="56" spans="1:4" x14ac:dyDescent="0.25">
      <c r="A56" s="6" t="s">
        <v>71</v>
      </c>
      <c r="B56" s="6" t="s">
        <v>71</v>
      </c>
      <c r="C56" s="6" t="s">
        <v>71</v>
      </c>
      <c r="D56" s="2">
        <v>21411</v>
      </c>
    </row>
    <row r="57" spans="1:4" x14ac:dyDescent="0.25">
      <c r="A57" s="7" t="s">
        <v>72</v>
      </c>
      <c r="B57" s="7" t="s">
        <v>72</v>
      </c>
      <c r="C57" s="7" t="s">
        <v>1613</v>
      </c>
      <c r="D57" s="3">
        <v>21416</v>
      </c>
    </row>
    <row r="58" spans="1:4" x14ac:dyDescent="0.25">
      <c r="A58" s="6" t="s">
        <v>73</v>
      </c>
      <c r="B58" s="6" t="s">
        <v>73</v>
      </c>
      <c r="C58" s="6" t="s">
        <v>1614</v>
      </c>
      <c r="D58" s="2">
        <v>21421</v>
      </c>
    </row>
    <row r="59" spans="1:4" x14ac:dyDescent="0.25">
      <c r="A59" s="7" t="s">
        <v>2813</v>
      </c>
      <c r="B59" s="7" t="s">
        <v>74</v>
      </c>
      <c r="C59" s="7" t="s">
        <v>1615</v>
      </c>
      <c r="D59" s="3">
        <v>21426</v>
      </c>
    </row>
    <row r="60" spans="1:4" x14ac:dyDescent="0.25">
      <c r="A60" s="6" t="s">
        <v>75</v>
      </c>
      <c r="B60" s="6" t="s">
        <v>75</v>
      </c>
      <c r="C60" s="6" t="s">
        <v>1616</v>
      </c>
      <c r="D60" s="2">
        <v>21431</v>
      </c>
    </row>
    <row r="61" spans="1:4" x14ac:dyDescent="0.25">
      <c r="A61" s="7" t="s">
        <v>76</v>
      </c>
      <c r="B61" s="7" t="s">
        <v>76</v>
      </c>
      <c r="C61" s="7" t="s">
        <v>1617</v>
      </c>
      <c r="D61" s="3">
        <v>21436</v>
      </c>
    </row>
    <row r="62" spans="1:4" x14ac:dyDescent="0.25">
      <c r="A62" s="6" t="s">
        <v>77</v>
      </c>
      <c r="B62" s="6" t="s">
        <v>77</v>
      </c>
      <c r="C62" s="6" t="s">
        <v>77</v>
      </c>
      <c r="D62" s="2">
        <v>21441</v>
      </c>
    </row>
    <row r="63" spans="1:4" x14ac:dyDescent="0.25">
      <c r="A63" s="7" t="s">
        <v>78</v>
      </c>
      <c r="B63" s="7" t="s">
        <v>78</v>
      </c>
      <c r="C63" s="7" t="s">
        <v>78</v>
      </c>
      <c r="D63" s="3">
        <v>21446</v>
      </c>
    </row>
    <row r="64" spans="1:4" x14ac:dyDescent="0.25">
      <c r="A64" s="6" t="s">
        <v>79</v>
      </c>
      <c r="B64" s="6" t="s">
        <v>79</v>
      </c>
      <c r="C64" s="6" t="s">
        <v>1618</v>
      </c>
      <c r="D64" s="2">
        <v>21451</v>
      </c>
    </row>
    <row r="65" spans="1:4" x14ac:dyDescent="0.25">
      <c r="A65" s="7" t="s">
        <v>80</v>
      </c>
      <c r="B65" s="7" t="s">
        <v>80</v>
      </c>
      <c r="C65" s="7" t="s">
        <v>1619</v>
      </c>
      <c r="D65" s="3">
        <v>21456</v>
      </c>
    </row>
    <row r="66" spans="1:4" x14ac:dyDescent="0.25">
      <c r="A66" s="6" t="s">
        <v>81</v>
      </c>
      <c r="B66" s="6" t="s">
        <v>81</v>
      </c>
      <c r="C66" s="6" t="s">
        <v>1620</v>
      </c>
      <c r="D66" s="2">
        <v>21461</v>
      </c>
    </row>
    <row r="67" spans="1:4" x14ac:dyDescent="0.25">
      <c r="A67" s="7" t="s">
        <v>82</v>
      </c>
      <c r="B67" s="7" t="s">
        <v>82</v>
      </c>
      <c r="C67" s="7" t="s">
        <v>82</v>
      </c>
      <c r="D67" s="3">
        <v>21466</v>
      </c>
    </row>
    <row r="68" spans="1:4" x14ac:dyDescent="0.25">
      <c r="A68" s="6" t="s">
        <v>83</v>
      </c>
      <c r="B68" s="6" t="s">
        <v>83</v>
      </c>
      <c r="C68" s="6" t="s">
        <v>1621</v>
      </c>
      <c r="D68" s="2">
        <v>21471</v>
      </c>
    </row>
    <row r="69" spans="1:4" x14ac:dyDescent="0.25">
      <c r="A69" s="7" t="s">
        <v>84</v>
      </c>
      <c r="B69" s="7" t="s">
        <v>84</v>
      </c>
      <c r="C69" s="7" t="s">
        <v>84</v>
      </c>
      <c r="D69" s="3">
        <v>21476</v>
      </c>
    </row>
    <row r="70" spans="1:4" x14ac:dyDescent="0.25">
      <c r="A70" s="6" t="s">
        <v>85</v>
      </c>
      <c r="B70" s="6" t="s">
        <v>85</v>
      </c>
      <c r="C70" s="6" t="s">
        <v>1622</v>
      </c>
      <c r="D70" s="2">
        <v>21481</v>
      </c>
    </row>
    <row r="71" spans="1:4" x14ac:dyDescent="0.25">
      <c r="A71" s="7" t="s">
        <v>86</v>
      </c>
      <c r="B71" s="7" t="s">
        <v>86</v>
      </c>
      <c r="C71" s="7" t="s">
        <v>1623</v>
      </c>
      <c r="D71" s="3">
        <v>21487</v>
      </c>
    </row>
    <row r="72" spans="1:4" x14ac:dyDescent="0.25">
      <c r="A72" s="6" t="s">
        <v>1563</v>
      </c>
      <c r="B72" s="6" t="s">
        <v>87</v>
      </c>
      <c r="C72" s="6" t="s">
        <v>87</v>
      </c>
      <c r="D72" s="2">
        <v>22001</v>
      </c>
    </row>
    <row r="73" spans="1:4" x14ac:dyDescent="0.25">
      <c r="A73" s="7" t="s">
        <v>1563</v>
      </c>
      <c r="B73" s="7" t="s">
        <v>87</v>
      </c>
      <c r="C73" s="7" t="s">
        <v>87</v>
      </c>
      <c r="D73" s="3">
        <v>22002</v>
      </c>
    </row>
    <row r="74" spans="1:4" x14ac:dyDescent="0.25">
      <c r="A74" s="6" t="s">
        <v>88</v>
      </c>
      <c r="B74" s="6" t="s">
        <v>88</v>
      </c>
      <c r="C74" s="6" t="s">
        <v>1624</v>
      </c>
      <c r="D74" s="2">
        <v>22111</v>
      </c>
    </row>
    <row r="75" spans="1:4" x14ac:dyDescent="0.25">
      <c r="A75" s="7" t="s">
        <v>89</v>
      </c>
      <c r="B75" s="7" t="s">
        <v>89</v>
      </c>
      <c r="C75" s="7" t="s">
        <v>1625</v>
      </c>
      <c r="D75" s="3">
        <v>22155</v>
      </c>
    </row>
    <row r="76" spans="1:4" x14ac:dyDescent="0.25">
      <c r="A76" s="6" t="s">
        <v>90</v>
      </c>
      <c r="B76" s="6" t="s">
        <v>90</v>
      </c>
      <c r="C76" s="6" t="s">
        <v>1626</v>
      </c>
      <c r="D76" s="2">
        <v>22211</v>
      </c>
    </row>
    <row r="77" spans="1:4" x14ac:dyDescent="0.25">
      <c r="A77" s="7" t="s">
        <v>2814</v>
      </c>
      <c r="B77" s="7" t="s">
        <v>91</v>
      </c>
      <c r="C77" s="7" t="s">
        <v>1627</v>
      </c>
      <c r="D77" s="3">
        <v>22228</v>
      </c>
    </row>
    <row r="78" spans="1:4" x14ac:dyDescent="0.25">
      <c r="A78" s="6" t="s">
        <v>92</v>
      </c>
      <c r="B78" s="6" t="s">
        <v>92</v>
      </c>
      <c r="C78" s="6" t="s">
        <v>1628</v>
      </c>
      <c r="D78" s="2">
        <v>22245</v>
      </c>
    </row>
    <row r="79" spans="1:4" x14ac:dyDescent="0.25">
      <c r="A79" s="7" t="s">
        <v>2815</v>
      </c>
      <c r="B79" s="7" t="s">
        <v>93</v>
      </c>
      <c r="C79" s="7" t="s">
        <v>1629</v>
      </c>
      <c r="D79" s="3">
        <v>22262</v>
      </c>
    </row>
    <row r="80" spans="1:4" x14ac:dyDescent="0.25">
      <c r="A80" s="6" t="s">
        <v>94</v>
      </c>
      <c r="B80" s="6" t="s">
        <v>94</v>
      </c>
      <c r="C80" s="6" t="s">
        <v>1630</v>
      </c>
      <c r="D80" s="2">
        <v>22279</v>
      </c>
    </row>
    <row r="81" spans="1:4" x14ac:dyDescent="0.25">
      <c r="A81" s="7" t="s">
        <v>95</v>
      </c>
      <c r="B81" s="7" t="s">
        <v>95</v>
      </c>
      <c r="C81" s="7" t="s">
        <v>1631</v>
      </c>
      <c r="D81" s="3">
        <v>22311</v>
      </c>
    </row>
    <row r="82" spans="1:4" x14ac:dyDescent="0.25">
      <c r="A82" s="6" t="s">
        <v>96</v>
      </c>
      <c r="B82" s="6" t="s">
        <v>96</v>
      </c>
      <c r="C82" s="6" t="s">
        <v>1632</v>
      </c>
      <c r="D82" s="2">
        <v>22319</v>
      </c>
    </row>
    <row r="83" spans="1:4" x14ac:dyDescent="0.25">
      <c r="A83" s="7" t="s">
        <v>97</v>
      </c>
      <c r="B83" s="7" t="s">
        <v>97</v>
      </c>
      <c r="C83" s="7" t="s">
        <v>1633</v>
      </c>
      <c r="D83" s="3">
        <v>22327</v>
      </c>
    </row>
    <row r="84" spans="1:4" x14ac:dyDescent="0.25">
      <c r="A84" s="6" t="s">
        <v>98</v>
      </c>
      <c r="B84" s="6" t="s">
        <v>98</v>
      </c>
      <c r="C84" s="6" t="s">
        <v>1634</v>
      </c>
      <c r="D84" s="2">
        <v>22335</v>
      </c>
    </row>
    <row r="85" spans="1:4" x14ac:dyDescent="0.25">
      <c r="A85" s="7" t="s">
        <v>99</v>
      </c>
      <c r="B85" s="7" t="s">
        <v>99</v>
      </c>
      <c r="C85" s="7" t="s">
        <v>1635</v>
      </c>
      <c r="D85" s="3">
        <v>22343</v>
      </c>
    </row>
    <row r="86" spans="1:4" x14ac:dyDescent="0.25">
      <c r="A86" s="6" t="s">
        <v>100</v>
      </c>
      <c r="B86" s="6" t="s">
        <v>100</v>
      </c>
      <c r="C86" s="6" t="s">
        <v>1636</v>
      </c>
      <c r="D86" s="2">
        <v>22351</v>
      </c>
    </row>
    <row r="87" spans="1:4" x14ac:dyDescent="0.25">
      <c r="A87" s="7" t="s">
        <v>101</v>
      </c>
      <c r="B87" s="7" t="s">
        <v>101</v>
      </c>
      <c r="C87" s="7" t="s">
        <v>1637</v>
      </c>
      <c r="D87" s="3">
        <v>22359</v>
      </c>
    </row>
    <row r="88" spans="1:4" x14ac:dyDescent="0.25">
      <c r="A88" s="6" t="s">
        <v>102</v>
      </c>
      <c r="B88" s="6" t="s">
        <v>102</v>
      </c>
      <c r="C88" s="6" t="s">
        <v>1638</v>
      </c>
      <c r="D88" s="2">
        <v>22367</v>
      </c>
    </row>
    <row r="89" spans="1:4" x14ac:dyDescent="0.25">
      <c r="A89" s="7" t="s">
        <v>2816</v>
      </c>
      <c r="B89" s="7" t="s">
        <v>103</v>
      </c>
      <c r="C89" s="7" t="s">
        <v>103</v>
      </c>
      <c r="D89" s="3">
        <v>22375</v>
      </c>
    </row>
    <row r="90" spans="1:4" x14ac:dyDescent="0.25">
      <c r="A90" s="6" t="s">
        <v>104</v>
      </c>
      <c r="B90" s="6" t="s">
        <v>104</v>
      </c>
      <c r="C90" s="6" t="s">
        <v>1639</v>
      </c>
      <c r="D90" s="2">
        <v>22383</v>
      </c>
    </row>
    <row r="91" spans="1:4" x14ac:dyDescent="0.25">
      <c r="A91" s="7" t="s">
        <v>105</v>
      </c>
      <c r="B91" s="7" t="s">
        <v>105</v>
      </c>
      <c r="C91" s="7" t="s">
        <v>1640</v>
      </c>
      <c r="D91" s="3">
        <v>22391</v>
      </c>
    </row>
    <row r="92" spans="1:4" x14ac:dyDescent="0.25">
      <c r="A92" s="6" t="s">
        <v>106</v>
      </c>
      <c r="B92" s="6" t="s">
        <v>106</v>
      </c>
      <c r="C92" s="6" t="s">
        <v>1641</v>
      </c>
      <c r="D92" s="2">
        <v>22411</v>
      </c>
    </row>
    <row r="93" spans="1:4" x14ac:dyDescent="0.25">
      <c r="A93" s="7" t="s">
        <v>2817</v>
      </c>
      <c r="B93" s="7" t="s">
        <v>107</v>
      </c>
      <c r="C93" s="7" t="s">
        <v>1642</v>
      </c>
      <c r="D93" s="3">
        <v>22415</v>
      </c>
    </row>
    <row r="94" spans="1:4" x14ac:dyDescent="0.25">
      <c r="A94" s="6" t="s">
        <v>108</v>
      </c>
      <c r="B94" s="6" t="s">
        <v>108</v>
      </c>
      <c r="C94" s="6" t="s">
        <v>108</v>
      </c>
      <c r="D94" s="2">
        <v>22419</v>
      </c>
    </row>
    <row r="95" spans="1:4" x14ac:dyDescent="0.25">
      <c r="A95" s="7" t="s">
        <v>2818</v>
      </c>
      <c r="B95" s="7" t="s">
        <v>109</v>
      </c>
      <c r="C95" s="7" t="s">
        <v>1643</v>
      </c>
      <c r="D95" s="3">
        <v>22423</v>
      </c>
    </row>
    <row r="96" spans="1:4" x14ac:dyDescent="0.25">
      <c r="A96" s="6" t="s">
        <v>2819</v>
      </c>
      <c r="B96" s="6" t="s">
        <v>110</v>
      </c>
      <c r="C96" s="6" t="s">
        <v>1644</v>
      </c>
      <c r="D96" s="2">
        <v>22427</v>
      </c>
    </row>
    <row r="97" spans="1:4" x14ac:dyDescent="0.25">
      <c r="A97" s="7" t="s">
        <v>111</v>
      </c>
      <c r="B97" s="7" t="s">
        <v>111</v>
      </c>
      <c r="C97" s="7" t="s">
        <v>1645</v>
      </c>
      <c r="D97" s="3">
        <v>22431</v>
      </c>
    </row>
    <row r="98" spans="1:4" x14ac:dyDescent="0.25">
      <c r="A98" s="6" t="s">
        <v>112</v>
      </c>
      <c r="B98" s="6" t="s">
        <v>112</v>
      </c>
      <c r="C98" s="6" t="s">
        <v>1646</v>
      </c>
      <c r="D98" s="2">
        <v>22435</v>
      </c>
    </row>
    <row r="99" spans="1:4" x14ac:dyDescent="0.25">
      <c r="A99" s="7" t="s">
        <v>113</v>
      </c>
      <c r="B99" s="7" t="s">
        <v>113</v>
      </c>
      <c r="C99" s="7" t="s">
        <v>1647</v>
      </c>
      <c r="D99" s="3">
        <v>22439</v>
      </c>
    </row>
    <row r="100" spans="1:4" x14ac:dyDescent="0.25">
      <c r="A100" s="6" t="s">
        <v>114</v>
      </c>
      <c r="B100" s="6" t="s">
        <v>114</v>
      </c>
      <c r="C100" s="6" t="s">
        <v>1648</v>
      </c>
      <c r="D100" s="2">
        <v>22443</v>
      </c>
    </row>
    <row r="101" spans="1:4" x14ac:dyDescent="0.25">
      <c r="A101" s="7" t="s">
        <v>115</v>
      </c>
      <c r="B101" s="7" t="s">
        <v>115</v>
      </c>
      <c r="C101" s="7" t="s">
        <v>1649</v>
      </c>
      <c r="D101" s="3">
        <v>22447</v>
      </c>
    </row>
    <row r="102" spans="1:4" x14ac:dyDescent="0.25">
      <c r="A102" s="6" t="s">
        <v>116</v>
      </c>
      <c r="B102" s="6" t="s">
        <v>116</v>
      </c>
      <c r="C102" s="6" t="s">
        <v>1650</v>
      </c>
      <c r="D102" s="2">
        <v>22451</v>
      </c>
    </row>
    <row r="103" spans="1:4" x14ac:dyDescent="0.25">
      <c r="A103" s="7" t="s">
        <v>117</v>
      </c>
      <c r="B103" s="7" t="s">
        <v>117</v>
      </c>
      <c r="C103" s="7" t="s">
        <v>1651</v>
      </c>
      <c r="D103" s="3">
        <v>22455</v>
      </c>
    </row>
    <row r="104" spans="1:4" x14ac:dyDescent="0.25">
      <c r="A104" s="6" t="s">
        <v>118</v>
      </c>
      <c r="B104" s="6" t="s">
        <v>118</v>
      </c>
      <c r="C104" s="6" t="s">
        <v>1652</v>
      </c>
      <c r="D104" s="2">
        <v>22459</v>
      </c>
    </row>
    <row r="105" spans="1:4" x14ac:dyDescent="0.25">
      <c r="A105" s="7" t="s">
        <v>119</v>
      </c>
      <c r="B105" s="7" t="s">
        <v>119</v>
      </c>
      <c r="C105" s="7" t="s">
        <v>119</v>
      </c>
      <c r="D105" s="3">
        <v>22463</v>
      </c>
    </row>
    <row r="106" spans="1:4" x14ac:dyDescent="0.25">
      <c r="A106" s="6" t="s">
        <v>120</v>
      </c>
      <c r="B106" s="6" t="s">
        <v>120</v>
      </c>
      <c r="C106" s="6" t="s">
        <v>1653</v>
      </c>
      <c r="D106" s="2">
        <v>22467</v>
      </c>
    </row>
    <row r="107" spans="1:4" x14ac:dyDescent="0.25">
      <c r="A107" s="7" t="s">
        <v>121</v>
      </c>
      <c r="B107" s="7" t="s">
        <v>121</v>
      </c>
      <c r="C107" s="7" t="s">
        <v>1654</v>
      </c>
      <c r="D107" s="3">
        <v>22471</v>
      </c>
    </row>
    <row r="108" spans="1:4" x14ac:dyDescent="0.25">
      <c r="A108" s="6" t="s">
        <v>122</v>
      </c>
      <c r="B108" s="6" t="s">
        <v>122</v>
      </c>
      <c r="C108" s="6" t="s">
        <v>1655</v>
      </c>
      <c r="D108" s="2">
        <v>22475</v>
      </c>
    </row>
    <row r="109" spans="1:4" x14ac:dyDescent="0.25">
      <c r="A109" s="7" t="s">
        <v>123</v>
      </c>
      <c r="B109" s="7" t="s">
        <v>123</v>
      </c>
      <c r="C109" s="7" t="s">
        <v>1656</v>
      </c>
      <c r="D109" s="3">
        <v>22479</v>
      </c>
    </row>
    <row r="110" spans="1:4" x14ac:dyDescent="0.25">
      <c r="A110" s="6" t="s">
        <v>124</v>
      </c>
      <c r="B110" s="6" t="s">
        <v>124</v>
      </c>
      <c r="C110" s="6" t="s">
        <v>1657</v>
      </c>
      <c r="D110" s="2">
        <v>22483</v>
      </c>
    </row>
    <row r="111" spans="1:4" x14ac:dyDescent="0.25">
      <c r="A111" s="7" t="s">
        <v>125</v>
      </c>
      <c r="B111" s="7" t="s">
        <v>125</v>
      </c>
      <c r="C111" s="7" t="s">
        <v>1658</v>
      </c>
      <c r="D111" s="3">
        <v>22487</v>
      </c>
    </row>
    <row r="112" spans="1:4" x14ac:dyDescent="0.25">
      <c r="A112" s="6" t="s">
        <v>126</v>
      </c>
      <c r="B112" s="6" t="s">
        <v>126</v>
      </c>
      <c r="C112" s="6" t="s">
        <v>126</v>
      </c>
      <c r="D112" s="2">
        <v>22511</v>
      </c>
    </row>
    <row r="113" spans="1:4" x14ac:dyDescent="0.25">
      <c r="A113" s="7" t="s">
        <v>127</v>
      </c>
      <c r="B113" s="7" t="s">
        <v>127</v>
      </c>
      <c r="C113" s="7" t="s">
        <v>1659</v>
      </c>
      <c r="D113" s="3">
        <v>22515</v>
      </c>
    </row>
    <row r="114" spans="1:4" x14ac:dyDescent="0.25">
      <c r="A114" s="6" t="s">
        <v>128</v>
      </c>
      <c r="B114" s="6" t="s">
        <v>128</v>
      </c>
      <c r="C114" s="6" t="s">
        <v>1660</v>
      </c>
      <c r="D114" s="2">
        <v>22519</v>
      </c>
    </row>
    <row r="115" spans="1:4" x14ac:dyDescent="0.25">
      <c r="A115" s="7" t="s">
        <v>129</v>
      </c>
      <c r="B115" s="7" t="s">
        <v>129</v>
      </c>
      <c r="C115" s="7" t="s">
        <v>1661</v>
      </c>
      <c r="D115" s="3">
        <v>22523</v>
      </c>
    </row>
    <row r="116" spans="1:4" x14ac:dyDescent="0.25">
      <c r="A116" s="6" t="s">
        <v>130</v>
      </c>
      <c r="B116" s="6" t="s">
        <v>130</v>
      </c>
      <c r="C116" s="6" t="s">
        <v>1662</v>
      </c>
      <c r="D116" s="2">
        <v>22527</v>
      </c>
    </row>
    <row r="117" spans="1:4" x14ac:dyDescent="0.25">
      <c r="A117" s="7" t="s">
        <v>131</v>
      </c>
      <c r="B117" s="7" t="s">
        <v>131</v>
      </c>
      <c r="C117" s="7" t="s">
        <v>1663</v>
      </c>
      <c r="D117" s="3">
        <v>22531</v>
      </c>
    </row>
    <row r="118" spans="1:4" x14ac:dyDescent="0.25">
      <c r="A118" s="6" t="s">
        <v>132</v>
      </c>
      <c r="B118" s="6" t="s">
        <v>132</v>
      </c>
      <c r="C118" s="6" t="s">
        <v>1664</v>
      </c>
      <c r="D118" s="2">
        <v>22535</v>
      </c>
    </row>
    <row r="119" spans="1:4" x14ac:dyDescent="0.25">
      <c r="A119" s="7" t="s">
        <v>2820</v>
      </c>
      <c r="B119" s="7" t="s">
        <v>133</v>
      </c>
      <c r="C119" s="7" t="s">
        <v>1665</v>
      </c>
      <c r="D119" s="3">
        <v>22539</v>
      </c>
    </row>
    <row r="120" spans="1:4" x14ac:dyDescent="0.25">
      <c r="A120" s="6" t="s">
        <v>2821</v>
      </c>
      <c r="B120" s="6" t="s">
        <v>134</v>
      </c>
      <c r="C120" s="6" t="s">
        <v>1666</v>
      </c>
      <c r="D120" s="2">
        <v>22543</v>
      </c>
    </row>
    <row r="121" spans="1:4" x14ac:dyDescent="0.25">
      <c r="A121" s="7" t="s">
        <v>135</v>
      </c>
      <c r="B121" s="7" t="s">
        <v>135</v>
      </c>
      <c r="C121" s="7" t="s">
        <v>1667</v>
      </c>
      <c r="D121" s="3">
        <v>22547</v>
      </c>
    </row>
    <row r="122" spans="1:4" x14ac:dyDescent="0.25">
      <c r="A122" s="6" t="s">
        <v>136</v>
      </c>
      <c r="B122" s="6" t="s">
        <v>136</v>
      </c>
      <c r="C122" s="6" t="s">
        <v>1668</v>
      </c>
      <c r="D122" s="2">
        <v>22551</v>
      </c>
    </row>
    <row r="123" spans="1:4" x14ac:dyDescent="0.25">
      <c r="A123" s="7" t="s">
        <v>2822</v>
      </c>
      <c r="B123" s="7" t="s">
        <v>137</v>
      </c>
      <c r="C123" s="7" t="s">
        <v>1669</v>
      </c>
      <c r="D123" s="3">
        <v>22555</v>
      </c>
    </row>
    <row r="124" spans="1:4" x14ac:dyDescent="0.25">
      <c r="A124" s="6" t="s">
        <v>2823</v>
      </c>
      <c r="B124" s="6" t="s">
        <v>138</v>
      </c>
      <c r="C124" s="6" t="s">
        <v>1670</v>
      </c>
      <c r="D124" s="2">
        <v>22559</v>
      </c>
    </row>
    <row r="125" spans="1:4" x14ac:dyDescent="0.25">
      <c r="A125" s="7" t="s">
        <v>139</v>
      </c>
      <c r="B125" s="7" t="s">
        <v>139</v>
      </c>
      <c r="C125" s="7" t="s">
        <v>1671</v>
      </c>
      <c r="D125" s="3">
        <v>22563</v>
      </c>
    </row>
    <row r="126" spans="1:4" x14ac:dyDescent="0.25">
      <c r="A126" s="6" t="s">
        <v>140</v>
      </c>
      <c r="B126" s="6" t="s">
        <v>140</v>
      </c>
      <c r="C126" s="6" t="s">
        <v>1672</v>
      </c>
      <c r="D126" s="2">
        <v>22567</v>
      </c>
    </row>
    <row r="127" spans="1:4" x14ac:dyDescent="0.25">
      <c r="A127" s="7" t="s">
        <v>2824</v>
      </c>
      <c r="B127" s="7" t="s">
        <v>141</v>
      </c>
      <c r="C127" s="7" t="s">
        <v>1673</v>
      </c>
      <c r="D127" s="3">
        <v>22571</v>
      </c>
    </row>
    <row r="128" spans="1:4" x14ac:dyDescent="0.25">
      <c r="A128" s="6" t="s">
        <v>142</v>
      </c>
      <c r="B128" s="6" t="s">
        <v>142</v>
      </c>
      <c r="C128" s="6" t="s">
        <v>1674</v>
      </c>
      <c r="D128" s="2">
        <v>22575</v>
      </c>
    </row>
    <row r="129" spans="1:4" x14ac:dyDescent="0.25">
      <c r="A129" s="7" t="s">
        <v>143</v>
      </c>
      <c r="B129" s="7" t="s">
        <v>143</v>
      </c>
      <c r="C129" s="7" t="s">
        <v>143</v>
      </c>
      <c r="D129" s="3">
        <v>22579</v>
      </c>
    </row>
    <row r="130" spans="1:4" x14ac:dyDescent="0.25">
      <c r="A130" s="6" t="s">
        <v>144</v>
      </c>
      <c r="B130" s="6" t="s">
        <v>144</v>
      </c>
      <c r="C130" s="6" t="s">
        <v>1675</v>
      </c>
      <c r="D130" s="2">
        <v>22583</v>
      </c>
    </row>
    <row r="131" spans="1:4" x14ac:dyDescent="0.25">
      <c r="A131" s="7" t="s">
        <v>145</v>
      </c>
      <c r="B131" s="7" t="s">
        <v>145</v>
      </c>
      <c r="C131" s="7" t="s">
        <v>1676</v>
      </c>
      <c r="D131" s="3">
        <v>22587</v>
      </c>
    </row>
    <row r="132" spans="1:4" x14ac:dyDescent="0.25">
      <c r="A132" s="6" t="s">
        <v>146</v>
      </c>
      <c r="B132" s="6" t="s">
        <v>146</v>
      </c>
      <c r="C132" s="6" t="s">
        <v>146</v>
      </c>
      <c r="D132" s="2">
        <v>22591</v>
      </c>
    </row>
    <row r="133" spans="1:4" x14ac:dyDescent="0.25">
      <c r="A133" s="7" t="s">
        <v>147</v>
      </c>
      <c r="B133" s="7" t="s">
        <v>147</v>
      </c>
      <c r="C133" s="7" t="s">
        <v>1677</v>
      </c>
      <c r="D133" s="3">
        <v>22595</v>
      </c>
    </row>
    <row r="134" spans="1:4" x14ac:dyDescent="0.25">
      <c r="A134" s="6" t="s">
        <v>148</v>
      </c>
      <c r="B134" s="6" t="s">
        <v>148</v>
      </c>
      <c r="C134" s="6" t="s">
        <v>1678</v>
      </c>
      <c r="D134" s="2">
        <v>22611</v>
      </c>
    </row>
    <row r="135" spans="1:4" x14ac:dyDescent="0.25">
      <c r="A135" s="7" t="s">
        <v>149</v>
      </c>
      <c r="B135" s="7" t="s">
        <v>149</v>
      </c>
      <c r="C135" s="7" t="s">
        <v>1679</v>
      </c>
      <c r="D135" s="3">
        <v>22619</v>
      </c>
    </row>
    <row r="136" spans="1:4" x14ac:dyDescent="0.25">
      <c r="A136" s="6" t="s">
        <v>150</v>
      </c>
      <c r="B136" s="6" t="s">
        <v>150</v>
      </c>
      <c r="C136" s="6" t="s">
        <v>1680</v>
      </c>
      <c r="D136" s="2">
        <v>22627</v>
      </c>
    </row>
    <row r="137" spans="1:4" x14ac:dyDescent="0.25">
      <c r="A137" s="7" t="s">
        <v>151</v>
      </c>
      <c r="B137" s="7" t="s">
        <v>151</v>
      </c>
      <c r="C137" s="7" t="s">
        <v>1681</v>
      </c>
      <c r="D137" s="3">
        <v>22635</v>
      </c>
    </row>
    <row r="138" spans="1:4" x14ac:dyDescent="0.25">
      <c r="A138" s="6" t="s">
        <v>152</v>
      </c>
      <c r="B138" s="6" t="s">
        <v>152</v>
      </c>
      <c r="C138" s="6" t="s">
        <v>1682</v>
      </c>
      <c r="D138" s="2">
        <v>22643</v>
      </c>
    </row>
    <row r="139" spans="1:4" x14ac:dyDescent="0.25">
      <c r="A139" s="7" t="s">
        <v>2825</v>
      </c>
      <c r="B139" s="7" t="s">
        <v>153</v>
      </c>
      <c r="C139" s="7" t="s">
        <v>1683</v>
      </c>
      <c r="D139" s="3">
        <v>22651</v>
      </c>
    </row>
    <row r="140" spans="1:4" x14ac:dyDescent="0.25">
      <c r="A140" s="6" t="s">
        <v>154</v>
      </c>
      <c r="B140" s="6" t="s">
        <v>154</v>
      </c>
      <c r="C140" s="6" t="s">
        <v>1684</v>
      </c>
      <c r="D140" s="2">
        <v>22659</v>
      </c>
    </row>
    <row r="141" spans="1:4" x14ac:dyDescent="0.25">
      <c r="A141" s="7" t="s">
        <v>155</v>
      </c>
      <c r="B141" s="7" t="s">
        <v>155</v>
      </c>
      <c r="C141" s="7" t="s">
        <v>1685</v>
      </c>
      <c r="D141" s="3">
        <v>22667</v>
      </c>
    </row>
    <row r="142" spans="1:4" x14ac:dyDescent="0.25">
      <c r="A142" s="6" t="s">
        <v>156</v>
      </c>
      <c r="B142" s="6" t="s">
        <v>156</v>
      </c>
      <c r="C142" s="6" t="s">
        <v>1686</v>
      </c>
      <c r="D142" s="2">
        <v>22675</v>
      </c>
    </row>
    <row r="143" spans="1:4" x14ac:dyDescent="0.25">
      <c r="A143" s="7" t="s">
        <v>157</v>
      </c>
      <c r="B143" s="7" t="s">
        <v>157</v>
      </c>
      <c r="C143" s="7" t="s">
        <v>1687</v>
      </c>
      <c r="D143" s="3">
        <v>22683</v>
      </c>
    </row>
    <row r="144" spans="1:4" x14ac:dyDescent="0.25">
      <c r="A144" s="6" t="s">
        <v>158</v>
      </c>
      <c r="B144" s="6" t="s">
        <v>158</v>
      </c>
      <c r="C144" s="6" t="s">
        <v>1688</v>
      </c>
      <c r="D144" s="2">
        <v>22691</v>
      </c>
    </row>
    <row r="145" spans="1:4" x14ac:dyDescent="0.25">
      <c r="A145" s="7" t="s">
        <v>159</v>
      </c>
      <c r="B145" s="7" t="s">
        <v>159</v>
      </c>
      <c r="C145" s="7" t="s">
        <v>1689</v>
      </c>
      <c r="D145" s="3">
        <v>22711</v>
      </c>
    </row>
    <row r="146" spans="1:4" x14ac:dyDescent="0.25">
      <c r="A146" s="6" t="s">
        <v>2826</v>
      </c>
      <c r="B146" s="6" t="s">
        <v>160</v>
      </c>
      <c r="C146" s="6" t="s">
        <v>1690</v>
      </c>
      <c r="D146" s="2">
        <v>22714</v>
      </c>
    </row>
    <row r="147" spans="1:4" x14ac:dyDescent="0.25">
      <c r="A147" s="7" t="s">
        <v>161</v>
      </c>
      <c r="B147" s="7" t="s">
        <v>161</v>
      </c>
      <c r="C147" s="7" t="s">
        <v>161</v>
      </c>
      <c r="D147" s="3">
        <v>22717</v>
      </c>
    </row>
    <row r="148" spans="1:4" x14ac:dyDescent="0.25">
      <c r="A148" s="6" t="s">
        <v>162</v>
      </c>
      <c r="B148" s="6" t="s">
        <v>162</v>
      </c>
      <c r="C148" s="6" t="s">
        <v>1691</v>
      </c>
      <c r="D148" s="2">
        <v>22722</v>
      </c>
    </row>
    <row r="149" spans="1:4" x14ac:dyDescent="0.25">
      <c r="A149" s="7" t="s">
        <v>163</v>
      </c>
      <c r="B149" s="7" t="s">
        <v>163</v>
      </c>
      <c r="C149" s="7" t="s">
        <v>1692</v>
      </c>
      <c r="D149" s="3">
        <v>22724</v>
      </c>
    </row>
    <row r="150" spans="1:4" x14ac:dyDescent="0.25">
      <c r="A150" s="6" t="s">
        <v>164</v>
      </c>
      <c r="B150" s="6" t="s">
        <v>164</v>
      </c>
      <c r="C150" s="6" t="s">
        <v>1693</v>
      </c>
      <c r="D150" s="2">
        <v>22727</v>
      </c>
    </row>
    <row r="151" spans="1:4" x14ac:dyDescent="0.25">
      <c r="A151" s="7" t="s">
        <v>165</v>
      </c>
      <c r="B151" s="7" t="s">
        <v>165</v>
      </c>
      <c r="C151" s="7" t="s">
        <v>1694</v>
      </c>
      <c r="D151" s="3">
        <v>22731</v>
      </c>
    </row>
    <row r="152" spans="1:4" x14ac:dyDescent="0.25">
      <c r="A152" s="6" t="s">
        <v>166</v>
      </c>
      <c r="B152" s="6" t="s">
        <v>166</v>
      </c>
      <c r="C152" s="6" t="s">
        <v>1695</v>
      </c>
      <c r="D152" s="2">
        <v>22733</v>
      </c>
    </row>
    <row r="153" spans="1:4" x14ac:dyDescent="0.25">
      <c r="A153" s="7" t="s">
        <v>167</v>
      </c>
      <c r="B153" s="7" t="s">
        <v>167</v>
      </c>
      <c r="C153" s="7" t="s">
        <v>167</v>
      </c>
      <c r="D153" s="3">
        <v>22734</v>
      </c>
    </row>
    <row r="154" spans="1:4" x14ac:dyDescent="0.25">
      <c r="A154" s="6" t="s">
        <v>168</v>
      </c>
      <c r="B154" s="6" t="s">
        <v>168</v>
      </c>
      <c r="C154" s="6" t="s">
        <v>1696</v>
      </c>
      <c r="D154" s="2">
        <v>22737</v>
      </c>
    </row>
    <row r="155" spans="1:4" x14ac:dyDescent="0.25">
      <c r="A155" s="7" t="s">
        <v>169</v>
      </c>
      <c r="B155" s="7" t="s">
        <v>169</v>
      </c>
      <c r="C155" s="7" t="s">
        <v>1697</v>
      </c>
      <c r="D155" s="3">
        <v>22741</v>
      </c>
    </row>
    <row r="156" spans="1:4" x14ac:dyDescent="0.25">
      <c r="A156" s="6" t="s">
        <v>170</v>
      </c>
      <c r="B156" s="6" t="s">
        <v>170</v>
      </c>
      <c r="C156" s="6" t="s">
        <v>1698</v>
      </c>
      <c r="D156" s="2">
        <v>22744</v>
      </c>
    </row>
    <row r="157" spans="1:4" x14ac:dyDescent="0.25">
      <c r="A157" s="7" t="s">
        <v>171</v>
      </c>
      <c r="B157" s="7" t="s">
        <v>171</v>
      </c>
      <c r="C157" s="7" t="s">
        <v>1699</v>
      </c>
      <c r="D157" s="3">
        <v>22747</v>
      </c>
    </row>
    <row r="158" spans="1:4" x14ac:dyDescent="0.25">
      <c r="A158" s="6" t="s">
        <v>172</v>
      </c>
      <c r="B158" s="6" t="s">
        <v>172</v>
      </c>
      <c r="C158" s="6" t="s">
        <v>1700</v>
      </c>
      <c r="D158" s="2">
        <v>22751</v>
      </c>
    </row>
    <row r="159" spans="1:4" x14ac:dyDescent="0.25">
      <c r="A159" s="7" t="s">
        <v>173</v>
      </c>
      <c r="B159" s="7" t="s">
        <v>173</v>
      </c>
      <c r="C159" s="7" t="s">
        <v>173</v>
      </c>
      <c r="D159" s="3">
        <v>22754</v>
      </c>
    </row>
    <row r="160" spans="1:4" x14ac:dyDescent="0.25">
      <c r="A160" s="6" t="s">
        <v>174</v>
      </c>
      <c r="B160" s="6" t="s">
        <v>174</v>
      </c>
      <c r="C160" s="6" t="s">
        <v>174</v>
      </c>
      <c r="D160" s="2">
        <v>22757</v>
      </c>
    </row>
    <row r="161" spans="1:4" x14ac:dyDescent="0.25">
      <c r="A161" s="7" t="s">
        <v>175</v>
      </c>
      <c r="B161" s="7" t="s">
        <v>175</v>
      </c>
      <c r="C161" s="7" t="s">
        <v>1701</v>
      </c>
      <c r="D161" s="3">
        <v>22761</v>
      </c>
    </row>
    <row r="162" spans="1:4" x14ac:dyDescent="0.25">
      <c r="A162" s="6" t="s">
        <v>176</v>
      </c>
      <c r="B162" s="6" t="s">
        <v>176</v>
      </c>
      <c r="C162" s="6" t="s">
        <v>1702</v>
      </c>
      <c r="D162" s="2">
        <v>22764</v>
      </c>
    </row>
    <row r="163" spans="1:4" x14ac:dyDescent="0.25">
      <c r="A163" s="7" t="s">
        <v>177</v>
      </c>
      <c r="B163" s="7" t="s">
        <v>177</v>
      </c>
      <c r="C163" s="7" t="s">
        <v>1703</v>
      </c>
      <c r="D163" s="3">
        <v>22767</v>
      </c>
    </row>
    <row r="164" spans="1:4" x14ac:dyDescent="0.25">
      <c r="A164" s="6" t="s">
        <v>178</v>
      </c>
      <c r="B164" s="6" t="s">
        <v>178</v>
      </c>
      <c r="C164" s="6" t="s">
        <v>1704</v>
      </c>
      <c r="D164" s="2">
        <v>22771</v>
      </c>
    </row>
    <row r="165" spans="1:4" x14ac:dyDescent="0.25">
      <c r="A165" s="7" t="s">
        <v>179</v>
      </c>
      <c r="B165" s="7" t="s">
        <v>179</v>
      </c>
      <c r="C165" s="7" t="s">
        <v>1705</v>
      </c>
      <c r="D165" s="3">
        <v>22774</v>
      </c>
    </row>
    <row r="166" spans="1:4" x14ac:dyDescent="0.25">
      <c r="A166" s="6" t="s">
        <v>180</v>
      </c>
      <c r="B166" s="6" t="s">
        <v>180</v>
      </c>
      <c r="C166" s="6" t="s">
        <v>1706</v>
      </c>
      <c r="D166" s="2">
        <v>22777</v>
      </c>
    </row>
    <row r="167" spans="1:4" x14ac:dyDescent="0.25">
      <c r="A167" s="7" t="s">
        <v>181</v>
      </c>
      <c r="B167" s="7" t="s">
        <v>181</v>
      </c>
      <c r="C167" s="7" t="s">
        <v>1707</v>
      </c>
      <c r="D167" s="3">
        <v>22781</v>
      </c>
    </row>
    <row r="168" spans="1:4" x14ac:dyDescent="0.25">
      <c r="A168" s="6" t="s">
        <v>182</v>
      </c>
      <c r="B168" s="6" t="s">
        <v>182</v>
      </c>
      <c r="C168" s="6" t="s">
        <v>1708</v>
      </c>
      <c r="D168" s="2">
        <v>22784</v>
      </c>
    </row>
    <row r="169" spans="1:4" x14ac:dyDescent="0.25">
      <c r="A169" s="7" t="s">
        <v>183</v>
      </c>
      <c r="B169" s="7" t="s">
        <v>183</v>
      </c>
      <c r="C169" s="7" t="s">
        <v>1709</v>
      </c>
      <c r="D169" s="3">
        <v>22787</v>
      </c>
    </row>
    <row r="170" spans="1:4" x14ac:dyDescent="0.25">
      <c r="A170" s="6" t="s">
        <v>184</v>
      </c>
      <c r="B170" s="6" t="s">
        <v>184</v>
      </c>
      <c r="C170" s="6" t="s">
        <v>1710</v>
      </c>
      <c r="D170" s="2">
        <v>22791</v>
      </c>
    </row>
    <row r="171" spans="1:4" x14ac:dyDescent="0.25">
      <c r="A171" s="7" t="s">
        <v>185</v>
      </c>
      <c r="B171" s="7" t="s">
        <v>185</v>
      </c>
      <c r="C171" s="7" t="s">
        <v>185</v>
      </c>
      <c r="D171" s="3">
        <v>22794</v>
      </c>
    </row>
    <row r="172" spans="1:4" x14ac:dyDescent="0.25">
      <c r="A172" s="6" t="s">
        <v>186</v>
      </c>
      <c r="B172" s="6" t="s">
        <v>186</v>
      </c>
      <c r="C172" s="6" t="s">
        <v>186</v>
      </c>
      <c r="D172" s="2">
        <v>22797</v>
      </c>
    </row>
    <row r="173" spans="1:4" x14ac:dyDescent="0.25">
      <c r="A173" s="7" t="s">
        <v>187</v>
      </c>
      <c r="B173" s="7" t="s">
        <v>187</v>
      </c>
      <c r="C173" s="7" t="s">
        <v>1711</v>
      </c>
      <c r="D173" s="3">
        <v>22799</v>
      </c>
    </row>
    <row r="174" spans="1:4" x14ac:dyDescent="0.25">
      <c r="A174" s="6" t="s">
        <v>1563</v>
      </c>
      <c r="B174" s="6" t="s">
        <v>87</v>
      </c>
      <c r="C174" s="6" t="s">
        <v>87</v>
      </c>
      <c r="D174" s="2">
        <v>23001</v>
      </c>
    </row>
    <row r="175" spans="1:4" x14ac:dyDescent="0.25">
      <c r="A175" s="7" t="s">
        <v>1563</v>
      </c>
      <c r="B175" s="7" t="s">
        <v>87</v>
      </c>
      <c r="C175" s="7" t="s">
        <v>87</v>
      </c>
      <c r="D175" s="3">
        <v>23002</v>
      </c>
    </row>
    <row r="176" spans="1:4" x14ac:dyDescent="0.25">
      <c r="A176" s="6" t="s">
        <v>1563</v>
      </c>
      <c r="B176" s="6" t="s">
        <v>87</v>
      </c>
      <c r="C176" s="6" t="s">
        <v>87</v>
      </c>
      <c r="D176" s="2">
        <v>23003</v>
      </c>
    </row>
    <row r="177" spans="1:4" x14ac:dyDescent="0.25">
      <c r="A177" s="7" t="s">
        <v>1563</v>
      </c>
      <c r="B177" s="7" t="s">
        <v>87</v>
      </c>
      <c r="C177" s="7" t="s">
        <v>87</v>
      </c>
      <c r="D177" s="3">
        <v>23003</v>
      </c>
    </row>
    <row r="178" spans="1:4" x14ac:dyDescent="0.25">
      <c r="A178" s="6" t="s">
        <v>1563</v>
      </c>
      <c r="B178" s="6" t="s">
        <v>87</v>
      </c>
      <c r="C178" s="6" t="s">
        <v>87</v>
      </c>
      <c r="D178" s="2">
        <v>23004</v>
      </c>
    </row>
    <row r="179" spans="1:4" x14ac:dyDescent="0.25">
      <c r="A179" s="7" t="s">
        <v>1563</v>
      </c>
      <c r="B179" s="7" t="s">
        <v>87</v>
      </c>
      <c r="C179" s="7" t="s">
        <v>87</v>
      </c>
      <c r="D179" s="3">
        <v>23005</v>
      </c>
    </row>
    <row r="180" spans="1:4" x14ac:dyDescent="0.25">
      <c r="A180" s="6" t="s">
        <v>1563</v>
      </c>
      <c r="B180" s="6" t="s">
        <v>87</v>
      </c>
      <c r="C180" s="6" t="s">
        <v>87</v>
      </c>
      <c r="D180" s="2">
        <v>23006</v>
      </c>
    </row>
    <row r="181" spans="1:4" x14ac:dyDescent="0.25">
      <c r="A181" s="7" t="s">
        <v>1563</v>
      </c>
      <c r="B181" s="7" t="s">
        <v>87</v>
      </c>
      <c r="C181" s="7" t="s">
        <v>87</v>
      </c>
      <c r="D181" s="3">
        <v>23007</v>
      </c>
    </row>
    <row r="182" spans="1:4" x14ac:dyDescent="0.25">
      <c r="A182" s="6" t="s">
        <v>188</v>
      </c>
      <c r="B182" s="6" t="s">
        <v>188</v>
      </c>
      <c r="C182" s="6" t="s">
        <v>188</v>
      </c>
      <c r="D182" s="2">
        <v>23111</v>
      </c>
    </row>
    <row r="183" spans="1:4" x14ac:dyDescent="0.25">
      <c r="A183" s="7" t="s">
        <v>2827</v>
      </c>
      <c r="B183" s="7" t="s">
        <v>189</v>
      </c>
      <c r="C183" s="7" t="s">
        <v>1712</v>
      </c>
      <c r="D183" s="3">
        <v>23141</v>
      </c>
    </row>
    <row r="184" spans="1:4" x14ac:dyDescent="0.25">
      <c r="A184" s="6" t="s">
        <v>190</v>
      </c>
      <c r="B184" s="6" t="s">
        <v>190</v>
      </c>
      <c r="C184" s="6" t="s">
        <v>1713</v>
      </c>
      <c r="D184" s="2">
        <v>23171</v>
      </c>
    </row>
    <row r="185" spans="1:4" x14ac:dyDescent="0.25">
      <c r="A185" s="7" t="s">
        <v>191</v>
      </c>
      <c r="B185" s="7" t="s">
        <v>191</v>
      </c>
      <c r="C185" s="7" t="s">
        <v>1714</v>
      </c>
      <c r="D185" s="3">
        <v>23211</v>
      </c>
    </row>
    <row r="186" spans="1:4" x14ac:dyDescent="0.25">
      <c r="A186" s="6" t="s">
        <v>192</v>
      </c>
      <c r="B186" s="6" t="s">
        <v>192</v>
      </c>
      <c r="C186" s="6" t="s">
        <v>1715</v>
      </c>
      <c r="D186" s="2">
        <v>23215</v>
      </c>
    </row>
    <row r="187" spans="1:4" x14ac:dyDescent="0.25">
      <c r="A187" s="7" t="s">
        <v>193</v>
      </c>
      <c r="B187" s="7" t="s">
        <v>193</v>
      </c>
      <c r="C187" s="7" t="s">
        <v>1716</v>
      </c>
      <c r="D187" s="3">
        <v>23219</v>
      </c>
    </row>
    <row r="188" spans="1:4" x14ac:dyDescent="0.25">
      <c r="A188" s="6" t="s">
        <v>194</v>
      </c>
      <c r="B188" s="6" t="s">
        <v>194</v>
      </c>
      <c r="C188" s="6" t="s">
        <v>1717</v>
      </c>
      <c r="D188" s="2">
        <v>23223</v>
      </c>
    </row>
    <row r="189" spans="1:4" x14ac:dyDescent="0.25">
      <c r="A189" s="7" t="s">
        <v>195</v>
      </c>
      <c r="B189" s="7" t="s">
        <v>195</v>
      </c>
      <c r="C189" s="7" t="s">
        <v>1718</v>
      </c>
      <c r="D189" s="3">
        <v>23227</v>
      </c>
    </row>
    <row r="190" spans="1:4" x14ac:dyDescent="0.25">
      <c r="A190" s="6" t="s">
        <v>196</v>
      </c>
      <c r="B190" s="6" t="s">
        <v>196</v>
      </c>
      <c r="C190" s="6" t="s">
        <v>1719</v>
      </c>
      <c r="D190" s="2">
        <v>23231</v>
      </c>
    </row>
    <row r="191" spans="1:4" x14ac:dyDescent="0.25">
      <c r="A191" s="7" t="s">
        <v>2828</v>
      </c>
      <c r="B191" s="7" t="s">
        <v>197</v>
      </c>
      <c r="C191" s="7" t="s">
        <v>1720</v>
      </c>
      <c r="D191" s="3">
        <v>23235</v>
      </c>
    </row>
    <row r="192" spans="1:4" x14ac:dyDescent="0.25">
      <c r="A192" s="6" t="s">
        <v>198</v>
      </c>
      <c r="B192" s="6" t="s">
        <v>198</v>
      </c>
      <c r="C192" s="6" t="s">
        <v>1721</v>
      </c>
      <c r="D192" s="2">
        <v>23237</v>
      </c>
    </row>
    <row r="193" spans="1:4" x14ac:dyDescent="0.25">
      <c r="A193" s="7" t="s">
        <v>199</v>
      </c>
      <c r="B193" s="7" t="s">
        <v>199</v>
      </c>
      <c r="C193" s="7" t="s">
        <v>1722</v>
      </c>
      <c r="D193" s="3">
        <v>23239</v>
      </c>
    </row>
    <row r="194" spans="1:4" x14ac:dyDescent="0.25">
      <c r="A194" s="6" t="s">
        <v>200</v>
      </c>
      <c r="B194" s="6" t="s">
        <v>200</v>
      </c>
      <c r="C194" s="6" t="s">
        <v>1723</v>
      </c>
      <c r="D194" s="2">
        <v>23243</v>
      </c>
    </row>
    <row r="195" spans="1:4" x14ac:dyDescent="0.25">
      <c r="A195" s="7" t="s">
        <v>201</v>
      </c>
      <c r="B195" s="7" t="s">
        <v>201</v>
      </c>
      <c r="C195" s="7" t="s">
        <v>1724</v>
      </c>
      <c r="D195" s="3">
        <v>23247</v>
      </c>
    </row>
    <row r="196" spans="1:4" x14ac:dyDescent="0.25">
      <c r="A196" s="6" t="s">
        <v>202</v>
      </c>
      <c r="B196" s="6" t="s">
        <v>202</v>
      </c>
      <c r="C196" s="6" t="s">
        <v>202</v>
      </c>
      <c r="D196" s="2">
        <v>23251</v>
      </c>
    </row>
    <row r="197" spans="1:4" x14ac:dyDescent="0.25">
      <c r="A197" s="7" t="s">
        <v>203</v>
      </c>
      <c r="B197" s="7" t="s">
        <v>203</v>
      </c>
      <c r="C197" s="7" t="s">
        <v>1725</v>
      </c>
      <c r="D197" s="3">
        <v>23253</v>
      </c>
    </row>
    <row r="198" spans="1:4" x14ac:dyDescent="0.25">
      <c r="A198" s="6" t="s">
        <v>204</v>
      </c>
      <c r="B198" s="6" t="s">
        <v>204</v>
      </c>
      <c r="C198" s="6" t="s">
        <v>204</v>
      </c>
      <c r="D198" s="2">
        <v>23255</v>
      </c>
    </row>
    <row r="199" spans="1:4" x14ac:dyDescent="0.25">
      <c r="A199" s="7" t="s">
        <v>2829</v>
      </c>
      <c r="B199" s="7" t="s">
        <v>205</v>
      </c>
      <c r="C199" s="7" t="s">
        <v>1726</v>
      </c>
      <c r="D199" s="3">
        <v>23259</v>
      </c>
    </row>
    <row r="200" spans="1:4" x14ac:dyDescent="0.25">
      <c r="A200" s="6" t="s">
        <v>206</v>
      </c>
      <c r="B200" s="6" t="s">
        <v>206</v>
      </c>
      <c r="C200" s="6" t="s">
        <v>1727</v>
      </c>
      <c r="D200" s="2">
        <v>23263</v>
      </c>
    </row>
    <row r="201" spans="1:4" x14ac:dyDescent="0.25">
      <c r="A201" s="7" t="s">
        <v>2830</v>
      </c>
      <c r="B201" s="7" t="s">
        <v>207</v>
      </c>
      <c r="C201" s="7" t="s">
        <v>1728</v>
      </c>
      <c r="D201" s="3">
        <v>23267</v>
      </c>
    </row>
    <row r="202" spans="1:4" x14ac:dyDescent="0.25">
      <c r="A202" s="6" t="s">
        <v>208</v>
      </c>
      <c r="B202" s="6" t="s">
        <v>208</v>
      </c>
      <c r="C202" s="6" t="s">
        <v>208</v>
      </c>
      <c r="D202" s="2">
        <v>23271</v>
      </c>
    </row>
    <row r="203" spans="1:4" x14ac:dyDescent="0.25">
      <c r="A203" s="7" t="s">
        <v>209</v>
      </c>
      <c r="B203" s="7" t="s">
        <v>209</v>
      </c>
      <c r="C203" s="7" t="s">
        <v>1729</v>
      </c>
      <c r="D203" s="3">
        <v>23275</v>
      </c>
    </row>
    <row r="204" spans="1:4" x14ac:dyDescent="0.25">
      <c r="A204" s="6" t="s">
        <v>210</v>
      </c>
      <c r="B204" s="6" t="s">
        <v>210</v>
      </c>
      <c r="C204" s="6" t="s">
        <v>1730</v>
      </c>
      <c r="D204" s="2">
        <v>23279</v>
      </c>
    </row>
    <row r="205" spans="1:4" x14ac:dyDescent="0.25">
      <c r="A205" s="7" t="s">
        <v>211</v>
      </c>
      <c r="B205" s="7" t="s">
        <v>211</v>
      </c>
      <c r="C205" s="7" t="s">
        <v>1731</v>
      </c>
      <c r="D205" s="3">
        <v>23311</v>
      </c>
    </row>
    <row r="206" spans="1:4" x14ac:dyDescent="0.25">
      <c r="A206" s="6" t="s">
        <v>2831</v>
      </c>
      <c r="B206" s="6" t="s">
        <v>212</v>
      </c>
      <c r="C206" s="6" t="s">
        <v>1732</v>
      </c>
      <c r="D206" s="2">
        <v>23316</v>
      </c>
    </row>
    <row r="207" spans="1:4" x14ac:dyDescent="0.25">
      <c r="A207" s="7" t="s">
        <v>213</v>
      </c>
      <c r="B207" s="7" t="s">
        <v>213</v>
      </c>
      <c r="C207" s="7" t="s">
        <v>1733</v>
      </c>
      <c r="D207" s="3">
        <v>23321</v>
      </c>
    </row>
    <row r="208" spans="1:4" x14ac:dyDescent="0.25">
      <c r="A208" s="6" t="s">
        <v>214</v>
      </c>
      <c r="B208" s="6" t="s">
        <v>214</v>
      </c>
      <c r="C208" s="6" t="s">
        <v>214</v>
      </c>
      <c r="D208" s="2">
        <v>23326</v>
      </c>
    </row>
    <row r="209" spans="1:4" x14ac:dyDescent="0.25">
      <c r="A209" s="7" t="s">
        <v>2832</v>
      </c>
      <c r="B209" s="7" t="s">
        <v>215</v>
      </c>
      <c r="C209" s="7" t="s">
        <v>1734</v>
      </c>
      <c r="D209" s="3">
        <v>23331</v>
      </c>
    </row>
    <row r="210" spans="1:4" x14ac:dyDescent="0.25">
      <c r="A210" s="6" t="s">
        <v>216</v>
      </c>
      <c r="B210" s="6" t="s">
        <v>216</v>
      </c>
      <c r="C210" s="6" t="s">
        <v>216</v>
      </c>
      <c r="D210" s="2">
        <v>23336</v>
      </c>
    </row>
    <row r="211" spans="1:4" x14ac:dyDescent="0.25">
      <c r="A211" s="7" t="s">
        <v>2833</v>
      </c>
      <c r="B211" s="7" t="s">
        <v>217</v>
      </c>
      <c r="C211" s="7" t="s">
        <v>1735</v>
      </c>
      <c r="D211" s="3">
        <v>23341</v>
      </c>
    </row>
    <row r="212" spans="1:4" x14ac:dyDescent="0.25">
      <c r="A212" s="6" t="s">
        <v>218</v>
      </c>
      <c r="B212" s="6" t="s">
        <v>218</v>
      </c>
      <c r="C212" s="6" t="s">
        <v>1736</v>
      </c>
      <c r="D212" s="2">
        <v>23346</v>
      </c>
    </row>
    <row r="213" spans="1:4" x14ac:dyDescent="0.25">
      <c r="A213" s="7" t="s">
        <v>219</v>
      </c>
      <c r="B213" s="7" t="s">
        <v>219</v>
      </c>
      <c r="C213" s="7" t="s">
        <v>1737</v>
      </c>
      <c r="D213" s="3">
        <v>23351</v>
      </c>
    </row>
    <row r="214" spans="1:4" x14ac:dyDescent="0.25">
      <c r="A214" s="6" t="s">
        <v>220</v>
      </c>
      <c r="B214" s="6" t="s">
        <v>220</v>
      </c>
      <c r="C214" s="6" t="s">
        <v>1738</v>
      </c>
      <c r="D214" s="2">
        <v>23356</v>
      </c>
    </row>
    <row r="215" spans="1:4" x14ac:dyDescent="0.25">
      <c r="A215" s="7" t="s">
        <v>221</v>
      </c>
      <c r="B215" s="7" t="s">
        <v>221</v>
      </c>
      <c r="C215" s="7" t="s">
        <v>221</v>
      </c>
      <c r="D215" s="3">
        <v>23361</v>
      </c>
    </row>
    <row r="216" spans="1:4" x14ac:dyDescent="0.25">
      <c r="A216" s="6" t="s">
        <v>2834</v>
      </c>
      <c r="B216" s="6" t="s">
        <v>222</v>
      </c>
      <c r="C216" s="6" t="s">
        <v>1739</v>
      </c>
      <c r="D216" s="2">
        <v>23365</v>
      </c>
    </row>
    <row r="217" spans="1:4" x14ac:dyDescent="0.25">
      <c r="A217" s="7" t="s">
        <v>223</v>
      </c>
      <c r="B217" s="7" t="s">
        <v>223</v>
      </c>
      <c r="C217" s="7" t="s">
        <v>1740</v>
      </c>
      <c r="D217" s="3">
        <v>23366</v>
      </c>
    </row>
    <row r="218" spans="1:4" x14ac:dyDescent="0.25">
      <c r="A218" s="6" t="s">
        <v>224</v>
      </c>
      <c r="B218" s="6" t="s">
        <v>224</v>
      </c>
      <c r="C218" s="6" t="s">
        <v>1741</v>
      </c>
      <c r="D218" s="2">
        <v>23371</v>
      </c>
    </row>
    <row r="219" spans="1:4" x14ac:dyDescent="0.25">
      <c r="A219" s="7" t="s">
        <v>2835</v>
      </c>
      <c r="B219" s="7" t="s">
        <v>225</v>
      </c>
      <c r="C219" s="7" t="s">
        <v>1742</v>
      </c>
      <c r="D219" s="3">
        <v>23376</v>
      </c>
    </row>
    <row r="220" spans="1:4" x14ac:dyDescent="0.25">
      <c r="A220" s="6" t="s">
        <v>2836</v>
      </c>
      <c r="B220" s="6" t="s">
        <v>226</v>
      </c>
      <c r="C220" s="6" t="s">
        <v>1743</v>
      </c>
      <c r="D220" s="2">
        <v>23381</v>
      </c>
    </row>
    <row r="221" spans="1:4" x14ac:dyDescent="0.25">
      <c r="A221" s="7" t="s">
        <v>227</v>
      </c>
      <c r="B221" s="7" t="s">
        <v>227</v>
      </c>
      <c r="C221" s="7" t="s">
        <v>1744</v>
      </c>
      <c r="D221" s="3">
        <v>23386</v>
      </c>
    </row>
    <row r="222" spans="1:4" x14ac:dyDescent="0.25">
      <c r="A222" s="6" t="s">
        <v>228</v>
      </c>
      <c r="B222" s="6" t="s">
        <v>228</v>
      </c>
      <c r="C222" s="6" t="s">
        <v>1745</v>
      </c>
      <c r="D222" s="2">
        <v>23411</v>
      </c>
    </row>
    <row r="223" spans="1:4" x14ac:dyDescent="0.25">
      <c r="A223" s="7" t="s">
        <v>229</v>
      </c>
      <c r="B223" s="7" t="s">
        <v>229</v>
      </c>
      <c r="C223" s="7" t="s">
        <v>1746</v>
      </c>
      <c r="D223" s="3">
        <v>23413</v>
      </c>
    </row>
    <row r="224" spans="1:4" x14ac:dyDescent="0.25">
      <c r="A224" s="6" t="s">
        <v>230</v>
      </c>
      <c r="B224" s="6" t="s">
        <v>230</v>
      </c>
      <c r="C224" s="6" t="s">
        <v>1747</v>
      </c>
      <c r="D224" s="2">
        <v>23415</v>
      </c>
    </row>
    <row r="225" spans="1:4" x14ac:dyDescent="0.25">
      <c r="A225" s="7" t="s">
        <v>2837</v>
      </c>
      <c r="B225" s="7" t="s">
        <v>231</v>
      </c>
      <c r="C225" s="7" t="s">
        <v>1748</v>
      </c>
      <c r="D225" s="3">
        <v>23417</v>
      </c>
    </row>
    <row r="226" spans="1:4" x14ac:dyDescent="0.25">
      <c r="A226" s="6" t="s">
        <v>232</v>
      </c>
      <c r="B226" s="6" t="s">
        <v>232</v>
      </c>
      <c r="C226" s="6" t="s">
        <v>1749</v>
      </c>
      <c r="D226" s="2">
        <v>23419</v>
      </c>
    </row>
    <row r="227" spans="1:4" x14ac:dyDescent="0.25">
      <c r="A227" s="7" t="s">
        <v>233</v>
      </c>
      <c r="B227" s="7" t="s">
        <v>233</v>
      </c>
      <c r="C227" s="7" t="s">
        <v>1750</v>
      </c>
      <c r="D227" s="3">
        <v>23421</v>
      </c>
    </row>
    <row r="228" spans="1:4" x14ac:dyDescent="0.25">
      <c r="A228" s="6" t="s">
        <v>234</v>
      </c>
      <c r="B228" s="6" t="s">
        <v>234</v>
      </c>
      <c r="C228" s="6" t="s">
        <v>1751</v>
      </c>
      <c r="D228" s="2">
        <v>23423</v>
      </c>
    </row>
    <row r="229" spans="1:4" x14ac:dyDescent="0.25">
      <c r="A229" s="7" t="s">
        <v>235</v>
      </c>
      <c r="B229" s="7" t="s">
        <v>235</v>
      </c>
      <c r="C229" s="7" t="s">
        <v>1608</v>
      </c>
      <c r="D229" s="3">
        <v>23425</v>
      </c>
    </row>
    <row r="230" spans="1:4" x14ac:dyDescent="0.25">
      <c r="A230" s="6" t="s">
        <v>236</v>
      </c>
      <c r="B230" s="6" t="s">
        <v>236</v>
      </c>
      <c r="C230" s="6" t="s">
        <v>1752</v>
      </c>
      <c r="D230" s="2">
        <v>23427</v>
      </c>
    </row>
    <row r="231" spans="1:4" x14ac:dyDescent="0.25">
      <c r="A231" s="7" t="s">
        <v>2838</v>
      </c>
      <c r="B231" s="7" t="s">
        <v>237</v>
      </c>
      <c r="C231" s="7" t="s">
        <v>1753</v>
      </c>
      <c r="D231" s="3">
        <v>23429</v>
      </c>
    </row>
    <row r="232" spans="1:4" x14ac:dyDescent="0.25">
      <c r="A232" s="6" t="s">
        <v>238</v>
      </c>
      <c r="B232" s="6" t="s">
        <v>238</v>
      </c>
      <c r="C232" s="6" t="s">
        <v>1754</v>
      </c>
      <c r="D232" s="2">
        <v>23431</v>
      </c>
    </row>
    <row r="233" spans="1:4" x14ac:dyDescent="0.25">
      <c r="A233" s="7" t="s">
        <v>239</v>
      </c>
      <c r="B233" s="7" t="s">
        <v>239</v>
      </c>
      <c r="C233" s="7" t="s">
        <v>1755</v>
      </c>
      <c r="D233" s="3">
        <v>23433</v>
      </c>
    </row>
    <row r="234" spans="1:4" x14ac:dyDescent="0.25">
      <c r="A234" s="6" t="s">
        <v>240</v>
      </c>
      <c r="B234" s="6" t="s">
        <v>240</v>
      </c>
      <c r="C234" s="6" t="s">
        <v>240</v>
      </c>
      <c r="D234" s="2">
        <v>23435</v>
      </c>
    </row>
    <row r="235" spans="1:4" x14ac:dyDescent="0.25">
      <c r="A235" s="7" t="s">
        <v>241</v>
      </c>
      <c r="B235" s="7" t="s">
        <v>241</v>
      </c>
      <c r="C235" s="7" t="s">
        <v>241</v>
      </c>
      <c r="D235" s="3">
        <v>23437</v>
      </c>
    </row>
    <row r="236" spans="1:4" x14ac:dyDescent="0.25">
      <c r="A236" s="6" t="s">
        <v>242</v>
      </c>
      <c r="B236" s="6" t="s">
        <v>242</v>
      </c>
      <c r="C236" s="6" t="s">
        <v>1756</v>
      </c>
      <c r="D236" s="2">
        <v>23438</v>
      </c>
    </row>
    <row r="237" spans="1:4" x14ac:dyDescent="0.25">
      <c r="A237" s="7" t="s">
        <v>243</v>
      </c>
      <c r="B237" s="7" t="s">
        <v>243</v>
      </c>
      <c r="C237" s="7" t="s">
        <v>1757</v>
      </c>
      <c r="D237" s="3">
        <v>23439</v>
      </c>
    </row>
    <row r="238" spans="1:4" x14ac:dyDescent="0.25">
      <c r="A238" s="6" t="s">
        <v>244</v>
      </c>
      <c r="B238" s="6" t="s">
        <v>244</v>
      </c>
      <c r="C238" s="6" t="s">
        <v>1758</v>
      </c>
      <c r="D238" s="2">
        <v>23441</v>
      </c>
    </row>
    <row r="239" spans="1:4" x14ac:dyDescent="0.25">
      <c r="A239" s="7" t="s">
        <v>245</v>
      </c>
      <c r="B239" s="7" t="s">
        <v>245</v>
      </c>
      <c r="C239" s="7" t="s">
        <v>1759</v>
      </c>
      <c r="D239" s="3">
        <v>23443</v>
      </c>
    </row>
    <row r="240" spans="1:4" x14ac:dyDescent="0.25">
      <c r="A240" s="6" t="s">
        <v>246</v>
      </c>
      <c r="B240" s="6" t="s">
        <v>246</v>
      </c>
      <c r="C240" s="6" t="s">
        <v>1760</v>
      </c>
      <c r="D240" s="2">
        <v>23445</v>
      </c>
    </row>
    <row r="241" spans="1:4" x14ac:dyDescent="0.25">
      <c r="A241" s="7" t="s">
        <v>247</v>
      </c>
      <c r="B241" s="7" t="s">
        <v>247</v>
      </c>
      <c r="C241" s="7" t="s">
        <v>1761</v>
      </c>
      <c r="D241" s="3">
        <v>23447</v>
      </c>
    </row>
    <row r="242" spans="1:4" x14ac:dyDescent="0.25">
      <c r="A242" s="6" t="s">
        <v>248</v>
      </c>
      <c r="B242" s="6" t="s">
        <v>248</v>
      </c>
      <c r="C242" s="6" t="s">
        <v>1762</v>
      </c>
      <c r="D242" s="2">
        <v>23449</v>
      </c>
    </row>
    <row r="243" spans="1:4" x14ac:dyDescent="0.25">
      <c r="A243" s="7" t="s">
        <v>249</v>
      </c>
      <c r="B243" s="7" t="s">
        <v>249</v>
      </c>
      <c r="C243" s="7" t="s">
        <v>1763</v>
      </c>
      <c r="D243" s="3">
        <v>23451</v>
      </c>
    </row>
    <row r="244" spans="1:4" x14ac:dyDescent="0.25">
      <c r="A244" s="6" t="s">
        <v>250</v>
      </c>
      <c r="B244" s="6" t="s">
        <v>250</v>
      </c>
      <c r="C244" s="6" t="s">
        <v>1764</v>
      </c>
      <c r="D244" s="2">
        <v>23453</v>
      </c>
    </row>
    <row r="245" spans="1:4" x14ac:dyDescent="0.25">
      <c r="A245" s="7" t="s">
        <v>251</v>
      </c>
      <c r="B245" s="7" t="s">
        <v>251</v>
      </c>
      <c r="C245" s="7" t="s">
        <v>1765</v>
      </c>
      <c r="D245" s="3">
        <v>23454</v>
      </c>
    </row>
    <row r="246" spans="1:4" x14ac:dyDescent="0.25">
      <c r="A246" s="6" t="s">
        <v>252</v>
      </c>
      <c r="B246" s="6" t="s">
        <v>252</v>
      </c>
      <c r="C246" s="6" t="s">
        <v>1766</v>
      </c>
      <c r="D246" s="2">
        <v>23455</v>
      </c>
    </row>
    <row r="247" spans="1:4" x14ac:dyDescent="0.25">
      <c r="A247" s="7" t="s">
        <v>253</v>
      </c>
      <c r="B247" s="7" t="s">
        <v>253</v>
      </c>
      <c r="C247" s="7" t="s">
        <v>1767</v>
      </c>
      <c r="D247" s="3">
        <v>23457</v>
      </c>
    </row>
    <row r="248" spans="1:4" x14ac:dyDescent="0.25">
      <c r="A248" s="6" t="s">
        <v>254</v>
      </c>
      <c r="B248" s="6" t="s">
        <v>254</v>
      </c>
      <c r="C248" s="6" t="s">
        <v>1768</v>
      </c>
      <c r="D248" s="2">
        <v>23459</v>
      </c>
    </row>
    <row r="249" spans="1:4" x14ac:dyDescent="0.25">
      <c r="A249" s="7" t="s">
        <v>255</v>
      </c>
      <c r="B249" s="7" t="s">
        <v>255</v>
      </c>
      <c r="C249" s="7" t="s">
        <v>1769</v>
      </c>
      <c r="D249" s="3">
        <v>23461</v>
      </c>
    </row>
    <row r="250" spans="1:4" x14ac:dyDescent="0.25">
      <c r="A250" s="6" t="s">
        <v>2839</v>
      </c>
      <c r="B250" s="6" t="s">
        <v>256</v>
      </c>
      <c r="C250" s="6" t="s">
        <v>1770</v>
      </c>
      <c r="D250" s="2">
        <v>23463</v>
      </c>
    </row>
    <row r="251" spans="1:4" x14ac:dyDescent="0.25">
      <c r="A251" s="7" t="s">
        <v>257</v>
      </c>
      <c r="B251" s="7" t="s">
        <v>257</v>
      </c>
      <c r="C251" s="7" t="s">
        <v>1771</v>
      </c>
      <c r="D251" s="3">
        <v>23467</v>
      </c>
    </row>
    <row r="252" spans="1:4" x14ac:dyDescent="0.25">
      <c r="A252" s="6" t="s">
        <v>258</v>
      </c>
      <c r="B252" s="6" t="s">
        <v>258</v>
      </c>
      <c r="C252" s="6" t="s">
        <v>1772</v>
      </c>
      <c r="D252" s="2">
        <v>23469</v>
      </c>
    </row>
    <row r="253" spans="1:4" x14ac:dyDescent="0.25">
      <c r="A253" s="7" t="s">
        <v>259</v>
      </c>
      <c r="B253" s="7" t="s">
        <v>259</v>
      </c>
      <c r="C253" s="7" t="s">
        <v>1773</v>
      </c>
      <c r="D253" s="3">
        <v>23511</v>
      </c>
    </row>
    <row r="254" spans="1:4" x14ac:dyDescent="0.25">
      <c r="A254" s="6" t="s">
        <v>260</v>
      </c>
      <c r="B254" s="6" t="s">
        <v>260</v>
      </c>
      <c r="C254" s="6" t="s">
        <v>1774</v>
      </c>
      <c r="D254" s="2">
        <v>23522</v>
      </c>
    </row>
    <row r="255" spans="1:4" x14ac:dyDescent="0.25">
      <c r="A255" s="7" t="s">
        <v>261</v>
      </c>
      <c r="B255" s="7" t="s">
        <v>261</v>
      </c>
      <c r="C255" s="7" t="s">
        <v>1775</v>
      </c>
      <c r="D255" s="3">
        <v>23533</v>
      </c>
    </row>
    <row r="256" spans="1:4" x14ac:dyDescent="0.25">
      <c r="A256" s="6" t="s">
        <v>262</v>
      </c>
      <c r="B256" s="6" t="s">
        <v>262</v>
      </c>
      <c r="C256" s="6" t="s">
        <v>1776</v>
      </c>
      <c r="D256" s="2">
        <v>23544</v>
      </c>
    </row>
    <row r="257" spans="1:4" x14ac:dyDescent="0.25">
      <c r="A257" s="7" t="s">
        <v>263</v>
      </c>
      <c r="B257" s="7" t="s">
        <v>263</v>
      </c>
      <c r="C257" s="7" t="s">
        <v>1777</v>
      </c>
      <c r="D257" s="3">
        <v>23555</v>
      </c>
    </row>
    <row r="258" spans="1:4" x14ac:dyDescent="0.25">
      <c r="A258" s="6" t="s">
        <v>2840</v>
      </c>
      <c r="B258" s="6" t="s">
        <v>264</v>
      </c>
      <c r="C258" s="6" t="s">
        <v>264</v>
      </c>
      <c r="D258" s="2">
        <v>23566</v>
      </c>
    </row>
    <row r="259" spans="1:4" x14ac:dyDescent="0.25">
      <c r="A259" s="7" t="s">
        <v>2841</v>
      </c>
      <c r="B259" s="7" t="s">
        <v>265</v>
      </c>
      <c r="C259" s="7" t="s">
        <v>1778</v>
      </c>
      <c r="D259" s="3">
        <v>23577</v>
      </c>
    </row>
    <row r="260" spans="1:4" x14ac:dyDescent="0.25">
      <c r="A260" s="6" t="s">
        <v>266</v>
      </c>
      <c r="B260" s="6" t="s">
        <v>266</v>
      </c>
      <c r="C260" s="6" t="s">
        <v>1779</v>
      </c>
      <c r="D260" s="2">
        <v>23588</v>
      </c>
    </row>
    <row r="261" spans="1:4" x14ac:dyDescent="0.25">
      <c r="A261" s="7" t="s">
        <v>267</v>
      </c>
      <c r="B261" s="7" t="s">
        <v>267</v>
      </c>
      <c r="C261" s="7" t="s">
        <v>1780</v>
      </c>
      <c r="D261" s="3">
        <v>23611</v>
      </c>
    </row>
    <row r="262" spans="1:4" x14ac:dyDescent="0.25">
      <c r="A262" s="6" t="s">
        <v>2842</v>
      </c>
      <c r="B262" s="6" t="s">
        <v>268</v>
      </c>
      <c r="C262" s="6" t="s">
        <v>268</v>
      </c>
      <c r="D262" s="2">
        <v>23615</v>
      </c>
    </row>
    <row r="263" spans="1:4" x14ac:dyDescent="0.25">
      <c r="A263" s="7" t="s">
        <v>269</v>
      </c>
      <c r="B263" s="7" t="s">
        <v>269</v>
      </c>
      <c r="C263" s="7" t="s">
        <v>1781</v>
      </c>
      <c r="D263" s="3">
        <v>23619</v>
      </c>
    </row>
    <row r="264" spans="1:4" x14ac:dyDescent="0.25">
      <c r="A264" s="6" t="s">
        <v>270</v>
      </c>
      <c r="B264" s="6" t="s">
        <v>270</v>
      </c>
      <c r="C264" s="6" t="s">
        <v>1782</v>
      </c>
      <c r="D264" s="2">
        <v>23623</v>
      </c>
    </row>
    <row r="265" spans="1:4" x14ac:dyDescent="0.25">
      <c r="A265" s="7" t="s">
        <v>271</v>
      </c>
      <c r="B265" s="7" t="s">
        <v>271</v>
      </c>
      <c r="C265" s="7" t="s">
        <v>1783</v>
      </c>
      <c r="D265" s="3">
        <v>23625</v>
      </c>
    </row>
    <row r="266" spans="1:4" x14ac:dyDescent="0.25">
      <c r="A266" s="6" t="s">
        <v>272</v>
      </c>
      <c r="B266" s="6" t="s">
        <v>272</v>
      </c>
      <c r="C266" s="6" t="s">
        <v>1784</v>
      </c>
      <c r="D266" s="2">
        <v>23627</v>
      </c>
    </row>
    <row r="267" spans="1:4" x14ac:dyDescent="0.25">
      <c r="A267" s="7" t="s">
        <v>273</v>
      </c>
      <c r="B267" s="7" t="s">
        <v>273</v>
      </c>
      <c r="C267" s="7" t="s">
        <v>273</v>
      </c>
      <c r="D267" s="3">
        <v>23631</v>
      </c>
    </row>
    <row r="268" spans="1:4" x14ac:dyDescent="0.25">
      <c r="A268" s="6" t="s">
        <v>274</v>
      </c>
      <c r="B268" s="6" t="s">
        <v>274</v>
      </c>
      <c r="C268" s="6" t="s">
        <v>1616</v>
      </c>
      <c r="D268" s="2">
        <v>23635</v>
      </c>
    </row>
    <row r="269" spans="1:4" x14ac:dyDescent="0.25">
      <c r="A269" s="7" t="s">
        <v>275</v>
      </c>
      <c r="B269" s="7" t="s">
        <v>275</v>
      </c>
      <c r="C269" s="7" t="s">
        <v>1785</v>
      </c>
      <c r="D269" s="3">
        <v>23639</v>
      </c>
    </row>
    <row r="270" spans="1:4" x14ac:dyDescent="0.25">
      <c r="A270" s="6" t="s">
        <v>276</v>
      </c>
      <c r="B270" s="6" t="s">
        <v>276</v>
      </c>
      <c r="C270" s="6" t="s">
        <v>1786</v>
      </c>
      <c r="D270" s="2">
        <v>23643</v>
      </c>
    </row>
    <row r="271" spans="1:4" x14ac:dyDescent="0.25">
      <c r="A271" s="7" t="s">
        <v>277</v>
      </c>
      <c r="B271" s="7" t="s">
        <v>277</v>
      </c>
      <c r="C271" s="7" t="s">
        <v>277</v>
      </c>
      <c r="D271" s="3">
        <v>23647</v>
      </c>
    </row>
    <row r="272" spans="1:4" x14ac:dyDescent="0.25">
      <c r="A272" s="6" t="s">
        <v>278</v>
      </c>
      <c r="B272" s="6" t="s">
        <v>278</v>
      </c>
      <c r="C272" s="6" t="s">
        <v>1787</v>
      </c>
      <c r="D272" s="2">
        <v>23651</v>
      </c>
    </row>
    <row r="273" spans="1:4" x14ac:dyDescent="0.25">
      <c r="A273" s="7" t="s">
        <v>279</v>
      </c>
      <c r="B273" s="7" t="s">
        <v>279</v>
      </c>
      <c r="C273" s="7" t="s">
        <v>279</v>
      </c>
      <c r="D273" s="3">
        <v>23655</v>
      </c>
    </row>
    <row r="274" spans="1:4" x14ac:dyDescent="0.25">
      <c r="A274" s="6" t="s">
        <v>280</v>
      </c>
      <c r="B274" s="6" t="s">
        <v>280</v>
      </c>
      <c r="C274" s="6" t="s">
        <v>1788</v>
      </c>
      <c r="D274" s="2">
        <v>23659</v>
      </c>
    </row>
    <row r="275" spans="1:4" x14ac:dyDescent="0.25">
      <c r="A275" s="7" t="s">
        <v>281</v>
      </c>
      <c r="B275" s="7" t="s">
        <v>281</v>
      </c>
      <c r="C275" s="7" t="s">
        <v>1789</v>
      </c>
      <c r="D275" s="3">
        <v>23663</v>
      </c>
    </row>
    <row r="276" spans="1:4" x14ac:dyDescent="0.25">
      <c r="A276" s="6" t="s">
        <v>282</v>
      </c>
      <c r="B276" s="6" t="s">
        <v>282</v>
      </c>
      <c r="C276" s="6" t="s">
        <v>1790</v>
      </c>
      <c r="D276" s="2">
        <v>23667</v>
      </c>
    </row>
    <row r="277" spans="1:4" x14ac:dyDescent="0.25">
      <c r="A277" s="7" t="s">
        <v>283</v>
      </c>
      <c r="B277" s="7" t="s">
        <v>283</v>
      </c>
      <c r="C277" s="7" t="s">
        <v>1791</v>
      </c>
      <c r="D277" s="3">
        <v>23671</v>
      </c>
    </row>
    <row r="278" spans="1:4" x14ac:dyDescent="0.25">
      <c r="A278" s="6" t="s">
        <v>284</v>
      </c>
      <c r="B278" s="6" t="s">
        <v>284</v>
      </c>
      <c r="C278" s="6" t="s">
        <v>284</v>
      </c>
      <c r="D278" s="2">
        <v>23675</v>
      </c>
    </row>
    <row r="279" spans="1:4" x14ac:dyDescent="0.25">
      <c r="A279" s="7" t="s">
        <v>285</v>
      </c>
      <c r="B279" s="7" t="s">
        <v>285</v>
      </c>
      <c r="C279" s="7" t="s">
        <v>1792</v>
      </c>
      <c r="D279" s="3">
        <v>23679</v>
      </c>
    </row>
    <row r="280" spans="1:4" x14ac:dyDescent="0.25">
      <c r="A280" s="6" t="s">
        <v>286</v>
      </c>
      <c r="B280" s="6" t="s">
        <v>286</v>
      </c>
      <c r="C280" s="6" t="s">
        <v>1793</v>
      </c>
      <c r="D280" s="2">
        <v>23687</v>
      </c>
    </row>
    <row r="281" spans="1:4" x14ac:dyDescent="0.25">
      <c r="A281" s="7" t="s">
        <v>1563</v>
      </c>
      <c r="B281" s="7" t="s">
        <v>87</v>
      </c>
      <c r="C281" s="7" t="s">
        <v>87</v>
      </c>
      <c r="D281" s="3">
        <v>24001</v>
      </c>
    </row>
    <row r="282" spans="1:4" x14ac:dyDescent="0.25">
      <c r="A282" s="6" t="s">
        <v>1563</v>
      </c>
      <c r="B282" s="6" t="s">
        <v>87</v>
      </c>
      <c r="C282" s="6" t="s">
        <v>87</v>
      </c>
      <c r="D282" s="2">
        <v>24002</v>
      </c>
    </row>
    <row r="283" spans="1:4" x14ac:dyDescent="0.25">
      <c r="A283" s="7" t="s">
        <v>1563</v>
      </c>
      <c r="B283" s="7" t="s">
        <v>87</v>
      </c>
      <c r="C283" s="7" t="s">
        <v>87</v>
      </c>
      <c r="D283" s="3">
        <v>24003</v>
      </c>
    </row>
    <row r="284" spans="1:4" x14ac:dyDescent="0.25">
      <c r="A284" s="6" t="s">
        <v>1563</v>
      </c>
      <c r="B284" s="6" t="s">
        <v>87</v>
      </c>
      <c r="C284" s="6" t="s">
        <v>87</v>
      </c>
      <c r="D284" s="2">
        <v>24004</v>
      </c>
    </row>
    <row r="285" spans="1:4" x14ac:dyDescent="0.25">
      <c r="A285" s="7" t="s">
        <v>1563</v>
      </c>
      <c r="B285" s="7" t="s">
        <v>87</v>
      </c>
      <c r="C285" s="7" t="s">
        <v>87</v>
      </c>
      <c r="D285" s="3">
        <v>24005</v>
      </c>
    </row>
    <row r="286" spans="1:4" x14ac:dyDescent="0.25">
      <c r="A286" s="6" t="s">
        <v>1563</v>
      </c>
      <c r="B286" s="6" t="s">
        <v>87</v>
      </c>
      <c r="C286" s="6" t="s">
        <v>87</v>
      </c>
      <c r="D286" s="2">
        <v>24006</v>
      </c>
    </row>
    <row r="287" spans="1:4" x14ac:dyDescent="0.25">
      <c r="A287" s="7" t="s">
        <v>1563</v>
      </c>
      <c r="B287" s="7" t="s">
        <v>87</v>
      </c>
      <c r="C287" s="7" t="s">
        <v>87</v>
      </c>
      <c r="D287" s="3">
        <v>24007</v>
      </c>
    </row>
    <row r="288" spans="1:4" x14ac:dyDescent="0.25">
      <c r="A288" s="6" t="s">
        <v>1563</v>
      </c>
      <c r="B288" s="6" t="s">
        <v>87</v>
      </c>
      <c r="C288" s="6" t="s">
        <v>87</v>
      </c>
      <c r="D288" s="2">
        <v>24008</v>
      </c>
    </row>
    <row r="289" spans="1:4" x14ac:dyDescent="0.25">
      <c r="A289" s="7" t="s">
        <v>1563</v>
      </c>
      <c r="B289" s="7" t="s">
        <v>87</v>
      </c>
      <c r="C289" s="7" t="s">
        <v>87</v>
      </c>
      <c r="D289" s="3">
        <v>24009</v>
      </c>
    </row>
    <row r="290" spans="1:4" x14ac:dyDescent="0.25">
      <c r="A290" s="6" t="s">
        <v>2843</v>
      </c>
      <c r="B290" s="6" t="s">
        <v>287</v>
      </c>
      <c r="C290" s="6" t="s">
        <v>1794</v>
      </c>
      <c r="D290" s="2">
        <v>24111</v>
      </c>
    </row>
    <row r="291" spans="1:4" x14ac:dyDescent="0.25">
      <c r="A291" s="7" t="s">
        <v>2844</v>
      </c>
      <c r="B291" s="7" t="s">
        <v>288</v>
      </c>
      <c r="C291" s="7" t="s">
        <v>1795</v>
      </c>
      <c r="D291" s="3">
        <v>24133</v>
      </c>
    </row>
    <row r="292" spans="1:4" x14ac:dyDescent="0.25">
      <c r="A292" s="6" t="s">
        <v>289</v>
      </c>
      <c r="B292" s="6" t="s">
        <v>289</v>
      </c>
      <c r="C292" s="6" t="s">
        <v>1796</v>
      </c>
      <c r="D292" s="2">
        <v>24155</v>
      </c>
    </row>
    <row r="293" spans="1:4" x14ac:dyDescent="0.25">
      <c r="A293" s="7" t="s">
        <v>290</v>
      </c>
      <c r="B293" s="7" t="s">
        <v>290</v>
      </c>
      <c r="C293" s="7" t="s">
        <v>1797</v>
      </c>
      <c r="D293" s="3">
        <v>24177</v>
      </c>
    </row>
    <row r="294" spans="1:4" x14ac:dyDescent="0.25">
      <c r="A294" s="6" t="s">
        <v>291</v>
      </c>
      <c r="B294" s="6" t="s">
        <v>291</v>
      </c>
      <c r="C294" s="6" t="s">
        <v>1798</v>
      </c>
      <c r="D294" s="2">
        <v>24211</v>
      </c>
    </row>
    <row r="295" spans="1:4" x14ac:dyDescent="0.25">
      <c r="A295" s="7" t="s">
        <v>292</v>
      </c>
      <c r="B295" s="7" t="s">
        <v>292</v>
      </c>
      <c r="C295" s="7" t="s">
        <v>1799</v>
      </c>
      <c r="D295" s="3">
        <v>24219</v>
      </c>
    </row>
    <row r="296" spans="1:4" x14ac:dyDescent="0.25">
      <c r="A296" s="6" t="s">
        <v>293</v>
      </c>
      <c r="B296" s="6" t="s">
        <v>293</v>
      </c>
      <c r="C296" s="6" t="s">
        <v>1800</v>
      </c>
      <c r="D296" s="2">
        <v>24227</v>
      </c>
    </row>
    <row r="297" spans="1:4" x14ac:dyDescent="0.25">
      <c r="A297" s="7" t="s">
        <v>294</v>
      </c>
      <c r="B297" s="7" t="s">
        <v>294</v>
      </c>
      <c r="C297" s="7" t="s">
        <v>1801</v>
      </c>
      <c r="D297" s="3">
        <v>24235</v>
      </c>
    </row>
    <row r="298" spans="1:4" x14ac:dyDescent="0.25">
      <c r="A298" s="6" t="s">
        <v>295</v>
      </c>
      <c r="B298" s="6" t="s">
        <v>295</v>
      </c>
      <c r="C298" s="6" t="s">
        <v>1802</v>
      </c>
      <c r="D298" s="2">
        <v>24243</v>
      </c>
    </row>
    <row r="299" spans="1:4" x14ac:dyDescent="0.25">
      <c r="A299" s="7" t="s">
        <v>296</v>
      </c>
      <c r="B299" s="7" t="s">
        <v>296</v>
      </c>
      <c r="C299" s="7" t="s">
        <v>1803</v>
      </c>
      <c r="D299" s="3">
        <v>24251</v>
      </c>
    </row>
    <row r="300" spans="1:4" x14ac:dyDescent="0.25">
      <c r="A300" s="6" t="s">
        <v>297</v>
      </c>
      <c r="B300" s="6" t="s">
        <v>297</v>
      </c>
      <c r="C300" s="6" t="s">
        <v>1804</v>
      </c>
      <c r="D300" s="2">
        <v>24259</v>
      </c>
    </row>
    <row r="301" spans="1:4" x14ac:dyDescent="0.25">
      <c r="A301" s="7" t="s">
        <v>298</v>
      </c>
      <c r="B301" s="7" t="s">
        <v>298</v>
      </c>
      <c r="C301" s="7" t="s">
        <v>1805</v>
      </c>
      <c r="D301" s="3">
        <v>24267</v>
      </c>
    </row>
    <row r="302" spans="1:4" x14ac:dyDescent="0.25">
      <c r="A302" s="6" t="s">
        <v>299</v>
      </c>
      <c r="B302" s="6" t="s">
        <v>299</v>
      </c>
      <c r="C302" s="6" t="s">
        <v>1806</v>
      </c>
      <c r="D302" s="2">
        <v>24275</v>
      </c>
    </row>
    <row r="303" spans="1:4" x14ac:dyDescent="0.25">
      <c r="A303" s="7" t="s">
        <v>300</v>
      </c>
      <c r="B303" s="7" t="s">
        <v>300</v>
      </c>
      <c r="C303" s="7" t="s">
        <v>1807</v>
      </c>
      <c r="D303" s="3">
        <v>24283</v>
      </c>
    </row>
    <row r="304" spans="1:4" x14ac:dyDescent="0.25">
      <c r="A304" s="6" t="s">
        <v>301</v>
      </c>
      <c r="B304" s="6" t="s">
        <v>301</v>
      </c>
      <c r="C304" s="6" t="s">
        <v>301</v>
      </c>
      <c r="D304" s="2">
        <v>24291</v>
      </c>
    </row>
    <row r="305" spans="1:4" x14ac:dyDescent="0.25">
      <c r="A305" s="7" t="s">
        <v>302</v>
      </c>
      <c r="B305" s="7" t="s">
        <v>302</v>
      </c>
      <c r="C305" s="7" t="s">
        <v>1808</v>
      </c>
      <c r="D305" s="3">
        <v>24311</v>
      </c>
    </row>
    <row r="306" spans="1:4" x14ac:dyDescent="0.25">
      <c r="A306" s="6" t="s">
        <v>2845</v>
      </c>
      <c r="B306" s="6" t="s">
        <v>303</v>
      </c>
      <c r="C306" s="6" t="s">
        <v>1809</v>
      </c>
      <c r="D306" s="2">
        <v>24313</v>
      </c>
    </row>
    <row r="307" spans="1:4" x14ac:dyDescent="0.25">
      <c r="A307" s="7" t="s">
        <v>2846</v>
      </c>
      <c r="B307" s="7" t="s">
        <v>304</v>
      </c>
      <c r="C307" s="7" t="s">
        <v>1810</v>
      </c>
      <c r="D307" s="3">
        <v>24315</v>
      </c>
    </row>
    <row r="308" spans="1:4" x14ac:dyDescent="0.25">
      <c r="A308" s="6" t="s">
        <v>2847</v>
      </c>
      <c r="B308" s="6" t="s">
        <v>305</v>
      </c>
      <c r="C308" s="6" t="s">
        <v>1811</v>
      </c>
      <c r="D308" s="2">
        <v>24317</v>
      </c>
    </row>
    <row r="309" spans="1:4" x14ac:dyDescent="0.25">
      <c r="A309" s="7" t="s">
        <v>306</v>
      </c>
      <c r="B309" s="7" t="s">
        <v>306</v>
      </c>
      <c r="C309" s="7" t="s">
        <v>1812</v>
      </c>
      <c r="D309" s="3">
        <v>24319</v>
      </c>
    </row>
    <row r="310" spans="1:4" x14ac:dyDescent="0.25">
      <c r="A310" s="6" t="s">
        <v>307</v>
      </c>
      <c r="B310" s="6" t="s">
        <v>307</v>
      </c>
      <c r="C310" s="6" t="s">
        <v>307</v>
      </c>
      <c r="D310" s="2">
        <v>24321</v>
      </c>
    </row>
    <row r="311" spans="1:4" x14ac:dyDescent="0.25">
      <c r="A311" s="7" t="s">
        <v>308</v>
      </c>
      <c r="B311" s="7" t="s">
        <v>308</v>
      </c>
      <c r="C311" s="7" t="s">
        <v>1813</v>
      </c>
      <c r="D311" s="3">
        <v>24323</v>
      </c>
    </row>
    <row r="312" spans="1:4" x14ac:dyDescent="0.25">
      <c r="A312" s="6" t="s">
        <v>2848</v>
      </c>
      <c r="B312" s="6" t="s">
        <v>309</v>
      </c>
      <c r="C312" s="6" t="s">
        <v>1814</v>
      </c>
      <c r="D312" s="2">
        <v>24325</v>
      </c>
    </row>
    <row r="313" spans="1:4" x14ac:dyDescent="0.25">
      <c r="A313" s="7" t="s">
        <v>310</v>
      </c>
      <c r="B313" s="7" t="s">
        <v>310</v>
      </c>
      <c r="C313" s="7" t="s">
        <v>1815</v>
      </c>
      <c r="D313" s="3">
        <v>24327</v>
      </c>
    </row>
    <row r="314" spans="1:4" x14ac:dyDescent="0.25">
      <c r="A314" s="6" t="s">
        <v>311</v>
      </c>
      <c r="B314" s="6" t="s">
        <v>311</v>
      </c>
      <c r="C314" s="6" t="s">
        <v>1816</v>
      </c>
      <c r="D314" s="2">
        <v>24329</v>
      </c>
    </row>
    <row r="315" spans="1:4" x14ac:dyDescent="0.25">
      <c r="A315" s="7" t="s">
        <v>312</v>
      </c>
      <c r="B315" s="7" t="s">
        <v>312</v>
      </c>
      <c r="C315" s="7" t="s">
        <v>1817</v>
      </c>
      <c r="D315" s="3">
        <v>24331</v>
      </c>
    </row>
    <row r="316" spans="1:4" x14ac:dyDescent="0.25">
      <c r="A316" s="6" t="s">
        <v>2849</v>
      </c>
      <c r="B316" s="6" t="s">
        <v>313</v>
      </c>
      <c r="C316" s="6" t="s">
        <v>1818</v>
      </c>
      <c r="D316" s="2">
        <v>24333</v>
      </c>
    </row>
    <row r="317" spans="1:4" x14ac:dyDescent="0.25">
      <c r="A317" s="7" t="s">
        <v>2850</v>
      </c>
      <c r="B317" s="7" t="s">
        <v>314</v>
      </c>
      <c r="C317" s="7" t="s">
        <v>1819</v>
      </c>
      <c r="D317" s="3">
        <v>24335</v>
      </c>
    </row>
    <row r="318" spans="1:4" x14ac:dyDescent="0.25">
      <c r="A318" s="6" t="s">
        <v>315</v>
      </c>
      <c r="B318" s="6" t="s">
        <v>315</v>
      </c>
      <c r="C318" s="6" t="s">
        <v>1820</v>
      </c>
      <c r="D318" s="2">
        <v>24337</v>
      </c>
    </row>
    <row r="319" spans="1:4" x14ac:dyDescent="0.25">
      <c r="A319" s="7" t="s">
        <v>316</v>
      </c>
      <c r="B319" s="7" t="s">
        <v>316</v>
      </c>
      <c r="C319" s="7" t="s">
        <v>1821</v>
      </c>
      <c r="D319" s="3">
        <v>24339</v>
      </c>
    </row>
    <row r="320" spans="1:4" x14ac:dyDescent="0.25">
      <c r="A320" s="6" t="s">
        <v>317</v>
      </c>
      <c r="B320" s="6" t="s">
        <v>317</v>
      </c>
      <c r="C320" s="6" t="s">
        <v>1822</v>
      </c>
      <c r="D320" s="2">
        <v>24341</v>
      </c>
    </row>
    <row r="321" spans="1:4" x14ac:dyDescent="0.25">
      <c r="A321" s="7" t="s">
        <v>318</v>
      </c>
      <c r="B321" s="7" t="s">
        <v>318</v>
      </c>
      <c r="C321" s="7" t="s">
        <v>1823</v>
      </c>
      <c r="D321" s="3">
        <v>24343</v>
      </c>
    </row>
    <row r="322" spans="1:4" x14ac:dyDescent="0.25">
      <c r="A322" s="6" t="s">
        <v>2851</v>
      </c>
      <c r="B322" s="6" t="s">
        <v>319</v>
      </c>
      <c r="C322" s="6" t="s">
        <v>1824</v>
      </c>
      <c r="D322" s="2">
        <v>24345</v>
      </c>
    </row>
    <row r="323" spans="1:4" x14ac:dyDescent="0.25">
      <c r="A323" s="7" t="s">
        <v>320</v>
      </c>
      <c r="B323" s="7" t="s">
        <v>320</v>
      </c>
      <c r="C323" s="7" t="s">
        <v>1825</v>
      </c>
      <c r="D323" s="3">
        <v>24347</v>
      </c>
    </row>
    <row r="324" spans="1:4" x14ac:dyDescent="0.25">
      <c r="A324" s="6" t="s">
        <v>321</v>
      </c>
      <c r="B324" s="6" t="s">
        <v>321</v>
      </c>
      <c r="C324" s="6" t="s">
        <v>1826</v>
      </c>
      <c r="D324" s="2">
        <v>24349</v>
      </c>
    </row>
    <row r="325" spans="1:4" x14ac:dyDescent="0.25">
      <c r="A325" s="7" t="s">
        <v>322</v>
      </c>
      <c r="B325" s="7" t="s">
        <v>322</v>
      </c>
      <c r="C325" s="7" t="s">
        <v>1827</v>
      </c>
      <c r="D325" s="3">
        <v>24351</v>
      </c>
    </row>
    <row r="326" spans="1:4" x14ac:dyDescent="0.25">
      <c r="A326" s="6" t="s">
        <v>323</v>
      </c>
      <c r="B326" s="6" t="s">
        <v>323</v>
      </c>
      <c r="C326" s="6" t="s">
        <v>323</v>
      </c>
      <c r="D326" s="2">
        <v>24353</v>
      </c>
    </row>
    <row r="327" spans="1:4" x14ac:dyDescent="0.25">
      <c r="A327" s="7" t="s">
        <v>2852</v>
      </c>
      <c r="B327" s="7" t="s">
        <v>324</v>
      </c>
      <c r="C327" s="7" t="s">
        <v>1828</v>
      </c>
      <c r="D327" s="3">
        <v>24355</v>
      </c>
    </row>
    <row r="328" spans="1:4" x14ac:dyDescent="0.25">
      <c r="A328" s="6" t="s">
        <v>325</v>
      </c>
      <c r="B328" s="6" t="s">
        <v>325</v>
      </c>
      <c r="C328" s="6" t="s">
        <v>325</v>
      </c>
      <c r="D328" s="2">
        <v>24357</v>
      </c>
    </row>
    <row r="329" spans="1:4" x14ac:dyDescent="0.25">
      <c r="A329" s="7" t="s">
        <v>326</v>
      </c>
      <c r="B329" s="7" t="s">
        <v>326</v>
      </c>
      <c r="C329" s="7" t="s">
        <v>1829</v>
      </c>
      <c r="D329" s="3">
        <v>24359</v>
      </c>
    </row>
    <row r="330" spans="1:4" x14ac:dyDescent="0.25">
      <c r="A330" s="6" t="s">
        <v>327</v>
      </c>
      <c r="B330" s="6" t="s">
        <v>327</v>
      </c>
      <c r="C330" s="6" t="s">
        <v>1830</v>
      </c>
      <c r="D330" s="2">
        <v>24361</v>
      </c>
    </row>
    <row r="331" spans="1:4" x14ac:dyDescent="0.25">
      <c r="A331" s="7" t="s">
        <v>328</v>
      </c>
      <c r="B331" s="7" t="s">
        <v>328</v>
      </c>
      <c r="C331" s="7" t="s">
        <v>328</v>
      </c>
      <c r="D331" s="3">
        <v>24363</v>
      </c>
    </row>
    <row r="332" spans="1:4" x14ac:dyDescent="0.25">
      <c r="A332" s="6" t="s">
        <v>329</v>
      </c>
      <c r="B332" s="6" t="s">
        <v>329</v>
      </c>
      <c r="C332" s="6" t="s">
        <v>1831</v>
      </c>
      <c r="D332" s="2">
        <v>24365</v>
      </c>
    </row>
    <row r="333" spans="1:4" x14ac:dyDescent="0.25">
      <c r="A333" s="7" t="s">
        <v>330</v>
      </c>
      <c r="B333" s="7" t="s">
        <v>330</v>
      </c>
      <c r="C333" s="7" t="s">
        <v>1832</v>
      </c>
      <c r="D333" s="3">
        <v>24367</v>
      </c>
    </row>
    <row r="334" spans="1:4" x14ac:dyDescent="0.25">
      <c r="A334" s="6" t="s">
        <v>331</v>
      </c>
      <c r="B334" s="6" t="s">
        <v>331</v>
      </c>
      <c r="C334" s="6" t="s">
        <v>1833</v>
      </c>
      <c r="D334" s="2">
        <v>24369</v>
      </c>
    </row>
    <row r="335" spans="1:4" x14ac:dyDescent="0.25">
      <c r="A335" s="7" t="s">
        <v>332</v>
      </c>
      <c r="B335" s="7" t="s">
        <v>332</v>
      </c>
      <c r="C335" s="7" t="s">
        <v>1834</v>
      </c>
      <c r="D335" s="3">
        <v>24371</v>
      </c>
    </row>
    <row r="336" spans="1:4" x14ac:dyDescent="0.25">
      <c r="A336" s="6" t="s">
        <v>333</v>
      </c>
      <c r="B336" s="6" t="s">
        <v>333</v>
      </c>
      <c r="C336" s="6" t="s">
        <v>1835</v>
      </c>
      <c r="D336" s="2">
        <v>24373</v>
      </c>
    </row>
    <row r="337" spans="1:4" x14ac:dyDescent="0.25">
      <c r="A337" s="7" t="s">
        <v>334</v>
      </c>
      <c r="B337" s="7" t="s">
        <v>334</v>
      </c>
      <c r="C337" s="7" t="s">
        <v>1836</v>
      </c>
      <c r="D337" s="3">
        <v>24375</v>
      </c>
    </row>
    <row r="338" spans="1:4" x14ac:dyDescent="0.25">
      <c r="A338" s="6" t="s">
        <v>335</v>
      </c>
      <c r="B338" s="6" t="s">
        <v>335</v>
      </c>
      <c r="C338" s="6" t="s">
        <v>335</v>
      </c>
      <c r="D338" s="2">
        <v>24377</v>
      </c>
    </row>
    <row r="339" spans="1:4" x14ac:dyDescent="0.25">
      <c r="A339" s="7" t="s">
        <v>336</v>
      </c>
      <c r="B339" s="7" t="s">
        <v>336</v>
      </c>
      <c r="C339" s="7" t="s">
        <v>1837</v>
      </c>
      <c r="D339" s="3">
        <v>24411</v>
      </c>
    </row>
    <row r="340" spans="1:4" x14ac:dyDescent="0.25">
      <c r="A340" s="6" t="s">
        <v>337</v>
      </c>
      <c r="B340" s="6" t="s">
        <v>337</v>
      </c>
      <c r="C340" s="6" t="s">
        <v>1838</v>
      </c>
      <c r="D340" s="2">
        <v>24414</v>
      </c>
    </row>
    <row r="341" spans="1:4" x14ac:dyDescent="0.25">
      <c r="A341" s="7" t="s">
        <v>338</v>
      </c>
      <c r="B341" s="7" t="s">
        <v>338</v>
      </c>
      <c r="C341" s="7" t="s">
        <v>338</v>
      </c>
      <c r="D341" s="3">
        <v>24417</v>
      </c>
    </row>
    <row r="342" spans="1:4" x14ac:dyDescent="0.25">
      <c r="A342" s="6" t="s">
        <v>339</v>
      </c>
      <c r="B342" s="6" t="s">
        <v>339</v>
      </c>
      <c r="C342" s="6" t="s">
        <v>1839</v>
      </c>
      <c r="D342" s="2">
        <v>24421</v>
      </c>
    </row>
    <row r="343" spans="1:4" x14ac:dyDescent="0.25">
      <c r="A343" s="7" t="s">
        <v>340</v>
      </c>
      <c r="B343" s="7" t="s">
        <v>340</v>
      </c>
      <c r="C343" s="7" t="s">
        <v>340</v>
      </c>
      <c r="D343" s="3">
        <v>24424</v>
      </c>
    </row>
    <row r="344" spans="1:4" x14ac:dyDescent="0.25">
      <c r="A344" s="6" t="s">
        <v>341</v>
      </c>
      <c r="B344" s="6" t="s">
        <v>341</v>
      </c>
      <c r="C344" s="6" t="s">
        <v>1840</v>
      </c>
      <c r="D344" s="2">
        <v>24427</v>
      </c>
    </row>
    <row r="345" spans="1:4" x14ac:dyDescent="0.25">
      <c r="A345" s="7" t="s">
        <v>342</v>
      </c>
      <c r="B345" s="7" t="s">
        <v>342</v>
      </c>
      <c r="C345" s="7" t="s">
        <v>1841</v>
      </c>
      <c r="D345" s="3">
        <v>24431</v>
      </c>
    </row>
    <row r="346" spans="1:4" x14ac:dyDescent="0.25">
      <c r="A346" s="6" t="s">
        <v>343</v>
      </c>
      <c r="B346" s="6" t="s">
        <v>343</v>
      </c>
      <c r="C346" s="6" t="s">
        <v>1842</v>
      </c>
      <c r="D346" s="2">
        <v>24434</v>
      </c>
    </row>
    <row r="347" spans="1:4" x14ac:dyDescent="0.25">
      <c r="A347" s="7" t="s">
        <v>344</v>
      </c>
      <c r="B347" s="7" t="s">
        <v>344</v>
      </c>
      <c r="C347" s="7" t="s">
        <v>1843</v>
      </c>
      <c r="D347" s="3">
        <v>24437</v>
      </c>
    </row>
    <row r="348" spans="1:4" x14ac:dyDescent="0.25">
      <c r="A348" s="6" t="s">
        <v>345</v>
      </c>
      <c r="B348" s="6" t="s">
        <v>345</v>
      </c>
      <c r="C348" s="6" t="s">
        <v>1844</v>
      </c>
      <c r="D348" s="2">
        <v>24441</v>
      </c>
    </row>
    <row r="349" spans="1:4" x14ac:dyDescent="0.25">
      <c r="A349" s="7" t="s">
        <v>346</v>
      </c>
      <c r="B349" s="7" t="s">
        <v>346</v>
      </c>
      <c r="C349" s="7" t="s">
        <v>1845</v>
      </c>
      <c r="D349" s="3">
        <v>24443</v>
      </c>
    </row>
    <row r="350" spans="1:4" x14ac:dyDescent="0.25">
      <c r="A350" s="6" t="s">
        <v>347</v>
      </c>
      <c r="B350" s="6" t="s">
        <v>347</v>
      </c>
      <c r="C350" s="6" t="s">
        <v>347</v>
      </c>
      <c r="D350" s="2">
        <v>24444</v>
      </c>
    </row>
    <row r="351" spans="1:4" x14ac:dyDescent="0.25">
      <c r="A351" s="7" t="s">
        <v>348</v>
      </c>
      <c r="B351" s="7" t="s">
        <v>348</v>
      </c>
      <c r="C351" s="7" t="s">
        <v>348</v>
      </c>
      <c r="D351" s="3">
        <v>24447</v>
      </c>
    </row>
    <row r="352" spans="1:4" x14ac:dyDescent="0.25">
      <c r="A352" s="6" t="s">
        <v>349</v>
      </c>
      <c r="B352" s="6" t="s">
        <v>349</v>
      </c>
      <c r="C352" s="6" t="s">
        <v>1846</v>
      </c>
      <c r="D352" s="2">
        <v>24451</v>
      </c>
    </row>
    <row r="353" spans="1:4" x14ac:dyDescent="0.25">
      <c r="A353" s="7" t="s">
        <v>2853</v>
      </c>
      <c r="B353" s="7" t="s">
        <v>350</v>
      </c>
      <c r="C353" s="7" t="s">
        <v>1847</v>
      </c>
      <c r="D353" s="3">
        <v>24454</v>
      </c>
    </row>
    <row r="354" spans="1:4" x14ac:dyDescent="0.25">
      <c r="A354" s="6" t="s">
        <v>2854</v>
      </c>
      <c r="B354" s="6" t="s">
        <v>351</v>
      </c>
      <c r="C354" s="6" t="s">
        <v>1848</v>
      </c>
      <c r="D354" s="2">
        <v>24457</v>
      </c>
    </row>
    <row r="355" spans="1:4" x14ac:dyDescent="0.25">
      <c r="A355" s="7" t="s">
        <v>352</v>
      </c>
      <c r="B355" s="7" t="s">
        <v>352</v>
      </c>
      <c r="C355" s="7" t="s">
        <v>352</v>
      </c>
      <c r="D355" s="3">
        <v>24461</v>
      </c>
    </row>
    <row r="356" spans="1:4" x14ac:dyDescent="0.25">
      <c r="A356" s="6" t="s">
        <v>353</v>
      </c>
      <c r="B356" s="6" t="s">
        <v>353</v>
      </c>
      <c r="C356" s="6" t="s">
        <v>1849</v>
      </c>
      <c r="D356" s="2">
        <v>24464</v>
      </c>
    </row>
    <row r="357" spans="1:4" x14ac:dyDescent="0.25">
      <c r="A357" s="7" t="s">
        <v>2855</v>
      </c>
      <c r="B357" s="7" t="s">
        <v>354</v>
      </c>
      <c r="C357" s="7" t="s">
        <v>1850</v>
      </c>
      <c r="D357" s="3">
        <v>24467</v>
      </c>
    </row>
    <row r="358" spans="1:4" x14ac:dyDescent="0.25">
      <c r="A358" s="6" t="s">
        <v>355</v>
      </c>
      <c r="B358" s="6" t="s">
        <v>355</v>
      </c>
      <c r="C358" s="6" t="s">
        <v>1851</v>
      </c>
      <c r="D358" s="2">
        <v>24471</v>
      </c>
    </row>
    <row r="359" spans="1:4" x14ac:dyDescent="0.25">
      <c r="A359" s="7" t="s">
        <v>356</v>
      </c>
      <c r="B359" s="7" t="s">
        <v>356</v>
      </c>
      <c r="C359" s="7" t="s">
        <v>1852</v>
      </c>
      <c r="D359" s="3">
        <v>24474</v>
      </c>
    </row>
    <row r="360" spans="1:4" x14ac:dyDescent="0.25">
      <c r="A360" s="6" t="s">
        <v>357</v>
      </c>
      <c r="B360" s="6" t="s">
        <v>357</v>
      </c>
      <c r="C360" s="6" t="s">
        <v>1853</v>
      </c>
      <c r="D360" s="2">
        <v>24477</v>
      </c>
    </row>
    <row r="361" spans="1:4" x14ac:dyDescent="0.25">
      <c r="A361" s="7" t="s">
        <v>358</v>
      </c>
      <c r="B361" s="7" t="s">
        <v>358</v>
      </c>
      <c r="C361" s="7" t="s">
        <v>1854</v>
      </c>
      <c r="D361" s="3">
        <v>24481</v>
      </c>
    </row>
    <row r="362" spans="1:4" x14ac:dyDescent="0.25">
      <c r="A362" s="6" t="s">
        <v>359</v>
      </c>
      <c r="B362" s="6" t="s">
        <v>359</v>
      </c>
      <c r="C362" s="6" t="s">
        <v>1855</v>
      </c>
      <c r="D362" s="2">
        <v>24484</v>
      </c>
    </row>
    <row r="363" spans="1:4" x14ac:dyDescent="0.25">
      <c r="A363" s="7" t="s">
        <v>1563</v>
      </c>
      <c r="B363" s="7" t="s">
        <v>87</v>
      </c>
      <c r="C363" s="7" t="s">
        <v>87</v>
      </c>
      <c r="D363" s="3">
        <v>25001</v>
      </c>
    </row>
    <row r="364" spans="1:4" x14ac:dyDescent="0.25">
      <c r="A364" s="6" t="s">
        <v>1563</v>
      </c>
      <c r="B364" s="6" t="s">
        <v>87</v>
      </c>
      <c r="C364" s="6" t="s">
        <v>87</v>
      </c>
      <c r="D364" s="2">
        <v>25002</v>
      </c>
    </row>
    <row r="365" spans="1:4" x14ac:dyDescent="0.25">
      <c r="A365" s="7" t="s">
        <v>1563</v>
      </c>
      <c r="B365" s="7" t="s">
        <v>87</v>
      </c>
      <c r="C365" s="7" t="s">
        <v>87</v>
      </c>
      <c r="D365" s="3">
        <v>25003</v>
      </c>
    </row>
    <row r="366" spans="1:4" x14ac:dyDescent="0.25">
      <c r="A366" s="6" t="s">
        <v>2856</v>
      </c>
      <c r="B366" s="6" t="s">
        <v>360</v>
      </c>
      <c r="C366" s="6" t="s">
        <v>1856</v>
      </c>
      <c r="D366" s="2">
        <v>25111</v>
      </c>
    </row>
    <row r="367" spans="1:4" x14ac:dyDescent="0.25">
      <c r="A367" s="7" t="s">
        <v>361</v>
      </c>
      <c r="B367" s="7" t="s">
        <v>361</v>
      </c>
      <c r="C367" s="7" t="s">
        <v>1857</v>
      </c>
      <c r="D367" s="3">
        <v>25116</v>
      </c>
    </row>
    <row r="368" spans="1:4" x14ac:dyDescent="0.25">
      <c r="A368" s="6" t="s">
        <v>362</v>
      </c>
      <c r="B368" s="6" t="s">
        <v>362</v>
      </c>
      <c r="C368" s="6" t="s">
        <v>1858</v>
      </c>
      <c r="D368" s="2">
        <v>25121</v>
      </c>
    </row>
    <row r="369" spans="1:4" x14ac:dyDescent="0.25">
      <c r="A369" s="7" t="s">
        <v>363</v>
      </c>
      <c r="B369" s="7" t="s">
        <v>363</v>
      </c>
      <c r="C369" s="7" t="s">
        <v>363</v>
      </c>
      <c r="D369" s="3">
        <v>25126</v>
      </c>
    </row>
    <row r="370" spans="1:4" x14ac:dyDescent="0.25">
      <c r="A370" s="6" t="s">
        <v>364</v>
      </c>
      <c r="B370" s="6" t="s">
        <v>364</v>
      </c>
      <c r="C370" s="6" t="s">
        <v>1859</v>
      </c>
      <c r="D370" s="2">
        <v>25131</v>
      </c>
    </row>
    <row r="371" spans="1:4" x14ac:dyDescent="0.25">
      <c r="A371" s="7" t="s">
        <v>365</v>
      </c>
      <c r="B371" s="7" t="s">
        <v>365</v>
      </c>
      <c r="C371" s="7" t="s">
        <v>1860</v>
      </c>
      <c r="D371" s="3">
        <v>25136</v>
      </c>
    </row>
    <row r="372" spans="1:4" x14ac:dyDescent="0.25">
      <c r="A372" s="6" t="s">
        <v>366</v>
      </c>
      <c r="B372" s="6" t="s">
        <v>366</v>
      </c>
      <c r="C372" s="6" t="s">
        <v>1861</v>
      </c>
      <c r="D372" s="2">
        <v>25141</v>
      </c>
    </row>
    <row r="373" spans="1:4" x14ac:dyDescent="0.25">
      <c r="A373" s="7" t="s">
        <v>367</v>
      </c>
      <c r="B373" s="7" t="s">
        <v>367</v>
      </c>
      <c r="C373" s="7" t="s">
        <v>1862</v>
      </c>
      <c r="D373" s="3">
        <v>25146</v>
      </c>
    </row>
    <row r="374" spans="1:4" x14ac:dyDescent="0.25">
      <c r="A374" s="6" t="s">
        <v>368</v>
      </c>
      <c r="B374" s="6" t="s">
        <v>368</v>
      </c>
      <c r="C374" s="6" t="s">
        <v>368</v>
      </c>
      <c r="D374" s="2">
        <v>25151</v>
      </c>
    </row>
    <row r="375" spans="1:4" x14ac:dyDescent="0.25">
      <c r="A375" s="7" t="s">
        <v>369</v>
      </c>
      <c r="B375" s="7" t="s">
        <v>369</v>
      </c>
      <c r="C375" s="7" t="s">
        <v>1863</v>
      </c>
      <c r="D375" s="3">
        <v>25156</v>
      </c>
    </row>
    <row r="376" spans="1:4" x14ac:dyDescent="0.25">
      <c r="A376" s="6" t="s">
        <v>370</v>
      </c>
      <c r="B376" s="6" t="s">
        <v>370</v>
      </c>
      <c r="C376" s="6" t="s">
        <v>1864</v>
      </c>
      <c r="D376" s="2">
        <v>25161</v>
      </c>
    </row>
    <row r="377" spans="1:4" x14ac:dyDescent="0.25">
      <c r="A377" s="7" t="s">
        <v>371</v>
      </c>
      <c r="B377" s="7" t="s">
        <v>371</v>
      </c>
      <c r="C377" s="7" t="s">
        <v>1865</v>
      </c>
      <c r="D377" s="3">
        <v>25166</v>
      </c>
    </row>
    <row r="378" spans="1:4" x14ac:dyDescent="0.25">
      <c r="A378" s="6" t="s">
        <v>2857</v>
      </c>
      <c r="B378" s="6" t="s">
        <v>372</v>
      </c>
      <c r="C378" s="6" t="s">
        <v>1866</v>
      </c>
      <c r="D378" s="2">
        <v>25171</v>
      </c>
    </row>
    <row r="379" spans="1:4" x14ac:dyDescent="0.25">
      <c r="A379" s="7" t="s">
        <v>373</v>
      </c>
      <c r="B379" s="7" t="s">
        <v>373</v>
      </c>
      <c r="C379" s="7" t="s">
        <v>1867</v>
      </c>
      <c r="D379" s="3">
        <v>25176</v>
      </c>
    </row>
    <row r="380" spans="1:4" x14ac:dyDescent="0.25">
      <c r="A380" s="6" t="s">
        <v>374</v>
      </c>
      <c r="B380" s="6" t="s">
        <v>374</v>
      </c>
      <c r="C380" s="6" t="s">
        <v>374</v>
      </c>
      <c r="D380" s="2">
        <v>25181</v>
      </c>
    </row>
    <row r="381" spans="1:4" x14ac:dyDescent="0.25">
      <c r="A381" s="7" t="s">
        <v>375</v>
      </c>
      <c r="B381" s="7" t="s">
        <v>375</v>
      </c>
      <c r="C381" s="7" t="s">
        <v>1868</v>
      </c>
      <c r="D381" s="3">
        <v>25211</v>
      </c>
    </row>
    <row r="382" spans="1:4" x14ac:dyDescent="0.25">
      <c r="A382" s="6" t="s">
        <v>376</v>
      </c>
      <c r="B382" s="6" t="s">
        <v>376</v>
      </c>
      <c r="C382" s="6" t="s">
        <v>1869</v>
      </c>
      <c r="D382" s="2">
        <v>25221</v>
      </c>
    </row>
    <row r="383" spans="1:4" x14ac:dyDescent="0.25">
      <c r="A383" s="7" t="s">
        <v>2858</v>
      </c>
      <c r="B383" s="7" t="s">
        <v>377</v>
      </c>
      <c r="C383" s="7" t="s">
        <v>1870</v>
      </c>
      <c r="D383" s="3">
        <v>25231</v>
      </c>
    </row>
    <row r="384" spans="1:4" x14ac:dyDescent="0.25">
      <c r="A384" s="6" t="s">
        <v>378</v>
      </c>
      <c r="B384" s="6" t="s">
        <v>378</v>
      </c>
      <c r="C384" s="6" t="s">
        <v>1718</v>
      </c>
      <c r="D384" s="2">
        <v>25241</v>
      </c>
    </row>
    <row r="385" spans="1:4" x14ac:dyDescent="0.25">
      <c r="A385" s="7" t="s">
        <v>379</v>
      </c>
      <c r="B385" s="7" t="s">
        <v>379</v>
      </c>
      <c r="C385" s="7" t="s">
        <v>1871</v>
      </c>
      <c r="D385" s="3">
        <v>25251</v>
      </c>
    </row>
    <row r="386" spans="1:4" x14ac:dyDescent="0.25">
      <c r="A386" s="6" t="s">
        <v>380</v>
      </c>
      <c r="B386" s="6" t="s">
        <v>380</v>
      </c>
      <c r="C386" s="6" t="s">
        <v>1872</v>
      </c>
      <c r="D386" s="2">
        <v>25261</v>
      </c>
    </row>
    <row r="387" spans="1:4" x14ac:dyDescent="0.25">
      <c r="A387" s="7" t="s">
        <v>381</v>
      </c>
      <c r="B387" s="7" t="s">
        <v>381</v>
      </c>
      <c r="C387" s="7" t="s">
        <v>1873</v>
      </c>
      <c r="D387" s="3">
        <v>25271</v>
      </c>
    </row>
    <row r="388" spans="1:4" x14ac:dyDescent="0.25">
      <c r="A388" s="6" t="s">
        <v>382</v>
      </c>
      <c r="B388" s="6" t="s">
        <v>382</v>
      </c>
      <c r="C388" s="6" t="s">
        <v>1874</v>
      </c>
      <c r="D388" s="2">
        <v>25281</v>
      </c>
    </row>
    <row r="389" spans="1:4" x14ac:dyDescent="0.25">
      <c r="A389" s="7" t="s">
        <v>383</v>
      </c>
      <c r="B389" s="7" t="s">
        <v>383</v>
      </c>
      <c r="C389" s="7" t="s">
        <v>383</v>
      </c>
      <c r="D389" s="3">
        <v>25311</v>
      </c>
    </row>
    <row r="390" spans="1:4" x14ac:dyDescent="0.25">
      <c r="A390" s="6" t="s">
        <v>384</v>
      </c>
      <c r="B390" s="6" t="s">
        <v>384</v>
      </c>
      <c r="C390" s="6" t="s">
        <v>1875</v>
      </c>
      <c r="D390" s="2">
        <v>25313</v>
      </c>
    </row>
    <row r="391" spans="1:4" x14ac:dyDescent="0.25">
      <c r="A391" s="7" t="s">
        <v>385</v>
      </c>
      <c r="B391" s="7" t="s">
        <v>385</v>
      </c>
      <c r="C391" s="7" t="s">
        <v>1876</v>
      </c>
      <c r="D391" s="3">
        <v>25315</v>
      </c>
    </row>
    <row r="392" spans="1:4" x14ac:dyDescent="0.25">
      <c r="A392" s="6" t="s">
        <v>386</v>
      </c>
      <c r="B392" s="6" t="s">
        <v>386</v>
      </c>
      <c r="C392" s="6" t="s">
        <v>1877</v>
      </c>
      <c r="D392" s="2">
        <v>25317</v>
      </c>
    </row>
    <row r="393" spans="1:4" x14ac:dyDescent="0.25">
      <c r="A393" s="7" t="s">
        <v>387</v>
      </c>
      <c r="B393" s="7" t="s">
        <v>387</v>
      </c>
      <c r="C393" s="7" t="s">
        <v>387</v>
      </c>
      <c r="D393" s="3">
        <v>25319</v>
      </c>
    </row>
    <row r="394" spans="1:4" x14ac:dyDescent="0.25">
      <c r="A394" s="6" t="s">
        <v>388</v>
      </c>
      <c r="B394" s="6" t="s">
        <v>388</v>
      </c>
      <c r="C394" s="6" t="s">
        <v>388</v>
      </c>
      <c r="D394" s="2">
        <v>25321</v>
      </c>
    </row>
    <row r="395" spans="1:4" x14ac:dyDescent="0.25">
      <c r="A395" s="7" t="s">
        <v>389</v>
      </c>
      <c r="B395" s="7" t="s">
        <v>389</v>
      </c>
      <c r="C395" s="7" t="s">
        <v>389</v>
      </c>
      <c r="D395" s="3">
        <v>25323</v>
      </c>
    </row>
    <row r="396" spans="1:4" x14ac:dyDescent="0.25">
      <c r="A396" s="6" t="s">
        <v>390</v>
      </c>
      <c r="B396" s="6" t="s">
        <v>390</v>
      </c>
      <c r="C396" s="6" t="s">
        <v>390</v>
      </c>
      <c r="D396" s="2">
        <v>25325</v>
      </c>
    </row>
    <row r="397" spans="1:4" x14ac:dyDescent="0.25">
      <c r="A397" s="7" t="s">
        <v>391</v>
      </c>
      <c r="B397" s="7" t="s">
        <v>391</v>
      </c>
      <c r="C397" s="7" t="s">
        <v>1798</v>
      </c>
      <c r="D397" s="3">
        <v>25327</v>
      </c>
    </row>
    <row r="398" spans="1:4" x14ac:dyDescent="0.25">
      <c r="A398" s="6" t="s">
        <v>392</v>
      </c>
      <c r="B398" s="6" t="s">
        <v>392</v>
      </c>
      <c r="C398" s="6" t="s">
        <v>1878</v>
      </c>
      <c r="D398" s="2">
        <v>25329</v>
      </c>
    </row>
    <row r="399" spans="1:4" x14ac:dyDescent="0.25">
      <c r="A399" s="7" t="s">
        <v>393</v>
      </c>
      <c r="B399" s="7" t="s">
        <v>393</v>
      </c>
      <c r="C399" s="7" t="s">
        <v>1879</v>
      </c>
      <c r="D399" s="3">
        <v>25331</v>
      </c>
    </row>
    <row r="400" spans="1:4" x14ac:dyDescent="0.25">
      <c r="A400" s="6" t="s">
        <v>394</v>
      </c>
      <c r="B400" s="6" t="s">
        <v>394</v>
      </c>
      <c r="C400" s="6" t="s">
        <v>1880</v>
      </c>
      <c r="D400" s="2">
        <v>25333</v>
      </c>
    </row>
    <row r="401" spans="1:4" x14ac:dyDescent="0.25">
      <c r="A401" s="7" t="s">
        <v>395</v>
      </c>
      <c r="B401" s="7" t="s">
        <v>395</v>
      </c>
      <c r="C401" s="7" t="s">
        <v>1881</v>
      </c>
      <c r="D401" s="3">
        <v>25335</v>
      </c>
    </row>
    <row r="402" spans="1:4" x14ac:dyDescent="0.25">
      <c r="A402" s="6" t="s">
        <v>396</v>
      </c>
      <c r="B402" s="6" t="s">
        <v>396</v>
      </c>
      <c r="C402" s="6" t="s">
        <v>1882</v>
      </c>
      <c r="D402" s="2">
        <v>25337</v>
      </c>
    </row>
    <row r="403" spans="1:4" x14ac:dyDescent="0.25">
      <c r="A403" s="7" t="s">
        <v>397</v>
      </c>
      <c r="B403" s="7" t="s">
        <v>397</v>
      </c>
      <c r="C403" s="7" t="s">
        <v>1883</v>
      </c>
      <c r="D403" s="3">
        <v>25339</v>
      </c>
    </row>
    <row r="404" spans="1:4" x14ac:dyDescent="0.25">
      <c r="A404" s="6" t="s">
        <v>398</v>
      </c>
      <c r="B404" s="6" t="s">
        <v>398</v>
      </c>
      <c r="C404" s="6" t="s">
        <v>1884</v>
      </c>
      <c r="D404" s="2">
        <v>25341</v>
      </c>
    </row>
    <row r="405" spans="1:4" x14ac:dyDescent="0.25">
      <c r="A405" s="7" t="s">
        <v>2859</v>
      </c>
      <c r="B405" s="7" t="s">
        <v>399</v>
      </c>
      <c r="C405" s="7" t="s">
        <v>1885</v>
      </c>
      <c r="D405" s="3">
        <v>25343</v>
      </c>
    </row>
    <row r="406" spans="1:4" x14ac:dyDescent="0.25">
      <c r="A406" s="6" t="s">
        <v>400</v>
      </c>
      <c r="B406" s="6" t="s">
        <v>400</v>
      </c>
      <c r="C406" s="6" t="s">
        <v>1886</v>
      </c>
      <c r="D406" s="2">
        <v>25345</v>
      </c>
    </row>
    <row r="407" spans="1:4" x14ac:dyDescent="0.25">
      <c r="A407" s="7" t="s">
        <v>401</v>
      </c>
      <c r="B407" s="7" t="s">
        <v>401</v>
      </c>
      <c r="C407" s="7" t="s">
        <v>1887</v>
      </c>
      <c r="D407" s="3">
        <v>25347</v>
      </c>
    </row>
    <row r="408" spans="1:4" x14ac:dyDescent="0.25">
      <c r="A408" s="6" t="s">
        <v>402</v>
      </c>
      <c r="B408" s="6" t="s">
        <v>402</v>
      </c>
      <c r="C408" s="6" t="s">
        <v>402</v>
      </c>
      <c r="D408" s="2">
        <v>25349</v>
      </c>
    </row>
    <row r="409" spans="1:4" x14ac:dyDescent="0.25">
      <c r="A409" s="7" t="s">
        <v>403</v>
      </c>
      <c r="B409" s="7" t="s">
        <v>403</v>
      </c>
      <c r="C409" s="7" t="s">
        <v>403</v>
      </c>
      <c r="D409" s="3">
        <v>25351</v>
      </c>
    </row>
    <row r="410" spans="1:4" x14ac:dyDescent="0.25">
      <c r="A410" s="6" t="s">
        <v>2860</v>
      </c>
      <c r="B410" s="6" t="s">
        <v>404</v>
      </c>
      <c r="C410" s="6" t="s">
        <v>404</v>
      </c>
      <c r="D410" s="2">
        <v>25353</v>
      </c>
    </row>
    <row r="411" spans="1:4" x14ac:dyDescent="0.25">
      <c r="A411" s="7" t="s">
        <v>405</v>
      </c>
      <c r="B411" s="7" t="s">
        <v>405</v>
      </c>
      <c r="C411" s="7" t="s">
        <v>1888</v>
      </c>
      <c r="D411" s="3">
        <v>25355</v>
      </c>
    </row>
    <row r="412" spans="1:4" x14ac:dyDescent="0.25">
      <c r="A412" s="6" t="s">
        <v>406</v>
      </c>
      <c r="B412" s="6" t="s">
        <v>406</v>
      </c>
      <c r="C412" s="6" t="s">
        <v>1889</v>
      </c>
      <c r="D412" s="2">
        <v>25357</v>
      </c>
    </row>
    <row r="413" spans="1:4" x14ac:dyDescent="0.25">
      <c r="A413" s="7" t="s">
        <v>407</v>
      </c>
      <c r="B413" s="7" t="s">
        <v>407</v>
      </c>
      <c r="C413" s="7" t="s">
        <v>407</v>
      </c>
      <c r="D413" s="3">
        <v>25359</v>
      </c>
    </row>
    <row r="414" spans="1:4" x14ac:dyDescent="0.25">
      <c r="A414" s="6" t="s">
        <v>408</v>
      </c>
      <c r="B414" s="6" t="s">
        <v>408</v>
      </c>
      <c r="C414" s="6" t="s">
        <v>1890</v>
      </c>
      <c r="D414" s="2">
        <v>25361</v>
      </c>
    </row>
    <row r="415" spans="1:4" x14ac:dyDescent="0.25">
      <c r="A415" s="7" t="s">
        <v>2861</v>
      </c>
      <c r="B415" s="7" t="s">
        <v>409</v>
      </c>
      <c r="C415" s="7" t="s">
        <v>1891</v>
      </c>
      <c r="D415" s="3">
        <v>25363</v>
      </c>
    </row>
    <row r="416" spans="1:4" x14ac:dyDescent="0.25">
      <c r="A416" s="6" t="s">
        <v>410</v>
      </c>
      <c r="B416" s="6" t="s">
        <v>410</v>
      </c>
      <c r="C416" s="6" t="s">
        <v>410</v>
      </c>
      <c r="D416" s="2">
        <v>25365</v>
      </c>
    </row>
    <row r="417" spans="1:4" x14ac:dyDescent="0.25">
      <c r="A417" s="7" t="s">
        <v>2862</v>
      </c>
      <c r="B417" s="7" t="s">
        <v>411</v>
      </c>
      <c r="C417" s="7" t="s">
        <v>1892</v>
      </c>
      <c r="D417" s="3">
        <v>25367</v>
      </c>
    </row>
    <row r="418" spans="1:4" x14ac:dyDescent="0.25">
      <c r="A418" s="6" t="s">
        <v>412</v>
      </c>
      <c r="B418" s="6" t="s">
        <v>412</v>
      </c>
      <c r="C418" s="6" t="s">
        <v>1893</v>
      </c>
      <c r="D418" s="2">
        <v>25369</v>
      </c>
    </row>
    <row r="419" spans="1:4" x14ac:dyDescent="0.25">
      <c r="A419" s="7" t="s">
        <v>413</v>
      </c>
      <c r="B419" s="7" t="s">
        <v>413</v>
      </c>
      <c r="C419" s="7" t="s">
        <v>1894</v>
      </c>
      <c r="D419" s="3">
        <v>25371</v>
      </c>
    </row>
    <row r="420" spans="1:4" x14ac:dyDescent="0.25">
      <c r="A420" s="6" t="s">
        <v>414</v>
      </c>
      <c r="B420" s="6" t="s">
        <v>414</v>
      </c>
      <c r="C420" s="6" t="s">
        <v>1895</v>
      </c>
      <c r="D420" s="2">
        <v>25373</v>
      </c>
    </row>
    <row r="421" spans="1:4" x14ac:dyDescent="0.25">
      <c r="A421" s="7" t="s">
        <v>415</v>
      </c>
      <c r="B421" s="7" t="s">
        <v>415</v>
      </c>
      <c r="C421" s="7" t="s">
        <v>1896</v>
      </c>
      <c r="D421" s="3">
        <v>25375</v>
      </c>
    </row>
    <row r="422" spans="1:4" x14ac:dyDescent="0.25">
      <c r="A422" s="6" t="s">
        <v>2863</v>
      </c>
      <c r="B422" s="6" t="s">
        <v>416</v>
      </c>
      <c r="C422" s="6" t="s">
        <v>1897</v>
      </c>
      <c r="D422" s="2">
        <v>25391</v>
      </c>
    </row>
    <row r="423" spans="1:4" x14ac:dyDescent="0.25">
      <c r="A423" s="7" t="s">
        <v>417</v>
      </c>
      <c r="B423" s="7" t="s">
        <v>417</v>
      </c>
      <c r="C423" s="7" t="s">
        <v>417</v>
      </c>
      <c r="D423" s="3">
        <v>25411</v>
      </c>
    </row>
    <row r="424" spans="1:4" x14ac:dyDescent="0.25">
      <c r="A424" s="6" t="s">
        <v>418</v>
      </c>
      <c r="B424" s="6" t="s">
        <v>418</v>
      </c>
      <c r="C424" s="6" t="s">
        <v>1898</v>
      </c>
      <c r="D424" s="2">
        <v>25415</v>
      </c>
    </row>
    <row r="425" spans="1:4" x14ac:dyDescent="0.25">
      <c r="A425" s="7" t="s">
        <v>419</v>
      </c>
      <c r="B425" s="7" t="s">
        <v>419</v>
      </c>
      <c r="C425" s="7" t="s">
        <v>1899</v>
      </c>
      <c r="D425" s="3">
        <v>25419</v>
      </c>
    </row>
    <row r="426" spans="1:4" x14ac:dyDescent="0.25">
      <c r="A426" s="6" t="s">
        <v>420</v>
      </c>
      <c r="B426" s="6" t="s">
        <v>420</v>
      </c>
      <c r="C426" s="6" t="s">
        <v>1900</v>
      </c>
      <c r="D426" s="2">
        <v>25423</v>
      </c>
    </row>
    <row r="427" spans="1:4" x14ac:dyDescent="0.25">
      <c r="A427" s="7" t="s">
        <v>421</v>
      </c>
      <c r="B427" s="7" t="s">
        <v>421</v>
      </c>
      <c r="C427" s="7" t="s">
        <v>1901</v>
      </c>
      <c r="D427" s="3">
        <v>25427</v>
      </c>
    </row>
    <row r="428" spans="1:4" x14ac:dyDescent="0.25">
      <c r="A428" s="6" t="s">
        <v>422</v>
      </c>
      <c r="B428" s="6" t="s">
        <v>422</v>
      </c>
      <c r="C428" s="6" t="s">
        <v>1902</v>
      </c>
      <c r="D428" s="2">
        <v>25431</v>
      </c>
    </row>
    <row r="429" spans="1:4" x14ac:dyDescent="0.25">
      <c r="A429" s="7" t="s">
        <v>423</v>
      </c>
      <c r="B429" s="7" t="s">
        <v>423</v>
      </c>
      <c r="C429" s="7" t="s">
        <v>423</v>
      </c>
      <c r="D429" s="3">
        <v>25435</v>
      </c>
    </row>
    <row r="430" spans="1:4" x14ac:dyDescent="0.25">
      <c r="A430" s="6" t="s">
        <v>424</v>
      </c>
      <c r="B430" s="6" t="s">
        <v>424</v>
      </c>
      <c r="C430" s="6" t="s">
        <v>1903</v>
      </c>
      <c r="D430" s="2">
        <v>25439</v>
      </c>
    </row>
    <row r="431" spans="1:4" x14ac:dyDescent="0.25">
      <c r="A431" s="7" t="s">
        <v>425</v>
      </c>
      <c r="B431" s="7" t="s">
        <v>425</v>
      </c>
      <c r="C431" s="7" t="s">
        <v>1904</v>
      </c>
      <c r="D431" s="3">
        <v>25443</v>
      </c>
    </row>
    <row r="432" spans="1:4" x14ac:dyDescent="0.25">
      <c r="A432" s="6" t="s">
        <v>426</v>
      </c>
      <c r="B432" s="6" t="s">
        <v>426</v>
      </c>
      <c r="C432" s="6" t="s">
        <v>1905</v>
      </c>
      <c r="D432" s="2">
        <v>25447</v>
      </c>
    </row>
    <row r="433" spans="1:4" x14ac:dyDescent="0.25">
      <c r="A433" s="7" t="s">
        <v>427</v>
      </c>
      <c r="B433" s="7" t="s">
        <v>427</v>
      </c>
      <c r="C433" s="7" t="s">
        <v>1906</v>
      </c>
      <c r="D433" s="3">
        <v>25451</v>
      </c>
    </row>
    <row r="434" spans="1:4" x14ac:dyDescent="0.25">
      <c r="A434" s="6" t="s">
        <v>428</v>
      </c>
      <c r="B434" s="6" t="s">
        <v>428</v>
      </c>
      <c r="C434" s="6" t="s">
        <v>1907</v>
      </c>
      <c r="D434" s="2">
        <v>25455</v>
      </c>
    </row>
    <row r="435" spans="1:4" x14ac:dyDescent="0.25">
      <c r="A435" s="7" t="s">
        <v>429</v>
      </c>
      <c r="B435" s="7" t="s">
        <v>429</v>
      </c>
      <c r="C435" s="7" t="s">
        <v>429</v>
      </c>
      <c r="D435" s="3">
        <v>25459</v>
      </c>
    </row>
    <row r="436" spans="1:4" x14ac:dyDescent="0.25">
      <c r="A436" s="6" t="s">
        <v>2864</v>
      </c>
      <c r="B436" s="6" t="s">
        <v>430</v>
      </c>
      <c r="C436" s="6" t="s">
        <v>1908</v>
      </c>
      <c r="D436" s="2">
        <v>25463</v>
      </c>
    </row>
    <row r="437" spans="1:4" x14ac:dyDescent="0.25">
      <c r="A437" s="7" t="s">
        <v>431</v>
      </c>
      <c r="B437" s="7" t="s">
        <v>431</v>
      </c>
      <c r="C437" s="7" t="s">
        <v>1909</v>
      </c>
      <c r="D437" s="3">
        <v>25467</v>
      </c>
    </row>
    <row r="438" spans="1:4" x14ac:dyDescent="0.25">
      <c r="A438" s="6" t="s">
        <v>432</v>
      </c>
      <c r="B438" s="6" t="s">
        <v>432</v>
      </c>
      <c r="C438" s="6" t="s">
        <v>432</v>
      </c>
      <c r="D438" s="2">
        <v>25471</v>
      </c>
    </row>
    <row r="439" spans="1:4" x14ac:dyDescent="0.25">
      <c r="A439" s="7" t="s">
        <v>433</v>
      </c>
      <c r="B439" s="7" t="s">
        <v>433</v>
      </c>
      <c r="C439" s="7" t="s">
        <v>433</v>
      </c>
      <c r="D439" s="3">
        <v>25475</v>
      </c>
    </row>
    <row r="440" spans="1:4" x14ac:dyDescent="0.25">
      <c r="A440" s="6" t="s">
        <v>434</v>
      </c>
      <c r="B440" s="6" t="s">
        <v>434</v>
      </c>
      <c r="C440" s="6" t="s">
        <v>1910</v>
      </c>
      <c r="D440" s="2">
        <v>25479</v>
      </c>
    </row>
    <row r="441" spans="1:4" x14ac:dyDescent="0.25">
      <c r="A441" s="7" t="s">
        <v>435</v>
      </c>
      <c r="B441" s="7" t="s">
        <v>435</v>
      </c>
      <c r="C441" s="7" t="s">
        <v>1911</v>
      </c>
      <c r="D441" s="3">
        <v>25482</v>
      </c>
    </row>
    <row r="442" spans="1:4" x14ac:dyDescent="0.25">
      <c r="A442" s="6" t="s">
        <v>436</v>
      </c>
      <c r="B442" s="6" t="s">
        <v>436</v>
      </c>
      <c r="C442" s="6" t="s">
        <v>1912</v>
      </c>
      <c r="D442" s="2">
        <v>25485</v>
      </c>
    </row>
    <row r="443" spans="1:4" x14ac:dyDescent="0.25">
      <c r="A443" s="7" t="s">
        <v>437</v>
      </c>
      <c r="B443" s="7" t="s">
        <v>437</v>
      </c>
      <c r="C443" s="7" t="s">
        <v>1835</v>
      </c>
      <c r="D443" s="3">
        <v>25488</v>
      </c>
    </row>
    <row r="444" spans="1:4" x14ac:dyDescent="0.25">
      <c r="A444" s="6" t="s">
        <v>1563</v>
      </c>
      <c r="B444" s="6" t="s">
        <v>87</v>
      </c>
      <c r="C444" s="6" t="s">
        <v>87</v>
      </c>
      <c r="D444" s="2">
        <v>26001</v>
      </c>
    </row>
    <row r="445" spans="1:4" x14ac:dyDescent="0.25">
      <c r="A445" s="7" t="s">
        <v>1563</v>
      </c>
      <c r="B445" s="7" t="s">
        <v>87</v>
      </c>
      <c r="C445" s="7" t="s">
        <v>87</v>
      </c>
      <c r="D445" s="3">
        <v>26002</v>
      </c>
    </row>
    <row r="446" spans="1:4" x14ac:dyDescent="0.25">
      <c r="A446" s="6" t="s">
        <v>1563</v>
      </c>
      <c r="B446" s="6" t="s">
        <v>87</v>
      </c>
      <c r="C446" s="6" t="s">
        <v>87</v>
      </c>
      <c r="D446" s="2">
        <v>26003</v>
      </c>
    </row>
    <row r="447" spans="1:4" x14ac:dyDescent="0.25">
      <c r="A447" s="7" t="s">
        <v>1563</v>
      </c>
      <c r="B447" s="7" t="s">
        <v>87</v>
      </c>
      <c r="C447" s="7" t="s">
        <v>87</v>
      </c>
      <c r="D447" s="3">
        <v>26004</v>
      </c>
    </row>
    <row r="448" spans="1:4" x14ac:dyDescent="0.25">
      <c r="A448" s="6" t="s">
        <v>1563</v>
      </c>
      <c r="B448" s="6" t="s">
        <v>87</v>
      </c>
      <c r="C448" s="6" t="s">
        <v>87</v>
      </c>
      <c r="D448" s="2">
        <v>26005</v>
      </c>
    </row>
    <row r="449" spans="1:4" x14ac:dyDescent="0.25">
      <c r="A449" s="7" t="s">
        <v>1563</v>
      </c>
      <c r="B449" s="7" t="s">
        <v>87</v>
      </c>
      <c r="C449" s="7" t="s">
        <v>87</v>
      </c>
      <c r="D449" s="3">
        <v>26006</v>
      </c>
    </row>
    <row r="450" spans="1:4" x14ac:dyDescent="0.25">
      <c r="A450" s="6" t="s">
        <v>1563</v>
      </c>
      <c r="B450" s="6" t="s">
        <v>87</v>
      </c>
      <c r="C450" s="6" t="s">
        <v>87</v>
      </c>
      <c r="D450" s="2">
        <v>26007</v>
      </c>
    </row>
    <row r="451" spans="1:4" x14ac:dyDescent="0.25">
      <c r="A451" s="7" t="s">
        <v>1563</v>
      </c>
      <c r="B451" s="7" t="s">
        <v>87</v>
      </c>
      <c r="C451" s="7" t="s">
        <v>87</v>
      </c>
      <c r="D451" s="3">
        <v>26008</v>
      </c>
    </row>
    <row r="452" spans="1:4" x14ac:dyDescent="0.25">
      <c r="A452" s="6" t="s">
        <v>1563</v>
      </c>
      <c r="B452" s="6" t="s">
        <v>87</v>
      </c>
      <c r="C452" s="6" t="s">
        <v>87</v>
      </c>
      <c r="D452" s="2">
        <v>26009</v>
      </c>
    </row>
    <row r="453" spans="1:4" x14ac:dyDescent="0.25">
      <c r="A453" s="7" t="s">
        <v>438</v>
      </c>
      <c r="B453" s="7" t="s">
        <v>438</v>
      </c>
      <c r="C453" s="7" t="s">
        <v>1913</v>
      </c>
      <c r="D453" s="3">
        <v>26111</v>
      </c>
    </row>
    <row r="454" spans="1:4" x14ac:dyDescent="0.25">
      <c r="A454" s="6" t="s">
        <v>439</v>
      </c>
      <c r="B454" s="6" t="s">
        <v>439</v>
      </c>
      <c r="C454" s="6" t="s">
        <v>439</v>
      </c>
      <c r="D454" s="2">
        <v>26117</v>
      </c>
    </row>
    <row r="455" spans="1:4" x14ac:dyDescent="0.25">
      <c r="A455" s="7" t="s">
        <v>440</v>
      </c>
      <c r="B455" s="7" t="s">
        <v>440</v>
      </c>
      <c r="C455" s="7" t="s">
        <v>1914</v>
      </c>
      <c r="D455" s="3">
        <v>26123</v>
      </c>
    </row>
    <row r="456" spans="1:4" x14ac:dyDescent="0.25">
      <c r="A456" s="6" t="s">
        <v>441</v>
      </c>
      <c r="B456" s="6" t="s">
        <v>441</v>
      </c>
      <c r="C456" s="6" t="s">
        <v>1915</v>
      </c>
      <c r="D456" s="2">
        <v>26129</v>
      </c>
    </row>
    <row r="457" spans="1:4" x14ac:dyDescent="0.25">
      <c r="A457" s="7" t="s">
        <v>2865</v>
      </c>
      <c r="B457" s="7" t="s">
        <v>442</v>
      </c>
      <c r="C457" s="7" t="s">
        <v>1916</v>
      </c>
      <c r="D457" s="3">
        <v>26135</v>
      </c>
    </row>
    <row r="458" spans="1:4" x14ac:dyDescent="0.25">
      <c r="A458" s="6" t="s">
        <v>443</v>
      </c>
      <c r="B458" s="6" t="s">
        <v>443</v>
      </c>
      <c r="C458" s="6" t="s">
        <v>1917</v>
      </c>
      <c r="D458" s="2">
        <v>26141</v>
      </c>
    </row>
    <row r="459" spans="1:4" x14ac:dyDescent="0.25">
      <c r="A459" s="7" t="s">
        <v>444</v>
      </c>
      <c r="B459" s="7" t="s">
        <v>444</v>
      </c>
      <c r="C459" s="7" t="s">
        <v>444</v>
      </c>
      <c r="D459" s="3">
        <v>26147</v>
      </c>
    </row>
    <row r="460" spans="1:4" x14ac:dyDescent="0.25">
      <c r="A460" s="6" t="s">
        <v>445</v>
      </c>
      <c r="B460" s="6" t="s">
        <v>445</v>
      </c>
      <c r="C460" s="6" t="s">
        <v>1918</v>
      </c>
      <c r="D460" s="2">
        <v>26153</v>
      </c>
    </row>
    <row r="461" spans="1:4" x14ac:dyDescent="0.25">
      <c r="A461" s="7" t="s">
        <v>446</v>
      </c>
      <c r="B461" s="7" t="s">
        <v>446</v>
      </c>
      <c r="C461" s="7" t="s">
        <v>1919</v>
      </c>
      <c r="D461" s="3">
        <v>26159</v>
      </c>
    </row>
    <row r="462" spans="1:4" x14ac:dyDescent="0.25">
      <c r="A462" s="6" t="s">
        <v>447</v>
      </c>
      <c r="B462" s="6" t="s">
        <v>447</v>
      </c>
      <c r="C462" s="6" t="s">
        <v>1920</v>
      </c>
      <c r="D462" s="2">
        <v>26165</v>
      </c>
    </row>
    <row r="463" spans="1:4" x14ac:dyDescent="0.25">
      <c r="A463" s="7" t="s">
        <v>448</v>
      </c>
      <c r="B463" s="7" t="s">
        <v>448</v>
      </c>
      <c r="C463" s="7" t="s">
        <v>1921</v>
      </c>
      <c r="D463" s="3">
        <v>26171</v>
      </c>
    </row>
    <row r="464" spans="1:4" x14ac:dyDescent="0.25">
      <c r="A464" s="6" t="s">
        <v>449</v>
      </c>
      <c r="B464" s="6" t="s">
        <v>449</v>
      </c>
      <c r="C464" s="6" t="s">
        <v>1922</v>
      </c>
      <c r="D464" s="2">
        <v>26177</v>
      </c>
    </row>
    <row r="465" spans="1:4" x14ac:dyDescent="0.25">
      <c r="A465" s="7" t="s">
        <v>450</v>
      </c>
      <c r="B465" s="7" t="s">
        <v>450</v>
      </c>
      <c r="C465" s="7" t="s">
        <v>1923</v>
      </c>
      <c r="D465" s="3">
        <v>26183</v>
      </c>
    </row>
    <row r="466" spans="1:4" x14ac:dyDescent="0.25">
      <c r="A466" s="6" t="s">
        <v>2866</v>
      </c>
      <c r="B466" s="6" t="s">
        <v>451</v>
      </c>
      <c r="C466" s="6" t="s">
        <v>1924</v>
      </c>
      <c r="D466" s="2">
        <v>26189</v>
      </c>
    </row>
    <row r="467" spans="1:4" x14ac:dyDescent="0.25">
      <c r="A467" s="7" t="s">
        <v>452</v>
      </c>
      <c r="B467" s="7" t="s">
        <v>452</v>
      </c>
      <c r="C467" s="7" t="s">
        <v>1925</v>
      </c>
      <c r="D467" s="3">
        <v>26211</v>
      </c>
    </row>
    <row r="468" spans="1:4" x14ac:dyDescent="0.25">
      <c r="A468" s="6" t="s">
        <v>2867</v>
      </c>
      <c r="B468" s="6" t="s">
        <v>453</v>
      </c>
      <c r="C468" s="6" t="s">
        <v>1926</v>
      </c>
      <c r="D468" s="2">
        <v>26212</v>
      </c>
    </row>
    <row r="469" spans="1:4" x14ac:dyDescent="0.25">
      <c r="A469" s="7" t="s">
        <v>454</v>
      </c>
      <c r="B469" s="7" t="s">
        <v>454</v>
      </c>
      <c r="C469" s="7" t="s">
        <v>1835</v>
      </c>
      <c r="D469" s="3">
        <v>26213</v>
      </c>
    </row>
    <row r="470" spans="1:4" x14ac:dyDescent="0.25">
      <c r="A470" s="6" t="s">
        <v>2868</v>
      </c>
      <c r="B470" s="6" t="s">
        <v>455</v>
      </c>
      <c r="C470" s="6" t="s">
        <v>1927</v>
      </c>
      <c r="D470" s="2">
        <v>26214</v>
      </c>
    </row>
    <row r="471" spans="1:4" x14ac:dyDescent="0.25">
      <c r="A471" s="7" t="s">
        <v>456</v>
      </c>
      <c r="B471" s="7" t="s">
        <v>456</v>
      </c>
      <c r="C471" s="7" t="s">
        <v>1928</v>
      </c>
      <c r="D471" s="3">
        <v>26215</v>
      </c>
    </row>
    <row r="472" spans="1:4" x14ac:dyDescent="0.25">
      <c r="A472" s="6" t="s">
        <v>457</v>
      </c>
      <c r="B472" s="6" t="s">
        <v>457</v>
      </c>
      <c r="C472" s="6" t="s">
        <v>1929</v>
      </c>
      <c r="D472" s="2">
        <v>26217</v>
      </c>
    </row>
    <row r="473" spans="1:4" x14ac:dyDescent="0.25">
      <c r="A473" s="7" t="s">
        <v>458</v>
      </c>
      <c r="B473" s="7" t="s">
        <v>458</v>
      </c>
      <c r="C473" s="7" t="s">
        <v>1930</v>
      </c>
      <c r="D473" s="3">
        <v>26218</v>
      </c>
    </row>
    <row r="474" spans="1:4" x14ac:dyDescent="0.25">
      <c r="A474" s="6" t="s">
        <v>459</v>
      </c>
      <c r="B474" s="6" t="s">
        <v>459</v>
      </c>
      <c r="C474" s="6" t="s">
        <v>1931</v>
      </c>
      <c r="D474" s="2">
        <v>26219</v>
      </c>
    </row>
    <row r="475" spans="1:4" x14ac:dyDescent="0.25">
      <c r="A475" s="7" t="s">
        <v>460</v>
      </c>
      <c r="B475" s="7" t="s">
        <v>460</v>
      </c>
      <c r="C475" s="7" t="s">
        <v>1932</v>
      </c>
      <c r="D475" s="3">
        <v>26220</v>
      </c>
    </row>
    <row r="476" spans="1:4" x14ac:dyDescent="0.25">
      <c r="A476" s="6" t="s">
        <v>2869</v>
      </c>
      <c r="B476" s="6" t="s">
        <v>461</v>
      </c>
      <c r="C476" s="6" t="s">
        <v>1933</v>
      </c>
      <c r="D476" s="2">
        <v>26221</v>
      </c>
    </row>
    <row r="477" spans="1:4" x14ac:dyDescent="0.25">
      <c r="A477" s="7" t="s">
        <v>462</v>
      </c>
      <c r="B477" s="7" t="s">
        <v>462</v>
      </c>
      <c r="C477" s="7" t="s">
        <v>462</v>
      </c>
      <c r="D477" s="3">
        <v>26223</v>
      </c>
    </row>
    <row r="478" spans="1:4" x14ac:dyDescent="0.25">
      <c r="A478" s="6" t="s">
        <v>463</v>
      </c>
      <c r="B478" s="6" t="s">
        <v>463</v>
      </c>
      <c r="C478" s="6" t="s">
        <v>1934</v>
      </c>
      <c r="D478" s="2">
        <v>26224</v>
      </c>
    </row>
    <row r="479" spans="1:4" x14ac:dyDescent="0.25">
      <c r="A479" s="7" t="s">
        <v>464</v>
      </c>
      <c r="B479" s="7" t="s">
        <v>464</v>
      </c>
      <c r="C479" s="7" t="s">
        <v>1935</v>
      </c>
      <c r="D479" s="3">
        <v>26226</v>
      </c>
    </row>
    <row r="480" spans="1:4" x14ac:dyDescent="0.25">
      <c r="A480" s="6" t="s">
        <v>465</v>
      </c>
      <c r="B480" s="6" t="s">
        <v>465</v>
      </c>
      <c r="C480" s="6" t="s">
        <v>1936</v>
      </c>
      <c r="D480" s="2">
        <v>26227</v>
      </c>
    </row>
    <row r="481" spans="1:4" x14ac:dyDescent="0.25">
      <c r="A481" s="7" t="s">
        <v>466</v>
      </c>
      <c r="B481" s="7" t="s">
        <v>466</v>
      </c>
      <c r="C481" s="7" t="s">
        <v>1937</v>
      </c>
      <c r="D481" s="3">
        <v>26229</v>
      </c>
    </row>
    <row r="482" spans="1:4" x14ac:dyDescent="0.25">
      <c r="A482" s="6" t="s">
        <v>2870</v>
      </c>
      <c r="B482" s="6" t="s">
        <v>467</v>
      </c>
      <c r="C482" s="6" t="s">
        <v>1938</v>
      </c>
      <c r="D482" s="2">
        <v>26231</v>
      </c>
    </row>
    <row r="483" spans="1:4" x14ac:dyDescent="0.25">
      <c r="A483" s="7" t="s">
        <v>468</v>
      </c>
      <c r="B483" s="7" t="s">
        <v>468</v>
      </c>
      <c r="C483" s="7" t="s">
        <v>468</v>
      </c>
      <c r="D483" s="3">
        <v>26233</v>
      </c>
    </row>
    <row r="484" spans="1:4" x14ac:dyDescent="0.25">
      <c r="A484" s="6" t="s">
        <v>469</v>
      </c>
      <c r="B484" s="6" t="s">
        <v>469</v>
      </c>
      <c r="C484" s="6" t="s">
        <v>469</v>
      </c>
      <c r="D484" s="2">
        <v>26234</v>
      </c>
    </row>
    <row r="485" spans="1:4" x14ac:dyDescent="0.25">
      <c r="A485" s="7" t="s">
        <v>470</v>
      </c>
      <c r="B485" s="7" t="s">
        <v>470</v>
      </c>
      <c r="C485" s="7" t="s">
        <v>1939</v>
      </c>
      <c r="D485" s="3">
        <v>26236</v>
      </c>
    </row>
    <row r="486" spans="1:4" x14ac:dyDescent="0.25">
      <c r="A486" s="6" t="s">
        <v>471</v>
      </c>
      <c r="B486" s="6" t="s">
        <v>471</v>
      </c>
      <c r="C486" s="6" t="s">
        <v>1940</v>
      </c>
      <c r="D486" s="2">
        <v>26237</v>
      </c>
    </row>
    <row r="487" spans="1:4" x14ac:dyDescent="0.25">
      <c r="A487" s="7" t="s">
        <v>472</v>
      </c>
      <c r="B487" s="7" t="s">
        <v>472</v>
      </c>
      <c r="C487" s="7" t="s">
        <v>1941</v>
      </c>
      <c r="D487" s="3">
        <v>26239</v>
      </c>
    </row>
    <row r="488" spans="1:4" x14ac:dyDescent="0.25">
      <c r="A488" s="6" t="s">
        <v>473</v>
      </c>
      <c r="B488" s="6" t="s">
        <v>473</v>
      </c>
      <c r="C488" s="6" t="s">
        <v>1942</v>
      </c>
      <c r="D488" s="2">
        <v>26241</v>
      </c>
    </row>
    <row r="489" spans="1:4" x14ac:dyDescent="0.25">
      <c r="A489" s="7" t="s">
        <v>474</v>
      </c>
      <c r="B489" s="7" t="s">
        <v>474</v>
      </c>
      <c r="C489" s="7" t="s">
        <v>1943</v>
      </c>
      <c r="D489" s="3">
        <v>26243</v>
      </c>
    </row>
    <row r="490" spans="1:4" x14ac:dyDescent="0.25">
      <c r="A490" s="6" t="s">
        <v>475</v>
      </c>
      <c r="B490" s="6" t="s">
        <v>475</v>
      </c>
      <c r="C490" s="6" t="s">
        <v>1944</v>
      </c>
      <c r="D490" s="2">
        <v>26244</v>
      </c>
    </row>
    <row r="491" spans="1:4" x14ac:dyDescent="0.25">
      <c r="A491" s="7" t="s">
        <v>476</v>
      </c>
      <c r="B491" s="7" t="s">
        <v>476</v>
      </c>
      <c r="C491" s="7" t="s">
        <v>1945</v>
      </c>
      <c r="D491" s="3">
        <v>26246</v>
      </c>
    </row>
    <row r="492" spans="1:4" x14ac:dyDescent="0.25">
      <c r="A492" s="6" t="s">
        <v>477</v>
      </c>
      <c r="B492" s="6" t="s">
        <v>477</v>
      </c>
      <c r="C492" s="6" t="s">
        <v>1946</v>
      </c>
      <c r="D492" s="2">
        <v>26247</v>
      </c>
    </row>
    <row r="493" spans="1:4" x14ac:dyDescent="0.25">
      <c r="A493" s="7" t="s">
        <v>478</v>
      </c>
      <c r="B493" s="7" t="s">
        <v>478</v>
      </c>
      <c r="C493" s="7" t="s">
        <v>1947</v>
      </c>
      <c r="D493" s="3">
        <v>26249</v>
      </c>
    </row>
    <row r="494" spans="1:4" x14ac:dyDescent="0.25">
      <c r="A494" s="6" t="s">
        <v>479</v>
      </c>
      <c r="B494" s="6" t="s">
        <v>479</v>
      </c>
      <c r="C494" s="6" t="s">
        <v>1948</v>
      </c>
      <c r="D494" s="2">
        <v>26251</v>
      </c>
    </row>
    <row r="495" spans="1:4" x14ac:dyDescent="0.25">
      <c r="A495" s="7" t="s">
        <v>480</v>
      </c>
      <c r="B495" s="7" t="s">
        <v>480</v>
      </c>
      <c r="C495" s="7" t="s">
        <v>1949</v>
      </c>
      <c r="D495" s="3">
        <v>26253</v>
      </c>
    </row>
    <row r="496" spans="1:4" x14ac:dyDescent="0.25">
      <c r="A496" s="6" t="s">
        <v>481</v>
      </c>
      <c r="B496" s="6" t="s">
        <v>481</v>
      </c>
      <c r="C496" s="6" t="s">
        <v>1950</v>
      </c>
      <c r="D496" s="2">
        <v>26254</v>
      </c>
    </row>
    <row r="497" spans="1:4" x14ac:dyDescent="0.25">
      <c r="A497" s="7" t="s">
        <v>482</v>
      </c>
      <c r="B497" s="7" t="s">
        <v>482</v>
      </c>
      <c r="C497" s="7" t="s">
        <v>1951</v>
      </c>
      <c r="D497" s="3">
        <v>26256</v>
      </c>
    </row>
    <row r="498" spans="1:4" x14ac:dyDescent="0.25">
      <c r="A498" s="6" t="s">
        <v>483</v>
      </c>
      <c r="B498" s="6" t="s">
        <v>483</v>
      </c>
      <c r="C498" s="6" t="s">
        <v>1952</v>
      </c>
      <c r="D498" s="2">
        <v>26257</v>
      </c>
    </row>
    <row r="499" spans="1:4" x14ac:dyDescent="0.25">
      <c r="A499" s="7" t="s">
        <v>484</v>
      </c>
      <c r="B499" s="7" t="s">
        <v>484</v>
      </c>
      <c r="C499" s="7" t="s">
        <v>1953</v>
      </c>
      <c r="D499" s="3">
        <v>26259</v>
      </c>
    </row>
    <row r="500" spans="1:4" x14ac:dyDescent="0.25">
      <c r="A500" s="6" t="s">
        <v>485</v>
      </c>
      <c r="B500" s="6" t="s">
        <v>485</v>
      </c>
      <c r="C500" s="6" t="s">
        <v>1954</v>
      </c>
      <c r="D500" s="2">
        <v>26261</v>
      </c>
    </row>
    <row r="501" spans="1:4" x14ac:dyDescent="0.25">
      <c r="A501" s="7" t="s">
        <v>486</v>
      </c>
      <c r="B501" s="7" t="s">
        <v>486</v>
      </c>
      <c r="C501" s="7" t="s">
        <v>1955</v>
      </c>
      <c r="D501" s="3">
        <v>26263</v>
      </c>
    </row>
    <row r="502" spans="1:4" x14ac:dyDescent="0.25">
      <c r="A502" s="6" t="s">
        <v>487</v>
      </c>
      <c r="B502" s="6" t="s">
        <v>487</v>
      </c>
      <c r="C502" s="6" t="s">
        <v>1956</v>
      </c>
      <c r="D502" s="2">
        <v>26264</v>
      </c>
    </row>
    <row r="503" spans="1:4" x14ac:dyDescent="0.25">
      <c r="A503" s="7" t="s">
        <v>488</v>
      </c>
      <c r="B503" s="7" t="s">
        <v>488</v>
      </c>
      <c r="C503" s="7" t="s">
        <v>1957</v>
      </c>
      <c r="D503" s="3">
        <v>26266</v>
      </c>
    </row>
    <row r="504" spans="1:4" x14ac:dyDescent="0.25">
      <c r="A504" s="6" t="s">
        <v>489</v>
      </c>
      <c r="B504" s="6" t="s">
        <v>489</v>
      </c>
      <c r="C504" s="6" t="s">
        <v>1958</v>
      </c>
      <c r="D504" s="2">
        <v>26267</v>
      </c>
    </row>
    <row r="505" spans="1:4" x14ac:dyDescent="0.25">
      <c r="A505" s="7" t="s">
        <v>490</v>
      </c>
      <c r="B505" s="7" t="s">
        <v>490</v>
      </c>
      <c r="C505" s="7" t="s">
        <v>1959</v>
      </c>
      <c r="D505" s="3">
        <v>26269</v>
      </c>
    </row>
    <row r="506" spans="1:4" x14ac:dyDescent="0.25">
      <c r="A506" s="6" t="s">
        <v>491</v>
      </c>
      <c r="B506" s="6" t="s">
        <v>491</v>
      </c>
      <c r="C506" s="6" t="s">
        <v>1960</v>
      </c>
      <c r="D506" s="2">
        <v>26271</v>
      </c>
    </row>
    <row r="507" spans="1:4" x14ac:dyDescent="0.25">
      <c r="A507" s="7" t="s">
        <v>492</v>
      </c>
      <c r="B507" s="7" t="s">
        <v>492</v>
      </c>
      <c r="C507" s="7" t="s">
        <v>1961</v>
      </c>
      <c r="D507" s="3">
        <v>26273</v>
      </c>
    </row>
    <row r="508" spans="1:4" x14ac:dyDescent="0.25">
      <c r="A508" s="6" t="s">
        <v>2871</v>
      </c>
      <c r="B508" s="6" t="s">
        <v>493</v>
      </c>
      <c r="C508" s="6" t="s">
        <v>1962</v>
      </c>
      <c r="D508" s="2">
        <v>26274</v>
      </c>
    </row>
    <row r="509" spans="1:4" x14ac:dyDescent="0.25">
      <c r="A509" s="7" t="s">
        <v>2872</v>
      </c>
      <c r="B509" s="7" t="s">
        <v>494</v>
      </c>
      <c r="C509" s="7" t="s">
        <v>494</v>
      </c>
      <c r="D509" s="3">
        <v>26276</v>
      </c>
    </row>
    <row r="510" spans="1:4" x14ac:dyDescent="0.25">
      <c r="A510" s="6" t="s">
        <v>495</v>
      </c>
      <c r="B510" s="6" t="s">
        <v>495</v>
      </c>
      <c r="C510" s="6" t="s">
        <v>1963</v>
      </c>
      <c r="D510" s="2">
        <v>26277</v>
      </c>
    </row>
    <row r="511" spans="1:4" x14ac:dyDescent="0.25">
      <c r="A511" s="7" t="s">
        <v>496</v>
      </c>
      <c r="B511" s="7" t="s">
        <v>496</v>
      </c>
      <c r="C511" s="7" t="s">
        <v>496</v>
      </c>
      <c r="D511" s="3">
        <v>26279</v>
      </c>
    </row>
    <row r="512" spans="1:4" x14ac:dyDescent="0.25">
      <c r="A512" s="6" t="s">
        <v>497</v>
      </c>
      <c r="B512" s="6" t="s">
        <v>497</v>
      </c>
      <c r="C512" s="6" t="s">
        <v>1964</v>
      </c>
      <c r="D512" s="2">
        <v>26281</v>
      </c>
    </row>
    <row r="513" spans="1:4" x14ac:dyDescent="0.25">
      <c r="A513" s="7" t="s">
        <v>498</v>
      </c>
      <c r="B513" s="7" t="s">
        <v>498</v>
      </c>
      <c r="C513" s="7" t="s">
        <v>1965</v>
      </c>
      <c r="D513" s="3">
        <v>26283</v>
      </c>
    </row>
    <row r="514" spans="1:4" x14ac:dyDescent="0.25">
      <c r="A514" s="6" t="s">
        <v>499</v>
      </c>
      <c r="B514" s="6" t="s">
        <v>499</v>
      </c>
      <c r="C514" s="6" t="s">
        <v>499</v>
      </c>
      <c r="D514" s="2">
        <v>26284</v>
      </c>
    </row>
    <row r="515" spans="1:4" x14ac:dyDescent="0.25">
      <c r="A515" s="7" t="s">
        <v>500</v>
      </c>
      <c r="B515" s="7" t="s">
        <v>500</v>
      </c>
      <c r="C515" s="7" t="s">
        <v>1966</v>
      </c>
      <c r="D515" s="3">
        <v>26286</v>
      </c>
    </row>
    <row r="516" spans="1:4" x14ac:dyDescent="0.25">
      <c r="A516" s="6" t="s">
        <v>501</v>
      </c>
      <c r="B516" s="6" t="s">
        <v>501</v>
      </c>
      <c r="C516" s="6" t="s">
        <v>1967</v>
      </c>
      <c r="D516" s="2">
        <v>26287</v>
      </c>
    </row>
    <row r="517" spans="1:4" x14ac:dyDescent="0.25">
      <c r="A517" s="7" t="s">
        <v>502</v>
      </c>
      <c r="B517" s="7" t="s">
        <v>502</v>
      </c>
      <c r="C517" s="7" t="s">
        <v>1968</v>
      </c>
      <c r="D517" s="3">
        <v>26289</v>
      </c>
    </row>
    <row r="518" spans="1:4" x14ac:dyDescent="0.25">
      <c r="A518" s="6" t="s">
        <v>503</v>
      </c>
      <c r="B518" s="6" t="s">
        <v>503</v>
      </c>
      <c r="C518" s="6" t="s">
        <v>1969</v>
      </c>
      <c r="D518" s="2">
        <v>26291</v>
      </c>
    </row>
    <row r="519" spans="1:4" x14ac:dyDescent="0.25">
      <c r="A519" s="7" t="s">
        <v>504</v>
      </c>
      <c r="B519" s="7" t="s">
        <v>504</v>
      </c>
      <c r="C519" s="7" t="s">
        <v>504</v>
      </c>
      <c r="D519" s="3">
        <v>26293</v>
      </c>
    </row>
    <row r="520" spans="1:4" x14ac:dyDescent="0.25">
      <c r="A520" s="6" t="s">
        <v>505</v>
      </c>
      <c r="B520" s="6" t="s">
        <v>505</v>
      </c>
      <c r="C520" s="6" t="s">
        <v>1970</v>
      </c>
      <c r="D520" s="2">
        <v>26294</v>
      </c>
    </row>
    <row r="521" spans="1:4" x14ac:dyDescent="0.25">
      <c r="A521" s="7" t="s">
        <v>506</v>
      </c>
      <c r="B521" s="7" t="s">
        <v>506</v>
      </c>
      <c r="C521" s="7" t="s">
        <v>506</v>
      </c>
      <c r="D521" s="3">
        <v>26295</v>
      </c>
    </row>
    <row r="522" spans="1:4" x14ac:dyDescent="0.25">
      <c r="A522" s="6" t="s">
        <v>507</v>
      </c>
      <c r="B522" s="6" t="s">
        <v>507</v>
      </c>
      <c r="C522" s="6" t="s">
        <v>507</v>
      </c>
      <c r="D522" s="2">
        <v>26296</v>
      </c>
    </row>
    <row r="523" spans="1:4" x14ac:dyDescent="0.25">
      <c r="A523" s="7" t="s">
        <v>508</v>
      </c>
      <c r="B523" s="7" t="s">
        <v>508</v>
      </c>
      <c r="C523" s="7" t="s">
        <v>1971</v>
      </c>
      <c r="D523" s="3">
        <v>26297</v>
      </c>
    </row>
    <row r="524" spans="1:4" x14ac:dyDescent="0.25">
      <c r="A524" s="6" t="s">
        <v>509</v>
      </c>
      <c r="B524" s="6" t="s">
        <v>509</v>
      </c>
      <c r="C524" s="6" t="s">
        <v>509</v>
      </c>
      <c r="D524" s="2">
        <v>26298</v>
      </c>
    </row>
    <row r="525" spans="1:4" x14ac:dyDescent="0.25">
      <c r="A525" s="7" t="s">
        <v>510</v>
      </c>
      <c r="B525" s="7" t="s">
        <v>510</v>
      </c>
      <c r="C525" s="7" t="s">
        <v>1972</v>
      </c>
      <c r="D525" s="3">
        <v>26299</v>
      </c>
    </row>
    <row r="526" spans="1:4" x14ac:dyDescent="0.25">
      <c r="A526" s="6" t="s">
        <v>511</v>
      </c>
      <c r="B526" s="6" t="s">
        <v>511</v>
      </c>
      <c r="C526" s="6" t="s">
        <v>1973</v>
      </c>
      <c r="D526" s="2">
        <v>26311</v>
      </c>
    </row>
    <row r="527" spans="1:4" x14ac:dyDescent="0.25">
      <c r="A527" s="7" t="s">
        <v>512</v>
      </c>
      <c r="B527" s="7" t="s">
        <v>512</v>
      </c>
      <c r="C527" s="7" t="s">
        <v>1974</v>
      </c>
      <c r="D527" s="3">
        <v>26314</v>
      </c>
    </row>
    <row r="528" spans="1:4" x14ac:dyDescent="0.25">
      <c r="A528" s="6" t="s">
        <v>2873</v>
      </c>
      <c r="B528" s="6" t="s">
        <v>513</v>
      </c>
      <c r="C528" s="6" t="s">
        <v>1975</v>
      </c>
      <c r="D528" s="2">
        <v>26317</v>
      </c>
    </row>
    <row r="529" spans="1:4" x14ac:dyDescent="0.25">
      <c r="A529" s="7" t="s">
        <v>514</v>
      </c>
      <c r="B529" s="7" t="s">
        <v>514</v>
      </c>
      <c r="C529" s="7" t="s">
        <v>1976</v>
      </c>
      <c r="D529" s="3">
        <v>26321</v>
      </c>
    </row>
    <row r="530" spans="1:4" x14ac:dyDescent="0.25">
      <c r="A530" s="6" t="s">
        <v>515</v>
      </c>
      <c r="B530" s="6" t="s">
        <v>515</v>
      </c>
      <c r="C530" s="6" t="s">
        <v>1977</v>
      </c>
      <c r="D530" s="2">
        <v>26324</v>
      </c>
    </row>
    <row r="531" spans="1:4" x14ac:dyDescent="0.25">
      <c r="A531" s="7" t="s">
        <v>2874</v>
      </c>
      <c r="B531" s="7" t="s">
        <v>516</v>
      </c>
      <c r="C531" s="7" t="s">
        <v>516</v>
      </c>
      <c r="D531" s="3">
        <v>26327</v>
      </c>
    </row>
    <row r="532" spans="1:4" x14ac:dyDescent="0.25">
      <c r="A532" s="6" t="s">
        <v>517</v>
      </c>
      <c r="B532" s="6" t="s">
        <v>517</v>
      </c>
      <c r="C532" s="6" t="s">
        <v>517</v>
      </c>
      <c r="D532" s="2">
        <v>26331</v>
      </c>
    </row>
    <row r="533" spans="1:4" x14ac:dyDescent="0.25">
      <c r="A533" s="7" t="s">
        <v>518</v>
      </c>
      <c r="B533" s="7" t="s">
        <v>518</v>
      </c>
      <c r="C533" s="7" t="s">
        <v>1978</v>
      </c>
      <c r="D533" s="3">
        <v>26334</v>
      </c>
    </row>
    <row r="534" spans="1:4" x14ac:dyDescent="0.25">
      <c r="A534" s="6" t="s">
        <v>519</v>
      </c>
      <c r="B534" s="6" t="s">
        <v>519</v>
      </c>
      <c r="C534" s="6" t="s">
        <v>1979</v>
      </c>
      <c r="D534" s="2">
        <v>26337</v>
      </c>
    </row>
    <row r="535" spans="1:4" x14ac:dyDescent="0.25">
      <c r="A535" s="7" t="s">
        <v>2875</v>
      </c>
      <c r="B535" s="7" t="s">
        <v>520</v>
      </c>
      <c r="C535" s="7" t="s">
        <v>1980</v>
      </c>
      <c r="D535" s="3">
        <v>26341</v>
      </c>
    </row>
    <row r="536" spans="1:4" x14ac:dyDescent="0.25">
      <c r="A536" s="6" t="s">
        <v>521</v>
      </c>
      <c r="B536" s="6" t="s">
        <v>521</v>
      </c>
      <c r="C536" s="6" t="s">
        <v>1981</v>
      </c>
      <c r="D536" s="2">
        <v>26344</v>
      </c>
    </row>
    <row r="537" spans="1:4" x14ac:dyDescent="0.25">
      <c r="A537" s="7" t="s">
        <v>522</v>
      </c>
      <c r="B537" s="7" t="s">
        <v>522</v>
      </c>
      <c r="C537" s="7" t="s">
        <v>1982</v>
      </c>
      <c r="D537" s="3">
        <v>26347</v>
      </c>
    </row>
    <row r="538" spans="1:4" x14ac:dyDescent="0.25">
      <c r="A538" s="6" t="s">
        <v>523</v>
      </c>
      <c r="B538" s="6" t="s">
        <v>523</v>
      </c>
      <c r="C538" s="6" t="s">
        <v>1983</v>
      </c>
      <c r="D538" s="2">
        <v>26351</v>
      </c>
    </row>
    <row r="539" spans="1:4" x14ac:dyDescent="0.25">
      <c r="A539" s="7" t="s">
        <v>524</v>
      </c>
      <c r="B539" s="7" t="s">
        <v>524</v>
      </c>
      <c r="C539" s="7" t="s">
        <v>1984</v>
      </c>
      <c r="D539" s="3">
        <v>26354</v>
      </c>
    </row>
    <row r="540" spans="1:4" x14ac:dyDescent="0.25">
      <c r="A540" s="6" t="s">
        <v>525</v>
      </c>
      <c r="B540" s="6" t="s">
        <v>525</v>
      </c>
      <c r="C540" s="6" t="s">
        <v>1985</v>
      </c>
      <c r="D540" s="2">
        <v>26357</v>
      </c>
    </row>
    <row r="541" spans="1:4" x14ac:dyDescent="0.25">
      <c r="A541" s="7" t="s">
        <v>526</v>
      </c>
      <c r="B541" s="7" t="s">
        <v>526</v>
      </c>
      <c r="C541" s="7" t="s">
        <v>1986</v>
      </c>
      <c r="D541" s="3">
        <v>26361</v>
      </c>
    </row>
    <row r="542" spans="1:4" x14ac:dyDescent="0.25">
      <c r="A542" s="6" t="s">
        <v>527</v>
      </c>
      <c r="B542" s="6" t="s">
        <v>527</v>
      </c>
      <c r="C542" s="6" t="s">
        <v>1987</v>
      </c>
      <c r="D542" s="2">
        <v>26364</v>
      </c>
    </row>
    <row r="543" spans="1:4" x14ac:dyDescent="0.25">
      <c r="A543" s="7" t="s">
        <v>528</v>
      </c>
      <c r="B543" s="7" t="s">
        <v>528</v>
      </c>
      <c r="C543" s="7" t="s">
        <v>1988</v>
      </c>
      <c r="D543" s="3">
        <v>26367</v>
      </c>
    </row>
    <row r="544" spans="1:4" x14ac:dyDescent="0.25">
      <c r="A544" s="6" t="s">
        <v>529</v>
      </c>
      <c r="B544" s="6" t="s">
        <v>529</v>
      </c>
      <c r="C544" s="6" t="s">
        <v>1989</v>
      </c>
      <c r="D544" s="2">
        <v>26371</v>
      </c>
    </row>
    <row r="545" spans="1:4" x14ac:dyDescent="0.25">
      <c r="A545" s="7" t="s">
        <v>530</v>
      </c>
      <c r="B545" s="7" t="s">
        <v>530</v>
      </c>
      <c r="C545" s="7" t="s">
        <v>1990</v>
      </c>
      <c r="D545" s="3">
        <v>26374</v>
      </c>
    </row>
    <row r="546" spans="1:4" x14ac:dyDescent="0.25">
      <c r="A546" s="6" t="s">
        <v>531</v>
      </c>
      <c r="B546" s="6" t="s">
        <v>531</v>
      </c>
      <c r="C546" s="6" t="s">
        <v>1991</v>
      </c>
      <c r="D546" s="2">
        <v>26377</v>
      </c>
    </row>
    <row r="547" spans="1:4" x14ac:dyDescent="0.25">
      <c r="A547" s="7" t="s">
        <v>532</v>
      </c>
      <c r="B547" s="7" t="s">
        <v>532</v>
      </c>
      <c r="C547" s="7" t="s">
        <v>1992</v>
      </c>
      <c r="D547" s="3">
        <v>26381</v>
      </c>
    </row>
    <row r="548" spans="1:4" x14ac:dyDescent="0.25">
      <c r="A548" s="6" t="s">
        <v>533</v>
      </c>
      <c r="B548" s="6" t="s">
        <v>533</v>
      </c>
      <c r="C548" s="6" t="s">
        <v>1993</v>
      </c>
      <c r="D548" s="2">
        <v>26384</v>
      </c>
    </row>
    <row r="549" spans="1:4" x14ac:dyDescent="0.25">
      <c r="A549" s="7" t="s">
        <v>534</v>
      </c>
      <c r="B549" s="7" t="s">
        <v>534</v>
      </c>
      <c r="C549" s="7" t="s">
        <v>1835</v>
      </c>
      <c r="D549" s="3">
        <v>26388</v>
      </c>
    </row>
    <row r="550" spans="1:4" x14ac:dyDescent="0.25">
      <c r="A550" s="6" t="s">
        <v>535</v>
      </c>
      <c r="B550" s="6" t="s">
        <v>535</v>
      </c>
      <c r="C550" s="6" t="s">
        <v>1835</v>
      </c>
      <c r="D550" s="2">
        <v>26390</v>
      </c>
    </row>
    <row r="551" spans="1:4" x14ac:dyDescent="0.25">
      <c r="A551" s="7" t="s">
        <v>536</v>
      </c>
      <c r="B551" s="7" t="s">
        <v>536</v>
      </c>
      <c r="C551" s="7" t="s">
        <v>1835</v>
      </c>
      <c r="D551" s="3">
        <v>26392</v>
      </c>
    </row>
    <row r="552" spans="1:4" x14ac:dyDescent="0.25">
      <c r="A552" s="6" t="s">
        <v>537</v>
      </c>
      <c r="B552" s="6" t="s">
        <v>537</v>
      </c>
      <c r="C552" s="6" t="s">
        <v>1994</v>
      </c>
      <c r="D552" s="2">
        <v>31111</v>
      </c>
    </row>
    <row r="553" spans="1:4" x14ac:dyDescent="0.25">
      <c r="A553" s="7" t="s">
        <v>538</v>
      </c>
      <c r="B553" s="7" t="s">
        <v>538</v>
      </c>
      <c r="C553" s="7" t="s">
        <v>1995</v>
      </c>
      <c r="D553" s="3">
        <v>31116</v>
      </c>
    </row>
    <row r="554" spans="1:4" x14ac:dyDescent="0.25">
      <c r="A554" s="6" t="s">
        <v>539</v>
      </c>
      <c r="B554" s="6" t="s">
        <v>539</v>
      </c>
      <c r="C554" s="6" t="s">
        <v>1996</v>
      </c>
      <c r="D554" s="2">
        <v>31121</v>
      </c>
    </row>
    <row r="555" spans="1:4" x14ac:dyDescent="0.25">
      <c r="A555" s="7" t="s">
        <v>540</v>
      </c>
      <c r="B555" s="7" t="s">
        <v>540</v>
      </c>
      <c r="C555" s="7" t="s">
        <v>1997</v>
      </c>
      <c r="D555" s="3">
        <v>31126</v>
      </c>
    </row>
    <row r="556" spans="1:4" x14ac:dyDescent="0.25">
      <c r="A556" s="6" t="s">
        <v>541</v>
      </c>
      <c r="B556" s="6" t="s">
        <v>541</v>
      </c>
      <c r="C556" s="6" t="s">
        <v>1998</v>
      </c>
      <c r="D556" s="2">
        <v>31131</v>
      </c>
    </row>
    <row r="557" spans="1:4" x14ac:dyDescent="0.25">
      <c r="A557" s="7" t="s">
        <v>542</v>
      </c>
      <c r="B557" s="7" t="s">
        <v>542</v>
      </c>
      <c r="C557" s="7" t="s">
        <v>1999</v>
      </c>
      <c r="D557" s="3">
        <v>31136</v>
      </c>
    </row>
    <row r="558" spans="1:4" x14ac:dyDescent="0.25">
      <c r="A558" s="6" t="s">
        <v>543</v>
      </c>
      <c r="B558" s="6" t="s">
        <v>543</v>
      </c>
      <c r="C558" s="6" t="s">
        <v>2000</v>
      </c>
      <c r="D558" s="2">
        <v>31141</v>
      </c>
    </row>
    <row r="559" spans="1:4" x14ac:dyDescent="0.25">
      <c r="A559" s="7" t="s">
        <v>544</v>
      </c>
      <c r="B559" s="7" t="s">
        <v>544</v>
      </c>
      <c r="C559" s="7" t="s">
        <v>2001</v>
      </c>
      <c r="D559" s="3">
        <v>31146</v>
      </c>
    </row>
    <row r="560" spans="1:4" x14ac:dyDescent="0.25">
      <c r="A560" s="6" t="s">
        <v>545</v>
      </c>
      <c r="B560" s="6" t="s">
        <v>545</v>
      </c>
      <c r="C560" s="6" t="s">
        <v>2002</v>
      </c>
      <c r="D560" s="2">
        <v>31151</v>
      </c>
    </row>
    <row r="561" spans="1:4" x14ac:dyDescent="0.25">
      <c r="A561" s="7" t="s">
        <v>546</v>
      </c>
      <c r="B561" s="7" t="s">
        <v>546</v>
      </c>
      <c r="C561" s="7" t="s">
        <v>2003</v>
      </c>
      <c r="D561" s="3">
        <v>31156</v>
      </c>
    </row>
    <row r="562" spans="1:4" x14ac:dyDescent="0.25">
      <c r="A562" s="6" t="s">
        <v>547</v>
      </c>
      <c r="B562" s="6" t="s">
        <v>547</v>
      </c>
      <c r="C562" s="6" t="s">
        <v>2004</v>
      </c>
      <c r="D562" s="2">
        <v>31161</v>
      </c>
    </row>
    <row r="563" spans="1:4" x14ac:dyDescent="0.25">
      <c r="A563" s="7" t="s">
        <v>548</v>
      </c>
      <c r="B563" s="7" t="s">
        <v>548</v>
      </c>
      <c r="C563" s="7" t="s">
        <v>2005</v>
      </c>
      <c r="D563" s="3">
        <v>31166</v>
      </c>
    </row>
    <row r="564" spans="1:4" x14ac:dyDescent="0.25">
      <c r="A564" s="6" t="s">
        <v>2876</v>
      </c>
      <c r="B564" s="6" t="s">
        <v>549</v>
      </c>
      <c r="C564" s="6" t="s">
        <v>2006</v>
      </c>
      <c r="D564" s="2">
        <v>31171</v>
      </c>
    </row>
    <row r="565" spans="1:4" x14ac:dyDescent="0.25">
      <c r="A565" s="7" t="s">
        <v>2877</v>
      </c>
      <c r="B565" s="7" t="s">
        <v>550</v>
      </c>
      <c r="C565" s="7" t="s">
        <v>2007</v>
      </c>
      <c r="D565" s="3">
        <v>31176</v>
      </c>
    </row>
    <row r="566" spans="1:4" x14ac:dyDescent="0.25">
      <c r="A566" s="6" t="s">
        <v>2878</v>
      </c>
      <c r="B566" s="6" t="s">
        <v>551</v>
      </c>
      <c r="C566" s="6" t="s">
        <v>2008</v>
      </c>
      <c r="D566" s="2">
        <v>31181</v>
      </c>
    </row>
    <row r="567" spans="1:4" x14ac:dyDescent="0.25">
      <c r="A567" s="7" t="s">
        <v>552</v>
      </c>
      <c r="B567" s="7" t="s">
        <v>552</v>
      </c>
      <c r="C567" s="7" t="s">
        <v>2009</v>
      </c>
      <c r="D567" s="3">
        <v>31186</v>
      </c>
    </row>
    <row r="568" spans="1:4" x14ac:dyDescent="0.25">
      <c r="A568" s="6" t="s">
        <v>553</v>
      </c>
      <c r="B568" s="6" t="s">
        <v>553</v>
      </c>
      <c r="C568" s="6" t="s">
        <v>2010</v>
      </c>
      <c r="D568" s="2">
        <v>31221</v>
      </c>
    </row>
    <row r="569" spans="1:4" x14ac:dyDescent="0.25">
      <c r="A569" s="7" t="s">
        <v>554</v>
      </c>
      <c r="B569" s="7" t="s">
        <v>554</v>
      </c>
      <c r="C569" s="7" t="s">
        <v>2011</v>
      </c>
      <c r="D569" s="3">
        <v>32111</v>
      </c>
    </row>
    <row r="570" spans="1:4" x14ac:dyDescent="0.25">
      <c r="A570" s="6" t="s">
        <v>555</v>
      </c>
      <c r="B570" s="6" t="s">
        <v>555</v>
      </c>
      <c r="C570" s="6" t="s">
        <v>2012</v>
      </c>
      <c r="D570" s="2">
        <v>32113</v>
      </c>
    </row>
    <row r="571" spans="1:4" x14ac:dyDescent="0.25">
      <c r="A571" s="7" t="s">
        <v>556</v>
      </c>
      <c r="B571" s="7" t="s">
        <v>556</v>
      </c>
      <c r="C571" s="7" t="s">
        <v>2013</v>
      </c>
      <c r="D571" s="3">
        <v>32115</v>
      </c>
    </row>
    <row r="572" spans="1:4" x14ac:dyDescent="0.25">
      <c r="A572" s="6" t="s">
        <v>557</v>
      </c>
      <c r="B572" s="6" t="s">
        <v>557</v>
      </c>
      <c r="C572" s="6" t="s">
        <v>2014</v>
      </c>
      <c r="D572" s="2">
        <v>32117</v>
      </c>
    </row>
    <row r="573" spans="1:4" x14ac:dyDescent="0.25">
      <c r="A573" s="7" t="s">
        <v>558</v>
      </c>
      <c r="B573" s="7" t="s">
        <v>558</v>
      </c>
      <c r="C573" s="7" t="s">
        <v>558</v>
      </c>
      <c r="D573" s="3">
        <v>32119</v>
      </c>
    </row>
    <row r="574" spans="1:4" x14ac:dyDescent="0.25">
      <c r="A574" s="6" t="s">
        <v>559</v>
      </c>
      <c r="B574" s="6" t="s">
        <v>559</v>
      </c>
      <c r="C574" s="6" t="s">
        <v>559</v>
      </c>
      <c r="D574" s="2">
        <v>32121</v>
      </c>
    </row>
    <row r="575" spans="1:4" x14ac:dyDescent="0.25">
      <c r="A575" s="7" t="s">
        <v>560</v>
      </c>
      <c r="B575" s="7" t="s">
        <v>560</v>
      </c>
      <c r="C575" s="7" t="s">
        <v>560</v>
      </c>
      <c r="D575" s="3">
        <v>32123</v>
      </c>
    </row>
    <row r="576" spans="1:4" x14ac:dyDescent="0.25">
      <c r="A576" s="6" t="s">
        <v>561</v>
      </c>
      <c r="B576" s="6" t="s">
        <v>561</v>
      </c>
      <c r="C576" s="6" t="s">
        <v>561</v>
      </c>
      <c r="D576" s="2">
        <v>32125</v>
      </c>
    </row>
    <row r="577" spans="1:4" x14ac:dyDescent="0.25">
      <c r="A577" s="7" t="s">
        <v>562</v>
      </c>
      <c r="B577" s="7" t="s">
        <v>562</v>
      </c>
      <c r="C577" s="7" t="s">
        <v>2015</v>
      </c>
      <c r="D577" s="3">
        <v>32127</v>
      </c>
    </row>
    <row r="578" spans="1:4" x14ac:dyDescent="0.25">
      <c r="A578" s="6" t="s">
        <v>563</v>
      </c>
      <c r="B578" s="6" t="s">
        <v>563</v>
      </c>
      <c r="C578" s="6" t="s">
        <v>2016</v>
      </c>
      <c r="D578" s="2">
        <v>32129</v>
      </c>
    </row>
    <row r="579" spans="1:4" x14ac:dyDescent="0.25">
      <c r="A579" s="7" t="s">
        <v>564</v>
      </c>
      <c r="B579" s="7" t="s">
        <v>564</v>
      </c>
      <c r="C579" s="7" t="s">
        <v>2017</v>
      </c>
      <c r="D579" s="3">
        <v>32131</v>
      </c>
    </row>
    <row r="580" spans="1:4" x14ac:dyDescent="0.25">
      <c r="A580" s="6" t="s">
        <v>565</v>
      </c>
      <c r="B580" s="6" t="s">
        <v>565</v>
      </c>
      <c r="C580" s="6" t="s">
        <v>2018</v>
      </c>
      <c r="D580" s="2">
        <v>32133</v>
      </c>
    </row>
    <row r="581" spans="1:4" x14ac:dyDescent="0.25">
      <c r="A581" s="7" t="s">
        <v>566</v>
      </c>
      <c r="B581" s="7" t="s">
        <v>566</v>
      </c>
      <c r="C581" s="7" t="s">
        <v>2019</v>
      </c>
      <c r="D581" s="3">
        <v>32135</v>
      </c>
    </row>
    <row r="582" spans="1:4" x14ac:dyDescent="0.25">
      <c r="A582" s="6" t="s">
        <v>567</v>
      </c>
      <c r="B582" s="6" t="s">
        <v>567</v>
      </c>
      <c r="C582" s="6" t="s">
        <v>567</v>
      </c>
      <c r="D582" s="2">
        <v>32137</v>
      </c>
    </row>
    <row r="583" spans="1:4" x14ac:dyDescent="0.25">
      <c r="A583" s="7" t="s">
        <v>568</v>
      </c>
      <c r="B583" s="7" t="s">
        <v>568</v>
      </c>
      <c r="C583" s="7" t="s">
        <v>2020</v>
      </c>
      <c r="D583" s="3">
        <v>32139</v>
      </c>
    </row>
    <row r="584" spans="1:4" x14ac:dyDescent="0.25">
      <c r="A584" s="6" t="s">
        <v>569</v>
      </c>
      <c r="B584" s="6" t="s">
        <v>569</v>
      </c>
      <c r="C584" s="6" t="s">
        <v>2021</v>
      </c>
      <c r="D584" s="2">
        <v>32141</v>
      </c>
    </row>
    <row r="585" spans="1:4" x14ac:dyDescent="0.25">
      <c r="A585" s="7" t="s">
        <v>570</v>
      </c>
      <c r="B585" s="7" t="s">
        <v>570</v>
      </c>
      <c r="C585" s="7" t="s">
        <v>2022</v>
      </c>
      <c r="D585" s="3">
        <v>32143</v>
      </c>
    </row>
    <row r="586" spans="1:4" x14ac:dyDescent="0.25">
      <c r="A586" s="6" t="s">
        <v>571</v>
      </c>
      <c r="B586" s="6" t="s">
        <v>571</v>
      </c>
      <c r="C586" s="6" t="s">
        <v>571</v>
      </c>
      <c r="D586" s="2">
        <v>32145</v>
      </c>
    </row>
    <row r="587" spans="1:4" x14ac:dyDescent="0.25">
      <c r="A587" s="7" t="s">
        <v>572</v>
      </c>
      <c r="B587" s="7" t="s">
        <v>572</v>
      </c>
      <c r="C587" s="7" t="s">
        <v>2023</v>
      </c>
      <c r="D587" s="3">
        <v>32147</v>
      </c>
    </row>
    <row r="588" spans="1:4" x14ac:dyDescent="0.25">
      <c r="A588" s="6" t="s">
        <v>573</v>
      </c>
      <c r="B588" s="6" t="s">
        <v>573</v>
      </c>
      <c r="C588" s="6" t="s">
        <v>1273</v>
      </c>
      <c r="D588" s="2">
        <v>32149</v>
      </c>
    </row>
    <row r="589" spans="1:4" x14ac:dyDescent="0.25">
      <c r="A589" s="7" t="s">
        <v>574</v>
      </c>
      <c r="B589" s="7" t="s">
        <v>574</v>
      </c>
      <c r="C589" s="7" t="s">
        <v>2024</v>
      </c>
      <c r="D589" s="3">
        <v>32151</v>
      </c>
    </row>
    <row r="590" spans="1:4" x14ac:dyDescent="0.25">
      <c r="A590" s="6" t="s">
        <v>575</v>
      </c>
      <c r="B590" s="6" t="s">
        <v>575</v>
      </c>
      <c r="C590" s="6" t="s">
        <v>575</v>
      </c>
      <c r="D590" s="2">
        <v>32153</v>
      </c>
    </row>
    <row r="591" spans="1:4" x14ac:dyDescent="0.25">
      <c r="A591" s="7" t="s">
        <v>576</v>
      </c>
      <c r="B591" s="7" t="s">
        <v>576</v>
      </c>
      <c r="C591" s="7" t="s">
        <v>2025</v>
      </c>
      <c r="D591" s="3">
        <v>32155</v>
      </c>
    </row>
    <row r="592" spans="1:4" x14ac:dyDescent="0.25">
      <c r="A592" s="6" t="s">
        <v>577</v>
      </c>
      <c r="B592" s="6" t="s">
        <v>577</v>
      </c>
      <c r="C592" s="6" t="s">
        <v>2026</v>
      </c>
      <c r="D592" s="2">
        <v>32157</v>
      </c>
    </row>
    <row r="593" spans="1:4" x14ac:dyDescent="0.25">
      <c r="A593" s="7" t="s">
        <v>578</v>
      </c>
      <c r="B593" s="7" t="s">
        <v>578</v>
      </c>
      <c r="C593" s="7" t="s">
        <v>2027</v>
      </c>
      <c r="D593" s="3">
        <v>32159</v>
      </c>
    </row>
    <row r="594" spans="1:4" x14ac:dyDescent="0.25">
      <c r="A594" s="6" t="s">
        <v>579</v>
      </c>
      <c r="B594" s="6" t="s">
        <v>579</v>
      </c>
      <c r="C594" s="6" t="s">
        <v>579</v>
      </c>
      <c r="D594" s="2">
        <v>32161</v>
      </c>
    </row>
    <row r="595" spans="1:4" x14ac:dyDescent="0.25">
      <c r="A595" s="7" t="s">
        <v>580</v>
      </c>
      <c r="B595" s="7" t="s">
        <v>580</v>
      </c>
      <c r="C595" s="7" t="s">
        <v>2028</v>
      </c>
      <c r="D595" s="3">
        <v>32163</v>
      </c>
    </row>
    <row r="596" spans="1:4" x14ac:dyDescent="0.25">
      <c r="A596" s="6" t="s">
        <v>581</v>
      </c>
      <c r="B596" s="6" t="s">
        <v>581</v>
      </c>
      <c r="C596" s="6" t="s">
        <v>2029</v>
      </c>
      <c r="D596" s="2">
        <v>32165</v>
      </c>
    </row>
    <row r="597" spans="1:4" x14ac:dyDescent="0.25">
      <c r="A597" s="7" t="s">
        <v>582</v>
      </c>
      <c r="B597" s="7" t="s">
        <v>582</v>
      </c>
      <c r="C597" s="7" t="s">
        <v>582</v>
      </c>
      <c r="D597" s="3">
        <v>32167</v>
      </c>
    </row>
    <row r="598" spans="1:4" x14ac:dyDescent="0.25">
      <c r="A598" s="6" t="s">
        <v>583</v>
      </c>
      <c r="B598" s="6" t="s">
        <v>583</v>
      </c>
      <c r="C598" s="6" t="s">
        <v>2030</v>
      </c>
      <c r="D598" s="2">
        <v>32169</v>
      </c>
    </row>
    <row r="599" spans="1:4" x14ac:dyDescent="0.25">
      <c r="A599" s="7" t="s">
        <v>584</v>
      </c>
      <c r="B599" s="7" t="s">
        <v>584</v>
      </c>
      <c r="C599" s="7" t="s">
        <v>2031</v>
      </c>
      <c r="D599" s="3">
        <v>32171</v>
      </c>
    </row>
    <row r="600" spans="1:4" x14ac:dyDescent="0.25">
      <c r="A600" s="6" t="s">
        <v>585</v>
      </c>
      <c r="B600" s="6" t="s">
        <v>585</v>
      </c>
      <c r="C600" s="6" t="s">
        <v>2032</v>
      </c>
      <c r="D600" s="2">
        <v>32173</v>
      </c>
    </row>
    <row r="601" spans="1:4" x14ac:dyDescent="0.25">
      <c r="A601" s="7" t="s">
        <v>586</v>
      </c>
      <c r="B601" s="7" t="s">
        <v>586</v>
      </c>
      <c r="C601" s="7" t="s">
        <v>2033</v>
      </c>
      <c r="D601" s="3">
        <v>32175</v>
      </c>
    </row>
    <row r="602" spans="1:4" x14ac:dyDescent="0.25">
      <c r="A602" s="6" t="s">
        <v>587</v>
      </c>
      <c r="B602" s="6" t="s">
        <v>587</v>
      </c>
      <c r="C602" s="6" t="s">
        <v>2034</v>
      </c>
      <c r="D602" s="2">
        <v>32177</v>
      </c>
    </row>
    <row r="603" spans="1:4" x14ac:dyDescent="0.25">
      <c r="A603" s="7" t="s">
        <v>2879</v>
      </c>
      <c r="B603" s="7" t="s">
        <v>588</v>
      </c>
      <c r="C603" s="7" t="s">
        <v>2035</v>
      </c>
      <c r="D603" s="3">
        <v>32179</v>
      </c>
    </row>
    <row r="604" spans="1:4" x14ac:dyDescent="0.25">
      <c r="A604" s="6" t="s">
        <v>2880</v>
      </c>
      <c r="B604" s="6" t="s">
        <v>589</v>
      </c>
      <c r="C604" s="6" t="s">
        <v>2036</v>
      </c>
      <c r="D604" s="2">
        <v>32181</v>
      </c>
    </row>
    <row r="605" spans="1:4" x14ac:dyDescent="0.25">
      <c r="A605" s="7" t="s">
        <v>590</v>
      </c>
      <c r="B605" s="7" t="s">
        <v>590</v>
      </c>
      <c r="C605" s="7" t="s">
        <v>2037</v>
      </c>
      <c r="D605" s="3">
        <v>32183</v>
      </c>
    </row>
    <row r="606" spans="1:4" x14ac:dyDescent="0.25">
      <c r="A606" s="6" t="s">
        <v>591</v>
      </c>
      <c r="B606" s="6" t="s">
        <v>591</v>
      </c>
      <c r="C606" s="6" t="s">
        <v>2038</v>
      </c>
      <c r="D606" s="2">
        <v>32185</v>
      </c>
    </row>
    <row r="607" spans="1:4" x14ac:dyDescent="0.25">
      <c r="A607" s="7" t="s">
        <v>592</v>
      </c>
      <c r="B607" s="7" t="s">
        <v>592</v>
      </c>
      <c r="C607" s="7" t="s">
        <v>592</v>
      </c>
      <c r="D607" s="3">
        <v>32187</v>
      </c>
    </row>
    <row r="608" spans="1:4" x14ac:dyDescent="0.25">
      <c r="A608" s="6" t="s">
        <v>593</v>
      </c>
      <c r="B608" s="6" t="s">
        <v>593</v>
      </c>
      <c r="C608" s="6" t="s">
        <v>593</v>
      </c>
      <c r="D608" s="2">
        <v>32189</v>
      </c>
    </row>
    <row r="609" spans="1:4" x14ac:dyDescent="0.25">
      <c r="A609" s="7" t="s">
        <v>2881</v>
      </c>
      <c r="B609" s="7" t="s">
        <v>594</v>
      </c>
      <c r="C609" s="7" t="s">
        <v>2039</v>
      </c>
      <c r="D609" s="3">
        <v>32191</v>
      </c>
    </row>
    <row r="610" spans="1:4" x14ac:dyDescent="0.25">
      <c r="A610" s="6" t="s">
        <v>595</v>
      </c>
      <c r="B610" s="6" t="s">
        <v>595</v>
      </c>
      <c r="C610" s="6" t="s">
        <v>2040</v>
      </c>
      <c r="D610" s="2">
        <v>32193</v>
      </c>
    </row>
    <row r="611" spans="1:4" x14ac:dyDescent="0.25">
      <c r="A611" s="7" t="s">
        <v>596</v>
      </c>
      <c r="B611" s="7" t="s">
        <v>596</v>
      </c>
      <c r="C611" s="7" t="s">
        <v>2041</v>
      </c>
      <c r="D611" s="3">
        <v>32195</v>
      </c>
    </row>
    <row r="612" spans="1:4" x14ac:dyDescent="0.25">
      <c r="A612" s="6" t="s">
        <v>597</v>
      </c>
      <c r="B612" s="6" t="s">
        <v>597</v>
      </c>
      <c r="C612" s="6" t="s">
        <v>2042</v>
      </c>
      <c r="D612" s="2">
        <v>33111</v>
      </c>
    </row>
    <row r="613" spans="1:4" x14ac:dyDescent="0.25">
      <c r="A613" s="7" t="s">
        <v>598</v>
      </c>
      <c r="B613" s="7" t="s">
        <v>598</v>
      </c>
      <c r="C613" s="7" t="s">
        <v>2043</v>
      </c>
      <c r="D613" s="3">
        <v>33113</v>
      </c>
    </row>
    <row r="614" spans="1:4" x14ac:dyDescent="0.25">
      <c r="A614" s="6" t="s">
        <v>599</v>
      </c>
      <c r="B614" s="6" t="s">
        <v>599</v>
      </c>
      <c r="C614" s="6" t="s">
        <v>2044</v>
      </c>
      <c r="D614" s="2">
        <v>33115</v>
      </c>
    </row>
    <row r="615" spans="1:4" x14ac:dyDescent="0.25">
      <c r="A615" s="7" t="s">
        <v>600</v>
      </c>
      <c r="B615" s="7" t="s">
        <v>600</v>
      </c>
      <c r="C615" s="7" t="s">
        <v>2045</v>
      </c>
      <c r="D615" s="3">
        <v>33117</v>
      </c>
    </row>
    <row r="616" spans="1:4" x14ac:dyDescent="0.25">
      <c r="A616" s="6" t="s">
        <v>601</v>
      </c>
      <c r="B616" s="6" t="s">
        <v>601</v>
      </c>
      <c r="C616" s="6" t="s">
        <v>2046</v>
      </c>
      <c r="D616" s="2">
        <v>33119</v>
      </c>
    </row>
    <row r="617" spans="1:4" x14ac:dyDescent="0.25">
      <c r="A617" s="7" t="s">
        <v>602</v>
      </c>
      <c r="B617" s="7" t="s">
        <v>602</v>
      </c>
      <c r="C617" s="7" t="s">
        <v>2047</v>
      </c>
      <c r="D617" s="3">
        <v>33121</v>
      </c>
    </row>
    <row r="618" spans="1:4" x14ac:dyDescent="0.25">
      <c r="A618" s="6" t="s">
        <v>603</v>
      </c>
      <c r="B618" s="6" t="s">
        <v>603</v>
      </c>
      <c r="C618" s="6" t="s">
        <v>2048</v>
      </c>
      <c r="D618" s="2">
        <v>33123</v>
      </c>
    </row>
    <row r="619" spans="1:4" x14ac:dyDescent="0.25">
      <c r="A619" s="7" t="s">
        <v>604</v>
      </c>
      <c r="B619" s="7" t="s">
        <v>604</v>
      </c>
      <c r="C619" s="7" t="s">
        <v>2049</v>
      </c>
      <c r="D619" s="3">
        <v>33125</v>
      </c>
    </row>
    <row r="620" spans="1:4" x14ac:dyDescent="0.25">
      <c r="A620" s="6" t="s">
        <v>605</v>
      </c>
      <c r="B620" s="6" t="s">
        <v>605</v>
      </c>
      <c r="C620" s="6" t="s">
        <v>2050</v>
      </c>
      <c r="D620" s="2">
        <v>33127</v>
      </c>
    </row>
    <row r="621" spans="1:4" x14ac:dyDescent="0.25">
      <c r="A621" s="7" t="s">
        <v>606</v>
      </c>
      <c r="B621" s="7" t="s">
        <v>606</v>
      </c>
      <c r="C621" s="7" t="s">
        <v>1826</v>
      </c>
      <c r="D621" s="3">
        <v>33129</v>
      </c>
    </row>
    <row r="622" spans="1:4" x14ac:dyDescent="0.25">
      <c r="A622" s="6" t="s">
        <v>607</v>
      </c>
      <c r="B622" s="6" t="s">
        <v>607</v>
      </c>
      <c r="C622" s="6" t="s">
        <v>2051</v>
      </c>
      <c r="D622" s="2">
        <v>33131</v>
      </c>
    </row>
    <row r="623" spans="1:4" x14ac:dyDescent="0.25">
      <c r="A623" s="7" t="s">
        <v>608</v>
      </c>
      <c r="B623" s="7" t="s">
        <v>608</v>
      </c>
      <c r="C623" s="7" t="s">
        <v>2052</v>
      </c>
      <c r="D623" s="3">
        <v>33133</v>
      </c>
    </row>
    <row r="624" spans="1:4" x14ac:dyDescent="0.25">
      <c r="A624" s="6" t="s">
        <v>609</v>
      </c>
      <c r="B624" s="6" t="s">
        <v>609</v>
      </c>
      <c r="C624" s="6" t="s">
        <v>2053</v>
      </c>
      <c r="D624" s="2">
        <v>33135</v>
      </c>
    </row>
    <row r="625" spans="1:4" x14ac:dyDescent="0.25">
      <c r="A625" s="7" t="s">
        <v>610</v>
      </c>
      <c r="B625" s="7" t="s">
        <v>610</v>
      </c>
      <c r="C625" s="7" t="s">
        <v>2054</v>
      </c>
      <c r="D625" s="3">
        <v>33137</v>
      </c>
    </row>
    <row r="626" spans="1:4" x14ac:dyDescent="0.25">
      <c r="A626" s="6" t="s">
        <v>2882</v>
      </c>
      <c r="B626" s="6" t="s">
        <v>611</v>
      </c>
      <c r="C626" s="6" t="s">
        <v>2055</v>
      </c>
      <c r="D626" s="2">
        <v>33139</v>
      </c>
    </row>
    <row r="627" spans="1:4" x14ac:dyDescent="0.25">
      <c r="A627" s="7" t="s">
        <v>612</v>
      </c>
      <c r="B627" s="7" t="s">
        <v>612</v>
      </c>
      <c r="C627" s="7" t="s">
        <v>2056</v>
      </c>
      <c r="D627" s="3">
        <v>33141</v>
      </c>
    </row>
    <row r="628" spans="1:4" x14ac:dyDescent="0.25">
      <c r="A628" s="6" t="s">
        <v>613</v>
      </c>
      <c r="B628" s="6" t="s">
        <v>613</v>
      </c>
      <c r="C628" s="6" t="s">
        <v>2057</v>
      </c>
      <c r="D628" s="2">
        <v>33143</v>
      </c>
    </row>
    <row r="629" spans="1:4" x14ac:dyDescent="0.25">
      <c r="A629" s="7" t="s">
        <v>614</v>
      </c>
      <c r="B629" s="7" t="s">
        <v>614</v>
      </c>
      <c r="C629" s="7" t="s">
        <v>2058</v>
      </c>
      <c r="D629" s="3">
        <v>33145</v>
      </c>
    </row>
    <row r="630" spans="1:4" x14ac:dyDescent="0.25">
      <c r="A630" s="6" t="s">
        <v>615</v>
      </c>
      <c r="B630" s="6" t="s">
        <v>615</v>
      </c>
      <c r="C630" s="6" t="s">
        <v>2059</v>
      </c>
      <c r="D630" s="2">
        <v>33147</v>
      </c>
    </row>
    <row r="631" spans="1:4" x14ac:dyDescent="0.25">
      <c r="A631" s="7" t="s">
        <v>616</v>
      </c>
      <c r="B631" s="7" t="s">
        <v>616</v>
      </c>
      <c r="C631" s="7" t="s">
        <v>2060</v>
      </c>
      <c r="D631" s="3">
        <v>33149</v>
      </c>
    </row>
    <row r="632" spans="1:4" x14ac:dyDescent="0.25">
      <c r="A632" s="6" t="s">
        <v>617</v>
      </c>
      <c r="B632" s="6" t="s">
        <v>617</v>
      </c>
      <c r="C632" s="6" t="s">
        <v>617</v>
      </c>
      <c r="D632" s="2">
        <v>33151</v>
      </c>
    </row>
    <row r="633" spans="1:4" x14ac:dyDescent="0.25">
      <c r="A633" s="7" t="s">
        <v>618</v>
      </c>
      <c r="B633" s="7" t="s">
        <v>618</v>
      </c>
      <c r="C633" s="7" t="s">
        <v>1835</v>
      </c>
      <c r="D633" s="3">
        <v>33152</v>
      </c>
    </row>
    <row r="634" spans="1:4" x14ac:dyDescent="0.25">
      <c r="A634" s="6" t="s">
        <v>619</v>
      </c>
      <c r="B634" s="6" t="s">
        <v>619</v>
      </c>
      <c r="C634" s="6" t="s">
        <v>2061</v>
      </c>
      <c r="D634" s="2">
        <v>33153</v>
      </c>
    </row>
    <row r="635" spans="1:4" x14ac:dyDescent="0.25">
      <c r="A635" s="7" t="s">
        <v>620</v>
      </c>
      <c r="B635" s="7" t="s">
        <v>620</v>
      </c>
      <c r="C635" s="7" t="s">
        <v>2062</v>
      </c>
      <c r="D635" s="3">
        <v>33155</v>
      </c>
    </row>
    <row r="636" spans="1:4" x14ac:dyDescent="0.25">
      <c r="A636" s="6" t="s">
        <v>621</v>
      </c>
      <c r="B636" s="6" t="s">
        <v>621</v>
      </c>
      <c r="C636" s="6" t="s">
        <v>2063</v>
      </c>
      <c r="D636" s="2">
        <v>33157</v>
      </c>
    </row>
    <row r="637" spans="1:4" x14ac:dyDescent="0.25">
      <c r="A637" s="7" t="s">
        <v>622</v>
      </c>
      <c r="B637" s="7" t="s">
        <v>622</v>
      </c>
      <c r="C637" s="7" t="s">
        <v>2064</v>
      </c>
      <c r="D637" s="3">
        <v>33159</v>
      </c>
    </row>
    <row r="638" spans="1:4" x14ac:dyDescent="0.25">
      <c r="A638" s="6" t="s">
        <v>623</v>
      </c>
      <c r="B638" s="6" t="s">
        <v>623</v>
      </c>
      <c r="C638" s="6" t="s">
        <v>2065</v>
      </c>
      <c r="D638" s="2">
        <v>33161</v>
      </c>
    </row>
    <row r="639" spans="1:4" x14ac:dyDescent="0.25">
      <c r="A639" s="7" t="s">
        <v>624</v>
      </c>
      <c r="B639" s="7" t="s">
        <v>624</v>
      </c>
      <c r="C639" s="7" t="s">
        <v>1718</v>
      </c>
      <c r="D639" s="3">
        <v>33163</v>
      </c>
    </row>
    <row r="640" spans="1:4" x14ac:dyDescent="0.25">
      <c r="A640" s="6" t="s">
        <v>625</v>
      </c>
      <c r="B640" s="6" t="s">
        <v>625</v>
      </c>
      <c r="C640" s="6" t="s">
        <v>625</v>
      </c>
      <c r="D640" s="2">
        <v>33165</v>
      </c>
    </row>
    <row r="641" spans="1:4" x14ac:dyDescent="0.25">
      <c r="A641" s="7" t="s">
        <v>626</v>
      </c>
      <c r="B641" s="7" t="s">
        <v>626</v>
      </c>
      <c r="C641" s="7" t="s">
        <v>2066</v>
      </c>
      <c r="D641" s="3">
        <v>33167</v>
      </c>
    </row>
    <row r="642" spans="1:4" x14ac:dyDescent="0.25">
      <c r="A642" s="6" t="s">
        <v>2883</v>
      </c>
      <c r="B642" s="6" t="s">
        <v>627</v>
      </c>
      <c r="C642" s="6" t="s">
        <v>627</v>
      </c>
      <c r="D642" s="2">
        <v>33169</v>
      </c>
    </row>
    <row r="643" spans="1:4" x14ac:dyDescent="0.25">
      <c r="A643" s="7" t="s">
        <v>628</v>
      </c>
      <c r="B643" s="7" t="s">
        <v>628</v>
      </c>
      <c r="C643" s="7" t="s">
        <v>2067</v>
      </c>
      <c r="D643" s="3">
        <v>33171</v>
      </c>
    </row>
    <row r="644" spans="1:4" x14ac:dyDescent="0.25">
      <c r="A644" s="6" t="s">
        <v>629</v>
      </c>
      <c r="B644" s="6" t="s">
        <v>629</v>
      </c>
      <c r="C644" s="6" t="s">
        <v>629</v>
      </c>
      <c r="D644" s="2">
        <v>33211</v>
      </c>
    </row>
    <row r="645" spans="1:4" x14ac:dyDescent="0.25">
      <c r="A645" s="7" t="s">
        <v>630</v>
      </c>
      <c r="B645" s="7" t="s">
        <v>630</v>
      </c>
      <c r="C645" s="7" t="s">
        <v>2068</v>
      </c>
      <c r="D645" s="3">
        <v>33215</v>
      </c>
    </row>
    <row r="646" spans="1:4" x14ac:dyDescent="0.25">
      <c r="A646" s="6" t="s">
        <v>631</v>
      </c>
      <c r="B646" s="6" t="s">
        <v>631</v>
      </c>
      <c r="C646" s="6" t="s">
        <v>2069</v>
      </c>
      <c r="D646" s="2">
        <v>33219</v>
      </c>
    </row>
    <row r="647" spans="1:4" x14ac:dyDescent="0.25">
      <c r="A647" s="7" t="s">
        <v>632</v>
      </c>
      <c r="B647" s="7" t="s">
        <v>632</v>
      </c>
      <c r="C647" s="7" t="s">
        <v>632</v>
      </c>
      <c r="D647" s="3">
        <v>33223</v>
      </c>
    </row>
    <row r="648" spans="1:4" x14ac:dyDescent="0.25">
      <c r="A648" s="6" t="s">
        <v>633</v>
      </c>
      <c r="B648" s="6" t="s">
        <v>633</v>
      </c>
      <c r="C648" s="6" t="s">
        <v>2070</v>
      </c>
      <c r="D648" s="2">
        <v>33227</v>
      </c>
    </row>
    <row r="649" spans="1:4" x14ac:dyDescent="0.25">
      <c r="A649" s="7" t="s">
        <v>634</v>
      </c>
      <c r="B649" s="7" t="s">
        <v>634</v>
      </c>
      <c r="C649" s="7" t="s">
        <v>2071</v>
      </c>
      <c r="D649" s="3">
        <v>33231</v>
      </c>
    </row>
    <row r="650" spans="1:4" x14ac:dyDescent="0.25">
      <c r="A650" s="6" t="s">
        <v>635</v>
      </c>
      <c r="B650" s="6" t="s">
        <v>635</v>
      </c>
      <c r="C650" s="6" t="s">
        <v>2072</v>
      </c>
      <c r="D650" s="2">
        <v>33235</v>
      </c>
    </row>
    <row r="651" spans="1:4" x14ac:dyDescent="0.25">
      <c r="A651" s="7" t="s">
        <v>636</v>
      </c>
      <c r="B651" s="7" t="s">
        <v>636</v>
      </c>
      <c r="C651" s="7" t="s">
        <v>2073</v>
      </c>
      <c r="D651" s="3">
        <v>33239</v>
      </c>
    </row>
    <row r="652" spans="1:4" x14ac:dyDescent="0.25">
      <c r="A652" s="6" t="s">
        <v>637</v>
      </c>
      <c r="B652" s="6" t="s">
        <v>637</v>
      </c>
      <c r="C652" s="6" t="s">
        <v>2074</v>
      </c>
      <c r="D652" s="2">
        <v>33243</v>
      </c>
    </row>
    <row r="653" spans="1:4" x14ac:dyDescent="0.25">
      <c r="A653" s="7" t="s">
        <v>638</v>
      </c>
      <c r="B653" s="7" t="s">
        <v>638</v>
      </c>
      <c r="C653" s="7" t="s">
        <v>638</v>
      </c>
      <c r="D653" s="3">
        <v>33251</v>
      </c>
    </row>
    <row r="654" spans="1:4" x14ac:dyDescent="0.25">
      <c r="A654" s="6" t="s">
        <v>639</v>
      </c>
      <c r="B654" s="6" t="s">
        <v>639</v>
      </c>
      <c r="C654" s="6" t="s">
        <v>2075</v>
      </c>
      <c r="D654" s="2">
        <v>33255</v>
      </c>
    </row>
    <row r="655" spans="1:4" x14ac:dyDescent="0.25">
      <c r="A655" s="7" t="s">
        <v>640</v>
      </c>
      <c r="B655" s="7" t="s">
        <v>640</v>
      </c>
      <c r="C655" s="7" t="s">
        <v>2076</v>
      </c>
      <c r="D655" s="3">
        <v>33259</v>
      </c>
    </row>
    <row r="656" spans="1:4" x14ac:dyDescent="0.25">
      <c r="A656" s="6" t="s">
        <v>641</v>
      </c>
      <c r="B656" s="6" t="s">
        <v>641</v>
      </c>
      <c r="C656" s="6" t="s">
        <v>2077</v>
      </c>
      <c r="D656" s="2">
        <v>33263</v>
      </c>
    </row>
    <row r="657" spans="1:4" x14ac:dyDescent="0.25">
      <c r="A657" s="7" t="s">
        <v>642</v>
      </c>
      <c r="B657" s="7" t="s">
        <v>642</v>
      </c>
      <c r="C657" s="7" t="s">
        <v>2078</v>
      </c>
      <c r="D657" s="3">
        <v>33267</v>
      </c>
    </row>
    <row r="658" spans="1:4" x14ac:dyDescent="0.25">
      <c r="A658" s="6" t="s">
        <v>643</v>
      </c>
      <c r="B658" s="6" t="s">
        <v>643</v>
      </c>
      <c r="C658" s="6" t="s">
        <v>2079</v>
      </c>
      <c r="D658" s="2">
        <v>33271</v>
      </c>
    </row>
    <row r="659" spans="1:4" x14ac:dyDescent="0.25">
      <c r="A659" s="7" t="s">
        <v>644</v>
      </c>
      <c r="B659" s="7" t="s">
        <v>644</v>
      </c>
      <c r="C659" s="7" t="s">
        <v>2080</v>
      </c>
      <c r="D659" s="3">
        <v>33275</v>
      </c>
    </row>
    <row r="660" spans="1:4" x14ac:dyDescent="0.25">
      <c r="A660" s="6" t="s">
        <v>645</v>
      </c>
      <c r="B660" s="6" t="s">
        <v>645</v>
      </c>
      <c r="C660" s="6" t="s">
        <v>2081</v>
      </c>
      <c r="D660" s="2">
        <v>33279</v>
      </c>
    </row>
    <row r="661" spans="1:4" x14ac:dyDescent="0.25">
      <c r="A661" s="7" t="s">
        <v>646</v>
      </c>
      <c r="B661" s="7" t="s">
        <v>646</v>
      </c>
      <c r="C661" s="7" t="s">
        <v>2034</v>
      </c>
      <c r="D661" s="3">
        <v>33283</v>
      </c>
    </row>
    <row r="662" spans="1:4" x14ac:dyDescent="0.25">
      <c r="A662" s="6" t="s">
        <v>647</v>
      </c>
      <c r="B662" s="6" t="s">
        <v>647</v>
      </c>
      <c r="C662" s="6" t="s">
        <v>2082</v>
      </c>
      <c r="D662" s="2">
        <v>33287</v>
      </c>
    </row>
    <row r="663" spans="1:4" x14ac:dyDescent="0.25">
      <c r="A663" s="7" t="s">
        <v>648</v>
      </c>
      <c r="B663" s="7" t="s">
        <v>648</v>
      </c>
      <c r="C663" s="7" t="s">
        <v>2083</v>
      </c>
      <c r="D663" s="3">
        <v>33291</v>
      </c>
    </row>
    <row r="664" spans="1:4" x14ac:dyDescent="0.25">
      <c r="A664" s="6" t="s">
        <v>1563</v>
      </c>
      <c r="B664" s="6" t="s">
        <v>87</v>
      </c>
      <c r="C664" s="6" t="s">
        <v>87</v>
      </c>
      <c r="D664" s="2">
        <v>34001</v>
      </c>
    </row>
    <row r="665" spans="1:4" x14ac:dyDescent="0.25">
      <c r="A665" s="7" t="s">
        <v>1563</v>
      </c>
      <c r="B665" s="7" t="s">
        <v>87</v>
      </c>
      <c r="C665" s="7" t="s">
        <v>87</v>
      </c>
      <c r="D665" s="3">
        <v>34002</v>
      </c>
    </row>
    <row r="666" spans="1:4" x14ac:dyDescent="0.25">
      <c r="A666" s="6" t="s">
        <v>649</v>
      </c>
      <c r="B666" s="6" t="s">
        <v>649</v>
      </c>
      <c r="C666" s="6" t="s">
        <v>2084</v>
      </c>
      <c r="D666" s="2">
        <v>34111</v>
      </c>
    </row>
    <row r="667" spans="1:4" x14ac:dyDescent="0.25">
      <c r="A667" s="7" t="s">
        <v>650</v>
      </c>
      <c r="B667" s="7" t="s">
        <v>650</v>
      </c>
      <c r="C667" s="7" t="s">
        <v>650</v>
      </c>
      <c r="D667" s="3">
        <v>34122</v>
      </c>
    </row>
    <row r="668" spans="1:4" x14ac:dyDescent="0.25">
      <c r="A668" s="6" t="s">
        <v>651</v>
      </c>
      <c r="B668" s="6" t="s">
        <v>651</v>
      </c>
      <c r="C668" s="6" t="s">
        <v>2085</v>
      </c>
      <c r="D668" s="2">
        <v>34133</v>
      </c>
    </row>
    <row r="669" spans="1:4" x14ac:dyDescent="0.25">
      <c r="A669" s="7" t="s">
        <v>652</v>
      </c>
      <c r="B669" s="7" t="s">
        <v>652</v>
      </c>
      <c r="C669" s="7" t="s">
        <v>2086</v>
      </c>
      <c r="D669" s="3">
        <v>34144</v>
      </c>
    </row>
    <row r="670" spans="1:4" x14ac:dyDescent="0.25">
      <c r="A670" s="6" t="s">
        <v>653</v>
      </c>
      <c r="B670" s="6" t="s">
        <v>653</v>
      </c>
      <c r="C670" s="6" t="s">
        <v>653</v>
      </c>
      <c r="D670" s="2">
        <v>34155</v>
      </c>
    </row>
    <row r="671" spans="1:4" x14ac:dyDescent="0.25">
      <c r="A671" s="7" t="s">
        <v>654</v>
      </c>
      <c r="B671" s="7" t="s">
        <v>654</v>
      </c>
      <c r="C671" s="7" t="s">
        <v>2087</v>
      </c>
      <c r="D671" s="3">
        <v>34166</v>
      </c>
    </row>
    <row r="672" spans="1:4" x14ac:dyDescent="0.25">
      <c r="A672" s="6" t="s">
        <v>655</v>
      </c>
      <c r="B672" s="6" t="s">
        <v>655</v>
      </c>
      <c r="C672" s="6" t="s">
        <v>2088</v>
      </c>
      <c r="D672" s="2">
        <v>34177</v>
      </c>
    </row>
    <row r="673" spans="1:4" x14ac:dyDescent="0.25">
      <c r="A673" s="7" t="s">
        <v>656</v>
      </c>
      <c r="B673" s="7" t="s">
        <v>656</v>
      </c>
      <c r="C673" s="7" t="s">
        <v>2089</v>
      </c>
      <c r="D673" s="3">
        <v>34188</v>
      </c>
    </row>
    <row r="674" spans="1:4" x14ac:dyDescent="0.25">
      <c r="A674" s="6" t="s">
        <v>657</v>
      </c>
      <c r="B674" s="6" t="s">
        <v>657</v>
      </c>
      <c r="C674" s="6" t="s">
        <v>2090</v>
      </c>
      <c r="D674" s="2">
        <v>34211</v>
      </c>
    </row>
    <row r="675" spans="1:4" x14ac:dyDescent="0.25">
      <c r="A675" s="7" t="s">
        <v>658</v>
      </c>
      <c r="B675" s="7" t="s">
        <v>658</v>
      </c>
      <c r="C675" s="7" t="s">
        <v>2071</v>
      </c>
      <c r="D675" s="3">
        <v>34212</v>
      </c>
    </row>
    <row r="676" spans="1:4" x14ac:dyDescent="0.25">
      <c r="A676" s="6" t="s">
        <v>659</v>
      </c>
      <c r="B676" s="6" t="s">
        <v>659</v>
      </c>
      <c r="C676" s="6" t="s">
        <v>2091</v>
      </c>
      <c r="D676" s="2">
        <v>34214</v>
      </c>
    </row>
    <row r="677" spans="1:4" x14ac:dyDescent="0.25">
      <c r="A677" s="7" t="s">
        <v>660</v>
      </c>
      <c r="B677" s="7" t="s">
        <v>660</v>
      </c>
      <c r="C677" s="7" t="s">
        <v>2092</v>
      </c>
      <c r="D677" s="3">
        <v>34215</v>
      </c>
    </row>
    <row r="678" spans="1:4" x14ac:dyDescent="0.25">
      <c r="A678" s="6" t="s">
        <v>661</v>
      </c>
      <c r="B678" s="6" t="s">
        <v>661</v>
      </c>
      <c r="C678" s="6" t="s">
        <v>2093</v>
      </c>
      <c r="D678" s="2">
        <v>34217</v>
      </c>
    </row>
    <row r="679" spans="1:4" x14ac:dyDescent="0.25">
      <c r="A679" s="7" t="s">
        <v>662</v>
      </c>
      <c r="B679" s="7" t="s">
        <v>662</v>
      </c>
      <c r="C679" s="7" t="s">
        <v>2094</v>
      </c>
      <c r="D679" s="3">
        <v>34218</v>
      </c>
    </row>
    <row r="680" spans="1:4" x14ac:dyDescent="0.25">
      <c r="A680" s="6" t="s">
        <v>663</v>
      </c>
      <c r="B680" s="6" t="s">
        <v>663</v>
      </c>
      <c r="C680" s="6" t="s">
        <v>2095</v>
      </c>
      <c r="D680" s="2">
        <v>34219</v>
      </c>
    </row>
    <row r="681" spans="1:4" x14ac:dyDescent="0.25">
      <c r="A681" s="7" t="s">
        <v>664</v>
      </c>
      <c r="B681" s="7" t="s">
        <v>664</v>
      </c>
      <c r="C681" s="7" t="s">
        <v>2096</v>
      </c>
      <c r="D681" s="3">
        <v>34221</v>
      </c>
    </row>
    <row r="682" spans="1:4" x14ac:dyDescent="0.25">
      <c r="A682" s="6" t="s">
        <v>665</v>
      </c>
      <c r="B682" s="6" t="s">
        <v>665</v>
      </c>
      <c r="C682" s="6" t="s">
        <v>665</v>
      </c>
      <c r="D682" s="2">
        <v>34223</v>
      </c>
    </row>
    <row r="683" spans="1:4" x14ac:dyDescent="0.25">
      <c r="A683" s="7" t="s">
        <v>666</v>
      </c>
      <c r="B683" s="7" t="s">
        <v>666</v>
      </c>
      <c r="C683" s="7" t="s">
        <v>2097</v>
      </c>
      <c r="D683" s="3">
        <v>34224</v>
      </c>
    </row>
    <row r="684" spans="1:4" x14ac:dyDescent="0.25">
      <c r="A684" s="6" t="s">
        <v>667</v>
      </c>
      <c r="B684" s="6" t="s">
        <v>667</v>
      </c>
      <c r="C684" s="6" t="s">
        <v>667</v>
      </c>
      <c r="D684" s="2">
        <v>34226</v>
      </c>
    </row>
    <row r="685" spans="1:4" x14ac:dyDescent="0.25">
      <c r="A685" s="7" t="s">
        <v>668</v>
      </c>
      <c r="B685" s="7" t="s">
        <v>668</v>
      </c>
      <c r="C685" s="7" t="s">
        <v>668</v>
      </c>
      <c r="D685" s="3">
        <v>34227</v>
      </c>
    </row>
    <row r="686" spans="1:4" x14ac:dyDescent="0.25">
      <c r="A686" s="6" t="s">
        <v>669</v>
      </c>
      <c r="B686" s="6" t="s">
        <v>669</v>
      </c>
      <c r="C686" s="6" t="s">
        <v>2098</v>
      </c>
      <c r="D686" s="2">
        <v>34229</v>
      </c>
    </row>
    <row r="687" spans="1:4" x14ac:dyDescent="0.25">
      <c r="A687" s="7" t="s">
        <v>670</v>
      </c>
      <c r="B687" s="7" t="s">
        <v>670</v>
      </c>
      <c r="C687" s="7" t="s">
        <v>2099</v>
      </c>
      <c r="D687" s="3">
        <v>34231</v>
      </c>
    </row>
    <row r="688" spans="1:4" x14ac:dyDescent="0.25">
      <c r="A688" s="6" t="s">
        <v>671</v>
      </c>
      <c r="B688" s="6" t="s">
        <v>671</v>
      </c>
      <c r="C688" s="6" t="s">
        <v>671</v>
      </c>
      <c r="D688" s="2">
        <v>34233</v>
      </c>
    </row>
    <row r="689" spans="1:4" x14ac:dyDescent="0.25">
      <c r="A689" s="7" t="s">
        <v>672</v>
      </c>
      <c r="B689" s="7" t="s">
        <v>672</v>
      </c>
      <c r="C689" s="7" t="s">
        <v>2100</v>
      </c>
      <c r="D689" s="3">
        <v>34234</v>
      </c>
    </row>
    <row r="690" spans="1:4" x14ac:dyDescent="0.25">
      <c r="A690" s="6" t="s">
        <v>673</v>
      </c>
      <c r="B690" s="6" t="s">
        <v>673</v>
      </c>
      <c r="C690" s="6" t="s">
        <v>2101</v>
      </c>
      <c r="D690" s="2">
        <v>34236</v>
      </c>
    </row>
    <row r="691" spans="1:4" x14ac:dyDescent="0.25">
      <c r="A691" s="7" t="s">
        <v>674</v>
      </c>
      <c r="B691" s="7" t="s">
        <v>674</v>
      </c>
      <c r="C691" s="7" t="s">
        <v>2102</v>
      </c>
      <c r="D691" s="3">
        <v>34237</v>
      </c>
    </row>
    <row r="692" spans="1:4" x14ac:dyDescent="0.25">
      <c r="A692" s="6" t="s">
        <v>675</v>
      </c>
      <c r="B692" s="6" t="s">
        <v>675</v>
      </c>
      <c r="C692" s="6" t="s">
        <v>2103</v>
      </c>
      <c r="D692" s="2">
        <v>34239</v>
      </c>
    </row>
    <row r="693" spans="1:4" x14ac:dyDescent="0.25">
      <c r="A693" s="7" t="s">
        <v>676</v>
      </c>
      <c r="B693" s="7" t="s">
        <v>676</v>
      </c>
      <c r="C693" s="7" t="s">
        <v>676</v>
      </c>
      <c r="D693" s="3">
        <v>34241</v>
      </c>
    </row>
    <row r="694" spans="1:4" x14ac:dyDescent="0.25">
      <c r="A694" s="6" t="s">
        <v>2104</v>
      </c>
      <c r="B694" s="6" t="s">
        <v>677</v>
      </c>
      <c r="C694" s="6" t="s">
        <v>2104</v>
      </c>
      <c r="D694" s="2">
        <v>34243</v>
      </c>
    </row>
    <row r="695" spans="1:4" x14ac:dyDescent="0.25">
      <c r="A695" s="7" t="s">
        <v>678</v>
      </c>
      <c r="B695" s="7" t="s">
        <v>678</v>
      </c>
      <c r="C695" s="7" t="s">
        <v>2105</v>
      </c>
      <c r="D695" s="3">
        <v>34244</v>
      </c>
    </row>
    <row r="696" spans="1:4" x14ac:dyDescent="0.25">
      <c r="A696" s="6" t="s">
        <v>679</v>
      </c>
      <c r="B696" s="6" t="s">
        <v>679</v>
      </c>
      <c r="C696" s="6" t="s">
        <v>679</v>
      </c>
      <c r="D696" s="2">
        <v>34246</v>
      </c>
    </row>
    <row r="697" spans="1:4" x14ac:dyDescent="0.25">
      <c r="A697" s="7" t="s">
        <v>680</v>
      </c>
      <c r="B697" s="7" t="s">
        <v>680</v>
      </c>
      <c r="C697" s="7" t="s">
        <v>680</v>
      </c>
      <c r="D697" s="3">
        <v>34247</v>
      </c>
    </row>
    <row r="698" spans="1:4" x14ac:dyDescent="0.25">
      <c r="A698" s="6" t="s">
        <v>681</v>
      </c>
      <c r="B698" s="6" t="s">
        <v>681</v>
      </c>
      <c r="C698" s="6" t="s">
        <v>681</v>
      </c>
      <c r="D698" s="2">
        <v>34249</v>
      </c>
    </row>
    <row r="699" spans="1:4" x14ac:dyDescent="0.25">
      <c r="A699" s="7" t="s">
        <v>682</v>
      </c>
      <c r="B699" s="7" t="s">
        <v>682</v>
      </c>
      <c r="C699" s="7" t="s">
        <v>2106</v>
      </c>
      <c r="D699" s="3">
        <v>34251</v>
      </c>
    </row>
    <row r="700" spans="1:4" x14ac:dyDescent="0.25">
      <c r="A700" s="6" t="s">
        <v>683</v>
      </c>
      <c r="B700" s="6" t="s">
        <v>683</v>
      </c>
      <c r="C700" s="6" t="s">
        <v>683</v>
      </c>
      <c r="D700" s="2">
        <v>34253</v>
      </c>
    </row>
    <row r="701" spans="1:4" x14ac:dyDescent="0.25">
      <c r="A701" s="7" t="s">
        <v>684</v>
      </c>
      <c r="B701" s="7" t="s">
        <v>684</v>
      </c>
      <c r="C701" s="7" t="s">
        <v>2107</v>
      </c>
      <c r="D701" s="3">
        <v>34254</v>
      </c>
    </row>
    <row r="702" spans="1:4" x14ac:dyDescent="0.25">
      <c r="A702" s="6" t="s">
        <v>685</v>
      </c>
      <c r="B702" s="6" t="s">
        <v>685</v>
      </c>
      <c r="C702" s="6" t="s">
        <v>685</v>
      </c>
      <c r="D702" s="2">
        <v>34256</v>
      </c>
    </row>
    <row r="703" spans="1:4" x14ac:dyDescent="0.25">
      <c r="A703" s="7" t="s">
        <v>686</v>
      </c>
      <c r="B703" s="7" t="s">
        <v>686</v>
      </c>
      <c r="C703" s="7" t="s">
        <v>2108</v>
      </c>
      <c r="D703" s="3">
        <v>34257</v>
      </c>
    </row>
    <row r="704" spans="1:4" x14ac:dyDescent="0.25">
      <c r="A704" s="6" t="s">
        <v>687</v>
      </c>
      <c r="B704" s="6" t="s">
        <v>687</v>
      </c>
      <c r="C704" s="6" t="s">
        <v>1916</v>
      </c>
      <c r="D704" s="2">
        <v>34259</v>
      </c>
    </row>
    <row r="705" spans="1:4" x14ac:dyDescent="0.25">
      <c r="A705" s="7" t="s">
        <v>688</v>
      </c>
      <c r="B705" s="7" t="s">
        <v>688</v>
      </c>
      <c r="C705" s="7" t="s">
        <v>2109</v>
      </c>
      <c r="D705" s="3">
        <v>34261</v>
      </c>
    </row>
    <row r="706" spans="1:4" x14ac:dyDescent="0.25">
      <c r="A706" s="6" t="s">
        <v>689</v>
      </c>
      <c r="B706" s="6" t="s">
        <v>689</v>
      </c>
      <c r="C706" s="6" t="s">
        <v>689</v>
      </c>
      <c r="D706" s="2">
        <v>34263</v>
      </c>
    </row>
    <row r="707" spans="1:4" x14ac:dyDescent="0.25">
      <c r="A707" s="7" t="s">
        <v>690</v>
      </c>
      <c r="B707" s="7" t="s">
        <v>690</v>
      </c>
      <c r="C707" s="7" t="s">
        <v>2110</v>
      </c>
      <c r="D707" s="3">
        <v>34264</v>
      </c>
    </row>
    <row r="708" spans="1:4" x14ac:dyDescent="0.25">
      <c r="A708" s="6" t="s">
        <v>691</v>
      </c>
      <c r="B708" s="6" t="s">
        <v>691</v>
      </c>
      <c r="C708" s="6" t="s">
        <v>2111</v>
      </c>
      <c r="D708" s="2">
        <v>34266</v>
      </c>
    </row>
    <row r="709" spans="1:4" x14ac:dyDescent="0.25">
      <c r="A709" s="7" t="s">
        <v>692</v>
      </c>
      <c r="B709" s="7" t="s">
        <v>692</v>
      </c>
      <c r="C709" s="7" t="s">
        <v>692</v>
      </c>
      <c r="D709" s="3">
        <v>34267</v>
      </c>
    </row>
    <row r="710" spans="1:4" x14ac:dyDescent="0.25">
      <c r="A710" s="6" t="s">
        <v>693</v>
      </c>
      <c r="B710" s="6" t="s">
        <v>693</v>
      </c>
      <c r="C710" s="6" t="s">
        <v>2112</v>
      </c>
      <c r="D710" s="2">
        <v>34269</v>
      </c>
    </row>
    <row r="711" spans="1:4" x14ac:dyDescent="0.25">
      <c r="A711" s="7" t="s">
        <v>694</v>
      </c>
      <c r="B711" s="7" t="s">
        <v>694</v>
      </c>
      <c r="C711" s="7" t="s">
        <v>694</v>
      </c>
      <c r="D711" s="3">
        <v>34271</v>
      </c>
    </row>
    <row r="712" spans="1:4" x14ac:dyDescent="0.25">
      <c r="A712" s="6" t="s">
        <v>2884</v>
      </c>
      <c r="B712" s="6" t="s">
        <v>695</v>
      </c>
      <c r="C712" s="6" t="s">
        <v>2113</v>
      </c>
      <c r="D712" s="2">
        <v>34273</v>
      </c>
    </row>
    <row r="713" spans="1:4" x14ac:dyDescent="0.25">
      <c r="A713" s="7" t="s">
        <v>696</v>
      </c>
      <c r="B713" s="7" t="s">
        <v>696</v>
      </c>
      <c r="C713" s="7" t="s">
        <v>696</v>
      </c>
      <c r="D713" s="3">
        <v>34274</v>
      </c>
    </row>
    <row r="714" spans="1:4" x14ac:dyDescent="0.25">
      <c r="A714" s="6" t="s">
        <v>697</v>
      </c>
      <c r="B714" s="6" t="s">
        <v>697</v>
      </c>
      <c r="C714" s="6" t="s">
        <v>697</v>
      </c>
      <c r="D714" s="2">
        <v>34276</v>
      </c>
    </row>
    <row r="715" spans="1:4" x14ac:dyDescent="0.25">
      <c r="A715" s="7" t="s">
        <v>698</v>
      </c>
      <c r="B715" s="7" t="s">
        <v>698</v>
      </c>
      <c r="C715" s="7" t="s">
        <v>2114</v>
      </c>
      <c r="D715" s="3">
        <v>34277</v>
      </c>
    </row>
    <row r="716" spans="1:4" x14ac:dyDescent="0.25">
      <c r="A716" s="6" t="s">
        <v>699</v>
      </c>
      <c r="B716" s="6" t="s">
        <v>699</v>
      </c>
      <c r="C716" s="6" t="s">
        <v>2115</v>
      </c>
      <c r="D716" s="2">
        <v>34279</v>
      </c>
    </row>
    <row r="717" spans="1:4" x14ac:dyDescent="0.25">
      <c r="A717" s="7" t="s">
        <v>700</v>
      </c>
      <c r="B717" s="7" t="s">
        <v>700</v>
      </c>
      <c r="C717" s="7" t="s">
        <v>2116</v>
      </c>
      <c r="D717" s="3">
        <v>34281</v>
      </c>
    </row>
    <row r="718" spans="1:4" x14ac:dyDescent="0.25">
      <c r="A718" s="6" t="s">
        <v>701</v>
      </c>
      <c r="B718" s="6" t="s">
        <v>701</v>
      </c>
      <c r="C718" s="6" t="s">
        <v>2117</v>
      </c>
      <c r="D718" s="2">
        <v>34283</v>
      </c>
    </row>
    <row r="719" spans="1:4" x14ac:dyDescent="0.25">
      <c r="A719" s="7" t="s">
        <v>702</v>
      </c>
      <c r="B719" s="7" t="s">
        <v>702</v>
      </c>
      <c r="C719" s="7" t="s">
        <v>2118</v>
      </c>
      <c r="D719" s="3">
        <v>34284</v>
      </c>
    </row>
    <row r="720" spans="1:4" x14ac:dyDescent="0.25">
      <c r="A720" s="6" t="s">
        <v>703</v>
      </c>
      <c r="B720" s="6" t="s">
        <v>703</v>
      </c>
      <c r="C720" s="6" t="s">
        <v>2119</v>
      </c>
      <c r="D720" s="2">
        <v>34286</v>
      </c>
    </row>
    <row r="721" spans="1:4" x14ac:dyDescent="0.25">
      <c r="A721" s="7" t="s">
        <v>704</v>
      </c>
      <c r="B721" s="7" t="s">
        <v>704</v>
      </c>
      <c r="C721" s="7" t="s">
        <v>704</v>
      </c>
      <c r="D721" s="3">
        <v>34287</v>
      </c>
    </row>
    <row r="722" spans="1:4" x14ac:dyDescent="0.25">
      <c r="A722" s="6" t="s">
        <v>705</v>
      </c>
      <c r="B722" s="6" t="s">
        <v>705</v>
      </c>
      <c r="C722" s="6" t="s">
        <v>705</v>
      </c>
      <c r="D722" s="2">
        <v>34311</v>
      </c>
    </row>
    <row r="723" spans="1:4" x14ac:dyDescent="0.25">
      <c r="A723" s="7" t="s">
        <v>706</v>
      </c>
      <c r="B723" s="7" t="s">
        <v>706</v>
      </c>
      <c r="C723" s="7" t="s">
        <v>2120</v>
      </c>
      <c r="D723" s="3">
        <v>34316</v>
      </c>
    </row>
    <row r="724" spans="1:4" x14ac:dyDescent="0.25">
      <c r="A724" s="6" t="s">
        <v>707</v>
      </c>
      <c r="B724" s="6" t="s">
        <v>707</v>
      </c>
      <c r="C724" s="6" t="s">
        <v>2121</v>
      </c>
      <c r="D724" s="2">
        <v>34321</v>
      </c>
    </row>
    <row r="725" spans="1:4" x14ac:dyDescent="0.25">
      <c r="A725" s="7" t="s">
        <v>708</v>
      </c>
      <c r="B725" s="7" t="s">
        <v>708</v>
      </c>
      <c r="C725" s="7" t="s">
        <v>2122</v>
      </c>
      <c r="D725" s="3">
        <v>34326</v>
      </c>
    </row>
    <row r="726" spans="1:4" x14ac:dyDescent="0.25">
      <c r="A726" s="6" t="s">
        <v>709</v>
      </c>
      <c r="B726" s="6" t="s">
        <v>709</v>
      </c>
      <c r="C726" s="6" t="s">
        <v>2123</v>
      </c>
      <c r="D726" s="2">
        <v>34331</v>
      </c>
    </row>
    <row r="727" spans="1:4" x14ac:dyDescent="0.25">
      <c r="A727" s="7" t="s">
        <v>710</v>
      </c>
      <c r="B727" s="7" t="s">
        <v>710</v>
      </c>
      <c r="C727" s="7" t="s">
        <v>2124</v>
      </c>
      <c r="D727" s="3">
        <v>34336</v>
      </c>
    </row>
    <row r="728" spans="1:4" x14ac:dyDescent="0.25">
      <c r="A728" s="6" t="s">
        <v>711</v>
      </c>
      <c r="B728" s="6" t="s">
        <v>711</v>
      </c>
      <c r="C728" s="6" t="s">
        <v>2125</v>
      </c>
      <c r="D728" s="2">
        <v>34341</v>
      </c>
    </row>
    <row r="729" spans="1:4" x14ac:dyDescent="0.25">
      <c r="A729" s="7" t="s">
        <v>712</v>
      </c>
      <c r="B729" s="7" t="s">
        <v>712</v>
      </c>
      <c r="C729" s="7" t="s">
        <v>2126</v>
      </c>
      <c r="D729" s="3">
        <v>34346</v>
      </c>
    </row>
    <row r="730" spans="1:4" x14ac:dyDescent="0.25">
      <c r="A730" s="6" t="s">
        <v>713</v>
      </c>
      <c r="B730" s="6" t="s">
        <v>713</v>
      </c>
      <c r="C730" s="6" t="s">
        <v>2127</v>
      </c>
      <c r="D730" s="2">
        <v>34351</v>
      </c>
    </row>
    <row r="731" spans="1:4" x14ac:dyDescent="0.25">
      <c r="A731" s="7" t="s">
        <v>714</v>
      </c>
      <c r="B731" s="7" t="s">
        <v>714</v>
      </c>
      <c r="C731" s="7" t="s">
        <v>2128</v>
      </c>
      <c r="D731" s="3">
        <v>34356</v>
      </c>
    </row>
    <row r="732" spans="1:4" x14ac:dyDescent="0.25">
      <c r="A732" s="6" t="s">
        <v>715</v>
      </c>
      <c r="B732" s="6" t="s">
        <v>715</v>
      </c>
      <c r="C732" s="6" t="s">
        <v>715</v>
      </c>
      <c r="D732" s="2">
        <v>34361</v>
      </c>
    </row>
    <row r="733" spans="1:4" x14ac:dyDescent="0.25">
      <c r="A733" s="7" t="s">
        <v>716</v>
      </c>
      <c r="B733" s="7" t="s">
        <v>716</v>
      </c>
      <c r="C733" s="7" t="s">
        <v>716</v>
      </c>
      <c r="D733" s="3">
        <v>34366</v>
      </c>
    </row>
    <row r="734" spans="1:4" x14ac:dyDescent="0.25">
      <c r="A734" s="6" t="s">
        <v>717</v>
      </c>
      <c r="B734" s="6" t="s">
        <v>717</v>
      </c>
      <c r="C734" s="6" t="s">
        <v>2129</v>
      </c>
      <c r="D734" s="2">
        <v>34371</v>
      </c>
    </row>
    <row r="735" spans="1:4" x14ac:dyDescent="0.25">
      <c r="A735" s="7" t="s">
        <v>718</v>
      </c>
      <c r="B735" s="7" t="s">
        <v>718</v>
      </c>
      <c r="C735" s="7" t="s">
        <v>2130</v>
      </c>
      <c r="D735" s="3">
        <v>34374</v>
      </c>
    </row>
    <row r="736" spans="1:4" x14ac:dyDescent="0.25">
      <c r="A736" s="6" t="s">
        <v>719</v>
      </c>
      <c r="B736" s="6" t="s">
        <v>719</v>
      </c>
      <c r="C736" s="6" t="s">
        <v>1783</v>
      </c>
      <c r="D736" s="2">
        <v>34376</v>
      </c>
    </row>
    <row r="737" spans="1:4" x14ac:dyDescent="0.25">
      <c r="A737" s="7" t="s">
        <v>720</v>
      </c>
      <c r="B737" s="7" t="s">
        <v>720</v>
      </c>
      <c r="C737" s="7" t="s">
        <v>2131</v>
      </c>
      <c r="D737" s="3">
        <v>34381</v>
      </c>
    </row>
    <row r="738" spans="1:4" x14ac:dyDescent="0.25">
      <c r="A738" s="6" t="s">
        <v>721</v>
      </c>
      <c r="B738" s="6" t="s">
        <v>721</v>
      </c>
      <c r="C738" s="6" t="s">
        <v>2132</v>
      </c>
      <c r="D738" s="2">
        <v>34386</v>
      </c>
    </row>
    <row r="739" spans="1:4" x14ac:dyDescent="0.25">
      <c r="A739" s="7" t="s">
        <v>1563</v>
      </c>
      <c r="B739" s="7" t="s">
        <v>87</v>
      </c>
      <c r="C739" s="7" t="s">
        <v>87</v>
      </c>
      <c r="D739" s="3">
        <v>35001</v>
      </c>
    </row>
    <row r="740" spans="1:4" x14ac:dyDescent="0.25">
      <c r="A740" s="6" t="s">
        <v>1563</v>
      </c>
      <c r="B740" s="6" t="s">
        <v>87</v>
      </c>
      <c r="C740" s="6" t="s">
        <v>87</v>
      </c>
      <c r="D740" s="2">
        <v>35002</v>
      </c>
    </row>
    <row r="741" spans="1:4" x14ac:dyDescent="0.25">
      <c r="A741" s="7" t="s">
        <v>1563</v>
      </c>
      <c r="B741" s="7" t="s">
        <v>87</v>
      </c>
      <c r="C741" s="7" t="s">
        <v>87</v>
      </c>
      <c r="D741" s="3">
        <v>35003</v>
      </c>
    </row>
    <row r="742" spans="1:4" x14ac:dyDescent="0.25">
      <c r="A742" s="6" t="s">
        <v>722</v>
      </c>
      <c r="B742" s="6" t="s">
        <v>722</v>
      </c>
      <c r="C742" s="6" t="s">
        <v>722</v>
      </c>
      <c r="D742" s="2">
        <v>35111</v>
      </c>
    </row>
    <row r="743" spans="1:4" x14ac:dyDescent="0.25">
      <c r="A743" s="7" t="s">
        <v>723</v>
      </c>
      <c r="B743" s="7" t="s">
        <v>723</v>
      </c>
      <c r="C743" s="7" t="s">
        <v>2133</v>
      </c>
      <c r="D743" s="3">
        <v>35113</v>
      </c>
    </row>
    <row r="744" spans="1:4" x14ac:dyDescent="0.25">
      <c r="A744" s="6" t="s">
        <v>2885</v>
      </c>
      <c r="B744" s="6" t="s">
        <v>724</v>
      </c>
      <c r="C744" s="6" t="s">
        <v>2134</v>
      </c>
      <c r="D744" s="2">
        <v>35115</v>
      </c>
    </row>
    <row r="745" spans="1:4" x14ac:dyDescent="0.25">
      <c r="A745" s="7" t="s">
        <v>725</v>
      </c>
      <c r="B745" s="7" t="s">
        <v>725</v>
      </c>
      <c r="C745" s="7" t="s">
        <v>2135</v>
      </c>
      <c r="D745" s="3">
        <v>35117</v>
      </c>
    </row>
    <row r="746" spans="1:4" x14ac:dyDescent="0.25">
      <c r="A746" s="6" t="s">
        <v>726</v>
      </c>
      <c r="B746" s="6" t="s">
        <v>726</v>
      </c>
      <c r="C746" s="6" t="s">
        <v>2136</v>
      </c>
      <c r="D746" s="2">
        <v>35119</v>
      </c>
    </row>
    <row r="747" spans="1:4" x14ac:dyDescent="0.25">
      <c r="A747" s="7" t="s">
        <v>727</v>
      </c>
      <c r="B747" s="7" t="s">
        <v>727</v>
      </c>
      <c r="C747" s="7" t="s">
        <v>2137</v>
      </c>
      <c r="D747" s="3">
        <v>35121</v>
      </c>
    </row>
    <row r="748" spans="1:4" x14ac:dyDescent="0.25">
      <c r="A748" s="6" t="s">
        <v>728</v>
      </c>
      <c r="B748" s="6" t="s">
        <v>728</v>
      </c>
      <c r="C748" s="6" t="s">
        <v>2138</v>
      </c>
      <c r="D748" s="2">
        <v>35123</v>
      </c>
    </row>
    <row r="749" spans="1:4" x14ac:dyDescent="0.25">
      <c r="A749" s="7" t="s">
        <v>729</v>
      </c>
      <c r="B749" s="7" t="s">
        <v>729</v>
      </c>
      <c r="C749" s="7" t="s">
        <v>2139</v>
      </c>
      <c r="D749" s="3">
        <v>35125</v>
      </c>
    </row>
    <row r="750" spans="1:4" x14ac:dyDescent="0.25">
      <c r="A750" s="6" t="s">
        <v>730</v>
      </c>
      <c r="B750" s="6" t="s">
        <v>730</v>
      </c>
      <c r="C750" s="6" t="s">
        <v>2140</v>
      </c>
      <c r="D750" s="2">
        <v>35126</v>
      </c>
    </row>
    <row r="751" spans="1:4" x14ac:dyDescent="0.25">
      <c r="A751" s="7" t="s">
        <v>731</v>
      </c>
      <c r="B751" s="7" t="s">
        <v>731</v>
      </c>
      <c r="C751" s="7" t="s">
        <v>2141</v>
      </c>
      <c r="D751" s="3">
        <v>35127</v>
      </c>
    </row>
    <row r="752" spans="1:4" x14ac:dyDescent="0.25">
      <c r="A752" s="6" t="s">
        <v>732</v>
      </c>
      <c r="B752" s="6" t="s">
        <v>732</v>
      </c>
      <c r="C752" s="6" t="s">
        <v>1273</v>
      </c>
      <c r="D752" s="2">
        <v>35128</v>
      </c>
    </row>
    <row r="753" spans="1:4" x14ac:dyDescent="0.25">
      <c r="A753" s="7" t="s">
        <v>733</v>
      </c>
      <c r="B753" s="7" t="s">
        <v>733</v>
      </c>
      <c r="C753" s="7" t="s">
        <v>733</v>
      </c>
      <c r="D753" s="3">
        <v>35129</v>
      </c>
    </row>
    <row r="754" spans="1:4" x14ac:dyDescent="0.25">
      <c r="A754" s="6" t="s">
        <v>734</v>
      </c>
      <c r="B754" s="6" t="s">
        <v>734</v>
      </c>
      <c r="C754" s="6" t="s">
        <v>2142</v>
      </c>
      <c r="D754" s="2">
        <v>35131</v>
      </c>
    </row>
    <row r="755" spans="1:4" x14ac:dyDescent="0.25">
      <c r="A755" s="7" t="s">
        <v>735</v>
      </c>
      <c r="B755" s="7" t="s">
        <v>735</v>
      </c>
      <c r="C755" s="7" t="s">
        <v>2143</v>
      </c>
      <c r="D755" s="3">
        <v>35133</v>
      </c>
    </row>
    <row r="756" spans="1:4" x14ac:dyDescent="0.25">
      <c r="A756" s="6" t="s">
        <v>736</v>
      </c>
      <c r="B756" s="6" t="s">
        <v>736</v>
      </c>
      <c r="C756" s="6" t="s">
        <v>2144</v>
      </c>
      <c r="D756" s="2">
        <v>35134</v>
      </c>
    </row>
    <row r="757" spans="1:4" x14ac:dyDescent="0.25">
      <c r="A757" s="7" t="s">
        <v>737</v>
      </c>
      <c r="B757" s="7" t="s">
        <v>737</v>
      </c>
      <c r="C757" s="7" t="s">
        <v>2145</v>
      </c>
      <c r="D757" s="3">
        <v>35135</v>
      </c>
    </row>
    <row r="758" spans="1:4" x14ac:dyDescent="0.25">
      <c r="A758" s="6" t="s">
        <v>738</v>
      </c>
      <c r="B758" s="6" t="s">
        <v>738</v>
      </c>
      <c r="C758" s="6" t="s">
        <v>738</v>
      </c>
      <c r="D758" s="2">
        <v>35137</v>
      </c>
    </row>
    <row r="759" spans="1:4" x14ac:dyDescent="0.25">
      <c r="A759" s="7" t="s">
        <v>739</v>
      </c>
      <c r="B759" s="7" t="s">
        <v>739</v>
      </c>
      <c r="C759" s="7" t="s">
        <v>2146</v>
      </c>
      <c r="D759" s="3">
        <v>35139</v>
      </c>
    </row>
    <row r="760" spans="1:4" x14ac:dyDescent="0.25">
      <c r="A760" s="6" t="s">
        <v>740</v>
      </c>
      <c r="B760" s="6" t="s">
        <v>740</v>
      </c>
      <c r="C760" s="6" t="s">
        <v>2147</v>
      </c>
      <c r="D760" s="2">
        <v>35141</v>
      </c>
    </row>
    <row r="761" spans="1:4" x14ac:dyDescent="0.25">
      <c r="A761" s="7" t="s">
        <v>741</v>
      </c>
      <c r="B761" s="7" t="s">
        <v>741</v>
      </c>
      <c r="C761" s="7" t="s">
        <v>2148</v>
      </c>
      <c r="D761" s="3">
        <v>35143</v>
      </c>
    </row>
    <row r="762" spans="1:4" x14ac:dyDescent="0.25">
      <c r="A762" s="6" t="s">
        <v>742</v>
      </c>
      <c r="B762" s="6" t="s">
        <v>742</v>
      </c>
      <c r="C762" s="6" t="s">
        <v>2149</v>
      </c>
      <c r="D762" s="2">
        <v>35145</v>
      </c>
    </row>
    <row r="763" spans="1:4" x14ac:dyDescent="0.25">
      <c r="A763" s="7" t="s">
        <v>743</v>
      </c>
      <c r="B763" s="7" t="s">
        <v>743</v>
      </c>
      <c r="C763" s="7" t="s">
        <v>2150</v>
      </c>
      <c r="D763" s="3">
        <v>35147</v>
      </c>
    </row>
    <row r="764" spans="1:4" x14ac:dyDescent="0.25">
      <c r="A764" s="6" t="s">
        <v>744</v>
      </c>
      <c r="B764" s="6" t="s">
        <v>744</v>
      </c>
      <c r="C764" s="6" t="s">
        <v>2151</v>
      </c>
      <c r="D764" s="2">
        <v>35149</v>
      </c>
    </row>
    <row r="765" spans="1:4" x14ac:dyDescent="0.25">
      <c r="A765" s="7" t="s">
        <v>2886</v>
      </c>
      <c r="B765" s="7" t="s">
        <v>745</v>
      </c>
      <c r="C765" s="7" t="s">
        <v>2152</v>
      </c>
      <c r="D765" s="3">
        <v>35151</v>
      </c>
    </row>
    <row r="766" spans="1:4" x14ac:dyDescent="0.25">
      <c r="A766" s="6" t="s">
        <v>746</v>
      </c>
      <c r="B766" s="6" t="s">
        <v>746</v>
      </c>
      <c r="C766" s="6" t="s">
        <v>2153</v>
      </c>
      <c r="D766" s="2">
        <v>35153</v>
      </c>
    </row>
    <row r="767" spans="1:4" x14ac:dyDescent="0.25">
      <c r="A767" s="7" t="s">
        <v>747</v>
      </c>
      <c r="B767" s="7" t="s">
        <v>747</v>
      </c>
      <c r="C767" s="7" t="s">
        <v>2154</v>
      </c>
      <c r="D767" s="3">
        <v>35155</v>
      </c>
    </row>
    <row r="768" spans="1:4" x14ac:dyDescent="0.25">
      <c r="A768" s="6" t="s">
        <v>748</v>
      </c>
      <c r="B768" s="6" t="s">
        <v>748</v>
      </c>
      <c r="C768" s="6" t="s">
        <v>748</v>
      </c>
      <c r="D768" s="2">
        <v>35157</v>
      </c>
    </row>
    <row r="769" spans="1:4" x14ac:dyDescent="0.25">
      <c r="A769" s="7" t="s">
        <v>2887</v>
      </c>
      <c r="B769" s="7" t="s">
        <v>749</v>
      </c>
      <c r="C769" s="7" t="s">
        <v>2155</v>
      </c>
      <c r="D769" s="3">
        <v>35158</v>
      </c>
    </row>
    <row r="770" spans="1:4" x14ac:dyDescent="0.25">
      <c r="A770" s="6" t="s">
        <v>750</v>
      </c>
      <c r="B770" s="6" t="s">
        <v>750</v>
      </c>
      <c r="C770" s="6" t="s">
        <v>2156</v>
      </c>
      <c r="D770" s="2">
        <v>35159</v>
      </c>
    </row>
    <row r="771" spans="1:4" x14ac:dyDescent="0.25">
      <c r="A771" s="7" t="s">
        <v>751</v>
      </c>
      <c r="B771" s="7" t="s">
        <v>751</v>
      </c>
      <c r="C771" s="7" t="s">
        <v>2157</v>
      </c>
      <c r="D771" s="3">
        <v>35161</v>
      </c>
    </row>
    <row r="772" spans="1:4" x14ac:dyDescent="0.25">
      <c r="A772" s="6" t="s">
        <v>752</v>
      </c>
      <c r="B772" s="6" t="s">
        <v>752</v>
      </c>
      <c r="C772" s="6" t="s">
        <v>2158</v>
      </c>
      <c r="D772" s="2">
        <v>35163</v>
      </c>
    </row>
    <row r="773" spans="1:4" x14ac:dyDescent="0.25">
      <c r="A773" s="7" t="s">
        <v>753</v>
      </c>
      <c r="B773" s="7" t="s">
        <v>753</v>
      </c>
      <c r="C773" s="7" t="s">
        <v>753</v>
      </c>
      <c r="D773" s="3">
        <v>35167</v>
      </c>
    </row>
    <row r="774" spans="1:4" x14ac:dyDescent="0.25">
      <c r="A774" s="6" t="s">
        <v>754</v>
      </c>
      <c r="B774" s="6" t="s">
        <v>754</v>
      </c>
      <c r="C774" s="6" t="s">
        <v>2159</v>
      </c>
      <c r="D774" s="2">
        <v>35169</v>
      </c>
    </row>
    <row r="775" spans="1:4" x14ac:dyDescent="0.25">
      <c r="A775" s="7" t="s">
        <v>755</v>
      </c>
      <c r="B775" s="7" t="s">
        <v>755</v>
      </c>
      <c r="C775" s="7" t="s">
        <v>2160</v>
      </c>
      <c r="D775" s="3">
        <v>35171</v>
      </c>
    </row>
    <row r="776" spans="1:4" x14ac:dyDescent="0.25">
      <c r="A776" s="6" t="s">
        <v>756</v>
      </c>
      <c r="B776" s="6" t="s">
        <v>756</v>
      </c>
      <c r="C776" s="6" t="s">
        <v>2161</v>
      </c>
      <c r="D776" s="2">
        <v>35173</v>
      </c>
    </row>
    <row r="777" spans="1:4" x14ac:dyDescent="0.25">
      <c r="A777" s="7" t="s">
        <v>757</v>
      </c>
      <c r="B777" s="7" t="s">
        <v>757</v>
      </c>
      <c r="C777" s="7" t="s">
        <v>2162</v>
      </c>
      <c r="D777" s="3">
        <v>35174</v>
      </c>
    </row>
    <row r="778" spans="1:4" x14ac:dyDescent="0.25">
      <c r="A778" s="6" t="s">
        <v>758</v>
      </c>
      <c r="B778" s="6" t="s">
        <v>758</v>
      </c>
      <c r="C778" s="6" t="s">
        <v>758</v>
      </c>
      <c r="D778" s="2">
        <v>35175</v>
      </c>
    </row>
    <row r="779" spans="1:4" x14ac:dyDescent="0.25">
      <c r="A779" s="7" t="s">
        <v>759</v>
      </c>
      <c r="B779" s="7" t="s">
        <v>759</v>
      </c>
      <c r="C779" s="7" t="s">
        <v>2163</v>
      </c>
      <c r="D779" s="3">
        <v>35177</v>
      </c>
    </row>
    <row r="780" spans="1:4" x14ac:dyDescent="0.25">
      <c r="A780" s="6" t="s">
        <v>760</v>
      </c>
      <c r="B780" s="6" t="s">
        <v>760</v>
      </c>
      <c r="C780" s="6" t="s">
        <v>2164</v>
      </c>
      <c r="D780" s="2">
        <v>35179</v>
      </c>
    </row>
    <row r="781" spans="1:4" x14ac:dyDescent="0.25">
      <c r="A781" s="7" t="s">
        <v>761</v>
      </c>
      <c r="B781" s="7" t="s">
        <v>761</v>
      </c>
      <c r="C781" s="7" t="s">
        <v>2165</v>
      </c>
      <c r="D781" s="3">
        <v>35181</v>
      </c>
    </row>
    <row r="782" spans="1:4" x14ac:dyDescent="0.25">
      <c r="A782" s="6" t="s">
        <v>762</v>
      </c>
      <c r="B782" s="6" t="s">
        <v>762</v>
      </c>
      <c r="C782" s="6" t="s">
        <v>2166</v>
      </c>
      <c r="D782" s="2">
        <v>35183</v>
      </c>
    </row>
    <row r="783" spans="1:4" x14ac:dyDescent="0.25">
      <c r="A783" s="7" t="s">
        <v>763</v>
      </c>
      <c r="B783" s="7" t="s">
        <v>763</v>
      </c>
      <c r="C783" s="7" t="s">
        <v>2167</v>
      </c>
      <c r="D783" s="3">
        <v>35185</v>
      </c>
    </row>
    <row r="784" spans="1:4" x14ac:dyDescent="0.25">
      <c r="A784" s="6" t="s">
        <v>764</v>
      </c>
      <c r="B784" s="6" t="s">
        <v>764</v>
      </c>
      <c r="C784" s="6" t="s">
        <v>2168</v>
      </c>
      <c r="D784" s="2">
        <v>35187</v>
      </c>
    </row>
    <row r="785" spans="1:4" x14ac:dyDescent="0.25">
      <c r="A785" s="7" t="s">
        <v>765</v>
      </c>
      <c r="B785" s="7" t="s">
        <v>765</v>
      </c>
      <c r="C785" s="7" t="s">
        <v>2169</v>
      </c>
      <c r="D785" s="3">
        <v>35189</v>
      </c>
    </row>
    <row r="786" spans="1:4" x14ac:dyDescent="0.25">
      <c r="A786" s="6" t="s">
        <v>766</v>
      </c>
      <c r="B786" s="6" t="s">
        <v>766</v>
      </c>
      <c r="C786" s="6" t="s">
        <v>2170</v>
      </c>
      <c r="D786" s="2">
        <v>35191</v>
      </c>
    </row>
    <row r="787" spans="1:4" x14ac:dyDescent="0.25">
      <c r="A787" s="7" t="s">
        <v>767</v>
      </c>
      <c r="B787" s="7" t="s">
        <v>767</v>
      </c>
      <c r="C787" s="7" t="s">
        <v>2171</v>
      </c>
      <c r="D787" s="3">
        <v>35211</v>
      </c>
    </row>
    <row r="788" spans="1:4" x14ac:dyDescent="0.25">
      <c r="A788" s="6" t="s">
        <v>768</v>
      </c>
      <c r="B788" s="6" t="s">
        <v>768</v>
      </c>
      <c r="C788" s="6" t="s">
        <v>2172</v>
      </c>
      <c r="D788" s="2">
        <v>35213</v>
      </c>
    </row>
    <row r="789" spans="1:4" x14ac:dyDescent="0.25">
      <c r="A789" s="7" t="s">
        <v>769</v>
      </c>
      <c r="B789" s="7" t="s">
        <v>769</v>
      </c>
      <c r="C789" s="7" t="s">
        <v>769</v>
      </c>
      <c r="D789" s="3">
        <v>35215</v>
      </c>
    </row>
    <row r="790" spans="1:4" x14ac:dyDescent="0.25">
      <c r="A790" s="6" t="s">
        <v>770</v>
      </c>
      <c r="B790" s="6" t="s">
        <v>770</v>
      </c>
      <c r="C790" s="6" t="s">
        <v>2173</v>
      </c>
      <c r="D790" s="2">
        <v>35216</v>
      </c>
    </row>
    <row r="791" spans="1:4" x14ac:dyDescent="0.25">
      <c r="A791" s="7" t="s">
        <v>771</v>
      </c>
      <c r="B791" s="7" t="s">
        <v>771</v>
      </c>
      <c r="C791" s="7" t="s">
        <v>771</v>
      </c>
      <c r="D791" s="3">
        <v>35217</v>
      </c>
    </row>
    <row r="792" spans="1:4" x14ac:dyDescent="0.25">
      <c r="A792" s="6" t="s">
        <v>772</v>
      </c>
      <c r="B792" s="6" t="s">
        <v>772</v>
      </c>
      <c r="C792" s="6" t="s">
        <v>2174</v>
      </c>
      <c r="D792" s="2">
        <v>35219</v>
      </c>
    </row>
    <row r="793" spans="1:4" x14ac:dyDescent="0.25">
      <c r="A793" s="7" t="s">
        <v>773</v>
      </c>
      <c r="B793" s="7" t="s">
        <v>773</v>
      </c>
      <c r="C793" s="7" t="s">
        <v>2175</v>
      </c>
      <c r="D793" s="3">
        <v>35221</v>
      </c>
    </row>
    <row r="794" spans="1:4" x14ac:dyDescent="0.25">
      <c r="A794" s="6" t="s">
        <v>774</v>
      </c>
      <c r="B794" s="6" t="s">
        <v>774</v>
      </c>
      <c r="C794" s="6" t="s">
        <v>2176</v>
      </c>
      <c r="D794" s="2">
        <v>35223</v>
      </c>
    </row>
    <row r="795" spans="1:4" x14ac:dyDescent="0.25">
      <c r="A795" s="7" t="s">
        <v>775</v>
      </c>
      <c r="B795" s="7" t="s">
        <v>775</v>
      </c>
      <c r="C795" s="7" t="s">
        <v>2177</v>
      </c>
      <c r="D795" s="3">
        <v>35224</v>
      </c>
    </row>
    <row r="796" spans="1:4" x14ac:dyDescent="0.25">
      <c r="A796" s="6" t="s">
        <v>776</v>
      </c>
      <c r="B796" s="6" t="s">
        <v>776</v>
      </c>
      <c r="C796" s="6" t="s">
        <v>2178</v>
      </c>
      <c r="D796" s="2">
        <v>35225</v>
      </c>
    </row>
    <row r="797" spans="1:4" x14ac:dyDescent="0.25">
      <c r="A797" s="7" t="s">
        <v>2888</v>
      </c>
      <c r="B797" s="7" t="s">
        <v>777</v>
      </c>
      <c r="C797" s="7" t="s">
        <v>2179</v>
      </c>
      <c r="D797" s="3">
        <v>35227</v>
      </c>
    </row>
    <row r="798" spans="1:4" x14ac:dyDescent="0.25">
      <c r="A798" s="6" t="s">
        <v>2889</v>
      </c>
      <c r="B798" s="6" t="s">
        <v>778</v>
      </c>
      <c r="C798" s="6" t="s">
        <v>2180</v>
      </c>
      <c r="D798" s="2">
        <v>35229</v>
      </c>
    </row>
    <row r="799" spans="1:4" x14ac:dyDescent="0.25">
      <c r="A799" s="7" t="s">
        <v>779</v>
      </c>
      <c r="B799" s="7" t="s">
        <v>779</v>
      </c>
      <c r="C799" s="7" t="s">
        <v>2181</v>
      </c>
      <c r="D799" s="3">
        <v>35231</v>
      </c>
    </row>
    <row r="800" spans="1:4" x14ac:dyDescent="0.25">
      <c r="A800" s="6" t="s">
        <v>780</v>
      </c>
      <c r="B800" s="6" t="s">
        <v>780</v>
      </c>
      <c r="C800" s="6" t="s">
        <v>2182</v>
      </c>
      <c r="D800" s="2">
        <v>35233</v>
      </c>
    </row>
    <row r="801" spans="1:4" x14ac:dyDescent="0.25">
      <c r="A801" s="7" t="s">
        <v>781</v>
      </c>
      <c r="B801" s="7" t="s">
        <v>781</v>
      </c>
      <c r="C801" s="7" t="s">
        <v>2183</v>
      </c>
      <c r="D801" s="3">
        <v>35234</v>
      </c>
    </row>
    <row r="802" spans="1:4" x14ac:dyDescent="0.25">
      <c r="A802" s="6" t="s">
        <v>2890</v>
      </c>
      <c r="B802" s="6" t="s">
        <v>782</v>
      </c>
      <c r="C802" s="6" t="s">
        <v>2184</v>
      </c>
      <c r="D802" s="2">
        <v>35235</v>
      </c>
    </row>
    <row r="803" spans="1:4" x14ac:dyDescent="0.25">
      <c r="A803" s="7" t="s">
        <v>783</v>
      </c>
      <c r="B803" s="7" t="s">
        <v>783</v>
      </c>
      <c r="C803" s="7" t="s">
        <v>2185</v>
      </c>
      <c r="D803" s="3">
        <v>35237</v>
      </c>
    </row>
    <row r="804" spans="1:4" x14ac:dyDescent="0.25">
      <c r="A804" s="6" t="s">
        <v>784</v>
      </c>
      <c r="B804" s="6" t="s">
        <v>784</v>
      </c>
      <c r="C804" s="6" t="s">
        <v>2186</v>
      </c>
      <c r="D804" s="2">
        <v>35239</v>
      </c>
    </row>
    <row r="805" spans="1:4" x14ac:dyDescent="0.25">
      <c r="A805" s="7" t="s">
        <v>785</v>
      </c>
      <c r="B805" s="7" t="s">
        <v>785</v>
      </c>
      <c r="C805" s="7" t="s">
        <v>785</v>
      </c>
      <c r="D805" s="3">
        <v>35241</v>
      </c>
    </row>
    <row r="806" spans="1:4" x14ac:dyDescent="0.25">
      <c r="A806" s="6" t="s">
        <v>786</v>
      </c>
      <c r="B806" s="6" t="s">
        <v>786</v>
      </c>
      <c r="C806" s="6" t="s">
        <v>2187</v>
      </c>
      <c r="D806" s="2">
        <v>35243</v>
      </c>
    </row>
    <row r="807" spans="1:4" x14ac:dyDescent="0.25">
      <c r="A807" s="7" t="s">
        <v>787</v>
      </c>
      <c r="B807" s="7" t="s">
        <v>787</v>
      </c>
      <c r="C807" s="7" t="s">
        <v>2188</v>
      </c>
      <c r="D807" s="3">
        <v>35245</v>
      </c>
    </row>
    <row r="808" spans="1:4" x14ac:dyDescent="0.25">
      <c r="A808" s="6" t="s">
        <v>788</v>
      </c>
      <c r="B808" s="6" t="s">
        <v>788</v>
      </c>
      <c r="C808" s="6" t="s">
        <v>2189</v>
      </c>
      <c r="D808" s="2">
        <v>35247</v>
      </c>
    </row>
    <row r="809" spans="1:4" x14ac:dyDescent="0.25">
      <c r="A809" s="7" t="s">
        <v>2891</v>
      </c>
      <c r="B809" s="7" t="s">
        <v>789</v>
      </c>
      <c r="C809" s="7" t="s">
        <v>2190</v>
      </c>
      <c r="D809" s="3">
        <v>35249</v>
      </c>
    </row>
    <row r="810" spans="1:4" x14ac:dyDescent="0.25">
      <c r="A810" s="6" t="s">
        <v>790</v>
      </c>
      <c r="B810" s="6" t="s">
        <v>790</v>
      </c>
      <c r="C810" s="6" t="s">
        <v>2191</v>
      </c>
      <c r="D810" s="2">
        <v>35251</v>
      </c>
    </row>
    <row r="811" spans="1:4" x14ac:dyDescent="0.25">
      <c r="A811" s="7" t="s">
        <v>791</v>
      </c>
      <c r="B811" s="7" t="s">
        <v>791</v>
      </c>
      <c r="C811" s="7" t="s">
        <v>2192</v>
      </c>
      <c r="D811" s="3">
        <v>35253</v>
      </c>
    </row>
    <row r="812" spans="1:4" x14ac:dyDescent="0.25">
      <c r="A812" s="6" t="s">
        <v>792</v>
      </c>
      <c r="B812" s="6" t="s">
        <v>792</v>
      </c>
      <c r="C812" s="6" t="s">
        <v>2193</v>
      </c>
      <c r="D812" s="2">
        <v>35255</v>
      </c>
    </row>
    <row r="813" spans="1:4" x14ac:dyDescent="0.25">
      <c r="A813" s="7" t="s">
        <v>793</v>
      </c>
      <c r="B813" s="7" t="s">
        <v>793</v>
      </c>
      <c r="C813" s="7" t="s">
        <v>2194</v>
      </c>
      <c r="D813" s="3">
        <v>35257</v>
      </c>
    </row>
    <row r="814" spans="1:4" x14ac:dyDescent="0.25">
      <c r="A814" s="6" t="s">
        <v>794</v>
      </c>
      <c r="B814" s="6" t="s">
        <v>794</v>
      </c>
      <c r="C814" s="6" t="s">
        <v>2195</v>
      </c>
      <c r="D814" s="2">
        <v>35259</v>
      </c>
    </row>
    <row r="815" spans="1:4" x14ac:dyDescent="0.25">
      <c r="A815" s="7" t="s">
        <v>795</v>
      </c>
      <c r="B815" s="7" t="s">
        <v>795</v>
      </c>
      <c r="C815" s="7" t="s">
        <v>2196</v>
      </c>
      <c r="D815" s="3">
        <v>35261</v>
      </c>
    </row>
    <row r="816" spans="1:4" x14ac:dyDescent="0.25">
      <c r="A816" s="6" t="s">
        <v>796</v>
      </c>
      <c r="B816" s="6" t="s">
        <v>796</v>
      </c>
      <c r="C816" s="6" t="s">
        <v>796</v>
      </c>
      <c r="D816" s="2">
        <v>35263</v>
      </c>
    </row>
    <row r="817" spans="1:4" x14ac:dyDescent="0.25">
      <c r="A817" s="7" t="s">
        <v>797</v>
      </c>
      <c r="B817" s="7" t="s">
        <v>797</v>
      </c>
      <c r="C817" s="7" t="s">
        <v>2197</v>
      </c>
      <c r="D817" s="3">
        <v>35265</v>
      </c>
    </row>
    <row r="818" spans="1:4" x14ac:dyDescent="0.25">
      <c r="A818" s="6" t="s">
        <v>798</v>
      </c>
      <c r="B818" s="6" t="s">
        <v>798</v>
      </c>
      <c r="C818" s="6" t="s">
        <v>2198</v>
      </c>
      <c r="D818" s="2">
        <v>35267</v>
      </c>
    </row>
    <row r="819" spans="1:4" x14ac:dyDescent="0.25">
      <c r="A819" s="7" t="s">
        <v>799</v>
      </c>
      <c r="B819" s="7" t="s">
        <v>799</v>
      </c>
      <c r="C819" s="7" t="s">
        <v>2199</v>
      </c>
      <c r="D819" s="3">
        <v>35269</v>
      </c>
    </row>
    <row r="820" spans="1:4" x14ac:dyDescent="0.25">
      <c r="A820" s="6" t="s">
        <v>2892</v>
      </c>
      <c r="B820" s="6" t="s">
        <v>800</v>
      </c>
      <c r="C820" s="6" t="s">
        <v>2200</v>
      </c>
      <c r="D820" s="2">
        <v>35271</v>
      </c>
    </row>
    <row r="821" spans="1:4" x14ac:dyDescent="0.25">
      <c r="A821" s="7" t="s">
        <v>801</v>
      </c>
      <c r="B821" s="7" t="s">
        <v>801</v>
      </c>
      <c r="C821" s="7" t="s">
        <v>2201</v>
      </c>
      <c r="D821" s="3">
        <v>35273</v>
      </c>
    </row>
    <row r="822" spans="1:4" x14ac:dyDescent="0.25">
      <c r="A822" s="6" t="s">
        <v>802</v>
      </c>
      <c r="B822" s="6" t="s">
        <v>802</v>
      </c>
      <c r="C822" s="6" t="s">
        <v>802</v>
      </c>
      <c r="D822" s="2">
        <v>35275</v>
      </c>
    </row>
    <row r="823" spans="1:4" x14ac:dyDescent="0.25">
      <c r="A823" s="7" t="s">
        <v>803</v>
      </c>
      <c r="B823" s="7" t="s">
        <v>803</v>
      </c>
      <c r="C823" s="7" t="s">
        <v>2202</v>
      </c>
      <c r="D823" s="3">
        <v>35277</v>
      </c>
    </row>
    <row r="824" spans="1:4" x14ac:dyDescent="0.25">
      <c r="A824" s="6" t="s">
        <v>804</v>
      </c>
      <c r="B824" s="6" t="s">
        <v>804</v>
      </c>
      <c r="C824" s="6" t="s">
        <v>2203</v>
      </c>
      <c r="D824" s="2">
        <v>35281</v>
      </c>
    </row>
    <row r="825" spans="1:4" x14ac:dyDescent="0.25">
      <c r="A825" s="7" t="s">
        <v>805</v>
      </c>
      <c r="B825" s="7" t="s">
        <v>805</v>
      </c>
      <c r="C825" s="7" t="s">
        <v>2204</v>
      </c>
      <c r="D825" s="3">
        <v>35311</v>
      </c>
    </row>
    <row r="826" spans="1:4" x14ac:dyDescent="0.25">
      <c r="A826" s="6" t="s">
        <v>806</v>
      </c>
      <c r="B826" s="6" t="s">
        <v>806</v>
      </c>
      <c r="C826" s="6" t="s">
        <v>2205</v>
      </c>
      <c r="D826" s="2">
        <v>35314</v>
      </c>
    </row>
    <row r="827" spans="1:4" x14ac:dyDescent="0.25">
      <c r="A827" s="7" t="s">
        <v>807</v>
      </c>
      <c r="B827" s="7" t="s">
        <v>807</v>
      </c>
      <c r="C827" s="7" t="s">
        <v>807</v>
      </c>
      <c r="D827" s="3">
        <v>35316</v>
      </c>
    </row>
    <row r="828" spans="1:4" x14ac:dyDescent="0.25">
      <c r="A828" s="6" t="s">
        <v>2893</v>
      </c>
      <c r="B828" s="6" t="s">
        <v>808</v>
      </c>
      <c r="C828" s="6" t="s">
        <v>2206</v>
      </c>
      <c r="D828" s="2">
        <v>35317</v>
      </c>
    </row>
    <row r="829" spans="1:4" x14ac:dyDescent="0.25">
      <c r="A829" s="7" t="s">
        <v>809</v>
      </c>
      <c r="B829" s="7" t="s">
        <v>809</v>
      </c>
      <c r="C829" s="7" t="s">
        <v>2207</v>
      </c>
      <c r="D829" s="3">
        <v>35318</v>
      </c>
    </row>
    <row r="830" spans="1:4" x14ac:dyDescent="0.25">
      <c r="A830" s="6" t="s">
        <v>810</v>
      </c>
      <c r="B830" s="6" t="s">
        <v>810</v>
      </c>
      <c r="C830" s="6" t="s">
        <v>810</v>
      </c>
      <c r="D830" s="2">
        <v>35320</v>
      </c>
    </row>
    <row r="831" spans="1:4" x14ac:dyDescent="0.25">
      <c r="A831" s="7" t="s">
        <v>811</v>
      </c>
      <c r="B831" s="7" t="s">
        <v>811</v>
      </c>
      <c r="C831" s="7" t="s">
        <v>811</v>
      </c>
      <c r="D831" s="3">
        <v>35321</v>
      </c>
    </row>
    <row r="832" spans="1:4" x14ac:dyDescent="0.25">
      <c r="A832" s="6" t="s">
        <v>812</v>
      </c>
      <c r="B832" s="6" t="s">
        <v>812</v>
      </c>
      <c r="C832" s="6" t="s">
        <v>2208</v>
      </c>
      <c r="D832" s="2">
        <v>35322</v>
      </c>
    </row>
    <row r="833" spans="1:4" x14ac:dyDescent="0.25">
      <c r="A833" s="7" t="s">
        <v>813</v>
      </c>
      <c r="B833" s="7" t="s">
        <v>813</v>
      </c>
      <c r="C833" s="7" t="s">
        <v>2209</v>
      </c>
      <c r="D833" s="3">
        <v>35324</v>
      </c>
    </row>
    <row r="834" spans="1:4" x14ac:dyDescent="0.25">
      <c r="A834" s="6" t="s">
        <v>814</v>
      </c>
      <c r="B834" s="6" t="s">
        <v>814</v>
      </c>
      <c r="C834" s="6" t="s">
        <v>2210</v>
      </c>
      <c r="D834" s="2">
        <v>35325</v>
      </c>
    </row>
    <row r="835" spans="1:4" x14ac:dyDescent="0.25">
      <c r="A835" s="7" t="s">
        <v>815</v>
      </c>
      <c r="B835" s="7" t="s">
        <v>815</v>
      </c>
      <c r="C835" s="7" t="s">
        <v>2211</v>
      </c>
      <c r="D835" s="3">
        <v>35326</v>
      </c>
    </row>
    <row r="836" spans="1:4" x14ac:dyDescent="0.25">
      <c r="A836" s="6" t="s">
        <v>816</v>
      </c>
      <c r="B836" s="6" t="s">
        <v>816</v>
      </c>
      <c r="C836" s="6" t="s">
        <v>2212</v>
      </c>
      <c r="D836" s="2">
        <v>35327</v>
      </c>
    </row>
    <row r="837" spans="1:4" x14ac:dyDescent="0.25">
      <c r="A837" s="7" t="s">
        <v>817</v>
      </c>
      <c r="B837" s="7" t="s">
        <v>817</v>
      </c>
      <c r="C837" s="7" t="s">
        <v>2213</v>
      </c>
      <c r="D837" s="3">
        <v>35328</v>
      </c>
    </row>
    <row r="838" spans="1:4" x14ac:dyDescent="0.25">
      <c r="A838" s="6" t="s">
        <v>818</v>
      </c>
      <c r="B838" s="6" t="s">
        <v>818</v>
      </c>
      <c r="C838" s="6" t="s">
        <v>818</v>
      </c>
      <c r="D838" s="2">
        <v>35330</v>
      </c>
    </row>
    <row r="839" spans="1:4" x14ac:dyDescent="0.25">
      <c r="A839" s="7" t="s">
        <v>2894</v>
      </c>
      <c r="B839" s="7" t="s">
        <v>819</v>
      </c>
      <c r="C839" s="7" t="s">
        <v>2214</v>
      </c>
      <c r="D839" s="3">
        <v>35331</v>
      </c>
    </row>
    <row r="840" spans="1:4" x14ac:dyDescent="0.25">
      <c r="A840" s="6" t="s">
        <v>820</v>
      </c>
      <c r="B840" s="6" t="s">
        <v>820</v>
      </c>
      <c r="C840" s="6" t="s">
        <v>2215</v>
      </c>
      <c r="D840" s="2">
        <v>35334</v>
      </c>
    </row>
    <row r="841" spans="1:4" x14ac:dyDescent="0.25">
      <c r="A841" s="7" t="s">
        <v>821</v>
      </c>
      <c r="B841" s="7" t="s">
        <v>821</v>
      </c>
      <c r="C841" s="7" t="s">
        <v>821</v>
      </c>
      <c r="D841" s="3">
        <v>35337</v>
      </c>
    </row>
    <row r="842" spans="1:4" x14ac:dyDescent="0.25">
      <c r="A842" s="6" t="s">
        <v>822</v>
      </c>
      <c r="B842" s="6" t="s">
        <v>822</v>
      </c>
      <c r="C842" s="6" t="s">
        <v>2216</v>
      </c>
      <c r="D842" s="2">
        <v>35341</v>
      </c>
    </row>
    <row r="843" spans="1:4" x14ac:dyDescent="0.25">
      <c r="A843" s="7" t="s">
        <v>823</v>
      </c>
      <c r="B843" s="7" t="s">
        <v>823</v>
      </c>
      <c r="C843" s="7" t="s">
        <v>2217</v>
      </c>
      <c r="D843" s="3">
        <v>35344</v>
      </c>
    </row>
    <row r="844" spans="1:4" x14ac:dyDescent="0.25">
      <c r="A844" s="6" t="s">
        <v>824</v>
      </c>
      <c r="B844" s="6" t="s">
        <v>824</v>
      </c>
      <c r="C844" s="6" t="s">
        <v>2218</v>
      </c>
      <c r="D844" s="2">
        <v>35347</v>
      </c>
    </row>
    <row r="845" spans="1:4" x14ac:dyDescent="0.25">
      <c r="A845" s="7" t="s">
        <v>825</v>
      </c>
      <c r="B845" s="7" t="s">
        <v>825</v>
      </c>
      <c r="C845" s="7" t="s">
        <v>2219</v>
      </c>
      <c r="D845" s="3">
        <v>35351</v>
      </c>
    </row>
    <row r="846" spans="1:4" x14ac:dyDescent="0.25">
      <c r="A846" s="6" t="s">
        <v>826</v>
      </c>
      <c r="B846" s="6" t="s">
        <v>826</v>
      </c>
      <c r="C846" s="6" t="s">
        <v>2220</v>
      </c>
      <c r="D846" s="2">
        <v>35352</v>
      </c>
    </row>
    <row r="847" spans="1:4" x14ac:dyDescent="0.25">
      <c r="A847" s="7" t="s">
        <v>827</v>
      </c>
      <c r="B847" s="7" t="s">
        <v>827</v>
      </c>
      <c r="C847" s="7" t="s">
        <v>2221</v>
      </c>
      <c r="D847" s="3">
        <v>35353</v>
      </c>
    </row>
    <row r="848" spans="1:4" x14ac:dyDescent="0.25">
      <c r="A848" s="6" t="s">
        <v>828</v>
      </c>
      <c r="B848" s="6" t="s">
        <v>828</v>
      </c>
      <c r="C848" s="6" t="s">
        <v>2222</v>
      </c>
      <c r="D848" s="2">
        <v>35354</v>
      </c>
    </row>
    <row r="849" spans="1:4" x14ac:dyDescent="0.25">
      <c r="A849" s="7" t="s">
        <v>829</v>
      </c>
      <c r="B849" s="7" t="s">
        <v>829</v>
      </c>
      <c r="C849" s="7" t="s">
        <v>829</v>
      </c>
      <c r="D849" s="3">
        <v>35356</v>
      </c>
    </row>
    <row r="850" spans="1:4" x14ac:dyDescent="0.25">
      <c r="A850" s="6" t="s">
        <v>2895</v>
      </c>
      <c r="B850" s="6" t="s">
        <v>830</v>
      </c>
      <c r="C850" s="6" t="s">
        <v>830</v>
      </c>
      <c r="D850" s="2">
        <v>35357</v>
      </c>
    </row>
    <row r="851" spans="1:4" x14ac:dyDescent="0.25">
      <c r="A851" s="7" t="s">
        <v>831</v>
      </c>
      <c r="B851" s="7" t="s">
        <v>831</v>
      </c>
      <c r="C851" s="7" t="s">
        <v>831</v>
      </c>
      <c r="D851" s="3">
        <v>35364</v>
      </c>
    </row>
    <row r="852" spans="1:4" x14ac:dyDescent="0.25">
      <c r="A852" s="6" t="s">
        <v>832</v>
      </c>
      <c r="B852" s="6" t="s">
        <v>832</v>
      </c>
      <c r="C852" s="6" t="s">
        <v>2223</v>
      </c>
      <c r="D852" s="2">
        <v>35367</v>
      </c>
    </row>
    <row r="853" spans="1:4" x14ac:dyDescent="0.25">
      <c r="A853" s="7" t="s">
        <v>833</v>
      </c>
      <c r="B853" s="7" t="s">
        <v>833</v>
      </c>
      <c r="C853" s="7" t="s">
        <v>2224</v>
      </c>
      <c r="D853" s="3">
        <v>35371</v>
      </c>
    </row>
    <row r="854" spans="1:4" x14ac:dyDescent="0.25">
      <c r="A854" s="6" t="s">
        <v>834</v>
      </c>
      <c r="B854" s="6" t="s">
        <v>834</v>
      </c>
      <c r="C854" s="6" t="s">
        <v>2225</v>
      </c>
      <c r="D854" s="2">
        <v>35402</v>
      </c>
    </row>
    <row r="855" spans="1:4" x14ac:dyDescent="0.25">
      <c r="A855" s="7" t="s">
        <v>835</v>
      </c>
      <c r="B855" s="7" t="s">
        <v>835</v>
      </c>
      <c r="C855" s="7" t="s">
        <v>835</v>
      </c>
      <c r="D855" s="3">
        <v>35404</v>
      </c>
    </row>
    <row r="856" spans="1:4" x14ac:dyDescent="0.25">
      <c r="A856" s="6" t="s">
        <v>836</v>
      </c>
      <c r="B856" s="6" t="s">
        <v>836</v>
      </c>
      <c r="C856" s="6" t="s">
        <v>2226</v>
      </c>
      <c r="D856" s="2">
        <v>35406</v>
      </c>
    </row>
    <row r="857" spans="1:4" x14ac:dyDescent="0.25">
      <c r="A857" s="7" t="s">
        <v>2896</v>
      </c>
      <c r="B857" s="7" t="s">
        <v>837</v>
      </c>
      <c r="C857" s="7" t="s">
        <v>2227</v>
      </c>
      <c r="D857" s="3">
        <v>35408</v>
      </c>
    </row>
    <row r="858" spans="1:4" x14ac:dyDescent="0.25">
      <c r="A858" s="6" t="s">
        <v>838</v>
      </c>
      <c r="B858" s="6" t="s">
        <v>838</v>
      </c>
      <c r="C858" s="6" t="s">
        <v>838</v>
      </c>
      <c r="D858" s="2">
        <v>35410</v>
      </c>
    </row>
    <row r="859" spans="1:4" x14ac:dyDescent="0.25">
      <c r="A859" s="7" t="s">
        <v>839</v>
      </c>
      <c r="B859" s="7" t="s">
        <v>839</v>
      </c>
      <c r="C859" s="7" t="s">
        <v>2228</v>
      </c>
      <c r="D859" s="3">
        <v>35411</v>
      </c>
    </row>
    <row r="860" spans="1:4" x14ac:dyDescent="0.25">
      <c r="A860" s="6" t="s">
        <v>840</v>
      </c>
      <c r="B860" s="6" t="s">
        <v>840</v>
      </c>
      <c r="C860" s="6" t="s">
        <v>2229</v>
      </c>
      <c r="D860" s="2">
        <v>35412</v>
      </c>
    </row>
    <row r="861" spans="1:4" x14ac:dyDescent="0.25">
      <c r="A861" s="7" t="s">
        <v>841</v>
      </c>
      <c r="B861" s="7" t="s">
        <v>841</v>
      </c>
      <c r="C861" s="7" t="s">
        <v>841</v>
      </c>
      <c r="D861" s="3">
        <v>35414</v>
      </c>
    </row>
    <row r="862" spans="1:4" x14ac:dyDescent="0.25">
      <c r="A862" s="6" t="s">
        <v>842</v>
      </c>
      <c r="B862" s="6" t="s">
        <v>842</v>
      </c>
      <c r="C862" s="6" t="s">
        <v>2230</v>
      </c>
      <c r="D862" s="2">
        <v>35415</v>
      </c>
    </row>
    <row r="863" spans="1:4" x14ac:dyDescent="0.25">
      <c r="A863" s="7" t="s">
        <v>843</v>
      </c>
      <c r="B863" s="7" t="s">
        <v>843</v>
      </c>
      <c r="C863" s="7" t="s">
        <v>1763</v>
      </c>
      <c r="D863" s="3">
        <v>35416</v>
      </c>
    </row>
    <row r="864" spans="1:4" x14ac:dyDescent="0.25">
      <c r="A864" s="6" t="s">
        <v>844</v>
      </c>
      <c r="B864" s="6" t="s">
        <v>844</v>
      </c>
      <c r="C864" s="6" t="s">
        <v>2231</v>
      </c>
      <c r="D864" s="2">
        <v>35417</v>
      </c>
    </row>
    <row r="865" spans="1:4" x14ac:dyDescent="0.25">
      <c r="A865" s="7" t="s">
        <v>2897</v>
      </c>
      <c r="B865" s="7" t="s">
        <v>845</v>
      </c>
      <c r="C865" s="7" t="s">
        <v>2232</v>
      </c>
      <c r="D865" s="3">
        <v>35419</v>
      </c>
    </row>
    <row r="866" spans="1:4" x14ac:dyDescent="0.25">
      <c r="A866" s="6" t="s">
        <v>846</v>
      </c>
      <c r="B866" s="6" t="s">
        <v>846</v>
      </c>
      <c r="C866" s="6" t="s">
        <v>2233</v>
      </c>
      <c r="D866" s="2">
        <v>35420</v>
      </c>
    </row>
    <row r="867" spans="1:4" x14ac:dyDescent="0.25">
      <c r="A867" s="7" t="s">
        <v>847</v>
      </c>
      <c r="B867" s="7" t="s">
        <v>847</v>
      </c>
      <c r="C867" s="7" t="s">
        <v>2234</v>
      </c>
      <c r="D867" s="3">
        <v>35421</v>
      </c>
    </row>
    <row r="868" spans="1:4" x14ac:dyDescent="0.25">
      <c r="A868" s="6" t="s">
        <v>848</v>
      </c>
      <c r="B868" s="6" t="s">
        <v>848</v>
      </c>
      <c r="C868" s="6" t="s">
        <v>2235</v>
      </c>
      <c r="D868" s="2">
        <v>35423</v>
      </c>
    </row>
    <row r="869" spans="1:4" x14ac:dyDescent="0.25">
      <c r="A869" s="7" t="s">
        <v>849</v>
      </c>
      <c r="B869" s="7" t="s">
        <v>849</v>
      </c>
      <c r="C869" s="7" t="s">
        <v>2236</v>
      </c>
      <c r="D869" s="3">
        <v>35425</v>
      </c>
    </row>
    <row r="870" spans="1:4" x14ac:dyDescent="0.25">
      <c r="A870" s="6" t="s">
        <v>850</v>
      </c>
      <c r="B870" s="6" t="s">
        <v>850</v>
      </c>
      <c r="C870" s="6" t="s">
        <v>2237</v>
      </c>
      <c r="D870" s="2">
        <v>35427</v>
      </c>
    </row>
    <row r="871" spans="1:4" x14ac:dyDescent="0.25">
      <c r="A871" s="7" t="s">
        <v>851</v>
      </c>
      <c r="B871" s="7" t="s">
        <v>851</v>
      </c>
      <c r="C871" s="7" t="s">
        <v>2238</v>
      </c>
      <c r="D871" s="3">
        <v>35429</v>
      </c>
    </row>
    <row r="872" spans="1:4" x14ac:dyDescent="0.25">
      <c r="A872" s="6" t="s">
        <v>852</v>
      </c>
      <c r="B872" s="6" t="s">
        <v>852</v>
      </c>
      <c r="C872" s="6" t="s">
        <v>852</v>
      </c>
      <c r="D872" s="2">
        <v>35430</v>
      </c>
    </row>
    <row r="873" spans="1:4" x14ac:dyDescent="0.25">
      <c r="A873" s="7" t="s">
        <v>853</v>
      </c>
      <c r="B873" s="7" t="s">
        <v>853</v>
      </c>
      <c r="C873" s="7" t="s">
        <v>2239</v>
      </c>
      <c r="D873" s="3">
        <v>35431</v>
      </c>
    </row>
    <row r="874" spans="1:4" x14ac:dyDescent="0.25">
      <c r="A874" s="6" t="s">
        <v>2898</v>
      </c>
      <c r="B874" s="6" t="s">
        <v>854</v>
      </c>
      <c r="C874" s="6" t="s">
        <v>2240</v>
      </c>
      <c r="D874" s="2">
        <v>35432</v>
      </c>
    </row>
    <row r="875" spans="1:4" x14ac:dyDescent="0.25">
      <c r="A875" s="7" t="s">
        <v>855</v>
      </c>
      <c r="B875" s="7" t="s">
        <v>855</v>
      </c>
      <c r="C875" s="7" t="s">
        <v>2241</v>
      </c>
      <c r="D875" s="3">
        <v>35433</v>
      </c>
    </row>
    <row r="876" spans="1:4" x14ac:dyDescent="0.25">
      <c r="A876" s="6" t="s">
        <v>856</v>
      </c>
      <c r="B876" s="6" t="s">
        <v>856</v>
      </c>
      <c r="C876" s="6" t="s">
        <v>2242</v>
      </c>
      <c r="D876" s="2">
        <v>35435</v>
      </c>
    </row>
    <row r="877" spans="1:4" x14ac:dyDescent="0.25">
      <c r="A877" s="7" t="s">
        <v>857</v>
      </c>
      <c r="B877" s="7" t="s">
        <v>857</v>
      </c>
      <c r="C877" s="7" t="s">
        <v>857</v>
      </c>
      <c r="D877" s="3">
        <v>35437</v>
      </c>
    </row>
    <row r="878" spans="1:4" x14ac:dyDescent="0.25">
      <c r="A878" s="6" t="s">
        <v>858</v>
      </c>
      <c r="B878" s="6" t="s">
        <v>858</v>
      </c>
      <c r="C878" s="6" t="s">
        <v>2243</v>
      </c>
      <c r="D878" s="2">
        <v>35439</v>
      </c>
    </row>
    <row r="879" spans="1:4" x14ac:dyDescent="0.25">
      <c r="A879" s="7" t="s">
        <v>859</v>
      </c>
      <c r="B879" s="7" t="s">
        <v>859</v>
      </c>
      <c r="C879" s="7" t="s">
        <v>2244</v>
      </c>
      <c r="D879" s="3">
        <v>35441</v>
      </c>
    </row>
    <row r="880" spans="1:4" x14ac:dyDescent="0.25">
      <c r="A880" s="6" t="s">
        <v>2899</v>
      </c>
      <c r="B880" s="6" t="s">
        <v>860</v>
      </c>
      <c r="C880" s="6" t="s">
        <v>2245</v>
      </c>
      <c r="D880" s="2">
        <v>35443</v>
      </c>
    </row>
    <row r="881" spans="1:4" x14ac:dyDescent="0.25">
      <c r="A881" s="7" t="s">
        <v>861</v>
      </c>
      <c r="B881" s="7" t="s">
        <v>861</v>
      </c>
      <c r="C881" s="7" t="s">
        <v>2246</v>
      </c>
      <c r="D881" s="3">
        <v>35445</v>
      </c>
    </row>
    <row r="882" spans="1:4" x14ac:dyDescent="0.25">
      <c r="A882" s="6" t="s">
        <v>862</v>
      </c>
      <c r="B882" s="6" t="s">
        <v>862</v>
      </c>
      <c r="C882" s="6" t="s">
        <v>2247</v>
      </c>
      <c r="D882" s="2">
        <v>35447</v>
      </c>
    </row>
    <row r="883" spans="1:4" x14ac:dyDescent="0.25">
      <c r="A883" s="7" t="s">
        <v>863</v>
      </c>
      <c r="B883" s="7" t="s">
        <v>863</v>
      </c>
      <c r="C883" s="7" t="s">
        <v>2248</v>
      </c>
      <c r="D883" s="3">
        <v>35449</v>
      </c>
    </row>
    <row r="884" spans="1:4" x14ac:dyDescent="0.25">
      <c r="A884" s="6" t="s">
        <v>864</v>
      </c>
      <c r="B884" s="6" t="s">
        <v>864</v>
      </c>
      <c r="C884" s="6" t="s">
        <v>2249</v>
      </c>
      <c r="D884" s="2">
        <v>35451</v>
      </c>
    </row>
    <row r="885" spans="1:4" x14ac:dyDescent="0.25">
      <c r="A885" s="7" t="s">
        <v>865</v>
      </c>
      <c r="B885" s="7" t="s">
        <v>865</v>
      </c>
      <c r="C885" s="7" t="s">
        <v>2250</v>
      </c>
      <c r="D885" s="3">
        <v>35453</v>
      </c>
    </row>
    <row r="886" spans="1:4" x14ac:dyDescent="0.25">
      <c r="A886" s="6" t="s">
        <v>866</v>
      </c>
      <c r="B886" s="6" t="s">
        <v>866</v>
      </c>
      <c r="C886" s="6" t="s">
        <v>2251</v>
      </c>
      <c r="D886" s="2">
        <v>35455</v>
      </c>
    </row>
    <row r="887" spans="1:4" x14ac:dyDescent="0.25">
      <c r="A887" s="7" t="s">
        <v>867</v>
      </c>
      <c r="B887" s="7" t="s">
        <v>867</v>
      </c>
      <c r="C887" s="7" t="s">
        <v>867</v>
      </c>
      <c r="D887" s="3">
        <v>35457</v>
      </c>
    </row>
    <row r="888" spans="1:4" x14ac:dyDescent="0.25">
      <c r="A888" s="6" t="s">
        <v>868</v>
      </c>
      <c r="B888" s="6" t="s">
        <v>868</v>
      </c>
      <c r="C888" s="6" t="s">
        <v>2252</v>
      </c>
      <c r="D888" s="2">
        <v>35459</v>
      </c>
    </row>
    <row r="889" spans="1:4" x14ac:dyDescent="0.25">
      <c r="A889" s="7" t="s">
        <v>2900</v>
      </c>
      <c r="B889" s="7" t="s">
        <v>869</v>
      </c>
      <c r="C889" s="7" t="s">
        <v>2253</v>
      </c>
      <c r="D889" s="3">
        <v>35461</v>
      </c>
    </row>
    <row r="890" spans="1:4" x14ac:dyDescent="0.25">
      <c r="A890" s="6" t="s">
        <v>870</v>
      </c>
      <c r="B890" s="6" t="s">
        <v>870</v>
      </c>
      <c r="C890" s="6" t="s">
        <v>870</v>
      </c>
      <c r="D890" s="2">
        <v>35463</v>
      </c>
    </row>
    <row r="891" spans="1:4" x14ac:dyDescent="0.25">
      <c r="A891" s="7" t="s">
        <v>2901</v>
      </c>
      <c r="B891" s="7" t="s">
        <v>871</v>
      </c>
      <c r="C891" s="7" t="s">
        <v>2254</v>
      </c>
      <c r="D891" s="3">
        <v>35465</v>
      </c>
    </row>
    <row r="892" spans="1:4" x14ac:dyDescent="0.25">
      <c r="A892" s="6" t="s">
        <v>872</v>
      </c>
      <c r="B892" s="6" t="s">
        <v>872</v>
      </c>
      <c r="C892" s="6" t="s">
        <v>2255</v>
      </c>
      <c r="D892" s="2">
        <v>35467</v>
      </c>
    </row>
    <row r="893" spans="1:4" x14ac:dyDescent="0.25">
      <c r="A893" s="7" t="s">
        <v>873</v>
      </c>
      <c r="B893" s="7" t="s">
        <v>873</v>
      </c>
      <c r="C893" s="7" t="s">
        <v>2256</v>
      </c>
      <c r="D893" s="3">
        <v>35469</v>
      </c>
    </row>
    <row r="894" spans="1:4" x14ac:dyDescent="0.25">
      <c r="A894" s="6" t="s">
        <v>874</v>
      </c>
      <c r="B894" s="6" t="s">
        <v>874</v>
      </c>
      <c r="C894" s="6" t="s">
        <v>2257</v>
      </c>
      <c r="D894" s="2">
        <v>35470</v>
      </c>
    </row>
    <row r="895" spans="1:4" x14ac:dyDescent="0.25">
      <c r="A895" s="7" t="s">
        <v>875</v>
      </c>
      <c r="B895" s="7" t="s">
        <v>875</v>
      </c>
      <c r="C895" s="7" t="s">
        <v>875</v>
      </c>
      <c r="D895" s="3">
        <v>35471</v>
      </c>
    </row>
    <row r="896" spans="1:4" x14ac:dyDescent="0.25">
      <c r="A896" s="6" t="s">
        <v>2902</v>
      </c>
      <c r="B896" s="6" t="s">
        <v>876</v>
      </c>
      <c r="C896" s="6" t="s">
        <v>2258</v>
      </c>
      <c r="D896" s="2">
        <v>35475</v>
      </c>
    </row>
    <row r="897" spans="1:4" x14ac:dyDescent="0.25">
      <c r="A897" s="7" t="s">
        <v>2903</v>
      </c>
      <c r="B897" s="7" t="s">
        <v>877</v>
      </c>
      <c r="C897" s="7" t="s">
        <v>2259</v>
      </c>
      <c r="D897" s="3">
        <v>35484</v>
      </c>
    </row>
    <row r="898" spans="1:4" x14ac:dyDescent="0.25">
      <c r="A898" s="6" t="s">
        <v>2904</v>
      </c>
      <c r="B898" s="6" t="s">
        <v>878</v>
      </c>
      <c r="C898" s="6" t="s">
        <v>2260</v>
      </c>
      <c r="D898" s="2">
        <v>35486</v>
      </c>
    </row>
    <row r="899" spans="1:4" x14ac:dyDescent="0.25">
      <c r="A899" s="7" t="s">
        <v>879</v>
      </c>
      <c r="B899" s="7" t="s">
        <v>879</v>
      </c>
      <c r="C899" s="7" t="s">
        <v>2261</v>
      </c>
      <c r="D899" s="3">
        <v>35487</v>
      </c>
    </row>
    <row r="900" spans="1:4" x14ac:dyDescent="0.25">
      <c r="A900" s="6" t="s">
        <v>880</v>
      </c>
      <c r="B900" s="6" t="s">
        <v>880</v>
      </c>
      <c r="C900" s="6" t="s">
        <v>2262</v>
      </c>
      <c r="D900" s="2">
        <v>35498</v>
      </c>
    </row>
    <row r="901" spans="1:4" x14ac:dyDescent="0.25">
      <c r="A901" s="7" t="s">
        <v>881</v>
      </c>
      <c r="B901" s="7" t="s">
        <v>881</v>
      </c>
      <c r="C901" s="7" t="s">
        <v>2263</v>
      </c>
      <c r="D901" s="3">
        <v>35511</v>
      </c>
    </row>
    <row r="902" spans="1:4" x14ac:dyDescent="0.25">
      <c r="A902" s="6" t="s">
        <v>882</v>
      </c>
      <c r="B902" s="6" t="s">
        <v>882</v>
      </c>
      <c r="C902" s="6" t="s">
        <v>2264</v>
      </c>
      <c r="D902" s="2">
        <v>35512</v>
      </c>
    </row>
    <row r="903" spans="1:4" x14ac:dyDescent="0.25">
      <c r="A903" s="7" t="s">
        <v>883</v>
      </c>
      <c r="B903" s="7" t="s">
        <v>883</v>
      </c>
      <c r="C903" s="7" t="s">
        <v>2265</v>
      </c>
      <c r="D903" s="3">
        <v>35514</v>
      </c>
    </row>
    <row r="904" spans="1:4" x14ac:dyDescent="0.25">
      <c r="A904" s="6" t="s">
        <v>884</v>
      </c>
      <c r="B904" s="6" t="s">
        <v>884</v>
      </c>
      <c r="C904" s="6" t="s">
        <v>1608</v>
      </c>
      <c r="D904" s="2">
        <v>35515</v>
      </c>
    </row>
    <row r="905" spans="1:4" x14ac:dyDescent="0.25">
      <c r="A905" s="7" t="s">
        <v>885</v>
      </c>
      <c r="B905" s="7" t="s">
        <v>885</v>
      </c>
      <c r="C905" s="7" t="s">
        <v>2266</v>
      </c>
      <c r="D905" s="3">
        <v>35516</v>
      </c>
    </row>
    <row r="906" spans="1:4" x14ac:dyDescent="0.25">
      <c r="A906" s="6" t="s">
        <v>886</v>
      </c>
      <c r="B906" s="6" t="s">
        <v>886</v>
      </c>
      <c r="C906" s="6" t="s">
        <v>2267</v>
      </c>
      <c r="D906" s="2">
        <v>35518</v>
      </c>
    </row>
    <row r="907" spans="1:4" x14ac:dyDescent="0.25">
      <c r="A907" s="7" t="s">
        <v>2905</v>
      </c>
      <c r="B907" s="7" t="s">
        <v>887</v>
      </c>
      <c r="C907" s="7" t="s">
        <v>2268</v>
      </c>
      <c r="D907" s="3">
        <v>36110</v>
      </c>
    </row>
    <row r="908" spans="1:4" x14ac:dyDescent="0.25">
      <c r="A908" s="6" t="s">
        <v>2906</v>
      </c>
      <c r="B908" s="6" t="s">
        <v>888</v>
      </c>
      <c r="C908" s="6" t="s">
        <v>888</v>
      </c>
      <c r="D908" s="2">
        <v>36111</v>
      </c>
    </row>
    <row r="909" spans="1:4" x14ac:dyDescent="0.25">
      <c r="A909" s="7" t="s">
        <v>889</v>
      </c>
      <c r="B909" s="7" t="s">
        <v>889</v>
      </c>
      <c r="C909" s="7" t="s">
        <v>2269</v>
      </c>
      <c r="D909" s="3">
        <v>36114</v>
      </c>
    </row>
    <row r="910" spans="1:4" x14ac:dyDescent="0.25">
      <c r="A910" s="6" t="s">
        <v>890</v>
      </c>
      <c r="B910" s="6" t="s">
        <v>890</v>
      </c>
      <c r="C910" s="6" t="s">
        <v>890</v>
      </c>
      <c r="D910" s="2">
        <v>36117</v>
      </c>
    </row>
    <row r="911" spans="1:4" x14ac:dyDescent="0.25">
      <c r="A911" s="7" t="s">
        <v>891</v>
      </c>
      <c r="B911" s="7" t="s">
        <v>891</v>
      </c>
      <c r="C911" s="7" t="s">
        <v>2270</v>
      </c>
      <c r="D911" s="3">
        <v>36121</v>
      </c>
    </row>
    <row r="912" spans="1:4" x14ac:dyDescent="0.25">
      <c r="A912" s="6" t="s">
        <v>892</v>
      </c>
      <c r="B912" s="6" t="s">
        <v>892</v>
      </c>
      <c r="C912" s="6" t="s">
        <v>892</v>
      </c>
      <c r="D912" s="2">
        <v>36124</v>
      </c>
    </row>
    <row r="913" spans="1:4" x14ac:dyDescent="0.25">
      <c r="A913" s="7" t="s">
        <v>893</v>
      </c>
      <c r="B913" s="7" t="s">
        <v>893</v>
      </c>
      <c r="C913" s="7" t="s">
        <v>2271</v>
      </c>
      <c r="D913" s="3">
        <v>36127</v>
      </c>
    </row>
    <row r="914" spans="1:4" x14ac:dyDescent="0.25">
      <c r="A914" s="6" t="s">
        <v>2907</v>
      </c>
      <c r="B914" s="6" t="s">
        <v>894</v>
      </c>
      <c r="C914" s="6" t="s">
        <v>2272</v>
      </c>
      <c r="D914" s="2">
        <v>36131</v>
      </c>
    </row>
    <row r="915" spans="1:4" x14ac:dyDescent="0.25">
      <c r="A915" s="7" t="s">
        <v>895</v>
      </c>
      <c r="B915" s="7" t="s">
        <v>895</v>
      </c>
      <c r="C915" s="7" t="s">
        <v>2273</v>
      </c>
      <c r="D915" s="3">
        <v>36134</v>
      </c>
    </row>
    <row r="916" spans="1:4" x14ac:dyDescent="0.25">
      <c r="A916" s="6" t="s">
        <v>896</v>
      </c>
      <c r="B916" s="6" t="s">
        <v>896</v>
      </c>
      <c r="C916" s="6" t="s">
        <v>896</v>
      </c>
      <c r="D916" s="2">
        <v>36137</v>
      </c>
    </row>
    <row r="917" spans="1:4" x14ac:dyDescent="0.25">
      <c r="A917" s="7" t="s">
        <v>897</v>
      </c>
      <c r="B917" s="7" t="s">
        <v>897</v>
      </c>
      <c r="C917" s="7" t="s">
        <v>2274</v>
      </c>
      <c r="D917" s="3">
        <v>36141</v>
      </c>
    </row>
    <row r="918" spans="1:4" x14ac:dyDescent="0.25">
      <c r="A918" s="6" t="s">
        <v>898</v>
      </c>
      <c r="B918" s="6" t="s">
        <v>898</v>
      </c>
      <c r="C918" s="6" t="s">
        <v>2275</v>
      </c>
      <c r="D918" s="2">
        <v>36144</v>
      </c>
    </row>
    <row r="919" spans="1:4" x14ac:dyDescent="0.25">
      <c r="A919" s="7" t="s">
        <v>899</v>
      </c>
      <c r="B919" s="7" t="s">
        <v>899</v>
      </c>
      <c r="C919" s="7" t="s">
        <v>899</v>
      </c>
      <c r="D919" s="3">
        <v>36147</v>
      </c>
    </row>
    <row r="920" spans="1:4" x14ac:dyDescent="0.25">
      <c r="A920" s="6" t="s">
        <v>900</v>
      </c>
      <c r="B920" s="6" t="s">
        <v>900</v>
      </c>
      <c r="C920" s="6" t="s">
        <v>900</v>
      </c>
      <c r="D920" s="2">
        <v>36151</v>
      </c>
    </row>
    <row r="921" spans="1:4" x14ac:dyDescent="0.25">
      <c r="A921" s="7" t="s">
        <v>901</v>
      </c>
      <c r="B921" s="7" t="s">
        <v>901</v>
      </c>
      <c r="C921" s="7" t="s">
        <v>2276</v>
      </c>
      <c r="D921" s="3">
        <v>36154</v>
      </c>
    </row>
    <row r="922" spans="1:4" x14ac:dyDescent="0.25">
      <c r="A922" s="6" t="s">
        <v>902</v>
      </c>
      <c r="B922" s="6" t="s">
        <v>902</v>
      </c>
      <c r="C922" s="6" t="s">
        <v>2277</v>
      </c>
      <c r="D922" s="2">
        <v>36157</v>
      </c>
    </row>
    <row r="923" spans="1:4" x14ac:dyDescent="0.25">
      <c r="A923" s="7" t="s">
        <v>903</v>
      </c>
      <c r="B923" s="7" t="s">
        <v>903</v>
      </c>
      <c r="C923" s="7" t="s">
        <v>2278</v>
      </c>
      <c r="D923" s="3">
        <v>36161</v>
      </c>
    </row>
    <row r="924" spans="1:4" x14ac:dyDescent="0.25">
      <c r="A924" s="6" t="s">
        <v>904</v>
      </c>
      <c r="B924" s="6" t="s">
        <v>904</v>
      </c>
      <c r="C924" s="6" t="s">
        <v>2279</v>
      </c>
      <c r="D924" s="2">
        <v>36164</v>
      </c>
    </row>
    <row r="925" spans="1:4" x14ac:dyDescent="0.25">
      <c r="A925" s="7" t="s">
        <v>905</v>
      </c>
      <c r="B925" s="7" t="s">
        <v>905</v>
      </c>
      <c r="C925" s="7" t="s">
        <v>2280</v>
      </c>
      <c r="D925" s="3">
        <v>36171</v>
      </c>
    </row>
    <row r="926" spans="1:4" x14ac:dyDescent="0.25">
      <c r="A926" s="6" t="s">
        <v>906</v>
      </c>
      <c r="B926" s="6" t="s">
        <v>906</v>
      </c>
      <c r="C926" s="6" t="s">
        <v>2281</v>
      </c>
      <c r="D926" s="2">
        <v>36177</v>
      </c>
    </row>
    <row r="927" spans="1:4" x14ac:dyDescent="0.25">
      <c r="A927" s="7" t="s">
        <v>907</v>
      </c>
      <c r="B927" s="7" t="s">
        <v>907</v>
      </c>
      <c r="C927" s="7" t="s">
        <v>2282</v>
      </c>
      <c r="D927" s="3">
        <v>36181</v>
      </c>
    </row>
    <row r="928" spans="1:4" x14ac:dyDescent="0.25">
      <c r="A928" s="6" t="s">
        <v>908</v>
      </c>
      <c r="B928" s="6" t="s">
        <v>908</v>
      </c>
      <c r="C928" s="6" t="s">
        <v>2283</v>
      </c>
      <c r="D928" s="2">
        <v>36184</v>
      </c>
    </row>
    <row r="929" spans="1:4" x14ac:dyDescent="0.25">
      <c r="A929" s="7" t="s">
        <v>909</v>
      </c>
      <c r="B929" s="7" t="s">
        <v>909</v>
      </c>
      <c r="C929" s="7" t="s">
        <v>909</v>
      </c>
      <c r="D929" s="3">
        <v>36187</v>
      </c>
    </row>
    <row r="930" spans="1:4" x14ac:dyDescent="0.25">
      <c r="A930" s="6" t="s">
        <v>910</v>
      </c>
      <c r="B930" s="6" t="s">
        <v>910</v>
      </c>
      <c r="C930" s="6" t="s">
        <v>2284</v>
      </c>
      <c r="D930" s="2">
        <v>36191</v>
      </c>
    </row>
    <row r="931" spans="1:4" x14ac:dyDescent="0.25">
      <c r="A931" s="7" t="s">
        <v>1563</v>
      </c>
      <c r="B931" s="7" t="s">
        <v>87</v>
      </c>
      <c r="C931" s="7" t="s">
        <v>87</v>
      </c>
      <c r="D931" s="3">
        <v>37001</v>
      </c>
    </row>
    <row r="932" spans="1:4" x14ac:dyDescent="0.25">
      <c r="A932" s="6" t="s">
        <v>1563</v>
      </c>
      <c r="B932" s="6" t="s">
        <v>87</v>
      </c>
      <c r="C932" s="6" t="s">
        <v>87</v>
      </c>
      <c r="D932" s="2">
        <v>37002</v>
      </c>
    </row>
    <row r="933" spans="1:4" x14ac:dyDescent="0.25">
      <c r="A933" s="7" t="s">
        <v>1563</v>
      </c>
      <c r="B933" s="7" t="s">
        <v>87</v>
      </c>
      <c r="C933" s="7" t="s">
        <v>87</v>
      </c>
      <c r="D933" s="3">
        <v>37003</v>
      </c>
    </row>
    <row r="934" spans="1:4" x14ac:dyDescent="0.25">
      <c r="A934" s="6" t="s">
        <v>1563</v>
      </c>
      <c r="B934" s="6" t="s">
        <v>87</v>
      </c>
      <c r="C934" s="6" t="s">
        <v>87</v>
      </c>
      <c r="D934" s="2">
        <v>37004</v>
      </c>
    </row>
    <row r="935" spans="1:4" x14ac:dyDescent="0.25">
      <c r="A935" s="7" t="s">
        <v>1563</v>
      </c>
      <c r="B935" s="7" t="s">
        <v>87</v>
      </c>
      <c r="C935" s="7" t="s">
        <v>87</v>
      </c>
      <c r="D935" s="3">
        <v>37005</v>
      </c>
    </row>
    <row r="936" spans="1:4" x14ac:dyDescent="0.25">
      <c r="A936" s="6" t="s">
        <v>1563</v>
      </c>
      <c r="B936" s="6" t="s">
        <v>87</v>
      </c>
      <c r="C936" s="6" t="s">
        <v>87</v>
      </c>
      <c r="D936" s="2">
        <v>37006</v>
      </c>
    </row>
    <row r="937" spans="1:4" x14ac:dyDescent="0.25">
      <c r="A937" s="7" t="s">
        <v>911</v>
      </c>
      <c r="B937" s="7" t="s">
        <v>911</v>
      </c>
      <c r="C937" s="7" t="s">
        <v>2285</v>
      </c>
      <c r="D937" s="3">
        <v>37231</v>
      </c>
    </row>
    <row r="938" spans="1:4" x14ac:dyDescent="0.25">
      <c r="A938" s="6" t="s">
        <v>912</v>
      </c>
      <c r="B938" s="6" t="s">
        <v>912</v>
      </c>
      <c r="C938" s="6" t="s">
        <v>2286</v>
      </c>
      <c r="D938" s="2">
        <v>37241</v>
      </c>
    </row>
    <row r="939" spans="1:4" x14ac:dyDescent="0.25">
      <c r="A939" s="7" t="s">
        <v>2908</v>
      </c>
      <c r="B939" s="7" t="s">
        <v>913</v>
      </c>
      <c r="C939" s="7" t="s">
        <v>2287</v>
      </c>
      <c r="D939" s="3">
        <v>37251</v>
      </c>
    </row>
    <row r="940" spans="1:4" x14ac:dyDescent="0.25">
      <c r="A940" s="6" t="s">
        <v>914</v>
      </c>
      <c r="B940" s="6" t="s">
        <v>914</v>
      </c>
      <c r="C940" s="6" t="s">
        <v>914</v>
      </c>
      <c r="D940" s="2">
        <v>37261</v>
      </c>
    </row>
    <row r="941" spans="1:4" x14ac:dyDescent="0.25">
      <c r="A941" s="7" t="s">
        <v>915</v>
      </c>
      <c r="B941" s="7" t="s">
        <v>915</v>
      </c>
      <c r="C941" s="7" t="s">
        <v>2288</v>
      </c>
      <c r="D941" s="3">
        <v>37271</v>
      </c>
    </row>
    <row r="942" spans="1:4" x14ac:dyDescent="0.25">
      <c r="A942" s="6" t="s">
        <v>2909</v>
      </c>
      <c r="B942" s="6" t="s">
        <v>916</v>
      </c>
      <c r="C942" s="6" t="s">
        <v>2255</v>
      </c>
      <c r="D942" s="2">
        <v>37281</v>
      </c>
    </row>
    <row r="943" spans="1:4" x14ac:dyDescent="0.25">
      <c r="A943" s="7" t="s">
        <v>917</v>
      </c>
      <c r="B943" s="7" t="s">
        <v>917</v>
      </c>
      <c r="C943" s="7" t="s">
        <v>2289</v>
      </c>
      <c r="D943" s="3">
        <v>37291</v>
      </c>
    </row>
    <row r="944" spans="1:4" x14ac:dyDescent="0.25">
      <c r="A944" s="6" t="s">
        <v>2910</v>
      </c>
      <c r="B944" s="6" t="s">
        <v>918</v>
      </c>
      <c r="C944" s="6" t="s">
        <v>2290</v>
      </c>
      <c r="D944" s="2">
        <v>37311</v>
      </c>
    </row>
    <row r="945" spans="1:4" x14ac:dyDescent="0.25">
      <c r="A945" s="7" t="s">
        <v>919</v>
      </c>
      <c r="B945" s="7" t="s">
        <v>919</v>
      </c>
      <c r="C945" s="7" t="s">
        <v>2291</v>
      </c>
      <c r="D945" s="3">
        <v>37313</v>
      </c>
    </row>
    <row r="946" spans="1:4" x14ac:dyDescent="0.25">
      <c r="A946" s="6" t="s">
        <v>920</v>
      </c>
      <c r="B946" s="6" t="s">
        <v>920</v>
      </c>
      <c r="C946" s="6" t="s">
        <v>920</v>
      </c>
      <c r="D946" s="2">
        <v>37314</v>
      </c>
    </row>
    <row r="947" spans="1:4" x14ac:dyDescent="0.25">
      <c r="A947" s="7" t="s">
        <v>2911</v>
      </c>
      <c r="B947" s="7" t="s">
        <v>921</v>
      </c>
      <c r="C947" s="7" t="s">
        <v>2292</v>
      </c>
      <c r="D947" s="3">
        <v>37315</v>
      </c>
    </row>
    <row r="948" spans="1:4" x14ac:dyDescent="0.25">
      <c r="A948" s="6" t="s">
        <v>922</v>
      </c>
      <c r="B948" s="6" t="s">
        <v>922</v>
      </c>
      <c r="C948" s="6" t="s">
        <v>2293</v>
      </c>
      <c r="D948" s="2">
        <v>37317</v>
      </c>
    </row>
    <row r="949" spans="1:4" x14ac:dyDescent="0.25">
      <c r="A949" s="7" t="s">
        <v>923</v>
      </c>
      <c r="B949" s="7" t="s">
        <v>923</v>
      </c>
      <c r="C949" s="7" t="s">
        <v>2294</v>
      </c>
      <c r="D949" s="3">
        <v>37319</v>
      </c>
    </row>
    <row r="950" spans="1:4" x14ac:dyDescent="0.25">
      <c r="A950" s="6" t="s">
        <v>2912</v>
      </c>
      <c r="B950" s="6" t="s">
        <v>924</v>
      </c>
      <c r="C950" s="6" t="s">
        <v>2295</v>
      </c>
      <c r="D950" s="2">
        <v>37321</v>
      </c>
    </row>
    <row r="951" spans="1:4" x14ac:dyDescent="0.25">
      <c r="A951" s="7" t="s">
        <v>925</v>
      </c>
      <c r="B951" s="7" t="s">
        <v>925</v>
      </c>
      <c r="C951" s="7" t="s">
        <v>2296</v>
      </c>
      <c r="D951" s="3">
        <v>37323</v>
      </c>
    </row>
    <row r="952" spans="1:4" x14ac:dyDescent="0.25">
      <c r="A952" s="6" t="s">
        <v>926</v>
      </c>
      <c r="B952" s="6" t="s">
        <v>926</v>
      </c>
      <c r="C952" s="6" t="s">
        <v>2297</v>
      </c>
      <c r="D952" s="2">
        <v>37325</v>
      </c>
    </row>
    <row r="953" spans="1:4" x14ac:dyDescent="0.25">
      <c r="A953" s="7" t="s">
        <v>2913</v>
      </c>
      <c r="B953" s="7" t="s">
        <v>927</v>
      </c>
      <c r="C953" s="7" t="s">
        <v>927</v>
      </c>
      <c r="D953" s="3">
        <v>37327</v>
      </c>
    </row>
    <row r="954" spans="1:4" x14ac:dyDescent="0.25">
      <c r="A954" s="6" t="s">
        <v>928</v>
      </c>
      <c r="B954" s="6" t="s">
        <v>928</v>
      </c>
      <c r="C954" s="6" t="s">
        <v>2298</v>
      </c>
      <c r="D954" s="2">
        <v>37329</v>
      </c>
    </row>
    <row r="955" spans="1:4" x14ac:dyDescent="0.25">
      <c r="A955" s="7" t="s">
        <v>929</v>
      </c>
      <c r="B955" s="7" t="s">
        <v>929</v>
      </c>
      <c r="C955" s="7" t="s">
        <v>2299</v>
      </c>
      <c r="D955" s="3">
        <v>37331</v>
      </c>
    </row>
    <row r="956" spans="1:4" x14ac:dyDescent="0.25">
      <c r="A956" s="6" t="s">
        <v>2914</v>
      </c>
      <c r="B956" s="6" t="s">
        <v>930</v>
      </c>
      <c r="C956" s="6" t="s">
        <v>2300</v>
      </c>
      <c r="D956" s="2">
        <v>37333</v>
      </c>
    </row>
    <row r="957" spans="1:4" x14ac:dyDescent="0.25">
      <c r="A957" s="7" t="s">
        <v>2915</v>
      </c>
      <c r="B957" s="7" t="s">
        <v>931</v>
      </c>
      <c r="C957" s="7" t="s">
        <v>2301</v>
      </c>
      <c r="D957" s="3">
        <v>37335</v>
      </c>
    </row>
    <row r="958" spans="1:4" x14ac:dyDescent="0.25">
      <c r="A958" s="6" t="s">
        <v>2916</v>
      </c>
      <c r="B958" s="6" t="s">
        <v>932</v>
      </c>
      <c r="C958" s="6" t="s">
        <v>2302</v>
      </c>
      <c r="D958" s="2">
        <v>37337</v>
      </c>
    </row>
    <row r="959" spans="1:4" x14ac:dyDescent="0.25">
      <c r="A959" s="7" t="s">
        <v>933</v>
      </c>
      <c r="B959" s="7" t="s">
        <v>933</v>
      </c>
      <c r="C959" s="7" t="s">
        <v>2303</v>
      </c>
      <c r="D959" s="3">
        <v>37339</v>
      </c>
    </row>
    <row r="960" spans="1:4" x14ac:dyDescent="0.25">
      <c r="A960" s="6" t="s">
        <v>934</v>
      </c>
      <c r="B960" s="6" t="s">
        <v>934</v>
      </c>
      <c r="C960" s="6" t="s">
        <v>934</v>
      </c>
      <c r="D960" s="2">
        <v>37341</v>
      </c>
    </row>
    <row r="961" spans="1:4" x14ac:dyDescent="0.25">
      <c r="A961" s="7" t="s">
        <v>935</v>
      </c>
      <c r="B961" s="7" t="s">
        <v>935</v>
      </c>
      <c r="C961" s="7" t="s">
        <v>935</v>
      </c>
      <c r="D961" s="3">
        <v>37343</v>
      </c>
    </row>
    <row r="962" spans="1:4" x14ac:dyDescent="0.25">
      <c r="A962" s="6" t="s">
        <v>936</v>
      </c>
      <c r="B962" s="6" t="s">
        <v>936</v>
      </c>
      <c r="C962" s="6" t="s">
        <v>936</v>
      </c>
      <c r="D962" s="2">
        <v>37344</v>
      </c>
    </row>
    <row r="963" spans="1:4" x14ac:dyDescent="0.25">
      <c r="A963" s="7" t="s">
        <v>937</v>
      </c>
      <c r="B963" s="7" t="s">
        <v>937</v>
      </c>
      <c r="C963" s="7" t="s">
        <v>2304</v>
      </c>
      <c r="D963" s="3">
        <v>37345</v>
      </c>
    </row>
    <row r="964" spans="1:4" x14ac:dyDescent="0.25">
      <c r="A964" s="6" t="s">
        <v>938</v>
      </c>
      <c r="B964" s="6" t="s">
        <v>938</v>
      </c>
      <c r="C964" s="6" t="s">
        <v>2305</v>
      </c>
      <c r="D964" s="2">
        <v>37347</v>
      </c>
    </row>
    <row r="965" spans="1:4" x14ac:dyDescent="0.25">
      <c r="A965" s="7" t="s">
        <v>939</v>
      </c>
      <c r="B965" s="7" t="s">
        <v>939</v>
      </c>
      <c r="C965" s="7" t="s">
        <v>2306</v>
      </c>
      <c r="D965" s="3">
        <v>37349</v>
      </c>
    </row>
    <row r="966" spans="1:4" x14ac:dyDescent="0.25">
      <c r="A966" s="6" t="s">
        <v>940</v>
      </c>
      <c r="B966" s="6" t="s">
        <v>940</v>
      </c>
      <c r="C966" s="6" t="s">
        <v>2307</v>
      </c>
      <c r="D966" s="2">
        <v>37351</v>
      </c>
    </row>
    <row r="967" spans="1:4" x14ac:dyDescent="0.25">
      <c r="A967" s="7" t="s">
        <v>941</v>
      </c>
      <c r="B967" s="7" t="s">
        <v>941</v>
      </c>
      <c r="C967" s="7" t="s">
        <v>941</v>
      </c>
      <c r="D967" s="3">
        <v>37353</v>
      </c>
    </row>
    <row r="968" spans="1:4" x14ac:dyDescent="0.25">
      <c r="A968" s="6" t="s">
        <v>2917</v>
      </c>
      <c r="B968" s="6" t="s">
        <v>942</v>
      </c>
      <c r="C968" s="6" t="s">
        <v>2308</v>
      </c>
      <c r="D968" s="2">
        <v>37355</v>
      </c>
    </row>
    <row r="969" spans="1:4" x14ac:dyDescent="0.25">
      <c r="A969" s="7" t="s">
        <v>943</v>
      </c>
      <c r="B969" s="7" t="s">
        <v>943</v>
      </c>
      <c r="C969" s="7" t="s">
        <v>943</v>
      </c>
      <c r="D969" s="3">
        <v>37356</v>
      </c>
    </row>
    <row r="970" spans="1:4" x14ac:dyDescent="0.25">
      <c r="A970" s="6" t="s">
        <v>944</v>
      </c>
      <c r="B970" s="6" t="s">
        <v>944</v>
      </c>
      <c r="C970" s="6" t="s">
        <v>944</v>
      </c>
      <c r="D970" s="2">
        <v>37357</v>
      </c>
    </row>
    <row r="971" spans="1:4" x14ac:dyDescent="0.25">
      <c r="A971" s="7" t="s">
        <v>945</v>
      </c>
      <c r="B971" s="7" t="s">
        <v>945</v>
      </c>
      <c r="C971" s="7" t="s">
        <v>2309</v>
      </c>
      <c r="D971" s="3">
        <v>37358</v>
      </c>
    </row>
    <row r="972" spans="1:4" x14ac:dyDescent="0.25">
      <c r="A972" s="6" t="s">
        <v>946</v>
      </c>
      <c r="B972" s="6" t="s">
        <v>946</v>
      </c>
      <c r="C972" s="6" t="s">
        <v>2310</v>
      </c>
      <c r="D972" s="2">
        <v>37359</v>
      </c>
    </row>
    <row r="973" spans="1:4" x14ac:dyDescent="0.25">
      <c r="A973" s="7" t="s">
        <v>947</v>
      </c>
      <c r="B973" s="7" t="s">
        <v>947</v>
      </c>
      <c r="C973" s="7" t="s">
        <v>947</v>
      </c>
      <c r="D973" s="3">
        <v>37360</v>
      </c>
    </row>
    <row r="974" spans="1:4" x14ac:dyDescent="0.25">
      <c r="A974" s="6" t="s">
        <v>948</v>
      </c>
      <c r="B974" s="6" t="s">
        <v>948</v>
      </c>
      <c r="C974" s="6" t="s">
        <v>2311</v>
      </c>
      <c r="D974" s="2">
        <v>37361</v>
      </c>
    </row>
    <row r="975" spans="1:4" x14ac:dyDescent="0.25">
      <c r="A975" s="7" t="s">
        <v>949</v>
      </c>
      <c r="B975" s="7" t="s">
        <v>949</v>
      </c>
      <c r="C975" s="7" t="s">
        <v>2312</v>
      </c>
      <c r="D975" s="3">
        <v>37362</v>
      </c>
    </row>
    <row r="976" spans="1:4" x14ac:dyDescent="0.25">
      <c r="A976" s="6" t="s">
        <v>950</v>
      </c>
      <c r="B976" s="6" t="s">
        <v>950</v>
      </c>
      <c r="C976" s="6" t="s">
        <v>2313</v>
      </c>
      <c r="D976" s="2">
        <v>37363</v>
      </c>
    </row>
    <row r="977" spans="1:4" x14ac:dyDescent="0.25">
      <c r="A977" s="7" t="s">
        <v>951</v>
      </c>
      <c r="B977" s="7" t="s">
        <v>951</v>
      </c>
      <c r="C977" s="7" t="s">
        <v>951</v>
      </c>
      <c r="D977" s="3">
        <v>37365</v>
      </c>
    </row>
    <row r="978" spans="1:4" x14ac:dyDescent="0.25">
      <c r="A978" s="6" t="s">
        <v>952</v>
      </c>
      <c r="B978" s="6" t="s">
        <v>952</v>
      </c>
      <c r="C978" s="6" t="s">
        <v>2314</v>
      </c>
      <c r="D978" s="2">
        <v>37367</v>
      </c>
    </row>
    <row r="979" spans="1:4" x14ac:dyDescent="0.25">
      <c r="A979" s="7" t="s">
        <v>953</v>
      </c>
      <c r="B979" s="7" t="s">
        <v>953</v>
      </c>
      <c r="C979" s="7" t="s">
        <v>2315</v>
      </c>
      <c r="D979" s="3">
        <v>37369</v>
      </c>
    </row>
    <row r="980" spans="1:4" x14ac:dyDescent="0.25">
      <c r="A980" s="6" t="s">
        <v>954</v>
      </c>
      <c r="B980" s="6" t="s">
        <v>954</v>
      </c>
      <c r="C980" s="6" t="s">
        <v>2316</v>
      </c>
      <c r="D980" s="2">
        <v>37371</v>
      </c>
    </row>
    <row r="981" spans="1:4" x14ac:dyDescent="0.25">
      <c r="A981" s="7" t="s">
        <v>955</v>
      </c>
      <c r="B981" s="7" t="s">
        <v>955</v>
      </c>
      <c r="C981" s="7" t="s">
        <v>2317</v>
      </c>
      <c r="D981" s="3">
        <v>37373</v>
      </c>
    </row>
    <row r="982" spans="1:4" x14ac:dyDescent="0.25">
      <c r="A982" s="6" t="s">
        <v>956</v>
      </c>
      <c r="B982" s="6" t="s">
        <v>956</v>
      </c>
      <c r="C982" s="6" t="s">
        <v>2318</v>
      </c>
      <c r="D982" s="2">
        <v>37375</v>
      </c>
    </row>
    <row r="983" spans="1:4" x14ac:dyDescent="0.25">
      <c r="A983" s="7" t="s">
        <v>957</v>
      </c>
      <c r="B983" s="7" t="s">
        <v>957</v>
      </c>
      <c r="C983" s="7" t="s">
        <v>2319</v>
      </c>
      <c r="D983" s="3">
        <v>37377</v>
      </c>
    </row>
    <row r="984" spans="1:4" x14ac:dyDescent="0.25">
      <c r="A984" s="6" t="s">
        <v>958</v>
      </c>
      <c r="B984" s="6" t="s">
        <v>958</v>
      </c>
      <c r="C984" s="6" t="s">
        <v>2320</v>
      </c>
      <c r="D984" s="2">
        <v>37379</v>
      </c>
    </row>
    <row r="985" spans="1:4" x14ac:dyDescent="0.25">
      <c r="A985" s="7" t="s">
        <v>959</v>
      </c>
      <c r="B985" s="7" t="s">
        <v>959</v>
      </c>
      <c r="C985" s="7" t="s">
        <v>2321</v>
      </c>
      <c r="D985" s="3">
        <v>37381</v>
      </c>
    </row>
    <row r="986" spans="1:4" x14ac:dyDescent="0.25">
      <c r="A986" s="6" t="s">
        <v>960</v>
      </c>
      <c r="B986" s="6" t="s">
        <v>960</v>
      </c>
      <c r="C986" s="6" t="s">
        <v>2322</v>
      </c>
      <c r="D986" s="2">
        <v>37382</v>
      </c>
    </row>
    <row r="987" spans="1:4" x14ac:dyDescent="0.25">
      <c r="A987" s="7" t="s">
        <v>961</v>
      </c>
      <c r="B987" s="7" t="s">
        <v>961</v>
      </c>
      <c r="C987" s="7" t="s">
        <v>2323</v>
      </c>
      <c r="D987" s="3">
        <v>37383</v>
      </c>
    </row>
    <row r="988" spans="1:4" x14ac:dyDescent="0.25">
      <c r="A988" s="6" t="s">
        <v>962</v>
      </c>
      <c r="B988" s="6" t="s">
        <v>962</v>
      </c>
      <c r="C988" s="6" t="s">
        <v>2324</v>
      </c>
      <c r="D988" s="2">
        <v>37385</v>
      </c>
    </row>
    <row r="989" spans="1:4" x14ac:dyDescent="0.25">
      <c r="A989" s="7" t="s">
        <v>2918</v>
      </c>
      <c r="B989" s="7" t="s">
        <v>963</v>
      </c>
      <c r="C989" s="7" t="s">
        <v>2325</v>
      </c>
      <c r="D989" s="3">
        <v>37387</v>
      </c>
    </row>
    <row r="990" spans="1:4" x14ac:dyDescent="0.25">
      <c r="A990" s="6" t="s">
        <v>964</v>
      </c>
      <c r="B990" s="6" t="s">
        <v>964</v>
      </c>
      <c r="C990" s="6" t="s">
        <v>2326</v>
      </c>
      <c r="D990" s="2">
        <v>37389</v>
      </c>
    </row>
    <row r="991" spans="1:4" x14ac:dyDescent="0.25">
      <c r="A991" s="7" t="s">
        <v>965</v>
      </c>
      <c r="B991" s="7" t="s">
        <v>965</v>
      </c>
      <c r="C991" s="7" t="s">
        <v>2327</v>
      </c>
      <c r="D991" s="3">
        <v>37391</v>
      </c>
    </row>
    <row r="992" spans="1:4" x14ac:dyDescent="0.25">
      <c r="A992" s="6" t="s">
        <v>966</v>
      </c>
      <c r="B992" s="6" t="s">
        <v>966</v>
      </c>
      <c r="C992" s="6" t="s">
        <v>966</v>
      </c>
      <c r="D992" s="2">
        <v>37395</v>
      </c>
    </row>
    <row r="993" spans="1:4" x14ac:dyDescent="0.25">
      <c r="A993" s="7" t="s">
        <v>1563</v>
      </c>
      <c r="B993" s="7" t="s">
        <v>87</v>
      </c>
      <c r="C993" s="7" t="s">
        <v>87</v>
      </c>
      <c r="D993" s="3">
        <v>51001</v>
      </c>
    </row>
    <row r="994" spans="1:4" x14ac:dyDescent="0.25">
      <c r="A994" s="6" t="s">
        <v>2919</v>
      </c>
      <c r="B994" s="6" t="s">
        <v>967</v>
      </c>
      <c r="C994" s="6" t="s">
        <v>2328</v>
      </c>
      <c r="D994" s="2">
        <v>51111</v>
      </c>
    </row>
    <row r="995" spans="1:4" x14ac:dyDescent="0.25">
      <c r="A995" s="7" t="s">
        <v>2920</v>
      </c>
      <c r="B995" s="7" t="s">
        <v>968</v>
      </c>
      <c r="C995" s="7" t="s">
        <v>2329</v>
      </c>
      <c r="D995" s="3">
        <v>51113</v>
      </c>
    </row>
    <row r="996" spans="1:4" x14ac:dyDescent="0.25">
      <c r="A996" s="6" t="s">
        <v>2921</v>
      </c>
      <c r="B996" s="6" t="s">
        <v>969</v>
      </c>
      <c r="C996" s="6" t="s">
        <v>2330</v>
      </c>
      <c r="D996" s="2">
        <v>51115</v>
      </c>
    </row>
    <row r="997" spans="1:4" x14ac:dyDescent="0.25">
      <c r="A997" s="7" t="s">
        <v>2922</v>
      </c>
      <c r="B997" s="7" t="s">
        <v>970</v>
      </c>
      <c r="C997" s="7" t="s">
        <v>2331</v>
      </c>
      <c r="D997" s="3">
        <v>51117</v>
      </c>
    </row>
    <row r="998" spans="1:4" x14ac:dyDescent="0.25">
      <c r="A998" s="6" t="s">
        <v>2923</v>
      </c>
      <c r="B998" s="6" t="s">
        <v>971</v>
      </c>
      <c r="C998" s="6" t="s">
        <v>2332</v>
      </c>
      <c r="D998" s="2">
        <v>51119</v>
      </c>
    </row>
    <row r="999" spans="1:4" x14ac:dyDescent="0.25">
      <c r="A999" s="7" t="s">
        <v>2924</v>
      </c>
      <c r="B999" s="7" t="s">
        <v>972</v>
      </c>
      <c r="C999" s="7" t="s">
        <v>2333</v>
      </c>
      <c r="D999" s="3">
        <v>51121</v>
      </c>
    </row>
    <row r="1000" spans="1:4" x14ac:dyDescent="0.25">
      <c r="A1000" s="6" t="s">
        <v>2925</v>
      </c>
      <c r="B1000" s="6" t="s">
        <v>973</v>
      </c>
      <c r="C1000" s="6" t="s">
        <v>973</v>
      </c>
      <c r="D1000" s="2">
        <v>51123</v>
      </c>
    </row>
    <row r="1001" spans="1:4" x14ac:dyDescent="0.25">
      <c r="A1001" s="7" t="s">
        <v>2926</v>
      </c>
      <c r="B1001" s="7" t="s">
        <v>974</v>
      </c>
      <c r="C1001" s="7" t="s">
        <v>2334</v>
      </c>
      <c r="D1001" s="3">
        <v>51125</v>
      </c>
    </row>
    <row r="1002" spans="1:4" x14ac:dyDescent="0.25">
      <c r="A1002" s="6" t="s">
        <v>2927</v>
      </c>
      <c r="B1002" s="6" t="s">
        <v>975</v>
      </c>
      <c r="C1002" s="6" t="s">
        <v>2335</v>
      </c>
      <c r="D1002" s="2">
        <v>51127</v>
      </c>
    </row>
    <row r="1003" spans="1:4" x14ac:dyDescent="0.25">
      <c r="A1003" s="7" t="s">
        <v>2928</v>
      </c>
      <c r="B1003" s="7" t="s">
        <v>976</v>
      </c>
      <c r="C1003" s="7" t="s">
        <v>2336</v>
      </c>
      <c r="D1003" s="3">
        <v>51129</v>
      </c>
    </row>
    <row r="1004" spans="1:4" x14ac:dyDescent="0.25">
      <c r="A1004" s="6" t="s">
        <v>2929</v>
      </c>
      <c r="B1004" s="6" t="s">
        <v>977</v>
      </c>
      <c r="C1004" s="6" t="s">
        <v>2337</v>
      </c>
      <c r="D1004" s="2">
        <v>51131</v>
      </c>
    </row>
    <row r="1005" spans="1:4" x14ac:dyDescent="0.25">
      <c r="A1005" s="7" t="s">
        <v>2930</v>
      </c>
      <c r="B1005" s="7" t="s">
        <v>978</v>
      </c>
      <c r="C1005" s="7" t="s">
        <v>2338</v>
      </c>
      <c r="D1005" s="3">
        <v>51133</v>
      </c>
    </row>
    <row r="1006" spans="1:4" x14ac:dyDescent="0.25">
      <c r="A1006" s="6" t="s">
        <v>2931</v>
      </c>
      <c r="B1006" s="6" t="s">
        <v>979</v>
      </c>
      <c r="C1006" s="6" t="s">
        <v>979</v>
      </c>
      <c r="D1006" s="2">
        <v>51135</v>
      </c>
    </row>
    <row r="1007" spans="1:4" x14ac:dyDescent="0.25">
      <c r="A1007" s="7" t="s">
        <v>980</v>
      </c>
      <c r="B1007" s="7" t="s">
        <v>980</v>
      </c>
      <c r="C1007" s="7" t="s">
        <v>980</v>
      </c>
      <c r="D1007" s="3">
        <v>51139</v>
      </c>
    </row>
    <row r="1008" spans="1:4" x14ac:dyDescent="0.25">
      <c r="A1008" s="6" t="s">
        <v>2932</v>
      </c>
      <c r="B1008" s="6" t="s">
        <v>981</v>
      </c>
      <c r="C1008" s="6" t="s">
        <v>2339</v>
      </c>
      <c r="D1008" s="2">
        <v>51145</v>
      </c>
    </row>
    <row r="1009" spans="1:4" x14ac:dyDescent="0.25">
      <c r="A1009" s="7" t="s">
        <v>982</v>
      </c>
      <c r="B1009" s="7" t="s">
        <v>982</v>
      </c>
      <c r="C1009" s="7" t="s">
        <v>2340</v>
      </c>
      <c r="D1009" s="3">
        <v>51151</v>
      </c>
    </row>
    <row r="1010" spans="1:4" x14ac:dyDescent="0.25">
      <c r="A1010" s="6" t="s">
        <v>983</v>
      </c>
      <c r="B1010" s="6" t="s">
        <v>983</v>
      </c>
      <c r="C1010" s="6" t="s">
        <v>2341</v>
      </c>
      <c r="D1010" s="2">
        <v>51157</v>
      </c>
    </row>
    <row r="1011" spans="1:4" x14ac:dyDescent="0.25">
      <c r="A1011" s="7" t="s">
        <v>984</v>
      </c>
      <c r="B1011" s="7" t="s">
        <v>984</v>
      </c>
      <c r="C1011" s="7" t="s">
        <v>984</v>
      </c>
      <c r="D1011" s="3">
        <v>51163</v>
      </c>
    </row>
    <row r="1012" spans="1:4" x14ac:dyDescent="0.25">
      <c r="A1012" s="6" t="s">
        <v>985</v>
      </c>
      <c r="B1012" s="6" t="s">
        <v>985</v>
      </c>
      <c r="C1012" s="6" t="s">
        <v>2342</v>
      </c>
      <c r="D1012" s="2">
        <v>51173</v>
      </c>
    </row>
    <row r="1013" spans="1:4" x14ac:dyDescent="0.25">
      <c r="A1013" s="7" t="s">
        <v>2933</v>
      </c>
      <c r="B1013" s="7" t="s">
        <v>986</v>
      </c>
      <c r="C1013" s="7" t="s">
        <v>1783</v>
      </c>
      <c r="D1013" s="3">
        <v>51177</v>
      </c>
    </row>
    <row r="1014" spans="1:4" x14ac:dyDescent="0.25">
      <c r="A1014" s="6" t="s">
        <v>987</v>
      </c>
      <c r="B1014" s="6" t="s">
        <v>987</v>
      </c>
      <c r="C1014" s="6" t="s">
        <v>987</v>
      </c>
      <c r="D1014" s="2">
        <v>51184</v>
      </c>
    </row>
    <row r="1015" spans="1:4" x14ac:dyDescent="0.25">
      <c r="A1015" s="7" t="s">
        <v>2934</v>
      </c>
      <c r="B1015" s="7" t="s">
        <v>988</v>
      </c>
      <c r="C1015" s="7" t="s">
        <v>2343</v>
      </c>
      <c r="D1015" s="3">
        <v>51185</v>
      </c>
    </row>
    <row r="1016" spans="1:4" x14ac:dyDescent="0.25">
      <c r="A1016" s="6" t="s">
        <v>989</v>
      </c>
      <c r="B1016" s="6" t="s">
        <v>989</v>
      </c>
      <c r="C1016" s="6" t="s">
        <v>2344</v>
      </c>
      <c r="D1016" s="2">
        <v>51189</v>
      </c>
    </row>
    <row r="1017" spans="1:4" x14ac:dyDescent="0.25">
      <c r="A1017" s="7" t="s">
        <v>990</v>
      </c>
      <c r="B1017" s="7" t="s">
        <v>990</v>
      </c>
      <c r="C1017" s="7" t="s">
        <v>990</v>
      </c>
      <c r="D1017" s="3">
        <v>51211</v>
      </c>
    </row>
    <row r="1018" spans="1:4" x14ac:dyDescent="0.25">
      <c r="A1018" s="6" t="s">
        <v>991</v>
      </c>
      <c r="B1018" s="6" t="s">
        <v>991</v>
      </c>
      <c r="C1018" s="6" t="s">
        <v>2345</v>
      </c>
      <c r="D1018" s="2">
        <v>51214</v>
      </c>
    </row>
    <row r="1019" spans="1:4" x14ac:dyDescent="0.25">
      <c r="A1019" s="7" t="s">
        <v>2935</v>
      </c>
      <c r="B1019" s="7" t="s">
        <v>992</v>
      </c>
      <c r="C1019" s="7" t="s">
        <v>992</v>
      </c>
      <c r="D1019" s="3">
        <v>51217</v>
      </c>
    </row>
    <row r="1020" spans="1:4" x14ac:dyDescent="0.25">
      <c r="A1020" s="6" t="s">
        <v>993</v>
      </c>
      <c r="B1020" s="6" t="s">
        <v>993</v>
      </c>
      <c r="C1020" s="6" t="s">
        <v>2346</v>
      </c>
      <c r="D1020" s="2">
        <v>51221</v>
      </c>
    </row>
    <row r="1021" spans="1:4" x14ac:dyDescent="0.25">
      <c r="A1021" s="7" t="s">
        <v>994</v>
      </c>
      <c r="B1021" s="7" t="s">
        <v>994</v>
      </c>
      <c r="C1021" s="7" t="s">
        <v>2347</v>
      </c>
      <c r="D1021" s="3">
        <v>51224</v>
      </c>
    </row>
    <row r="1022" spans="1:4" x14ac:dyDescent="0.25">
      <c r="A1022" s="6" t="s">
        <v>995</v>
      </c>
      <c r="B1022" s="6" t="s">
        <v>995</v>
      </c>
      <c r="C1022" s="6" t="s">
        <v>2348</v>
      </c>
      <c r="D1022" s="2">
        <v>51227</v>
      </c>
    </row>
    <row r="1023" spans="1:4" x14ac:dyDescent="0.25">
      <c r="A1023" s="7" t="s">
        <v>996</v>
      </c>
      <c r="B1023" s="7" t="s">
        <v>996</v>
      </c>
      <c r="C1023" s="7" t="s">
        <v>2349</v>
      </c>
      <c r="D1023" s="3">
        <v>51231</v>
      </c>
    </row>
    <row r="1024" spans="1:4" x14ac:dyDescent="0.25">
      <c r="A1024" s="6" t="s">
        <v>997</v>
      </c>
      <c r="B1024" s="6" t="s">
        <v>997</v>
      </c>
      <c r="C1024" s="6" t="s">
        <v>2350</v>
      </c>
      <c r="D1024" s="2">
        <v>51234</v>
      </c>
    </row>
    <row r="1025" spans="1:4" x14ac:dyDescent="0.25">
      <c r="A1025" s="7" t="s">
        <v>998</v>
      </c>
      <c r="B1025" s="7" t="s">
        <v>998</v>
      </c>
      <c r="C1025" s="7" t="s">
        <v>2351</v>
      </c>
      <c r="D1025" s="3">
        <v>51237</v>
      </c>
    </row>
    <row r="1026" spans="1:4" x14ac:dyDescent="0.25">
      <c r="A1026" s="6" t="s">
        <v>2936</v>
      </c>
      <c r="B1026" s="6" t="s">
        <v>999</v>
      </c>
      <c r="C1026" s="6" t="s">
        <v>2352</v>
      </c>
      <c r="D1026" s="2">
        <v>51241</v>
      </c>
    </row>
    <row r="1027" spans="1:4" x14ac:dyDescent="0.25">
      <c r="A1027" s="7" t="s">
        <v>1000</v>
      </c>
      <c r="B1027" s="7" t="s">
        <v>1000</v>
      </c>
      <c r="C1027" s="7" t="s">
        <v>2353</v>
      </c>
      <c r="D1027" s="3">
        <v>51244</v>
      </c>
    </row>
    <row r="1028" spans="1:4" x14ac:dyDescent="0.25">
      <c r="A1028" s="6" t="s">
        <v>1001</v>
      </c>
      <c r="B1028" s="6" t="s">
        <v>1001</v>
      </c>
      <c r="C1028" s="6" t="s">
        <v>2354</v>
      </c>
      <c r="D1028" s="2">
        <v>51247</v>
      </c>
    </row>
    <row r="1029" spans="1:4" x14ac:dyDescent="0.25">
      <c r="A1029" s="7" t="s">
        <v>2937</v>
      </c>
      <c r="B1029" s="7" t="s">
        <v>1002</v>
      </c>
      <c r="C1029" s="7" t="s">
        <v>2355</v>
      </c>
      <c r="D1029" s="3">
        <v>51251</v>
      </c>
    </row>
    <row r="1030" spans="1:4" x14ac:dyDescent="0.25">
      <c r="A1030" s="6" t="s">
        <v>1003</v>
      </c>
      <c r="B1030" s="6" t="s">
        <v>1003</v>
      </c>
      <c r="C1030" s="6" t="s">
        <v>2356</v>
      </c>
      <c r="D1030" s="2">
        <v>51257</v>
      </c>
    </row>
    <row r="1031" spans="1:4" x14ac:dyDescent="0.25">
      <c r="A1031" s="7" t="s">
        <v>1004</v>
      </c>
      <c r="B1031" s="7" t="s">
        <v>1004</v>
      </c>
      <c r="C1031" s="7" t="s">
        <v>2357</v>
      </c>
      <c r="D1031" s="3">
        <v>51261</v>
      </c>
    </row>
    <row r="1032" spans="1:4" x14ac:dyDescent="0.25">
      <c r="A1032" s="6" t="s">
        <v>1005</v>
      </c>
      <c r="B1032" s="6" t="s">
        <v>1005</v>
      </c>
      <c r="C1032" s="6" t="s">
        <v>2358</v>
      </c>
      <c r="D1032" s="2">
        <v>51264</v>
      </c>
    </row>
    <row r="1033" spans="1:4" x14ac:dyDescent="0.25">
      <c r="A1033" s="7" t="s">
        <v>1006</v>
      </c>
      <c r="B1033" s="7" t="s">
        <v>1006</v>
      </c>
      <c r="C1033" s="7" t="s">
        <v>2359</v>
      </c>
      <c r="D1033" s="3">
        <v>51267</v>
      </c>
    </row>
    <row r="1034" spans="1:4" x14ac:dyDescent="0.25">
      <c r="A1034" s="6" t="s">
        <v>2938</v>
      </c>
      <c r="B1034" s="6" t="s">
        <v>1007</v>
      </c>
      <c r="C1034" s="6" t="s">
        <v>2360</v>
      </c>
      <c r="D1034" s="2">
        <v>51271</v>
      </c>
    </row>
    <row r="1035" spans="1:4" x14ac:dyDescent="0.25">
      <c r="A1035" s="7" t="s">
        <v>2939</v>
      </c>
      <c r="B1035" s="7" t="s">
        <v>1008</v>
      </c>
      <c r="C1035" s="7" t="s">
        <v>2361</v>
      </c>
      <c r="D1035" s="3">
        <v>51274</v>
      </c>
    </row>
    <row r="1036" spans="1:4" x14ac:dyDescent="0.25">
      <c r="A1036" s="6" t="s">
        <v>1009</v>
      </c>
      <c r="B1036" s="6" t="s">
        <v>1009</v>
      </c>
      <c r="C1036" s="6" t="s">
        <v>2362</v>
      </c>
      <c r="D1036" s="2">
        <v>51277</v>
      </c>
    </row>
    <row r="1037" spans="1:4" x14ac:dyDescent="0.25">
      <c r="A1037" s="7" t="s">
        <v>1010</v>
      </c>
      <c r="B1037" s="7" t="s">
        <v>1010</v>
      </c>
      <c r="C1037" s="7" t="s">
        <v>2363</v>
      </c>
      <c r="D1037" s="3">
        <v>51281</v>
      </c>
    </row>
    <row r="1038" spans="1:4" x14ac:dyDescent="0.25">
      <c r="A1038" s="6" t="s">
        <v>1011</v>
      </c>
      <c r="B1038" s="6" t="s">
        <v>1011</v>
      </c>
      <c r="C1038" s="6" t="s">
        <v>2364</v>
      </c>
      <c r="D1038" s="2">
        <v>51284</v>
      </c>
    </row>
    <row r="1039" spans="1:4" x14ac:dyDescent="0.25">
      <c r="A1039" s="7" t="s">
        <v>2940</v>
      </c>
      <c r="B1039" s="7" t="s">
        <v>1012</v>
      </c>
      <c r="C1039" s="7" t="s">
        <v>2365</v>
      </c>
      <c r="D1039" s="3">
        <v>51287</v>
      </c>
    </row>
    <row r="1040" spans="1:4" x14ac:dyDescent="0.25">
      <c r="A1040" s="6" t="s">
        <v>1013</v>
      </c>
      <c r="B1040" s="6" t="s">
        <v>1013</v>
      </c>
      <c r="C1040" s="6" t="s">
        <v>2366</v>
      </c>
      <c r="D1040" s="2">
        <v>51311</v>
      </c>
    </row>
    <row r="1041" spans="1:4" x14ac:dyDescent="0.25">
      <c r="A1041" s="7" t="s">
        <v>1014</v>
      </c>
      <c r="B1041" s="7" t="s">
        <v>1014</v>
      </c>
      <c r="C1041" s="7" t="s">
        <v>2367</v>
      </c>
      <c r="D1041" s="3">
        <v>51317</v>
      </c>
    </row>
    <row r="1042" spans="1:4" x14ac:dyDescent="0.25">
      <c r="A1042" s="6" t="s">
        <v>1015</v>
      </c>
      <c r="B1042" s="6" t="s">
        <v>1015</v>
      </c>
      <c r="C1042" s="6" t="s">
        <v>2368</v>
      </c>
      <c r="D1042" s="2">
        <v>51323</v>
      </c>
    </row>
    <row r="1043" spans="1:4" x14ac:dyDescent="0.25">
      <c r="A1043" s="7" t="s">
        <v>1016</v>
      </c>
      <c r="B1043" s="7" t="s">
        <v>1016</v>
      </c>
      <c r="C1043" s="7" t="s">
        <v>2369</v>
      </c>
      <c r="D1043" s="3">
        <v>51329</v>
      </c>
    </row>
    <row r="1044" spans="1:4" x14ac:dyDescent="0.25">
      <c r="A1044" s="6" t="s">
        <v>1017</v>
      </c>
      <c r="B1044" s="6" t="s">
        <v>1017</v>
      </c>
      <c r="C1044" s="6" t="s">
        <v>2370</v>
      </c>
      <c r="D1044" s="2">
        <v>51335</v>
      </c>
    </row>
    <row r="1045" spans="1:4" x14ac:dyDescent="0.25">
      <c r="A1045" s="7" t="s">
        <v>1018</v>
      </c>
      <c r="B1045" s="7" t="s">
        <v>1018</v>
      </c>
      <c r="C1045" s="7" t="s">
        <v>2371</v>
      </c>
      <c r="D1045" s="3">
        <v>51341</v>
      </c>
    </row>
    <row r="1046" spans="1:4" x14ac:dyDescent="0.25">
      <c r="A1046" s="6" t="s">
        <v>1019</v>
      </c>
      <c r="B1046" s="6" t="s">
        <v>1019</v>
      </c>
      <c r="C1046" s="6" t="s">
        <v>2372</v>
      </c>
      <c r="D1046" s="2">
        <v>51347</v>
      </c>
    </row>
    <row r="1047" spans="1:4" x14ac:dyDescent="0.25">
      <c r="A1047" s="7" t="s">
        <v>1020</v>
      </c>
      <c r="B1047" s="7" t="s">
        <v>1020</v>
      </c>
      <c r="C1047" s="7" t="s">
        <v>2373</v>
      </c>
      <c r="D1047" s="3">
        <v>51353</v>
      </c>
    </row>
    <row r="1048" spans="1:4" x14ac:dyDescent="0.25">
      <c r="A1048" s="6" t="s">
        <v>1021</v>
      </c>
      <c r="B1048" s="6" t="s">
        <v>1021</v>
      </c>
      <c r="C1048" s="6" t="s">
        <v>2374</v>
      </c>
      <c r="D1048" s="2">
        <v>51354</v>
      </c>
    </row>
    <row r="1049" spans="1:4" x14ac:dyDescent="0.25">
      <c r="A1049" s="7" t="s">
        <v>1022</v>
      </c>
      <c r="B1049" s="7" t="s">
        <v>1022</v>
      </c>
      <c r="C1049" s="7" t="s">
        <v>2375</v>
      </c>
      <c r="D1049" s="3">
        <v>51359</v>
      </c>
    </row>
    <row r="1050" spans="1:4" x14ac:dyDescent="0.25">
      <c r="A1050" s="6" t="s">
        <v>2941</v>
      </c>
      <c r="B1050" s="6" t="s">
        <v>1023</v>
      </c>
      <c r="C1050" s="6" t="s">
        <v>2376</v>
      </c>
      <c r="D1050" s="2">
        <v>51365</v>
      </c>
    </row>
    <row r="1051" spans="1:4" x14ac:dyDescent="0.25">
      <c r="A1051" s="7" t="s">
        <v>1024</v>
      </c>
      <c r="B1051" s="7" t="s">
        <v>1024</v>
      </c>
      <c r="C1051" s="7" t="s">
        <v>1024</v>
      </c>
      <c r="D1051" s="3">
        <v>51371</v>
      </c>
    </row>
    <row r="1052" spans="1:4" x14ac:dyDescent="0.25">
      <c r="A1052" s="6" t="s">
        <v>1025</v>
      </c>
      <c r="B1052" s="6" t="s">
        <v>1025</v>
      </c>
      <c r="C1052" s="6" t="s">
        <v>2377</v>
      </c>
      <c r="D1052" s="2">
        <v>51377</v>
      </c>
    </row>
    <row r="1053" spans="1:4" x14ac:dyDescent="0.25">
      <c r="A1053" s="7" t="s">
        <v>2942</v>
      </c>
      <c r="B1053" s="7" t="s">
        <v>1026</v>
      </c>
      <c r="C1053" s="7" t="s">
        <v>2378</v>
      </c>
      <c r="D1053" s="3">
        <v>51383</v>
      </c>
    </row>
    <row r="1054" spans="1:4" x14ac:dyDescent="0.25">
      <c r="A1054" s="6" t="s">
        <v>1027</v>
      </c>
      <c r="B1054" s="6" t="s">
        <v>1027</v>
      </c>
      <c r="C1054" s="6" t="s">
        <v>2379</v>
      </c>
      <c r="D1054" s="2">
        <v>51389</v>
      </c>
    </row>
    <row r="1055" spans="1:4" x14ac:dyDescent="0.25">
      <c r="A1055" s="7" t="s">
        <v>1563</v>
      </c>
      <c r="B1055" s="7" t="s">
        <v>87</v>
      </c>
      <c r="C1055" s="7" t="s">
        <v>87</v>
      </c>
      <c r="D1055" s="3">
        <v>52001</v>
      </c>
    </row>
    <row r="1056" spans="1:4" x14ac:dyDescent="0.25">
      <c r="A1056" s="6" t="s">
        <v>1563</v>
      </c>
      <c r="B1056" s="6" t="s">
        <v>87</v>
      </c>
      <c r="C1056" s="6" t="s">
        <v>87</v>
      </c>
      <c r="D1056" s="2">
        <v>52002</v>
      </c>
    </row>
    <row r="1057" spans="1:4" x14ac:dyDescent="0.25">
      <c r="A1057" s="7" t="s">
        <v>1563</v>
      </c>
      <c r="B1057" s="7" t="s">
        <v>87</v>
      </c>
      <c r="C1057" s="7" t="s">
        <v>87</v>
      </c>
      <c r="D1057" s="3">
        <v>52003</v>
      </c>
    </row>
    <row r="1058" spans="1:4" x14ac:dyDescent="0.25">
      <c r="A1058" s="6" t="s">
        <v>1028</v>
      </c>
      <c r="B1058" s="6" t="s">
        <v>1028</v>
      </c>
      <c r="C1058" s="6" t="s">
        <v>1028</v>
      </c>
      <c r="D1058" s="2">
        <v>52111</v>
      </c>
    </row>
    <row r="1059" spans="1:4" x14ac:dyDescent="0.25">
      <c r="A1059" s="7" t="s">
        <v>2943</v>
      </c>
      <c r="B1059" s="7" t="s">
        <v>1029</v>
      </c>
      <c r="C1059" s="7" t="s">
        <v>2380</v>
      </c>
      <c r="D1059" s="3">
        <v>52116</v>
      </c>
    </row>
    <row r="1060" spans="1:4" x14ac:dyDescent="0.25">
      <c r="A1060" s="6" t="s">
        <v>1030</v>
      </c>
      <c r="B1060" s="6" t="s">
        <v>1030</v>
      </c>
      <c r="C1060" s="6" t="s">
        <v>2381</v>
      </c>
      <c r="D1060" s="2">
        <v>52121</v>
      </c>
    </row>
    <row r="1061" spans="1:4" x14ac:dyDescent="0.25">
      <c r="A1061" s="7" t="s">
        <v>1031</v>
      </c>
      <c r="B1061" s="7" t="s">
        <v>1031</v>
      </c>
      <c r="C1061" s="7" t="s">
        <v>2382</v>
      </c>
      <c r="D1061" s="3">
        <v>52126</v>
      </c>
    </row>
    <row r="1062" spans="1:4" x14ac:dyDescent="0.25">
      <c r="A1062" s="6" t="s">
        <v>2944</v>
      </c>
      <c r="B1062" s="6" t="s">
        <v>1032</v>
      </c>
      <c r="C1062" s="6" t="s">
        <v>2383</v>
      </c>
      <c r="D1062" s="2">
        <v>52131</v>
      </c>
    </row>
    <row r="1063" spans="1:4" x14ac:dyDescent="0.25">
      <c r="A1063" s="7" t="s">
        <v>1033</v>
      </c>
      <c r="B1063" s="7" t="s">
        <v>1033</v>
      </c>
      <c r="C1063" s="7" t="s">
        <v>1033</v>
      </c>
      <c r="D1063" s="3">
        <v>52136</v>
      </c>
    </row>
    <row r="1064" spans="1:4" x14ac:dyDescent="0.25">
      <c r="A1064" s="6" t="s">
        <v>1034</v>
      </c>
      <c r="B1064" s="6" t="s">
        <v>1034</v>
      </c>
      <c r="C1064" s="6" t="s">
        <v>2384</v>
      </c>
      <c r="D1064" s="2">
        <v>52141</v>
      </c>
    </row>
    <row r="1065" spans="1:4" x14ac:dyDescent="0.25">
      <c r="A1065" s="7" t="s">
        <v>2945</v>
      </c>
      <c r="B1065" s="7" t="s">
        <v>1035</v>
      </c>
      <c r="C1065" s="7" t="s">
        <v>2385</v>
      </c>
      <c r="D1065" s="3">
        <v>52146</v>
      </c>
    </row>
    <row r="1066" spans="1:4" x14ac:dyDescent="0.25">
      <c r="A1066" s="6" t="s">
        <v>1036</v>
      </c>
      <c r="B1066" s="6" t="s">
        <v>1036</v>
      </c>
      <c r="C1066" s="6" t="s">
        <v>2386</v>
      </c>
      <c r="D1066" s="2">
        <v>52151</v>
      </c>
    </row>
    <row r="1067" spans="1:4" x14ac:dyDescent="0.25">
      <c r="A1067" s="7" t="s">
        <v>1037</v>
      </c>
      <c r="B1067" s="7" t="s">
        <v>1037</v>
      </c>
      <c r="C1067" s="7" t="s">
        <v>2034</v>
      </c>
      <c r="D1067" s="3">
        <v>52156</v>
      </c>
    </row>
    <row r="1068" spans="1:4" x14ac:dyDescent="0.25">
      <c r="A1068" s="6" t="s">
        <v>1038</v>
      </c>
      <c r="B1068" s="6" t="s">
        <v>1038</v>
      </c>
      <c r="C1068" s="6" t="s">
        <v>2387</v>
      </c>
      <c r="D1068" s="2">
        <v>52161</v>
      </c>
    </row>
    <row r="1069" spans="1:4" x14ac:dyDescent="0.25">
      <c r="A1069" s="7" t="s">
        <v>1039</v>
      </c>
      <c r="B1069" s="7" t="s">
        <v>1039</v>
      </c>
      <c r="C1069" s="7" t="s">
        <v>2388</v>
      </c>
      <c r="D1069" s="3">
        <v>52166</v>
      </c>
    </row>
    <row r="1070" spans="1:4" x14ac:dyDescent="0.25">
      <c r="A1070" s="6" t="s">
        <v>1040</v>
      </c>
      <c r="B1070" s="6" t="s">
        <v>1040</v>
      </c>
      <c r="C1070" s="6" t="s">
        <v>2389</v>
      </c>
      <c r="D1070" s="2">
        <v>52171</v>
      </c>
    </row>
    <row r="1071" spans="1:4" x14ac:dyDescent="0.25">
      <c r="A1071" s="7" t="s">
        <v>1041</v>
      </c>
      <c r="B1071" s="7" t="s">
        <v>1041</v>
      </c>
      <c r="C1071" s="7" t="s">
        <v>2390</v>
      </c>
      <c r="D1071" s="3">
        <v>52176</v>
      </c>
    </row>
    <row r="1072" spans="1:4" x14ac:dyDescent="0.25">
      <c r="A1072" s="6" t="s">
        <v>1042</v>
      </c>
      <c r="B1072" s="6" t="s">
        <v>1042</v>
      </c>
      <c r="C1072" s="6" t="s">
        <v>2391</v>
      </c>
      <c r="D1072" s="2">
        <v>52181</v>
      </c>
    </row>
    <row r="1073" spans="1:4" x14ac:dyDescent="0.25">
      <c r="A1073" s="7" t="s">
        <v>1043</v>
      </c>
      <c r="B1073" s="7" t="s">
        <v>1043</v>
      </c>
      <c r="C1073" s="7" t="s">
        <v>2392</v>
      </c>
      <c r="D1073" s="3">
        <v>52211</v>
      </c>
    </row>
    <row r="1074" spans="1:4" x14ac:dyDescent="0.25">
      <c r="A1074" s="6" t="s">
        <v>1044</v>
      </c>
      <c r="B1074" s="6" t="s">
        <v>1044</v>
      </c>
      <c r="C1074" s="6" t="s">
        <v>1044</v>
      </c>
      <c r="D1074" s="2">
        <v>52214</v>
      </c>
    </row>
    <row r="1075" spans="1:4" x14ac:dyDescent="0.25">
      <c r="A1075" s="7" t="s">
        <v>1045</v>
      </c>
      <c r="B1075" s="7" t="s">
        <v>1045</v>
      </c>
      <c r="C1075" s="7" t="s">
        <v>2393</v>
      </c>
      <c r="D1075" s="3">
        <v>52217</v>
      </c>
    </row>
    <row r="1076" spans="1:4" x14ac:dyDescent="0.25">
      <c r="A1076" s="6" t="s">
        <v>1046</v>
      </c>
      <c r="B1076" s="6" t="s">
        <v>1046</v>
      </c>
      <c r="C1076" s="6" t="s">
        <v>2394</v>
      </c>
      <c r="D1076" s="2">
        <v>52221</v>
      </c>
    </row>
    <row r="1077" spans="1:4" x14ac:dyDescent="0.25">
      <c r="A1077" s="7" t="s">
        <v>1047</v>
      </c>
      <c r="B1077" s="7" t="s">
        <v>1047</v>
      </c>
      <c r="C1077" s="7" t="s">
        <v>2395</v>
      </c>
      <c r="D1077" s="3">
        <v>52224</v>
      </c>
    </row>
    <row r="1078" spans="1:4" x14ac:dyDescent="0.25">
      <c r="A1078" s="6" t="s">
        <v>2946</v>
      </c>
      <c r="B1078" s="6" t="s">
        <v>1048</v>
      </c>
      <c r="C1078" s="6" t="s">
        <v>1048</v>
      </c>
      <c r="D1078" s="2">
        <v>52227</v>
      </c>
    </row>
    <row r="1079" spans="1:4" x14ac:dyDescent="0.25">
      <c r="A1079" s="7" t="s">
        <v>1049</v>
      </c>
      <c r="B1079" s="7" t="s">
        <v>1049</v>
      </c>
      <c r="C1079" s="7" t="s">
        <v>2396</v>
      </c>
      <c r="D1079" s="3">
        <v>52231</v>
      </c>
    </row>
    <row r="1080" spans="1:4" x14ac:dyDescent="0.25">
      <c r="A1080" s="6" t="s">
        <v>1050</v>
      </c>
      <c r="B1080" s="6" t="s">
        <v>1050</v>
      </c>
      <c r="C1080" s="6" t="s">
        <v>2397</v>
      </c>
      <c r="D1080" s="2">
        <v>52234</v>
      </c>
    </row>
    <row r="1081" spans="1:4" x14ac:dyDescent="0.25">
      <c r="A1081" s="7" t="s">
        <v>1051</v>
      </c>
      <c r="B1081" s="7" t="s">
        <v>1051</v>
      </c>
      <c r="C1081" s="7" t="s">
        <v>2398</v>
      </c>
      <c r="D1081" s="3">
        <v>52237</v>
      </c>
    </row>
    <row r="1082" spans="1:4" x14ac:dyDescent="0.25">
      <c r="A1082" s="6" t="s">
        <v>1052</v>
      </c>
      <c r="B1082" s="6" t="s">
        <v>1052</v>
      </c>
      <c r="C1082" s="6" t="s">
        <v>1835</v>
      </c>
      <c r="D1082" s="2">
        <v>52241</v>
      </c>
    </row>
    <row r="1083" spans="1:4" x14ac:dyDescent="0.25">
      <c r="A1083" s="7" t="s">
        <v>1053</v>
      </c>
      <c r="B1083" s="7" t="s">
        <v>1053</v>
      </c>
      <c r="C1083" s="7" t="s">
        <v>2399</v>
      </c>
      <c r="D1083" s="3">
        <v>52244</v>
      </c>
    </row>
    <row r="1084" spans="1:4" x14ac:dyDescent="0.25">
      <c r="A1084" s="6" t="s">
        <v>1054</v>
      </c>
      <c r="B1084" s="6" t="s">
        <v>1054</v>
      </c>
      <c r="C1084" s="6" t="s">
        <v>2400</v>
      </c>
      <c r="D1084" s="2">
        <v>52247</v>
      </c>
    </row>
    <row r="1085" spans="1:4" x14ac:dyDescent="0.25">
      <c r="A1085" s="7" t="s">
        <v>2947</v>
      </c>
      <c r="B1085" s="7" t="s">
        <v>1055</v>
      </c>
      <c r="C1085" s="7" t="s">
        <v>1055</v>
      </c>
      <c r="D1085" s="3">
        <v>52251</v>
      </c>
    </row>
    <row r="1086" spans="1:4" x14ac:dyDescent="0.25">
      <c r="A1086" s="6" t="s">
        <v>1056</v>
      </c>
      <c r="B1086" s="6" t="s">
        <v>1056</v>
      </c>
      <c r="C1086" s="6" t="s">
        <v>2401</v>
      </c>
      <c r="D1086" s="2">
        <v>52254</v>
      </c>
    </row>
    <row r="1087" spans="1:4" x14ac:dyDescent="0.25">
      <c r="A1087" s="7" t="s">
        <v>1057</v>
      </c>
      <c r="B1087" s="7" t="s">
        <v>1057</v>
      </c>
      <c r="C1087" s="7" t="s">
        <v>2402</v>
      </c>
      <c r="D1087" s="3">
        <v>52257</v>
      </c>
    </row>
    <row r="1088" spans="1:4" x14ac:dyDescent="0.25">
      <c r="A1088" s="6" t="s">
        <v>1058</v>
      </c>
      <c r="B1088" s="6" t="s">
        <v>1058</v>
      </c>
      <c r="C1088" s="6" t="s">
        <v>2403</v>
      </c>
      <c r="D1088" s="2">
        <v>52261</v>
      </c>
    </row>
    <row r="1089" spans="1:4" x14ac:dyDescent="0.25">
      <c r="A1089" s="7" t="s">
        <v>1059</v>
      </c>
      <c r="B1089" s="7" t="s">
        <v>1059</v>
      </c>
      <c r="C1089" s="7" t="s">
        <v>2404</v>
      </c>
      <c r="D1089" s="3">
        <v>52264</v>
      </c>
    </row>
    <row r="1090" spans="1:4" x14ac:dyDescent="0.25">
      <c r="A1090" s="6" t="s">
        <v>1060</v>
      </c>
      <c r="B1090" s="6" t="s">
        <v>1060</v>
      </c>
      <c r="C1090" s="6" t="s">
        <v>1060</v>
      </c>
      <c r="D1090" s="2">
        <v>52267</v>
      </c>
    </row>
    <row r="1091" spans="1:4" x14ac:dyDescent="0.25">
      <c r="A1091" s="7" t="s">
        <v>2948</v>
      </c>
      <c r="B1091" s="7" t="s">
        <v>1061</v>
      </c>
      <c r="C1091" s="7" t="s">
        <v>2405</v>
      </c>
      <c r="D1091" s="3">
        <v>52271</v>
      </c>
    </row>
    <row r="1092" spans="1:4" x14ac:dyDescent="0.25">
      <c r="A1092" s="6" t="s">
        <v>1062</v>
      </c>
      <c r="B1092" s="6" t="s">
        <v>1062</v>
      </c>
      <c r="C1092" s="6" t="s">
        <v>2406</v>
      </c>
      <c r="D1092" s="2">
        <v>52274</v>
      </c>
    </row>
    <row r="1093" spans="1:4" x14ac:dyDescent="0.25">
      <c r="A1093" s="7" t="s">
        <v>1063</v>
      </c>
      <c r="B1093" s="7" t="s">
        <v>1063</v>
      </c>
      <c r="C1093" s="7" t="s">
        <v>2407</v>
      </c>
      <c r="D1093" s="3">
        <v>52277</v>
      </c>
    </row>
    <row r="1094" spans="1:4" x14ac:dyDescent="0.25">
      <c r="A1094" s="6" t="s">
        <v>1064</v>
      </c>
      <c r="B1094" s="6" t="s">
        <v>1064</v>
      </c>
      <c r="C1094" s="6" t="s">
        <v>2408</v>
      </c>
      <c r="D1094" s="2">
        <v>52281</v>
      </c>
    </row>
    <row r="1095" spans="1:4" x14ac:dyDescent="0.25">
      <c r="A1095" s="7" t="s">
        <v>1065</v>
      </c>
      <c r="B1095" s="7" t="s">
        <v>1065</v>
      </c>
      <c r="C1095" s="7" t="s">
        <v>2409</v>
      </c>
      <c r="D1095" s="3">
        <v>52284</v>
      </c>
    </row>
    <row r="1096" spans="1:4" x14ac:dyDescent="0.25">
      <c r="A1096" s="6" t="s">
        <v>1066</v>
      </c>
      <c r="B1096" s="6" t="s">
        <v>1066</v>
      </c>
      <c r="C1096" s="6" t="s">
        <v>2410</v>
      </c>
      <c r="D1096" s="2">
        <v>52287</v>
      </c>
    </row>
    <row r="1097" spans="1:4" x14ac:dyDescent="0.25">
      <c r="A1097" s="7" t="s">
        <v>1067</v>
      </c>
      <c r="B1097" s="7" t="s">
        <v>1067</v>
      </c>
      <c r="C1097" s="7" t="s">
        <v>2411</v>
      </c>
      <c r="D1097" s="3">
        <v>52291</v>
      </c>
    </row>
    <row r="1098" spans="1:4" x14ac:dyDescent="0.25">
      <c r="A1098" s="6" t="s">
        <v>1068</v>
      </c>
      <c r="B1098" s="6" t="s">
        <v>1068</v>
      </c>
      <c r="C1098" s="6" t="s">
        <v>2412</v>
      </c>
      <c r="D1098" s="2">
        <v>52295</v>
      </c>
    </row>
    <row r="1099" spans="1:4" x14ac:dyDescent="0.25">
      <c r="A1099" s="7" t="s">
        <v>1563</v>
      </c>
      <c r="B1099" s="7" t="s">
        <v>87</v>
      </c>
      <c r="C1099" s="7" t="s">
        <v>87</v>
      </c>
      <c r="D1099" s="3">
        <v>53001</v>
      </c>
    </row>
    <row r="1100" spans="1:4" x14ac:dyDescent="0.25">
      <c r="A1100" s="6" t="s">
        <v>1563</v>
      </c>
      <c r="B1100" s="6" t="s">
        <v>87</v>
      </c>
      <c r="C1100" s="6" t="s">
        <v>87</v>
      </c>
      <c r="D1100" s="2">
        <v>53002</v>
      </c>
    </row>
    <row r="1101" spans="1:4" x14ac:dyDescent="0.25">
      <c r="A1101" s="7" t="s">
        <v>1563</v>
      </c>
      <c r="B1101" s="7" t="s">
        <v>87</v>
      </c>
      <c r="C1101" s="7" t="s">
        <v>87</v>
      </c>
      <c r="D1101" s="3">
        <v>53003</v>
      </c>
    </row>
    <row r="1102" spans="1:4" x14ac:dyDescent="0.25">
      <c r="A1102" s="6" t="s">
        <v>1069</v>
      </c>
      <c r="B1102" s="6" t="s">
        <v>1069</v>
      </c>
      <c r="C1102" s="6" t="s">
        <v>1069</v>
      </c>
      <c r="D1102" s="2">
        <v>53111</v>
      </c>
    </row>
    <row r="1103" spans="1:4" x14ac:dyDescent="0.25">
      <c r="A1103" s="7" t="s">
        <v>1070</v>
      </c>
      <c r="B1103" s="7" t="s">
        <v>1070</v>
      </c>
      <c r="C1103" s="7" t="s">
        <v>2413</v>
      </c>
      <c r="D1103" s="3">
        <v>53115</v>
      </c>
    </row>
    <row r="1104" spans="1:4" x14ac:dyDescent="0.25">
      <c r="A1104" s="6" t="s">
        <v>1071</v>
      </c>
      <c r="B1104" s="6" t="s">
        <v>1071</v>
      </c>
      <c r="C1104" s="6" t="s">
        <v>2414</v>
      </c>
      <c r="D1104" s="2">
        <v>53119</v>
      </c>
    </row>
    <row r="1105" spans="1:4" x14ac:dyDescent="0.25">
      <c r="A1105" s="7" t="s">
        <v>1072</v>
      </c>
      <c r="B1105" s="7" t="s">
        <v>1072</v>
      </c>
      <c r="C1105" s="7" t="s">
        <v>2415</v>
      </c>
      <c r="D1105" s="3">
        <v>53123</v>
      </c>
    </row>
    <row r="1106" spans="1:4" x14ac:dyDescent="0.25">
      <c r="A1106" s="6" t="s">
        <v>1073</v>
      </c>
      <c r="B1106" s="6" t="s">
        <v>1073</v>
      </c>
      <c r="C1106" s="6" t="s">
        <v>2416</v>
      </c>
      <c r="D1106" s="2">
        <v>53127</v>
      </c>
    </row>
    <row r="1107" spans="1:4" x14ac:dyDescent="0.25">
      <c r="A1107" s="7" t="s">
        <v>1074</v>
      </c>
      <c r="B1107" s="7" t="s">
        <v>1074</v>
      </c>
      <c r="C1107" s="7" t="s">
        <v>2417</v>
      </c>
      <c r="D1107" s="3">
        <v>53131</v>
      </c>
    </row>
    <row r="1108" spans="1:4" x14ac:dyDescent="0.25">
      <c r="A1108" s="6" t="s">
        <v>2949</v>
      </c>
      <c r="B1108" s="6" t="s">
        <v>1075</v>
      </c>
      <c r="C1108" s="6" t="s">
        <v>2418</v>
      </c>
      <c r="D1108" s="2">
        <v>53135</v>
      </c>
    </row>
    <row r="1109" spans="1:4" x14ac:dyDescent="0.25">
      <c r="A1109" s="7" t="s">
        <v>1076</v>
      </c>
      <c r="B1109" s="7" t="s">
        <v>1076</v>
      </c>
      <c r="C1109" s="7" t="s">
        <v>2419</v>
      </c>
      <c r="D1109" s="3">
        <v>53139</v>
      </c>
    </row>
    <row r="1110" spans="1:4" x14ac:dyDescent="0.25">
      <c r="A1110" s="6" t="s">
        <v>2950</v>
      </c>
      <c r="B1110" s="6" t="s">
        <v>1077</v>
      </c>
      <c r="C1110" s="6" t="s">
        <v>2420</v>
      </c>
      <c r="D1110" s="2">
        <v>53143</v>
      </c>
    </row>
    <row r="1111" spans="1:4" x14ac:dyDescent="0.25">
      <c r="A1111" s="7" t="s">
        <v>1078</v>
      </c>
      <c r="B1111" s="7" t="s">
        <v>1078</v>
      </c>
      <c r="C1111" s="7" t="s">
        <v>2421</v>
      </c>
      <c r="D1111" s="3">
        <v>53147</v>
      </c>
    </row>
    <row r="1112" spans="1:4" x14ac:dyDescent="0.25">
      <c r="A1112" s="6" t="s">
        <v>1079</v>
      </c>
      <c r="B1112" s="6" t="s">
        <v>1079</v>
      </c>
      <c r="C1112" s="6" t="s">
        <v>1079</v>
      </c>
      <c r="D1112" s="2">
        <v>53151</v>
      </c>
    </row>
    <row r="1113" spans="1:4" x14ac:dyDescent="0.25">
      <c r="A1113" s="7" t="s">
        <v>2951</v>
      </c>
      <c r="B1113" s="7" t="s">
        <v>1080</v>
      </c>
      <c r="C1113" s="7" t="s">
        <v>1080</v>
      </c>
      <c r="D1113" s="3">
        <v>53155</v>
      </c>
    </row>
    <row r="1114" spans="1:4" x14ac:dyDescent="0.25">
      <c r="A1114" s="6" t="s">
        <v>1081</v>
      </c>
      <c r="B1114" s="6" t="s">
        <v>1081</v>
      </c>
      <c r="C1114" s="6" t="s">
        <v>2422</v>
      </c>
      <c r="D1114" s="2">
        <v>53159</v>
      </c>
    </row>
    <row r="1115" spans="1:4" x14ac:dyDescent="0.25">
      <c r="A1115" s="7" t="s">
        <v>1082</v>
      </c>
      <c r="B1115" s="7" t="s">
        <v>1082</v>
      </c>
      <c r="C1115" s="7" t="s">
        <v>2423</v>
      </c>
      <c r="D1115" s="3">
        <v>53163</v>
      </c>
    </row>
    <row r="1116" spans="1:4" x14ac:dyDescent="0.25">
      <c r="A1116" s="6" t="s">
        <v>2952</v>
      </c>
      <c r="B1116" s="6" t="s">
        <v>1083</v>
      </c>
      <c r="C1116" s="6" t="s">
        <v>2424</v>
      </c>
      <c r="D1116" s="2">
        <v>53167</v>
      </c>
    </row>
    <row r="1117" spans="1:4" x14ac:dyDescent="0.25">
      <c r="A1117" s="7" t="s">
        <v>1084</v>
      </c>
      <c r="B1117" s="7" t="s">
        <v>1084</v>
      </c>
      <c r="C1117" s="7" t="s">
        <v>2425</v>
      </c>
      <c r="D1117" s="3">
        <v>53171</v>
      </c>
    </row>
    <row r="1118" spans="1:4" x14ac:dyDescent="0.25">
      <c r="A1118" s="6" t="s">
        <v>1085</v>
      </c>
      <c r="B1118" s="6" t="s">
        <v>1085</v>
      </c>
      <c r="C1118" s="6" t="s">
        <v>2426</v>
      </c>
      <c r="D1118" s="2">
        <v>53179</v>
      </c>
    </row>
    <row r="1119" spans="1:4" x14ac:dyDescent="0.25">
      <c r="A1119" s="7" t="s">
        <v>1086</v>
      </c>
      <c r="B1119" s="7" t="s">
        <v>1086</v>
      </c>
      <c r="C1119" s="7" t="s">
        <v>2427</v>
      </c>
      <c r="D1119" s="3">
        <v>53183</v>
      </c>
    </row>
    <row r="1120" spans="1:4" x14ac:dyDescent="0.25">
      <c r="A1120" s="6" t="s">
        <v>1087</v>
      </c>
      <c r="B1120" s="6" t="s">
        <v>1087</v>
      </c>
      <c r="C1120" s="6" t="s">
        <v>2428</v>
      </c>
      <c r="D1120" s="2">
        <v>53211</v>
      </c>
    </row>
    <row r="1121" spans="1:4" x14ac:dyDescent="0.25">
      <c r="A1121" s="7" t="s">
        <v>1088</v>
      </c>
      <c r="B1121" s="7" t="s">
        <v>1088</v>
      </c>
      <c r="C1121" s="7" t="s">
        <v>2429</v>
      </c>
      <c r="D1121" s="3">
        <v>53214</v>
      </c>
    </row>
    <row r="1122" spans="1:4" x14ac:dyDescent="0.25">
      <c r="A1122" s="6" t="s">
        <v>1089</v>
      </c>
      <c r="B1122" s="6" t="s">
        <v>1089</v>
      </c>
      <c r="C1122" s="6" t="s">
        <v>2430</v>
      </c>
      <c r="D1122" s="2">
        <v>53217</v>
      </c>
    </row>
    <row r="1123" spans="1:4" x14ac:dyDescent="0.25">
      <c r="A1123" s="7" t="s">
        <v>1090</v>
      </c>
      <c r="B1123" s="7" t="s">
        <v>1090</v>
      </c>
      <c r="C1123" s="7" t="s">
        <v>2431</v>
      </c>
      <c r="D1123" s="3">
        <v>53221</v>
      </c>
    </row>
    <row r="1124" spans="1:4" x14ac:dyDescent="0.25">
      <c r="A1124" s="6" t="s">
        <v>1091</v>
      </c>
      <c r="B1124" s="6" t="s">
        <v>1091</v>
      </c>
      <c r="C1124" s="6" t="s">
        <v>2432</v>
      </c>
      <c r="D1124" s="2">
        <v>53224</v>
      </c>
    </row>
    <row r="1125" spans="1:4" x14ac:dyDescent="0.25">
      <c r="A1125" s="7" t="s">
        <v>1092</v>
      </c>
      <c r="B1125" s="7" t="s">
        <v>1092</v>
      </c>
      <c r="C1125" s="7" t="s">
        <v>2433</v>
      </c>
      <c r="D1125" s="3">
        <v>53227</v>
      </c>
    </row>
    <row r="1126" spans="1:4" x14ac:dyDescent="0.25">
      <c r="A1126" s="6" t="s">
        <v>1093</v>
      </c>
      <c r="B1126" s="6" t="s">
        <v>1093</v>
      </c>
      <c r="C1126" s="6" t="s">
        <v>2434</v>
      </c>
      <c r="D1126" s="2">
        <v>53231</v>
      </c>
    </row>
    <row r="1127" spans="1:4" x14ac:dyDescent="0.25">
      <c r="A1127" s="7" t="s">
        <v>2953</v>
      </c>
      <c r="B1127" s="7" t="s">
        <v>1094</v>
      </c>
      <c r="C1127" s="7" t="s">
        <v>2435</v>
      </c>
      <c r="D1127" s="3">
        <v>53234</v>
      </c>
    </row>
    <row r="1128" spans="1:4" x14ac:dyDescent="0.25">
      <c r="A1128" s="6" t="s">
        <v>1095</v>
      </c>
      <c r="B1128" s="6" t="s">
        <v>1095</v>
      </c>
      <c r="C1128" s="6" t="s">
        <v>2436</v>
      </c>
      <c r="D1128" s="2">
        <v>53237</v>
      </c>
    </row>
    <row r="1129" spans="1:4" x14ac:dyDescent="0.25">
      <c r="A1129" s="7" t="s">
        <v>1096</v>
      </c>
      <c r="B1129" s="7" t="s">
        <v>1096</v>
      </c>
      <c r="C1129" s="7" t="s">
        <v>2437</v>
      </c>
      <c r="D1129" s="3">
        <v>53241</v>
      </c>
    </row>
    <row r="1130" spans="1:4" x14ac:dyDescent="0.25">
      <c r="A1130" s="6" t="s">
        <v>1097</v>
      </c>
      <c r="B1130" s="6" t="s">
        <v>1097</v>
      </c>
      <c r="C1130" s="6" t="s">
        <v>2438</v>
      </c>
      <c r="D1130" s="2">
        <v>53244</v>
      </c>
    </row>
    <row r="1131" spans="1:4" x14ac:dyDescent="0.25">
      <c r="A1131" s="7" t="s">
        <v>1098</v>
      </c>
      <c r="B1131" s="7" t="s">
        <v>1098</v>
      </c>
      <c r="C1131" s="7" t="s">
        <v>1098</v>
      </c>
      <c r="D1131" s="3">
        <v>53247</v>
      </c>
    </row>
    <row r="1132" spans="1:4" x14ac:dyDescent="0.25">
      <c r="A1132" s="6" t="s">
        <v>1099</v>
      </c>
      <c r="B1132" s="6" t="s">
        <v>1099</v>
      </c>
      <c r="C1132" s="6" t="s">
        <v>2439</v>
      </c>
      <c r="D1132" s="2">
        <v>53251</v>
      </c>
    </row>
    <row r="1133" spans="1:4" x14ac:dyDescent="0.25">
      <c r="A1133" s="7" t="s">
        <v>1100</v>
      </c>
      <c r="B1133" s="7" t="s">
        <v>1100</v>
      </c>
      <c r="C1133" s="7" t="s">
        <v>2440</v>
      </c>
      <c r="D1133" s="3">
        <v>53254</v>
      </c>
    </row>
    <row r="1134" spans="1:4" x14ac:dyDescent="0.25">
      <c r="A1134" s="6" t="s">
        <v>1101</v>
      </c>
      <c r="B1134" s="6" t="s">
        <v>1101</v>
      </c>
      <c r="C1134" s="6" t="s">
        <v>2441</v>
      </c>
      <c r="D1134" s="2">
        <v>53257</v>
      </c>
    </row>
    <row r="1135" spans="1:4" x14ac:dyDescent="0.25">
      <c r="A1135" s="7" t="s">
        <v>1102</v>
      </c>
      <c r="B1135" s="7" t="s">
        <v>1102</v>
      </c>
      <c r="C1135" s="7" t="s">
        <v>1102</v>
      </c>
      <c r="D1135" s="3">
        <v>53261</v>
      </c>
    </row>
    <row r="1136" spans="1:4" x14ac:dyDescent="0.25">
      <c r="A1136" s="6" t="s">
        <v>1103</v>
      </c>
      <c r="B1136" s="6" t="s">
        <v>1103</v>
      </c>
      <c r="C1136" s="6" t="s">
        <v>2442</v>
      </c>
      <c r="D1136" s="2">
        <v>53264</v>
      </c>
    </row>
    <row r="1137" spans="1:4" x14ac:dyDescent="0.25">
      <c r="A1137" s="7" t="s">
        <v>2954</v>
      </c>
      <c r="B1137" s="7" t="s">
        <v>1104</v>
      </c>
      <c r="C1137" s="7" t="s">
        <v>2443</v>
      </c>
      <c r="D1137" s="3">
        <v>53267</v>
      </c>
    </row>
    <row r="1138" spans="1:4" x14ac:dyDescent="0.25">
      <c r="A1138" s="6" t="s">
        <v>1105</v>
      </c>
      <c r="B1138" s="6" t="s">
        <v>1105</v>
      </c>
      <c r="C1138" s="6" t="s">
        <v>2444</v>
      </c>
      <c r="D1138" s="2">
        <v>53271</v>
      </c>
    </row>
    <row r="1139" spans="1:4" x14ac:dyDescent="0.25">
      <c r="A1139" s="7" t="s">
        <v>1106</v>
      </c>
      <c r="B1139" s="7" t="s">
        <v>1106</v>
      </c>
      <c r="C1139" s="7" t="s">
        <v>1106</v>
      </c>
      <c r="D1139" s="3">
        <v>53274</v>
      </c>
    </row>
    <row r="1140" spans="1:4" x14ac:dyDescent="0.25">
      <c r="A1140" s="6" t="s">
        <v>1107</v>
      </c>
      <c r="B1140" s="6" t="s">
        <v>1107</v>
      </c>
      <c r="C1140" s="6" t="s">
        <v>2445</v>
      </c>
      <c r="D1140" s="2">
        <v>53277</v>
      </c>
    </row>
    <row r="1141" spans="1:4" x14ac:dyDescent="0.25">
      <c r="A1141" s="7" t="s">
        <v>1108</v>
      </c>
      <c r="B1141" s="7" t="s">
        <v>1108</v>
      </c>
      <c r="C1141" s="7" t="s">
        <v>2446</v>
      </c>
      <c r="D1141" s="3">
        <v>53281</v>
      </c>
    </row>
    <row r="1142" spans="1:4" x14ac:dyDescent="0.25">
      <c r="A1142" s="6" t="s">
        <v>1109</v>
      </c>
      <c r="B1142" s="6" t="s">
        <v>1109</v>
      </c>
      <c r="C1142" s="6" t="s">
        <v>2447</v>
      </c>
      <c r="D1142" s="2">
        <v>53284</v>
      </c>
    </row>
    <row r="1143" spans="1:4" x14ac:dyDescent="0.25">
      <c r="A1143" s="7" t="s">
        <v>1110</v>
      </c>
      <c r="B1143" s="7" t="s">
        <v>1110</v>
      </c>
      <c r="C1143" s="7" t="s">
        <v>2448</v>
      </c>
      <c r="D1143" s="3">
        <v>53311</v>
      </c>
    </row>
    <row r="1144" spans="1:4" x14ac:dyDescent="0.25">
      <c r="A1144" s="6" t="s">
        <v>1111</v>
      </c>
      <c r="B1144" s="6" t="s">
        <v>1111</v>
      </c>
      <c r="C1144" s="6" t="s">
        <v>2449</v>
      </c>
      <c r="D1144" s="2">
        <v>53322</v>
      </c>
    </row>
    <row r="1145" spans="1:4" x14ac:dyDescent="0.25">
      <c r="A1145" s="7" t="s">
        <v>1112</v>
      </c>
      <c r="B1145" s="7" t="s">
        <v>1112</v>
      </c>
      <c r="C1145" s="7" t="s">
        <v>2450</v>
      </c>
      <c r="D1145" s="3">
        <v>53333</v>
      </c>
    </row>
    <row r="1146" spans="1:4" x14ac:dyDescent="0.25">
      <c r="A1146" s="6" t="s">
        <v>1113</v>
      </c>
      <c r="B1146" s="6" t="s">
        <v>1113</v>
      </c>
      <c r="C1146" s="6" t="s">
        <v>2451</v>
      </c>
      <c r="D1146" s="2">
        <v>53344</v>
      </c>
    </row>
    <row r="1147" spans="1:4" x14ac:dyDescent="0.25">
      <c r="A1147" s="7" t="s">
        <v>1114</v>
      </c>
      <c r="B1147" s="7" t="s">
        <v>1114</v>
      </c>
      <c r="C1147" s="7" t="s">
        <v>1114</v>
      </c>
      <c r="D1147" s="3">
        <v>53355</v>
      </c>
    </row>
    <row r="1148" spans="1:4" x14ac:dyDescent="0.25">
      <c r="A1148" s="6" t="s">
        <v>1115</v>
      </c>
      <c r="B1148" s="6" t="s">
        <v>1115</v>
      </c>
      <c r="C1148" s="6" t="s">
        <v>2452</v>
      </c>
      <c r="D1148" s="2">
        <v>53366</v>
      </c>
    </row>
    <row r="1149" spans="1:4" x14ac:dyDescent="0.25">
      <c r="A1149" s="7" t="s">
        <v>1116</v>
      </c>
      <c r="B1149" s="7" t="s">
        <v>1116</v>
      </c>
      <c r="C1149" s="7" t="s">
        <v>2453</v>
      </c>
      <c r="D1149" s="3">
        <v>53375</v>
      </c>
    </row>
    <row r="1150" spans="1:4" x14ac:dyDescent="0.25">
      <c r="A1150" s="6" t="s">
        <v>1117</v>
      </c>
      <c r="B1150" s="6" t="s">
        <v>1117</v>
      </c>
      <c r="C1150" s="6" t="s">
        <v>2454</v>
      </c>
      <c r="D1150" s="2">
        <v>53377</v>
      </c>
    </row>
    <row r="1151" spans="1:4" x14ac:dyDescent="0.25">
      <c r="A1151" s="7" t="s">
        <v>2955</v>
      </c>
      <c r="B1151" s="7" t="s">
        <v>1118</v>
      </c>
      <c r="C1151" s="7" t="s">
        <v>2455</v>
      </c>
      <c r="D1151" s="3">
        <v>53388</v>
      </c>
    </row>
    <row r="1152" spans="1:4" x14ac:dyDescent="0.25">
      <c r="A1152" s="6" t="s">
        <v>1119</v>
      </c>
      <c r="B1152" s="6" t="s">
        <v>1119</v>
      </c>
      <c r="C1152" s="6" t="s">
        <v>2029</v>
      </c>
      <c r="D1152" s="2">
        <v>53411</v>
      </c>
    </row>
    <row r="1153" spans="1:4" x14ac:dyDescent="0.25">
      <c r="A1153" s="7" t="s">
        <v>1120</v>
      </c>
      <c r="B1153" s="7" t="s">
        <v>1120</v>
      </c>
      <c r="C1153" s="7" t="s">
        <v>2456</v>
      </c>
      <c r="D1153" s="3">
        <v>53413</v>
      </c>
    </row>
    <row r="1154" spans="1:4" x14ac:dyDescent="0.25">
      <c r="A1154" s="6" t="s">
        <v>1121</v>
      </c>
      <c r="B1154" s="6" t="s">
        <v>1121</v>
      </c>
      <c r="C1154" s="6" t="s">
        <v>2457</v>
      </c>
      <c r="D1154" s="2">
        <v>53415</v>
      </c>
    </row>
    <row r="1155" spans="1:4" x14ac:dyDescent="0.25">
      <c r="A1155" s="7" t="s">
        <v>1122</v>
      </c>
      <c r="B1155" s="7" t="s">
        <v>1122</v>
      </c>
      <c r="C1155" s="7" t="s">
        <v>2458</v>
      </c>
      <c r="D1155" s="3">
        <v>53417</v>
      </c>
    </row>
    <row r="1156" spans="1:4" x14ac:dyDescent="0.25">
      <c r="A1156" s="6" t="s">
        <v>1123</v>
      </c>
      <c r="B1156" s="6" t="s">
        <v>1123</v>
      </c>
      <c r="C1156" s="6" t="s">
        <v>2459</v>
      </c>
      <c r="D1156" s="2">
        <v>53419</v>
      </c>
    </row>
    <row r="1157" spans="1:4" x14ac:dyDescent="0.25">
      <c r="A1157" s="7" t="s">
        <v>2956</v>
      </c>
      <c r="B1157" s="7" t="s">
        <v>1124</v>
      </c>
      <c r="C1157" s="7" t="s">
        <v>2460</v>
      </c>
      <c r="D1157" s="3">
        <v>53421</v>
      </c>
    </row>
    <row r="1158" spans="1:4" x14ac:dyDescent="0.25">
      <c r="A1158" s="6" t="s">
        <v>1125</v>
      </c>
      <c r="B1158" s="6" t="s">
        <v>1125</v>
      </c>
      <c r="C1158" s="6" t="s">
        <v>2461</v>
      </c>
      <c r="D1158" s="2">
        <v>53423</v>
      </c>
    </row>
    <row r="1159" spans="1:4" x14ac:dyDescent="0.25">
      <c r="A1159" s="7" t="s">
        <v>1126</v>
      </c>
      <c r="B1159" s="7" t="s">
        <v>1126</v>
      </c>
      <c r="C1159" s="7" t="s">
        <v>2462</v>
      </c>
      <c r="D1159" s="3">
        <v>53425</v>
      </c>
    </row>
    <row r="1160" spans="1:4" x14ac:dyDescent="0.25">
      <c r="A1160" s="6" t="s">
        <v>1127</v>
      </c>
      <c r="B1160" s="6" t="s">
        <v>1127</v>
      </c>
      <c r="C1160" s="6" t="s">
        <v>2463</v>
      </c>
      <c r="D1160" s="2">
        <v>53427</v>
      </c>
    </row>
    <row r="1161" spans="1:4" x14ac:dyDescent="0.25">
      <c r="A1161" s="7" t="s">
        <v>1128</v>
      </c>
      <c r="B1161" s="7" t="s">
        <v>1128</v>
      </c>
      <c r="C1161" s="7" t="s">
        <v>2464</v>
      </c>
      <c r="D1161" s="3">
        <v>53429</v>
      </c>
    </row>
    <row r="1162" spans="1:4" x14ac:dyDescent="0.25">
      <c r="A1162" s="6" t="s">
        <v>1129</v>
      </c>
      <c r="B1162" s="6" t="s">
        <v>1129</v>
      </c>
      <c r="C1162" s="6" t="s">
        <v>2465</v>
      </c>
      <c r="D1162" s="2">
        <v>53431</v>
      </c>
    </row>
    <row r="1163" spans="1:4" x14ac:dyDescent="0.25">
      <c r="A1163" s="7" t="s">
        <v>1130</v>
      </c>
      <c r="B1163" s="7" t="s">
        <v>1130</v>
      </c>
      <c r="C1163" s="7" t="s">
        <v>2466</v>
      </c>
      <c r="D1163" s="3">
        <v>53433</v>
      </c>
    </row>
    <row r="1164" spans="1:4" x14ac:dyDescent="0.25">
      <c r="A1164" s="6" t="s">
        <v>1131</v>
      </c>
      <c r="B1164" s="6" t="s">
        <v>1131</v>
      </c>
      <c r="C1164" s="6" t="s">
        <v>2467</v>
      </c>
      <c r="D1164" s="2">
        <v>53435</v>
      </c>
    </row>
    <row r="1165" spans="1:4" x14ac:dyDescent="0.25">
      <c r="A1165" s="7" t="s">
        <v>1132</v>
      </c>
      <c r="B1165" s="7" t="s">
        <v>1132</v>
      </c>
      <c r="C1165" s="7" t="s">
        <v>2468</v>
      </c>
      <c r="D1165" s="3">
        <v>53437</v>
      </c>
    </row>
    <row r="1166" spans="1:4" x14ac:dyDescent="0.25">
      <c r="A1166" s="6" t="s">
        <v>1133</v>
      </c>
      <c r="B1166" s="6" t="s">
        <v>1133</v>
      </c>
      <c r="C1166" s="6" t="s">
        <v>1133</v>
      </c>
      <c r="D1166" s="2">
        <v>53439</v>
      </c>
    </row>
    <row r="1167" spans="1:4" x14ac:dyDescent="0.25">
      <c r="A1167" s="7" t="s">
        <v>1134</v>
      </c>
      <c r="B1167" s="7" t="s">
        <v>1134</v>
      </c>
      <c r="C1167" s="7" t="s">
        <v>1134</v>
      </c>
      <c r="D1167" s="3">
        <v>53441</v>
      </c>
    </row>
    <row r="1168" spans="1:4" x14ac:dyDescent="0.25">
      <c r="A1168" s="6" t="s">
        <v>1135</v>
      </c>
      <c r="B1168" s="6" t="s">
        <v>1135</v>
      </c>
      <c r="C1168" s="6" t="s">
        <v>2469</v>
      </c>
      <c r="D1168" s="2">
        <v>53443</v>
      </c>
    </row>
    <row r="1169" spans="1:4" x14ac:dyDescent="0.25">
      <c r="A1169" s="7" t="s">
        <v>1136</v>
      </c>
      <c r="B1169" s="7" t="s">
        <v>1136</v>
      </c>
      <c r="C1169" s="7" t="s">
        <v>2470</v>
      </c>
      <c r="D1169" s="3">
        <v>53445</v>
      </c>
    </row>
    <row r="1170" spans="1:4" x14ac:dyDescent="0.25">
      <c r="A1170" s="6" t="s">
        <v>1137</v>
      </c>
      <c r="B1170" s="6" t="s">
        <v>1137</v>
      </c>
      <c r="C1170" s="6" t="s">
        <v>1137</v>
      </c>
      <c r="D1170" s="2">
        <v>53447</v>
      </c>
    </row>
    <row r="1171" spans="1:4" x14ac:dyDescent="0.25">
      <c r="A1171" s="7" t="s">
        <v>1138</v>
      </c>
      <c r="B1171" s="7" t="s">
        <v>1138</v>
      </c>
      <c r="C1171" s="7" t="s">
        <v>1138</v>
      </c>
      <c r="D1171" s="3">
        <v>53449</v>
      </c>
    </row>
    <row r="1172" spans="1:4" x14ac:dyDescent="0.25">
      <c r="A1172" s="6" t="s">
        <v>1139</v>
      </c>
      <c r="B1172" s="6" t="s">
        <v>1139</v>
      </c>
      <c r="C1172" s="6" t="s">
        <v>2471</v>
      </c>
      <c r="D1172" s="2">
        <v>53451</v>
      </c>
    </row>
    <row r="1173" spans="1:4" x14ac:dyDescent="0.25">
      <c r="A1173" s="7" t="s">
        <v>1140</v>
      </c>
      <c r="B1173" s="7" t="s">
        <v>1140</v>
      </c>
      <c r="C1173" s="7" t="s">
        <v>1140</v>
      </c>
      <c r="D1173" s="3">
        <v>53453</v>
      </c>
    </row>
    <row r="1174" spans="1:4" x14ac:dyDescent="0.25">
      <c r="A1174" s="6" t="s">
        <v>1141</v>
      </c>
      <c r="B1174" s="6" t="s">
        <v>1141</v>
      </c>
      <c r="C1174" s="6" t="s">
        <v>2472</v>
      </c>
      <c r="D1174" s="2">
        <v>53455</v>
      </c>
    </row>
    <row r="1175" spans="1:4" x14ac:dyDescent="0.25">
      <c r="A1175" s="7" t="s">
        <v>1142</v>
      </c>
      <c r="B1175" s="7" t="s">
        <v>1142</v>
      </c>
      <c r="C1175" s="7" t="s">
        <v>2473</v>
      </c>
      <c r="D1175" s="3">
        <v>53457</v>
      </c>
    </row>
    <row r="1176" spans="1:4" x14ac:dyDescent="0.25">
      <c r="A1176" s="6" t="s">
        <v>1143</v>
      </c>
      <c r="B1176" s="6" t="s">
        <v>1143</v>
      </c>
      <c r="C1176" s="6" t="s">
        <v>1143</v>
      </c>
      <c r="D1176" s="2">
        <v>53459</v>
      </c>
    </row>
    <row r="1177" spans="1:4" x14ac:dyDescent="0.25">
      <c r="A1177" s="7" t="s">
        <v>1144</v>
      </c>
      <c r="B1177" s="7" t="s">
        <v>1144</v>
      </c>
      <c r="C1177" s="7" t="s">
        <v>1144</v>
      </c>
      <c r="D1177" s="3">
        <v>53461</v>
      </c>
    </row>
    <row r="1178" spans="1:4" x14ac:dyDescent="0.25">
      <c r="A1178" s="6" t="s">
        <v>1145</v>
      </c>
      <c r="B1178" s="6" t="s">
        <v>1145</v>
      </c>
      <c r="C1178" s="6" t="s">
        <v>1145</v>
      </c>
      <c r="D1178" s="2">
        <v>53463</v>
      </c>
    </row>
    <row r="1179" spans="1:4" x14ac:dyDescent="0.25">
      <c r="A1179" s="7" t="s">
        <v>1146</v>
      </c>
      <c r="B1179" s="7" t="s">
        <v>1146</v>
      </c>
      <c r="C1179" s="7" t="s">
        <v>2474</v>
      </c>
      <c r="D1179" s="3">
        <v>53465</v>
      </c>
    </row>
    <row r="1180" spans="1:4" x14ac:dyDescent="0.25">
      <c r="A1180" s="6" t="s">
        <v>1147</v>
      </c>
      <c r="B1180" s="6" t="s">
        <v>1147</v>
      </c>
      <c r="C1180" s="6" t="s">
        <v>1147</v>
      </c>
      <c r="D1180" s="2">
        <v>53467</v>
      </c>
    </row>
    <row r="1181" spans="1:4" x14ac:dyDescent="0.25">
      <c r="A1181" s="7" t="s">
        <v>2957</v>
      </c>
      <c r="B1181" s="7" t="s">
        <v>1148</v>
      </c>
      <c r="C1181" s="7" t="s">
        <v>2475</v>
      </c>
      <c r="D1181" s="3">
        <v>53469</v>
      </c>
    </row>
    <row r="1182" spans="1:4" x14ac:dyDescent="0.25">
      <c r="A1182" s="6" t="s">
        <v>1149</v>
      </c>
      <c r="B1182" s="6" t="s">
        <v>1149</v>
      </c>
      <c r="C1182" s="6" t="s">
        <v>2476</v>
      </c>
      <c r="D1182" s="2">
        <v>53471</v>
      </c>
    </row>
    <row r="1183" spans="1:4" x14ac:dyDescent="0.25">
      <c r="A1183" s="7" t="s">
        <v>1150</v>
      </c>
      <c r="B1183" s="7" t="s">
        <v>1150</v>
      </c>
      <c r="C1183" s="7" t="s">
        <v>2477</v>
      </c>
      <c r="D1183" s="3">
        <v>53473</v>
      </c>
    </row>
    <row r="1184" spans="1:4" x14ac:dyDescent="0.25">
      <c r="A1184" s="6" t="s">
        <v>1151</v>
      </c>
      <c r="B1184" s="6" t="s">
        <v>1151</v>
      </c>
      <c r="C1184" s="6" t="s">
        <v>2478</v>
      </c>
      <c r="D1184" s="2">
        <v>53475</v>
      </c>
    </row>
    <row r="1185" spans="1:4" x14ac:dyDescent="0.25">
      <c r="A1185" s="7" t="s">
        <v>1563</v>
      </c>
      <c r="B1185" s="7" t="s">
        <v>87</v>
      </c>
      <c r="C1185" s="7" t="s">
        <v>87</v>
      </c>
      <c r="D1185" s="3">
        <v>54001</v>
      </c>
    </row>
    <row r="1186" spans="1:4" x14ac:dyDescent="0.25">
      <c r="A1186" s="6" t="s">
        <v>1563</v>
      </c>
      <c r="B1186" s="6" t="s">
        <v>87</v>
      </c>
      <c r="C1186" s="6" t="s">
        <v>87</v>
      </c>
      <c r="D1186" s="2">
        <v>54002</v>
      </c>
    </row>
    <row r="1187" spans="1:4" x14ac:dyDescent="0.25">
      <c r="A1187" s="7" t="s">
        <v>1563</v>
      </c>
      <c r="B1187" s="7" t="s">
        <v>87</v>
      </c>
      <c r="C1187" s="7" t="s">
        <v>87</v>
      </c>
      <c r="D1187" s="3">
        <v>54003</v>
      </c>
    </row>
    <row r="1188" spans="1:4" x14ac:dyDescent="0.25">
      <c r="A1188" s="6" t="s">
        <v>1152</v>
      </c>
      <c r="B1188" s="6" t="s">
        <v>1152</v>
      </c>
      <c r="C1188" s="6" t="s">
        <v>1152</v>
      </c>
      <c r="D1188" s="2">
        <v>54111</v>
      </c>
    </row>
    <row r="1189" spans="1:4" x14ac:dyDescent="0.25">
      <c r="A1189" s="7" t="s">
        <v>2958</v>
      </c>
      <c r="B1189" s="7" t="s">
        <v>1153</v>
      </c>
      <c r="C1189" s="7" t="s">
        <v>1153</v>
      </c>
      <c r="D1189" s="3">
        <v>54114</v>
      </c>
    </row>
    <row r="1190" spans="1:4" x14ac:dyDescent="0.25">
      <c r="A1190" s="6" t="s">
        <v>1154</v>
      </c>
      <c r="B1190" s="6" t="s">
        <v>1154</v>
      </c>
      <c r="C1190" s="6" t="s">
        <v>2479</v>
      </c>
      <c r="D1190" s="2">
        <v>54119</v>
      </c>
    </row>
    <row r="1191" spans="1:4" x14ac:dyDescent="0.25">
      <c r="A1191" s="7" t="s">
        <v>1155</v>
      </c>
      <c r="B1191" s="7" t="s">
        <v>1155</v>
      </c>
      <c r="C1191" s="7" t="s">
        <v>2480</v>
      </c>
      <c r="D1191" s="3">
        <v>54127</v>
      </c>
    </row>
    <row r="1192" spans="1:4" x14ac:dyDescent="0.25">
      <c r="A1192" s="6" t="s">
        <v>1156</v>
      </c>
      <c r="B1192" s="6" t="s">
        <v>1156</v>
      </c>
      <c r="C1192" s="6" t="s">
        <v>2481</v>
      </c>
      <c r="D1192" s="2">
        <v>54135</v>
      </c>
    </row>
    <row r="1193" spans="1:4" x14ac:dyDescent="0.25">
      <c r="A1193" s="7" t="s">
        <v>1157</v>
      </c>
      <c r="B1193" s="7" t="s">
        <v>1157</v>
      </c>
      <c r="C1193" s="7" t="s">
        <v>2482</v>
      </c>
      <c r="D1193" s="3">
        <v>54143</v>
      </c>
    </row>
    <row r="1194" spans="1:4" x14ac:dyDescent="0.25">
      <c r="A1194" s="6" t="s">
        <v>1158</v>
      </c>
      <c r="B1194" s="6" t="s">
        <v>1158</v>
      </c>
      <c r="C1194" s="6" t="s">
        <v>1158</v>
      </c>
      <c r="D1194" s="2">
        <v>54151</v>
      </c>
    </row>
    <row r="1195" spans="1:4" x14ac:dyDescent="0.25">
      <c r="A1195" s="7" t="s">
        <v>1159</v>
      </c>
      <c r="B1195" s="7" t="s">
        <v>1159</v>
      </c>
      <c r="C1195" s="7" t="s">
        <v>2483</v>
      </c>
      <c r="D1195" s="3">
        <v>54159</v>
      </c>
    </row>
    <row r="1196" spans="1:4" x14ac:dyDescent="0.25">
      <c r="A1196" s="6" t="s">
        <v>1160</v>
      </c>
      <c r="B1196" s="6" t="s">
        <v>1160</v>
      </c>
      <c r="C1196" s="6" t="s">
        <v>2484</v>
      </c>
      <c r="D1196" s="2">
        <v>54167</v>
      </c>
    </row>
    <row r="1197" spans="1:4" x14ac:dyDescent="0.25">
      <c r="A1197" s="7" t="s">
        <v>1161</v>
      </c>
      <c r="B1197" s="7" t="s">
        <v>1161</v>
      </c>
      <c r="C1197" s="7" t="s">
        <v>2485</v>
      </c>
      <c r="D1197" s="3">
        <v>54175</v>
      </c>
    </row>
    <row r="1198" spans="1:4" x14ac:dyDescent="0.25">
      <c r="A1198" s="6" t="s">
        <v>1162</v>
      </c>
      <c r="B1198" s="6" t="s">
        <v>1162</v>
      </c>
      <c r="C1198" s="6" t="s">
        <v>2486</v>
      </c>
      <c r="D1198" s="2">
        <v>54183</v>
      </c>
    </row>
    <row r="1199" spans="1:4" x14ac:dyDescent="0.25">
      <c r="A1199" s="7" t="s">
        <v>1563</v>
      </c>
      <c r="B1199" s="7" t="s">
        <v>87</v>
      </c>
      <c r="C1199" s="7" t="s">
        <v>87</v>
      </c>
      <c r="D1199" s="3">
        <v>55001</v>
      </c>
    </row>
    <row r="1200" spans="1:4" x14ac:dyDescent="0.25">
      <c r="A1200" s="6" t="s">
        <v>1563</v>
      </c>
      <c r="B1200" s="6" t="s">
        <v>87</v>
      </c>
      <c r="C1200" s="6" t="s">
        <v>87</v>
      </c>
      <c r="D1200" s="2">
        <v>55002</v>
      </c>
    </row>
    <row r="1201" spans="1:4" x14ac:dyDescent="0.25">
      <c r="A1201" s="7" t="s">
        <v>1563</v>
      </c>
      <c r="B1201" s="7" t="s">
        <v>87</v>
      </c>
      <c r="C1201" s="7" t="s">
        <v>87</v>
      </c>
      <c r="D1201" s="3">
        <v>55003</v>
      </c>
    </row>
    <row r="1202" spans="1:4" x14ac:dyDescent="0.25">
      <c r="A1202" s="6" t="s">
        <v>1563</v>
      </c>
      <c r="B1202" s="6" t="s">
        <v>87</v>
      </c>
      <c r="C1202" s="6" t="s">
        <v>87</v>
      </c>
      <c r="D1202" s="2">
        <v>55004</v>
      </c>
    </row>
    <row r="1203" spans="1:4" x14ac:dyDescent="0.25">
      <c r="A1203" s="7" t="s">
        <v>1563</v>
      </c>
      <c r="B1203" s="7" t="s">
        <v>87</v>
      </c>
      <c r="C1203" s="7" t="s">
        <v>87</v>
      </c>
      <c r="D1203" s="3">
        <v>55005</v>
      </c>
    </row>
    <row r="1204" spans="1:4" x14ac:dyDescent="0.25">
      <c r="A1204" s="6" t="s">
        <v>1563</v>
      </c>
      <c r="B1204" s="6" t="s">
        <v>87</v>
      </c>
      <c r="C1204" s="6" t="s">
        <v>87</v>
      </c>
      <c r="D1204" s="2">
        <v>55006</v>
      </c>
    </row>
    <row r="1205" spans="1:4" x14ac:dyDescent="0.25">
      <c r="A1205" s="7" t="s">
        <v>1563</v>
      </c>
      <c r="B1205" s="7" t="s">
        <v>87</v>
      </c>
      <c r="C1205" s="7" t="s">
        <v>87</v>
      </c>
      <c r="D1205" s="3">
        <v>55007</v>
      </c>
    </row>
    <row r="1206" spans="1:4" x14ac:dyDescent="0.25">
      <c r="A1206" s="6" t="s">
        <v>1563</v>
      </c>
      <c r="B1206" s="6" t="s">
        <v>87</v>
      </c>
      <c r="C1206" s="6" t="s">
        <v>87</v>
      </c>
      <c r="D1206" s="2">
        <v>55008</v>
      </c>
    </row>
    <row r="1207" spans="1:4" x14ac:dyDescent="0.25">
      <c r="A1207" s="7" t="s">
        <v>1563</v>
      </c>
      <c r="B1207" s="7" t="s">
        <v>87</v>
      </c>
      <c r="C1207" s="7" t="s">
        <v>87</v>
      </c>
      <c r="D1207" s="3">
        <v>55009</v>
      </c>
    </row>
    <row r="1208" spans="1:4" x14ac:dyDescent="0.25">
      <c r="A1208" s="6" t="s">
        <v>1563</v>
      </c>
      <c r="B1208" s="6" t="s">
        <v>87</v>
      </c>
      <c r="C1208" s="6" t="s">
        <v>87</v>
      </c>
      <c r="D1208" s="2">
        <v>55010</v>
      </c>
    </row>
    <row r="1209" spans="1:4" x14ac:dyDescent="0.25">
      <c r="A1209" s="7" t="s">
        <v>1163</v>
      </c>
      <c r="B1209" s="7" t="s">
        <v>1163</v>
      </c>
      <c r="C1209" s="7" t="s">
        <v>2487</v>
      </c>
      <c r="D1209" s="3">
        <v>55111</v>
      </c>
    </row>
    <row r="1210" spans="1:4" x14ac:dyDescent="0.25">
      <c r="A1210" s="6" t="s">
        <v>1164</v>
      </c>
      <c r="B1210" s="6" t="s">
        <v>1164</v>
      </c>
      <c r="C1210" s="6" t="s">
        <v>2488</v>
      </c>
      <c r="D1210" s="2">
        <v>55114</v>
      </c>
    </row>
    <row r="1211" spans="1:4" x14ac:dyDescent="0.25">
      <c r="A1211" s="7" t="s">
        <v>1165</v>
      </c>
      <c r="B1211" s="7" t="s">
        <v>1165</v>
      </c>
      <c r="C1211" s="7" t="s">
        <v>2489</v>
      </c>
      <c r="D1211" s="3">
        <v>55117</v>
      </c>
    </row>
    <row r="1212" spans="1:4" x14ac:dyDescent="0.25">
      <c r="A1212" s="6" t="s">
        <v>1166</v>
      </c>
      <c r="B1212" s="6" t="s">
        <v>1166</v>
      </c>
      <c r="C1212" s="6" t="s">
        <v>2490</v>
      </c>
      <c r="D1212" s="2">
        <v>55121</v>
      </c>
    </row>
    <row r="1213" spans="1:4" x14ac:dyDescent="0.25">
      <c r="A1213" s="7" t="s">
        <v>1167</v>
      </c>
      <c r="B1213" s="7" t="s">
        <v>1167</v>
      </c>
      <c r="C1213" s="7" t="s">
        <v>1167</v>
      </c>
      <c r="D1213" s="3">
        <v>55124</v>
      </c>
    </row>
    <row r="1214" spans="1:4" x14ac:dyDescent="0.25">
      <c r="A1214" s="6" t="s">
        <v>1168</v>
      </c>
      <c r="B1214" s="6" t="s">
        <v>1168</v>
      </c>
      <c r="C1214" s="6" t="s">
        <v>1168</v>
      </c>
      <c r="D1214" s="2">
        <v>55127</v>
      </c>
    </row>
    <row r="1215" spans="1:4" x14ac:dyDescent="0.25">
      <c r="A1215" s="7" t="s">
        <v>1169</v>
      </c>
      <c r="B1215" s="7" t="s">
        <v>1169</v>
      </c>
      <c r="C1215" s="7" t="s">
        <v>1169</v>
      </c>
      <c r="D1215" s="3">
        <v>55131</v>
      </c>
    </row>
    <row r="1216" spans="1:4" x14ac:dyDescent="0.25">
      <c r="A1216" s="6" t="s">
        <v>1170</v>
      </c>
      <c r="B1216" s="6" t="s">
        <v>1170</v>
      </c>
      <c r="C1216" s="6" t="s">
        <v>2491</v>
      </c>
      <c r="D1216" s="2">
        <v>55134</v>
      </c>
    </row>
    <row r="1217" spans="1:4" x14ac:dyDescent="0.25">
      <c r="A1217" s="7" t="s">
        <v>1171</v>
      </c>
      <c r="B1217" s="7" t="s">
        <v>1171</v>
      </c>
      <c r="C1217" s="7" t="s">
        <v>2492</v>
      </c>
      <c r="D1217" s="3">
        <v>55137</v>
      </c>
    </row>
    <row r="1218" spans="1:4" x14ac:dyDescent="0.25">
      <c r="A1218" s="6" t="s">
        <v>2959</v>
      </c>
      <c r="B1218" s="6" t="s">
        <v>1172</v>
      </c>
      <c r="C1218" s="6" t="s">
        <v>2493</v>
      </c>
      <c r="D1218" s="2">
        <v>55141</v>
      </c>
    </row>
    <row r="1219" spans="1:4" x14ac:dyDescent="0.25">
      <c r="A1219" s="7" t="s">
        <v>1173</v>
      </c>
      <c r="B1219" s="7" t="s">
        <v>1173</v>
      </c>
      <c r="C1219" s="7" t="s">
        <v>2494</v>
      </c>
      <c r="D1219" s="3">
        <v>55144</v>
      </c>
    </row>
    <row r="1220" spans="1:4" x14ac:dyDescent="0.25">
      <c r="A1220" s="6" t="s">
        <v>1174</v>
      </c>
      <c r="B1220" s="6" t="s">
        <v>1174</v>
      </c>
      <c r="C1220" s="6" t="s">
        <v>2495</v>
      </c>
      <c r="D1220" s="2">
        <v>55147</v>
      </c>
    </row>
    <row r="1221" spans="1:4" x14ac:dyDescent="0.25">
      <c r="A1221" s="7" t="s">
        <v>1175</v>
      </c>
      <c r="B1221" s="7" t="s">
        <v>1175</v>
      </c>
      <c r="C1221" s="7" t="s">
        <v>2496</v>
      </c>
      <c r="D1221" s="3">
        <v>55151</v>
      </c>
    </row>
    <row r="1222" spans="1:4" x14ac:dyDescent="0.25">
      <c r="A1222" s="6" t="s">
        <v>1176</v>
      </c>
      <c r="B1222" s="6" t="s">
        <v>1176</v>
      </c>
      <c r="C1222" s="6" t="s">
        <v>2497</v>
      </c>
      <c r="D1222" s="2">
        <v>55154</v>
      </c>
    </row>
    <row r="1223" spans="1:4" x14ac:dyDescent="0.25">
      <c r="A1223" s="7" t="s">
        <v>1177</v>
      </c>
      <c r="B1223" s="7" t="s">
        <v>1177</v>
      </c>
      <c r="C1223" s="7" t="s">
        <v>2498</v>
      </c>
      <c r="D1223" s="3">
        <v>55157</v>
      </c>
    </row>
    <row r="1224" spans="1:4" x14ac:dyDescent="0.25">
      <c r="A1224" s="6" t="s">
        <v>2960</v>
      </c>
      <c r="B1224" s="6" t="s">
        <v>1178</v>
      </c>
      <c r="C1224" s="6" t="s">
        <v>2499</v>
      </c>
      <c r="D1224" s="2">
        <v>55161</v>
      </c>
    </row>
    <row r="1225" spans="1:4" x14ac:dyDescent="0.25">
      <c r="A1225" s="7" t="s">
        <v>1179</v>
      </c>
      <c r="B1225" s="7" t="s">
        <v>1179</v>
      </c>
      <c r="C1225" s="7" t="s">
        <v>1763</v>
      </c>
      <c r="D1225" s="3">
        <v>55164</v>
      </c>
    </row>
    <row r="1226" spans="1:4" x14ac:dyDescent="0.25">
      <c r="A1226" s="6" t="s">
        <v>1180</v>
      </c>
      <c r="B1226" s="6" t="s">
        <v>1180</v>
      </c>
      <c r="C1226" s="6" t="s">
        <v>2500</v>
      </c>
      <c r="D1226" s="2">
        <v>55167</v>
      </c>
    </row>
    <row r="1227" spans="1:4" x14ac:dyDescent="0.25">
      <c r="A1227" s="7" t="s">
        <v>1181</v>
      </c>
      <c r="B1227" s="7" t="s">
        <v>1181</v>
      </c>
      <c r="C1227" s="7" t="s">
        <v>2501</v>
      </c>
      <c r="D1227" s="3">
        <v>55171</v>
      </c>
    </row>
    <row r="1228" spans="1:4" x14ac:dyDescent="0.25">
      <c r="A1228" s="6" t="s">
        <v>1182</v>
      </c>
      <c r="B1228" s="6" t="s">
        <v>1182</v>
      </c>
      <c r="C1228" s="6" t="s">
        <v>2502</v>
      </c>
      <c r="D1228" s="2">
        <v>55174</v>
      </c>
    </row>
    <row r="1229" spans="1:4" x14ac:dyDescent="0.25">
      <c r="A1229" s="7" t="s">
        <v>1183</v>
      </c>
      <c r="B1229" s="7" t="s">
        <v>1183</v>
      </c>
      <c r="C1229" s="7" t="s">
        <v>1183</v>
      </c>
      <c r="D1229" s="3">
        <v>55177</v>
      </c>
    </row>
    <row r="1230" spans="1:4" x14ac:dyDescent="0.25">
      <c r="A1230" s="6" t="s">
        <v>1184</v>
      </c>
      <c r="B1230" s="6" t="s">
        <v>1184</v>
      </c>
      <c r="C1230" s="6" t="s">
        <v>1184</v>
      </c>
      <c r="D1230" s="2">
        <v>55181</v>
      </c>
    </row>
    <row r="1231" spans="1:4" x14ac:dyDescent="0.25">
      <c r="A1231" s="7" t="s">
        <v>1185</v>
      </c>
      <c r="B1231" s="7" t="s">
        <v>1185</v>
      </c>
      <c r="C1231" s="7" t="s">
        <v>1185</v>
      </c>
      <c r="D1231" s="3">
        <v>55184</v>
      </c>
    </row>
    <row r="1232" spans="1:4" x14ac:dyDescent="0.25">
      <c r="A1232" s="6" t="s">
        <v>1186</v>
      </c>
      <c r="B1232" s="6" t="s">
        <v>1186</v>
      </c>
      <c r="C1232" s="6" t="s">
        <v>2503</v>
      </c>
      <c r="D1232" s="2">
        <v>55187</v>
      </c>
    </row>
    <row r="1233" spans="1:4" x14ac:dyDescent="0.25">
      <c r="A1233" s="7" t="s">
        <v>1187</v>
      </c>
      <c r="B1233" s="7" t="s">
        <v>1187</v>
      </c>
      <c r="C1233" s="7" t="s">
        <v>2504</v>
      </c>
      <c r="D1233" s="3">
        <v>55191</v>
      </c>
    </row>
    <row r="1234" spans="1:4" x14ac:dyDescent="0.25">
      <c r="A1234" s="6" t="s">
        <v>1188</v>
      </c>
      <c r="B1234" s="6" t="s">
        <v>1188</v>
      </c>
      <c r="C1234" s="6" t="s">
        <v>2505</v>
      </c>
      <c r="D1234" s="2">
        <v>55194</v>
      </c>
    </row>
    <row r="1235" spans="1:4" x14ac:dyDescent="0.25">
      <c r="A1235" s="7" t="s">
        <v>1189</v>
      </c>
      <c r="B1235" s="7" t="s">
        <v>1189</v>
      </c>
      <c r="C1235" s="7" t="s">
        <v>2506</v>
      </c>
      <c r="D1235" s="3">
        <v>55197</v>
      </c>
    </row>
    <row r="1236" spans="1:4" x14ac:dyDescent="0.25">
      <c r="A1236" s="6" t="s">
        <v>1190</v>
      </c>
      <c r="B1236" s="6" t="s">
        <v>1190</v>
      </c>
      <c r="C1236" s="6" t="s">
        <v>1190</v>
      </c>
      <c r="D1236" s="2">
        <v>55199</v>
      </c>
    </row>
    <row r="1237" spans="1:4" x14ac:dyDescent="0.25">
      <c r="A1237" s="7" t="s">
        <v>1563</v>
      </c>
      <c r="B1237" s="7" t="s">
        <v>87</v>
      </c>
      <c r="C1237" s="7" t="s">
        <v>87</v>
      </c>
      <c r="D1237" s="3">
        <v>61001</v>
      </c>
    </row>
    <row r="1238" spans="1:4" x14ac:dyDescent="0.25">
      <c r="A1238" s="6" t="s">
        <v>1191</v>
      </c>
      <c r="B1238" s="6" t="s">
        <v>1191</v>
      </c>
      <c r="C1238" s="6" t="s">
        <v>2507</v>
      </c>
      <c r="D1238" s="2">
        <v>61111</v>
      </c>
    </row>
    <row r="1239" spans="1:4" x14ac:dyDescent="0.25">
      <c r="A1239" s="7" t="s">
        <v>1192</v>
      </c>
      <c r="B1239" s="7" t="s">
        <v>1192</v>
      </c>
      <c r="C1239" s="7" t="s">
        <v>2508</v>
      </c>
      <c r="D1239" s="3">
        <v>61115</v>
      </c>
    </row>
    <row r="1240" spans="1:4" x14ac:dyDescent="0.25">
      <c r="A1240" s="6" t="s">
        <v>1193</v>
      </c>
      <c r="B1240" s="6" t="s">
        <v>1193</v>
      </c>
      <c r="C1240" s="6" t="s">
        <v>2509</v>
      </c>
      <c r="D1240" s="2">
        <v>61119</v>
      </c>
    </row>
    <row r="1241" spans="1:4" x14ac:dyDescent="0.25">
      <c r="A1241" s="7" t="s">
        <v>2961</v>
      </c>
      <c r="B1241" s="7" t="s">
        <v>1194</v>
      </c>
      <c r="C1241" s="7" t="s">
        <v>2510</v>
      </c>
      <c r="D1241" s="3">
        <v>61123</v>
      </c>
    </row>
    <row r="1242" spans="1:4" x14ac:dyDescent="0.25">
      <c r="A1242" s="6" t="s">
        <v>2962</v>
      </c>
      <c r="B1242" s="6" t="s">
        <v>1195</v>
      </c>
      <c r="C1242" s="6" t="s">
        <v>2511</v>
      </c>
      <c r="D1242" s="2">
        <v>61147</v>
      </c>
    </row>
    <row r="1243" spans="1:4" x14ac:dyDescent="0.25">
      <c r="A1243" s="7" t="s">
        <v>1196</v>
      </c>
      <c r="B1243" s="7" t="s">
        <v>1196</v>
      </c>
      <c r="C1243" s="7" t="s">
        <v>2512</v>
      </c>
      <c r="D1243" s="3">
        <v>61159</v>
      </c>
    </row>
    <row r="1244" spans="1:4" x14ac:dyDescent="0.25">
      <c r="A1244" s="6" t="s">
        <v>2963</v>
      </c>
      <c r="B1244" s="6" t="s">
        <v>1197</v>
      </c>
      <c r="C1244" s="6" t="s">
        <v>2513</v>
      </c>
      <c r="D1244" s="2">
        <v>61183</v>
      </c>
    </row>
    <row r="1245" spans="1:4" x14ac:dyDescent="0.25">
      <c r="A1245" s="7" t="s">
        <v>1198</v>
      </c>
      <c r="B1245" s="7" t="s">
        <v>1198</v>
      </c>
      <c r="C1245" s="7" t="s">
        <v>2514</v>
      </c>
      <c r="D1245" s="3">
        <v>61211</v>
      </c>
    </row>
    <row r="1246" spans="1:4" x14ac:dyDescent="0.25">
      <c r="A1246" s="6" t="s">
        <v>1199</v>
      </c>
      <c r="B1246" s="6" t="s">
        <v>1199</v>
      </c>
      <c r="C1246" s="6" t="s">
        <v>2034</v>
      </c>
      <c r="D1246" s="2">
        <v>61222</v>
      </c>
    </row>
    <row r="1247" spans="1:4" x14ac:dyDescent="0.25">
      <c r="A1247" s="7" t="s">
        <v>1200</v>
      </c>
      <c r="B1247" s="7" t="s">
        <v>1200</v>
      </c>
      <c r="C1247" s="7" t="s">
        <v>2515</v>
      </c>
      <c r="D1247" s="3">
        <v>61233</v>
      </c>
    </row>
    <row r="1248" spans="1:4" x14ac:dyDescent="0.25">
      <c r="A1248" s="6" t="s">
        <v>1201</v>
      </c>
      <c r="B1248" s="6" t="s">
        <v>1201</v>
      </c>
      <c r="C1248" s="6" t="s">
        <v>2516</v>
      </c>
      <c r="D1248" s="2">
        <v>61244</v>
      </c>
    </row>
    <row r="1249" spans="1:4" x14ac:dyDescent="0.25">
      <c r="A1249" s="7" t="s">
        <v>1202</v>
      </c>
      <c r="B1249" s="7" t="s">
        <v>1202</v>
      </c>
      <c r="C1249" s="7" t="s">
        <v>2517</v>
      </c>
      <c r="D1249" s="3">
        <v>61255</v>
      </c>
    </row>
    <row r="1250" spans="1:4" x14ac:dyDescent="0.25">
      <c r="A1250" s="6" t="s">
        <v>1203</v>
      </c>
      <c r="B1250" s="6" t="s">
        <v>1203</v>
      </c>
      <c r="C1250" s="6" t="s">
        <v>1203</v>
      </c>
      <c r="D1250" s="2">
        <v>61266</v>
      </c>
    </row>
    <row r="1251" spans="1:4" x14ac:dyDescent="0.25">
      <c r="A1251" s="7" t="s">
        <v>1204</v>
      </c>
      <c r="B1251" s="7" t="s">
        <v>1204</v>
      </c>
      <c r="C1251" s="7" t="s">
        <v>2518</v>
      </c>
      <c r="D1251" s="3">
        <v>61277</v>
      </c>
    </row>
    <row r="1252" spans="1:4" x14ac:dyDescent="0.25">
      <c r="A1252" s="6" t="s">
        <v>2964</v>
      </c>
      <c r="B1252" s="6" t="s">
        <v>1205</v>
      </c>
      <c r="C1252" s="6" t="s">
        <v>2519</v>
      </c>
      <c r="D1252" s="2">
        <v>61311</v>
      </c>
    </row>
    <row r="1253" spans="1:4" x14ac:dyDescent="0.25">
      <c r="A1253" s="7" t="s">
        <v>2965</v>
      </c>
      <c r="B1253" s="7" t="s">
        <v>1206</v>
      </c>
      <c r="C1253" s="7" t="s">
        <v>1206</v>
      </c>
      <c r="D1253" s="3">
        <v>61323</v>
      </c>
    </row>
    <row r="1254" spans="1:4" x14ac:dyDescent="0.25">
      <c r="A1254" s="6" t="s">
        <v>1207</v>
      </c>
      <c r="B1254" s="6" t="s">
        <v>1207</v>
      </c>
      <c r="C1254" s="6" t="s">
        <v>2520</v>
      </c>
      <c r="D1254" s="2">
        <v>61335</v>
      </c>
    </row>
    <row r="1255" spans="1:4" x14ac:dyDescent="0.25">
      <c r="A1255" s="7" t="s">
        <v>1208</v>
      </c>
      <c r="B1255" s="7" t="s">
        <v>1208</v>
      </c>
      <c r="C1255" s="7" t="s">
        <v>2521</v>
      </c>
      <c r="D1255" s="3">
        <v>61347</v>
      </c>
    </row>
    <row r="1256" spans="1:4" x14ac:dyDescent="0.25">
      <c r="A1256" s="6" t="s">
        <v>1209</v>
      </c>
      <c r="B1256" s="6" t="s">
        <v>1209</v>
      </c>
      <c r="C1256" s="6" t="s">
        <v>1209</v>
      </c>
      <c r="D1256" s="2">
        <v>61359</v>
      </c>
    </row>
    <row r="1257" spans="1:4" x14ac:dyDescent="0.25">
      <c r="A1257" s="7" t="s">
        <v>1210</v>
      </c>
      <c r="B1257" s="7" t="s">
        <v>1210</v>
      </c>
      <c r="C1257" s="7" t="s">
        <v>2522</v>
      </c>
      <c r="D1257" s="3">
        <v>61371</v>
      </c>
    </row>
    <row r="1258" spans="1:4" x14ac:dyDescent="0.25">
      <c r="A1258" s="6" t="s">
        <v>1211</v>
      </c>
      <c r="B1258" s="6" t="s">
        <v>1211</v>
      </c>
      <c r="C1258" s="6" t="s">
        <v>2523</v>
      </c>
      <c r="D1258" s="2">
        <v>61383</v>
      </c>
    </row>
    <row r="1259" spans="1:4" x14ac:dyDescent="0.25">
      <c r="A1259" s="7" t="s">
        <v>1212</v>
      </c>
      <c r="B1259" s="7" t="s">
        <v>1212</v>
      </c>
      <c r="C1259" s="7" t="s">
        <v>2524</v>
      </c>
      <c r="D1259" s="3">
        <v>61411</v>
      </c>
    </row>
    <row r="1260" spans="1:4" x14ac:dyDescent="0.25">
      <c r="A1260" s="6" t="s">
        <v>2966</v>
      </c>
      <c r="B1260" s="6" t="s">
        <v>1213</v>
      </c>
      <c r="C1260" s="6" t="s">
        <v>2525</v>
      </c>
      <c r="D1260" s="2">
        <v>61412</v>
      </c>
    </row>
    <row r="1261" spans="1:4" x14ac:dyDescent="0.25">
      <c r="A1261" s="7" t="s">
        <v>1214</v>
      </c>
      <c r="B1261" s="7" t="s">
        <v>1214</v>
      </c>
      <c r="C1261" s="7" t="s">
        <v>2526</v>
      </c>
      <c r="D1261" s="3">
        <v>61414</v>
      </c>
    </row>
    <row r="1262" spans="1:4" x14ac:dyDescent="0.25">
      <c r="A1262" s="6" t="s">
        <v>1215</v>
      </c>
      <c r="B1262" s="6" t="s">
        <v>1215</v>
      </c>
      <c r="C1262" s="6" t="s">
        <v>2527</v>
      </c>
      <c r="D1262" s="2">
        <v>61415</v>
      </c>
    </row>
    <row r="1263" spans="1:4" x14ac:dyDescent="0.25">
      <c r="A1263" s="7" t="s">
        <v>1216</v>
      </c>
      <c r="B1263" s="7" t="s">
        <v>1216</v>
      </c>
      <c r="C1263" s="7" t="s">
        <v>2528</v>
      </c>
      <c r="D1263" s="3">
        <v>61417</v>
      </c>
    </row>
    <row r="1264" spans="1:4" x14ac:dyDescent="0.25">
      <c r="A1264" s="6" t="s">
        <v>1217</v>
      </c>
      <c r="B1264" s="6" t="s">
        <v>1217</v>
      </c>
      <c r="C1264" s="6" t="s">
        <v>2529</v>
      </c>
      <c r="D1264" s="2">
        <v>61418</v>
      </c>
    </row>
    <row r="1265" spans="1:4" x14ac:dyDescent="0.25">
      <c r="A1265" s="7" t="s">
        <v>1218</v>
      </c>
      <c r="B1265" s="7" t="s">
        <v>1218</v>
      </c>
      <c r="C1265" s="7" t="s">
        <v>2530</v>
      </c>
      <c r="D1265" s="3">
        <v>61419</v>
      </c>
    </row>
    <row r="1266" spans="1:4" x14ac:dyDescent="0.25">
      <c r="A1266" s="6" t="s">
        <v>1219</v>
      </c>
      <c r="B1266" s="6" t="s">
        <v>1219</v>
      </c>
      <c r="C1266" s="6" t="s">
        <v>2531</v>
      </c>
      <c r="D1266" s="2">
        <v>61421</v>
      </c>
    </row>
    <row r="1267" spans="1:4" x14ac:dyDescent="0.25">
      <c r="A1267" s="7" t="s">
        <v>2967</v>
      </c>
      <c r="B1267" s="7" t="s">
        <v>1220</v>
      </c>
      <c r="C1267" s="7" t="s">
        <v>2532</v>
      </c>
      <c r="D1267" s="3">
        <v>61423</v>
      </c>
    </row>
    <row r="1268" spans="1:4" x14ac:dyDescent="0.25">
      <c r="A1268" s="6" t="s">
        <v>2968</v>
      </c>
      <c r="B1268" s="6" t="s">
        <v>1221</v>
      </c>
      <c r="C1268" s="6" t="s">
        <v>2533</v>
      </c>
      <c r="D1268" s="2">
        <v>61424</v>
      </c>
    </row>
    <row r="1269" spans="1:4" x14ac:dyDescent="0.25">
      <c r="A1269" s="7" t="s">
        <v>1222</v>
      </c>
      <c r="B1269" s="7" t="s">
        <v>1222</v>
      </c>
      <c r="C1269" s="7" t="s">
        <v>2534</v>
      </c>
      <c r="D1269" s="3">
        <v>61426</v>
      </c>
    </row>
    <row r="1270" spans="1:4" x14ac:dyDescent="0.25">
      <c r="A1270" s="6" t="s">
        <v>2969</v>
      </c>
      <c r="B1270" s="6" t="s">
        <v>1223</v>
      </c>
      <c r="C1270" s="6" t="s">
        <v>2535</v>
      </c>
      <c r="D1270" s="2">
        <v>61427</v>
      </c>
    </row>
    <row r="1271" spans="1:4" x14ac:dyDescent="0.25">
      <c r="A1271" s="7" t="s">
        <v>1224</v>
      </c>
      <c r="B1271" s="7" t="s">
        <v>1224</v>
      </c>
      <c r="C1271" s="7" t="s">
        <v>2536</v>
      </c>
      <c r="D1271" s="3">
        <v>61429</v>
      </c>
    </row>
    <row r="1272" spans="1:4" x14ac:dyDescent="0.25">
      <c r="A1272" s="6" t="s">
        <v>1225</v>
      </c>
      <c r="B1272" s="6" t="s">
        <v>1225</v>
      </c>
      <c r="C1272" s="6" t="s">
        <v>2537</v>
      </c>
      <c r="D1272" s="2">
        <v>61431</v>
      </c>
    </row>
    <row r="1273" spans="1:4" x14ac:dyDescent="0.25">
      <c r="A1273" s="7" t="s">
        <v>1226</v>
      </c>
      <c r="B1273" s="7" t="s">
        <v>1226</v>
      </c>
      <c r="C1273" s="7" t="s">
        <v>2538</v>
      </c>
      <c r="D1273" s="3">
        <v>61433</v>
      </c>
    </row>
    <row r="1274" spans="1:4" x14ac:dyDescent="0.25">
      <c r="A1274" s="6" t="s">
        <v>1227</v>
      </c>
      <c r="B1274" s="6" t="s">
        <v>1227</v>
      </c>
      <c r="C1274" s="6" t="s">
        <v>2539</v>
      </c>
      <c r="D1274" s="2">
        <v>61434</v>
      </c>
    </row>
    <row r="1275" spans="1:4" x14ac:dyDescent="0.25">
      <c r="A1275" s="7" t="s">
        <v>2970</v>
      </c>
      <c r="B1275" s="7" t="s">
        <v>1228</v>
      </c>
      <c r="C1275" s="7" t="s">
        <v>2540</v>
      </c>
      <c r="D1275" s="3">
        <v>61436</v>
      </c>
    </row>
    <row r="1276" spans="1:4" x14ac:dyDescent="0.25">
      <c r="A1276" s="6" t="s">
        <v>1229</v>
      </c>
      <c r="B1276" s="6" t="s">
        <v>1229</v>
      </c>
      <c r="C1276" s="6" t="s">
        <v>2541</v>
      </c>
      <c r="D1276" s="2">
        <v>61437</v>
      </c>
    </row>
    <row r="1277" spans="1:4" x14ac:dyDescent="0.25">
      <c r="A1277" s="7" t="s">
        <v>2971</v>
      </c>
      <c r="B1277" s="7" t="s">
        <v>1230</v>
      </c>
      <c r="C1277" s="7" t="s">
        <v>1230</v>
      </c>
      <c r="D1277" s="3">
        <v>61439</v>
      </c>
    </row>
    <row r="1278" spans="1:4" x14ac:dyDescent="0.25">
      <c r="A1278" s="6" t="s">
        <v>2972</v>
      </c>
      <c r="B1278" s="6" t="s">
        <v>1231</v>
      </c>
      <c r="C1278" s="6" t="s">
        <v>1231</v>
      </c>
      <c r="D1278" s="2">
        <v>61441</v>
      </c>
    </row>
    <row r="1279" spans="1:4" x14ac:dyDescent="0.25">
      <c r="A1279" s="7" t="s">
        <v>1232</v>
      </c>
      <c r="B1279" s="7" t="s">
        <v>1232</v>
      </c>
      <c r="C1279" s="7" t="s">
        <v>2542</v>
      </c>
      <c r="D1279" s="3">
        <v>61443</v>
      </c>
    </row>
    <row r="1280" spans="1:4" x14ac:dyDescent="0.25">
      <c r="A1280" s="6" t="s">
        <v>2973</v>
      </c>
      <c r="B1280" s="6" t="s">
        <v>1233</v>
      </c>
      <c r="C1280" s="6" t="s">
        <v>1233</v>
      </c>
      <c r="D1280" s="2">
        <v>61444</v>
      </c>
    </row>
    <row r="1281" spans="1:4" x14ac:dyDescent="0.25">
      <c r="A1281" s="7" t="s">
        <v>1234</v>
      </c>
      <c r="B1281" s="7" t="s">
        <v>1234</v>
      </c>
      <c r="C1281" s="7" t="s">
        <v>1234</v>
      </c>
      <c r="D1281" s="3">
        <v>61446</v>
      </c>
    </row>
    <row r="1282" spans="1:4" x14ac:dyDescent="0.25">
      <c r="A1282" s="6" t="s">
        <v>2974</v>
      </c>
      <c r="B1282" s="6" t="s">
        <v>1235</v>
      </c>
      <c r="C1282" s="6" t="s">
        <v>1235</v>
      </c>
      <c r="D1282" s="2">
        <v>61447</v>
      </c>
    </row>
    <row r="1283" spans="1:4" x14ac:dyDescent="0.25">
      <c r="A1283" s="7" t="s">
        <v>1236</v>
      </c>
      <c r="B1283" s="7" t="s">
        <v>1236</v>
      </c>
      <c r="C1283" s="7" t="s">
        <v>2543</v>
      </c>
      <c r="D1283" s="3">
        <v>61449</v>
      </c>
    </row>
    <row r="1284" spans="1:4" x14ac:dyDescent="0.25">
      <c r="A1284" s="6" t="s">
        <v>1237</v>
      </c>
      <c r="B1284" s="6" t="s">
        <v>1237</v>
      </c>
      <c r="C1284" s="6" t="s">
        <v>2544</v>
      </c>
      <c r="D1284" s="2">
        <v>61451</v>
      </c>
    </row>
    <row r="1285" spans="1:4" x14ac:dyDescent="0.25">
      <c r="A1285" s="7" t="s">
        <v>2975</v>
      </c>
      <c r="B1285" s="7" t="s">
        <v>1238</v>
      </c>
      <c r="C1285" s="7" t="s">
        <v>2545</v>
      </c>
      <c r="D1285" s="3">
        <v>61453</v>
      </c>
    </row>
    <row r="1286" spans="1:4" x14ac:dyDescent="0.25">
      <c r="A1286" s="6" t="s">
        <v>1239</v>
      </c>
      <c r="B1286" s="6" t="s">
        <v>1239</v>
      </c>
      <c r="C1286" s="6" t="s">
        <v>2546</v>
      </c>
      <c r="D1286" s="2">
        <v>61454</v>
      </c>
    </row>
    <row r="1287" spans="1:4" x14ac:dyDescent="0.25">
      <c r="A1287" s="7" t="s">
        <v>1240</v>
      </c>
      <c r="B1287" s="7" t="s">
        <v>1240</v>
      </c>
      <c r="C1287" s="7" t="s">
        <v>2547</v>
      </c>
      <c r="D1287" s="3">
        <v>61456</v>
      </c>
    </row>
    <row r="1288" spans="1:4" x14ac:dyDescent="0.25">
      <c r="A1288" s="6" t="s">
        <v>1241</v>
      </c>
      <c r="B1288" s="6" t="s">
        <v>1241</v>
      </c>
      <c r="C1288" s="6" t="s">
        <v>2548</v>
      </c>
      <c r="D1288" s="2">
        <v>61457</v>
      </c>
    </row>
    <row r="1289" spans="1:4" x14ac:dyDescent="0.25">
      <c r="A1289" s="7" t="s">
        <v>1242</v>
      </c>
      <c r="B1289" s="7" t="s">
        <v>1242</v>
      </c>
      <c r="C1289" s="7" t="s">
        <v>2549</v>
      </c>
      <c r="D1289" s="3">
        <v>61459</v>
      </c>
    </row>
    <row r="1290" spans="1:4" x14ac:dyDescent="0.25">
      <c r="A1290" s="6" t="s">
        <v>2976</v>
      </c>
      <c r="B1290" s="6" t="s">
        <v>1243</v>
      </c>
      <c r="C1290" s="6" t="s">
        <v>2550</v>
      </c>
      <c r="D1290" s="2">
        <v>61461</v>
      </c>
    </row>
    <row r="1291" spans="1:4" x14ac:dyDescent="0.25">
      <c r="A1291" s="7" t="s">
        <v>2977</v>
      </c>
      <c r="B1291" s="7" t="s">
        <v>1244</v>
      </c>
      <c r="C1291" s="7" t="s">
        <v>2551</v>
      </c>
      <c r="D1291" s="3">
        <v>61463</v>
      </c>
    </row>
    <row r="1292" spans="1:4" x14ac:dyDescent="0.25">
      <c r="A1292" s="6" t="s">
        <v>2978</v>
      </c>
      <c r="B1292" s="6" t="s">
        <v>1245</v>
      </c>
      <c r="C1292" s="6" t="s">
        <v>2552</v>
      </c>
      <c r="D1292" s="2">
        <v>61464</v>
      </c>
    </row>
    <row r="1293" spans="1:4" x14ac:dyDescent="0.25">
      <c r="A1293" s="7" t="s">
        <v>2979</v>
      </c>
      <c r="B1293" s="7" t="s">
        <v>1246</v>
      </c>
      <c r="C1293" s="7" t="s">
        <v>2553</v>
      </c>
      <c r="D1293" s="3">
        <v>61466</v>
      </c>
    </row>
    <row r="1294" spans="1:4" x14ac:dyDescent="0.25">
      <c r="A1294" s="6" t="s">
        <v>1247</v>
      </c>
      <c r="B1294" s="6" t="s">
        <v>1247</v>
      </c>
      <c r="C1294" s="6" t="s">
        <v>2554</v>
      </c>
      <c r="D1294" s="2">
        <v>61467</v>
      </c>
    </row>
    <row r="1295" spans="1:4" x14ac:dyDescent="0.25">
      <c r="A1295" s="7" t="s">
        <v>1248</v>
      </c>
      <c r="B1295" s="7" t="s">
        <v>1248</v>
      </c>
      <c r="C1295" s="7" t="s">
        <v>2555</v>
      </c>
      <c r="D1295" s="3">
        <v>61469</v>
      </c>
    </row>
    <row r="1296" spans="1:4" x14ac:dyDescent="0.25">
      <c r="A1296" s="6" t="s">
        <v>2980</v>
      </c>
      <c r="B1296" s="6" t="s">
        <v>1249</v>
      </c>
      <c r="C1296" s="6" t="s">
        <v>2556</v>
      </c>
      <c r="D1296" s="2">
        <v>61471</v>
      </c>
    </row>
    <row r="1297" spans="1:4" x14ac:dyDescent="0.25">
      <c r="A1297" s="7" t="s">
        <v>2981</v>
      </c>
      <c r="B1297" s="7" t="s">
        <v>1250</v>
      </c>
      <c r="C1297" s="7" t="s">
        <v>2557</v>
      </c>
      <c r="D1297" s="3">
        <v>61473</v>
      </c>
    </row>
    <row r="1298" spans="1:4" x14ac:dyDescent="0.25">
      <c r="A1298" s="6" t="s">
        <v>1251</v>
      </c>
      <c r="B1298" s="6" t="s">
        <v>1251</v>
      </c>
      <c r="C1298" s="6" t="s">
        <v>2558</v>
      </c>
      <c r="D1298" s="2">
        <v>61474</v>
      </c>
    </row>
    <row r="1299" spans="1:4" x14ac:dyDescent="0.25">
      <c r="A1299" s="7" t="s">
        <v>2982</v>
      </c>
      <c r="B1299" s="7" t="s">
        <v>1252</v>
      </c>
      <c r="C1299" s="7" t="s">
        <v>2559</v>
      </c>
      <c r="D1299" s="3">
        <v>61476</v>
      </c>
    </row>
    <row r="1300" spans="1:4" x14ac:dyDescent="0.25">
      <c r="A1300" s="6" t="s">
        <v>1253</v>
      </c>
      <c r="B1300" s="6" t="s">
        <v>1253</v>
      </c>
      <c r="C1300" s="6" t="s">
        <v>2560</v>
      </c>
      <c r="D1300" s="2">
        <v>61477</v>
      </c>
    </row>
    <row r="1301" spans="1:4" x14ac:dyDescent="0.25">
      <c r="A1301" s="7" t="s">
        <v>1254</v>
      </c>
      <c r="B1301" s="7" t="s">
        <v>1254</v>
      </c>
      <c r="C1301" s="7" t="s">
        <v>2561</v>
      </c>
      <c r="D1301" s="3">
        <v>61479</v>
      </c>
    </row>
    <row r="1302" spans="1:4" x14ac:dyDescent="0.25">
      <c r="A1302" s="6" t="s">
        <v>1255</v>
      </c>
      <c r="B1302" s="6" t="s">
        <v>1255</v>
      </c>
      <c r="C1302" s="6" t="s">
        <v>1255</v>
      </c>
      <c r="D1302" s="2">
        <v>61481</v>
      </c>
    </row>
    <row r="1303" spans="1:4" x14ac:dyDescent="0.25">
      <c r="A1303" s="7" t="s">
        <v>1256</v>
      </c>
      <c r="B1303" s="7" t="s">
        <v>1256</v>
      </c>
      <c r="C1303" s="7" t="s">
        <v>2562</v>
      </c>
      <c r="D1303" s="3">
        <v>61483</v>
      </c>
    </row>
    <row r="1304" spans="1:4" x14ac:dyDescent="0.25">
      <c r="A1304" s="6" t="s">
        <v>2983</v>
      </c>
      <c r="B1304" s="6" t="s">
        <v>1257</v>
      </c>
      <c r="C1304" s="6" t="s">
        <v>2563</v>
      </c>
      <c r="D1304" s="2">
        <v>61484</v>
      </c>
    </row>
    <row r="1305" spans="1:4" x14ac:dyDescent="0.25">
      <c r="A1305" s="7" t="s">
        <v>1258</v>
      </c>
      <c r="B1305" s="7" t="s">
        <v>1258</v>
      </c>
      <c r="C1305" s="7" t="s">
        <v>2564</v>
      </c>
      <c r="D1305" s="3">
        <v>61486</v>
      </c>
    </row>
    <row r="1306" spans="1:4" x14ac:dyDescent="0.25">
      <c r="A1306" s="6" t="s">
        <v>1259</v>
      </c>
      <c r="B1306" s="6" t="s">
        <v>1259</v>
      </c>
      <c r="C1306" s="6" t="s">
        <v>2565</v>
      </c>
      <c r="D1306" s="2">
        <v>61487</v>
      </c>
    </row>
    <row r="1307" spans="1:4" x14ac:dyDescent="0.25">
      <c r="A1307" s="7" t="s">
        <v>1260</v>
      </c>
      <c r="B1307" s="7" t="s">
        <v>1260</v>
      </c>
      <c r="C1307" s="7" t="s">
        <v>1260</v>
      </c>
      <c r="D1307" s="3">
        <v>61488</v>
      </c>
    </row>
    <row r="1308" spans="1:4" x14ac:dyDescent="0.25">
      <c r="A1308" s="6" t="s">
        <v>1261</v>
      </c>
      <c r="B1308" s="6" t="s">
        <v>1261</v>
      </c>
      <c r="C1308" s="6" t="s">
        <v>2566</v>
      </c>
      <c r="D1308" s="2">
        <v>61489</v>
      </c>
    </row>
    <row r="1309" spans="1:4" x14ac:dyDescent="0.25">
      <c r="A1309" s="7" t="s">
        <v>1262</v>
      </c>
      <c r="B1309" s="7" t="s">
        <v>1262</v>
      </c>
      <c r="C1309" s="7" t="s">
        <v>2567</v>
      </c>
      <c r="D1309" s="3">
        <v>61491</v>
      </c>
    </row>
    <row r="1310" spans="1:4" x14ac:dyDescent="0.25">
      <c r="A1310" s="6" t="s">
        <v>1263</v>
      </c>
      <c r="B1310" s="6" t="s">
        <v>1263</v>
      </c>
      <c r="C1310" s="6" t="s">
        <v>2025</v>
      </c>
      <c r="D1310" s="2">
        <v>61493</v>
      </c>
    </row>
    <row r="1311" spans="1:4" x14ac:dyDescent="0.25">
      <c r="A1311" s="7" t="s">
        <v>1264</v>
      </c>
      <c r="B1311" s="7" t="s">
        <v>1264</v>
      </c>
      <c r="C1311" s="7" t="s">
        <v>2568</v>
      </c>
      <c r="D1311" s="3">
        <v>61494</v>
      </c>
    </row>
    <row r="1312" spans="1:4" x14ac:dyDescent="0.25">
      <c r="A1312" s="6" t="s">
        <v>1265</v>
      </c>
      <c r="B1312" s="6" t="s">
        <v>1265</v>
      </c>
      <c r="C1312" s="6" t="s">
        <v>2569</v>
      </c>
      <c r="D1312" s="2">
        <v>61496</v>
      </c>
    </row>
    <row r="1313" spans="1:4" x14ac:dyDescent="0.25">
      <c r="A1313" s="7" t="s">
        <v>1266</v>
      </c>
      <c r="B1313" s="7" t="s">
        <v>1266</v>
      </c>
      <c r="C1313" s="7" t="s">
        <v>2570</v>
      </c>
      <c r="D1313" s="3">
        <v>61497</v>
      </c>
    </row>
    <row r="1314" spans="1:4" x14ac:dyDescent="0.25">
      <c r="A1314" s="6" t="s">
        <v>1267</v>
      </c>
      <c r="B1314" s="6" t="s">
        <v>1267</v>
      </c>
      <c r="C1314" s="6" t="s">
        <v>2571</v>
      </c>
      <c r="D1314" s="2">
        <v>62111</v>
      </c>
    </row>
    <row r="1315" spans="1:4" x14ac:dyDescent="0.25">
      <c r="A1315" s="7" t="s">
        <v>1268</v>
      </c>
      <c r="B1315" s="7" t="s">
        <v>1268</v>
      </c>
      <c r="C1315" s="7" t="s">
        <v>2572</v>
      </c>
      <c r="D1315" s="3">
        <v>62128</v>
      </c>
    </row>
    <row r="1316" spans="1:4" x14ac:dyDescent="0.25">
      <c r="A1316" s="6" t="s">
        <v>1269</v>
      </c>
      <c r="B1316" s="6" t="s">
        <v>1269</v>
      </c>
      <c r="C1316" s="6" t="s">
        <v>2573</v>
      </c>
      <c r="D1316" s="2">
        <v>62162</v>
      </c>
    </row>
    <row r="1317" spans="1:4" x14ac:dyDescent="0.25">
      <c r="A1317" s="7" t="s">
        <v>1270</v>
      </c>
      <c r="B1317" s="7" t="s">
        <v>1270</v>
      </c>
      <c r="C1317" s="7" t="s">
        <v>2574</v>
      </c>
      <c r="D1317" s="3">
        <v>62179</v>
      </c>
    </row>
    <row r="1318" spans="1:4" x14ac:dyDescent="0.25">
      <c r="A1318" s="6" t="s">
        <v>1271</v>
      </c>
      <c r="B1318" s="6" t="s">
        <v>1271</v>
      </c>
      <c r="C1318" s="6" t="s">
        <v>2575</v>
      </c>
      <c r="D1318" s="2">
        <v>62211</v>
      </c>
    </row>
    <row r="1319" spans="1:4" x14ac:dyDescent="0.25">
      <c r="A1319" s="7" t="s">
        <v>1272</v>
      </c>
      <c r="B1319" s="7" t="s">
        <v>1272</v>
      </c>
      <c r="C1319" s="7" t="s">
        <v>2576</v>
      </c>
      <c r="D1319" s="3">
        <v>62212</v>
      </c>
    </row>
    <row r="1320" spans="1:4" x14ac:dyDescent="0.25">
      <c r="A1320" s="6" t="s">
        <v>1273</v>
      </c>
      <c r="B1320" s="6" t="s">
        <v>1273</v>
      </c>
      <c r="C1320" s="6" t="s">
        <v>2577</v>
      </c>
      <c r="D1320" s="2">
        <v>62214</v>
      </c>
    </row>
    <row r="1321" spans="1:4" x14ac:dyDescent="0.25">
      <c r="A1321" s="7" t="s">
        <v>1274</v>
      </c>
      <c r="B1321" s="7" t="s">
        <v>1274</v>
      </c>
      <c r="C1321" s="7" t="s">
        <v>1274</v>
      </c>
      <c r="D1321" s="3">
        <v>62215</v>
      </c>
    </row>
    <row r="1322" spans="1:4" x14ac:dyDescent="0.25">
      <c r="A1322" s="6" t="s">
        <v>1275</v>
      </c>
      <c r="B1322" s="6" t="s">
        <v>1275</v>
      </c>
      <c r="C1322" s="6" t="s">
        <v>2578</v>
      </c>
      <c r="D1322" s="2">
        <v>62217</v>
      </c>
    </row>
    <row r="1323" spans="1:4" x14ac:dyDescent="0.25">
      <c r="A1323" s="7" t="s">
        <v>1276</v>
      </c>
      <c r="B1323" s="7" t="s">
        <v>1276</v>
      </c>
      <c r="C1323" s="7" t="s">
        <v>2579</v>
      </c>
      <c r="D1323" s="3">
        <v>62218</v>
      </c>
    </row>
    <row r="1324" spans="1:4" x14ac:dyDescent="0.25">
      <c r="A1324" s="6" t="s">
        <v>1277</v>
      </c>
      <c r="B1324" s="6" t="s">
        <v>1277</v>
      </c>
      <c r="C1324" s="6" t="s">
        <v>1982</v>
      </c>
      <c r="D1324" s="2">
        <v>62219</v>
      </c>
    </row>
    <row r="1325" spans="1:4" x14ac:dyDescent="0.25">
      <c r="A1325" s="7" t="s">
        <v>2984</v>
      </c>
      <c r="B1325" s="7" t="s">
        <v>1278</v>
      </c>
      <c r="C1325" s="7" t="s">
        <v>1278</v>
      </c>
      <c r="D1325" s="3">
        <v>62221</v>
      </c>
    </row>
    <row r="1326" spans="1:4" x14ac:dyDescent="0.25">
      <c r="A1326" s="6" t="s">
        <v>1279</v>
      </c>
      <c r="B1326" s="6" t="s">
        <v>1279</v>
      </c>
      <c r="C1326" s="6" t="s">
        <v>2580</v>
      </c>
      <c r="D1326" s="2">
        <v>62223</v>
      </c>
    </row>
    <row r="1327" spans="1:4" x14ac:dyDescent="0.25">
      <c r="A1327" s="7" t="s">
        <v>1280</v>
      </c>
      <c r="B1327" s="7" t="s">
        <v>1280</v>
      </c>
      <c r="C1327" s="7" t="s">
        <v>2581</v>
      </c>
      <c r="D1327" s="3">
        <v>62224</v>
      </c>
    </row>
    <row r="1328" spans="1:4" x14ac:dyDescent="0.25">
      <c r="A1328" s="6" t="s">
        <v>1281</v>
      </c>
      <c r="B1328" s="6" t="s">
        <v>1281</v>
      </c>
      <c r="C1328" s="6" t="s">
        <v>2582</v>
      </c>
      <c r="D1328" s="2">
        <v>62226</v>
      </c>
    </row>
    <row r="1329" spans="1:4" x14ac:dyDescent="0.25">
      <c r="A1329" s="7" t="s">
        <v>1282</v>
      </c>
      <c r="B1329" s="7" t="s">
        <v>1282</v>
      </c>
      <c r="C1329" s="7" t="s">
        <v>2583</v>
      </c>
      <c r="D1329" s="3">
        <v>62227</v>
      </c>
    </row>
    <row r="1330" spans="1:4" x14ac:dyDescent="0.25">
      <c r="A1330" s="6" t="s">
        <v>1283</v>
      </c>
      <c r="B1330" s="6" t="s">
        <v>1283</v>
      </c>
      <c r="C1330" s="6" t="s">
        <v>2584</v>
      </c>
      <c r="D1330" s="2">
        <v>62229</v>
      </c>
    </row>
    <row r="1331" spans="1:4" x14ac:dyDescent="0.25">
      <c r="A1331" s="7" t="s">
        <v>2985</v>
      </c>
      <c r="B1331" s="7" t="s">
        <v>1284</v>
      </c>
      <c r="C1331" s="7" t="s">
        <v>2585</v>
      </c>
      <c r="D1331" s="3">
        <v>62231</v>
      </c>
    </row>
    <row r="1332" spans="1:4" x14ac:dyDescent="0.25">
      <c r="A1332" s="6" t="s">
        <v>2986</v>
      </c>
      <c r="B1332" s="6" t="s">
        <v>1285</v>
      </c>
      <c r="C1332" s="6" t="s">
        <v>2586</v>
      </c>
      <c r="D1332" s="2">
        <v>62233</v>
      </c>
    </row>
    <row r="1333" spans="1:4" x14ac:dyDescent="0.25">
      <c r="A1333" s="7" t="s">
        <v>1286</v>
      </c>
      <c r="B1333" s="7" t="s">
        <v>1286</v>
      </c>
      <c r="C1333" s="7" t="s">
        <v>2587</v>
      </c>
      <c r="D1333" s="3">
        <v>62234</v>
      </c>
    </row>
    <row r="1334" spans="1:4" x14ac:dyDescent="0.25">
      <c r="A1334" s="6" t="s">
        <v>1287</v>
      </c>
      <c r="B1334" s="6" t="s">
        <v>1287</v>
      </c>
      <c r="C1334" s="6" t="s">
        <v>2588</v>
      </c>
      <c r="D1334" s="2">
        <v>62236</v>
      </c>
    </row>
    <row r="1335" spans="1:4" x14ac:dyDescent="0.25">
      <c r="A1335" s="7" t="s">
        <v>1288</v>
      </c>
      <c r="B1335" s="7" t="s">
        <v>1288</v>
      </c>
      <c r="C1335" s="7" t="s">
        <v>1288</v>
      </c>
      <c r="D1335" s="3">
        <v>62237</v>
      </c>
    </row>
    <row r="1336" spans="1:4" x14ac:dyDescent="0.25">
      <c r="A1336" s="6" t="s">
        <v>1289</v>
      </c>
      <c r="B1336" s="6" t="s">
        <v>1289</v>
      </c>
      <c r="C1336" s="6" t="s">
        <v>2589</v>
      </c>
      <c r="D1336" s="2">
        <v>62239</v>
      </c>
    </row>
    <row r="1337" spans="1:4" x14ac:dyDescent="0.25">
      <c r="A1337" s="7" t="s">
        <v>1290</v>
      </c>
      <c r="B1337" s="7" t="s">
        <v>1290</v>
      </c>
      <c r="C1337" s="7" t="s">
        <v>2590</v>
      </c>
      <c r="D1337" s="3">
        <v>62241</v>
      </c>
    </row>
    <row r="1338" spans="1:4" x14ac:dyDescent="0.25">
      <c r="A1338" s="6" t="s">
        <v>2987</v>
      </c>
      <c r="B1338" s="6" t="s">
        <v>1291</v>
      </c>
      <c r="C1338" s="6" t="s">
        <v>1291</v>
      </c>
      <c r="D1338" s="2">
        <v>62242</v>
      </c>
    </row>
    <row r="1339" spans="1:4" x14ac:dyDescent="0.25">
      <c r="A1339" s="7" t="s">
        <v>1292</v>
      </c>
      <c r="B1339" s="7" t="s">
        <v>1292</v>
      </c>
      <c r="C1339" s="7" t="s">
        <v>2591</v>
      </c>
      <c r="D1339" s="3">
        <v>62243</v>
      </c>
    </row>
    <row r="1340" spans="1:4" x14ac:dyDescent="0.25">
      <c r="A1340" s="6" t="s">
        <v>1293</v>
      </c>
      <c r="B1340" s="6" t="s">
        <v>1293</v>
      </c>
      <c r="C1340" s="6" t="s">
        <v>2592</v>
      </c>
      <c r="D1340" s="2">
        <v>62244</v>
      </c>
    </row>
    <row r="1341" spans="1:4" x14ac:dyDescent="0.25">
      <c r="A1341" s="7" t="s">
        <v>1294</v>
      </c>
      <c r="B1341" s="7" t="s">
        <v>1294</v>
      </c>
      <c r="C1341" s="7" t="s">
        <v>2593</v>
      </c>
      <c r="D1341" s="3">
        <v>62245</v>
      </c>
    </row>
    <row r="1342" spans="1:4" x14ac:dyDescent="0.25">
      <c r="A1342" s="6" t="s">
        <v>2988</v>
      </c>
      <c r="B1342" s="6" t="s">
        <v>1295</v>
      </c>
      <c r="C1342" s="6" t="s">
        <v>2594</v>
      </c>
      <c r="D1342" s="2">
        <v>62246</v>
      </c>
    </row>
    <row r="1343" spans="1:4" x14ac:dyDescent="0.25">
      <c r="A1343" s="7" t="s">
        <v>1296</v>
      </c>
      <c r="B1343" s="7" t="s">
        <v>1296</v>
      </c>
      <c r="C1343" s="7" t="s">
        <v>2595</v>
      </c>
      <c r="D1343" s="3">
        <v>62247</v>
      </c>
    </row>
    <row r="1344" spans="1:4" x14ac:dyDescent="0.25">
      <c r="A1344" s="6" t="s">
        <v>1297</v>
      </c>
      <c r="B1344" s="6" t="s">
        <v>1297</v>
      </c>
      <c r="C1344" s="6" t="s">
        <v>2596</v>
      </c>
      <c r="D1344" s="2">
        <v>62249</v>
      </c>
    </row>
    <row r="1345" spans="1:4" x14ac:dyDescent="0.25">
      <c r="A1345" s="7" t="s">
        <v>1298</v>
      </c>
      <c r="B1345" s="7" t="s">
        <v>1298</v>
      </c>
      <c r="C1345" s="7" t="s">
        <v>1298</v>
      </c>
      <c r="D1345" s="3">
        <v>62251</v>
      </c>
    </row>
    <row r="1346" spans="1:4" x14ac:dyDescent="0.25">
      <c r="A1346" s="6" t="s">
        <v>2989</v>
      </c>
      <c r="B1346" s="6" t="s">
        <v>1299</v>
      </c>
      <c r="C1346" s="6" t="s">
        <v>2597</v>
      </c>
      <c r="D1346" s="2">
        <v>62253</v>
      </c>
    </row>
    <row r="1347" spans="1:4" x14ac:dyDescent="0.25">
      <c r="A1347" s="7" t="s">
        <v>2990</v>
      </c>
      <c r="B1347" s="7" t="s">
        <v>1300</v>
      </c>
      <c r="C1347" s="7" t="s">
        <v>2598</v>
      </c>
      <c r="D1347" s="3">
        <v>62254</v>
      </c>
    </row>
    <row r="1348" spans="1:4" x14ac:dyDescent="0.25">
      <c r="A1348" s="6" t="s">
        <v>1301</v>
      </c>
      <c r="B1348" s="6" t="s">
        <v>1301</v>
      </c>
      <c r="C1348" s="6" t="s">
        <v>2599</v>
      </c>
      <c r="D1348" s="2">
        <v>62256</v>
      </c>
    </row>
    <row r="1349" spans="1:4" x14ac:dyDescent="0.25">
      <c r="A1349" s="7" t="s">
        <v>1302</v>
      </c>
      <c r="B1349" s="7" t="s">
        <v>1302</v>
      </c>
      <c r="C1349" s="7" t="s">
        <v>1783</v>
      </c>
      <c r="D1349" s="3">
        <v>62257</v>
      </c>
    </row>
    <row r="1350" spans="1:4" x14ac:dyDescent="0.25">
      <c r="A1350" s="6" t="s">
        <v>2991</v>
      </c>
      <c r="B1350" s="6" t="s">
        <v>1303</v>
      </c>
      <c r="C1350" s="6" t="s">
        <v>2600</v>
      </c>
      <c r="D1350" s="2">
        <v>62259</v>
      </c>
    </row>
    <row r="1351" spans="1:4" x14ac:dyDescent="0.25">
      <c r="A1351" s="7" t="s">
        <v>1304</v>
      </c>
      <c r="B1351" s="7" t="s">
        <v>1304</v>
      </c>
      <c r="C1351" s="7" t="s">
        <v>1304</v>
      </c>
      <c r="D1351" s="3">
        <v>62261</v>
      </c>
    </row>
    <row r="1352" spans="1:4" x14ac:dyDescent="0.25">
      <c r="A1352" s="6" t="s">
        <v>1305</v>
      </c>
      <c r="B1352" s="6" t="s">
        <v>1305</v>
      </c>
      <c r="C1352" s="6" t="s">
        <v>2601</v>
      </c>
      <c r="D1352" s="2">
        <v>62263</v>
      </c>
    </row>
    <row r="1353" spans="1:4" x14ac:dyDescent="0.25">
      <c r="A1353" s="7" t="s">
        <v>1306</v>
      </c>
      <c r="B1353" s="7" t="s">
        <v>1306</v>
      </c>
      <c r="C1353" s="7" t="s">
        <v>1306</v>
      </c>
      <c r="D1353" s="3">
        <v>62264</v>
      </c>
    </row>
    <row r="1354" spans="1:4" x14ac:dyDescent="0.25">
      <c r="A1354" s="6" t="s">
        <v>1307</v>
      </c>
      <c r="B1354" s="6" t="s">
        <v>1307</v>
      </c>
      <c r="C1354" s="6" t="s">
        <v>1307</v>
      </c>
      <c r="D1354" s="2">
        <v>62266</v>
      </c>
    </row>
    <row r="1355" spans="1:4" x14ac:dyDescent="0.25">
      <c r="A1355" s="7" t="s">
        <v>1308</v>
      </c>
      <c r="B1355" s="7" t="s">
        <v>1308</v>
      </c>
      <c r="C1355" s="7" t="s">
        <v>2602</v>
      </c>
      <c r="D1355" s="3">
        <v>62267</v>
      </c>
    </row>
    <row r="1356" spans="1:4" x14ac:dyDescent="0.25">
      <c r="A1356" s="6" t="s">
        <v>2992</v>
      </c>
      <c r="B1356" s="6" t="s">
        <v>1309</v>
      </c>
      <c r="C1356" s="6" t="s">
        <v>2603</v>
      </c>
      <c r="D1356" s="2">
        <v>62269</v>
      </c>
    </row>
    <row r="1357" spans="1:4" x14ac:dyDescent="0.25">
      <c r="A1357" s="7" t="s">
        <v>1310</v>
      </c>
      <c r="B1357" s="7" t="s">
        <v>1310</v>
      </c>
      <c r="C1357" s="7" t="s">
        <v>2604</v>
      </c>
      <c r="D1357" s="3">
        <v>62271</v>
      </c>
    </row>
    <row r="1358" spans="1:4" x14ac:dyDescent="0.25">
      <c r="A1358" s="6" t="s">
        <v>1311</v>
      </c>
      <c r="B1358" s="6" t="s">
        <v>1311</v>
      </c>
      <c r="C1358" s="6" t="s">
        <v>2605</v>
      </c>
      <c r="D1358" s="2">
        <v>62273</v>
      </c>
    </row>
    <row r="1359" spans="1:4" x14ac:dyDescent="0.25">
      <c r="A1359" s="7" t="s">
        <v>1312</v>
      </c>
      <c r="B1359" s="7" t="s">
        <v>1312</v>
      </c>
      <c r="C1359" s="7" t="s">
        <v>2606</v>
      </c>
      <c r="D1359" s="3">
        <v>62274</v>
      </c>
    </row>
    <row r="1360" spans="1:4" x14ac:dyDescent="0.25">
      <c r="A1360" s="6" t="s">
        <v>1313</v>
      </c>
      <c r="B1360" s="6" t="s">
        <v>1313</v>
      </c>
      <c r="C1360" s="6" t="s">
        <v>2607</v>
      </c>
      <c r="D1360" s="2">
        <v>62276</v>
      </c>
    </row>
    <row r="1361" spans="1:4" x14ac:dyDescent="0.25">
      <c r="A1361" s="7" t="s">
        <v>2993</v>
      </c>
      <c r="B1361" s="7" t="s">
        <v>1314</v>
      </c>
      <c r="C1361" s="7" t="s">
        <v>2608</v>
      </c>
      <c r="D1361" s="3">
        <v>62277</v>
      </c>
    </row>
    <row r="1362" spans="1:4" x14ac:dyDescent="0.25">
      <c r="A1362" s="6" t="s">
        <v>1315</v>
      </c>
      <c r="B1362" s="6" t="s">
        <v>1315</v>
      </c>
      <c r="C1362" s="6" t="s">
        <v>2609</v>
      </c>
      <c r="D1362" s="2">
        <v>62279</v>
      </c>
    </row>
    <row r="1363" spans="1:4" x14ac:dyDescent="0.25">
      <c r="A1363" s="7" t="s">
        <v>1316</v>
      </c>
      <c r="B1363" s="7" t="s">
        <v>1316</v>
      </c>
      <c r="C1363" s="7" t="s">
        <v>2610</v>
      </c>
      <c r="D1363" s="3">
        <v>62281</v>
      </c>
    </row>
    <row r="1364" spans="1:4" x14ac:dyDescent="0.25">
      <c r="A1364" s="6" t="s">
        <v>1317</v>
      </c>
      <c r="B1364" s="6" t="s">
        <v>1317</v>
      </c>
      <c r="C1364" s="6" t="s">
        <v>2611</v>
      </c>
      <c r="D1364" s="2">
        <v>62283</v>
      </c>
    </row>
    <row r="1365" spans="1:4" x14ac:dyDescent="0.25">
      <c r="A1365" s="7" t="s">
        <v>1318</v>
      </c>
      <c r="B1365" s="7" t="s">
        <v>1318</v>
      </c>
      <c r="C1365" s="7" t="s">
        <v>2612</v>
      </c>
      <c r="D1365" s="3">
        <v>62284</v>
      </c>
    </row>
    <row r="1366" spans="1:4" x14ac:dyDescent="0.25">
      <c r="A1366" s="6" t="s">
        <v>1319</v>
      </c>
      <c r="B1366" s="6" t="s">
        <v>1319</v>
      </c>
      <c r="C1366" s="6" t="s">
        <v>1319</v>
      </c>
      <c r="D1366" s="2">
        <v>62285</v>
      </c>
    </row>
    <row r="1367" spans="1:4" x14ac:dyDescent="0.25">
      <c r="A1367" s="7" t="s">
        <v>1320</v>
      </c>
      <c r="B1367" s="7" t="s">
        <v>1320</v>
      </c>
      <c r="C1367" s="7" t="s">
        <v>2613</v>
      </c>
      <c r="D1367" s="3">
        <v>62286</v>
      </c>
    </row>
    <row r="1368" spans="1:4" x14ac:dyDescent="0.25">
      <c r="A1368" s="6" t="s">
        <v>2994</v>
      </c>
      <c r="B1368" s="6" t="s">
        <v>1321</v>
      </c>
      <c r="C1368" s="6" t="s">
        <v>2614</v>
      </c>
      <c r="D1368" s="2">
        <v>62287</v>
      </c>
    </row>
    <row r="1369" spans="1:4" x14ac:dyDescent="0.25">
      <c r="A1369" s="7" t="s">
        <v>1322</v>
      </c>
      <c r="B1369" s="7" t="s">
        <v>1322</v>
      </c>
      <c r="C1369" s="7" t="s">
        <v>2615</v>
      </c>
      <c r="D1369" s="3">
        <v>62291</v>
      </c>
    </row>
    <row r="1370" spans="1:4" x14ac:dyDescent="0.25">
      <c r="A1370" s="6" t="s">
        <v>1323</v>
      </c>
      <c r="B1370" s="6" t="s">
        <v>1323</v>
      </c>
      <c r="C1370" s="6" t="s">
        <v>2616</v>
      </c>
      <c r="D1370" s="2">
        <v>62292</v>
      </c>
    </row>
    <row r="1371" spans="1:4" x14ac:dyDescent="0.25">
      <c r="A1371" s="7" t="s">
        <v>2995</v>
      </c>
      <c r="B1371" s="7" t="s">
        <v>1324</v>
      </c>
      <c r="C1371" s="7" t="s">
        <v>2617</v>
      </c>
      <c r="D1371" s="3">
        <v>62293</v>
      </c>
    </row>
    <row r="1372" spans="1:4" x14ac:dyDescent="0.25">
      <c r="A1372" s="6" t="s">
        <v>2996</v>
      </c>
      <c r="B1372" s="6" t="s">
        <v>1325</v>
      </c>
      <c r="C1372" s="6" t="s">
        <v>2618</v>
      </c>
      <c r="D1372" s="2">
        <v>62294</v>
      </c>
    </row>
    <row r="1373" spans="1:4" x14ac:dyDescent="0.25">
      <c r="A1373" s="7" t="s">
        <v>1326</v>
      </c>
      <c r="B1373" s="7" t="s">
        <v>1326</v>
      </c>
      <c r="C1373" s="7" t="s">
        <v>2619</v>
      </c>
      <c r="D1373" s="3">
        <v>62295</v>
      </c>
    </row>
    <row r="1374" spans="1:4" x14ac:dyDescent="0.25">
      <c r="A1374" s="6" t="s">
        <v>1327</v>
      </c>
      <c r="B1374" s="6" t="s">
        <v>1327</v>
      </c>
      <c r="C1374" s="6" t="s">
        <v>2620</v>
      </c>
      <c r="D1374" s="2">
        <v>62296</v>
      </c>
    </row>
    <row r="1375" spans="1:4" x14ac:dyDescent="0.25">
      <c r="A1375" s="7" t="s">
        <v>1328</v>
      </c>
      <c r="B1375" s="7" t="s">
        <v>1328</v>
      </c>
      <c r="C1375" s="7" t="s">
        <v>2621</v>
      </c>
      <c r="D1375" s="3">
        <v>62297</v>
      </c>
    </row>
    <row r="1376" spans="1:4" x14ac:dyDescent="0.25">
      <c r="A1376" s="6" t="s">
        <v>1329</v>
      </c>
      <c r="B1376" s="6" t="s">
        <v>1329</v>
      </c>
      <c r="C1376" s="6" t="s">
        <v>2622</v>
      </c>
      <c r="D1376" s="2">
        <v>62298</v>
      </c>
    </row>
    <row r="1377" spans="1:4" x14ac:dyDescent="0.25">
      <c r="A1377" s="7" t="s">
        <v>1330</v>
      </c>
      <c r="B1377" s="7" t="s">
        <v>1330</v>
      </c>
      <c r="C1377" s="7" t="s">
        <v>2623</v>
      </c>
      <c r="D1377" s="3">
        <v>62299</v>
      </c>
    </row>
    <row r="1378" spans="1:4" x14ac:dyDescent="0.25">
      <c r="A1378" s="6" t="s">
        <v>1331</v>
      </c>
      <c r="B1378" s="6" t="s">
        <v>1331</v>
      </c>
      <c r="C1378" s="6" t="s">
        <v>1331</v>
      </c>
      <c r="D1378" s="2">
        <v>62308</v>
      </c>
    </row>
    <row r="1379" spans="1:4" x14ac:dyDescent="0.25">
      <c r="A1379" s="7" t="s">
        <v>1332</v>
      </c>
      <c r="B1379" s="7" t="s">
        <v>1332</v>
      </c>
      <c r="C1379" s="7" t="s">
        <v>2624</v>
      </c>
      <c r="D1379" s="3">
        <v>62311</v>
      </c>
    </row>
    <row r="1380" spans="1:4" x14ac:dyDescent="0.25">
      <c r="A1380" s="6" t="s">
        <v>1333</v>
      </c>
      <c r="B1380" s="6" t="s">
        <v>1333</v>
      </c>
      <c r="C1380" s="6" t="s">
        <v>2625</v>
      </c>
      <c r="D1380" s="2">
        <v>62312</v>
      </c>
    </row>
    <row r="1381" spans="1:4" x14ac:dyDescent="0.25">
      <c r="A1381" s="7" t="s">
        <v>1334</v>
      </c>
      <c r="B1381" s="7" t="s">
        <v>1334</v>
      </c>
      <c r="C1381" s="7" t="s">
        <v>1334</v>
      </c>
      <c r="D1381" s="3">
        <v>62314</v>
      </c>
    </row>
    <row r="1382" spans="1:4" x14ac:dyDescent="0.25">
      <c r="A1382" s="6" t="s">
        <v>1335</v>
      </c>
      <c r="B1382" s="6" t="s">
        <v>1335</v>
      </c>
      <c r="C1382" s="6" t="s">
        <v>2626</v>
      </c>
      <c r="D1382" s="2">
        <v>62316</v>
      </c>
    </row>
    <row r="1383" spans="1:4" x14ac:dyDescent="0.25">
      <c r="A1383" s="7" t="s">
        <v>1336</v>
      </c>
      <c r="B1383" s="7" t="s">
        <v>1336</v>
      </c>
      <c r="C1383" s="7" t="s">
        <v>2627</v>
      </c>
      <c r="D1383" s="3">
        <v>62318</v>
      </c>
    </row>
    <row r="1384" spans="1:4" x14ac:dyDescent="0.25">
      <c r="A1384" s="6" t="s">
        <v>1337</v>
      </c>
      <c r="B1384" s="6" t="s">
        <v>1337</v>
      </c>
      <c r="C1384" s="6" t="s">
        <v>1337</v>
      </c>
      <c r="D1384" s="2">
        <v>62319</v>
      </c>
    </row>
    <row r="1385" spans="1:4" x14ac:dyDescent="0.25">
      <c r="A1385" s="7" t="s">
        <v>1338</v>
      </c>
      <c r="B1385" s="7" t="s">
        <v>1338</v>
      </c>
      <c r="C1385" s="7" t="s">
        <v>1338</v>
      </c>
      <c r="D1385" s="3">
        <v>62321</v>
      </c>
    </row>
    <row r="1386" spans="1:4" x14ac:dyDescent="0.25">
      <c r="A1386" s="6" t="s">
        <v>2997</v>
      </c>
      <c r="B1386" s="6" t="s">
        <v>1339</v>
      </c>
      <c r="C1386" s="6" t="s">
        <v>1339</v>
      </c>
      <c r="D1386" s="2">
        <v>62331</v>
      </c>
    </row>
    <row r="1387" spans="1:4" x14ac:dyDescent="0.25">
      <c r="A1387" s="7" t="s">
        <v>1340</v>
      </c>
      <c r="B1387" s="7" t="s">
        <v>1340</v>
      </c>
      <c r="C1387" s="7" t="s">
        <v>2628</v>
      </c>
      <c r="D1387" s="3">
        <v>62341</v>
      </c>
    </row>
    <row r="1388" spans="1:4" x14ac:dyDescent="0.25">
      <c r="A1388" s="6" t="s">
        <v>1341</v>
      </c>
      <c r="B1388" s="6" t="s">
        <v>1341</v>
      </c>
      <c r="C1388" s="6" t="s">
        <v>2629</v>
      </c>
      <c r="D1388" s="2">
        <v>62351</v>
      </c>
    </row>
    <row r="1389" spans="1:4" x14ac:dyDescent="0.25">
      <c r="A1389" s="7" t="s">
        <v>1563</v>
      </c>
      <c r="B1389" s="7" t="s">
        <v>87</v>
      </c>
      <c r="C1389" s="7" t="s">
        <v>87</v>
      </c>
      <c r="D1389" s="3">
        <v>63001</v>
      </c>
    </row>
    <row r="1390" spans="1:4" x14ac:dyDescent="0.25">
      <c r="A1390" s="6" t="s">
        <v>1563</v>
      </c>
      <c r="B1390" s="6" t="s">
        <v>87</v>
      </c>
      <c r="C1390" s="6" t="s">
        <v>87</v>
      </c>
      <c r="D1390" s="2">
        <v>63002</v>
      </c>
    </row>
    <row r="1391" spans="1:4" x14ac:dyDescent="0.25">
      <c r="A1391" s="7" t="s">
        <v>1563</v>
      </c>
      <c r="B1391" s="7" t="s">
        <v>87</v>
      </c>
      <c r="C1391" s="7" t="s">
        <v>87</v>
      </c>
      <c r="D1391" s="3">
        <v>63003</v>
      </c>
    </row>
    <row r="1392" spans="1:4" x14ac:dyDescent="0.25">
      <c r="A1392" s="6" t="s">
        <v>1342</v>
      </c>
      <c r="B1392" s="6" t="s">
        <v>1342</v>
      </c>
      <c r="C1392" s="6" t="s">
        <v>2630</v>
      </c>
      <c r="D1392" s="2">
        <v>63111</v>
      </c>
    </row>
    <row r="1393" spans="1:4" x14ac:dyDescent="0.25">
      <c r="A1393" s="7" t="s">
        <v>1343</v>
      </c>
      <c r="B1393" s="7" t="s">
        <v>1343</v>
      </c>
      <c r="C1393" s="7" t="s">
        <v>2631</v>
      </c>
      <c r="D1393" s="3">
        <v>63114</v>
      </c>
    </row>
    <row r="1394" spans="1:4" x14ac:dyDescent="0.25">
      <c r="A1394" s="6" t="s">
        <v>1344</v>
      </c>
      <c r="B1394" s="6" t="s">
        <v>1344</v>
      </c>
      <c r="C1394" s="6" t="s">
        <v>2632</v>
      </c>
      <c r="D1394" s="2">
        <v>63117</v>
      </c>
    </row>
    <row r="1395" spans="1:4" x14ac:dyDescent="0.25">
      <c r="A1395" s="7" t="s">
        <v>2998</v>
      </c>
      <c r="B1395" s="7" t="s">
        <v>1345</v>
      </c>
      <c r="C1395" s="7" t="s">
        <v>2633</v>
      </c>
      <c r="D1395" s="3">
        <v>63121</v>
      </c>
    </row>
    <row r="1396" spans="1:4" x14ac:dyDescent="0.25">
      <c r="A1396" s="6" t="s">
        <v>1346</v>
      </c>
      <c r="B1396" s="6" t="s">
        <v>1346</v>
      </c>
      <c r="C1396" s="6" t="s">
        <v>2634</v>
      </c>
      <c r="D1396" s="2">
        <v>63124</v>
      </c>
    </row>
    <row r="1397" spans="1:4" x14ac:dyDescent="0.25">
      <c r="A1397" s="7" t="s">
        <v>2999</v>
      </c>
      <c r="B1397" s="7" t="s">
        <v>1347</v>
      </c>
      <c r="C1397" s="7" t="s">
        <v>2635</v>
      </c>
      <c r="D1397" s="3">
        <v>63127</v>
      </c>
    </row>
    <row r="1398" spans="1:4" x14ac:dyDescent="0.25">
      <c r="A1398" s="6" t="s">
        <v>1348</v>
      </c>
      <c r="B1398" s="6" t="s">
        <v>1348</v>
      </c>
      <c r="C1398" s="6" t="s">
        <v>2636</v>
      </c>
      <c r="D1398" s="2">
        <v>63131</v>
      </c>
    </row>
    <row r="1399" spans="1:4" x14ac:dyDescent="0.25">
      <c r="A1399" s="7" t="s">
        <v>1349</v>
      </c>
      <c r="B1399" s="7" t="s">
        <v>1349</v>
      </c>
      <c r="C1399" s="7" t="s">
        <v>1349</v>
      </c>
      <c r="D1399" s="3">
        <v>63134</v>
      </c>
    </row>
    <row r="1400" spans="1:4" x14ac:dyDescent="0.25">
      <c r="A1400" s="6" t="s">
        <v>1350</v>
      </c>
      <c r="B1400" s="6" t="s">
        <v>1350</v>
      </c>
      <c r="C1400" s="6" t="s">
        <v>2637</v>
      </c>
      <c r="D1400" s="2">
        <v>63137</v>
      </c>
    </row>
    <row r="1401" spans="1:4" x14ac:dyDescent="0.25">
      <c r="A1401" s="7" t="s">
        <v>3000</v>
      </c>
      <c r="B1401" s="7" t="s">
        <v>1351</v>
      </c>
      <c r="C1401" s="7" t="s">
        <v>2638</v>
      </c>
      <c r="D1401" s="3">
        <v>63141</v>
      </c>
    </row>
    <row r="1402" spans="1:4" x14ac:dyDescent="0.25">
      <c r="A1402" s="6" t="s">
        <v>1352</v>
      </c>
      <c r="B1402" s="6" t="s">
        <v>1352</v>
      </c>
      <c r="C1402" s="6" t="s">
        <v>2639</v>
      </c>
      <c r="D1402" s="2">
        <v>63144</v>
      </c>
    </row>
    <row r="1403" spans="1:4" x14ac:dyDescent="0.25">
      <c r="A1403" s="7" t="s">
        <v>1353</v>
      </c>
      <c r="B1403" s="7" t="s">
        <v>1353</v>
      </c>
      <c r="C1403" s="7" t="s">
        <v>2640</v>
      </c>
      <c r="D1403" s="3">
        <v>63147</v>
      </c>
    </row>
    <row r="1404" spans="1:4" x14ac:dyDescent="0.25">
      <c r="A1404" s="6" t="s">
        <v>1354</v>
      </c>
      <c r="B1404" s="6" t="s">
        <v>1354</v>
      </c>
      <c r="C1404" s="6" t="s">
        <v>2641</v>
      </c>
      <c r="D1404" s="2">
        <v>63151</v>
      </c>
    </row>
    <row r="1405" spans="1:4" x14ac:dyDescent="0.25">
      <c r="A1405" s="7" t="s">
        <v>1355</v>
      </c>
      <c r="B1405" s="7" t="s">
        <v>1355</v>
      </c>
      <c r="C1405" s="7" t="s">
        <v>2642</v>
      </c>
      <c r="D1405" s="3">
        <v>63154</v>
      </c>
    </row>
    <row r="1406" spans="1:4" x14ac:dyDescent="0.25">
      <c r="A1406" s="6" t="s">
        <v>3001</v>
      </c>
      <c r="B1406" s="6" t="s">
        <v>1356</v>
      </c>
      <c r="C1406" s="6" t="s">
        <v>1356</v>
      </c>
      <c r="D1406" s="2">
        <v>63157</v>
      </c>
    </row>
    <row r="1407" spans="1:4" x14ac:dyDescent="0.25">
      <c r="A1407" s="7" t="s">
        <v>1357</v>
      </c>
      <c r="B1407" s="7" t="s">
        <v>1357</v>
      </c>
      <c r="C1407" s="7" t="s">
        <v>2643</v>
      </c>
      <c r="D1407" s="3">
        <v>63161</v>
      </c>
    </row>
    <row r="1408" spans="1:4" x14ac:dyDescent="0.25">
      <c r="A1408" s="6" t="s">
        <v>1358</v>
      </c>
      <c r="B1408" s="6" t="s">
        <v>1358</v>
      </c>
      <c r="C1408" s="6" t="s">
        <v>1358</v>
      </c>
      <c r="D1408" s="2">
        <v>63164</v>
      </c>
    </row>
    <row r="1409" spans="1:4" x14ac:dyDescent="0.25">
      <c r="A1409" s="7" t="s">
        <v>3002</v>
      </c>
      <c r="B1409" s="7" t="s">
        <v>1359</v>
      </c>
      <c r="C1409" s="7" t="s">
        <v>2644</v>
      </c>
      <c r="D1409" s="3">
        <v>63167</v>
      </c>
    </row>
    <row r="1410" spans="1:4" x14ac:dyDescent="0.25">
      <c r="A1410" s="6" t="s">
        <v>1360</v>
      </c>
      <c r="B1410" s="6" t="s">
        <v>1360</v>
      </c>
      <c r="C1410" s="6" t="s">
        <v>2645</v>
      </c>
      <c r="D1410" s="2">
        <v>63171</v>
      </c>
    </row>
    <row r="1411" spans="1:4" x14ac:dyDescent="0.25">
      <c r="A1411" s="7" t="s">
        <v>3003</v>
      </c>
      <c r="B1411" s="7" t="s">
        <v>1361</v>
      </c>
      <c r="C1411" s="7" t="s">
        <v>2646</v>
      </c>
      <c r="D1411" s="3">
        <v>63174</v>
      </c>
    </row>
    <row r="1412" spans="1:4" x14ac:dyDescent="0.25">
      <c r="A1412" s="6" t="s">
        <v>1362</v>
      </c>
      <c r="B1412" s="6" t="s">
        <v>1362</v>
      </c>
      <c r="C1412" s="6" t="s">
        <v>2647</v>
      </c>
      <c r="D1412" s="2">
        <v>63177</v>
      </c>
    </row>
    <row r="1413" spans="1:4" x14ac:dyDescent="0.25">
      <c r="A1413" s="7" t="s">
        <v>1363</v>
      </c>
      <c r="B1413" s="7" t="s">
        <v>1363</v>
      </c>
      <c r="C1413" s="7" t="s">
        <v>2648</v>
      </c>
      <c r="D1413" s="3">
        <v>63181</v>
      </c>
    </row>
    <row r="1414" spans="1:4" x14ac:dyDescent="0.25">
      <c r="A1414" s="6" t="s">
        <v>1364</v>
      </c>
      <c r="B1414" s="6" t="s">
        <v>1364</v>
      </c>
      <c r="C1414" s="6" t="s">
        <v>2649</v>
      </c>
      <c r="D1414" s="2">
        <v>63184</v>
      </c>
    </row>
    <row r="1415" spans="1:4" x14ac:dyDescent="0.25">
      <c r="A1415" s="7" t="s">
        <v>1365</v>
      </c>
      <c r="B1415" s="7" t="s">
        <v>1365</v>
      </c>
      <c r="C1415" s="7" t="s">
        <v>2650</v>
      </c>
      <c r="D1415" s="3">
        <v>63187</v>
      </c>
    </row>
    <row r="1416" spans="1:4" x14ac:dyDescent="0.25">
      <c r="A1416" s="6" t="s">
        <v>1366</v>
      </c>
      <c r="B1416" s="6" t="s">
        <v>1366</v>
      </c>
      <c r="C1416" s="6" t="s">
        <v>1366</v>
      </c>
      <c r="D1416" s="2">
        <v>63191</v>
      </c>
    </row>
    <row r="1417" spans="1:4" x14ac:dyDescent="0.25">
      <c r="A1417" s="7" t="s">
        <v>1367</v>
      </c>
      <c r="B1417" s="7" t="s">
        <v>1367</v>
      </c>
      <c r="C1417" s="7" t="s">
        <v>2651</v>
      </c>
      <c r="D1417" s="3">
        <v>63194</v>
      </c>
    </row>
    <row r="1418" spans="1:4" x14ac:dyDescent="0.25">
      <c r="A1418" s="6" t="s">
        <v>1368</v>
      </c>
      <c r="B1418" s="6" t="s">
        <v>1368</v>
      </c>
      <c r="C1418" s="6" t="s">
        <v>2652</v>
      </c>
      <c r="D1418" s="2">
        <v>63211</v>
      </c>
    </row>
    <row r="1419" spans="1:4" x14ac:dyDescent="0.25">
      <c r="A1419" s="7" t="s">
        <v>1369</v>
      </c>
      <c r="B1419" s="7" t="s">
        <v>1369</v>
      </c>
      <c r="C1419" s="7" t="s">
        <v>2653</v>
      </c>
      <c r="D1419" s="3">
        <v>63214</v>
      </c>
    </row>
    <row r="1420" spans="1:4" x14ac:dyDescent="0.25">
      <c r="A1420" s="6" t="s">
        <v>1370</v>
      </c>
      <c r="B1420" s="6" t="s">
        <v>1370</v>
      </c>
      <c r="C1420" s="6" t="s">
        <v>2654</v>
      </c>
      <c r="D1420" s="2">
        <v>63217</v>
      </c>
    </row>
    <row r="1421" spans="1:4" x14ac:dyDescent="0.25">
      <c r="A1421" s="7" t="s">
        <v>1371</v>
      </c>
      <c r="B1421" s="7" t="s">
        <v>1371</v>
      </c>
      <c r="C1421" s="7" t="s">
        <v>2655</v>
      </c>
      <c r="D1421" s="3">
        <v>63221</v>
      </c>
    </row>
    <row r="1422" spans="1:4" x14ac:dyDescent="0.25">
      <c r="A1422" s="6" t="s">
        <v>3004</v>
      </c>
      <c r="B1422" s="6" t="s">
        <v>1372</v>
      </c>
      <c r="C1422" s="6" t="s">
        <v>2656</v>
      </c>
      <c r="D1422" s="2">
        <v>63224</v>
      </c>
    </row>
    <row r="1423" spans="1:4" x14ac:dyDescent="0.25">
      <c r="A1423" s="7" t="s">
        <v>1373</v>
      </c>
      <c r="B1423" s="7" t="s">
        <v>1373</v>
      </c>
      <c r="C1423" s="7" t="s">
        <v>1373</v>
      </c>
      <c r="D1423" s="3">
        <v>63227</v>
      </c>
    </row>
    <row r="1424" spans="1:4" x14ac:dyDescent="0.25">
      <c r="A1424" s="6" t="s">
        <v>3005</v>
      </c>
      <c r="B1424" s="6" t="s">
        <v>1374</v>
      </c>
      <c r="C1424" s="6" t="s">
        <v>2657</v>
      </c>
      <c r="D1424" s="2">
        <v>63231</v>
      </c>
    </row>
    <row r="1425" spans="1:4" x14ac:dyDescent="0.25">
      <c r="A1425" s="7" t="s">
        <v>1375</v>
      </c>
      <c r="B1425" s="7" t="s">
        <v>1375</v>
      </c>
      <c r="C1425" s="7" t="s">
        <v>2658</v>
      </c>
      <c r="D1425" s="3">
        <v>63234</v>
      </c>
    </row>
    <row r="1426" spans="1:4" x14ac:dyDescent="0.25">
      <c r="A1426" s="6" t="s">
        <v>1376</v>
      </c>
      <c r="B1426" s="6" t="s">
        <v>1376</v>
      </c>
      <c r="C1426" s="6" t="s">
        <v>2659</v>
      </c>
      <c r="D1426" s="2">
        <v>63237</v>
      </c>
    </row>
    <row r="1427" spans="1:4" x14ac:dyDescent="0.25">
      <c r="A1427" s="7" t="s">
        <v>3006</v>
      </c>
      <c r="B1427" s="7" t="s">
        <v>1377</v>
      </c>
      <c r="C1427" s="7" t="s">
        <v>1377</v>
      </c>
      <c r="D1427" s="3">
        <v>63241</v>
      </c>
    </row>
    <row r="1428" spans="1:4" x14ac:dyDescent="0.25">
      <c r="A1428" s="6" t="s">
        <v>1378</v>
      </c>
      <c r="B1428" s="6" t="s">
        <v>1378</v>
      </c>
      <c r="C1428" s="6" t="s">
        <v>1378</v>
      </c>
      <c r="D1428" s="2">
        <v>63244</v>
      </c>
    </row>
    <row r="1429" spans="1:4" x14ac:dyDescent="0.25">
      <c r="A1429" s="7" t="s">
        <v>1379</v>
      </c>
      <c r="B1429" s="7" t="s">
        <v>1379</v>
      </c>
      <c r="C1429" s="7" t="s">
        <v>2660</v>
      </c>
      <c r="D1429" s="3">
        <v>63247</v>
      </c>
    </row>
    <row r="1430" spans="1:4" x14ac:dyDescent="0.25">
      <c r="A1430" s="6" t="s">
        <v>1380</v>
      </c>
      <c r="B1430" s="6" t="s">
        <v>1380</v>
      </c>
      <c r="C1430" s="6" t="s">
        <v>2661</v>
      </c>
      <c r="D1430" s="2">
        <v>63251</v>
      </c>
    </row>
    <row r="1431" spans="1:4" x14ac:dyDescent="0.25">
      <c r="A1431" s="7" t="s">
        <v>1381</v>
      </c>
      <c r="B1431" s="7" t="s">
        <v>1381</v>
      </c>
      <c r="C1431" s="7" t="s">
        <v>2662</v>
      </c>
      <c r="D1431" s="3">
        <v>63254</v>
      </c>
    </row>
    <row r="1432" spans="1:4" x14ac:dyDescent="0.25">
      <c r="A1432" s="6" t="s">
        <v>1382</v>
      </c>
      <c r="B1432" s="6" t="s">
        <v>1382</v>
      </c>
      <c r="C1432" s="6" t="s">
        <v>2663</v>
      </c>
      <c r="D1432" s="2">
        <v>63257</v>
      </c>
    </row>
    <row r="1433" spans="1:4" x14ac:dyDescent="0.25">
      <c r="A1433" s="7" t="s">
        <v>1383</v>
      </c>
      <c r="B1433" s="7" t="s">
        <v>1383</v>
      </c>
      <c r="C1433" s="7" t="s">
        <v>1383</v>
      </c>
      <c r="D1433" s="3">
        <v>63261</v>
      </c>
    </row>
    <row r="1434" spans="1:4" x14ac:dyDescent="0.25">
      <c r="A1434" s="6" t="s">
        <v>1384</v>
      </c>
      <c r="B1434" s="6" t="s">
        <v>1384</v>
      </c>
      <c r="C1434" s="6" t="s">
        <v>2664</v>
      </c>
      <c r="D1434" s="2">
        <v>63264</v>
      </c>
    </row>
    <row r="1435" spans="1:4" x14ac:dyDescent="0.25">
      <c r="A1435" s="7" t="s">
        <v>1385</v>
      </c>
      <c r="B1435" s="7" t="s">
        <v>1385</v>
      </c>
      <c r="C1435" s="7" t="s">
        <v>2665</v>
      </c>
      <c r="D1435" s="3">
        <v>63267</v>
      </c>
    </row>
    <row r="1436" spans="1:4" x14ac:dyDescent="0.25">
      <c r="A1436" s="6" t="s">
        <v>1386</v>
      </c>
      <c r="B1436" s="6" t="s">
        <v>1386</v>
      </c>
      <c r="C1436" s="6" t="s">
        <v>2666</v>
      </c>
      <c r="D1436" s="2">
        <v>63271</v>
      </c>
    </row>
    <row r="1437" spans="1:4" x14ac:dyDescent="0.25">
      <c r="A1437" s="7" t="s">
        <v>1387</v>
      </c>
      <c r="B1437" s="7" t="s">
        <v>1387</v>
      </c>
      <c r="C1437" s="7" t="s">
        <v>1387</v>
      </c>
      <c r="D1437" s="3">
        <v>63274</v>
      </c>
    </row>
    <row r="1438" spans="1:4" x14ac:dyDescent="0.25">
      <c r="A1438" s="6" t="s">
        <v>1388</v>
      </c>
      <c r="B1438" s="6" t="s">
        <v>1388</v>
      </c>
      <c r="C1438" s="6" t="s">
        <v>1388</v>
      </c>
      <c r="D1438" s="2">
        <v>63277</v>
      </c>
    </row>
    <row r="1439" spans="1:4" x14ac:dyDescent="0.25">
      <c r="A1439" s="7" t="s">
        <v>1389</v>
      </c>
      <c r="B1439" s="7" t="s">
        <v>1389</v>
      </c>
      <c r="C1439" s="7" t="s">
        <v>2667</v>
      </c>
      <c r="D1439" s="3">
        <v>63281</v>
      </c>
    </row>
    <row r="1440" spans="1:4" x14ac:dyDescent="0.25">
      <c r="A1440" s="6" t="s">
        <v>1390</v>
      </c>
      <c r="B1440" s="6" t="s">
        <v>1390</v>
      </c>
      <c r="C1440" s="6" t="s">
        <v>2668</v>
      </c>
      <c r="D1440" s="2">
        <v>63284</v>
      </c>
    </row>
    <row r="1441" spans="1:4" x14ac:dyDescent="0.25">
      <c r="A1441" s="7" t="s">
        <v>1391</v>
      </c>
      <c r="B1441" s="7" t="s">
        <v>1391</v>
      </c>
      <c r="C1441" s="7" t="s">
        <v>2669</v>
      </c>
      <c r="D1441" s="3">
        <v>63287</v>
      </c>
    </row>
    <row r="1442" spans="1:4" x14ac:dyDescent="0.25">
      <c r="A1442" s="6" t="s">
        <v>3007</v>
      </c>
      <c r="B1442" s="6" t="s">
        <v>1392</v>
      </c>
      <c r="C1442" s="6" t="s">
        <v>1596</v>
      </c>
      <c r="D1442" s="2">
        <v>63291</v>
      </c>
    </row>
    <row r="1443" spans="1:4" x14ac:dyDescent="0.25">
      <c r="A1443" s="7" t="s">
        <v>1393</v>
      </c>
      <c r="B1443" s="7" t="s">
        <v>1393</v>
      </c>
      <c r="C1443" s="7" t="s">
        <v>1393</v>
      </c>
      <c r="D1443" s="3">
        <v>63294</v>
      </c>
    </row>
    <row r="1444" spans="1:4" x14ac:dyDescent="0.25">
      <c r="A1444" s="6" t="s">
        <v>1394</v>
      </c>
      <c r="B1444" s="6" t="s">
        <v>1394</v>
      </c>
      <c r="C1444" s="6" t="s">
        <v>2670</v>
      </c>
      <c r="D1444" s="2">
        <v>63297</v>
      </c>
    </row>
    <row r="1445" spans="1:4" x14ac:dyDescent="0.25">
      <c r="A1445" s="7" t="s">
        <v>1395</v>
      </c>
      <c r="B1445" s="7" t="s">
        <v>1395</v>
      </c>
      <c r="C1445" s="7" t="s">
        <v>1395</v>
      </c>
      <c r="D1445" s="3">
        <v>63298</v>
      </c>
    </row>
    <row r="1446" spans="1:4" x14ac:dyDescent="0.25">
      <c r="A1446" s="6" t="s">
        <v>1396</v>
      </c>
      <c r="B1446" s="6" t="s">
        <v>1396</v>
      </c>
      <c r="C1446" s="6" t="s">
        <v>2671</v>
      </c>
      <c r="D1446" s="2">
        <v>63311</v>
      </c>
    </row>
    <row r="1447" spans="1:4" x14ac:dyDescent="0.25">
      <c r="A1447" s="7" t="s">
        <v>1397</v>
      </c>
      <c r="B1447" s="7" t="s">
        <v>1397</v>
      </c>
      <c r="C1447" s="7" t="s">
        <v>1397</v>
      </c>
      <c r="D1447" s="3">
        <v>63315</v>
      </c>
    </row>
    <row r="1448" spans="1:4" x14ac:dyDescent="0.25">
      <c r="A1448" s="6" t="s">
        <v>1398</v>
      </c>
      <c r="B1448" s="6" t="s">
        <v>1398</v>
      </c>
      <c r="C1448" s="6" t="s">
        <v>2672</v>
      </c>
      <c r="D1448" s="2">
        <v>63319</v>
      </c>
    </row>
    <row r="1449" spans="1:4" x14ac:dyDescent="0.25">
      <c r="A1449" s="7" t="s">
        <v>1399</v>
      </c>
      <c r="B1449" s="7" t="s">
        <v>1399</v>
      </c>
      <c r="C1449" s="7" t="s">
        <v>2673</v>
      </c>
      <c r="D1449" s="3">
        <v>63323</v>
      </c>
    </row>
    <row r="1450" spans="1:4" x14ac:dyDescent="0.25">
      <c r="A1450" s="6" t="s">
        <v>1400</v>
      </c>
      <c r="B1450" s="6" t="s">
        <v>1400</v>
      </c>
      <c r="C1450" s="6" t="s">
        <v>2674</v>
      </c>
      <c r="D1450" s="2">
        <v>63327</v>
      </c>
    </row>
    <row r="1451" spans="1:4" x14ac:dyDescent="0.25">
      <c r="A1451" s="7" t="s">
        <v>1401</v>
      </c>
      <c r="B1451" s="7" t="s">
        <v>1401</v>
      </c>
      <c r="C1451" s="7" t="s">
        <v>2675</v>
      </c>
      <c r="D1451" s="3">
        <v>63331</v>
      </c>
    </row>
    <row r="1452" spans="1:4" x14ac:dyDescent="0.25">
      <c r="A1452" s="6" t="s">
        <v>1402</v>
      </c>
      <c r="B1452" s="6" t="s">
        <v>1402</v>
      </c>
      <c r="C1452" s="6" t="s">
        <v>2676</v>
      </c>
      <c r="D1452" s="2">
        <v>63335</v>
      </c>
    </row>
    <row r="1453" spans="1:4" x14ac:dyDescent="0.25">
      <c r="A1453" s="7" t="s">
        <v>1403</v>
      </c>
      <c r="B1453" s="7" t="s">
        <v>1403</v>
      </c>
      <c r="C1453" s="7" t="s">
        <v>2677</v>
      </c>
      <c r="D1453" s="3">
        <v>63339</v>
      </c>
    </row>
    <row r="1454" spans="1:4" x14ac:dyDescent="0.25">
      <c r="A1454" s="6" t="s">
        <v>1404</v>
      </c>
      <c r="B1454" s="6" t="s">
        <v>1404</v>
      </c>
      <c r="C1454" s="6" t="s">
        <v>2678</v>
      </c>
      <c r="D1454" s="2">
        <v>63343</v>
      </c>
    </row>
    <row r="1455" spans="1:4" x14ac:dyDescent="0.25">
      <c r="A1455" s="7" t="s">
        <v>1405</v>
      </c>
      <c r="B1455" s="7" t="s">
        <v>1405</v>
      </c>
      <c r="C1455" s="7" t="s">
        <v>2679</v>
      </c>
      <c r="D1455" s="3">
        <v>63347</v>
      </c>
    </row>
    <row r="1456" spans="1:4" x14ac:dyDescent="0.25">
      <c r="A1456" s="6" t="s">
        <v>3008</v>
      </c>
      <c r="B1456" s="6" t="s">
        <v>1406</v>
      </c>
      <c r="C1456" s="6" t="s">
        <v>1406</v>
      </c>
      <c r="D1456" s="2">
        <v>63348</v>
      </c>
    </row>
    <row r="1457" spans="1:4" x14ac:dyDescent="0.25">
      <c r="A1457" s="7" t="s">
        <v>3009</v>
      </c>
      <c r="B1457" s="7" t="s">
        <v>1407</v>
      </c>
      <c r="C1457" s="7" t="s">
        <v>2680</v>
      </c>
      <c r="D1457" s="3">
        <v>63351</v>
      </c>
    </row>
    <row r="1458" spans="1:4" x14ac:dyDescent="0.25">
      <c r="A1458" s="6" t="s">
        <v>3010</v>
      </c>
      <c r="B1458" s="6" t="s">
        <v>1408</v>
      </c>
      <c r="C1458" s="6" t="s">
        <v>2681</v>
      </c>
      <c r="D1458" s="2">
        <v>63355</v>
      </c>
    </row>
    <row r="1459" spans="1:4" x14ac:dyDescent="0.25">
      <c r="A1459" s="7" t="s">
        <v>3011</v>
      </c>
      <c r="B1459" s="7" t="s">
        <v>1409</v>
      </c>
      <c r="C1459" s="7" t="s">
        <v>2682</v>
      </c>
      <c r="D1459" s="3">
        <v>63359</v>
      </c>
    </row>
    <row r="1460" spans="1:4" x14ac:dyDescent="0.25">
      <c r="A1460" s="6" t="s">
        <v>3012</v>
      </c>
      <c r="B1460" s="6" t="s">
        <v>1410</v>
      </c>
      <c r="C1460" s="6" t="s">
        <v>2683</v>
      </c>
      <c r="D1460" s="2">
        <v>63363</v>
      </c>
    </row>
    <row r="1461" spans="1:4" x14ac:dyDescent="0.25">
      <c r="A1461" s="7" t="s">
        <v>1411</v>
      </c>
      <c r="B1461" s="7" t="s">
        <v>1411</v>
      </c>
      <c r="C1461" s="7" t="s">
        <v>2684</v>
      </c>
      <c r="D1461" s="3">
        <v>63367</v>
      </c>
    </row>
    <row r="1462" spans="1:4" x14ac:dyDescent="0.25">
      <c r="A1462" s="6" t="s">
        <v>3013</v>
      </c>
      <c r="B1462" s="6" t="s">
        <v>1412</v>
      </c>
      <c r="C1462" s="6" t="s">
        <v>2685</v>
      </c>
      <c r="D1462" s="2">
        <v>63371</v>
      </c>
    </row>
    <row r="1463" spans="1:4" x14ac:dyDescent="0.25">
      <c r="A1463" s="7" t="s">
        <v>1413</v>
      </c>
      <c r="B1463" s="7" t="s">
        <v>1413</v>
      </c>
      <c r="C1463" s="7" t="s">
        <v>2686</v>
      </c>
      <c r="D1463" s="3">
        <v>63375</v>
      </c>
    </row>
    <row r="1464" spans="1:4" x14ac:dyDescent="0.25">
      <c r="A1464" s="6" t="s">
        <v>1414</v>
      </c>
      <c r="B1464" s="6" t="s">
        <v>1414</v>
      </c>
      <c r="C1464" s="6" t="s">
        <v>1414</v>
      </c>
      <c r="D1464" s="2">
        <v>63378</v>
      </c>
    </row>
    <row r="1465" spans="1:4" x14ac:dyDescent="0.25">
      <c r="A1465" s="7" t="s">
        <v>3014</v>
      </c>
      <c r="B1465" s="7" t="s">
        <v>1415</v>
      </c>
      <c r="C1465" s="7" t="s">
        <v>2687</v>
      </c>
      <c r="D1465" s="3">
        <v>63379</v>
      </c>
    </row>
    <row r="1466" spans="1:4" x14ac:dyDescent="0.25">
      <c r="A1466" s="6" t="s">
        <v>1416</v>
      </c>
      <c r="B1466" s="6" t="s">
        <v>1416</v>
      </c>
      <c r="C1466" s="6" t="s">
        <v>2688</v>
      </c>
      <c r="D1466" s="2">
        <v>63383</v>
      </c>
    </row>
    <row r="1467" spans="1:4" x14ac:dyDescent="0.25">
      <c r="A1467" s="7" t="s">
        <v>1417</v>
      </c>
      <c r="B1467" s="7" t="s">
        <v>1417</v>
      </c>
      <c r="C1467" s="7" t="s">
        <v>1417</v>
      </c>
      <c r="D1467" s="3">
        <v>63385</v>
      </c>
    </row>
    <row r="1468" spans="1:4" x14ac:dyDescent="0.25">
      <c r="A1468" s="6" t="s">
        <v>1418</v>
      </c>
      <c r="B1468" s="6" t="s">
        <v>1418</v>
      </c>
      <c r="C1468" s="6" t="s">
        <v>2689</v>
      </c>
      <c r="D1468" s="2">
        <v>71111</v>
      </c>
    </row>
    <row r="1469" spans="1:4" x14ac:dyDescent="0.25">
      <c r="A1469" s="7" t="s">
        <v>1419</v>
      </c>
      <c r="B1469" s="7" t="s">
        <v>1419</v>
      </c>
      <c r="C1469" s="7" t="s">
        <v>2690</v>
      </c>
      <c r="D1469" s="3">
        <v>71113</v>
      </c>
    </row>
    <row r="1470" spans="1:4" x14ac:dyDescent="0.25">
      <c r="A1470" s="6" t="s">
        <v>1420</v>
      </c>
      <c r="B1470" s="6" t="s">
        <v>1420</v>
      </c>
      <c r="C1470" s="6" t="s">
        <v>2691</v>
      </c>
      <c r="D1470" s="2">
        <v>71115</v>
      </c>
    </row>
    <row r="1471" spans="1:4" x14ac:dyDescent="0.25">
      <c r="A1471" s="7" t="s">
        <v>1421</v>
      </c>
      <c r="B1471" s="7" t="s">
        <v>1421</v>
      </c>
      <c r="C1471" s="7" t="s">
        <v>2692</v>
      </c>
      <c r="D1471" s="3">
        <v>71117</v>
      </c>
    </row>
    <row r="1472" spans="1:4" x14ac:dyDescent="0.25">
      <c r="A1472" s="6" t="s">
        <v>1422</v>
      </c>
      <c r="B1472" s="6" t="s">
        <v>1422</v>
      </c>
      <c r="C1472" s="6" t="s">
        <v>1945</v>
      </c>
      <c r="D1472" s="2">
        <v>71122</v>
      </c>
    </row>
    <row r="1473" spans="1:4" x14ac:dyDescent="0.25">
      <c r="A1473" s="7" t="s">
        <v>1423</v>
      </c>
      <c r="B1473" s="7" t="s">
        <v>1423</v>
      </c>
      <c r="C1473" s="7" t="s">
        <v>2693</v>
      </c>
      <c r="D1473" s="3">
        <v>71133</v>
      </c>
    </row>
    <row r="1474" spans="1:4" x14ac:dyDescent="0.25">
      <c r="A1474" s="6" t="s">
        <v>1424</v>
      </c>
      <c r="B1474" s="6" t="s">
        <v>1424</v>
      </c>
      <c r="C1474" s="6" t="s">
        <v>1424</v>
      </c>
      <c r="D1474" s="2">
        <v>71144</v>
      </c>
    </row>
    <row r="1475" spans="1:4" x14ac:dyDescent="0.25">
      <c r="A1475" s="7" t="s">
        <v>1425</v>
      </c>
      <c r="B1475" s="7" t="s">
        <v>1425</v>
      </c>
      <c r="C1475" s="7" t="s">
        <v>2694</v>
      </c>
      <c r="D1475" s="3">
        <v>71155</v>
      </c>
    </row>
    <row r="1476" spans="1:4" x14ac:dyDescent="0.25">
      <c r="A1476" s="6" t="s">
        <v>1426</v>
      </c>
      <c r="B1476" s="6" t="s">
        <v>1426</v>
      </c>
      <c r="C1476" s="6" t="s">
        <v>2695</v>
      </c>
      <c r="D1476" s="2">
        <v>71166</v>
      </c>
    </row>
    <row r="1477" spans="1:4" x14ac:dyDescent="0.25">
      <c r="A1477" s="7" t="s">
        <v>1427</v>
      </c>
      <c r="B1477" s="7" t="s">
        <v>1427</v>
      </c>
      <c r="C1477" s="7" t="s">
        <v>1878</v>
      </c>
      <c r="D1477" s="3">
        <v>71177</v>
      </c>
    </row>
    <row r="1478" spans="1:4" x14ac:dyDescent="0.25">
      <c r="A1478" s="6" t="s">
        <v>1428</v>
      </c>
      <c r="B1478" s="6" t="s">
        <v>1428</v>
      </c>
      <c r="C1478" s="6" t="s">
        <v>2696</v>
      </c>
      <c r="D1478" s="2">
        <v>71211</v>
      </c>
    </row>
    <row r="1479" spans="1:4" x14ac:dyDescent="0.25">
      <c r="A1479" s="7" t="s">
        <v>1429</v>
      </c>
      <c r="B1479" s="7" t="s">
        <v>1429</v>
      </c>
      <c r="C1479" s="7" t="s">
        <v>2697</v>
      </c>
      <c r="D1479" s="3">
        <v>71216</v>
      </c>
    </row>
    <row r="1480" spans="1:4" x14ac:dyDescent="0.25">
      <c r="A1480" s="6" t="s">
        <v>1430</v>
      </c>
      <c r="B1480" s="6" t="s">
        <v>1430</v>
      </c>
      <c r="C1480" s="6" t="s">
        <v>1430</v>
      </c>
      <c r="D1480" s="2">
        <v>71221</v>
      </c>
    </row>
    <row r="1481" spans="1:4" x14ac:dyDescent="0.25">
      <c r="A1481" s="7" t="s">
        <v>1431</v>
      </c>
      <c r="B1481" s="7" t="s">
        <v>1431</v>
      </c>
      <c r="C1481" s="7" t="s">
        <v>2698</v>
      </c>
      <c r="D1481" s="3">
        <v>71226</v>
      </c>
    </row>
    <row r="1482" spans="1:4" x14ac:dyDescent="0.25">
      <c r="A1482" s="6" t="s">
        <v>1432</v>
      </c>
      <c r="B1482" s="6" t="s">
        <v>1432</v>
      </c>
      <c r="C1482" s="6" t="s">
        <v>2699</v>
      </c>
      <c r="D1482" s="2">
        <v>71231</v>
      </c>
    </row>
    <row r="1483" spans="1:4" x14ac:dyDescent="0.25">
      <c r="A1483" s="7" t="s">
        <v>1433</v>
      </c>
      <c r="B1483" s="7" t="s">
        <v>1433</v>
      </c>
      <c r="C1483" s="7" t="s">
        <v>2700</v>
      </c>
      <c r="D1483" s="3">
        <v>71236</v>
      </c>
    </row>
    <row r="1484" spans="1:4" x14ac:dyDescent="0.25">
      <c r="A1484" s="6" t="s">
        <v>3015</v>
      </c>
      <c r="B1484" s="6" t="s">
        <v>1434</v>
      </c>
      <c r="C1484" s="6" t="s">
        <v>2701</v>
      </c>
      <c r="D1484" s="2">
        <v>71241</v>
      </c>
    </row>
    <row r="1485" spans="1:4" x14ac:dyDescent="0.25">
      <c r="A1485" s="7" t="s">
        <v>1435</v>
      </c>
      <c r="B1485" s="7" t="s">
        <v>1435</v>
      </c>
      <c r="C1485" s="7" t="s">
        <v>2702</v>
      </c>
      <c r="D1485" s="3">
        <v>71246</v>
      </c>
    </row>
    <row r="1486" spans="1:4" x14ac:dyDescent="0.25">
      <c r="A1486" s="6" t="s">
        <v>3016</v>
      </c>
      <c r="B1486" s="6" t="s">
        <v>1436</v>
      </c>
      <c r="C1486" s="6" t="s">
        <v>2703</v>
      </c>
      <c r="D1486" s="2">
        <v>71251</v>
      </c>
    </row>
    <row r="1487" spans="1:4" x14ac:dyDescent="0.25">
      <c r="A1487" s="7" t="s">
        <v>1437</v>
      </c>
      <c r="B1487" s="7" t="s">
        <v>1437</v>
      </c>
      <c r="C1487" s="7" t="s">
        <v>2704</v>
      </c>
      <c r="D1487" s="3">
        <v>71256</v>
      </c>
    </row>
    <row r="1488" spans="1:4" x14ac:dyDescent="0.25">
      <c r="A1488" s="6" t="s">
        <v>1438</v>
      </c>
      <c r="B1488" s="6" t="s">
        <v>1438</v>
      </c>
      <c r="C1488" s="6" t="s">
        <v>1438</v>
      </c>
      <c r="D1488" s="2">
        <v>71261</v>
      </c>
    </row>
    <row r="1489" spans="1:4" x14ac:dyDescent="0.25">
      <c r="A1489" s="7" t="s">
        <v>1439</v>
      </c>
      <c r="B1489" s="7" t="s">
        <v>1439</v>
      </c>
      <c r="C1489" s="7" t="s">
        <v>2705</v>
      </c>
      <c r="D1489" s="3">
        <v>71266</v>
      </c>
    </row>
    <row r="1490" spans="1:4" x14ac:dyDescent="0.25">
      <c r="A1490" s="6" t="s">
        <v>1440</v>
      </c>
      <c r="B1490" s="6" t="s">
        <v>1440</v>
      </c>
      <c r="C1490" s="6" t="s">
        <v>2706</v>
      </c>
      <c r="D1490" s="2">
        <v>71271</v>
      </c>
    </row>
    <row r="1491" spans="1:4" x14ac:dyDescent="0.25">
      <c r="A1491" s="7" t="s">
        <v>3017</v>
      </c>
      <c r="B1491" s="7" t="s">
        <v>1441</v>
      </c>
      <c r="C1491" s="7" t="s">
        <v>2707</v>
      </c>
      <c r="D1491" s="3">
        <v>71276</v>
      </c>
    </row>
    <row r="1492" spans="1:4" x14ac:dyDescent="0.25">
      <c r="A1492" s="6" t="s">
        <v>1442</v>
      </c>
      <c r="B1492" s="6" t="s">
        <v>1442</v>
      </c>
      <c r="C1492" s="6" t="s">
        <v>1442</v>
      </c>
      <c r="D1492" s="2">
        <v>71281</v>
      </c>
    </row>
    <row r="1493" spans="1:4" x14ac:dyDescent="0.25">
      <c r="A1493" s="7" t="s">
        <v>1443</v>
      </c>
      <c r="B1493" s="7" t="s">
        <v>1443</v>
      </c>
      <c r="C1493" s="7" t="s">
        <v>2708</v>
      </c>
      <c r="D1493" s="3">
        <v>71311</v>
      </c>
    </row>
    <row r="1494" spans="1:4" x14ac:dyDescent="0.25">
      <c r="A1494" s="6" t="s">
        <v>1444</v>
      </c>
      <c r="B1494" s="6" t="s">
        <v>1444</v>
      </c>
      <c r="C1494" s="6" t="s">
        <v>2709</v>
      </c>
      <c r="D1494" s="2">
        <v>71314</v>
      </c>
    </row>
    <row r="1495" spans="1:4" x14ac:dyDescent="0.25">
      <c r="A1495" s="7" t="s">
        <v>3018</v>
      </c>
      <c r="B1495" s="7" t="s">
        <v>1445</v>
      </c>
      <c r="C1495" s="7" t="s">
        <v>2710</v>
      </c>
      <c r="D1495" s="3">
        <v>71321</v>
      </c>
    </row>
    <row r="1496" spans="1:4" x14ac:dyDescent="0.25">
      <c r="A1496" s="6" t="s">
        <v>1446</v>
      </c>
      <c r="B1496" s="6" t="s">
        <v>1446</v>
      </c>
      <c r="C1496" s="6" t="s">
        <v>2711</v>
      </c>
      <c r="D1496" s="2">
        <v>71324</v>
      </c>
    </row>
    <row r="1497" spans="1:4" x14ac:dyDescent="0.25">
      <c r="A1497" s="7" t="s">
        <v>3019</v>
      </c>
      <c r="B1497" s="7" t="s">
        <v>1447</v>
      </c>
      <c r="C1497" s="7" t="s">
        <v>2712</v>
      </c>
      <c r="D1497" s="3">
        <v>71327</v>
      </c>
    </row>
    <row r="1498" spans="1:4" x14ac:dyDescent="0.25">
      <c r="A1498" s="6" t="s">
        <v>1448</v>
      </c>
      <c r="B1498" s="6" t="s">
        <v>1448</v>
      </c>
      <c r="C1498" s="6" t="s">
        <v>2713</v>
      </c>
      <c r="D1498" s="2">
        <v>71331</v>
      </c>
    </row>
    <row r="1499" spans="1:4" x14ac:dyDescent="0.25">
      <c r="A1499" s="7" t="s">
        <v>1449</v>
      </c>
      <c r="B1499" s="7" t="s">
        <v>1449</v>
      </c>
      <c r="C1499" s="7" t="s">
        <v>2714</v>
      </c>
      <c r="D1499" s="3">
        <v>71334</v>
      </c>
    </row>
    <row r="1500" spans="1:4" x14ac:dyDescent="0.25">
      <c r="A1500" s="6" t="s">
        <v>1450</v>
      </c>
      <c r="B1500" s="6" t="s">
        <v>1450</v>
      </c>
      <c r="C1500" s="6" t="s">
        <v>2715</v>
      </c>
      <c r="D1500" s="2">
        <v>71337</v>
      </c>
    </row>
    <row r="1501" spans="1:4" x14ac:dyDescent="0.25">
      <c r="A1501" s="7" t="s">
        <v>1451</v>
      </c>
      <c r="B1501" s="7" t="s">
        <v>1451</v>
      </c>
      <c r="C1501" s="7" t="s">
        <v>2716</v>
      </c>
      <c r="D1501" s="3">
        <v>71341</v>
      </c>
    </row>
    <row r="1502" spans="1:4" x14ac:dyDescent="0.25">
      <c r="A1502" s="6" t="s">
        <v>1452</v>
      </c>
      <c r="B1502" s="6" t="s">
        <v>1452</v>
      </c>
      <c r="C1502" s="6" t="s">
        <v>2717</v>
      </c>
      <c r="D1502" s="2">
        <v>71344</v>
      </c>
    </row>
    <row r="1503" spans="1:4" x14ac:dyDescent="0.25">
      <c r="A1503" s="7" t="s">
        <v>1453</v>
      </c>
      <c r="B1503" s="7" t="s">
        <v>1453</v>
      </c>
      <c r="C1503" s="7" t="s">
        <v>2718</v>
      </c>
      <c r="D1503" s="3">
        <v>71347</v>
      </c>
    </row>
    <row r="1504" spans="1:4" x14ac:dyDescent="0.25">
      <c r="A1504" s="6" t="s">
        <v>1454</v>
      </c>
      <c r="B1504" s="6" t="s">
        <v>1454</v>
      </c>
      <c r="C1504" s="6" t="s">
        <v>2719</v>
      </c>
      <c r="D1504" s="2">
        <v>71351</v>
      </c>
    </row>
    <row r="1505" spans="1:4" x14ac:dyDescent="0.25">
      <c r="A1505" s="7" t="s">
        <v>1455</v>
      </c>
      <c r="B1505" s="7" t="s">
        <v>1455</v>
      </c>
      <c r="C1505" s="7" t="s">
        <v>2720</v>
      </c>
      <c r="D1505" s="3">
        <v>71354</v>
      </c>
    </row>
    <row r="1506" spans="1:4" x14ac:dyDescent="0.25">
      <c r="A1506" s="6" t="s">
        <v>1456</v>
      </c>
      <c r="B1506" s="6" t="s">
        <v>1456</v>
      </c>
      <c r="C1506" s="6" t="s">
        <v>2721</v>
      </c>
      <c r="D1506" s="2">
        <v>71357</v>
      </c>
    </row>
    <row r="1507" spans="1:4" x14ac:dyDescent="0.25">
      <c r="A1507" s="7" t="s">
        <v>1457</v>
      </c>
      <c r="B1507" s="7" t="s">
        <v>1457</v>
      </c>
      <c r="C1507" s="7" t="s">
        <v>1457</v>
      </c>
      <c r="D1507" s="3">
        <v>71361</v>
      </c>
    </row>
    <row r="1508" spans="1:4" x14ac:dyDescent="0.25">
      <c r="A1508" s="6" t="s">
        <v>3020</v>
      </c>
      <c r="B1508" s="6" t="s">
        <v>1458</v>
      </c>
      <c r="C1508" s="6" t="s">
        <v>1458</v>
      </c>
      <c r="D1508" s="2">
        <v>71364</v>
      </c>
    </row>
    <row r="1509" spans="1:4" x14ac:dyDescent="0.25">
      <c r="A1509" s="7" t="s">
        <v>3021</v>
      </c>
      <c r="B1509" s="7" t="s">
        <v>1459</v>
      </c>
      <c r="C1509" s="7" t="s">
        <v>2722</v>
      </c>
      <c r="D1509" s="3">
        <v>71367</v>
      </c>
    </row>
    <row r="1510" spans="1:4" x14ac:dyDescent="0.25">
      <c r="A1510" s="6" t="s">
        <v>1460</v>
      </c>
      <c r="B1510" s="6" t="s">
        <v>1460</v>
      </c>
      <c r="C1510" s="6" t="s">
        <v>2723</v>
      </c>
      <c r="D1510" s="2">
        <v>71371</v>
      </c>
    </row>
    <row r="1511" spans="1:4" x14ac:dyDescent="0.25">
      <c r="A1511" s="7" t="s">
        <v>1461</v>
      </c>
      <c r="B1511" s="7" t="s">
        <v>1461</v>
      </c>
      <c r="C1511" s="7" t="s">
        <v>2724</v>
      </c>
      <c r="D1511" s="3">
        <v>71374</v>
      </c>
    </row>
    <row r="1512" spans="1:4" x14ac:dyDescent="0.25">
      <c r="A1512" s="6" t="s">
        <v>1462</v>
      </c>
      <c r="B1512" s="6" t="s">
        <v>1462</v>
      </c>
      <c r="C1512" s="6" t="s">
        <v>2725</v>
      </c>
      <c r="D1512" s="2">
        <v>71377</v>
      </c>
    </row>
    <row r="1513" spans="1:4" x14ac:dyDescent="0.25">
      <c r="A1513" s="7" t="s">
        <v>1463</v>
      </c>
      <c r="B1513" s="7" t="s">
        <v>1463</v>
      </c>
      <c r="C1513" s="7" t="s">
        <v>2726</v>
      </c>
      <c r="D1513" s="3">
        <v>71381</v>
      </c>
    </row>
    <row r="1514" spans="1:4" x14ac:dyDescent="0.25">
      <c r="A1514" s="6" t="s">
        <v>1464</v>
      </c>
      <c r="B1514" s="6" t="s">
        <v>1464</v>
      </c>
      <c r="C1514" s="6" t="s">
        <v>2727</v>
      </c>
      <c r="D1514" s="2">
        <v>71384</v>
      </c>
    </row>
    <row r="1515" spans="1:4" x14ac:dyDescent="0.25">
      <c r="A1515" s="7" t="s">
        <v>1465</v>
      </c>
      <c r="B1515" s="7" t="s">
        <v>1465</v>
      </c>
      <c r="C1515" s="7" t="s">
        <v>2728</v>
      </c>
      <c r="D1515" s="3">
        <v>71386</v>
      </c>
    </row>
    <row r="1516" spans="1:4" x14ac:dyDescent="0.25">
      <c r="A1516" s="6" t="s">
        <v>1466</v>
      </c>
      <c r="B1516" s="6" t="s">
        <v>1466</v>
      </c>
      <c r="C1516" s="6" t="s">
        <v>2729</v>
      </c>
      <c r="D1516" s="2">
        <v>71387</v>
      </c>
    </row>
    <row r="1517" spans="1:4" x14ac:dyDescent="0.25">
      <c r="A1517" s="7" t="s">
        <v>1467</v>
      </c>
      <c r="B1517" s="7" t="s">
        <v>1467</v>
      </c>
      <c r="C1517" s="7" t="s">
        <v>2730</v>
      </c>
      <c r="D1517" s="3">
        <v>71391</v>
      </c>
    </row>
    <row r="1518" spans="1:4" x14ac:dyDescent="0.25">
      <c r="A1518" s="6" t="s">
        <v>1468</v>
      </c>
      <c r="B1518" s="6" t="s">
        <v>1468</v>
      </c>
      <c r="C1518" s="6" t="s">
        <v>2408</v>
      </c>
      <c r="D1518" s="2">
        <v>71394</v>
      </c>
    </row>
    <row r="1519" spans="1:4" x14ac:dyDescent="0.25">
      <c r="A1519" s="7" t="s">
        <v>3022</v>
      </c>
      <c r="B1519" s="7" t="s">
        <v>1469</v>
      </c>
      <c r="C1519" s="7" t="s">
        <v>1469</v>
      </c>
      <c r="D1519" s="3">
        <v>71397</v>
      </c>
    </row>
    <row r="1520" spans="1:4" x14ac:dyDescent="0.25">
      <c r="A1520" s="6" t="s">
        <v>1470</v>
      </c>
      <c r="B1520" s="6" t="s">
        <v>1470</v>
      </c>
      <c r="C1520" s="6" t="s">
        <v>2731</v>
      </c>
      <c r="D1520" s="2">
        <v>72111</v>
      </c>
    </row>
    <row r="1521" spans="1:4" x14ac:dyDescent="0.25">
      <c r="A1521" s="7" t="s">
        <v>1471</v>
      </c>
      <c r="B1521" s="7" t="s">
        <v>1471</v>
      </c>
      <c r="C1521" s="7" t="s">
        <v>2454</v>
      </c>
      <c r="D1521" s="3">
        <v>72119</v>
      </c>
    </row>
    <row r="1522" spans="1:4" x14ac:dyDescent="0.25">
      <c r="A1522" s="6" t="s">
        <v>1472</v>
      </c>
      <c r="B1522" s="6" t="s">
        <v>1472</v>
      </c>
      <c r="C1522" s="6" t="s">
        <v>2732</v>
      </c>
      <c r="D1522" s="2">
        <v>72127</v>
      </c>
    </row>
    <row r="1523" spans="1:4" x14ac:dyDescent="0.25">
      <c r="A1523" s="7" t="s">
        <v>1473</v>
      </c>
      <c r="B1523" s="7" t="s">
        <v>1473</v>
      </c>
      <c r="C1523" s="7" t="s">
        <v>2733</v>
      </c>
      <c r="D1523" s="3">
        <v>72135</v>
      </c>
    </row>
    <row r="1524" spans="1:4" x14ac:dyDescent="0.25">
      <c r="A1524" s="6" t="s">
        <v>1474</v>
      </c>
      <c r="B1524" s="6" t="s">
        <v>1474</v>
      </c>
      <c r="C1524" s="6" t="s">
        <v>2734</v>
      </c>
      <c r="D1524" s="2">
        <v>72143</v>
      </c>
    </row>
    <row r="1525" spans="1:4" x14ac:dyDescent="0.25">
      <c r="A1525" s="7" t="s">
        <v>1475</v>
      </c>
      <c r="B1525" s="7" t="s">
        <v>1475</v>
      </c>
      <c r="C1525" s="7" t="s">
        <v>2735</v>
      </c>
      <c r="D1525" s="3">
        <v>72151</v>
      </c>
    </row>
    <row r="1526" spans="1:4" x14ac:dyDescent="0.25">
      <c r="A1526" s="6" t="s">
        <v>1476</v>
      </c>
      <c r="B1526" s="6" t="s">
        <v>1476</v>
      </c>
      <c r="C1526" s="6" t="s">
        <v>2736</v>
      </c>
      <c r="D1526" s="2">
        <v>72159</v>
      </c>
    </row>
    <row r="1527" spans="1:4" x14ac:dyDescent="0.25">
      <c r="A1527" s="7" t="s">
        <v>1477</v>
      </c>
      <c r="B1527" s="7" t="s">
        <v>1477</v>
      </c>
      <c r="C1527" s="7" t="s">
        <v>2737</v>
      </c>
      <c r="D1527" s="3">
        <v>72167</v>
      </c>
    </row>
    <row r="1528" spans="1:4" x14ac:dyDescent="0.25">
      <c r="A1528" s="6" t="s">
        <v>1478</v>
      </c>
      <c r="B1528" s="6" t="s">
        <v>1478</v>
      </c>
      <c r="C1528" s="6" t="s">
        <v>2738</v>
      </c>
      <c r="D1528" s="2">
        <v>72175</v>
      </c>
    </row>
    <row r="1529" spans="1:4" x14ac:dyDescent="0.25">
      <c r="A1529" s="7" t="s">
        <v>1479</v>
      </c>
      <c r="B1529" s="7" t="s">
        <v>1479</v>
      </c>
      <c r="C1529" s="7" t="s">
        <v>2739</v>
      </c>
      <c r="D1529" s="3">
        <v>72183</v>
      </c>
    </row>
    <row r="1530" spans="1:4" x14ac:dyDescent="0.25">
      <c r="A1530" s="6" t="s">
        <v>1480</v>
      </c>
      <c r="B1530" s="6" t="s">
        <v>1480</v>
      </c>
      <c r="C1530" s="6" t="s">
        <v>2740</v>
      </c>
      <c r="D1530" s="2">
        <v>72191</v>
      </c>
    </row>
    <row r="1531" spans="1:4" x14ac:dyDescent="0.25">
      <c r="A1531" s="7" t="s">
        <v>1481</v>
      </c>
      <c r="B1531" s="7" t="s">
        <v>1481</v>
      </c>
      <c r="C1531" s="7" t="s">
        <v>1481</v>
      </c>
      <c r="D1531" s="3">
        <v>72211</v>
      </c>
    </row>
    <row r="1532" spans="1:4" x14ac:dyDescent="0.25">
      <c r="A1532" s="6" t="s">
        <v>1482</v>
      </c>
      <c r="B1532" s="6" t="s">
        <v>1482</v>
      </c>
      <c r="C1532" s="6" t="s">
        <v>2741</v>
      </c>
      <c r="D1532" s="2">
        <v>72214</v>
      </c>
    </row>
    <row r="1533" spans="1:4" x14ac:dyDescent="0.25">
      <c r="A1533" s="7" t="s">
        <v>1483</v>
      </c>
      <c r="B1533" s="7" t="s">
        <v>1483</v>
      </c>
      <c r="C1533" s="7" t="s">
        <v>2742</v>
      </c>
      <c r="D1533" s="3">
        <v>72217</v>
      </c>
    </row>
    <row r="1534" spans="1:4" x14ac:dyDescent="0.25">
      <c r="A1534" s="6" t="s">
        <v>3023</v>
      </c>
      <c r="B1534" s="6" t="s">
        <v>1484</v>
      </c>
      <c r="C1534" s="6" t="s">
        <v>2743</v>
      </c>
      <c r="D1534" s="2">
        <v>72221</v>
      </c>
    </row>
    <row r="1535" spans="1:4" x14ac:dyDescent="0.25">
      <c r="A1535" s="7" t="s">
        <v>1485</v>
      </c>
      <c r="B1535" s="7" t="s">
        <v>1485</v>
      </c>
      <c r="C1535" s="7" t="s">
        <v>2744</v>
      </c>
      <c r="D1535" s="3">
        <v>72224</v>
      </c>
    </row>
    <row r="1536" spans="1:4" x14ac:dyDescent="0.25">
      <c r="A1536" s="6" t="s">
        <v>1486</v>
      </c>
      <c r="B1536" s="6" t="s">
        <v>1486</v>
      </c>
      <c r="C1536" s="6" t="s">
        <v>2745</v>
      </c>
      <c r="D1536" s="2">
        <v>72227</v>
      </c>
    </row>
    <row r="1537" spans="1:4" x14ac:dyDescent="0.25">
      <c r="A1537" s="7" t="s">
        <v>1487</v>
      </c>
      <c r="B1537" s="7" t="s">
        <v>1487</v>
      </c>
      <c r="C1537" s="7" t="s">
        <v>2746</v>
      </c>
      <c r="D1537" s="3">
        <v>72229</v>
      </c>
    </row>
    <row r="1538" spans="1:4" x14ac:dyDescent="0.25">
      <c r="A1538" s="6" t="s">
        <v>1488</v>
      </c>
      <c r="B1538" s="6" t="s">
        <v>1488</v>
      </c>
      <c r="C1538" s="6" t="s">
        <v>2747</v>
      </c>
      <c r="D1538" s="2">
        <v>72231</v>
      </c>
    </row>
    <row r="1539" spans="1:4" x14ac:dyDescent="0.25">
      <c r="A1539" s="7" t="s">
        <v>1489</v>
      </c>
      <c r="B1539" s="7" t="s">
        <v>1489</v>
      </c>
      <c r="C1539" s="7" t="s">
        <v>2748</v>
      </c>
      <c r="D1539" s="3">
        <v>72234</v>
      </c>
    </row>
    <row r="1540" spans="1:4" x14ac:dyDescent="0.25">
      <c r="A1540" s="6" t="s">
        <v>1490</v>
      </c>
      <c r="B1540" s="6" t="s">
        <v>1490</v>
      </c>
      <c r="C1540" s="6" t="s">
        <v>2749</v>
      </c>
      <c r="D1540" s="2">
        <v>72237</v>
      </c>
    </row>
    <row r="1541" spans="1:4" x14ac:dyDescent="0.25">
      <c r="A1541" s="7" t="s">
        <v>1491</v>
      </c>
      <c r="B1541" s="7" t="s">
        <v>1491</v>
      </c>
      <c r="C1541" s="7" t="s">
        <v>2750</v>
      </c>
      <c r="D1541" s="3">
        <v>72241</v>
      </c>
    </row>
    <row r="1542" spans="1:4" x14ac:dyDescent="0.25">
      <c r="A1542" s="6" t="s">
        <v>1492</v>
      </c>
      <c r="B1542" s="6" t="s">
        <v>1492</v>
      </c>
      <c r="C1542" s="6" t="s">
        <v>1492</v>
      </c>
      <c r="D1542" s="2">
        <v>72244</v>
      </c>
    </row>
    <row r="1543" spans="1:4" x14ac:dyDescent="0.25">
      <c r="A1543" s="7" t="s">
        <v>1493</v>
      </c>
      <c r="B1543" s="7" t="s">
        <v>1493</v>
      </c>
      <c r="C1543" s="7" t="s">
        <v>2751</v>
      </c>
      <c r="D1543" s="3">
        <v>72247</v>
      </c>
    </row>
    <row r="1544" spans="1:4" x14ac:dyDescent="0.25">
      <c r="A1544" s="6" t="s">
        <v>1494</v>
      </c>
      <c r="B1544" s="6" t="s">
        <v>1494</v>
      </c>
      <c r="C1544" s="6" t="s">
        <v>1494</v>
      </c>
      <c r="D1544" s="2">
        <v>72251</v>
      </c>
    </row>
    <row r="1545" spans="1:4" x14ac:dyDescent="0.25">
      <c r="A1545" s="7" t="s">
        <v>1495</v>
      </c>
      <c r="B1545" s="7" t="s">
        <v>1495</v>
      </c>
      <c r="C1545" s="7" t="s">
        <v>2752</v>
      </c>
      <c r="D1545" s="3">
        <v>72254</v>
      </c>
    </row>
    <row r="1546" spans="1:4" x14ac:dyDescent="0.25">
      <c r="A1546" s="6" t="s">
        <v>1496</v>
      </c>
      <c r="B1546" s="6" t="s">
        <v>1496</v>
      </c>
      <c r="C1546" s="6" t="s">
        <v>2753</v>
      </c>
      <c r="D1546" s="2">
        <v>72257</v>
      </c>
    </row>
    <row r="1547" spans="1:4" x14ac:dyDescent="0.25">
      <c r="A1547" s="7" t="s">
        <v>3024</v>
      </c>
      <c r="B1547" s="7" t="s">
        <v>1497</v>
      </c>
      <c r="C1547" s="7" t="s">
        <v>2754</v>
      </c>
      <c r="D1547" s="3">
        <v>72261</v>
      </c>
    </row>
    <row r="1548" spans="1:4" x14ac:dyDescent="0.25">
      <c r="A1548" s="6" t="s">
        <v>3025</v>
      </c>
      <c r="B1548" s="6" t="s">
        <v>1498</v>
      </c>
      <c r="C1548" s="6" t="s">
        <v>2755</v>
      </c>
      <c r="D1548" s="2">
        <v>72264</v>
      </c>
    </row>
    <row r="1549" spans="1:4" x14ac:dyDescent="0.25">
      <c r="A1549" s="7" t="s">
        <v>1499</v>
      </c>
      <c r="B1549" s="7" t="s">
        <v>1499</v>
      </c>
      <c r="C1549" s="7" t="s">
        <v>2756</v>
      </c>
      <c r="D1549" s="3">
        <v>72267</v>
      </c>
    </row>
    <row r="1550" spans="1:4" x14ac:dyDescent="0.25">
      <c r="A1550" s="6" t="s">
        <v>1500</v>
      </c>
      <c r="B1550" s="6" t="s">
        <v>1500</v>
      </c>
      <c r="C1550" s="6" t="s">
        <v>2757</v>
      </c>
      <c r="D1550" s="2">
        <v>72271</v>
      </c>
    </row>
    <row r="1551" spans="1:4" x14ac:dyDescent="0.25">
      <c r="A1551" s="7" t="s">
        <v>1501</v>
      </c>
      <c r="B1551" s="7" t="s">
        <v>1501</v>
      </c>
      <c r="C1551" s="7" t="s">
        <v>2758</v>
      </c>
      <c r="D1551" s="3">
        <v>72274</v>
      </c>
    </row>
    <row r="1552" spans="1:4" x14ac:dyDescent="0.25">
      <c r="A1552" s="6" t="s">
        <v>1502</v>
      </c>
      <c r="B1552" s="6" t="s">
        <v>1502</v>
      </c>
      <c r="C1552" s="6" t="s">
        <v>2759</v>
      </c>
      <c r="D1552" s="2">
        <v>72276</v>
      </c>
    </row>
    <row r="1553" spans="1:4" x14ac:dyDescent="0.25">
      <c r="A1553" s="7" t="s">
        <v>1503</v>
      </c>
      <c r="B1553" s="7" t="s">
        <v>1503</v>
      </c>
      <c r="C1553" s="7" t="s">
        <v>1503</v>
      </c>
      <c r="D1553" s="3">
        <v>72277</v>
      </c>
    </row>
    <row r="1554" spans="1:4" x14ac:dyDescent="0.25">
      <c r="A1554" s="6" t="s">
        <v>1504</v>
      </c>
      <c r="B1554" s="6" t="s">
        <v>1504</v>
      </c>
      <c r="C1554" s="6" t="s">
        <v>2760</v>
      </c>
      <c r="D1554" s="2">
        <v>72281</v>
      </c>
    </row>
    <row r="1555" spans="1:4" x14ac:dyDescent="0.25">
      <c r="A1555" s="7" t="s">
        <v>1505</v>
      </c>
      <c r="B1555" s="7" t="s">
        <v>1505</v>
      </c>
      <c r="C1555" s="7" t="s">
        <v>1505</v>
      </c>
      <c r="D1555" s="3">
        <v>72284</v>
      </c>
    </row>
    <row r="1556" spans="1:4" x14ac:dyDescent="0.25">
      <c r="A1556" s="6" t="s">
        <v>1506</v>
      </c>
      <c r="B1556" s="6" t="s">
        <v>1506</v>
      </c>
      <c r="C1556" s="6" t="s">
        <v>1506</v>
      </c>
      <c r="D1556" s="2">
        <v>72287</v>
      </c>
    </row>
    <row r="1557" spans="1:4" x14ac:dyDescent="0.25">
      <c r="A1557" s="7" t="s">
        <v>1507</v>
      </c>
      <c r="B1557" s="7" t="s">
        <v>1507</v>
      </c>
      <c r="C1557" s="7" t="s">
        <v>2761</v>
      </c>
      <c r="D1557" s="3">
        <v>72291</v>
      </c>
    </row>
    <row r="1558" spans="1:4" x14ac:dyDescent="0.25">
      <c r="A1558" s="6" t="s">
        <v>1508</v>
      </c>
      <c r="B1558" s="6" t="s">
        <v>1508</v>
      </c>
      <c r="C1558" s="6" t="s">
        <v>2762</v>
      </c>
      <c r="D1558" s="2">
        <v>73111</v>
      </c>
    </row>
    <row r="1559" spans="1:4" x14ac:dyDescent="0.25">
      <c r="A1559" s="7" t="s">
        <v>1509</v>
      </c>
      <c r="B1559" s="7" t="s">
        <v>1509</v>
      </c>
      <c r="C1559" s="7" t="s">
        <v>2763</v>
      </c>
      <c r="D1559" s="3">
        <v>73116</v>
      </c>
    </row>
    <row r="1560" spans="1:4" x14ac:dyDescent="0.25">
      <c r="A1560" s="6" t="s">
        <v>1510</v>
      </c>
      <c r="B1560" s="6" t="s">
        <v>1510</v>
      </c>
      <c r="C1560" s="6" t="s">
        <v>1510</v>
      </c>
      <c r="D1560" s="2">
        <v>73119</v>
      </c>
    </row>
    <row r="1561" spans="1:4" x14ac:dyDescent="0.25">
      <c r="A1561" s="7" t="s">
        <v>1511</v>
      </c>
      <c r="B1561" s="7" t="s">
        <v>1511</v>
      </c>
      <c r="C1561" s="7" t="s">
        <v>2764</v>
      </c>
      <c r="D1561" s="3">
        <v>73127</v>
      </c>
    </row>
    <row r="1562" spans="1:4" x14ac:dyDescent="0.25">
      <c r="A1562" s="6" t="s">
        <v>1512</v>
      </c>
      <c r="B1562" s="6" t="s">
        <v>1512</v>
      </c>
      <c r="C1562" s="6" t="s">
        <v>1915</v>
      </c>
      <c r="D1562" s="2">
        <v>73135</v>
      </c>
    </row>
    <row r="1563" spans="1:4" x14ac:dyDescent="0.25">
      <c r="A1563" s="7" t="s">
        <v>1513</v>
      </c>
      <c r="B1563" s="7" t="s">
        <v>1513</v>
      </c>
      <c r="C1563" s="7" t="s">
        <v>2765</v>
      </c>
      <c r="D1563" s="3">
        <v>73143</v>
      </c>
    </row>
    <row r="1564" spans="1:4" x14ac:dyDescent="0.25">
      <c r="A1564" s="6" t="s">
        <v>1514</v>
      </c>
      <c r="B1564" s="6" t="s">
        <v>1514</v>
      </c>
      <c r="C1564" s="6" t="s">
        <v>2766</v>
      </c>
      <c r="D1564" s="2">
        <v>73146</v>
      </c>
    </row>
    <row r="1565" spans="1:4" x14ac:dyDescent="0.25">
      <c r="A1565" s="7" t="s">
        <v>1515</v>
      </c>
      <c r="B1565" s="7" t="s">
        <v>1515</v>
      </c>
      <c r="C1565" s="7" t="s">
        <v>2767</v>
      </c>
      <c r="D1565" s="3">
        <v>73151</v>
      </c>
    </row>
    <row r="1566" spans="1:4" x14ac:dyDescent="0.25">
      <c r="A1566" s="6" t="s">
        <v>1516</v>
      </c>
      <c r="B1566" s="6" t="s">
        <v>1516</v>
      </c>
      <c r="C1566" s="6" t="s">
        <v>2768</v>
      </c>
      <c r="D1566" s="2">
        <v>73159</v>
      </c>
    </row>
    <row r="1567" spans="1:4" x14ac:dyDescent="0.25">
      <c r="A1567" s="7" t="s">
        <v>1517</v>
      </c>
      <c r="B1567" s="7" t="s">
        <v>1517</v>
      </c>
      <c r="C1567" s="7" t="s">
        <v>2769</v>
      </c>
      <c r="D1567" s="3">
        <v>73162</v>
      </c>
    </row>
    <row r="1568" spans="1:4" x14ac:dyDescent="0.25">
      <c r="A1568" s="6" t="s">
        <v>1518</v>
      </c>
      <c r="B1568" s="6" t="s">
        <v>1518</v>
      </c>
      <c r="C1568" s="6" t="s">
        <v>1518</v>
      </c>
      <c r="D1568" s="2">
        <v>73167</v>
      </c>
    </row>
    <row r="1569" spans="1:4" x14ac:dyDescent="0.25">
      <c r="A1569" s="7" t="s">
        <v>1519</v>
      </c>
      <c r="B1569" s="7" t="s">
        <v>1519</v>
      </c>
      <c r="C1569" s="7" t="s">
        <v>2770</v>
      </c>
      <c r="D1569" s="3">
        <v>73175</v>
      </c>
    </row>
    <row r="1570" spans="1:4" x14ac:dyDescent="0.25">
      <c r="A1570" s="6" t="s">
        <v>1520</v>
      </c>
      <c r="B1570" s="6" t="s">
        <v>1520</v>
      </c>
      <c r="C1570" s="6" t="s">
        <v>1520</v>
      </c>
      <c r="D1570" s="2">
        <v>73183</v>
      </c>
    </row>
    <row r="1571" spans="1:4" x14ac:dyDescent="0.25">
      <c r="A1571" s="7" t="s">
        <v>1521</v>
      </c>
      <c r="B1571" s="7" t="s">
        <v>1521</v>
      </c>
      <c r="C1571" s="7" t="s">
        <v>2771</v>
      </c>
      <c r="D1571" s="3">
        <v>73191</v>
      </c>
    </row>
    <row r="1572" spans="1:4" x14ac:dyDescent="0.25">
      <c r="A1572" s="6" t="s">
        <v>3026</v>
      </c>
      <c r="B1572" s="6" t="s">
        <v>1522</v>
      </c>
      <c r="C1572" s="6" t="s">
        <v>2772</v>
      </c>
      <c r="D1572" s="2">
        <v>73211</v>
      </c>
    </row>
    <row r="1573" spans="1:4" x14ac:dyDescent="0.25">
      <c r="A1573" s="7" t="s">
        <v>1523</v>
      </c>
      <c r="B1573" s="7" t="s">
        <v>1523</v>
      </c>
      <c r="C1573" s="7" t="s">
        <v>2773</v>
      </c>
      <c r="D1573" s="3">
        <v>73226</v>
      </c>
    </row>
    <row r="1574" spans="1:4" x14ac:dyDescent="0.25">
      <c r="A1574" s="6" t="s">
        <v>1524</v>
      </c>
      <c r="B1574" s="6" t="s">
        <v>1524</v>
      </c>
      <c r="C1574" s="6" t="s">
        <v>2774</v>
      </c>
      <c r="D1574" s="2">
        <v>73228</v>
      </c>
    </row>
    <row r="1575" spans="1:4" x14ac:dyDescent="0.25">
      <c r="A1575" s="7" t="s">
        <v>1525</v>
      </c>
      <c r="B1575" s="7" t="s">
        <v>1525</v>
      </c>
      <c r="C1575" s="7" t="s">
        <v>2775</v>
      </c>
      <c r="D1575" s="3">
        <v>73230</v>
      </c>
    </row>
    <row r="1576" spans="1:4" x14ac:dyDescent="0.25">
      <c r="A1576" s="6" t="s">
        <v>1526</v>
      </c>
      <c r="B1576" s="6" t="s">
        <v>1526</v>
      </c>
      <c r="C1576" s="6" t="s">
        <v>2776</v>
      </c>
      <c r="D1576" s="2">
        <v>73232</v>
      </c>
    </row>
    <row r="1577" spans="1:4" x14ac:dyDescent="0.25">
      <c r="A1577" s="7" t="s">
        <v>1527</v>
      </c>
      <c r="B1577" s="7" t="s">
        <v>1527</v>
      </c>
      <c r="C1577" s="7" t="s">
        <v>1527</v>
      </c>
      <c r="D1577" s="3">
        <v>73234</v>
      </c>
    </row>
    <row r="1578" spans="1:4" x14ac:dyDescent="0.25">
      <c r="A1578" s="6" t="s">
        <v>1528</v>
      </c>
      <c r="B1578" s="6" t="s">
        <v>1528</v>
      </c>
      <c r="C1578" s="6" t="s">
        <v>1528</v>
      </c>
      <c r="D1578" s="2">
        <v>73244</v>
      </c>
    </row>
    <row r="1579" spans="1:4" x14ac:dyDescent="0.25">
      <c r="A1579" s="7" t="s">
        <v>1529</v>
      </c>
      <c r="B1579" s="7" t="s">
        <v>1529</v>
      </c>
      <c r="C1579" s="7" t="s">
        <v>1529</v>
      </c>
      <c r="D1579" s="3">
        <v>73245</v>
      </c>
    </row>
    <row r="1580" spans="1:4" x14ac:dyDescent="0.25">
      <c r="A1580" s="6" t="s">
        <v>1530</v>
      </c>
      <c r="B1580" s="6" t="s">
        <v>1530</v>
      </c>
      <c r="C1580" s="6" t="s">
        <v>2777</v>
      </c>
      <c r="D1580" s="2">
        <v>73248</v>
      </c>
    </row>
    <row r="1581" spans="1:4" x14ac:dyDescent="0.25">
      <c r="A1581" s="7" t="s">
        <v>1531</v>
      </c>
      <c r="B1581" s="7" t="s">
        <v>1531</v>
      </c>
      <c r="C1581" s="7" t="s">
        <v>2778</v>
      </c>
      <c r="D1581" s="3">
        <v>73250</v>
      </c>
    </row>
    <row r="1582" spans="1:4" x14ac:dyDescent="0.25">
      <c r="A1582" s="6" t="s">
        <v>1532</v>
      </c>
      <c r="B1582" s="6" t="s">
        <v>1532</v>
      </c>
      <c r="C1582" s="6" t="s">
        <v>2779</v>
      </c>
      <c r="D1582" s="2">
        <v>73256</v>
      </c>
    </row>
    <row r="1583" spans="1:4" x14ac:dyDescent="0.25">
      <c r="A1583" s="7" t="s">
        <v>1533</v>
      </c>
      <c r="B1583" s="7" t="s">
        <v>1533</v>
      </c>
      <c r="C1583" s="7" t="s">
        <v>2780</v>
      </c>
      <c r="D1583" s="3">
        <v>73257</v>
      </c>
    </row>
    <row r="1584" spans="1:4" x14ac:dyDescent="0.25">
      <c r="A1584" s="6" t="s">
        <v>1534</v>
      </c>
      <c r="B1584" s="6" t="s">
        <v>1534</v>
      </c>
      <c r="C1584" s="6" t="s">
        <v>2781</v>
      </c>
      <c r="D1584" s="2">
        <v>73262</v>
      </c>
    </row>
    <row r="1585" spans="1:4" x14ac:dyDescent="0.25">
      <c r="A1585" s="7" t="s">
        <v>1535</v>
      </c>
      <c r="B1585" s="7" t="s">
        <v>1535</v>
      </c>
      <c r="C1585" s="7" t="s">
        <v>2782</v>
      </c>
      <c r="D1585" s="3">
        <v>73276</v>
      </c>
    </row>
    <row r="1586" spans="1:4" x14ac:dyDescent="0.25">
      <c r="A1586" s="6" t="s">
        <v>1536</v>
      </c>
      <c r="B1586" s="6" t="s">
        <v>1536</v>
      </c>
      <c r="C1586" s="6" t="s">
        <v>1536</v>
      </c>
      <c r="D1586" s="2">
        <v>73279</v>
      </c>
    </row>
    <row r="1587" spans="1:4" x14ac:dyDescent="0.25">
      <c r="A1587" s="7" t="s">
        <v>1537</v>
      </c>
      <c r="B1587" s="7" t="s">
        <v>1537</v>
      </c>
      <c r="C1587" s="7" t="s">
        <v>2783</v>
      </c>
      <c r="D1587" s="3">
        <v>73280</v>
      </c>
    </row>
    <row r="1588" spans="1:4" x14ac:dyDescent="0.25">
      <c r="A1588" s="6" t="s">
        <v>1538</v>
      </c>
      <c r="B1588" s="6" t="s">
        <v>1538</v>
      </c>
      <c r="C1588" s="6" t="s">
        <v>1538</v>
      </c>
      <c r="D1588" s="2">
        <v>73282</v>
      </c>
    </row>
    <row r="1589" spans="1:4" x14ac:dyDescent="0.25">
      <c r="A1589" s="7" t="s">
        <v>1539</v>
      </c>
      <c r="B1589" s="7" t="s">
        <v>1539</v>
      </c>
      <c r="C1589" s="7" t="s">
        <v>1539</v>
      </c>
      <c r="D1589" s="3">
        <v>73288</v>
      </c>
    </row>
    <row r="1590" spans="1:4" x14ac:dyDescent="0.25">
      <c r="A1590" s="6" t="s">
        <v>1540</v>
      </c>
      <c r="B1590" s="6" t="s">
        <v>1540</v>
      </c>
      <c r="C1590" s="6" t="s">
        <v>1731</v>
      </c>
      <c r="D1590" s="2">
        <v>73293</v>
      </c>
    </row>
    <row r="1591" spans="1:4" x14ac:dyDescent="0.25">
      <c r="A1591" s="7" t="s">
        <v>1541</v>
      </c>
      <c r="B1591" s="7" t="s">
        <v>1541</v>
      </c>
      <c r="C1591" s="7" t="s">
        <v>2784</v>
      </c>
      <c r="D1591" s="3">
        <v>74111</v>
      </c>
    </row>
    <row r="1592" spans="1:4" x14ac:dyDescent="0.25">
      <c r="A1592" s="6" t="s">
        <v>1542</v>
      </c>
      <c r="B1592" s="6" t="s">
        <v>1542</v>
      </c>
      <c r="C1592" s="6" t="s">
        <v>2785</v>
      </c>
      <c r="D1592" s="2">
        <v>74112</v>
      </c>
    </row>
    <row r="1593" spans="1:4" x14ac:dyDescent="0.25">
      <c r="A1593" s="7" t="s">
        <v>1543</v>
      </c>
      <c r="B1593" s="7" t="s">
        <v>1543</v>
      </c>
      <c r="C1593" s="7" t="s">
        <v>2786</v>
      </c>
      <c r="D1593" s="3">
        <v>74114</v>
      </c>
    </row>
    <row r="1594" spans="1:4" x14ac:dyDescent="0.25">
      <c r="A1594" s="6" t="s">
        <v>1544</v>
      </c>
      <c r="B1594" s="6" t="s">
        <v>1544</v>
      </c>
      <c r="C1594" s="6" t="s">
        <v>2787</v>
      </c>
      <c r="D1594" s="2">
        <v>74116</v>
      </c>
    </row>
    <row r="1595" spans="1:4" x14ac:dyDescent="0.25">
      <c r="A1595" s="7" t="s">
        <v>1545</v>
      </c>
      <c r="B1595" s="7" t="s">
        <v>1545</v>
      </c>
      <c r="C1595" s="7" t="s">
        <v>2788</v>
      </c>
      <c r="D1595" s="3">
        <v>74118</v>
      </c>
    </row>
    <row r="1596" spans="1:4" x14ac:dyDescent="0.25">
      <c r="A1596" s="6" t="s">
        <v>1546</v>
      </c>
      <c r="B1596" s="6" t="s">
        <v>1546</v>
      </c>
      <c r="C1596" s="6" t="s">
        <v>2789</v>
      </c>
      <c r="D1596" s="2">
        <v>74120</v>
      </c>
    </row>
    <row r="1597" spans="1:4" x14ac:dyDescent="0.25">
      <c r="A1597" s="7" t="s">
        <v>3027</v>
      </c>
      <c r="B1597" s="7" t="s">
        <v>1547</v>
      </c>
      <c r="C1597" s="7" t="s">
        <v>2790</v>
      </c>
      <c r="D1597" s="3">
        <v>74122</v>
      </c>
    </row>
    <row r="1598" spans="1:4" x14ac:dyDescent="0.25">
      <c r="A1598" s="6" t="s">
        <v>1548</v>
      </c>
      <c r="B1598" s="6" t="s">
        <v>1548</v>
      </c>
      <c r="C1598" s="6" t="s">
        <v>1702</v>
      </c>
      <c r="D1598" s="2">
        <v>74124</v>
      </c>
    </row>
    <row r="1599" spans="1:4" x14ac:dyDescent="0.25">
      <c r="A1599" s="7" t="s">
        <v>1549</v>
      </c>
      <c r="B1599" s="7" t="s">
        <v>1549</v>
      </c>
      <c r="C1599" s="7" t="s">
        <v>2791</v>
      </c>
      <c r="D1599" s="3">
        <v>74126</v>
      </c>
    </row>
    <row r="1600" spans="1:4" x14ac:dyDescent="0.25">
      <c r="A1600" s="6" t="s">
        <v>1550</v>
      </c>
      <c r="B1600" s="6" t="s">
        <v>1550</v>
      </c>
      <c r="C1600" s="6" t="s">
        <v>2792</v>
      </c>
      <c r="D1600" s="2">
        <v>74128</v>
      </c>
    </row>
    <row r="1601" spans="1:4" x14ac:dyDescent="0.25">
      <c r="A1601" s="7" t="s">
        <v>1551</v>
      </c>
      <c r="B1601" s="7" t="s">
        <v>1551</v>
      </c>
      <c r="C1601" s="7" t="s">
        <v>2793</v>
      </c>
      <c r="D1601" s="3">
        <v>74130</v>
      </c>
    </row>
    <row r="1602" spans="1:4" x14ac:dyDescent="0.25">
      <c r="A1602" s="6" t="s">
        <v>3028</v>
      </c>
      <c r="B1602" s="6" t="s">
        <v>1552</v>
      </c>
      <c r="C1602" s="6" t="s">
        <v>1552</v>
      </c>
      <c r="D1602" s="2">
        <v>74131</v>
      </c>
    </row>
    <row r="1603" spans="1:4" x14ac:dyDescent="0.25">
      <c r="A1603" s="7" t="s">
        <v>1553</v>
      </c>
      <c r="B1603" s="7" t="s">
        <v>1553</v>
      </c>
      <c r="C1603" s="7" t="s">
        <v>2494</v>
      </c>
      <c r="D1603" s="3">
        <v>74133</v>
      </c>
    </row>
    <row r="1604" spans="1:4" x14ac:dyDescent="0.25">
      <c r="A1604" s="6" t="s">
        <v>1554</v>
      </c>
      <c r="B1604" s="6" t="s">
        <v>1554</v>
      </c>
      <c r="C1604" s="6" t="s">
        <v>2794</v>
      </c>
      <c r="D1604" s="2">
        <v>74141</v>
      </c>
    </row>
    <row r="1605" spans="1:4" x14ac:dyDescent="0.25">
      <c r="A1605" s="7" t="s">
        <v>1555</v>
      </c>
      <c r="B1605" s="7" t="s">
        <v>1555</v>
      </c>
      <c r="C1605" s="7" t="s">
        <v>2795</v>
      </c>
      <c r="D1605" s="3">
        <v>74155</v>
      </c>
    </row>
    <row r="1606" spans="1:4" x14ac:dyDescent="0.25">
      <c r="A1606" s="6" t="s">
        <v>1556</v>
      </c>
      <c r="B1606" s="6" t="s">
        <v>1556</v>
      </c>
      <c r="C1606" s="6" t="s">
        <v>2796</v>
      </c>
      <c r="D1606" s="2">
        <v>74158</v>
      </c>
    </row>
    <row r="1607" spans="1:4" x14ac:dyDescent="0.25">
      <c r="A1607" s="7" t="s">
        <v>1557</v>
      </c>
      <c r="B1607" s="7" t="s">
        <v>1557</v>
      </c>
      <c r="C1607" s="7" t="s">
        <v>2797</v>
      </c>
      <c r="D1607" s="3">
        <v>74160</v>
      </c>
    </row>
    <row r="1608" spans="1:4" x14ac:dyDescent="0.25">
      <c r="A1608" s="6" t="s">
        <v>1558</v>
      </c>
      <c r="B1608" s="6" t="s">
        <v>1558</v>
      </c>
      <c r="C1608" s="6" t="s">
        <v>2798</v>
      </c>
      <c r="D1608" s="2">
        <v>74168</v>
      </c>
    </row>
    <row r="1609" spans="1:4" x14ac:dyDescent="0.25">
      <c r="A1609" s="7" t="s">
        <v>1559</v>
      </c>
      <c r="B1609" s="7" t="s">
        <v>1559</v>
      </c>
      <c r="C1609" s="7" t="s">
        <v>2799</v>
      </c>
      <c r="D1609" s="3">
        <v>74175</v>
      </c>
    </row>
    <row r="1610" spans="1:4" x14ac:dyDescent="0.25">
      <c r="A1610" s="6" t="s">
        <v>3029</v>
      </c>
      <c r="B1610" s="6" t="s">
        <v>1560</v>
      </c>
      <c r="C1610" s="6" t="s">
        <v>2800</v>
      </c>
      <c r="D1610" s="2">
        <v>74177</v>
      </c>
    </row>
    <row r="1611" spans="1:4" x14ac:dyDescent="0.25">
      <c r="A1611" s="7" t="s">
        <v>3030</v>
      </c>
      <c r="B1611" s="7" t="s">
        <v>1561</v>
      </c>
      <c r="C1611" s="7" t="s">
        <v>2801</v>
      </c>
      <c r="D1611" s="3">
        <v>74179</v>
      </c>
    </row>
    <row r="1612" spans="1:4" x14ac:dyDescent="0.25">
      <c r="A1612" s="6" t="s">
        <v>1562</v>
      </c>
      <c r="B1612" s="6" t="s">
        <v>1562</v>
      </c>
      <c r="C1612" s="6" t="s">
        <v>1616</v>
      </c>
      <c r="D1612" s="2">
        <v>74181</v>
      </c>
    </row>
    <row r="1613" spans="1:4" x14ac:dyDescent="0.25">
      <c r="A1613" s="7" t="s">
        <v>1563</v>
      </c>
      <c r="B1613" s="7" t="s">
        <v>1563</v>
      </c>
      <c r="C1613" s="7" t="s">
        <v>1563</v>
      </c>
      <c r="D1613" s="4" t="s">
        <v>0</v>
      </c>
    </row>
    <row r="1614" spans="1:4" x14ac:dyDescent="0.25">
      <c r="A1614" s="6" t="s">
        <v>1563</v>
      </c>
      <c r="B1614" s="6" t="s">
        <v>1563</v>
      </c>
      <c r="C1614" s="6" t="s">
        <v>1563</v>
      </c>
      <c r="D1614" s="5" t="s">
        <v>1</v>
      </c>
    </row>
    <row r="1615" spans="1:4" x14ac:dyDescent="0.25">
      <c r="A1615" s="7" t="s">
        <v>1563</v>
      </c>
      <c r="B1615" s="7" t="s">
        <v>1563</v>
      </c>
      <c r="C1615" s="7" t="s">
        <v>1563</v>
      </c>
      <c r="D1615" s="4" t="s">
        <v>2</v>
      </c>
    </row>
    <row r="1616" spans="1:4" x14ac:dyDescent="0.25">
      <c r="A1616" s="6" t="s">
        <v>1563</v>
      </c>
      <c r="B1616" s="6" t="s">
        <v>1563</v>
      </c>
      <c r="C1616" s="6" t="s">
        <v>1563</v>
      </c>
      <c r="D1616" s="5" t="s">
        <v>3</v>
      </c>
    </row>
    <row r="1617" spans="1:4" x14ac:dyDescent="0.25">
      <c r="A1617" s="7" t="s">
        <v>1563</v>
      </c>
      <c r="B1617" s="7" t="s">
        <v>1563</v>
      </c>
      <c r="C1617" s="7" t="s">
        <v>1563</v>
      </c>
      <c r="D1617" s="4" t="s">
        <v>4</v>
      </c>
    </row>
    <row r="1618" spans="1:4" x14ac:dyDescent="0.25">
      <c r="A1618" s="6" t="s">
        <v>1563</v>
      </c>
      <c r="B1618" s="6" t="s">
        <v>1563</v>
      </c>
      <c r="C1618" s="6" t="s">
        <v>1563</v>
      </c>
      <c r="D1618" s="5" t="s">
        <v>5</v>
      </c>
    </row>
    <row r="1619" spans="1:4" x14ac:dyDescent="0.25">
      <c r="A1619" s="7" t="s">
        <v>1564</v>
      </c>
      <c r="B1619" s="7" t="s">
        <v>1564</v>
      </c>
      <c r="C1619" s="7" t="s">
        <v>1564</v>
      </c>
      <c r="D1619" s="4" t="s">
        <v>6</v>
      </c>
    </row>
    <row r="1620" spans="1:4" x14ac:dyDescent="0.25">
      <c r="A1620" s="6" t="s">
        <v>1563</v>
      </c>
      <c r="B1620" s="6" t="s">
        <v>1563</v>
      </c>
      <c r="C1620" s="6" t="s">
        <v>1563</v>
      </c>
      <c r="D1620" s="5" t="s">
        <v>7</v>
      </c>
    </row>
    <row r="1621" spans="1:4" x14ac:dyDescent="0.25">
      <c r="A1621" s="7" t="s">
        <v>1563</v>
      </c>
      <c r="B1621" s="7" t="s">
        <v>1563</v>
      </c>
      <c r="C1621" s="7" t="s">
        <v>1563</v>
      </c>
      <c r="D1621" s="4" t="s">
        <v>8</v>
      </c>
    </row>
    <row r="1622" spans="1:4" x14ac:dyDescent="0.25">
      <c r="A1622" s="6" t="s">
        <v>1563</v>
      </c>
      <c r="B1622" s="6" t="s">
        <v>1563</v>
      </c>
      <c r="C1622" s="6" t="s">
        <v>1563</v>
      </c>
      <c r="D1622" s="5" t="s">
        <v>9</v>
      </c>
    </row>
    <row r="1623" spans="1:4" x14ac:dyDescent="0.25">
      <c r="A1623" s="7" t="s">
        <v>1563</v>
      </c>
      <c r="B1623" s="7" t="s">
        <v>1563</v>
      </c>
      <c r="C1623" s="7" t="s">
        <v>1563</v>
      </c>
      <c r="D1623" s="4" t="s">
        <v>10</v>
      </c>
    </row>
    <row r="1624" spans="1:4" x14ac:dyDescent="0.25">
      <c r="A1624" s="6" t="s">
        <v>1563</v>
      </c>
      <c r="B1624" s="6" t="s">
        <v>1563</v>
      </c>
      <c r="C1624" s="6" t="s">
        <v>1563</v>
      </c>
      <c r="D1624" s="5" t="s">
        <v>11</v>
      </c>
    </row>
    <row r="1625" spans="1:4" x14ac:dyDescent="0.25">
      <c r="A1625" s="7" t="s">
        <v>1563</v>
      </c>
      <c r="B1625" s="7" t="s">
        <v>1563</v>
      </c>
      <c r="C1625" s="7" t="s">
        <v>1563</v>
      </c>
      <c r="D1625" s="4" t="s">
        <v>12</v>
      </c>
    </row>
    <row r="1626" spans="1:4" x14ac:dyDescent="0.25">
      <c r="A1626" s="6" t="s">
        <v>1563</v>
      </c>
      <c r="B1626" s="6" t="s">
        <v>1563</v>
      </c>
      <c r="C1626" s="6" t="s">
        <v>1563</v>
      </c>
      <c r="D1626" s="5" t="s">
        <v>13</v>
      </c>
    </row>
    <row r="1627" spans="1:4" x14ac:dyDescent="0.25">
      <c r="A1627" s="7" t="s">
        <v>1563</v>
      </c>
      <c r="B1627" s="7" t="s">
        <v>1563</v>
      </c>
      <c r="C1627" s="7" t="s">
        <v>1563</v>
      </c>
      <c r="D1627" s="4" t="s">
        <v>14</v>
      </c>
    </row>
    <row r="1628" spans="1:4" x14ac:dyDescent="0.25">
      <c r="A1628" s="6" t="s">
        <v>1563</v>
      </c>
      <c r="B1628" s="6" t="s">
        <v>1563</v>
      </c>
      <c r="C1628" s="6" t="s">
        <v>1563</v>
      </c>
      <c r="D1628" s="5" t="s">
        <v>15</v>
      </c>
    </row>
    <row r="1629" spans="1:4" x14ac:dyDescent="0.25">
      <c r="A1629" s="7" t="s">
        <v>1563</v>
      </c>
      <c r="B1629" s="7" t="s">
        <v>1563</v>
      </c>
      <c r="C1629" s="7" t="s">
        <v>1563</v>
      </c>
      <c r="D1629" s="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B672-2443-4705-81BE-92630613B9AD}">
  <dimension ref="A1:AA32"/>
  <sheetViews>
    <sheetView tabSelected="1" topLeftCell="B1" workbookViewId="0">
      <selection activeCell="M8" sqref="M8"/>
    </sheetView>
  </sheetViews>
  <sheetFormatPr defaultRowHeight="15" x14ac:dyDescent="0.25"/>
  <cols>
    <col min="1" max="2" width="24.7109375" customWidth="1"/>
    <col min="4" max="4" width="8.85546875" style="8"/>
    <col min="20" max="20" width="12.42578125" customWidth="1"/>
  </cols>
  <sheetData>
    <row r="1" spans="1:27" ht="15.75" thickBot="1" x14ac:dyDescent="0.3">
      <c r="A1" t="s">
        <v>8257</v>
      </c>
      <c r="B1" t="s">
        <v>8275</v>
      </c>
      <c r="C1" t="s">
        <v>8282</v>
      </c>
      <c r="D1" s="9" t="s">
        <v>8266</v>
      </c>
      <c r="E1" s="1" t="s">
        <v>8267</v>
      </c>
      <c r="F1" s="1" t="s">
        <v>8268</v>
      </c>
      <c r="G1" s="1" t="s">
        <v>8269</v>
      </c>
      <c r="H1" s="1" t="s">
        <v>8270</v>
      </c>
      <c r="I1" s="1" t="s">
        <v>8271</v>
      </c>
      <c r="J1" s="1" t="s">
        <v>8272</v>
      </c>
      <c r="K1" s="1" t="s">
        <v>8273</v>
      </c>
      <c r="L1" s="1" t="s">
        <v>8274</v>
      </c>
      <c r="M1" s="1" t="s">
        <v>8285</v>
      </c>
      <c r="N1" s="1" t="s">
        <v>8220</v>
      </c>
      <c r="O1" s="1" t="s">
        <v>8284</v>
      </c>
      <c r="P1" s="1" t="s">
        <v>8283</v>
      </c>
      <c r="Q1" s="1"/>
      <c r="R1" s="1"/>
    </row>
    <row r="2" spans="1:27" ht="15.75" x14ac:dyDescent="0.25">
      <c r="A2" s="112" t="s">
        <v>3217</v>
      </c>
      <c r="B2" t="s">
        <v>3217</v>
      </c>
      <c r="C2">
        <v>1.72757466979678</v>
      </c>
      <c r="D2" s="8">
        <v>0.74189455026419504</v>
      </c>
      <c r="E2" s="117">
        <v>6.3</v>
      </c>
      <c r="F2" s="117">
        <v>65.5</v>
      </c>
      <c r="G2" s="117">
        <v>4</v>
      </c>
      <c r="H2" s="117">
        <v>4.3</v>
      </c>
      <c r="I2" s="117">
        <v>58.7</v>
      </c>
      <c r="J2" s="117">
        <v>3.8</v>
      </c>
      <c r="K2" s="117">
        <v>0.5</v>
      </c>
      <c r="L2" s="117">
        <v>0.1</v>
      </c>
      <c r="M2" s="117">
        <f>AVERAGE(E2:L2)</f>
        <v>17.900000000000002</v>
      </c>
      <c r="N2" s="117">
        <v>9.3000000000000007</v>
      </c>
      <c r="O2">
        <v>57.4</v>
      </c>
      <c r="P2">
        <v>0.27</v>
      </c>
      <c r="T2" s="118" t="s">
        <v>6943</v>
      </c>
      <c r="U2" s="93" t="s">
        <v>8220</v>
      </c>
      <c r="V2" s="94"/>
      <c r="W2" s="93"/>
      <c r="X2" s="121" t="s">
        <v>8221</v>
      </c>
      <c r="Z2" s="113" t="s">
        <v>3217</v>
      </c>
      <c r="AA2" s="115">
        <v>0.74189455026419504</v>
      </c>
    </row>
    <row r="3" spans="1:27" ht="15.75" x14ac:dyDescent="0.25">
      <c r="A3" s="112" t="s">
        <v>1808</v>
      </c>
      <c r="B3" t="s">
        <v>1808</v>
      </c>
      <c r="C3">
        <v>5.7560094851788497</v>
      </c>
      <c r="D3" s="8">
        <v>0.44143194828126336</v>
      </c>
      <c r="E3" s="117">
        <v>0</v>
      </c>
      <c r="F3" s="117">
        <v>13.5</v>
      </c>
      <c r="G3" s="117">
        <v>0.4</v>
      </c>
      <c r="H3" s="117">
        <v>2.2000000000000002</v>
      </c>
      <c r="I3" s="117">
        <v>19.3</v>
      </c>
      <c r="J3" s="117">
        <v>1.5</v>
      </c>
      <c r="K3" s="117">
        <v>1.6</v>
      </c>
      <c r="L3" s="117">
        <v>0.9</v>
      </c>
      <c r="M3" s="117">
        <f t="shared" ref="M3:M27" si="0">AVERAGE(E3:L3)</f>
        <v>4.9250000000000007</v>
      </c>
      <c r="N3" s="117">
        <v>13</v>
      </c>
      <c r="O3">
        <v>53</v>
      </c>
      <c r="P3">
        <v>0.11</v>
      </c>
      <c r="T3" s="119"/>
      <c r="U3" s="95"/>
      <c r="V3" s="96"/>
      <c r="W3" s="97" t="s">
        <v>8222</v>
      </c>
      <c r="X3" s="122"/>
      <c r="Z3" s="113" t="s">
        <v>1808</v>
      </c>
      <c r="AA3" s="115">
        <v>0.44143194828126336</v>
      </c>
    </row>
    <row r="4" spans="1:27" ht="15.75" x14ac:dyDescent="0.25">
      <c r="A4" s="112" t="s">
        <v>36</v>
      </c>
      <c r="B4" t="s">
        <v>36</v>
      </c>
      <c r="C4">
        <v>12.390834845778301</v>
      </c>
      <c r="D4" s="8">
        <v>0.42851682050258205</v>
      </c>
      <c r="E4" s="117">
        <v>0</v>
      </c>
      <c r="F4" s="117">
        <v>25.7</v>
      </c>
      <c r="G4" s="117">
        <v>0</v>
      </c>
      <c r="H4" s="117">
        <v>18.100000000000001</v>
      </c>
      <c r="I4" s="117">
        <v>71.900000000000006</v>
      </c>
      <c r="J4" s="117">
        <v>0</v>
      </c>
      <c r="K4" s="117">
        <v>0</v>
      </c>
      <c r="L4" s="117">
        <v>0</v>
      </c>
      <c r="M4" s="117">
        <f t="shared" si="0"/>
        <v>14.4625</v>
      </c>
      <c r="N4" s="117">
        <v>11.6</v>
      </c>
      <c r="O4">
        <v>53</v>
      </c>
      <c r="P4">
        <v>0.17</v>
      </c>
      <c r="Q4" s="112"/>
      <c r="T4" s="119"/>
      <c r="U4" s="98" t="s">
        <v>8223</v>
      </c>
      <c r="V4" s="99" t="s">
        <v>8224</v>
      </c>
      <c r="W4" s="100" t="s">
        <v>8225</v>
      </c>
      <c r="X4" s="122"/>
      <c r="Z4" s="113" t="s">
        <v>36</v>
      </c>
      <c r="AA4" s="115">
        <v>0.42851682050258205</v>
      </c>
    </row>
    <row r="5" spans="1:27" ht="15.75" x14ac:dyDescent="0.25">
      <c r="A5" s="112" t="s">
        <v>1069</v>
      </c>
      <c r="B5" t="s">
        <v>1069</v>
      </c>
      <c r="C5">
        <v>0.85750477504629996</v>
      </c>
      <c r="D5" s="8">
        <v>0.74129368708075438</v>
      </c>
      <c r="E5" s="117">
        <v>1</v>
      </c>
      <c r="F5" s="117">
        <v>8.9</v>
      </c>
      <c r="G5" s="117">
        <v>0.3</v>
      </c>
      <c r="H5" s="117">
        <v>4.5999999999999996</v>
      </c>
      <c r="I5" s="117">
        <v>22.8</v>
      </c>
      <c r="J5" s="117">
        <v>0</v>
      </c>
      <c r="K5" s="117">
        <v>2</v>
      </c>
      <c r="L5" s="117">
        <v>0</v>
      </c>
      <c r="M5" s="117">
        <f t="shared" si="0"/>
        <v>4.95</v>
      </c>
      <c r="N5" s="117">
        <v>11.1</v>
      </c>
      <c r="O5">
        <v>55.8</v>
      </c>
      <c r="P5">
        <v>0.33</v>
      </c>
      <c r="Q5" s="112"/>
      <c r="T5" s="120"/>
      <c r="U5" s="101" t="s">
        <v>8226</v>
      </c>
      <c r="V5" s="102" t="s">
        <v>8227</v>
      </c>
      <c r="W5" s="103" t="s">
        <v>8228</v>
      </c>
      <c r="X5" s="123"/>
      <c r="Z5" s="113" t="s">
        <v>1069</v>
      </c>
      <c r="AA5" s="115">
        <v>0.74129368708075438</v>
      </c>
    </row>
    <row r="6" spans="1:27" ht="15.75" x14ac:dyDescent="0.25">
      <c r="A6" s="112" t="s">
        <v>649</v>
      </c>
      <c r="B6" t="s">
        <v>649</v>
      </c>
      <c r="C6">
        <v>2.86173857192551</v>
      </c>
      <c r="D6" s="8">
        <v>0.41233248992596755</v>
      </c>
      <c r="E6" s="117">
        <v>0</v>
      </c>
      <c r="F6" s="117">
        <v>2.9</v>
      </c>
      <c r="G6" s="117">
        <v>0</v>
      </c>
      <c r="H6" s="117">
        <v>1.2</v>
      </c>
      <c r="I6" s="117">
        <v>6.8</v>
      </c>
      <c r="J6" s="117">
        <v>0</v>
      </c>
      <c r="K6" s="117">
        <v>0</v>
      </c>
      <c r="L6" s="117">
        <v>0</v>
      </c>
      <c r="M6" s="117">
        <f t="shared" si="0"/>
        <v>1.3624999999999998</v>
      </c>
      <c r="N6" s="117">
        <v>13.4</v>
      </c>
      <c r="O6">
        <v>55.3</v>
      </c>
      <c r="P6">
        <v>0.08</v>
      </c>
      <c r="Q6" s="112"/>
      <c r="T6" s="104" t="s">
        <v>3177</v>
      </c>
      <c r="U6" s="105">
        <v>12.9</v>
      </c>
      <c r="V6" s="105">
        <v>10.8</v>
      </c>
      <c r="W6" s="106">
        <v>11.6</v>
      </c>
      <c r="X6" s="107" t="s">
        <v>8229</v>
      </c>
      <c r="Z6" s="113" t="s">
        <v>649</v>
      </c>
      <c r="AA6" s="115">
        <v>0.41233248992596755</v>
      </c>
    </row>
    <row r="7" spans="1:27" ht="15.75" x14ac:dyDescent="0.25">
      <c r="A7" s="112" t="s">
        <v>3177</v>
      </c>
      <c r="B7" t="s">
        <v>8276</v>
      </c>
      <c r="C7">
        <v>83.128620616320902</v>
      </c>
      <c r="D7" s="8">
        <v>0.55906382221770456</v>
      </c>
      <c r="E7" s="117">
        <v>0</v>
      </c>
      <c r="F7" s="117">
        <v>28.3</v>
      </c>
      <c r="G7" s="117">
        <v>4.8</v>
      </c>
      <c r="H7" s="117">
        <v>2.2000000000000002</v>
      </c>
      <c r="I7" s="117">
        <v>60.9</v>
      </c>
      <c r="J7" s="117">
        <v>10.6</v>
      </c>
      <c r="K7" s="117">
        <v>1.2</v>
      </c>
      <c r="L7" s="117">
        <v>0.4</v>
      </c>
      <c r="M7" s="117">
        <f t="shared" si="0"/>
        <v>13.55</v>
      </c>
      <c r="N7" s="117">
        <v>11.6</v>
      </c>
      <c r="O7">
        <v>61.3</v>
      </c>
      <c r="P7">
        <v>0.06</v>
      </c>
      <c r="T7" s="104" t="s">
        <v>36</v>
      </c>
      <c r="U7" s="105">
        <v>13.3</v>
      </c>
      <c r="V7" s="105">
        <v>10.7</v>
      </c>
      <c r="W7" s="106">
        <v>11.6</v>
      </c>
      <c r="X7" s="107" t="s">
        <v>8230</v>
      </c>
      <c r="Z7" s="112" t="s">
        <v>8258</v>
      </c>
      <c r="AA7" s="115">
        <v>0.64788597206891585</v>
      </c>
    </row>
    <row r="8" spans="1:27" ht="15.75" x14ac:dyDescent="0.25">
      <c r="A8" s="112" t="s">
        <v>6963</v>
      </c>
      <c r="B8" t="s">
        <v>8277</v>
      </c>
      <c r="C8">
        <v>2.38867239156047</v>
      </c>
      <c r="D8" s="8">
        <v>0.63103017149866714</v>
      </c>
      <c r="E8" s="117">
        <v>0</v>
      </c>
      <c r="F8" s="117">
        <v>0</v>
      </c>
      <c r="G8" s="117">
        <v>0</v>
      </c>
      <c r="H8" s="117">
        <v>0</v>
      </c>
      <c r="I8" s="117">
        <v>3.8</v>
      </c>
      <c r="J8" s="117">
        <v>3.8</v>
      </c>
      <c r="K8" s="117">
        <v>7.7</v>
      </c>
      <c r="L8" s="117">
        <v>0</v>
      </c>
      <c r="M8" s="117">
        <f t="shared" si="0"/>
        <v>1.9125000000000001</v>
      </c>
      <c r="N8" s="117">
        <v>10.6</v>
      </c>
      <c r="O8">
        <v>60.7</v>
      </c>
      <c r="P8">
        <v>0.21</v>
      </c>
      <c r="T8" s="104" t="s">
        <v>8231</v>
      </c>
      <c r="U8" s="105">
        <v>7.8</v>
      </c>
      <c r="V8" s="105">
        <v>6.7</v>
      </c>
      <c r="W8" s="106">
        <v>7.1</v>
      </c>
      <c r="X8" s="107" t="s">
        <v>8232</v>
      </c>
      <c r="Z8" s="113" t="s">
        <v>3177</v>
      </c>
      <c r="AA8" s="115">
        <v>0.55906382221770456</v>
      </c>
    </row>
    <row r="9" spans="1:27" ht="15.75" x14ac:dyDescent="0.25">
      <c r="A9" s="112" t="s">
        <v>8258</v>
      </c>
      <c r="B9" t="s">
        <v>2906</v>
      </c>
      <c r="C9">
        <v>1.2643870938208801</v>
      </c>
      <c r="D9" s="8">
        <v>0.64788597206891585</v>
      </c>
      <c r="E9" s="117">
        <v>0</v>
      </c>
      <c r="F9" s="117">
        <v>6</v>
      </c>
      <c r="G9" s="117">
        <v>0</v>
      </c>
      <c r="H9" s="117">
        <v>0</v>
      </c>
      <c r="I9" s="117">
        <v>7.3</v>
      </c>
      <c r="J9" s="117">
        <v>0</v>
      </c>
      <c r="K9" s="117">
        <v>0</v>
      </c>
      <c r="L9" s="117">
        <v>0</v>
      </c>
      <c r="M9" s="117">
        <f t="shared" si="0"/>
        <v>1.6625000000000001</v>
      </c>
      <c r="N9" s="117">
        <v>16.5</v>
      </c>
      <c r="O9">
        <v>55.3</v>
      </c>
      <c r="P9">
        <v>0.12</v>
      </c>
      <c r="T9" s="104" t="s">
        <v>3220</v>
      </c>
      <c r="U9" s="105">
        <v>17.600000000000001</v>
      </c>
      <c r="V9" s="105">
        <v>10.199999999999999</v>
      </c>
      <c r="W9" s="106">
        <v>12.4</v>
      </c>
      <c r="X9" s="107" t="s">
        <v>8233</v>
      </c>
      <c r="Z9" s="112" t="s">
        <v>6963</v>
      </c>
      <c r="AA9" s="115">
        <v>0.63103017149866714</v>
      </c>
    </row>
    <row r="10" spans="1:27" ht="15.75" x14ac:dyDescent="0.25">
      <c r="A10" s="112" t="s">
        <v>3220</v>
      </c>
      <c r="B10" t="s">
        <v>3220</v>
      </c>
      <c r="C10">
        <v>2.8024213242557301</v>
      </c>
      <c r="D10" s="8">
        <v>0.44100211102649867</v>
      </c>
      <c r="E10" s="117">
        <v>0.3</v>
      </c>
      <c r="F10" s="117">
        <v>11.9</v>
      </c>
      <c r="G10" s="117">
        <v>0</v>
      </c>
      <c r="H10" s="117">
        <v>2.8</v>
      </c>
      <c r="I10" s="117">
        <v>16.600000000000001</v>
      </c>
      <c r="J10" s="117">
        <v>1.3</v>
      </c>
      <c r="K10" s="117">
        <v>0.3</v>
      </c>
      <c r="L10" s="117">
        <v>2</v>
      </c>
      <c r="M10" s="117">
        <f t="shared" si="0"/>
        <v>4.3999999999999995</v>
      </c>
      <c r="N10" s="117">
        <v>12.4</v>
      </c>
      <c r="O10">
        <v>53</v>
      </c>
      <c r="P10">
        <v>0.12</v>
      </c>
      <c r="Q10" s="112"/>
      <c r="T10" s="104" t="s">
        <v>1808</v>
      </c>
      <c r="U10" s="105">
        <v>22.9</v>
      </c>
      <c r="V10" s="105">
        <v>9.4</v>
      </c>
      <c r="W10" s="106">
        <v>13</v>
      </c>
      <c r="X10" s="107" t="s">
        <v>8234</v>
      </c>
      <c r="Z10" s="113" t="s">
        <v>3220</v>
      </c>
      <c r="AA10" s="115">
        <v>0.44100211102649867</v>
      </c>
    </row>
    <row r="11" spans="1:27" ht="15.75" x14ac:dyDescent="0.25">
      <c r="A11" s="112" t="s">
        <v>2784</v>
      </c>
      <c r="B11" t="s">
        <v>1541</v>
      </c>
      <c r="C11">
        <v>1.4333874702177001</v>
      </c>
      <c r="D11" s="8">
        <v>0.62114212508249544</v>
      </c>
      <c r="E11" s="117">
        <v>0</v>
      </c>
      <c r="F11" s="117">
        <v>18.899999999999999</v>
      </c>
      <c r="G11" s="117">
        <v>0</v>
      </c>
      <c r="H11" s="117">
        <v>0.6</v>
      </c>
      <c r="I11" s="117">
        <v>41.6</v>
      </c>
      <c r="J11" s="117">
        <v>0</v>
      </c>
      <c r="K11" s="117">
        <v>0.6</v>
      </c>
      <c r="L11" s="117">
        <v>1.3</v>
      </c>
      <c r="M11" s="117">
        <f t="shared" si="0"/>
        <v>7.875</v>
      </c>
      <c r="N11" s="117">
        <v>10.5</v>
      </c>
      <c r="O11">
        <v>60.7</v>
      </c>
      <c r="P11">
        <v>0.11</v>
      </c>
      <c r="T11" s="104" t="s">
        <v>8235</v>
      </c>
      <c r="U11" s="105">
        <v>10.3</v>
      </c>
      <c r="V11" s="105">
        <v>10</v>
      </c>
      <c r="W11" s="106">
        <v>10.1</v>
      </c>
      <c r="X11" s="107" t="s">
        <v>8236</v>
      </c>
      <c r="Z11" s="113" t="s">
        <v>2784</v>
      </c>
      <c r="AA11" s="115">
        <v>0.62114212508249544</v>
      </c>
    </row>
    <row r="12" spans="1:27" ht="15.75" x14ac:dyDescent="0.25">
      <c r="A12" s="112" t="s">
        <v>1152</v>
      </c>
      <c r="B12" t="s">
        <v>1152</v>
      </c>
      <c r="C12">
        <v>0.55930481114011399</v>
      </c>
      <c r="D12" s="8">
        <v>0.80050118334957543</v>
      </c>
      <c r="E12" s="117">
        <v>1</v>
      </c>
      <c r="F12" s="117">
        <v>11.7</v>
      </c>
      <c r="G12" s="117">
        <v>1</v>
      </c>
      <c r="H12" s="117">
        <v>0</v>
      </c>
      <c r="I12" s="117">
        <v>6.7</v>
      </c>
      <c r="J12" s="117">
        <v>1</v>
      </c>
      <c r="K12" s="117">
        <v>9.9</v>
      </c>
      <c r="L12" s="117">
        <v>0</v>
      </c>
      <c r="M12" s="117">
        <f t="shared" si="0"/>
        <v>3.9124999999999996</v>
      </c>
      <c r="N12" s="117">
        <v>10.199999999999999</v>
      </c>
      <c r="O12">
        <v>55.8</v>
      </c>
      <c r="P12">
        <v>0.33</v>
      </c>
      <c r="Q12" s="112"/>
      <c r="T12" s="104" t="s">
        <v>3227</v>
      </c>
      <c r="U12" s="105">
        <v>15.8</v>
      </c>
      <c r="V12" s="105">
        <v>8.8000000000000007</v>
      </c>
      <c r="W12" s="106">
        <v>11.6</v>
      </c>
      <c r="X12" s="107" t="s">
        <v>8237</v>
      </c>
      <c r="Z12" s="112" t="s">
        <v>1152</v>
      </c>
      <c r="AA12" s="115">
        <v>0.80050118334957543</v>
      </c>
    </row>
    <row r="13" spans="1:27" ht="15.75" x14ac:dyDescent="0.25">
      <c r="A13" s="112" t="s">
        <v>3227</v>
      </c>
      <c r="B13" t="s">
        <v>1913</v>
      </c>
      <c r="C13">
        <v>2.7395035464986401</v>
      </c>
      <c r="D13" s="8">
        <v>0.44947705073904398</v>
      </c>
      <c r="E13" s="117">
        <v>0</v>
      </c>
      <c r="F13" s="117">
        <v>8.1999999999999993</v>
      </c>
      <c r="G13" s="117">
        <v>0</v>
      </c>
      <c r="H13" s="117">
        <v>6</v>
      </c>
      <c r="I13" s="117">
        <v>15.8</v>
      </c>
      <c r="J13" s="117">
        <v>0</v>
      </c>
      <c r="K13" s="117">
        <v>0</v>
      </c>
      <c r="L13" s="117">
        <v>0</v>
      </c>
      <c r="M13" s="117">
        <f t="shared" si="0"/>
        <v>3.75</v>
      </c>
      <c r="N13" s="117">
        <v>11.6</v>
      </c>
      <c r="O13">
        <v>53</v>
      </c>
      <c r="P13">
        <v>0.06</v>
      </c>
      <c r="T13" s="112" t="s">
        <v>3225</v>
      </c>
      <c r="U13" s="105">
        <v>16.5</v>
      </c>
      <c r="V13" s="105">
        <v>9.6999999999999993</v>
      </c>
      <c r="W13" s="106">
        <v>11.6</v>
      </c>
      <c r="X13" s="107" t="s">
        <v>8238</v>
      </c>
      <c r="Z13" s="113" t="s">
        <v>3227</v>
      </c>
      <c r="AA13" s="115">
        <v>0.44947705073904398</v>
      </c>
    </row>
    <row r="14" spans="1:27" ht="15.75" x14ac:dyDescent="0.25">
      <c r="A14" s="112" t="s">
        <v>1342</v>
      </c>
      <c r="B14" t="s">
        <v>1342</v>
      </c>
      <c r="C14">
        <v>1.8409456413624801</v>
      </c>
      <c r="D14" s="8">
        <v>0.4233544396996024</v>
      </c>
      <c r="E14" s="117">
        <v>1.8</v>
      </c>
      <c r="F14" s="117">
        <v>30.1</v>
      </c>
      <c r="G14" s="117">
        <v>0.8</v>
      </c>
      <c r="H14" s="117">
        <v>3.4</v>
      </c>
      <c r="I14" s="117">
        <v>64.599999999999994</v>
      </c>
      <c r="J14" s="117">
        <v>0</v>
      </c>
      <c r="K14" s="117">
        <v>1.8</v>
      </c>
      <c r="L14" s="117">
        <v>0</v>
      </c>
      <c r="M14" s="117">
        <f t="shared" si="0"/>
        <v>12.812499999999998</v>
      </c>
      <c r="N14" s="117">
        <v>8.3000000000000007</v>
      </c>
      <c r="O14">
        <v>52.8</v>
      </c>
      <c r="P14">
        <v>0.12</v>
      </c>
      <c r="Q14" s="112"/>
      <c r="T14" s="104" t="s">
        <v>7704</v>
      </c>
      <c r="U14" s="105">
        <v>21</v>
      </c>
      <c r="V14" s="105">
        <v>10.6</v>
      </c>
      <c r="W14" s="106">
        <v>14.5</v>
      </c>
      <c r="X14" s="107" t="s">
        <v>8239</v>
      </c>
      <c r="Z14" s="113" t="s">
        <v>1342</v>
      </c>
      <c r="AA14" s="115">
        <v>0.4233544396996024</v>
      </c>
    </row>
    <row r="15" spans="1:27" ht="15.75" x14ac:dyDescent="0.25">
      <c r="A15" s="112" t="s">
        <v>8235</v>
      </c>
      <c r="B15" t="s">
        <v>8278</v>
      </c>
      <c r="C15">
        <v>7.98368528938619</v>
      </c>
      <c r="D15" s="8">
        <v>0.3014948941080523</v>
      </c>
      <c r="E15" s="117">
        <v>0</v>
      </c>
      <c r="F15" s="117">
        <v>5.6</v>
      </c>
      <c r="G15" s="117">
        <v>0</v>
      </c>
      <c r="H15" s="117">
        <v>0.8</v>
      </c>
      <c r="I15" s="117">
        <v>32.299999999999997</v>
      </c>
      <c r="J15" s="117">
        <v>0.2</v>
      </c>
      <c r="K15" s="117">
        <v>1.4</v>
      </c>
      <c r="L15" s="117">
        <v>0</v>
      </c>
      <c r="M15" s="117">
        <f t="shared" si="0"/>
        <v>5.0374999999999996</v>
      </c>
      <c r="N15" s="117">
        <v>10.1</v>
      </c>
      <c r="O15">
        <v>53</v>
      </c>
      <c r="P15">
        <v>0.06</v>
      </c>
      <c r="Q15" s="112"/>
      <c r="T15" s="104" t="s">
        <v>597</v>
      </c>
      <c r="U15" s="105">
        <v>23.5</v>
      </c>
      <c r="V15" s="105">
        <v>10.3</v>
      </c>
      <c r="W15" s="106">
        <v>14.1</v>
      </c>
      <c r="X15" s="107" t="s">
        <v>8240</v>
      </c>
      <c r="Z15" s="112" t="s">
        <v>8235</v>
      </c>
      <c r="AA15" s="115">
        <v>0.3014948941080523</v>
      </c>
    </row>
    <row r="16" spans="1:27" ht="15.75" x14ac:dyDescent="0.25">
      <c r="A16" s="112" t="s">
        <v>7704</v>
      </c>
      <c r="B16" t="s">
        <v>7704</v>
      </c>
      <c r="C16">
        <v>4.6185989855509701</v>
      </c>
      <c r="D16" s="8">
        <v>0.407272928085265</v>
      </c>
      <c r="E16" s="117">
        <v>1.1000000000000001</v>
      </c>
      <c r="F16" s="117">
        <v>15.3</v>
      </c>
      <c r="G16" s="117">
        <v>0</v>
      </c>
      <c r="H16" s="117">
        <v>2.4</v>
      </c>
      <c r="I16" s="117">
        <v>27.3</v>
      </c>
      <c r="J16" s="117">
        <v>2.2999999999999998</v>
      </c>
      <c r="K16" s="117">
        <v>1.7</v>
      </c>
      <c r="L16" s="117">
        <v>0</v>
      </c>
      <c r="M16" s="117">
        <f t="shared" si="0"/>
        <v>6.2625000000000002</v>
      </c>
      <c r="N16" s="117">
        <v>14.5</v>
      </c>
      <c r="O16">
        <v>55.3</v>
      </c>
      <c r="P16">
        <v>0.08</v>
      </c>
      <c r="Q16" s="112"/>
      <c r="T16" s="104" t="s">
        <v>649</v>
      </c>
      <c r="U16" s="105">
        <v>12.2</v>
      </c>
      <c r="V16" s="105">
        <v>14</v>
      </c>
      <c r="W16" s="106">
        <v>13.4</v>
      </c>
      <c r="X16" s="107" t="s">
        <v>8241</v>
      </c>
      <c r="Z16" s="112" t="s">
        <v>7704</v>
      </c>
      <c r="AA16" s="115">
        <v>0.407272928085265</v>
      </c>
    </row>
    <row r="17" spans="1:27" ht="15.75" x14ac:dyDescent="0.25">
      <c r="A17" s="112" t="s">
        <v>8259</v>
      </c>
      <c r="B17" t="s">
        <v>8279</v>
      </c>
      <c r="C17">
        <v>1.8698566571030599</v>
      </c>
      <c r="D17" s="8">
        <v>0.56564592115050827</v>
      </c>
      <c r="E17" s="117">
        <v>0</v>
      </c>
      <c r="F17" s="117">
        <v>4.3</v>
      </c>
      <c r="G17" s="117">
        <v>0</v>
      </c>
      <c r="H17" s="117">
        <v>0</v>
      </c>
      <c r="I17" s="117">
        <v>18.3</v>
      </c>
      <c r="J17" s="117">
        <v>4.3</v>
      </c>
      <c r="K17" s="117">
        <v>8.6</v>
      </c>
      <c r="L17" s="117">
        <v>8.6</v>
      </c>
      <c r="M17" s="117">
        <f t="shared" si="0"/>
        <v>5.5125000000000002</v>
      </c>
      <c r="N17" s="117">
        <v>16.600000000000001</v>
      </c>
      <c r="O17">
        <v>60.7</v>
      </c>
      <c r="P17">
        <v>0.21</v>
      </c>
      <c r="Q17" s="112"/>
      <c r="T17" s="104" t="s">
        <v>3217</v>
      </c>
      <c r="U17" s="105">
        <v>11.3</v>
      </c>
      <c r="V17" s="105">
        <v>8.6999999999999993</v>
      </c>
      <c r="W17" s="106">
        <v>9.3000000000000007</v>
      </c>
      <c r="X17" s="107" t="s">
        <v>8242</v>
      </c>
      <c r="Z17" s="112" t="s">
        <v>8259</v>
      </c>
      <c r="AA17" s="115">
        <v>0.56564592115050827</v>
      </c>
    </row>
    <row r="18" spans="1:27" ht="15.75" x14ac:dyDescent="0.25">
      <c r="A18" s="112" t="s">
        <v>8231</v>
      </c>
      <c r="B18" t="s">
        <v>7823</v>
      </c>
      <c r="C18">
        <v>15.903474192864</v>
      </c>
      <c r="D18" s="8">
        <v>0.3333905822211895</v>
      </c>
      <c r="E18" s="117">
        <v>0</v>
      </c>
      <c r="F18" s="117">
        <v>0</v>
      </c>
      <c r="G18" s="117">
        <v>0.4</v>
      </c>
      <c r="H18" s="117">
        <v>0</v>
      </c>
      <c r="I18" s="117">
        <v>16.8</v>
      </c>
      <c r="J18" s="117">
        <v>2.4</v>
      </c>
      <c r="K18" s="117">
        <v>1.4</v>
      </c>
      <c r="L18" s="117">
        <v>1.5</v>
      </c>
      <c r="M18" s="117">
        <f t="shared" si="0"/>
        <v>2.8124999999999996</v>
      </c>
      <c r="N18" s="117">
        <v>7.1</v>
      </c>
      <c r="O18">
        <v>53</v>
      </c>
      <c r="P18">
        <v>0.06</v>
      </c>
      <c r="Q18" s="112"/>
      <c r="T18" s="112" t="s">
        <v>8258</v>
      </c>
      <c r="U18" s="105">
        <v>30.2</v>
      </c>
      <c r="V18" s="105">
        <v>11.5</v>
      </c>
      <c r="W18" s="106">
        <v>16.5</v>
      </c>
      <c r="X18" s="107" t="s">
        <v>8243</v>
      </c>
      <c r="Z18" s="112" t="s">
        <v>8231</v>
      </c>
      <c r="AA18" s="115">
        <v>0.3333905822211895</v>
      </c>
    </row>
    <row r="19" spans="1:27" ht="26.25" x14ac:dyDescent="0.25">
      <c r="A19" s="112" t="s">
        <v>8260</v>
      </c>
      <c r="B19" t="s">
        <v>8280</v>
      </c>
      <c r="C19">
        <v>2.42219310727066</v>
      </c>
      <c r="D19" s="8">
        <v>0.69634460046204516</v>
      </c>
      <c r="E19" s="117">
        <v>0</v>
      </c>
      <c r="F19" s="117">
        <v>18.100000000000001</v>
      </c>
      <c r="G19" s="117">
        <v>0</v>
      </c>
      <c r="H19" s="117">
        <v>11.1</v>
      </c>
      <c r="I19" s="117">
        <v>72.8</v>
      </c>
      <c r="J19" s="117">
        <v>0</v>
      </c>
      <c r="K19" s="117">
        <v>0</v>
      </c>
      <c r="L19" s="117">
        <v>0</v>
      </c>
      <c r="M19" s="117">
        <f t="shared" si="0"/>
        <v>12.75</v>
      </c>
      <c r="N19" s="117">
        <v>17.8</v>
      </c>
      <c r="O19">
        <v>55.3</v>
      </c>
      <c r="P19">
        <v>0.23</v>
      </c>
      <c r="T19" s="112" t="s">
        <v>8260</v>
      </c>
      <c r="U19" s="105">
        <v>31.7</v>
      </c>
      <c r="V19" s="105">
        <v>13.6</v>
      </c>
      <c r="W19" s="106">
        <v>17.8</v>
      </c>
      <c r="X19" s="107" t="s">
        <v>8244</v>
      </c>
      <c r="Z19" s="112" t="s">
        <v>8260</v>
      </c>
      <c r="AA19" s="115">
        <v>0.69634460046204516</v>
      </c>
    </row>
    <row r="20" spans="1:27" ht="15.75" x14ac:dyDescent="0.25">
      <c r="A20" s="112" t="s">
        <v>8261</v>
      </c>
      <c r="B20" t="s">
        <v>6965</v>
      </c>
      <c r="C20">
        <v>2.9832804223707599</v>
      </c>
      <c r="D20" s="8">
        <v>0.57996329173518191</v>
      </c>
      <c r="E20" s="117">
        <v>0</v>
      </c>
      <c r="F20" s="117">
        <v>14</v>
      </c>
      <c r="G20" s="117">
        <v>0</v>
      </c>
      <c r="H20" s="117">
        <v>9.3000000000000007</v>
      </c>
      <c r="I20" s="117">
        <v>37.4</v>
      </c>
      <c r="J20" s="117">
        <v>0</v>
      </c>
      <c r="K20" s="117">
        <v>0</v>
      </c>
      <c r="L20" s="117">
        <v>0</v>
      </c>
      <c r="M20" s="117">
        <f t="shared" si="0"/>
        <v>7.5875000000000004</v>
      </c>
      <c r="N20" s="117">
        <v>8.5</v>
      </c>
      <c r="O20">
        <v>60.7</v>
      </c>
      <c r="P20">
        <v>0.16</v>
      </c>
      <c r="T20" s="112" t="s">
        <v>3045</v>
      </c>
      <c r="U20" s="105">
        <v>15</v>
      </c>
      <c r="V20" s="105">
        <v>14.2</v>
      </c>
      <c r="W20" s="106">
        <v>14.4</v>
      </c>
      <c r="X20" s="107" t="s">
        <v>8245</v>
      </c>
      <c r="Z20" s="112" t="s">
        <v>8261</v>
      </c>
      <c r="AA20" s="115">
        <v>0.57996329173518191</v>
      </c>
    </row>
    <row r="21" spans="1:27" ht="15.75" x14ac:dyDescent="0.25">
      <c r="A21" s="112" t="s">
        <v>8262</v>
      </c>
      <c r="B21" t="s">
        <v>1163</v>
      </c>
      <c r="C21">
        <v>0.91400598262020605</v>
      </c>
      <c r="D21" s="8">
        <v>0.48837355851030312</v>
      </c>
      <c r="E21" s="117">
        <v>1</v>
      </c>
      <c r="F21" s="117">
        <v>38</v>
      </c>
      <c r="G21" s="117">
        <v>1</v>
      </c>
      <c r="H21" s="117">
        <v>4.0999999999999996</v>
      </c>
      <c r="I21" s="117">
        <v>44.5</v>
      </c>
      <c r="J21" s="117">
        <v>2.7</v>
      </c>
      <c r="K21" s="117">
        <v>2.7</v>
      </c>
      <c r="L21" s="117">
        <v>1</v>
      </c>
      <c r="M21" s="117">
        <f t="shared" si="0"/>
        <v>11.875</v>
      </c>
      <c r="N21" s="117">
        <v>12.7</v>
      </c>
      <c r="O21">
        <v>60.3</v>
      </c>
      <c r="P21">
        <v>0.11</v>
      </c>
      <c r="Q21" s="112"/>
      <c r="T21" s="112" t="s">
        <v>8265</v>
      </c>
      <c r="U21" s="105">
        <v>15.9</v>
      </c>
      <c r="V21" s="105">
        <v>10.8</v>
      </c>
      <c r="W21" s="106">
        <v>12.3</v>
      </c>
      <c r="X21" s="107" t="s">
        <v>8246</v>
      </c>
      <c r="Z21" s="112" t="s">
        <v>8262</v>
      </c>
      <c r="AA21" s="115">
        <v>0.48837355851030312</v>
      </c>
    </row>
    <row r="22" spans="1:27" ht="15.75" x14ac:dyDescent="0.25">
      <c r="A22" s="112" t="s">
        <v>8263</v>
      </c>
      <c r="B22" t="s">
        <v>3039</v>
      </c>
      <c r="C22">
        <v>5.6377900859056904</v>
      </c>
      <c r="D22" s="8">
        <v>0.57639231030474647</v>
      </c>
      <c r="E22" s="117">
        <v>0</v>
      </c>
      <c r="F22" s="117">
        <v>14.5</v>
      </c>
      <c r="G22" s="117">
        <v>0.2</v>
      </c>
      <c r="H22" s="117">
        <v>6.6</v>
      </c>
      <c r="I22" s="117">
        <v>40.1</v>
      </c>
      <c r="J22" s="117">
        <v>6.3</v>
      </c>
      <c r="K22" s="117">
        <v>1.2</v>
      </c>
      <c r="L22" s="117">
        <v>1</v>
      </c>
      <c r="M22" s="117">
        <f t="shared" si="0"/>
        <v>8.7375000000000007</v>
      </c>
      <c r="N22" s="117">
        <v>14.3</v>
      </c>
      <c r="O22">
        <v>52.8</v>
      </c>
      <c r="P22">
        <v>0.17</v>
      </c>
      <c r="T22" s="104" t="s">
        <v>1069</v>
      </c>
      <c r="U22" s="105">
        <v>17.899999999999999</v>
      </c>
      <c r="V22" s="105">
        <v>8.6</v>
      </c>
      <c r="W22" s="106">
        <v>11.1</v>
      </c>
      <c r="X22" s="107" t="s">
        <v>8247</v>
      </c>
      <c r="Z22" s="112" t="s">
        <v>8263</v>
      </c>
      <c r="AA22" s="115">
        <v>0.57639231030474647</v>
      </c>
    </row>
    <row r="23" spans="1:27" ht="15.75" x14ac:dyDescent="0.25">
      <c r="A23" s="112" t="s">
        <v>3225</v>
      </c>
      <c r="B23" t="s">
        <v>3225</v>
      </c>
      <c r="C23">
        <v>32.1658392509405</v>
      </c>
      <c r="D23" s="8">
        <v>0.74501584400361576</v>
      </c>
      <c r="E23" s="117">
        <v>0</v>
      </c>
      <c r="F23" s="117">
        <v>71.599999999999994</v>
      </c>
      <c r="G23" s="117">
        <v>5.3</v>
      </c>
      <c r="H23" s="117">
        <v>10.7</v>
      </c>
      <c r="I23" s="117">
        <v>44.3</v>
      </c>
      <c r="J23" s="117">
        <v>0.9</v>
      </c>
      <c r="K23" s="117">
        <v>14.3</v>
      </c>
      <c r="L23" s="117">
        <v>1.1000000000000001</v>
      </c>
      <c r="M23" s="117">
        <f t="shared" si="0"/>
        <v>18.524999999999999</v>
      </c>
      <c r="N23" s="117">
        <v>11.6</v>
      </c>
      <c r="O23">
        <v>55.3</v>
      </c>
      <c r="P23">
        <v>0.13</v>
      </c>
      <c r="T23" s="104" t="s">
        <v>1152</v>
      </c>
      <c r="U23" s="105">
        <v>14.3</v>
      </c>
      <c r="V23" s="105">
        <v>9</v>
      </c>
      <c r="W23" s="106">
        <v>10.199999999999999</v>
      </c>
      <c r="X23" s="107" t="s">
        <v>8248</v>
      </c>
      <c r="Z23" s="113" t="s">
        <v>3225</v>
      </c>
      <c r="AA23" s="115">
        <v>0.74501584400361576</v>
      </c>
    </row>
    <row r="24" spans="1:27" ht="15.75" x14ac:dyDescent="0.25">
      <c r="A24" s="112" t="s">
        <v>8264</v>
      </c>
      <c r="B24" t="s">
        <v>1267</v>
      </c>
      <c r="C24">
        <v>3.90528045363535</v>
      </c>
      <c r="D24" s="8">
        <v>0.61907250759886134</v>
      </c>
      <c r="E24" s="117">
        <v>0</v>
      </c>
      <c r="F24" s="117">
        <v>17.899999999999999</v>
      </c>
      <c r="G24" s="117">
        <v>0.7</v>
      </c>
      <c r="H24" s="117">
        <v>12</v>
      </c>
      <c r="I24" s="117">
        <v>56</v>
      </c>
      <c r="J24" s="117">
        <v>6.9</v>
      </c>
      <c r="K24" s="117">
        <v>9.6999999999999993</v>
      </c>
      <c r="L24" s="117">
        <v>5.9</v>
      </c>
      <c r="M24" s="117">
        <f t="shared" si="0"/>
        <v>13.637500000000001</v>
      </c>
      <c r="N24" s="117">
        <v>10</v>
      </c>
      <c r="O24">
        <v>52.8</v>
      </c>
      <c r="P24">
        <v>0.16</v>
      </c>
      <c r="Q24" s="112"/>
      <c r="T24" s="112" t="s">
        <v>8262</v>
      </c>
      <c r="U24" s="105">
        <v>25.7</v>
      </c>
      <c r="V24" s="105">
        <v>8.8000000000000007</v>
      </c>
      <c r="W24" s="106">
        <v>12.7</v>
      </c>
      <c r="X24" s="107" t="s">
        <v>8249</v>
      </c>
      <c r="Z24" s="112" t="s">
        <v>8264</v>
      </c>
      <c r="AA24" s="115">
        <v>0.61907250759886134</v>
      </c>
    </row>
    <row r="25" spans="1:27" ht="15.75" x14ac:dyDescent="0.25">
      <c r="A25" s="112" t="s">
        <v>8265</v>
      </c>
      <c r="B25" t="s">
        <v>8281</v>
      </c>
      <c r="C25">
        <v>2.3550334158248498</v>
      </c>
      <c r="D25" s="8">
        <v>0.60443448519872622</v>
      </c>
      <c r="E25" s="117">
        <v>0</v>
      </c>
      <c r="F25" s="117">
        <v>47.6</v>
      </c>
      <c r="G25" s="117">
        <v>0</v>
      </c>
      <c r="H25" s="117">
        <v>2.1</v>
      </c>
      <c r="I25" s="117">
        <v>34.299999999999997</v>
      </c>
      <c r="J25" s="117">
        <v>4.8</v>
      </c>
      <c r="K25" s="117">
        <v>0.4</v>
      </c>
      <c r="L25" s="117">
        <v>1.6</v>
      </c>
      <c r="M25" s="117">
        <f t="shared" si="0"/>
        <v>11.35</v>
      </c>
      <c r="N25" s="117">
        <v>12.3</v>
      </c>
      <c r="O25">
        <v>60.3</v>
      </c>
      <c r="P25">
        <v>0.24</v>
      </c>
      <c r="Q25" s="112"/>
      <c r="T25" s="112" t="s">
        <v>8263</v>
      </c>
      <c r="U25" s="105">
        <v>15.9</v>
      </c>
      <c r="V25" s="105">
        <v>13.6</v>
      </c>
      <c r="W25" s="106">
        <v>14.3</v>
      </c>
      <c r="X25" s="107" t="s">
        <v>8250</v>
      </c>
      <c r="Z25" s="112" t="s">
        <v>8265</v>
      </c>
      <c r="AA25" s="115">
        <v>0.60443448519872622</v>
      </c>
    </row>
    <row r="26" spans="1:27" ht="15.75" x14ac:dyDescent="0.25">
      <c r="A26" s="112" t="s">
        <v>3045</v>
      </c>
      <c r="B26" t="s">
        <v>3045</v>
      </c>
      <c r="C26">
        <v>5.9228060292780702</v>
      </c>
      <c r="D26" s="8">
        <v>0.62497321543362427</v>
      </c>
      <c r="E26" s="117">
        <v>0</v>
      </c>
      <c r="F26" s="117">
        <v>1.8</v>
      </c>
      <c r="G26" s="117">
        <v>0</v>
      </c>
      <c r="H26" s="117">
        <v>4.7</v>
      </c>
      <c r="I26" s="117">
        <v>40.5</v>
      </c>
      <c r="J26" s="117">
        <v>1.1000000000000001</v>
      </c>
      <c r="K26" s="117">
        <v>0.4</v>
      </c>
      <c r="L26" s="117">
        <v>0.3</v>
      </c>
      <c r="M26" s="117">
        <f t="shared" si="0"/>
        <v>6.1</v>
      </c>
      <c r="N26" s="117">
        <v>14.4</v>
      </c>
      <c r="O26">
        <v>60.3</v>
      </c>
      <c r="P26">
        <v>0.22</v>
      </c>
      <c r="Q26" s="112"/>
      <c r="T26" s="112" t="s">
        <v>8264</v>
      </c>
      <c r="U26" s="105">
        <v>14.6</v>
      </c>
      <c r="V26" s="105">
        <v>8.5</v>
      </c>
      <c r="W26" s="106">
        <v>10</v>
      </c>
      <c r="X26" s="107" t="s">
        <v>8251</v>
      </c>
      <c r="Z26" s="113" t="s">
        <v>3045</v>
      </c>
      <c r="AA26" s="115">
        <v>0.62497321543362427</v>
      </c>
    </row>
    <row r="27" spans="1:27" ht="16.5" thickBot="1" x14ac:dyDescent="0.3">
      <c r="A27" s="112" t="s">
        <v>597</v>
      </c>
      <c r="B27" t="s">
        <v>597</v>
      </c>
      <c r="C27">
        <v>3.8966000038981399</v>
      </c>
      <c r="D27" s="8">
        <v>0.54706091523291123</v>
      </c>
      <c r="E27" s="117">
        <v>0</v>
      </c>
      <c r="F27" s="117">
        <v>12.4</v>
      </c>
      <c r="G27" s="117">
        <v>0</v>
      </c>
      <c r="H27" s="117">
        <v>2.9</v>
      </c>
      <c r="I27" s="117">
        <v>56.9</v>
      </c>
      <c r="J27" s="117">
        <v>0</v>
      </c>
      <c r="K27" s="117">
        <v>3.8</v>
      </c>
      <c r="L27" s="117">
        <v>0</v>
      </c>
      <c r="M27" s="117">
        <f t="shared" si="0"/>
        <v>9.5</v>
      </c>
      <c r="N27" s="117">
        <v>14.1</v>
      </c>
      <c r="O27">
        <v>55.3</v>
      </c>
      <c r="P27">
        <v>0.12</v>
      </c>
      <c r="T27" s="104" t="s">
        <v>1342</v>
      </c>
      <c r="U27" s="105">
        <v>10.9</v>
      </c>
      <c r="V27" s="105">
        <v>7.1</v>
      </c>
      <c r="W27" s="105">
        <v>8.3000000000000007</v>
      </c>
      <c r="X27" s="108" t="s">
        <v>8252</v>
      </c>
      <c r="Z27" s="114" t="s">
        <v>597</v>
      </c>
      <c r="AA27" s="116">
        <v>0.54706091523291123</v>
      </c>
    </row>
    <row r="28" spans="1:27" ht="15.75" thickTop="1" x14ac:dyDescent="0.25">
      <c r="N28" s="117"/>
      <c r="T28" s="112" t="s">
        <v>8261</v>
      </c>
      <c r="U28" s="105">
        <v>14.2</v>
      </c>
      <c r="V28" s="105">
        <v>6.8</v>
      </c>
      <c r="W28" s="105">
        <v>8.5</v>
      </c>
      <c r="X28" s="108" t="s">
        <v>8253</v>
      </c>
    </row>
    <row r="29" spans="1:27" x14ac:dyDescent="0.25">
      <c r="N29" s="117"/>
      <c r="T29" s="104" t="s">
        <v>6963</v>
      </c>
      <c r="U29" s="105">
        <v>12.4</v>
      </c>
      <c r="V29" s="105">
        <v>10.1</v>
      </c>
      <c r="W29" s="105">
        <v>10.6</v>
      </c>
      <c r="X29" s="108" t="s">
        <v>8254</v>
      </c>
    </row>
    <row r="30" spans="1:27" x14ac:dyDescent="0.25">
      <c r="N30" s="117"/>
      <c r="T30" s="112" t="s">
        <v>8259</v>
      </c>
      <c r="U30" s="105">
        <v>19.7</v>
      </c>
      <c r="V30" s="105">
        <v>15.2</v>
      </c>
      <c r="W30" s="105">
        <v>16.600000000000001</v>
      </c>
      <c r="X30" s="108" t="s">
        <v>8255</v>
      </c>
    </row>
    <row r="31" spans="1:27" x14ac:dyDescent="0.25">
      <c r="N31" s="117"/>
      <c r="T31" s="104" t="s">
        <v>2784</v>
      </c>
      <c r="U31" s="105">
        <v>15.3</v>
      </c>
      <c r="V31" s="105">
        <v>9</v>
      </c>
      <c r="W31" s="105">
        <v>10.5</v>
      </c>
      <c r="X31" s="108" t="s">
        <v>8256</v>
      </c>
    </row>
    <row r="32" spans="1:27" ht="16.5" thickBot="1" x14ac:dyDescent="0.3">
      <c r="N32" s="117"/>
      <c r="T32" s="109" t="s">
        <v>8225</v>
      </c>
      <c r="U32" s="110">
        <v>14.3</v>
      </c>
      <c r="V32" s="110">
        <v>10</v>
      </c>
      <c r="W32" s="110">
        <v>11.4</v>
      </c>
      <c r="X32" s="111" t="s">
        <v>8228</v>
      </c>
    </row>
  </sheetData>
  <autoFilter ref="A1:J1612" xr:uid="{F2F5B672-2443-4705-81BE-92630613B9AD}">
    <sortState xmlns:xlrd2="http://schemas.microsoft.com/office/spreadsheetml/2017/richdata2" ref="A2:J32">
      <sortCondition ref="A1:A1612"/>
    </sortState>
  </autoFilter>
  <mergeCells count="2">
    <mergeCell ref="T2:T5"/>
    <mergeCell ref="X2:X5"/>
  </mergeCells>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54416-F184-4C82-AB06-C5C1A27D00AE}">
  <dimension ref="A1:G99"/>
  <sheetViews>
    <sheetView workbookViewId="0">
      <selection activeCell="B1" sqref="B1"/>
    </sheetView>
  </sheetViews>
  <sheetFormatPr defaultRowHeight="15" x14ac:dyDescent="0.25"/>
  <cols>
    <col min="2" max="2" width="18.7109375" customWidth="1"/>
  </cols>
  <sheetData>
    <row r="1" spans="1:7" ht="20.25" x14ac:dyDescent="0.25">
      <c r="A1" s="78" t="s">
        <v>8212</v>
      </c>
      <c r="B1" s="78" t="s">
        <v>8213</v>
      </c>
    </row>
    <row r="2" spans="1:7" ht="16.5" x14ac:dyDescent="0.25">
      <c r="A2" s="79">
        <v>51281</v>
      </c>
      <c r="B2" s="80" t="s">
        <v>8214</v>
      </c>
      <c r="C2">
        <v>1</v>
      </c>
      <c r="F2" s="80" t="s">
        <v>8214</v>
      </c>
      <c r="G2" t="e" cm="1">
        <f t="array" ref="G2">_xlfn.IFS(A1="Low",1,A1="No Tension/No Record",0,A1="Moderate",2,A1="High",3)</f>
        <v>#N/A</v>
      </c>
    </row>
    <row r="3" spans="1:7" x14ac:dyDescent="0.25">
      <c r="A3" s="81">
        <v>51163</v>
      </c>
      <c r="B3" s="80" t="s">
        <v>8215</v>
      </c>
      <c r="C3">
        <v>0</v>
      </c>
      <c r="F3" s="80" t="s">
        <v>8215</v>
      </c>
      <c r="G3">
        <v>0</v>
      </c>
    </row>
    <row r="4" spans="1:7" ht="16.5" x14ac:dyDescent="0.25">
      <c r="A4" s="81">
        <v>52224</v>
      </c>
      <c r="B4" s="79" t="s">
        <v>8215</v>
      </c>
      <c r="C4">
        <v>0</v>
      </c>
      <c r="F4" s="80" t="s">
        <v>8216</v>
      </c>
      <c r="G4">
        <v>2</v>
      </c>
    </row>
    <row r="5" spans="1:7" ht="16.5" x14ac:dyDescent="0.25">
      <c r="A5" s="79">
        <v>51267</v>
      </c>
      <c r="B5" s="80" t="s">
        <v>8216</v>
      </c>
      <c r="C5">
        <v>2</v>
      </c>
      <c r="F5" s="84" t="s">
        <v>8217</v>
      </c>
      <c r="G5">
        <v>3</v>
      </c>
    </row>
    <row r="6" spans="1:7" x14ac:dyDescent="0.25">
      <c r="A6" s="81">
        <v>51211</v>
      </c>
      <c r="B6" s="80" t="s">
        <v>8215</v>
      </c>
      <c r="C6">
        <v>0</v>
      </c>
    </row>
    <row r="7" spans="1:7" ht="16.5" x14ac:dyDescent="0.25">
      <c r="A7" s="81">
        <v>55124</v>
      </c>
      <c r="B7" s="79" t="s">
        <v>8215</v>
      </c>
      <c r="C7">
        <v>0</v>
      </c>
    </row>
    <row r="8" spans="1:7" ht="16.5" x14ac:dyDescent="0.25">
      <c r="A8" s="79">
        <v>52227</v>
      </c>
      <c r="B8" s="79" t="s">
        <v>8216</v>
      </c>
      <c r="C8">
        <v>2</v>
      </c>
    </row>
    <row r="9" spans="1:7" x14ac:dyDescent="0.25">
      <c r="A9" s="81">
        <v>51317</v>
      </c>
      <c r="B9" s="80" t="s">
        <v>8215</v>
      </c>
      <c r="C9">
        <v>0</v>
      </c>
    </row>
    <row r="10" spans="1:7" ht="16.5" x14ac:dyDescent="0.25">
      <c r="A10" s="79">
        <v>52211</v>
      </c>
      <c r="B10" s="79" t="s">
        <v>8214</v>
      </c>
      <c r="C10">
        <v>1</v>
      </c>
    </row>
    <row r="11" spans="1:7" ht="16.5" x14ac:dyDescent="0.25">
      <c r="A11" s="81">
        <v>55144</v>
      </c>
      <c r="B11" s="79" t="s">
        <v>8215</v>
      </c>
      <c r="C11">
        <v>0</v>
      </c>
    </row>
    <row r="12" spans="1:7" ht="16.5" x14ac:dyDescent="0.25">
      <c r="A12" s="79">
        <v>52234</v>
      </c>
      <c r="B12" s="82" t="s">
        <v>8215</v>
      </c>
      <c r="C12">
        <v>0</v>
      </c>
    </row>
    <row r="13" spans="1:7" x14ac:dyDescent="0.25">
      <c r="A13" s="81">
        <v>51184</v>
      </c>
      <c r="B13" s="80" t="s">
        <v>8215</v>
      </c>
      <c r="C13">
        <v>0</v>
      </c>
    </row>
    <row r="14" spans="1:7" ht="16.5" x14ac:dyDescent="0.25">
      <c r="A14" s="81">
        <v>52214</v>
      </c>
      <c r="B14" s="79" t="s">
        <v>8215</v>
      </c>
      <c r="C14">
        <v>0</v>
      </c>
    </row>
    <row r="15" spans="1:7" x14ac:dyDescent="0.25">
      <c r="A15" s="81">
        <v>51284</v>
      </c>
      <c r="B15" s="80" t="s">
        <v>8216</v>
      </c>
      <c r="C15">
        <v>2</v>
      </c>
    </row>
    <row r="16" spans="1:7" x14ac:dyDescent="0.25">
      <c r="A16" s="81">
        <v>51217</v>
      </c>
      <c r="B16" s="80" t="s">
        <v>8215</v>
      </c>
      <c r="C16">
        <v>0</v>
      </c>
    </row>
    <row r="17" spans="1:3" ht="16.5" x14ac:dyDescent="0.25">
      <c r="A17" s="81">
        <v>52277</v>
      </c>
      <c r="B17" s="79" t="s">
        <v>8214</v>
      </c>
      <c r="C17">
        <v>1</v>
      </c>
    </row>
    <row r="18" spans="1:3" x14ac:dyDescent="0.25">
      <c r="A18" s="81">
        <v>51234</v>
      </c>
      <c r="B18" s="80" t="s">
        <v>8216</v>
      </c>
      <c r="C18">
        <v>2</v>
      </c>
    </row>
    <row r="19" spans="1:3" ht="16.5" x14ac:dyDescent="0.25">
      <c r="A19" s="81">
        <v>52237</v>
      </c>
      <c r="B19" s="79" t="s">
        <v>8215</v>
      </c>
      <c r="C19">
        <v>0</v>
      </c>
    </row>
    <row r="20" spans="1:3" ht="16.5" x14ac:dyDescent="0.25">
      <c r="A20" s="81">
        <v>55111</v>
      </c>
      <c r="B20" s="83" t="s">
        <v>8215</v>
      </c>
      <c r="C20">
        <v>0</v>
      </c>
    </row>
    <row r="21" spans="1:3" ht="16.5" x14ac:dyDescent="0.25">
      <c r="A21" s="81">
        <v>55157</v>
      </c>
      <c r="B21" s="79" t="s">
        <v>8215</v>
      </c>
      <c r="C21">
        <v>0</v>
      </c>
    </row>
    <row r="22" spans="1:3" x14ac:dyDescent="0.25">
      <c r="A22" s="81">
        <v>51231</v>
      </c>
      <c r="B22" s="80" t="s">
        <v>8216</v>
      </c>
      <c r="C22">
        <v>2</v>
      </c>
    </row>
    <row r="23" spans="1:3" ht="16.5" x14ac:dyDescent="0.25">
      <c r="A23" s="81">
        <v>52264</v>
      </c>
      <c r="B23" s="79" t="s">
        <v>8216</v>
      </c>
      <c r="C23">
        <v>2</v>
      </c>
    </row>
    <row r="24" spans="1:3" x14ac:dyDescent="0.25">
      <c r="A24" s="81">
        <v>51221</v>
      </c>
      <c r="B24" s="80" t="s">
        <v>8214</v>
      </c>
      <c r="C24">
        <v>1</v>
      </c>
    </row>
    <row r="25" spans="1:3" x14ac:dyDescent="0.25">
      <c r="A25" s="81">
        <v>51133</v>
      </c>
      <c r="B25" s="80" t="s">
        <v>8216</v>
      </c>
      <c r="C25">
        <v>2</v>
      </c>
    </row>
    <row r="26" spans="1:3" x14ac:dyDescent="0.25">
      <c r="A26" s="81">
        <v>51119</v>
      </c>
      <c r="B26" s="80" t="s">
        <v>8216</v>
      </c>
      <c r="C26">
        <v>2</v>
      </c>
    </row>
    <row r="27" spans="1:3" x14ac:dyDescent="0.25">
      <c r="A27" s="81">
        <v>51121</v>
      </c>
      <c r="B27" s="80" t="s">
        <v>8216</v>
      </c>
      <c r="C27">
        <v>2</v>
      </c>
    </row>
    <row r="28" spans="1:3" x14ac:dyDescent="0.25">
      <c r="A28" s="81">
        <v>51111</v>
      </c>
      <c r="B28" s="80" t="s">
        <v>8216</v>
      </c>
      <c r="C28">
        <v>2</v>
      </c>
    </row>
    <row r="29" spans="1:3" x14ac:dyDescent="0.25">
      <c r="A29" s="81">
        <v>51117</v>
      </c>
      <c r="B29" s="80" t="s">
        <v>8216</v>
      </c>
      <c r="C29">
        <v>2</v>
      </c>
    </row>
    <row r="30" spans="1:3" x14ac:dyDescent="0.25">
      <c r="A30" s="81">
        <v>51131</v>
      </c>
      <c r="B30" s="80" t="s">
        <v>8216</v>
      </c>
      <c r="C30">
        <v>2</v>
      </c>
    </row>
    <row r="31" spans="1:3" x14ac:dyDescent="0.25">
      <c r="A31" s="81">
        <v>51127</v>
      </c>
      <c r="B31" s="80" t="s">
        <v>8216</v>
      </c>
      <c r="C31">
        <v>2</v>
      </c>
    </row>
    <row r="32" spans="1:3" x14ac:dyDescent="0.25">
      <c r="A32" s="81">
        <v>51113</v>
      </c>
      <c r="B32" s="80" t="s">
        <v>8216</v>
      </c>
      <c r="C32">
        <v>2</v>
      </c>
    </row>
    <row r="33" spans="1:3" x14ac:dyDescent="0.25">
      <c r="A33" s="81">
        <v>51125</v>
      </c>
      <c r="B33" s="80" t="s">
        <v>8216</v>
      </c>
      <c r="C33">
        <v>2</v>
      </c>
    </row>
    <row r="34" spans="1:3" x14ac:dyDescent="0.25">
      <c r="A34" s="81">
        <v>51123</v>
      </c>
      <c r="B34" s="80" t="s">
        <v>8216</v>
      </c>
      <c r="C34">
        <v>2</v>
      </c>
    </row>
    <row r="35" spans="1:3" x14ac:dyDescent="0.25">
      <c r="A35" s="81">
        <v>51135</v>
      </c>
      <c r="B35" s="80" t="s">
        <v>8216</v>
      </c>
      <c r="C35">
        <v>2</v>
      </c>
    </row>
    <row r="36" spans="1:3" x14ac:dyDescent="0.25">
      <c r="A36" s="81">
        <v>51115</v>
      </c>
      <c r="B36" s="80" t="s">
        <v>8216</v>
      </c>
      <c r="C36">
        <v>2</v>
      </c>
    </row>
    <row r="37" spans="1:3" x14ac:dyDescent="0.25">
      <c r="A37" s="81">
        <v>51129</v>
      </c>
      <c r="B37" s="80" t="s">
        <v>8216</v>
      </c>
      <c r="C37">
        <v>2</v>
      </c>
    </row>
    <row r="38" spans="1:3" ht="16.5" x14ac:dyDescent="0.25">
      <c r="A38" s="82">
        <v>53217</v>
      </c>
      <c r="B38" s="84" t="s">
        <v>8215</v>
      </c>
      <c r="C38">
        <v>0</v>
      </c>
    </row>
    <row r="39" spans="1:3" ht="16.5" x14ac:dyDescent="0.25">
      <c r="A39" s="82">
        <v>53231</v>
      </c>
      <c r="B39" s="84" t="s">
        <v>8216</v>
      </c>
      <c r="C39">
        <v>2</v>
      </c>
    </row>
    <row r="40" spans="1:3" ht="16.5" x14ac:dyDescent="0.25">
      <c r="A40" s="82">
        <v>53453</v>
      </c>
      <c r="B40" s="84" t="s">
        <v>8216</v>
      </c>
      <c r="C40">
        <v>2</v>
      </c>
    </row>
    <row r="41" spans="1:3" ht="16.5" x14ac:dyDescent="0.25">
      <c r="A41" s="82">
        <v>53375</v>
      </c>
      <c r="B41" s="82" t="s">
        <v>8215</v>
      </c>
      <c r="C41">
        <v>0</v>
      </c>
    </row>
    <row r="42" spans="1:3" ht="16.5" x14ac:dyDescent="0.25">
      <c r="A42" s="82">
        <v>53274</v>
      </c>
      <c r="B42" s="84" t="s">
        <v>8215</v>
      </c>
      <c r="C42">
        <v>0</v>
      </c>
    </row>
    <row r="43" spans="1:3" ht="16.5" x14ac:dyDescent="0.25">
      <c r="A43" s="82">
        <v>54127</v>
      </c>
      <c r="B43" s="82" t="s">
        <v>8216</v>
      </c>
      <c r="C43">
        <v>2</v>
      </c>
    </row>
    <row r="44" spans="1:3" ht="16.5" x14ac:dyDescent="0.25">
      <c r="A44" s="82">
        <v>53119</v>
      </c>
      <c r="B44" s="84" t="s">
        <v>8214</v>
      </c>
      <c r="C44">
        <v>1</v>
      </c>
    </row>
    <row r="45" spans="1:3" ht="16.5" x14ac:dyDescent="0.25">
      <c r="A45" s="82">
        <v>53214</v>
      </c>
      <c r="B45" s="84" t="s">
        <v>8215</v>
      </c>
      <c r="C45">
        <v>0</v>
      </c>
    </row>
    <row r="46" spans="1:3" ht="16.5" x14ac:dyDescent="0.25">
      <c r="A46" s="82">
        <v>53183</v>
      </c>
      <c r="B46" s="84" t="s">
        <v>8215</v>
      </c>
      <c r="C46">
        <v>0</v>
      </c>
    </row>
    <row r="47" spans="1:3" ht="16.5" x14ac:dyDescent="0.25">
      <c r="A47" s="82">
        <v>54111</v>
      </c>
      <c r="B47" s="84" t="s">
        <v>8217</v>
      </c>
      <c r="C47">
        <v>3</v>
      </c>
    </row>
    <row r="48" spans="1:3" ht="16.5" x14ac:dyDescent="0.25">
      <c r="A48" s="82">
        <v>54159</v>
      </c>
      <c r="B48" s="84" t="s">
        <v>8217</v>
      </c>
      <c r="C48">
        <v>3</v>
      </c>
    </row>
    <row r="49" spans="1:3" ht="16.5" x14ac:dyDescent="0.25">
      <c r="A49" s="82">
        <v>53123</v>
      </c>
      <c r="B49" s="84" t="s">
        <v>8214</v>
      </c>
      <c r="C49">
        <v>1</v>
      </c>
    </row>
    <row r="50" spans="1:3" ht="16.5" x14ac:dyDescent="0.25">
      <c r="A50" s="82">
        <v>53234</v>
      </c>
      <c r="B50" s="84" t="s">
        <v>8214</v>
      </c>
      <c r="C50">
        <v>1</v>
      </c>
    </row>
    <row r="51" spans="1:3" ht="16.5" x14ac:dyDescent="0.25">
      <c r="A51" s="82">
        <v>54167</v>
      </c>
      <c r="B51" s="82" t="s">
        <v>8217</v>
      </c>
      <c r="C51">
        <v>3</v>
      </c>
    </row>
    <row r="52" spans="1:3" ht="16.5" x14ac:dyDescent="0.25">
      <c r="A52" s="82">
        <v>53445</v>
      </c>
      <c r="B52" s="84" t="s">
        <v>8216</v>
      </c>
      <c r="C52">
        <v>2</v>
      </c>
    </row>
    <row r="53" spans="1:3" ht="16.5" x14ac:dyDescent="0.25">
      <c r="A53" s="82">
        <v>53241</v>
      </c>
      <c r="B53" s="84" t="s">
        <v>8217</v>
      </c>
      <c r="C53">
        <v>3</v>
      </c>
    </row>
    <row r="54" spans="1:3" ht="16.5" x14ac:dyDescent="0.25">
      <c r="A54" s="82">
        <v>53257</v>
      </c>
      <c r="B54" s="82" t="s">
        <v>8216</v>
      </c>
      <c r="C54">
        <v>2</v>
      </c>
    </row>
    <row r="55" spans="1:3" ht="16.5" x14ac:dyDescent="0.25">
      <c r="A55" s="82">
        <v>53267</v>
      </c>
      <c r="B55" s="82" t="s">
        <v>8216</v>
      </c>
      <c r="C55">
        <v>2</v>
      </c>
    </row>
    <row r="56" spans="1:3" ht="16.5" x14ac:dyDescent="0.25">
      <c r="A56" s="82">
        <v>53254</v>
      </c>
      <c r="B56" s="82" t="s">
        <v>8216</v>
      </c>
      <c r="C56">
        <v>2</v>
      </c>
    </row>
    <row r="57" spans="1:3" ht="16.5" x14ac:dyDescent="0.25">
      <c r="A57" s="82">
        <v>53277</v>
      </c>
      <c r="B57" s="85" t="s">
        <v>8215</v>
      </c>
      <c r="C57">
        <v>0</v>
      </c>
    </row>
    <row r="58" spans="1:3" ht="16.5" x14ac:dyDescent="0.25">
      <c r="A58" s="82">
        <v>53281</v>
      </c>
      <c r="B58" s="85" t="s">
        <v>8215</v>
      </c>
      <c r="C58">
        <v>0</v>
      </c>
    </row>
    <row r="59" spans="1:3" ht="16.5" x14ac:dyDescent="0.25">
      <c r="A59" s="82">
        <v>53227</v>
      </c>
      <c r="B59" s="85" t="s">
        <v>8215</v>
      </c>
      <c r="C59">
        <v>0</v>
      </c>
    </row>
    <row r="60" spans="1:3" ht="16.5" x14ac:dyDescent="0.25">
      <c r="A60" s="82">
        <v>54135</v>
      </c>
      <c r="B60" s="85" t="s">
        <v>8215</v>
      </c>
      <c r="C60">
        <v>0</v>
      </c>
    </row>
    <row r="61" spans="1:3" ht="16.5" x14ac:dyDescent="0.25">
      <c r="A61" s="82">
        <v>53211</v>
      </c>
      <c r="B61" s="85" t="s">
        <v>8215</v>
      </c>
      <c r="C61">
        <v>0</v>
      </c>
    </row>
    <row r="62" spans="1:3" ht="16.5" x14ac:dyDescent="0.25">
      <c r="A62" s="82">
        <v>54143</v>
      </c>
      <c r="B62" s="85" t="s">
        <v>8215</v>
      </c>
      <c r="C62">
        <v>0</v>
      </c>
    </row>
    <row r="63" spans="1:3" ht="16.5" x14ac:dyDescent="0.25">
      <c r="A63" s="82">
        <v>53355</v>
      </c>
      <c r="B63" s="85" t="s">
        <v>8215</v>
      </c>
      <c r="C63">
        <v>0</v>
      </c>
    </row>
    <row r="64" spans="1:3" ht="28.5" x14ac:dyDescent="0.25">
      <c r="A64" s="82">
        <v>53435</v>
      </c>
      <c r="B64" s="86" t="s">
        <v>8215</v>
      </c>
      <c r="C64">
        <v>0</v>
      </c>
    </row>
    <row r="65" spans="1:3" x14ac:dyDescent="0.25">
      <c r="A65" s="87">
        <v>24311</v>
      </c>
      <c r="B65" s="87" t="s">
        <v>8214</v>
      </c>
      <c r="C65">
        <v>1</v>
      </c>
    </row>
    <row r="66" spans="1:3" x14ac:dyDescent="0.25">
      <c r="A66" s="87">
        <v>24211</v>
      </c>
      <c r="B66" s="87" t="s">
        <v>8214</v>
      </c>
      <c r="C66">
        <v>1</v>
      </c>
    </row>
    <row r="67" spans="1:3" x14ac:dyDescent="0.25">
      <c r="A67" s="87">
        <v>22228</v>
      </c>
      <c r="B67" s="87" t="s">
        <v>8214</v>
      </c>
      <c r="C67">
        <v>1</v>
      </c>
    </row>
    <row r="68" spans="1:3" x14ac:dyDescent="0.25">
      <c r="A68" s="87">
        <v>21177</v>
      </c>
      <c r="B68" s="87" t="s">
        <v>8217</v>
      </c>
      <c r="C68">
        <v>3</v>
      </c>
    </row>
    <row r="69" spans="1:3" x14ac:dyDescent="0.25">
      <c r="A69" s="87">
        <v>22111</v>
      </c>
      <c r="B69" s="87" t="s">
        <v>8216</v>
      </c>
      <c r="C69">
        <v>2</v>
      </c>
    </row>
    <row r="70" spans="1:3" x14ac:dyDescent="0.25">
      <c r="A70" s="87">
        <v>23211</v>
      </c>
      <c r="B70" s="87" t="s">
        <v>8214</v>
      </c>
      <c r="C70">
        <v>1</v>
      </c>
    </row>
    <row r="71" spans="1:3" x14ac:dyDescent="0.25">
      <c r="A71" s="87">
        <v>21111</v>
      </c>
      <c r="B71" s="87" t="s">
        <v>8216</v>
      </c>
      <c r="C71">
        <v>2</v>
      </c>
    </row>
    <row r="72" spans="1:3" x14ac:dyDescent="0.25">
      <c r="A72" s="87">
        <v>24111</v>
      </c>
      <c r="B72" s="87" t="s">
        <v>8217</v>
      </c>
      <c r="C72">
        <v>3</v>
      </c>
    </row>
    <row r="73" spans="1:3" x14ac:dyDescent="0.25">
      <c r="A73" s="87">
        <v>22419</v>
      </c>
      <c r="B73" s="87" t="s">
        <v>8216</v>
      </c>
      <c r="C73">
        <v>2</v>
      </c>
    </row>
    <row r="74" spans="1:3" x14ac:dyDescent="0.25">
      <c r="A74" s="87">
        <v>23271</v>
      </c>
      <c r="B74" s="87" t="s">
        <v>8215</v>
      </c>
      <c r="C74">
        <v>0</v>
      </c>
    </row>
    <row r="75" spans="1:3" x14ac:dyDescent="0.25">
      <c r="A75" s="87">
        <v>22211</v>
      </c>
      <c r="B75" s="87" t="s">
        <v>8214</v>
      </c>
      <c r="C75">
        <v>1</v>
      </c>
    </row>
    <row r="76" spans="1:3" x14ac:dyDescent="0.25">
      <c r="A76" s="87">
        <v>25121</v>
      </c>
      <c r="B76" s="87" t="s">
        <v>8214</v>
      </c>
      <c r="C76">
        <v>1</v>
      </c>
    </row>
    <row r="77" spans="1:3" x14ac:dyDescent="0.25">
      <c r="A77" s="87">
        <v>25131</v>
      </c>
      <c r="B77" s="87" t="s">
        <v>8214</v>
      </c>
      <c r="C77">
        <v>1</v>
      </c>
    </row>
    <row r="78" spans="1:3" x14ac:dyDescent="0.25">
      <c r="A78" s="87">
        <v>25111</v>
      </c>
      <c r="B78" s="87" t="s">
        <v>8214</v>
      </c>
      <c r="C78">
        <v>1</v>
      </c>
    </row>
    <row r="79" spans="1:3" x14ac:dyDescent="0.25">
      <c r="A79" s="87">
        <v>23231</v>
      </c>
      <c r="B79" s="87" t="s">
        <v>8214</v>
      </c>
      <c r="C79">
        <v>1</v>
      </c>
    </row>
    <row r="80" spans="1:3" x14ac:dyDescent="0.25">
      <c r="A80" s="87">
        <v>21166</v>
      </c>
      <c r="B80" s="87" t="s">
        <v>8217</v>
      </c>
      <c r="C80">
        <v>3</v>
      </c>
    </row>
    <row r="81" spans="1:4" x14ac:dyDescent="0.25">
      <c r="A81" s="87">
        <v>23141</v>
      </c>
      <c r="B81" s="87" t="s">
        <v>8216</v>
      </c>
      <c r="C81">
        <v>2</v>
      </c>
    </row>
    <row r="82" spans="1:4" x14ac:dyDescent="0.25">
      <c r="A82" s="87">
        <v>23243</v>
      </c>
      <c r="B82" s="87" t="s">
        <v>8216</v>
      </c>
      <c r="C82">
        <v>2</v>
      </c>
    </row>
    <row r="83" spans="1:4" x14ac:dyDescent="0.25">
      <c r="A83" s="87">
        <v>22155</v>
      </c>
      <c r="B83" s="87" t="s">
        <v>8216</v>
      </c>
      <c r="C83">
        <v>2</v>
      </c>
    </row>
    <row r="84" spans="1:4" ht="16.5" x14ac:dyDescent="0.25">
      <c r="A84" s="87">
        <v>10350</v>
      </c>
      <c r="B84" s="88" t="s">
        <v>8216</v>
      </c>
      <c r="C84">
        <v>2</v>
      </c>
    </row>
    <row r="85" spans="1:4" ht="16.5" x14ac:dyDescent="0.25">
      <c r="A85" s="87">
        <v>10450</v>
      </c>
      <c r="B85" s="88" t="s">
        <v>8215</v>
      </c>
      <c r="C85">
        <v>0</v>
      </c>
    </row>
    <row r="86" spans="1:4" ht="16.5" x14ac:dyDescent="0.25">
      <c r="A86" s="87">
        <v>10310</v>
      </c>
      <c r="B86" s="88" t="s">
        <v>8217</v>
      </c>
      <c r="C86">
        <v>3</v>
      </c>
    </row>
    <row r="87" spans="1:4" ht="16.5" x14ac:dyDescent="0.25">
      <c r="A87" s="87">
        <v>10210</v>
      </c>
      <c r="B87" s="88" t="s">
        <v>8214</v>
      </c>
      <c r="C87">
        <v>1</v>
      </c>
    </row>
    <row r="88" spans="1:4" ht="16.5" x14ac:dyDescent="0.25">
      <c r="A88" s="87">
        <v>10410</v>
      </c>
      <c r="B88" s="88" t="s">
        <v>8214</v>
      </c>
      <c r="C88">
        <v>1</v>
      </c>
    </row>
    <row r="89" spans="1:4" x14ac:dyDescent="0.25">
      <c r="A89" s="87">
        <v>37231</v>
      </c>
      <c r="B89" s="89" t="s">
        <v>8217</v>
      </c>
      <c r="C89">
        <v>3</v>
      </c>
    </row>
    <row r="90" spans="1:4" x14ac:dyDescent="0.25">
      <c r="A90" s="87">
        <v>32177</v>
      </c>
      <c r="B90" s="89" t="s">
        <v>8214</v>
      </c>
      <c r="C90">
        <v>1</v>
      </c>
    </row>
    <row r="91" spans="1:4" x14ac:dyDescent="0.25">
      <c r="A91" s="87">
        <v>31146</v>
      </c>
      <c r="B91" s="89" t="s">
        <v>8217</v>
      </c>
      <c r="C91">
        <v>3</v>
      </c>
    </row>
    <row r="92" spans="1:4" ht="16.5" x14ac:dyDescent="0.25">
      <c r="A92" s="87">
        <v>35427</v>
      </c>
      <c r="B92" s="89" t="s">
        <v>8214</v>
      </c>
      <c r="C92">
        <v>1</v>
      </c>
      <c r="D92" s="90"/>
    </row>
    <row r="93" spans="1:4" x14ac:dyDescent="0.25">
      <c r="A93" s="87">
        <v>35516</v>
      </c>
      <c r="B93" s="89" t="s">
        <v>8216</v>
      </c>
      <c r="C93">
        <v>2</v>
      </c>
      <c r="D93" s="91"/>
    </row>
    <row r="94" spans="1:4" x14ac:dyDescent="0.25">
      <c r="A94" s="87">
        <v>35471</v>
      </c>
      <c r="B94" s="89" t="s">
        <v>8216</v>
      </c>
      <c r="C94">
        <v>2</v>
      </c>
      <c r="D94" s="91" t="s">
        <v>8218</v>
      </c>
    </row>
    <row r="95" spans="1:4" x14ac:dyDescent="0.25">
      <c r="A95" s="87">
        <v>62291</v>
      </c>
      <c r="B95" s="81" t="s">
        <v>8214</v>
      </c>
      <c r="C95">
        <v>1</v>
      </c>
      <c r="D95" s="92"/>
    </row>
    <row r="96" spans="1:4" x14ac:dyDescent="0.25">
      <c r="A96" s="87">
        <v>61159</v>
      </c>
      <c r="B96" s="81" t="s">
        <v>8214</v>
      </c>
      <c r="C96">
        <v>1</v>
      </c>
      <c r="D96" s="92" t="s">
        <v>8219</v>
      </c>
    </row>
    <row r="97" spans="1:4" x14ac:dyDescent="0.25">
      <c r="A97" s="87">
        <v>62211</v>
      </c>
      <c r="B97" s="81" t="s">
        <v>8214</v>
      </c>
      <c r="C97">
        <v>1</v>
      </c>
      <c r="D97" s="92"/>
    </row>
    <row r="98" spans="1:4" x14ac:dyDescent="0.25">
      <c r="A98" s="87">
        <v>62111</v>
      </c>
      <c r="B98" s="81" t="s">
        <v>8214</v>
      </c>
      <c r="C98">
        <v>1</v>
      </c>
      <c r="D98" s="92"/>
    </row>
    <row r="99" spans="1:4" x14ac:dyDescent="0.25">
      <c r="A99" s="87">
        <v>71391</v>
      </c>
      <c r="B99" s="81" t="s">
        <v>8214</v>
      </c>
      <c r="C99">
        <v>1</v>
      </c>
    </row>
  </sheetData>
  <protectedRanges>
    <protectedRange sqref="B2 F2" name="Range3_38"/>
    <protectedRange sqref="B3:B4 F3:F4" name="Range3_39"/>
    <protectedRange sqref="B5 F5" name="Range3_40"/>
    <protectedRange sqref="B6:B7 F6:F7" name="Range3_41"/>
    <protectedRange sqref="B8 F8" name="Range3_42"/>
    <protectedRange sqref="B9 F9" name="Range3_43"/>
    <protectedRange sqref="B10 F10" name="Range3_44"/>
    <protectedRange sqref="B11 F11" name="Range3_45"/>
    <protectedRange sqref="B12 F12" name="Range3_46"/>
    <protectedRange sqref="B13:B14 F13:F14" name="Range3_47"/>
    <protectedRange sqref="B15 F15" name="Range3_48"/>
    <protectedRange sqref="B16 F16" name="Range3_49"/>
    <protectedRange sqref="B17 F17" name="Range3_50"/>
    <protectedRange sqref="B18:B19 F18:F19" name="Range3_51"/>
    <protectedRange sqref="B20:B21 F20:F21" name="Range3_52"/>
    <protectedRange sqref="B22 F22" name="Range3_53"/>
    <protectedRange sqref="B23 F23" name="Range3_54"/>
    <protectedRange sqref="B24 F24" name="Range3_55"/>
    <protectedRange sqref="B25:B37 F25:F37" name="Range3_56"/>
    <protectedRange sqref="B38 F38" name="Range3_57"/>
    <protectedRange sqref="B39 F39" name="Range3_58"/>
    <protectedRange sqref="B40:B41 F40:F41" name="Range3_59"/>
    <protectedRange sqref="B42:B43 F42:F43" name="Range3_60"/>
    <protectedRange sqref="B44:B46 F44:F46" name="Range3_61"/>
    <protectedRange sqref="B47:B48 F47:F48" name="Range3_62"/>
    <protectedRange sqref="B49 F49" name="Range3_63"/>
    <protectedRange sqref="B50 F50" name="Range3_64"/>
    <protectedRange sqref="B51 F51" name="Range3_65"/>
    <protectedRange sqref="B52 F52" name="Range3_66"/>
    <protectedRange sqref="B53:B57 F53:F57" name="Range3_67"/>
    <protectedRange sqref="B58:B63 F58:F63" name="Range3_68"/>
    <protectedRange sqref="B64 F64" name="Range3_69"/>
    <protectedRange sqref="B65 F65" name="Range1"/>
    <protectedRange sqref="B66 F66" name="Range1_1"/>
    <protectedRange sqref="B67 F67" name="Range1_2"/>
    <protectedRange sqref="B68 F68" name="Range1_3"/>
    <protectedRange sqref="B69 F69" name="Range1_4"/>
    <protectedRange sqref="B70 F70" name="Range1_5"/>
    <protectedRange sqref="B71 F71" name="Range1_6"/>
    <protectedRange sqref="B72 F72" name="Range1_7"/>
    <protectedRange sqref="B73 F73" name="Range1_8"/>
    <protectedRange sqref="B74 F74" name="Range1_9"/>
    <protectedRange sqref="B75 F75" name="Range1_10"/>
    <protectedRange sqref="F76:F78 B76:B78" name="Range1_11"/>
    <protectedRange sqref="B79 F79" name="Range1_12"/>
    <protectedRange sqref="B80 F80" name="Range1_13"/>
    <protectedRange sqref="B81 F81" name="Range1_14"/>
    <protectedRange sqref="F82:F83 B82:B83" name="Range1_15"/>
    <protectedRange sqref="B89 F89" name="Range1_19"/>
    <protectedRange sqref="B90 F90" name="Range1_20"/>
    <protectedRange sqref="B91 F91" name="Range1_21"/>
    <protectedRange sqref="B95 F95" name="Range3_70"/>
    <protectedRange sqref="B96 F96" name="Range3_71"/>
    <protectedRange sqref="B97 F97" name="Range3_72"/>
    <protectedRange sqref="B98 F98" name="Range3_73"/>
    <protectedRange sqref="B99 F99" name="Range4_61"/>
  </protectedRanges>
  <conditionalFormatting sqref="A1:A37">
    <cfRule type="duplicateValues" dxfId="46" priority="119"/>
  </conditionalFormatting>
  <conditionalFormatting sqref="A65:A83">
    <cfRule type="duplicateValues" dxfId="45" priority="97"/>
  </conditionalFormatting>
  <conditionalFormatting sqref="A89:A91">
    <cfRule type="duplicateValues" dxfId="44" priority="82"/>
  </conditionalFormatting>
  <conditionalFormatting sqref="A95:A98">
    <cfRule type="duplicateValues" dxfId="43" priority="67"/>
  </conditionalFormatting>
  <conditionalFormatting sqref="A89:B91">
    <cfRule type="containsText" dxfId="42" priority="84" operator="containsText" text="Low">
      <formula>NOT(ISERROR(SEARCH("Low",A89)))</formula>
    </cfRule>
  </conditionalFormatting>
  <conditionalFormatting sqref="B2:B37">
    <cfRule type="containsText" dxfId="41" priority="107" operator="containsText" text="Low">
      <formula>NOT(ISERROR(SEARCH("Low",B2)))</formula>
    </cfRule>
    <cfRule type="containsText" dxfId="40" priority="108" operator="containsText" text="Moderate">
      <formula>NOT(ISERROR(SEARCH("Moderate",B2)))</formula>
    </cfRule>
    <cfRule type="containsText" dxfId="39" priority="109" operator="containsText" text="High">
      <formula>NOT(ISERROR(SEARCH("High",B2)))</formula>
    </cfRule>
  </conditionalFormatting>
  <conditionalFormatting sqref="B38:B64">
    <cfRule type="cellIs" dxfId="38" priority="101" operator="equal">
      <formula>"Moderate"</formula>
    </cfRule>
    <cfRule type="containsText" dxfId="37" priority="102" operator="containsText" text="Moderate">
      <formula>NOT(ISERROR(SEARCH("Moderate",B38)))</formula>
    </cfRule>
    <cfRule type="containsText" dxfId="36" priority="103" operator="containsText" text="High">
      <formula>NOT(ISERROR(SEARCH("High",B38)))</formula>
    </cfRule>
    <cfRule type="containsText" dxfId="35" priority="104" operator="containsText" text="Low">
      <formula>NOT(ISERROR(SEARCH("Low",B38)))</formula>
    </cfRule>
    <cfRule type="containsText" dxfId="34" priority="105" operator="containsText" text="Low">
      <formula>NOT(ISERROR(SEARCH("Low",B38)))</formula>
    </cfRule>
    <cfRule type="containsText" dxfId="33" priority="106" operator="containsText" text="Low">
      <formula>NOT(ISERROR(SEARCH("Low",B38)))</formula>
    </cfRule>
  </conditionalFormatting>
  <conditionalFormatting sqref="B65:B91">
    <cfRule type="containsText" dxfId="32" priority="90" operator="containsText" text="Low">
      <formula>NOT(ISERROR(SEARCH("Low",B65)))</formula>
    </cfRule>
    <cfRule type="containsText" dxfId="31" priority="91" operator="containsText" text="Moderate">
      <formula>NOT(ISERROR(SEARCH("Moderate",B65)))</formula>
    </cfRule>
    <cfRule type="containsText" dxfId="30" priority="92" operator="containsText" text="High">
      <formula>NOT(ISERROR(SEARCH("High",B65)))</formula>
    </cfRule>
  </conditionalFormatting>
  <conditionalFormatting sqref="B89:B91">
    <cfRule type="containsText" dxfId="29" priority="85" operator="containsText" text="High">
      <formula>NOT(ISERROR(SEARCH("High",B89)))</formula>
    </cfRule>
    <cfRule type="containsText" dxfId="28" priority="86" operator="containsText" text="High">
      <formula>NOT(ISERROR(SEARCH("High",B89)))</formula>
    </cfRule>
    <cfRule type="containsText" dxfId="27" priority="87" operator="containsText" text="Moderate">
      <formula>NOT(ISERROR(SEARCH("Moderate",B89)))</formula>
    </cfRule>
    <cfRule type="containsText" dxfId="26" priority="88" operator="containsText" text="Low">
      <formula>NOT(ISERROR(SEARCH("Low",B89)))</formula>
    </cfRule>
  </conditionalFormatting>
  <conditionalFormatting sqref="B89:B94">
    <cfRule type="containsText" dxfId="25" priority="71" operator="containsText" text="Moderate">
      <formula>NOT(ISERROR(SEARCH("Moderate",B89)))</formula>
    </cfRule>
    <cfRule type="containsText" priority="77" operator="containsText" text="Moderate">
      <formula>NOT(ISERROR(SEARCH("Moderate",B89)))</formula>
    </cfRule>
  </conditionalFormatting>
  <conditionalFormatting sqref="B92:B94">
    <cfRule type="containsText" dxfId="24" priority="72" operator="containsText" text="Low">
      <formula>NOT(ISERROR(SEARCH("Low",B92)))</formula>
    </cfRule>
    <cfRule type="containsText" dxfId="23" priority="73" operator="containsText" text="High">
      <formula>NOT(ISERROR(SEARCH("High",B92)))</formula>
    </cfRule>
    <cfRule type="containsText" dxfId="22" priority="74" operator="containsText" text="High">
      <formula>NOT(ISERROR(SEARCH("High",B92)))</formula>
    </cfRule>
    <cfRule type="containsText" dxfId="21" priority="75" operator="containsText" text="Moderate">
      <formula>NOT(ISERROR(SEARCH("Moderate",B92)))</formula>
    </cfRule>
    <cfRule type="containsText" dxfId="20" priority="76" operator="containsText" text="Low">
      <formula>NOT(ISERROR(SEARCH("Low",B92)))</formula>
    </cfRule>
    <cfRule type="containsText" dxfId="19" priority="79" operator="containsText" text="Low">
      <formula>NOT(ISERROR(SEARCH("Low",B92)))</formula>
    </cfRule>
    <cfRule type="containsText" dxfId="18" priority="80" operator="containsText" text="Moderate">
      <formula>NOT(ISERROR(SEARCH("Moderate",B92)))</formula>
    </cfRule>
    <cfRule type="containsText" dxfId="17" priority="81" operator="containsText" text="High">
      <formula>NOT(ISERROR(SEARCH("High",B92)))</formula>
    </cfRule>
  </conditionalFormatting>
  <conditionalFormatting sqref="B95:B99">
    <cfRule type="containsText" dxfId="16" priority="58" operator="containsText" text="Low">
      <formula>NOT(ISERROR(SEARCH("Low",B95)))</formula>
    </cfRule>
    <cfRule type="containsText" dxfId="15" priority="59" operator="containsText" text="Moderate">
      <formula>NOT(ISERROR(SEARCH("Moderate",B95)))</formula>
    </cfRule>
    <cfRule type="containsText" dxfId="14" priority="60" operator="containsText" text="High">
      <formula>NOT(ISERROR(SEARCH("High",B95)))</formula>
    </cfRule>
  </conditionalFormatting>
  <conditionalFormatting sqref="F2:F5">
    <cfRule type="containsText" dxfId="13" priority="55" operator="containsText" text="Low">
      <formula>NOT(ISERROR(SEARCH("Low",F2)))</formula>
    </cfRule>
    <cfRule type="containsText" dxfId="12" priority="56" operator="containsText" text="Moderate">
      <formula>NOT(ISERROR(SEARCH("Moderate",F2)))</formula>
    </cfRule>
    <cfRule type="containsText" dxfId="11" priority="57" operator="containsText" text="High">
      <formula>NOT(ISERROR(SEARCH("High",F2)))</formula>
    </cfRule>
  </conditionalFormatting>
  <dataValidations count="2">
    <dataValidation type="list" allowBlank="1" showInputMessage="1" showErrorMessage="1" sqref="B2:B94 F2:F5" xr:uid="{A7156D2F-B580-40D3-B4D6-42BDE297C407}">
      <formula1>"High, Moderate, Low, No Tension/No Record"</formula1>
    </dataValidation>
    <dataValidation type="list" allowBlank="1" showInputMessage="1" showErrorMessage="1" sqref="B95:B99" xr:uid="{54C76730-7531-49E2-B3B9-1F12E6FB0979}">
      <formula1>"High, Low, Moderate, No Tension/No Record"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7BDCA-733D-49E0-9A21-840B0E494993}">
  <dimension ref="A1:AB386"/>
  <sheetViews>
    <sheetView topLeftCell="C1" workbookViewId="0">
      <selection activeCell="D1" sqref="D1:U1"/>
    </sheetView>
  </sheetViews>
  <sheetFormatPr defaultRowHeight="15" x14ac:dyDescent="0.25"/>
  <sheetData>
    <row r="1" spans="1:28" ht="21" x14ac:dyDescent="0.35">
      <c r="A1" s="126"/>
      <c r="B1" s="127"/>
      <c r="C1" s="36"/>
      <c r="D1" s="130" t="s">
        <v>6939</v>
      </c>
      <c r="E1" s="131"/>
      <c r="F1" s="131"/>
      <c r="G1" s="131"/>
      <c r="H1" s="131"/>
      <c r="I1" s="131"/>
      <c r="J1" s="131"/>
      <c r="K1" s="131"/>
      <c r="L1" s="131"/>
      <c r="M1" s="131"/>
      <c r="N1" s="131"/>
      <c r="O1" s="131"/>
      <c r="P1" s="131"/>
      <c r="Q1" s="131"/>
      <c r="R1" s="131"/>
      <c r="S1" s="131"/>
      <c r="T1" s="131"/>
      <c r="U1" s="132"/>
      <c r="AA1" s="36"/>
    </row>
    <row r="2" spans="1:28" x14ac:dyDescent="0.25">
      <c r="A2" s="128"/>
      <c r="B2" s="129"/>
      <c r="C2" s="37"/>
      <c r="D2" s="133" t="s">
        <v>6940</v>
      </c>
      <c r="E2" s="131"/>
      <c r="F2" s="131"/>
      <c r="G2" s="131"/>
      <c r="H2" s="131"/>
      <c r="I2" s="132"/>
      <c r="J2" s="134" t="s">
        <v>6941</v>
      </c>
      <c r="K2" s="131"/>
      <c r="L2" s="131"/>
      <c r="M2" s="131"/>
      <c r="N2" s="131"/>
      <c r="O2" s="132"/>
      <c r="P2" s="135" t="s">
        <v>6942</v>
      </c>
      <c r="Q2" s="131"/>
      <c r="R2" s="131"/>
      <c r="S2" s="131"/>
      <c r="T2" s="131"/>
      <c r="U2" s="132"/>
      <c r="AA2" s="37"/>
    </row>
    <row r="3" spans="1:28" ht="120" x14ac:dyDescent="0.25">
      <c r="A3" s="38" t="s">
        <v>6943</v>
      </c>
      <c r="B3" s="38" t="s">
        <v>6944</v>
      </c>
      <c r="C3" s="39" t="s">
        <v>2802</v>
      </c>
      <c r="D3" s="40" t="s">
        <v>6945</v>
      </c>
      <c r="E3" s="40" t="s">
        <v>6946</v>
      </c>
      <c r="F3" s="40" t="s">
        <v>6947</v>
      </c>
      <c r="G3" s="40" t="s">
        <v>6948</v>
      </c>
      <c r="H3" s="40" t="s">
        <v>6949</v>
      </c>
      <c r="I3" s="40" t="s">
        <v>6950</v>
      </c>
      <c r="J3" s="41" t="s">
        <v>6945</v>
      </c>
      <c r="K3" s="41" t="s">
        <v>6951</v>
      </c>
      <c r="L3" s="41" t="s">
        <v>6952</v>
      </c>
      <c r="M3" s="41" t="s">
        <v>6953</v>
      </c>
      <c r="N3" s="41" t="s">
        <v>6949</v>
      </c>
      <c r="O3" s="41" t="s">
        <v>6954</v>
      </c>
      <c r="P3" s="42" t="s">
        <v>6945</v>
      </c>
      <c r="Q3" s="42" t="s">
        <v>6951</v>
      </c>
      <c r="R3" s="42" t="s">
        <v>6952</v>
      </c>
      <c r="S3" s="42" t="s">
        <v>6955</v>
      </c>
      <c r="T3" s="42" t="s">
        <v>6949</v>
      </c>
      <c r="U3" s="42" t="s">
        <v>6956</v>
      </c>
      <c r="V3" s="66" t="s">
        <v>6969</v>
      </c>
      <c r="W3" s="66" t="s">
        <v>6970</v>
      </c>
      <c r="X3" s="66" t="s">
        <v>6971</v>
      </c>
      <c r="AA3" s="39" t="s">
        <v>2802</v>
      </c>
      <c r="AB3" s="66" t="s">
        <v>6971</v>
      </c>
    </row>
    <row r="4" spans="1:28" x14ac:dyDescent="0.25">
      <c r="A4" s="136" t="s">
        <v>1508</v>
      </c>
      <c r="B4" s="43" t="s">
        <v>6957</v>
      </c>
      <c r="C4" s="43">
        <v>74141</v>
      </c>
      <c r="D4" s="44">
        <v>50</v>
      </c>
      <c r="E4" s="44">
        <v>12.5</v>
      </c>
      <c r="F4" s="44">
        <v>25</v>
      </c>
      <c r="G4" s="44">
        <v>0.375</v>
      </c>
      <c r="H4" s="44" t="s">
        <v>6958</v>
      </c>
      <c r="I4" s="44">
        <v>18.75</v>
      </c>
      <c r="J4" s="45">
        <v>200</v>
      </c>
      <c r="K4" s="46">
        <v>150</v>
      </c>
      <c r="L4" s="46">
        <v>200</v>
      </c>
      <c r="M4" s="46">
        <v>0.87</v>
      </c>
      <c r="N4" s="46" t="s">
        <v>6959</v>
      </c>
      <c r="O4" s="46">
        <v>174</v>
      </c>
      <c r="P4" s="47">
        <v>300</v>
      </c>
      <c r="Q4" s="47">
        <v>150</v>
      </c>
      <c r="R4" s="47">
        <v>225</v>
      </c>
      <c r="S4" s="47">
        <v>0.625</v>
      </c>
      <c r="T4" s="47" t="s">
        <v>6960</v>
      </c>
      <c r="U4" s="47">
        <v>187.5</v>
      </c>
      <c r="V4">
        <f>D4+J4+P4</f>
        <v>550</v>
      </c>
      <c r="W4">
        <f>U4+O4+I4</f>
        <v>380.25</v>
      </c>
      <c r="X4">
        <f>W4/V4</f>
        <v>0.6913636363636364</v>
      </c>
      <c r="AA4" s="43">
        <v>74141</v>
      </c>
      <c r="AB4">
        <v>0.6913636363636364</v>
      </c>
    </row>
    <row r="5" spans="1:28" x14ac:dyDescent="0.25">
      <c r="A5" s="125"/>
      <c r="B5" s="43" t="s">
        <v>1535</v>
      </c>
      <c r="C5" s="43">
        <v>73276</v>
      </c>
      <c r="D5" s="44">
        <v>120</v>
      </c>
      <c r="E5" s="44">
        <v>0</v>
      </c>
      <c r="F5" s="44">
        <v>30</v>
      </c>
      <c r="G5" s="44">
        <v>0.13</v>
      </c>
      <c r="H5" s="44" t="s">
        <v>6961</v>
      </c>
      <c r="I5" s="44">
        <v>15.600000000000001</v>
      </c>
      <c r="J5" s="45">
        <v>200</v>
      </c>
      <c r="K5" s="46">
        <v>150</v>
      </c>
      <c r="L5" s="46">
        <v>200</v>
      </c>
      <c r="M5" s="46">
        <v>0.87</v>
      </c>
      <c r="N5" s="46" t="s">
        <v>6959</v>
      </c>
      <c r="O5" s="46">
        <v>174</v>
      </c>
      <c r="P5" s="47">
        <v>400</v>
      </c>
      <c r="Q5" s="47">
        <v>100</v>
      </c>
      <c r="R5" s="47">
        <v>200</v>
      </c>
      <c r="S5" s="47">
        <v>0.375</v>
      </c>
      <c r="T5" s="47" t="s">
        <v>6958</v>
      </c>
      <c r="U5" s="47">
        <v>150</v>
      </c>
      <c r="V5">
        <f t="shared" ref="V5:V68" si="0">D5+J5+P5</f>
        <v>720</v>
      </c>
      <c r="W5">
        <f t="shared" ref="W5:W68" si="1">U5+O5+I5</f>
        <v>339.6</v>
      </c>
      <c r="X5">
        <f t="shared" ref="X5:X68" si="2">W5/V5</f>
        <v>0.47166666666666668</v>
      </c>
      <c r="AA5" s="43">
        <v>73276</v>
      </c>
      <c r="AB5">
        <v>0.47166666666666668</v>
      </c>
    </row>
    <row r="6" spans="1:28" x14ac:dyDescent="0.25">
      <c r="A6" s="125"/>
      <c r="B6" s="43" t="s">
        <v>1536</v>
      </c>
      <c r="C6" s="43">
        <v>73279</v>
      </c>
      <c r="D6" s="44">
        <v>140</v>
      </c>
      <c r="E6" s="44">
        <v>0</v>
      </c>
      <c r="F6" s="44">
        <v>35</v>
      </c>
      <c r="G6" s="44">
        <v>0.13</v>
      </c>
      <c r="H6" s="44" t="s">
        <v>6961</v>
      </c>
      <c r="I6" s="44">
        <v>18.2</v>
      </c>
      <c r="J6" s="45">
        <v>445</v>
      </c>
      <c r="K6" s="46">
        <v>111.25</v>
      </c>
      <c r="L6" s="46">
        <v>222.5</v>
      </c>
      <c r="M6" s="46">
        <v>0.375</v>
      </c>
      <c r="N6" s="46" t="s">
        <v>6958</v>
      </c>
      <c r="O6" s="46">
        <v>166.875</v>
      </c>
      <c r="P6" s="47">
        <v>400</v>
      </c>
      <c r="Q6" s="47">
        <v>0</v>
      </c>
      <c r="R6" s="47">
        <v>100</v>
      </c>
      <c r="S6" s="47">
        <v>0.13</v>
      </c>
      <c r="T6" s="47" t="s">
        <v>6961</v>
      </c>
      <c r="U6" s="47">
        <v>52</v>
      </c>
      <c r="V6">
        <f t="shared" si="0"/>
        <v>985</v>
      </c>
      <c r="W6">
        <f t="shared" si="1"/>
        <v>237.07499999999999</v>
      </c>
      <c r="X6">
        <f t="shared" si="2"/>
        <v>0.24068527918781724</v>
      </c>
      <c r="AA6" s="43">
        <v>73279</v>
      </c>
      <c r="AB6">
        <v>0.24068527918781724</v>
      </c>
    </row>
    <row r="7" spans="1:28" x14ac:dyDescent="0.25">
      <c r="A7" s="125"/>
      <c r="B7" s="43" t="s">
        <v>1537</v>
      </c>
      <c r="C7" s="43">
        <v>73280</v>
      </c>
      <c r="D7" s="44">
        <v>30</v>
      </c>
      <c r="E7" s="44">
        <v>0</v>
      </c>
      <c r="F7" s="44">
        <v>7.5</v>
      </c>
      <c r="G7" s="44">
        <v>0.13</v>
      </c>
      <c r="H7" s="44" t="s">
        <v>6961</v>
      </c>
      <c r="I7" s="44">
        <v>3.9000000000000004</v>
      </c>
      <c r="J7" s="45">
        <v>130</v>
      </c>
      <c r="K7" s="46">
        <v>32.5</v>
      </c>
      <c r="L7" s="46">
        <v>65</v>
      </c>
      <c r="M7" s="46">
        <v>0.375</v>
      </c>
      <c r="N7" s="46" t="s">
        <v>6958</v>
      </c>
      <c r="O7" s="46">
        <v>48.75</v>
      </c>
      <c r="P7" s="47">
        <v>120</v>
      </c>
      <c r="Q7" s="47">
        <v>0</v>
      </c>
      <c r="R7" s="47">
        <v>30</v>
      </c>
      <c r="S7" s="47">
        <v>0.13</v>
      </c>
      <c r="T7" s="47" t="s">
        <v>6961</v>
      </c>
      <c r="U7" s="47">
        <v>15.600000000000001</v>
      </c>
      <c r="V7">
        <f t="shared" si="0"/>
        <v>280</v>
      </c>
      <c r="W7">
        <f t="shared" si="1"/>
        <v>68.25</v>
      </c>
      <c r="X7">
        <f t="shared" si="2"/>
        <v>0.24374999999999999</v>
      </c>
      <c r="AA7" s="43">
        <v>73280</v>
      </c>
      <c r="AB7">
        <v>0.24374999999999999</v>
      </c>
    </row>
    <row r="8" spans="1:28" x14ac:dyDescent="0.25">
      <c r="A8" s="125"/>
      <c r="B8" s="43" t="s">
        <v>6962</v>
      </c>
      <c r="C8" s="43">
        <v>73256</v>
      </c>
      <c r="D8" s="44">
        <v>200</v>
      </c>
      <c r="E8" s="44">
        <v>0</v>
      </c>
      <c r="F8" s="44">
        <v>50</v>
      </c>
      <c r="G8" s="44">
        <v>0.13</v>
      </c>
      <c r="H8" s="44" t="s">
        <v>6961</v>
      </c>
      <c r="I8" s="44">
        <v>26</v>
      </c>
      <c r="J8" s="45">
        <v>100</v>
      </c>
      <c r="K8" s="46">
        <v>25</v>
      </c>
      <c r="L8" s="46">
        <v>50</v>
      </c>
      <c r="M8" s="46">
        <v>0.375</v>
      </c>
      <c r="N8" s="46" t="s">
        <v>6958</v>
      </c>
      <c r="O8" s="46">
        <v>37.5</v>
      </c>
      <c r="P8" s="47">
        <v>100</v>
      </c>
      <c r="Q8" s="47">
        <v>25</v>
      </c>
      <c r="R8" s="47">
        <v>50</v>
      </c>
      <c r="S8" s="47">
        <v>0.375</v>
      </c>
      <c r="T8" s="47" t="s">
        <v>6958</v>
      </c>
      <c r="U8" s="47">
        <v>37.5</v>
      </c>
      <c r="V8">
        <f t="shared" si="0"/>
        <v>400</v>
      </c>
      <c r="W8">
        <f t="shared" si="1"/>
        <v>101</v>
      </c>
      <c r="X8">
        <f t="shared" si="2"/>
        <v>0.2525</v>
      </c>
      <c r="AA8" s="43">
        <v>73256</v>
      </c>
      <c r="AB8">
        <v>0.2525</v>
      </c>
    </row>
    <row r="9" spans="1:28" x14ac:dyDescent="0.25">
      <c r="A9" s="125"/>
      <c r="B9" s="43" t="s">
        <v>1540</v>
      </c>
      <c r="C9" s="43">
        <v>73293</v>
      </c>
      <c r="D9" s="44">
        <v>150</v>
      </c>
      <c r="E9" s="44">
        <v>0</v>
      </c>
      <c r="F9" s="44">
        <v>37.5</v>
      </c>
      <c r="G9" s="44">
        <v>0.13</v>
      </c>
      <c r="H9" s="44" t="s">
        <v>6961</v>
      </c>
      <c r="I9" s="44">
        <v>19.5</v>
      </c>
      <c r="J9" s="45">
        <v>30</v>
      </c>
      <c r="K9" s="46">
        <v>7.5</v>
      </c>
      <c r="L9" s="46">
        <v>15</v>
      </c>
      <c r="M9" s="46">
        <v>0.375</v>
      </c>
      <c r="N9" s="46" t="s">
        <v>6958</v>
      </c>
      <c r="O9" s="46">
        <v>11.25</v>
      </c>
      <c r="P9" s="47">
        <v>15</v>
      </c>
      <c r="Q9" s="47">
        <v>0</v>
      </c>
      <c r="R9" s="47">
        <v>0</v>
      </c>
      <c r="S9" s="47">
        <v>0</v>
      </c>
      <c r="T9" s="47">
        <v>0</v>
      </c>
      <c r="U9" s="47">
        <v>0</v>
      </c>
      <c r="V9">
        <f t="shared" si="0"/>
        <v>195</v>
      </c>
      <c r="W9">
        <f t="shared" si="1"/>
        <v>30.75</v>
      </c>
      <c r="X9">
        <f t="shared" si="2"/>
        <v>0.15769230769230769</v>
      </c>
      <c r="AA9" s="43">
        <v>73293</v>
      </c>
      <c r="AB9">
        <v>0.15769230769230769</v>
      </c>
    </row>
    <row r="10" spans="1:28" x14ac:dyDescent="0.25">
      <c r="A10" s="125"/>
      <c r="B10" s="43" t="s">
        <v>1532</v>
      </c>
      <c r="C10" s="43">
        <v>73256</v>
      </c>
      <c r="D10" s="44">
        <v>7.5</v>
      </c>
      <c r="E10" s="44">
        <v>1.875</v>
      </c>
      <c r="F10" s="44">
        <v>3.75</v>
      </c>
      <c r="G10" s="44">
        <v>0.375</v>
      </c>
      <c r="H10" s="44" t="s">
        <v>6958</v>
      </c>
      <c r="I10" s="44">
        <v>2.8125</v>
      </c>
      <c r="J10" s="45">
        <v>150</v>
      </c>
      <c r="K10" s="46">
        <v>112.5</v>
      </c>
      <c r="L10" s="46">
        <v>150</v>
      </c>
      <c r="M10" s="46">
        <v>0.87</v>
      </c>
      <c r="N10" s="46" t="s">
        <v>6959</v>
      </c>
      <c r="O10" s="46">
        <v>130.5</v>
      </c>
      <c r="P10" s="47">
        <v>100</v>
      </c>
      <c r="Q10" s="47">
        <v>50</v>
      </c>
      <c r="R10" s="47">
        <v>75</v>
      </c>
      <c r="S10" s="47">
        <v>0.625</v>
      </c>
      <c r="T10" s="47" t="s">
        <v>6960</v>
      </c>
      <c r="U10" s="47">
        <v>62.5</v>
      </c>
      <c r="V10">
        <f t="shared" si="0"/>
        <v>257.5</v>
      </c>
      <c r="W10">
        <f t="shared" si="1"/>
        <v>195.8125</v>
      </c>
      <c r="X10">
        <f t="shared" si="2"/>
        <v>0.76043689320388352</v>
      </c>
      <c r="AA10" s="43">
        <v>73256</v>
      </c>
      <c r="AB10">
        <v>0.76043689320388352</v>
      </c>
    </row>
    <row r="11" spans="1:28" x14ac:dyDescent="0.25">
      <c r="A11" s="125"/>
      <c r="B11" s="43" t="s">
        <v>1534</v>
      </c>
      <c r="C11" s="43">
        <v>73262</v>
      </c>
      <c r="D11" s="44">
        <v>100</v>
      </c>
      <c r="E11" s="44">
        <v>0</v>
      </c>
      <c r="F11" s="44">
        <v>25</v>
      </c>
      <c r="G11" s="44">
        <v>0.13</v>
      </c>
      <c r="H11" s="44" t="s">
        <v>6961</v>
      </c>
      <c r="I11" s="44">
        <v>13</v>
      </c>
      <c r="J11" s="45">
        <v>100</v>
      </c>
      <c r="K11" s="46">
        <v>100</v>
      </c>
      <c r="L11" s="46">
        <v>100</v>
      </c>
      <c r="M11" s="46">
        <v>0</v>
      </c>
      <c r="N11" s="46">
        <v>0</v>
      </c>
      <c r="O11" s="46">
        <v>0</v>
      </c>
      <c r="P11" s="47">
        <v>200</v>
      </c>
      <c r="Q11" s="47">
        <v>0</v>
      </c>
      <c r="R11" s="47">
        <v>50</v>
      </c>
      <c r="S11" s="47">
        <v>0.13</v>
      </c>
      <c r="T11" s="47" t="s">
        <v>6961</v>
      </c>
      <c r="U11" s="47">
        <v>26</v>
      </c>
      <c r="V11">
        <f t="shared" si="0"/>
        <v>400</v>
      </c>
      <c r="W11">
        <f t="shared" si="1"/>
        <v>39</v>
      </c>
      <c r="X11">
        <f t="shared" si="2"/>
        <v>9.7500000000000003E-2</v>
      </c>
      <c r="AA11" s="43">
        <v>73262</v>
      </c>
      <c r="AB11">
        <v>9.7500000000000003E-2</v>
      </c>
    </row>
    <row r="12" spans="1:28" x14ac:dyDescent="0.25">
      <c r="A12" s="125"/>
      <c r="B12" s="43" t="s">
        <v>1538</v>
      </c>
      <c r="C12" s="43">
        <v>73282</v>
      </c>
      <c r="D12" s="44">
        <v>120</v>
      </c>
      <c r="E12" s="44">
        <v>0</v>
      </c>
      <c r="F12" s="44">
        <v>30</v>
      </c>
      <c r="G12" s="44">
        <v>0.13</v>
      </c>
      <c r="H12" s="44" t="s">
        <v>6961</v>
      </c>
      <c r="I12" s="44">
        <v>15.600000000000001</v>
      </c>
      <c r="J12" s="45">
        <v>300</v>
      </c>
      <c r="K12" s="46">
        <v>0</v>
      </c>
      <c r="L12" s="46">
        <v>75</v>
      </c>
      <c r="M12" s="46">
        <v>0.13</v>
      </c>
      <c r="N12" s="46" t="s">
        <v>6961</v>
      </c>
      <c r="O12" s="46">
        <v>39</v>
      </c>
      <c r="P12" s="47">
        <v>100</v>
      </c>
      <c r="Q12" s="47">
        <v>0</v>
      </c>
      <c r="R12" s="47">
        <v>25</v>
      </c>
      <c r="S12" s="47">
        <v>0.13</v>
      </c>
      <c r="T12" s="47" t="s">
        <v>6961</v>
      </c>
      <c r="U12" s="47">
        <v>13</v>
      </c>
      <c r="V12">
        <f t="shared" si="0"/>
        <v>520</v>
      </c>
      <c r="W12">
        <f t="shared" si="1"/>
        <v>67.599999999999994</v>
      </c>
      <c r="X12">
        <f t="shared" si="2"/>
        <v>0.12999999999999998</v>
      </c>
      <c r="AA12" s="43">
        <v>73282</v>
      </c>
      <c r="AB12">
        <v>0.12999999999999998</v>
      </c>
    </row>
    <row r="13" spans="1:28" x14ac:dyDescent="0.25">
      <c r="A13" s="125"/>
      <c r="B13" s="43" t="s">
        <v>1523</v>
      </c>
      <c r="C13" s="43">
        <v>73226</v>
      </c>
      <c r="D13" s="44">
        <v>85</v>
      </c>
      <c r="E13" s="44">
        <v>21.25</v>
      </c>
      <c r="F13" s="44">
        <v>42.5</v>
      </c>
      <c r="G13" s="44">
        <v>0.375</v>
      </c>
      <c r="H13" s="44" t="s">
        <v>6958</v>
      </c>
      <c r="I13" s="44">
        <v>31.875</v>
      </c>
      <c r="J13" s="45">
        <v>45</v>
      </c>
      <c r="K13" s="46">
        <v>22.5</v>
      </c>
      <c r="L13" s="46">
        <v>33.75</v>
      </c>
      <c r="M13" s="46">
        <v>0.625</v>
      </c>
      <c r="N13" s="46" t="s">
        <v>6960</v>
      </c>
      <c r="O13" s="46">
        <v>28.125</v>
      </c>
      <c r="P13" s="47">
        <v>200</v>
      </c>
      <c r="Q13" s="47">
        <v>50</v>
      </c>
      <c r="R13" s="47">
        <v>100</v>
      </c>
      <c r="S13" s="47">
        <v>0.375</v>
      </c>
      <c r="T13" s="47" t="s">
        <v>6958</v>
      </c>
      <c r="U13" s="47">
        <v>75</v>
      </c>
      <c r="V13">
        <f t="shared" si="0"/>
        <v>330</v>
      </c>
      <c r="W13">
        <f t="shared" si="1"/>
        <v>135</v>
      </c>
      <c r="X13">
        <f t="shared" si="2"/>
        <v>0.40909090909090912</v>
      </c>
      <c r="AA13" s="43">
        <v>73226</v>
      </c>
      <c r="AB13">
        <v>0.40909090909090912</v>
      </c>
    </row>
    <row r="14" spans="1:28" x14ac:dyDescent="0.25">
      <c r="A14" s="125"/>
      <c r="B14" s="43" t="s">
        <v>1529</v>
      </c>
      <c r="C14" s="43">
        <v>73245</v>
      </c>
      <c r="D14" s="44">
        <v>1</v>
      </c>
      <c r="E14" s="44">
        <v>0</v>
      </c>
      <c r="F14" s="44">
        <v>0.25</v>
      </c>
      <c r="G14" s="44">
        <v>0.13</v>
      </c>
      <c r="H14" s="44" t="s">
        <v>6961</v>
      </c>
      <c r="I14" s="44">
        <v>0.13</v>
      </c>
      <c r="J14" s="45">
        <v>140</v>
      </c>
      <c r="K14" s="46">
        <v>0</v>
      </c>
      <c r="L14" s="46">
        <v>35</v>
      </c>
      <c r="M14" s="46">
        <v>0.13</v>
      </c>
      <c r="N14" s="46" t="s">
        <v>6961</v>
      </c>
      <c r="O14" s="46">
        <v>18.2</v>
      </c>
      <c r="P14" s="47">
        <v>20</v>
      </c>
      <c r="Q14" s="47">
        <v>0</v>
      </c>
      <c r="R14" s="47">
        <v>5</v>
      </c>
      <c r="S14" s="47">
        <v>0.13</v>
      </c>
      <c r="T14" s="47" t="s">
        <v>6961</v>
      </c>
      <c r="U14" s="47">
        <v>2.6</v>
      </c>
      <c r="V14">
        <f t="shared" si="0"/>
        <v>161</v>
      </c>
      <c r="W14">
        <f t="shared" si="1"/>
        <v>20.93</v>
      </c>
      <c r="X14">
        <f t="shared" si="2"/>
        <v>0.13</v>
      </c>
      <c r="AA14" s="43">
        <v>73245</v>
      </c>
      <c r="AB14">
        <v>0.13</v>
      </c>
    </row>
    <row r="15" spans="1:28" x14ac:dyDescent="0.25">
      <c r="A15" s="125"/>
      <c r="B15" s="43" t="s">
        <v>1526</v>
      </c>
      <c r="C15" s="43">
        <v>73232</v>
      </c>
      <c r="D15" s="44">
        <v>10</v>
      </c>
      <c r="E15" s="44">
        <v>0</v>
      </c>
      <c r="F15" s="44">
        <v>2.5</v>
      </c>
      <c r="G15" s="44">
        <v>0.13</v>
      </c>
      <c r="H15" s="44" t="s">
        <v>6961</v>
      </c>
      <c r="I15" s="44">
        <v>1.3</v>
      </c>
      <c r="J15" s="45">
        <v>300</v>
      </c>
      <c r="K15" s="46">
        <v>75</v>
      </c>
      <c r="L15" s="46">
        <v>150</v>
      </c>
      <c r="M15" s="46">
        <v>0.375</v>
      </c>
      <c r="N15" s="46" t="s">
        <v>6958</v>
      </c>
      <c r="O15" s="46">
        <v>112.5</v>
      </c>
      <c r="P15" s="47">
        <v>90</v>
      </c>
      <c r="Q15" s="47">
        <v>0</v>
      </c>
      <c r="R15" s="47">
        <v>22.5</v>
      </c>
      <c r="S15" s="47">
        <v>0.13</v>
      </c>
      <c r="T15" s="47" t="s">
        <v>6961</v>
      </c>
      <c r="U15" s="47">
        <v>11.700000000000001</v>
      </c>
      <c r="V15">
        <f t="shared" si="0"/>
        <v>400</v>
      </c>
      <c r="W15">
        <f t="shared" si="1"/>
        <v>125.5</v>
      </c>
      <c r="X15">
        <f t="shared" si="2"/>
        <v>0.31374999999999997</v>
      </c>
      <c r="AA15" s="43">
        <v>73232</v>
      </c>
      <c r="AB15">
        <v>0.31374999999999997</v>
      </c>
    </row>
    <row r="16" spans="1:28" x14ac:dyDescent="0.25">
      <c r="A16" s="125"/>
      <c r="B16" s="43" t="s">
        <v>1527</v>
      </c>
      <c r="C16" s="43">
        <v>73234</v>
      </c>
      <c r="D16" s="44">
        <v>2</v>
      </c>
      <c r="E16" s="44">
        <v>0</v>
      </c>
      <c r="F16" s="44">
        <v>0.5</v>
      </c>
      <c r="G16" s="44">
        <v>0.13</v>
      </c>
      <c r="H16" s="44" t="s">
        <v>6961</v>
      </c>
      <c r="I16" s="44">
        <v>0.26</v>
      </c>
      <c r="J16" s="45">
        <v>800</v>
      </c>
      <c r="K16" s="46">
        <v>200</v>
      </c>
      <c r="L16" s="46">
        <v>400</v>
      </c>
      <c r="M16" s="46">
        <v>0.375</v>
      </c>
      <c r="N16" s="46" t="s">
        <v>6958</v>
      </c>
      <c r="O16" s="46">
        <v>300</v>
      </c>
      <c r="P16" s="47">
        <v>700</v>
      </c>
      <c r="Q16" s="47">
        <v>0</v>
      </c>
      <c r="R16" s="47">
        <v>175</v>
      </c>
      <c r="S16" s="47">
        <v>0.13</v>
      </c>
      <c r="T16" s="47" t="s">
        <v>6961</v>
      </c>
      <c r="U16" s="47">
        <v>91</v>
      </c>
      <c r="V16">
        <f t="shared" si="0"/>
        <v>1502</v>
      </c>
      <c r="W16">
        <f t="shared" si="1"/>
        <v>391.26</v>
      </c>
      <c r="X16">
        <f t="shared" si="2"/>
        <v>0.26049267643142476</v>
      </c>
      <c r="AA16" s="43">
        <v>73234</v>
      </c>
      <c r="AB16">
        <v>0.26049267643142476</v>
      </c>
    </row>
    <row r="17" spans="1:28" x14ac:dyDescent="0.25">
      <c r="A17" s="125"/>
      <c r="B17" s="43" t="s">
        <v>1531</v>
      </c>
      <c r="C17" s="43">
        <v>73250</v>
      </c>
      <c r="D17" s="44">
        <v>5</v>
      </c>
      <c r="E17" s="44">
        <v>0</v>
      </c>
      <c r="F17" s="44">
        <v>1.25</v>
      </c>
      <c r="G17" s="44">
        <v>0.13</v>
      </c>
      <c r="H17" s="44" t="s">
        <v>6961</v>
      </c>
      <c r="I17" s="44">
        <v>0.65</v>
      </c>
      <c r="J17" s="45">
        <v>1500</v>
      </c>
      <c r="K17" s="46">
        <v>750</v>
      </c>
      <c r="L17" s="46">
        <v>1125</v>
      </c>
      <c r="M17" s="46">
        <v>0.625</v>
      </c>
      <c r="N17" s="46" t="s">
        <v>6960</v>
      </c>
      <c r="O17" s="46">
        <v>937.5</v>
      </c>
      <c r="P17" s="47">
        <v>500</v>
      </c>
      <c r="Q17" s="47">
        <v>125</v>
      </c>
      <c r="R17" s="47">
        <v>250</v>
      </c>
      <c r="S17" s="47">
        <v>0.375</v>
      </c>
      <c r="T17" s="47" t="s">
        <v>6958</v>
      </c>
      <c r="U17" s="47">
        <v>187.5</v>
      </c>
      <c r="V17">
        <f t="shared" si="0"/>
        <v>2005</v>
      </c>
      <c r="W17">
        <f t="shared" si="1"/>
        <v>1125.6500000000001</v>
      </c>
      <c r="X17">
        <f t="shared" si="2"/>
        <v>0.5614214463840399</v>
      </c>
      <c r="AA17" s="43">
        <v>73250</v>
      </c>
      <c r="AB17">
        <v>0.5614214463840399</v>
      </c>
    </row>
    <row r="18" spans="1:28" x14ac:dyDescent="0.25">
      <c r="A18" s="125"/>
      <c r="B18" s="43" t="s">
        <v>1533</v>
      </c>
      <c r="C18" s="43">
        <v>73257</v>
      </c>
      <c r="D18" s="44">
        <v>2</v>
      </c>
      <c r="E18" s="44">
        <v>1.5</v>
      </c>
      <c r="F18" s="44">
        <v>2</v>
      </c>
      <c r="G18" s="44">
        <v>0.87</v>
      </c>
      <c r="H18" s="44" t="s">
        <v>6959</v>
      </c>
      <c r="I18" s="44">
        <v>1.74</v>
      </c>
      <c r="J18" s="45">
        <v>40</v>
      </c>
      <c r="K18" s="46">
        <v>0</v>
      </c>
      <c r="L18" s="46">
        <v>10</v>
      </c>
      <c r="M18" s="46">
        <v>0.13</v>
      </c>
      <c r="N18" s="46" t="s">
        <v>6961</v>
      </c>
      <c r="O18" s="46">
        <v>5.2</v>
      </c>
      <c r="P18" s="47">
        <v>50</v>
      </c>
      <c r="Q18" s="47">
        <v>12.5</v>
      </c>
      <c r="R18" s="47">
        <v>25</v>
      </c>
      <c r="S18" s="47">
        <v>0.375</v>
      </c>
      <c r="T18" s="47" t="s">
        <v>6958</v>
      </c>
      <c r="U18" s="47">
        <v>18.75</v>
      </c>
      <c r="V18">
        <f t="shared" si="0"/>
        <v>92</v>
      </c>
      <c r="W18">
        <f t="shared" si="1"/>
        <v>25.689999999999998</v>
      </c>
      <c r="X18">
        <f t="shared" si="2"/>
        <v>0.2792391304347826</v>
      </c>
      <c r="AA18" s="43">
        <v>73257</v>
      </c>
      <c r="AB18">
        <v>0.2792391304347826</v>
      </c>
    </row>
    <row r="19" spans="1:28" x14ac:dyDescent="0.25">
      <c r="A19" s="125"/>
      <c r="B19" s="43" t="s">
        <v>1539</v>
      </c>
      <c r="C19" s="43">
        <v>73288</v>
      </c>
      <c r="D19" s="44">
        <v>1</v>
      </c>
      <c r="E19" s="44">
        <v>0</v>
      </c>
      <c r="F19" s="44">
        <v>0.25</v>
      </c>
      <c r="G19" s="44">
        <v>0.13</v>
      </c>
      <c r="H19" s="44" t="s">
        <v>6961</v>
      </c>
      <c r="I19" s="44">
        <v>0.13</v>
      </c>
      <c r="J19" s="46">
        <v>180</v>
      </c>
      <c r="K19" s="46">
        <v>135</v>
      </c>
      <c r="L19" s="46">
        <v>180</v>
      </c>
      <c r="M19" s="46">
        <v>0.87</v>
      </c>
      <c r="N19" s="46" t="s">
        <v>6959</v>
      </c>
      <c r="O19" s="46">
        <v>156.6</v>
      </c>
      <c r="P19" s="47">
        <v>250</v>
      </c>
      <c r="Q19" s="47">
        <v>62.5</v>
      </c>
      <c r="R19" s="47">
        <v>125</v>
      </c>
      <c r="S19" s="47">
        <v>0.375</v>
      </c>
      <c r="T19" s="47" t="s">
        <v>6958</v>
      </c>
      <c r="U19" s="47">
        <v>93.75</v>
      </c>
      <c r="V19">
        <f t="shared" si="0"/>
        <v>431</v>
      </c>
      <c r="W19">
        <f t="shared" si="1"/>
        <v>250.48</v>
      </c>
      <c r="X19">
        <f t="shared" si="2"/>
        <v>0.58116009280742453</v>
      </c>
      <c r="AA19" s="43">
        <v>73288</v>
      </c>
      <c r="AB19">
        <v>0.58116009280742453</v>
      </c>
    </row>
    <row r="20" spans="1:28" x14ac:dyDescent="0.25">
      <c r="A20" s="125"/>
      <c r="B20" s="43" t="s">
        <v>1530</v>
      </c>
      <c r="C20" s="43">
        <v>73248</v>
      </c>
      <c r="D20" s="44">
        <v>4</v>
      </c>
      <c r="E20" s="44">
        <v>0</v>
      </c>
      <c r="F20" s="44">
        <v>1</v>
      </c>
      <c r="G20" s="44">
        <v>0.13</v>
      </c>
      <c r="H20" s="44" t="s">
        <v>6961</v>
      </c>
      <c r="I20" s="44">
        <v>0.52</v>
      </c>
      <c r="J20" s="46">
        <v>50</v>
      </c>
      <c r="K20" s="46">
        <v>37.5</v>
      </c>
      <c r="L20" s="46">
        <v>50</v>
      </c>
      <c r="M20" s="46">
        <v>0.87</v>
      </c>
      <c r="N20" s="46" t="s">
        <v>6959</v>
      </c>
      <c r="O20" s="46">
        <v>43.5</v>
      </c>
      <c r="P20" s="47">
        <v>40</v>
      </c>
      <c r="Q20" s="47">
        <v>20</v>
      </c>
      <c r="R20" s="47">
        <v>30</v>
      </c>
      <c r="S20" s="47">
        <v>0.625</v>
      </c>
      <c r="T20" s="47" t="s">
        <v>6960</v>
      </c>
      <c r="U20" s="47">
        <v>25</v>
      </c>
      <c r="V20">
        <f t="shared" si="0"/>
        <v>94</v>
      </c>
      <c r="W20">
        <f t="shared" si="1"/>
        <v>69.02</v>
      </c>
      <c r="X20">
        <f t="shared" si="2"/>
        <v>0.73425531914893616</v>
      </c>
      <c r="AA20" s="43">
        <v>73248</v>
      </c>
      <c r="AB20">
        <v>0.73425531914893616</v>
      </c>
    </row>
    <row r="21" spans="1:28" x14ac:dyDescent="0.25">
      <c r="A21" s="125"/>
      <c r="B21" s="43" t="s">
        <v>3026</v>
      </c>
      <c r="C21" s="43">
        <v>73211</v>
      </c>
      <c r="D21" s="44">
        <v>2</v>
      </c>
      <c r="E21" s="44">
        <v>0</v>
      </c>
      <c r="F21" s="44">
        <v>0.5</v>
      </c>
      <c r="G21" s="44">
        <v>0.13</v>
      </c>
      <c r="H21" s="44" t="s">
        <v>6961</v>
      </c>
      <c r="I21" s="44">
        <v>0.26</v>
      </c>
      <c r="J21" s="46">
        <v>200</v>
      </c>
      <c r="K21" s="46">
        <v>100</v>
      </c>
      <c r="L21" s="46">
        <v>150</v>
      </c>
      <c r="M21" s="46">
        <v>0.625</v>
      </c>
      <c r="N21" s="46" t="s">
        <v>6960</v>
      </c>
      <c r="O21" s="46">
        <v>125</v>
      </c>
      <c r="P21" s="47">
        <v>70</v>
      </c>
      <c r="Q21" s="47">
        <v>35</v>
      </c>
      <c r="R21" s="47">
        <v>52.5</v>
      </c>
      <c r="S21" s="47">
        <v>0.625</v>
      </c>
      <c r="T21" s="47" t="s">
        <v>6960</v>
      </c>
      <c r="U21" s="47">
        <v>43.75</v>
      </c>
      <c r="V21">
        <f t="shared" si="0"/>
        <v>272</v>
      </c>
      <c r="W21">
        <f t="shared" si="1"/>
        <v>169.01</v>
      </c>
      <c r="X21">
        <f t="shared" si="2"/>
        <v>0.62136029411764704</v>
      </c>
      <c r="AA21" s="43">
        <v>73211</v>
      </c>
      <c r="AB21">
        <v>0.62136029411764704</v>
      </c>
    </row>
    <row r="22" spans="1:28" x14ac:dyDescent="0.25">
      <c r="A22" s="125"/>
      <c r="B22" s="43" t="s">
        <v>1520</v>
      </c>
      <c r="C22" s="43">
        <v>73183</v>
      </c>
      <c r="D22" s="44">
        <v>20</v>
      </c>
      <c r="E22" s="44">
        <v>5</v>
      </c>
      <c r="F22" s="44">
        <v>10</v>
      </c>
      <c r="G22" s="44">
        <v>0.375</v>
      </c>
      <c r="H22" s="44" t="s">
        <v>6958</v>
      </c>
      <c r="I22" s="44">
        <v>7.5</v>
      </c>
      <c r="J22" s="46">
        <v>50</v>
      </c>
      <c r="K22" s="46">
        <v>12.5</v>
      </c>
      <c r="L22" s="46">
        <v>25</v>
      </c>
      <c r="M22" s="46">
        <v>0.375</v>
      </c>
      <c r="N22" s="46" t="s">
        <v>6958</v>
      </c>
      <c r="O22" s="46">
        <v>18.75</v>
      </c>
      <c r="P22" s="47">
        <v>50</v>
      </c>
      <c r="Q22" s="47">
        <v>12.5</v>
      </c>
      <c r="R22" s="47">
        <v>25</v>
      </c>
      <c r="S22" s="47">
        <v>0.375</v>
      </c>
      <c r="T22" s="47" t="s">
        <v>6958</v>
      </c>
      <c r="U22" s="47">
        <v>18.75</v>
      </c>
      <c r="V22">
        <f t="shared" si="0"/>
        <v>120</v>
      </c>
      <c r="W22">
        <f t="shared" si="1"/>
        <v>45</v>
      </c>
      <c r="X22">
        <f t="shared" si="2"/>
        <v>0.375</v>
      </c>
      <c r="AA22" s="43">
        <v>73183</v>
      </c>
      <c r="AB22">
        <v>0.375</v>
      </c>
    </row>
    <row r="23" spans="1:28" x14ac:dyDescent="0.25">
      <c r="A23" s="125"/>
      <c r="B23" s="43" t="s">
        <v>1513</v>
      </c>
      <c r="C23" s="43">
        <v>73143</v>
      </c>
      <c r="D23" s="44">
        <v>40</v>
      </c>
      <c r="E23" s="44">
        <v>10</v>
      </c>
      <c r="F23" s="44">
        <v>20</v>
      </c>
      <c r="G23" s="44">
        <v>0.375</v>
      </c>
      <c r="H23" s="44" t="s">
        <v>6958</v>
      </c>
      <c r="I23" s="44">
        <v>15</v>
      </c>
      <c r="J23" s="46">
        <v>60</v>
      </c>
      <c r="K23" s="46">
        <v>15</v>
      </c>
      <c r="L23" s="46">
        <v>30</v>
      </c>
      <c r="M23" s="46">
        <v>0.375</v>
      </c>
      <c r="N23" s="46" t="s">
        <v>6958</v>
      </c>
      <c r="O23" s="46">
        <v>22.5</v>
      </c>
      <c r="P23" s="47">
        <v>20</v>
      </c>
      <c r="Q23" s="47">
        <v>5</v>
      </c>
      <c r="R23" s="47">
        <v>10</v>
      </c>
      <c r="S23" s="47">
        <v>0.375</v>
      </c>
      <c r="T23" s="47" t="s">
        <v>6958</v>
      </c>
      <c r="U23" s="47">
        <v>7.5</v>
      </c>
      <c r="V23">
        <f t="shared" si="0"/>
        <v>120</v>
      </c>
      <c r="W23">
        <f t="shared" si="1"/>
        <v>45</v>
      </c>
      <c r="X23">
        <f t="shared" si="2"/>
        <v>0.375</v>
      </c>
      <c r="AA23" s="43">
        <v>73143</v>
      </c>
      <c r="AB23">
        <v>0.375</v>
      </c>
    </row>
    <row r="24" spans="1:28" x14ac:dyDescent="0.25">
      <c r="A24" s="125"/>
      <c r="B24" s="43" t="s">
        <v>1514</v>
      </c>
      <c r="C24" s="43">
        <v>73146</v>
      </c>
      <c r="D24" s="44">
        <v>10</v>
      </c>
      <c r="E24" s="44">
        <v>0</v>
      </c>
      <c r="F24" s="44">
        <v>2.5</v>
      </c>
      <c r="G24" s="44">
        <v>0.13</v>
      </c>
      <c r="H24" s="44" t="s">
        <v>6961</v>
      </c>
      <c r="I24" s="44">
        <v>1.3</v>
      </c>
      <c r="J24" s="46">
        <v>300</v>
      </c>
      <c r="K24" s="46">
        <v>150</v>
      </c>
      <c r="L24" s="46">
        <v>225</v>
      </c>
      <c r="M24" s="46">
        <v>0.625</v>
      </c>
      <c r="N24" s="46" t="s">
        <v>6960</v>
      </c>
      <c r="O24" s="46">
        <v>187.5</v>
      </c>
      <c r="P24" s="47">
        <v>100</v>
      </c>
      <c r="Q24" s="47">
        <v>25</v>
      </c>
      <c r="R24" s="47">
        <v>50</v>
      </c>
      <c r="S24" s="47">
        <v>0.375</v>
      </c>
      <c r="T24" s="47" t="s">
        <v>6958</v>
      </c>
      <c r="U24" s="47">
        <v>37.5</v>
      </c>
      <c r="V24">
        <f t="shared" si="0"/>
        <v>410</v>
      </c>
      <c r="W24">
        <f t="shared" si="1"/>
        <v>226.3</v>
      </c>
      <c r="X24">
        <f t="shared" si="2"/>
        <v>0.55195121951219517</v>
      </c>
      <c r="AA24" s="43">
        <v>73146</v>
      </c>
      <c r="AB24">
        <v>0.55195121951219517</v>
      </c>
    </row>
    <row r="25" spans="1:28" x14ac:dyDescent="0.25">
      <c r="A25" s="125"/>
      <c r="B25" s="43" t="s">
        <v>1519</v>
      </c>
      <c r="C25" s="43">
        <v>73175</v>
      </c>
      <c r="D25" s="44">
        <v>0.5</v>
      </c>
      <c r="E25" s="44">
        <v>0.25</v>
      </c>
      <c r="F25" s="44">
        <v>0.375</v>
      </c>
      <c r="G25" s="44">
        <v>0.625</v>
      </c>
      <c r="H25" s="44" t="s">
        <v>6960</v>
      </c>
      <c r="I25" s="44">
        <v>0.3125</v>
      </c>
      <c r="J25" s="46">
        <v>100</v>
      </c>
      <c r="K25" s="46">
        <v>75</v>
      </c>
      <c r="L25" s="46">
        <v>100</v>
      </c>
      <c r="M25" s="46">
        <v>0.87</v>
      </c>
      <c r="N25" s="46" t="s">
        <v>6959</v>
      </c>
      <c r="O25" s="46">
        <v>87</v>
      </c>
      <c r="P25" s="47">
        <v>880</v>
      </c>
      <c r="Q25" s="47">
        <v>660</v>
      </c>
      <c r="R25" s="47">
        <v>880</v>
      </c>
      <c r="S25" s="47">
        <v>0.87</v>
      </c>
      <c r="T25" s="47" t="s">
        <v>6959</v>
      </c>
      <c r="U25" s="47">
        <v>765.6</v>
      </c>
      <c r="V25">
        <f t="shared" si="0"/>
        <v>980.5</v>
      </c>
      <c r="W25">
        <f t="shared" si="1"/>
        <v>852.91250000000002</v>
      </c>
      <c r="X25">
        <f t="shared" si="2"/>
        <v>0.86987506374298829</v>
      </c>
      <c r="AA25" s="43">
        <v>73175</v>
      </c>
      <c r="AB25">
        <v>0.86987506374298829</v>
      </c>
    </row>
    <row r="26" spans="1:28" x14ac:dyDescent="0.25">
      <c r="A26" s="125"/>
      <c r="B26" s="43" t="s">
        <v>1510</v>
      </c>
      <c r="C26" s="43">
        <v>73119</v>
      </c>
      <c r="D26" s="44">
        <v>20</v>
      </c>
      <c r="E26" s="44">
        <v>0</v>
      </c>
      <c r="F26" s="44">
        <v>5</v>
      </c>
      <c r="G26" s="44">
        <v>0.13</v>
      </c>
      <c r="H26" s="44" t="s">
        <v>6961</v>
      </c>
      <c r="I26" s="44">
        <v>2.6</v>
      </c>
      <c r="J26" s="46">
        <v>40</v>
      </c>
      <c r="K26" s="46">
        <v>10</v>
      </c>
      <c r="L26" s="46">
        <v>20</v>
      </c>
      <c r="M26" s="46">
        <v>0.375</v>
      </c>
      <c r="N26" s="46" t="s">
        <v>6958</v>
      </c>
      <c r="O26" s="46">
        <v>15</v>
      </c>
      <c r="P26" s="47">
        <v>50</v>
      </c>
      <c r="Q26" s="47">
        <v>12.5</v>
      </c>
      <c r="R26" s="47">
        <v>25</v>
      </c>
      <c r="S26" s="47">
        <v>0.375</v>
      </c>
      <c r="T26" s="47" t="s">
        <v>6958</v>
      </c>
      <c r="U26" s="47">
        <v>18.75</v>
      </c>
      <c r="V26">
        <f t="shared" si="0"/>
        <v>110</v>
      </c>
      <c r="W26">
        <f t="shared" si="1"/>
        <v>36.35</v>
      </c>
      <c r="X26">
        <f t="shared" si="2"/>
        <v>0.33045454545454545</v>
      </c>
      <c r="AA26" s="43">
        <v>73119</v>
      </c>
      <c r="AB26">
        <v>0.33045454545454545</v>
      </c>
    </row>
    <row r="27" spans="1:28" x14ac:dyDescent="0.25">
      <c r="A27" s="125"/>
      <c r="B27" s="43" t="s">
        <v>1508</v>
      </c>
      <c r="C27" s="43">
        <v>73111</v>
      </c>
      <c r="D27" s="44">
        <v>1.55</v>
      </c>
      <c r="E27" s="44">
        <v>1.1625000000000001</v>
      </c>
      <c r="F27" s="44">
        <v>1.55</v>
      </c>
      <c r="G27" s="44">
        <v>0.87</v>
      </c>
      <c r="H27" s="44" t="s">
        <v>6959</v>
      </c>
      <c r="I27" s="44">
        <v>1.3485</v>
      </c>
      <c r="J27" s="46">
        <v>20</v>
      </c>
      <c r="K27" s="46">
        <v>5</v>
      </c>
      <c r="L27" s="46">
        <v>10</v>
      </c>
      <c r="M27" s="46">
        <v>0.375</v>
      </c>
      <c r="N27" s="46" t="s">
        <v>6958</v>
      </c>
      <c r="O27" s="46">
        <v>7.5</v>
      </c>
      <c r="P27" s="47">
        <v>50</v>
      </c>
      <c r="Q27" s="47">
        <v>12.5</v>
      </c>
      <c r="R27" s="47">
        <v>25</v>
      </c>
      <c r="S27" s="47">
        <v>0.375</v>
      </c>
      <c r="T27" s="47" t="s">
        <v>6958</v>
      </c>
      <c r="U27" s="47">
        <v>18.75</v>
      </c>
      <c r="V27">
        <f t="shared" si="0"/>
        <v>71.55</v>
      </c>
      <c r="W27">
        <f t="shared" si="1"/>
        <v>27.598500000000001</v>
      </c>
      <c r="X27">
        <f t="shared" si="2"/>
        <v>0.38572327044025162</v>
      </c>
      <c r="AA27" s="43">
        <v>73111</v>
      </c>
      <c r="AB27">
        <v>0.38572327044025162</v>
      </c>
    </row>
    <row r="28" spans="1:28" x14ac:dyDescent="0.25">
      <c r="A28" s="125"/>
      <c r="B28" s="43" t="s">
        <v>1517</v>
      </c>
      <c r="C28" s="43">
        <v>73162</v>
      </c>
      <c r="D28" s="44">
        <v>50</v>
      </c>
      <c r="E28" s="44">
        <v>12.5</v>
      </c>
      <c r="F28" s="44">
        <v>25</v>
      </c>
      <c r="G28" s="44">
        <v>0.375</v>
      </c>
      <c r="H28" s="44" t="s">
        <v>6958</v>
      </c>
      <c r="I28" s="44">
        <v>18.75</v>
      </c>
      <c r="J28" s="46">
        <v>200</v>
      </c>
      <c r="K28" s="46">
        <v>50</v>
      </c>
      <c r="L28" s="46">
        <v>100</v>
      </c>
      <c r="M28" s="46">
        <v>0.375</v>
      </c>
      <c r="N28" s="46" t="s">
        <v>6958</v>
      </c>
      <c r="O28" s="46">
        <v>75</v>
      </c>
      <c r="P28" s="47">
        <v>100</v>
      </c>
      <c r="Q28" s="47">
        <v>25</v>
      </c>
      <c r="R28" s="47">
        <v>50</v>
      </c>
      <c r="S28" s="47">
        <v>0.375</v>
      </c>
      <c r="T28" s="47" t="s">
        <v>6958</v>
      </c>
      <c r="U28" s="47">
        <v>37.5</v>
      </c>
      <c r="V28">
        <f t="shared" si="0"/>
        <v>350</v>
      </c>
      <c r="W28">
        <f t="shared" si="1"/>
        <v>131.25</v>
      </c>
      <c r="X28">
        <f t="shared" si="2"/>
        <v>0.375</v>
      </c>
      <c r="AA28" s="43">
        <v>73162</v>
      </c>
      <c r="AB28">
        <v>0.375</v>
      </c>
    </row>
    <row r="29" spans="1:28" x14ac:dyDescent="0.25">
      <c r="A29" s="125"/>
      <c r="B29" s="43" t="s">
        <v>1524</v>
      </c>
      <c r="C29" s="43">
        <v>73228</v>
      </c>
      <c r="D29" s="44">
        <v>30</v>
      </c>
      <c r="E29" s="44">
        <v>7.5</v>
      </c>
      <c r="F29" s="44">
        <v>15</v>
      </c>
      <c r="G29" s="44">
        <v>0.375</v>
      </c>
      <c r="H29" s="44" t="s">
        <v>6958</v>
      </c>
      <c r="I29" s="44">
        <v>11.25</v>
      </c>
      <c r="J29" s="46">
        <v>200</v>
      </c>
      <c r="K29" s="46">
        <v>100</v>
      </c>
      <c r="L29" s="46">
        <v>150</v>
      </c>
      <c r="M29" s="46">
        <v>0.625</v>
      </c>
      <c r="N29" s="46" t="s">
        <v>6960</v>
      </c>
      <c r="O29" s="46">
        <v>125</v>
      </c>
      <c r="P29" s="47">
        <v>150</v>
      </c>
      <c r="Q29" s="47">
        <v>75</v>
      </c>
      <c r="R29" s="47">
        <v>112.5</v>
      </c>
      <c r="S29" s="47">
        <v>0.625</v>
      </c>
      <c r="T29" s="47" t="s">
        <v>6960</v>
      </c>
      <c r="U29" s="47">
        <v>93.75</v>
      </c>
      <c r="V29">
        <f t="shared" si="0"/>
        <v>380</v>
      </c>
      <c r="W29">
        <f t="shared" si="1"/>
        <v>230</v>
      </c>
      <c r="X29">
        <f t="shared" si="2"/>
        <v>0.60526315789473684</v>
      </c>
      <c r="AA29" s="43">
        <v>73228</v>
      </c>
      <c r="AB29">
        <v>0.60526315789473684</v>
      </c>
    </row>
    <row r="30" spans="1:28" x14ac:dyDescent="0.25">
      <c r="A30" s="125"/>
      <c r="B30" s="43" t="s">
        <v>1509</v>
      </c>
      <c r="C30" s="43">
        <v>73116</v>
      </c>
      <c r="D30" s="44">
        <v>1000</v>
      </c>
      <c r="E30" s="44">
        <v>0</v>
      </c>
      <c r="F30" s="44">
        <v>250</v>
      </c>
      <c r="G30" s="44">
        <v>0.13</v>
      </c>
      <c r="H30" s="44" t="s">
        <v>6961</v>
      </c>
      <c r="I30" s="44">
        <v>130</v>
      </c>
      <c r="J30" s="46">
        <v>100</v>
      </c>
      <c r="K30" s="46">
        <v>0</v>
      </c>
      <c r="L30" s="46">
        <v>0</v>
      </c>
      <c r="M30" s="46">
        <v>0</v>
      </c>
      <c r="N30" s="46">
        <v>0</v>
      </c>
      <c r="O30" s="46">
        <v>0</v>
      </c>
      <c r="P30" s="47">
        <v>100</v>
      </c>
      <c r="Q30" s="47">
        <v>0</v>
      </c>
      <c r="R30" s="47">
        <v>25</v>
      </c>
      <c r="S30" s="47">
        <v>0.13</v>
      </c>
      <c r="T30" s="47" t="s">
        <v>6961</v>
      </c>
      <c r="U30" s="47">
        <v>13</v>
      </c>
      <c r="V30">
        <f t="shared" si="0"/>
        <v>1200</v>
      </c>
      <c r="W30">
        <f t="shared" si="1"/>
        <v>143</v>
      </c>
      <c r="X30">
        <f t="shared" si="2"/>
        <v>0.11916666666666667</v>
      </c>
      <c r="AA30" s="43">
        <v>73116</v>
      </c>
      <c r="AB30">
        <v>0.11916666666666667</v>
      </c>
    </row>
    <row r="31" spans="1:28" x14ac:dyDescent="0.25">
      <c r="A31" s="125"/>
      <c r="B31" s="43" t="s">
        <v>1516</v>
      </c>
      <c r="C31" s="43">
        <v>73159</v>
      </c>
      <c r="D31" s="44">
        <v>10</v>
      </c>
      <c r="E31" s="44">
        <v>0</v>
      </c>
      <c r="F31" s="44">
        <v>2.5</v>
      </c>
      <c r="G31" s="44">
        <v>0.13</v>
      </c>
      <c r="H31" s="44" t="s">
        <v>6961</v>
      </c>
      <c r="I31" s="44">
        <v>1.3</v>
      </c>
      <c r="J31" s="46">
        <v>500</v>
      </c>
      <c r="K31" s="46">
        <v>125</v>
      </c>
      <c r="L31" s="46">
        <v>250</v>
      </c>
      <c r="M31" s="46">
        <v>0.375</v>
      </c>
      <c r="N31" s="46" t="s">
        <v>6958</v>
      </c>
      <c r="O31" s="46">
        <v>187.5</v>
      </c>
      <c r="P31" s="47">
        <v>400</v>
      </c>
      <c r="Q31" s="47">
        <v>100</v>
      </c>
      <c r="R31" s="47">
        <v>200</v>
      </c>
      <c r="S31" s="47">
        <v>0.375</v>
      </c>
      <c r="T31" s="47" t="s">
        <v>6958</v>
      </c>
      <c r="U31" s="47">
        <v>150</v>
      </c>
      <c r="V31">
        <f t="shared" si="0"/>
        <v>910</v>
      </c>
      <c r="W31">
        <f t="shared" si="1"/>
        <v>338.8</v>
      </c>
      <c r="X31">
        <f t="shared" si="2"/>
        <v>0.37230769230769234</v>
      </c>
      <c r="AA31" s="43">
        <v>73159</v>
      </c>
      <c r="AB31">
        <v>0.37230769230769234</v>
      </c>
    </row>
    <row r="32" spans="1:28" x14ac:dyDescent="0.25">
      <c r="A32" s="125"/>
      <c r="B32" s="43" t="s">
        <v>1521</v>
      </c>
      <c r="C32" s="43">
        <v>73191</v>
      </c>
      <c r="D32" s="44">
        <v>0</v>
      </c>
      <c r="E32" s="44">
        <v>0</v>
      </c>
      <c r="F32" s="44">
        <v>0</v>
      </c>
      <c r="G32" s="44">
        <v>0</v>
      </c>
      <c r="H32" s="44">
        <v>0</v>
      </c>
      <c r="I32" s="44">
        <v>0</v>
      </c>
      <c r="J32" s="46">
        <v>500</v>
      </c>
      <c r="K32" s="46">
        <v>375</v>
      </c>
      <c r="L32" s="46">
        <v>500</v>
      </c>
      <c r="M32" s="46">
        <v>0.87</v>
      </c>
      <c r="N32" s="46" t="s">
        <v>6959</v>
      </c>
      <c r="O32" s="46">
        <v>435</v>
      </c>
      <c r="P32" s="47">
        <v>700</v>
      </c>
      <c r="Q32" s="47">
        <v>350</v>
      </c>
      <c r="R32" s="47">
        <v>525</v>
      </c>
      <c r="S32" s="47">
        <v>0.625</v>
      </c>
      <c r="T32" s="47" t="s">
        <v>6960</v>
      </c>
      <c r="U32" s="47">
        <v>437.5</v>
      </c>
      <c r="V32">
        <f t="shared" si="0"/>
        <v>1200</v>
      </c>
      <c r="W32">
        <f t="shared" si="1"/>
        <v>872.5</v>
      </c>
      <c r="X32">
        <f t="shared" si="2"/>
        <v>0.7270833333333333</v>
      </c>
      <c r="AA32" s="43">
        <v>73191</v>
      </c>
      <c r="AB32">
        <v>0.7270833333333333</v>
      </c>
    </row>
    <row r="33" spans="1:28" x14ac:dyDescent="0.25">
      <c r="A33" s="125"/>
      <c r="B33" s="43" t="s">
        <v>1512</v>
      </c>
      <c r="C33" s="43">
        <v>73135</v>
      </c>
      <c r="D33" s="44">
        <v>200</v>
      </c>
      <c r="E33" s="44">
        <v>0</v>
      </c>
      <c r="F33" s="44">
        <v>50</v>
      </c>
      <c r="G33" s="44">
        <v>0.13</v>
      </c>
      <c r="H33" s="44" t="s">
        <v>6961</v>
      </c>
      <c r="I33" s="44">
        <v>26</v>
      </c>
      <c r="J33" s="46">
        <v>200</v>
      </c>
      <c r="K33" s="46">
        <v>100</v>
      </c>
      <c r="L33" s="46">
        <v>150</v>
      </c>
      <c r="M33" s="46">
        <v>0.625</v>
      </c>
      <c r="N33" s="46" t="s">
        <v>6960</v>
      </c>
      <c r="O33" s="46">
        <v>125</v>
      </c>
      <c r="P33" s="47">
        <v>400</v>
      </c>
      <c r="Q33" s="47">
        <v>0</v>
      </c>
      <c r="R33" s="47">
        <v>100</v>
      </c>
      <c r="S33" s="47">
        <v>0.13</v>
      </c>
      <c r="T33" s="47" t="s">
        <v>6961</v>
      </c>
      <c r="U33" s="47">
        <v>52</v>
      </c>
      <c r="V33">
        <f t="shared" si="0"/>
        <v>800</v>
      </c>
      <c r="W33">
        <f t="shared" si="1"/>
        <v>203</v>
      </c>
      <c r="X33">
        <f t="shared" si="2"/>
        <v>0.25374999999999998</v>
      </c>
      <c r="AA33" s="43">
        <v>73135</v>
      </c>
      <c r="AB33">
        <v>0.25374999999999998</v>
      </c>
    </row>
    <row r="34" spans="1:28" x14ac:dyDescent="0.25">
      <c r="A34" s="125"/>
      <c r="B34" s="43" t="s">
        <v>1518</v>
      </c>
      <c r="C34" s="43">
        <v>73167</v>
      </c>
      <c r="D34" s="44">
        <v>1.5</v>
      </c>
      <c r="E34" s="44">
        <v>0.375</v>
      </c>
      <c r="F34" s="44">
        <v>0.75</v>
      </c>
      <c r="G34" s="44">
        <v>0.375</v>
      </c>
      <c r="H34" s="44" t="s">
        <v>6958</v>
      </c>
      <c r="I34" s="44">
        <v>0.5625</v>
      </c>
      <c r="J34" s="46">
        <v>1</v>
      </c>
      <c r="K34" s="46">
        <v>0.5</v>
      </c>
      <c r="L34" s="46">
        <v>0.75</v>
      </c>
      <c r="M34" s="46">
        <v>0.625</v>
      </c>
      <c r="N34" s="46" t="s">
        <v>6960</v>
      </c>
      <c r="O34" s="46">
        <v>0.625</v>
      </c>
      <c r="P34" s="47">
        <v>6</v>
      </c>
      <c r="Q34" s="47">
        <v>1.5</v>
      </c>
      <c r="R34" s="47">
        <v>3</v>
      </c>
      <c r="S34" s="47">
        <v>0.375</v>
      </c>
      <c r="T34" s="47" t="s">
        <v>6958</v>
      </c>
      <c r="U34" s="47">
        <v>2.25</v>
      </c>
      <c r="V34">
        <f t="shared" si="0"/>
        <v>8.5</v>
      </c>
      <c r="W34">
        <f t="shared" si="1"/>
        <v>3.4375</v>
      </c>
      <c r="X34">
        <f t="shared" si="2"/>
        <v>0.40441176470588236</v>
      </c>
      <c r="AA34" s="43">
        <v>73167</v>
      </c>
      <c r="AB34">
        <v>0.40441176470588236</v>
      </c>
    </row>
    <row r="35" spans="1:28" x14ac:dyDescent="0.25">
      <c r="A35" s="125"/>
      <c r="B35" s="43" t="s">
        <v>1525</v>
      </c>
      <c r="C35" s="43">
        <v>73230</v>
      </c>
      <c r="D35" s="44">
        <v>400</v>
      </c>
      <c r="E35" s="44">
        <v>100</v>
      </c>
      <c r="F35" s="44">
        <v>200</v>
      </c>
      <c r="G35" s="44">
        <v>0.375</v>
      </c>
      <c r="H35" s="44" t="s">
        <v>6958</v>
      </c>
      <c r="I35" s="44">
        <v>150</v>
      </c>
      <c r="J35" s="46">
        <v>150</v>
      </c>
      <c r="K35" s="46">
        <v>112.5</v>
      </c>
      <c r="L35" s="46">
        <v>150</v>
      </c>
      <c r="M35" s="46">
        <v>0.87</v>
      </c>
      <c r="N35" s="46" t="s">
        <v>6959</v>
      </c>
      <c r="O35" s="46">
        <v>130.5</v>
      </c>
      <c r="P35" s="47">
        <v>30</v>
      </c>
      <c r="Q35" s="47">
        <v>7.5</v>
      </c>
      <c r="R35" s="47">
        <v>15</v>
      </c>
      <c r="S35" s="47">
        <v>0.375</v>
      </c>
      <c r="T35" s="47" t="s">
        <v>6958</v>
      </c>
      <c r="U35" s="47">
        <v>11.25</v>
      </c>
      <c r="V35">
        <f t="shared" si="0"/>
        <v>580</v>
      </c>
      <c r="W35">
        <f t="shared" si="1"/>
        <v>291.75</v>
      </c>
      <c r="X35">
        <f t="shared" si="2"/>
        <v>0.50301724137931036</v>
      </c>
      <c r="AA35" s="43">
        <v>73230</v>
      </c>
      <c r="AB35">
        <v>0.50301724137931036</v>
      </c>
    </row>
    <row r="36" spans="1:28" x14ac:dyDescent="0.25">
      <c r="A36" s="125"/>
      <c r="B36" s="43" t="s">
        <v>1511</v>
      </c>
      <c r="C36" s="43">
        <v>73127</v>
      </c>
      <c r="D36" s="44">
        <v>5</v>
      </c>
      <c r="E36" s="44">
        <v>1.25</v>
      </c>
      <c r="F36" s="44">
        <v>2.5</v>
      </c>
      <c r="G36" s="44">
        <v>0.375</v>
      </c>
      <c r="H36" s="44" t="s">
        <v>6958</v>
      </c>
      <c r="I36" s="44">
        <v>1.875</v>
      </c>
      <c r="J36" s="46">
        <v>10</v>
      </c>
      <c r="K36" s="46">
        <v>2.5</v>
      </c>
      <c r="L36" s="46">
        <v>5</v>
      </c>
      <c r="M36" s="46">
        <v>0.375</v>
      </c>
      <c r="N36" s="46" t="s">
        <v>6958</v>
      </c>
      <c r="O36" s="46">
        <v>3.75</v>
      </c>
      <c r="P36" s="47">
        <v>20</v>
      </c>
      <c r="Q36" s="47">
        <v>10</v>
      </c>
      <c r="R36" s="47">
        <v>15</v>
      </c>
      <c r="S36" s="47">
        <v>0.625</v>
      </c>
      <c r="T36" s="47" t="s">
        <v>6960</v>
      </c>
      <c r="U36" s="47">
        <v>12.5</v>
      </c>
      <c r="V36">
        <f t="shared" si="0"/>
        <v>35</v>
      </c>
      <c r="W36">
        <f t="shared" si="1"/>
        <v>18.125</v>
      </c>
      <c r="X36">
        <f t="shared" si="2"/>
        <v>0.5178571428571429</v>
      </c>
      <c r="AA36" s="43">
        <v>73127</v>
      </c>
      <c r="AB36">
        <v>0.5178571428571429</v>
      </c>
    </row>
    <row r="37" spans="1:28" x14ac:dyDescent="0.25">
      <c r="A37" s="125"/>
      <c r="B37" s="43" t="s">
        <v>1515</v>
      </c>
      <c r="C37" s="43">
        <v>73151</v>
      </c>
      <c r="D37" s="44">
        <v>3</v>
      </c>
      <c r="E37" s="44">
        <v>0.75</v>
      </c>
      <c r="F37" s="44">
        <v>1.5</v>
      </c>
      <c r="G37" s="44">
        <v>0.375</v>
      </c>
      <c r="H37" s="44" t="s">
        <v>6958</v>
      </c>
      <c r="I37" s="44">
        <v>1.125</v>
      </c>
      <c r="J37" s="46">
        <v>5</v>
      </c>
      <c r="K37" s="46">
        <v>3.75</v>
      </c>
      <c r="L37" s="46">
        <v>5</v>
      </c>
      <c r="M37" s="46">
        <v>0.87</v>
      </c>
      <c r="N37" s="46" t="s">
        <v>6959</v>
      </c>
      <c r="O37" s="46">
        <v>4.3499999999999996</v>
      </c>
      <c r="P37" s="47">
        <v>7</v>
      </c>
      <c r="Q37" s="47">
        <v>3.5</v>
      </c>
      <c r="R37" s="47">
        <v>5.25</v>
      </c>
      <c r="S37" s="47">
        <v>0.625</v>
      </c>
      <c r="T37" s="47" t="s">
        <v>6960</v>
      </c>
      <c r="U37" s="47">
        <v>4.375</v>
      </c>
      <c r="V37">
        <f t="shared" si="0"/>
        <v>15</v>
      </c>
      <c r="W37">
        <f t="shared" si="1"/>
        <v>9.85</v>
      </c>
      <c r="X37">
        <f t="shared" si="2"/>
        <v>0.65666666666666662</v>
      </c>
      <c r="AA37" s="43">
        <v>73151</v>
      </c>
      <c r="AB37">
        <v>0.65666666666666662</v>
      </c>
    </row>
    <row r="38" spans="1:28" x14ac:dyDescent="0.25">
      <c r="A38" s="125"/>
      <c r="B38" s="43" t="s">
        <v>1528</v>
      </c>
      <c r="C38" s="43">
        <v>73244</v>
      </c>
      <c r="D38" s="44">
        <v>300</v>
      </c>
      <c r="E38" s="44">
        <v>0</v>
      </c>
      <c r="F38" s="44">
        <v>75</v>
      </c>
      <c r="G38" s="44">
        <v>0.13</v>
      </c>
      <c r="H38" s="44" t="s">
        <v>6961</v>
      </c>
      <c r="I38" s="44">
        <v>39</v>
      </c>
      <c r="J38" s="46">
        <v>200</v>
      </c>
      <c r="K38" s="46">
        <v>150</v>
      </c>
      <c r="L38" s="46">
        <v>200</v>
      </c>
      <c r="M38" s="46">
        <v>0.87</v>
      </c>
      <c r="N38" s="46" t="s">
        <v>6959</v>
      </c>
      <c r="O38" s="46">
        <v>174</v>
      </c>
      <c r="P38" s="47">
        <v>100</v>
      </c>
      <c r="Q38" s="47">
        <v>50</v>
      </c>
      <c r="R38" s="47">
        <v>75</v>
      </c>
      <c r="S38" s="47">
        <v>0.625</v>
      </c>
      <c r="T38" s="47" t="s">
        <v>6960</v>
      </c>
      <c r="U38" s="47">
        <v>62.5</v>
      </c>
      <c r="V38">
        <f t="shared" si="0"/>
        <v>600</v>
      </c>
      <c r="W38">
        <f t="shared" si="1"/>
        <v>275.5</v>
      </c>
      <c r="X38">
        <f t="shared" si="2"/>
        <v>0.45916666666666667</v>
      </c>
      <c r="AA38" s="43">
        <v>73244</v>
      </c>
      <c r="AB38">
        <v>0.45916666666666667</v>
      </c>
    </row>
    <row r="39" spans="1:28" ht="30" x14ac:dyDescent="0.25">
      <c r="A39" s="137" t="s">
        <v>2784</v>
      </c>
      <c r="B39" s="48" t="s">
        <v>1557</v>
      </c>
      <c r="C39" s="48">
        <v>74160</v>
      </c>
      <c r="D39" s="49">
        <v>1000</v>
      </c>
      <c r="E39" s="49">
        <v>0</v>
      </c>
      <c r="F39" s="49">
        <v>250</v>
      </c>
      <c r="G39" s="49">
        <v>0.13</v>
      </c>
      <c r="H39" s="49" t="s">
        <v>6961</v>
      </c>
      <c r="I39" s="50">
        <v>130</v>
      </c>
      <c r="J39" s="51">
        <v>4001</v>
      </c>
      <c r="K39" s="51">
        <v>0</v>
      </c>
      <c r="L39" s="51">
        <v>1000.25</v>
      </c>
      <c r="M39" s="51">
        <v>0.13</v>
      </c>
      <c r="N39" s="52" t="s">
        <v>6961</v>
      </c>
      <c r="O39" s="52">
        <v>520.13</v>
      </c>
      <c r="P39" s="53">
        <v>1000</v>
      </c>
      <c r="Q39" s="53">
        <v>0</v>
      </c>
      <c r="R39" s="53">
        <v>250</v>
      </c>
      <c r="S39" s="53">
        <v>0.13</v>
      </c>
      <c r="T39" s="54" t="s">
        <v>6961</v>
      </c>
      <c r="U39" s="54">
        <v>130</v>
      </c>
      <c r="V39">
        <f t="shared" si="0"/>
        <v>6001</v>
      </c>
      <c r="W39">
        <f t="shared" si="1"/>
        <v>780.13</v>
      </c>
      <c r="X39">
        <f t="shared" si="2"/>
        <v>0.13</v>
      </c>
      <c r="AA39" s="48">
        <v>74160</v>
      </c>
      <c r="AB39">
        <v>0.13</v>
      </c>
    </row>
    <row r="40" spans="1:28" x14ac:dyDescent="0.25">
      <c r="A40" s="125"/>
      <c r="B40" s="48" t="s">
        <v>1541</v>
      </c>
      <c r="C40" s="48">
        <v>74111</v>
      </c>
      <c r="D40" s="49">
        <v>75</v>
      </c>
      <c r="E40" s="49">
        <v>0</v>
      </c>
      <c r="F40" s="49">
        <v>18.75</v>
      </c>
      <c r="G40" s="49">
        <v>0.13</v>
      </c>
      <c r="H40" s="49" t="s">
        <v>6961</v>
      </c>
      <c r="I40" s="50">
        <v>9.75</v>
      </c>
      <c r="J40" s="51">
        <v>100</v>
      </c>
      <c r="K40" s="51">
        <v>0</v>
      </c>
      <c r="L40" s="51">
        <v>25</v>
      </c>
      <c r="M40" s="51">
        <v>0.13</v>
      </c>
      <c r="N40" s="52" t="s">
        <v>6961</v>
      </c>
      <c r="O40" s="52">
        <v>13</v>
      </c>
      <c r="P40" s="53">
        <v>700</v>
      </c>
      <c r="Q40" s="53">
        <v>0</v>
      </c>
      <c r="R40" s="53">
        <v>175</v>
      </c>
      <c r="S40" s="53">
        <v>0.13</v>
      </c>
      <c r="T40" s="54" t="s">
        <v>6961</v>
      </c>
      <c r="U40" s="54">
        <v>91</v>
      </c>
      <c r="V40">
        <f t="shared" si="0"/>
        <v>875</v>
      </c>
      <c r="W40">
        <f t="shared" si="1"/>
        <v>113.75</v>
      </c>
      <c r="X40">
        <f t="shared" si="2"/>
        <v>0.13</v>
      </c>
      <c r="AA40" s="48">
        <v>74111</v>
      </c>
      <c r="AB40">
        <v>0.13</v>
      </c>
    </row>
    <row r="41" spans="1:28" ht="45" x14ac:dyDescent="0.25">
      <c r="A41" s="125"/>
      <c r="B41" s="48" t="s">
        <v>3029</v>
      </c>
      <c r="C41" s="48">
        <v>74177</v>
      </c>
      <c r="D41" s="49">
        <v>20</v>
      </c>
      <c r="E41" s="49">
        <v>15</v>
      </c>
      <c r="F41" s="49">
        <v>20</v>
      </c>
      <c r="G41" s="49">
        <v>0.87</v>
      </c>
      <c r="H41" s="49" t="s">
        <v>6959</v>
      </c>
      <c r="I41" s="50">
        <v>17.399999999999999</v>
      </c>
      <c r="J41" s="51">
        <v>120</v>
      </c>
      <c r="K41" s="51">
        <v>90</v>
      </c>
      <c r="L41" s="51">
        <v>120</v>
      </c>
      <c r="M41" s="51">
        <v>0.87</v>
      </c>
      <c r="N41" s="52" t="s">
        <v>6959</v>
      </c>
      <c r="O41" s="52">
        <v>104.4</v>
      </c>
      <c r="P41" s="53">
        <v>30</v>
      </c>
      <c r="Q41" s="53">
        <v>7.5</v>
      </c>
      <c r="R41" s="53">
        <v>15</v>
      </c>
      <c r="S41" s="53">
        <v>0.375</v>
      </c>
      <c r="T41" s="54" t="s">
        <v>6958</v>
      </c>
      <c r="U41" s="54">
        <v>11.25</v>
      </c>
      <c r="V41">
        <f t="shared" si="0"/>
        <v>170</v>
      </c>
      <c r="W41">
        <f t="shared" si="1"/>
        <v>133.05000000000001</v>
      </c>
      <c r="X41">
        <f t="shared" si="2"/>
        <v>0.78264705882352947</v>
      </c>
      <c r="AA41" s="48">
        <v>74177</v>
      </c>
      <c r="AB41">
        <v>0.78264705882352947</v>
      </c>
    </row>
    <row r="42" spans="1:28" ht="30" x14ac:dyDescent="0.25">
      <c r="A42" s="125"/>
      <c r="B42" s="48" t="s">
        <v>1562</v>
      </c>
      <c r="C42" s="48">
        <v>74181</v>
      </c>
      <c r="D42" s="49">
        <v>25</v>
      </c>
      <c r="E42" s="49">
        <v>0</v>
      </c>
      <c r="F42" s="49">
        <v>6.25</v>
      </c>
      <c r="G42" s="49">
        <v>0</v>
      </c>
      <c r="H42" s="49" t="s">
        <v>6961</v>
      </c>
      <c r="I42" s="50">
        <v>0</v>
      </c>
      <c r="J42" s="51">
        <v>2040</v>
      </c>
      <c r="K42" s="51">
        <v>0</v>
      </c>
      <c r="L42" s="51">
        <v>510</v>
      </c>
      <c r="M42" s="51">
        <v>0.13</v>
      </c>
      <c r="N42" s="52" t="s">
        <v>6961</v>
      </c>
      <c r="O42" s="52">
        <v>265.2</v>
      </c>
      <c r="P42" s="53">
        <v>40</v>
      </c>
      <c r="Q42" s="53">
        <v>0</v>
      </c>
      <c r="R42" s="53">
        <v>10</v>
      </c>
      <c r="S42" s="53">
        <v>0.13</v>
      </c>
      <c r="T42" s="54" t="s">
        <v>6961</v>
      </c>
      <c r="U42" s="54">
        <v>5.2</v>
      </c>
      <c r="V42">
        <f t="shared" si="0"/>
        <v>2105</v>
      </c>
      <c r="W42">
        <f t="shared" si="1"/>
        <v>270.39999999999998</v>
      </c>
      <c r="X42">
        <f t="shared" si="2"/>
        <v>0.12845605700712587</v>
      </c>
      <c r="AA42" s="48">
        <v>74181</v>
      </c>
      <c r="AB42">
        <v>0.12845605700712587</v>
      </c>
    </row>
    <row r="43" spans="1:28" ht="45" x14ac:dyDescent="0.25">
      <c r="A43" s="125"/>
      <c r="B43" s="48" t="s">
        <v>1545</v>
      </c>
      <c r="C43" s="48">
        <v>74118</v>
      </c>
      <c r="D43" s="49">
        <v>150</v>
      </c>
      <c r="E43" s="49">
        <v>37.5</v>
      </c>
      <c r="F43" s="49">
        <v>75</v>
      </c>
      <c r="G43" s="49">
        <v>0.375</v>
      </c>
      <c r="H43" s="49" t="s">
        <v>6958</v>
      </c>
      <c r="I43" s="49">
        <v>0</v>
      </c>
      <c r="J43" s="51">
        <v>500</v>
      </c>
      <c r="K43" s="51">
        <v>125</v>
      </c>
      <c r="L43" s="51">
        <v>250</v>
      </c>
      <c r="M43" s="51">
        <v>0.375</v>
      </c>
      <c r="N43" s="52" t="s">
        <v>6958</v>
      </c>
      <c r="O43" s="52">
        <v>187.5</v>
      </c>
      <c r="P43" s="53">
        <v>50</v>
      </c>
      <c r="Q43" s="53">
        <v>12.5</v>
      </c>
      <c r="R43" s="53">
        <v>25</v>
      </c>
      <c r="S43" s="53">
        <v>0.375</v>
      </c>
      <c r="T43" s="54" t="s">
        <v>6958</v>
      </c>
      <c r="U43" s="54">
        <v>18.75</v>
      </c>
      <c r="V43">
        <f t="shared" si="0"/>
        <v>700</v>
      </c>
      <c r="W43">
        <f t="shared" si="1"/>
        <v>206.25</v>
      </c>
      <c r="X43">
        <f t="shared" si="2"/>
        <v>0.29464285714285715</v>
      </c>
      <c r="AA43" s="48">
        <v>74118</v>
      </c>
      <c r="AB43">
        <v>0.29464285714285715</v>
      </c>
    </row>
    <row r="44" spans="1:28" x14ac:dyDescent="0.25">
      <c r="A44" s="125"/>
      <c r="B44" s="48" t="s">
        <v>3030</v>
      </c>
      <c r="C44" s="48">
        <v>74179</v>
      </c>
      <c r="D44" s="49">
        <v>25</v>
      </c>
      <c r="E44" s="49">
        <v>0</v>
      </c>
      <c r="F44" s="49">
        <v>6.25</v>
      </c>
      <c r="G44" s="49">
        <v>0.13</v>
      </c>
      <c r="H44" s="49" t="s">
        <v>6961</v>
      </c>
      <c r="I44" s="50">
        <v>3.25</v>
      </c>
      <c r="J44" s="51">
        <v>700</v>
      </c>
      <c r="K44" s="51">
        <v>525</v>
      </c>
      <c r="L44" s="51">
        <v>700</v>
      </c>
      <c r="M44" s="51">
        <v>0.87</v>
      </c>
      <c r="N44" s="52" t="s">
        <v>6959</v>
      </c>
      <c r="O44" s="52">
        <v>609</v>
      </c>
      <c r="P44" s="53">
        <v>120</v>
      </c>
      <c r="Q44" s="53">
        <v>0</v>
      </c>
      <c r="R44" s="53">
        <v>30</v>
      </c>
      <c r="S44" s="53">
        <v>0.13</v>
      </c>
      <c r="T44" s="54" t="s">
        <v>6961</v>
      </c>
      <c r="U44" s="54">
        <v>15.600000000000001</v>
      </c>
      <c r="V44">
        <f t="shared" si="0"/>
        <v>845</v>
      </c>
      <c r="W44">
        <f t="shared" si="1"/>
        <v>627.85</v>
      </c>
      <c r="X44">
        <f t="shared" si="2"/>
        <v>0.74301775147928995</v>
      </c>
      <c r="AA44" s="48">
        <v>74179</v>
      </c>
      <c r="AB44">
        <v>0.74301775147928995</v>
      </c>
    </row>
    <row r="45" spans="1:28" ht="30" x14ac:dyDescent="0.25">
      <c r="A45" s="125"/>
      <c r="B45" s="48" t="s">
        <v>1555</v>
      </c>
      <c r="C45" s="48">
        <v>74155</v>
      </c>
      <c r="D45" s="49">
        <v>35</v>
      </c>
      <c r="E45" s="49">
        <v>0</v>
      </c>
      <c r="F45" s="49">
        <v>8.75</v>
      </c>
      <c r="G45" s="49">
        <v>0.13</v>
      </c>
      <c r="H45" s="49" t="s">
        <v>6961</v>
      </c>
      <c r="I45" s="50">
        <v>4.55</v>
      </c>
      <c r="J45" s="51">
        <v>100</v>
      </c>
      <c r="K45" s="51">
        <v>0</v>
      </c>
      <c r="L45" s="51">
        <v>25</v>
      </c>
      <c r="M45" s="51">
        <v>0.13</v>
      </c>
      <c r="N45" s="52" t="s">
        <v>6961</v>
      </c>
      <c r="O45" s="52">
        <v>13</v>
      </c>
      <c r="P45" s="53">
        <v>150</v>
      </c>
      <c r="Q45" s="53">
        <v>0</v>
      </c>
      <c r="R45" s="53">
        <v>37.5</v>
      </c>
      <c r="S45" s="53">
        <v>0.13</v>
      </c>
      <c r="T45" s="54" t="s">
        <v>6961</v>
      </c>
      <c r="U45" s="54">
        <v>19.5</v>
      </c>
      <c r="V45">
        <f t="shared" si="0"/>
        <v>285</v>
      </c>
      <c r="W45">
        <f t="shared" si="1"/>
        <v>37.049999999999997</v>
      </c>
      <c r="X45">
        <f t="shared" si="2"/>
        <v>0.12999999999999998</v>
      </c>
      <c r="AA45" s="48">
        <v>74155</v>
      </c>
      <c r="AB45">
        <v>0.12999999999999998</v>
      </c>
    </row>
    <row r="46" spans="1:28" x14ac:dyDescent="0.25">
      <c r="A46" s="125"/>
      <c r="B46" s="48" t="s">
        <v>1556</v>
      </c>
      <c r="C46" s="48">
        <v>74158</v>
      </c>
      <c r="D46" s="49">
        <v>70</v>
      </c>
      <c r="E46" s="49">
        <v>0</v>
      </c>
      <c r="F46" s="49">
        <v>17.5</v>
      </c>
      <c r="G46" s="49">
        <v>0.13</v>
      </c>
      <c r="H46" s="49" t="s">
        <v>6961</v>
      </c>
      <c r="I46" s="50">
        <v>9.1</v>
      </c>
      <c r="J46" s="51">
        <v>250</v>
      </c>
      <c r="K46" s="51">
        <v>125</v>
      </c>
      <c r="L46" s="51">
        <v>187.5</v>
      </c>
      <c r="M46" s="51">
        <v>0.625</v>
      </c>
      <c r="N46" s="52" t="s">
        <v>6960</v>
      </c>
      <c r="O46" s="52">
        <v>156.25</v>
      </c>
      <c r="P46" s="53">
        <v>150</v>
      </c>
      <c r="Q46" s="53">
        <v>37.5</v>
      </c>
      <c r="R46" s="53">
        <v>75</v>
      </c>
      <c r="S46" s="53">
        <v>0.375</v>
      </c>
      <c r="T46" s="54" t="s">
        <v>6958</v>
      </c>
      <c r="U46" s="54">
        <v>56.25</v>
      </c>
      <c r="V46">
        <f t="shared" si="0"/>
        <v>470</v>
      </c>
      <c r="W46">
        <f t="shared" si="1"/>
        <v>221.6</v>
      </c>
      <c r="X46">
        <f t="shared" si="2"/>
        <v>0.47148936170212763</v>
      </c>
      <c r="AA46" s="48">
        <v>74158</v>
      </c>
      <c r="AB46">
        <v>0.47148936170212763</v>
      </c>
    </row>
    <row r="47" spans="1:28" x14ac:dyDescent="0.25">
      <c r="A47" s="125"/>
      <c r="B47" s="48" t="s">
        <v>1551</v>
      </c>
      <c r="C47" s="48">
        <v>74130</v>
      </c>
      <c r="D47" s="49">
        <v>200</v>
      </c>
      <c r="E47" s="49">
        <v>50</v>
      </c>
      <c r="F47" s="49">
        <v>100</v>
      </c>
      <c r="G47" s="49">
        <v>0.375</v>
      </c>
      <c r="H47" s="49" t="s">
        <v>6958</v>
      </c>
      <c r="I47" s="50">
        <v>75</v>
      </c>
      <c r="J47" s="51">
        <v>140</v>
      </c>
      <c r="K47" s="51">
        <v>35</v>
      </c>
      <c r="L47" s="51">
        <v>70</v>
      </c>
      <c r="M47" s="51">
        <v>0.375</v>
      </c>
      <c r="N47" s="52" t="s">
        <v>6958</v>
      </c>
      <c r="O47" s="52">
        <v>52.5</v>
      </c>
      <c r="P47" s="53">
        <v>10</v>
      </c>
      <c r="Q47" s="53">
        <v>0</v>
      </c>
      <c r="R47" s="53">
        <v>2.5</v>
      </c>
      <c r="S47" s="53">
        <v>0.13</v>
      </c>
      <c r="T47" s="54" t="s">
        <v>6961</v>
      </c>
      <c r="U47" s="54">
        <v>1.3</v>
      </c>
      <c r="V47">
        <f t="shared" si="0"/>
        <v>350</v>
      </c>
      <c r="W47">
        <f t="shared" si="1"/>
        <v>128.80000000000001</v>
      </c>
      <c r="X47">
        <f t="shared" si="2"/>
        <v>0.36800000000000005</v>
      </c>
      <c r="AA47" s="48">
        <v>74130</v>
      </c>
      <c r="AB47">
        <v>0.36800000000000005</v>
      </c>
    </row>
    <row r="48" spans="1:28" ht="30" x14ac:dyDescent="0.25">
      <c r="A48" s="125"/>
      <c r="B48" s="48" t="s">
        <v>1564</v>
      </c>
      <c r="C48" s="48" t="s">
        <v>6</v>
      </c>
      <c r="D48" s="49">
        <v>4</v>
      </c>
      <c r="E48" s="49">
        <v>3</v>
      </c>
      <c r="F48" s="49">
        <v>4</v>
      </c>
      <c r="G48" s="49">
        <v>0.87</v>
      </c>
      <c r="H48" s="49" t="s">
        <v>6959</v>
      </c>
      <c r="I48" s="50">
        <v>3.48</v>
      </c>
      <c r="J48" s="51">
        <v>1800</v>
      </c>
      <c r="K48" s="51">
        <v>0</v>
      </c>
      <c r="L48" s="51">
        <v>0</v>
      </c>
      <c r="M48" s="51">
        <v>0</v>
      </c>
      <c r="N48" s="52">
        <v>0</v>
      </c>
      <c r="O48" s="52">
        <v>0</v>
      </c>
      <c r="P48" s="53">
        <v>600</v>
      </c>
      <c r="Q48" s="53">
        <v>450</v>
      </c>
      <c r="R48" s="53">
        <v>600</v>
      </c>
      <c r="S48" s="53">
        <v>0.87</v>
      </c>
      <c r="T48" s="54" t="s">
        <v>6959</v>
      </c>
      <c r="U48" s="54">
        <v>522</v>
      </c>
      <c r="V48">
        <f t="shared" si="0"/>
        <v>2404</v>
      </c>
      <c r="W48">
        <f t="shared" si="1"/>
        <v>525.48</v>
      </c>
      <c r="X48">
        <f t="shared" si="2"/>
        <v>0.21858569051580701</v>
      </c>
      <c r="AA48" s="48" t="s">
        <v>6</v>
      </c>
      <c r="AB48">
        <v>0.21858569051580701</v>
      </c>
    </row>
    <row r="49" spans="1:28" ht="30" x14ac:dyDescent="0.25">
      <c r="A49" s="125"/>
      <c r="B49" s="48" t="s">
        <v>1543</v>
      </c>
      <c r="C49" s="48">
        <v>74114</v>
      </c>
      <c r="D49" s="49">
        <v>50</v>
      </c>
      <c r="E49" s="49">
        <v>12.5</v>
      </c>
      <c r="F49" s="49">
        <v>25</v>
      </c>
      <c r="G49" s="49">
        <v>0.13</v>
      </c>
      <c r="H49" s="49" t="s">
        <v>6958</v>
      </c>
      <c r="I49" s="50">
        <v>6.5</v>
      </c>
      <c r="J49" s="52">
        <v>100</v>
      </c>
      <c r="K49" s="51">
        <v>0</v>
      </c>
      <c r="L49" s="51">
        <v>25</v>
      </c>
      <c r="M49" s="51">
        <v>0.13</v>
      </c>
      <c r="N49" s="52" t="s">
        <v>6961</v>
      </c>
      <c r="O49" s="52">
        <v>13</v>
      </c>
      <c r="P49" s="53">
        <v>75</v>
      </c>
      <c r="Q49" s="53">
        <v>18.75</v>
      </c>
      <c r="R49" s="53">
        <v>37.5</v>
      </c>
      <c r="S49" s="53">
        <v>0.375</v>
      </c>
      <c r="T49" s="54" t="s">
        <v>6958</v>
      </c>
      <c r="U49" s="54">
        <v>28.125</v>
      </c>
      <c r="V49">
        <f t="shared" si="0"/>
        <v>225</v>
      </c>
      <c r="W49">
        <f t="shared" si="1"/>
        <v>47.625</v>
      </c>
      <c r="X49">
        <f t="shared" si="2"/>
        <v>0.21166666666666667</v>
      </c>
      <c r="AA49" s="48">
        <v>74114</v>
      </c>
      <c r="AB49">
        <v>0.21166666666666667</v>
      </c>
    </row>
    <row r="50" spans="1:28" ht="30" x14ac:dyDescent="0.25">
      <c r="A50" s="125"/>
      <c r="B50" s="48" t="s">
        <v>1544</v>
      </c>
      <c r="C50" s="48">
        <v>74116</v>
      </c>
      <c r="D50" s="49">
        <v>200</v>
      </c>
      <c r="E50" s="49">
        <v>50</v>
      </c>
      <c r="F50" s="49">
        <v>100</v>
      </c>
      <c r="G50" s="49">
        <v>0.13</v>
      </c>
      <c r="H50" s="49" t="s">
        <v>6958</v>
      </c>
      <c r="I50" s="50">
        <v>26</v>
      </c>
      <c r="J50" s="51">
        <v>175</v>
      </c>
      <c r="K50" s="51">
        <v>0</v>
      </c>
      <c r="L50" s="51">
        <v>43.75</v>
      </c>
      <c r="M50" s="51">
        <v>0.13</v>
      </c>
      <c r="N50" s="52" t="s">
        <v>6961</v>
      </c>
      <c r="O50" s="52">
        <v>22.75</v>
      </c>
      <c r="P50" s="53">
        <v>200</v>
      </c>
      <c r="Q50" s="53">
        <v>50</v>
      </c>
      <c r="R50" s="53">
        <v>100</v>
      </c>
      <c r="S50" s="53">
        <v>0.375</v>
      </c>
      <c r="T50" s="54" t="s">
        <v>6958</v>
      </c>
      <c r="U50" s="54">
        <v>75</v>
      </c>
      <c r="V50">
        <f t="shared" si="0"/>
        <v>575</v>
      </c>
      <c r="W50">
        <f t="shared" si="1"/>
        <v>123.75</v>
      </c>
      <c r="X50">
        <f t="shared" si="2"/>
        <v>0.21521739130434783</v>
      </c>
      <c r="AA50" s="48">
        <v>74116</v>
      </c>
      <c r="AB50">
        <v>0.21521739130434783</v>
      </c>
    </row>
    <row r="51" spans="1:28" ht="30" x14ac:dyDescent="0.25">
      <c r="A51" s="125"/>
      <c r="B51" s="48" t="s">
        <v>3027</v>
      </c>
      <c r="C51" s="48">
        <v>74122</v>
      </c>
      <c r="D51" s="49">
        <v>15</v>
      </c>
      <c r="E51" s="49">
        <v>3.75</v>
      </c>
      <c r="F51" s="49">
        <v>7.5</v>
      </c>
      <c r="G51" s="49">
        <v>0.375</v>
      </c>
      <c r="H51" s="49" t="s">
        <v>6958</v>
      </c>
      <c r="I51" s="50">
        <v>5.625</v>
      </c>
      <c r="J51" s="51">
        <v>45</v>
      </c>
      <c r="K51" s="51">
        <v>11.25</v>
      </c>
      <c r="L51" s="51">
        <v>22.5</v>
      </c>
      <c r="M51" s="51">
        <v>0.375</v>
      </c>
      <c r="N51" s="52" t="s">
        <v>6958</v>
      </c>
      <c r="O51" s="52">
        <v>16.875</v>
      </c>
      <c r="P51" s="53">
        <v>250</v>
      </c>
      <c r="Q51" s="53">
        <v>0</v>
      </c>
      <c r="R51" s="53">
        <v>62.5</v>
      </c>
      <c r="S51" s="53">
        <v>0.13</v>
      </c>
      <c r="T51" s="54" t="s">
        <v>6961</v>
      </c>
      <c r="U51" s="54">
        <v>32.5</v>
      </c>
      <c r="V51">
        <f t="shared" si="0"/>
        <v>310</v>
      </c>
      <c r="W51">
        <f t="shared" si="1"/>
        <v>55</v>
      </c>
      <c r="X51">
        <f t="shared" si="2"/>
        <v>0.17741935483870969</v>
      </c>
      <c r="AA51" s="48">
        <v>74122</v>
      </c>
      <c r="AB51">
        <v>0.17741935483870969</v>
      </c>
    </row>
    <row r="52" spans="1:28" ht="30" x14ac:dyDescent="0.25">
      <c r="A52" s="125"/>
      <c r="B52" s="48" t="s">
        <v>1546</v>
      </c>
      <c r="C52" s="48">
        <v>74120</v>
      </c>
      <c r="D52" s="49">
        <v>45</v>
      </c>
      <c r="E52" s="49">
        <v>11.25</v>
      </c>
      <c r="F52" s="49">
        <v>22.5</v>
      </c>
      <c r="G52" s="49">
        <v>0.375</v>
      </c>
      <c r="H52" s="49" t="s">
        <v>6958</v>
      </c>
      <c r="I52" s="50">
        <v>16.875</v>
      </c>
      <c r="J52" s="51">
        <v>1200</v>
      </c>
      <c r="K52" s="51">
        <v>0</v>
      </c>
      <c r="L52" s="51">
        <v>0</v>
      </c>
      <c r="M52" s="51">
        <v>0</v>
      </c>
      <c r="N52" s="52">
        <v>0</v>
      </c>
      <c r="O52" s="52">
        <v>0</v>
      </c>
      <c r="P52" s="53">
        <v>1100</v>
      </c>
      <c r="Q52" s="53">
        <v>275</v>
      </c>
      <c r="R52" s="53">
        <v>550</v>
      </c>
      <c r="S52" s="53">
        <v>0.375</v>
      </c>
      <c r="T52" s="54" t="s">
        <v>6958</v>
      </c>
      <c r="U52" s="54">
        <v>412.5</v>
      </c>
      <c r="V52">
        <f t="shared" si="0"/>
        <v>2345</v>
      </c>
      <c r="W52">
        <f t="shared" si="1"/>
        <v>429.375</v>
      </c>
      <c r="X52">
        <f t="shared" si="2"/>
        <v>0.18310234541577824</v>
      </c>
      <c r="AA52" s="48">
        <v>74120</v>
      </c>
      <c r="AB52">
        <v>0.18310234541577824</v>
      </c>
    </row>
    <row r="53" spans="1:28" x14ac:dyDescent="0.25">
      <c r="A53" s="138" t="s">
        <v>6963</v>
      </c>
      <c r="B53" s="55" t="s">
        <v>1482</v>
      </c>
      <c r="C53" s="55">
        <v>72214</v>
      </c>
      <c r="D53" s="56">
        <v>1</v>
      </c>
      <c r="E53" s="57">
        <v>0</v>
      </c>
      <c r="F53" s="57">
        <v>0.25</v>
      </c>
      <c r="G53" s="57">
        <v>0.13</v>
      </c>
      <c r="H53" s="56" t="s">
        <v>6961</v>
      </c>
      <c r="I53" s="56">
        <v>0.13</v>
      </c>
      <c r="J53" s="58">
        <v>20</v>
      </c>
      <c r="K53" s="58">
        <v>0</v>
      </c>
      <c r="L53" s="58">
        <v>5</v>
      </c>
      <c r="M53" s="58">
        <v>0.13</v>
      </c>
      <c r="N53" s="58" t="s">
        <v>6961</v>
      </c>
      <c r="O53" s="58">
        <v>2.6</v>
      </c>
      <c r="P53" s="59">
        <v>40</v>
      </c>
      <c r="Q53" s="59">
        <v>30</v>
      </c>
      <c r="R53" s="59">
        <v>40</v>
      </c>
      <c r="S53" s="59">
        <v>0.87</v>
      </c>
      <c r="T53" s="59" t="s">
        <v>6959</v>
      </c>
      <c r="U53" s="59">
        <v>34.799999999999997</v>
      </c>
      <c r="V53">
        <f t="shared" si="0"/>
        <v>61</v>
      </c>
      <c r="W53">
        <f t="shared" si="1"/>
        <v>37.53</v>
      </c>
      <c r="X53">
        <f t="shared" si="2"/>
        <v>0.61524590163934423</v>
      </c>
      <c r="AA53" s="55">
        <v>72214</v>
      </c>
      <c r="AB53">
        <v>0.61524590163934423</v>
      </c>
    </row>
    <row r="54" spans="1:28" x14ac:dyDescent="0.25">
      <c r="A54" s="125"/>
      <c r="B54" s="55" t="s">
        <v>3023</v>
      </c>
      <c r="C54" s="55">
        <v>72221</v>
      </c>
      <c r="D54" s="56">
        <v>6</v>
      </c>
      <c r="E54" s="57">
        <v>0</v>
      </c>
      <c r="F54" s="57">
        <v>1.5</v>
      </c>
      <c r="G54" s="57">
        <v>0</v>
      </c>
      <c r="H54" s="56" t="s">
        <v>6961</v>
      </c>
      <c r="I54" s="56">
        <v>0</v>
      </c>
      <c r="J54" s="58">
        <v>300</v>
      </c>
      <c r="K54" s="58">
        <v>150</v>
      </c>
      <c r="L54" s="58">
        <v>225</v>
      </c>
      <c r="M54" s="58">
        <v>0.625</v>
      </c>
      <c r="N54" s="58" t="s">
        <v>6960</v>
      </c>
      <c r="O54" s="58">
        <v>187.5</v>
      </c>
      <c r="P54" s="59">
        <v>200</v>
      </c>
      <c r="Q54" s="59">
        <v>50</v>
      </c>
      <c r="R54" s="59">
        <v>100</v>
      </c>
      <c r="S54" s="59">
        <v>0.375</v>
      </c>
      <c r="T54" s="59" t="s">
        <v>6958</v>
      </c>
      <c r="U54" s="59">
        <v>75</v>
      </c>
      <c r="V54">
        <f t="shared" si="0"/>
        <v>506</v>
      </c>
      <c r="W54">
        <f t="shared" si="1"/>
        <v>262.5</v>
      </c>
      <c r="X54">
        <f t="shared" si="2"/>
        <v>0.51877470355731226</v>
      </c>
      <c r="AA54" s="55">
        <v>72221</v>
      </c>
      <c r="AB54">
        <v>0.51877470355731226</v>
      </c>
    </row>
    <row r="55" spans="1:28" x14ac:dyDescent="0.25">
      <c r="A55" s="125"/>
      <c r="B55" s="55" t="s">
        <v>1483</v>
      </c>
      <c r="C55" s="55">
        <v>72217</v>
      </c>
      <c r="D55" s="56">
        <v>0</v>
      </c>
      <c r="E55" s="57">
        <v>0</v>
      </c>
      <c r="F55" s="57">
        <v>0</v>
      </c>
      <c r="G55" s="57">
        <v>0</v>
      </c>
      <c r="H55" s="56">
        <v>0</v>
      </c>
      <c r="I55" s="56">
        <v>0</v>
      </c>
      <c r="J55" s="58">
        <v>1</v>
      </c>
      <c r="K55" s="58">
        <v>0.75</v>
      </c>
      <c r="L55" s="58">
        <v>1</v>
      </c>
      <c r="M55" s="58">
        <v>0.87</v>
      </c>
      <c r="N55" s="58" t="s">
        <v>6959</v>
      </c>
      <c r="O55" s="58">
        <v>0.87</v>
      </c>
      <c r="P55" s="59">
        <v>30</v>
      </c>
      <c r="Q55" s="59">
        <v>22.5</v>
      </c>
      <c r="R55" s="59">
        <v>30</v>
      </c>
      <c r="S55" s="59">
        <v>0.87</v>
      </c>
      <c r="T55" s="59" t="s">
        <v>6959</v>
      </c>
      <c r="U55" s="59">
        <v>26.1</v>
      </c>
      <c r="V55">
        <f t="shared" si="0"/>
        <v>31</v>
      </c>
      <c r="W55">
        <f t="shared" si="1"/>
        <v>26.970000000000002</v>
      </c>
      <c r="X55">
        <f t="shared" si="2"/>
        <v>0.87000000000000011</v>
      </c>
      <c r="AA55" s="55">
        <v>72217</v>
      </c>
      <c r="AB55">
        <v>0.87000000000000011</v>
      </c>
    </row>
    <row r="56" spans="1:28" x14ac:dyDescent="0.25">
      <c r="A56" s="125"/>
      <c r="B56" s="55" t="s">
        <v>1487</v>
      </c>
      <c r="C56" s="55">
        <v>72229</v>
      </c>
      <c r="D56" s="56">
        <v>15</v>
      </c>
      <c r="E56" s="57">
        <v>0</v>
      </c>
      <c r="F56" s="57">
        <v>375</v>
      </c>
      <c r="G56" s="57">
        <v>0.13</v>
      </c>
      <c r="H56" s="56" t="s">
        <v>6961</v>
      </c>
      <c r="I56" s="56">
        <v>1.9500000000000002</v>
      </c>
      <c r="J56" s="58">
        <v>100</v>
      </c>
      <c r="K56" s="58">
        <v>50</v>
      </c>
      <c r="L56" s="58">
        <v>75</v>
      </c>
      <c r="M56" s="58">
        <v>0.625</v>
      </c>
      <c r="N56" s="58" t="s">
        <v>6960</v>
      </c>
      <c r="O56" s="58">
        <v>62.5</v>
      </c>
      <c r="P56" s="59">
        <v>500</v>
      </c>
      <c r="Q56" s="59">
        <v>250</v>
      </c>
      <c r="R56" s="59">
        <v>375</v>
      </c>
      <c r="S56" s="59">
        <v>0.625</v>
      </c>
      <c r="T56" s="59" t="s">
        <v>6960</v>
      </c>
      <c r="U56" s="59">
        <v>312.5</v>
      </c>
      <c r="V56">
        <f t="shared" si="0"/>
        <v>615</v>
      </c>
      <c r="W56">
        <f t="shared" si="1"/>
        <v>376.95</v>
      </c>
      <c r="X56">
        <f t="shared" si="2"/>
        <v>0.61292682926829267</v>
      </c>
      <c r="AA56" s="55">
        <v>72229</v>
      </c>
      <c r="AB56">
        <v>0.61292682926829267</v>
      </c>
    </row>
    <row r="57" spans="1:28" x14ac:dyDescent="0.25">
      <c r="A57" s="125"/>
      <c r="B57" s="55" t="s">
        <v>1486</v>
      </c>
      <c r="C57" s="55">
        <v>72227</v>
      </c>
      <c r="D57" s="56">
        <v>60</v>
      </c>
      <c r="E57" s="57">
        <v>0</v>
      </c>
      <c r="F57" s="57">
        <v>15</v>
      </c>
      <c r="G57" s="57">
        <v>0.13</v>
      </c>
      <c r="H57" s="56" t="s">
        <v>6961</v>
      </c>
      <c r="I57" s="56">
        <v>7.8000000000000007</v>
      </c>
      <c r="J57" s="58">
        <v>250</v>
      </c>
      <c r="K57" s="58">
        <v>0</v>
      </c>
      <c r="L57" s="58">
        <v>62.5</v>
      </c>
      <c r="M57" s="58">
        <v>0.13</v>
      </c>
      <c r="N57" s="58" t="s">
        <v>6961</v>
      </c>
      <c r="O57" s="58">
        <v>32.5</v>
      </c>
      <c r="P57" s="59">
        <v>350</v>
      </c>
      <c r="Q57" s="59">
        <v>87.5</v>
      </c>
      <c r="R57" s="59">
        <v>175</v>
      </c>
      <c r="S57" s="59">
        <v>0.375</v>
      </c>
      <c r="T57" s="59" t="s">
        <v>6958</v>
      </c>
      <c r="U57" s="59">
        <v>131.25</v>
      </c>
      <c r="V57">
        <f t="shared" si="0"/>
        <v>660</v>
      </c>
      <c r="W57">
        <f t="shared" si="1"/>
        <v>171.55</v>
      </c>
      <c r="X57">
        <f t="shared" si="2"/>
        <v>0.25992424242424245</v>
      </c>
      <c r="AA57" s="55">
        <v>72227</v>
      </c>
      <c r="AB57">
        <v>0.25992424242424245</v>
      </c>
    </row>
    <row r="58" spans="1:28" x14ac:dyDescent="0.25">
      <c r="A58" s="125"/>
      <c r="B58" s="55" t="s">
        <v>1490</v>
      </c>
      <c r="C58" s="55">
        <v>72237</v>
      </c>
      <c r="D58" s="56">
        <v>35</v>
      </c>
      <c r="E58" s="57">
        <v>8.75</v>
      </c>
      <c r="F58" s="57">
        <v>17.5</v>
      </c>
      <c r="G58" s="57">
        <v>0.375</v>
      </c>
      <c r="H58" s="56" t="s">
        <v>6958</v>
      </c>
      <c r="I58" s="56">
        <v>13.125</v>
      </c>
      <c r="J58" s="58">
        <v>180</v>
      </c>
      <c r="K58" s="58">
        <v>0</v>
      </c>
      <c r="L58" s="58">
        <v>45</v>
      </c>
      <c r="M58" s="58">
        <v>0.13</v>
      </c>
      <c r="N58" s="58" t="s">
        <v>6961</v>
      </c>
      <c r="O58" s="58">
        <v>23.400000000000002</v>
      </c>
      <c r="P58" s="59">
        <v>250</v>
      </c>
      <c r="Q58" s="59">
        <v>0</v>
      </c>
      <c r="R58" s="59">
        <v>62.5</v>
      </c>
      <c r="S58" s="59">
        <v>0.13</v>
      </c>
      <c r="T58" s="59" t="s">
        <v>6961</v>
      </c>
      <c r="U58" s="59">
        <v>32.5</v>
      </c>
      <c r="V58">
        <f t="shared" si="0"/>
        <v>465</v>
      </c>
      <c r="W58">
        <f t="shared" si="1"/>
        <v>69.025000000000006</v>
      </c>
      <c r="X58">
        <f t="shared" si="2"/>
        <v>0.14844086021505379</v>
      </c>
      <c r="AA58" s="55">
        <v>72237</v>
      </c>
      <c r="AB58">
        <v>0.14844086021505379</v>
      </c>
    </row>
    <row r="59" spans="1:28" x14ac:dyDescent="0.25">
      <c r="A59" s="125"/>
      <c r="B59" s="55" t="s">
        <v>1494</v>
      </c>
      <c r="C59" s="55">
        <v>72251</v>
      </c>
      <c r="D59" s="56">
        <v>40</v>
      </c>
      <c r="E59" s="57">
        <v>20</v>
      </c>
      <c r="F59" s="57">
        <v>20</v>
      </c>
      <c r="G59" s="57">
        <v>0.625</v>
      </c>
      <c r="H59" s="56" t="s">
        <v>6960</v>
      </c>
      <c r="I59" s="56">
        <v>25</v>
      </c>
      <c r="J59" s="58">
        <v>300</v>
      </c>
      <c r="K59" s="58">
        <v>75</v>
      </c>
      <c r="L59" s="58">
        <v>150</v>
      </c>
      <c r="M59" s="58">
        <v>0.375</v>
      </c>
      <c r="N59" s="58" t="s">
        <v>6958</v>
      </c>
      <c r="O59" s="58">
        <v>112.5</v>
      </c>
      <c r="P59" s="59">
        <v>200</v>
      </c>
      <c r="Q59" s="59">
        <v>50</v>
      </c>
      <c r="R59" s="59">
        <v>100</v>
      </c>
      <c r="S59" s="59">
        <v>0.375</v>
      </c>
      <c r="T59" s="59" t="s">
        <v>6958</v>
      </c>
      <c r="U59" s="59">
        <v>75</v>
      </c>
      <c r="V59">
        <f t="shared" si="0"/>
        <v>540</v>
      </c>
      <c r="W59">
        <f t="shared" si="1"/>
        <v>212.5</v>
      </c>
      <c r="X59">
        <f t="shared" si="2"/>
        <v>0.39351851851851855</v>
      </c>
      <c r="AA59" s="55">
        <v>72251</v>
      </c>
      <c r="AB59">
        <v>0.39351851851851855</v>
      </c>
    </row>
    <row r="60" spans="1:28" x14ac:dyDescent="0.25">
      <c r="A60" s="125"/>
      <c r="B60" s="55" t="s">
        <v>1485</v>
      </c>
      <c r="C60" s="55">
        <v>72224</v>
      </c>
      <c r="D60" s="56">
        <v>20</v>
      </c>
      <c r="E60" s="57">
        <v>0</v>
      </c>
      <c r="F60" s="57">
        <v>5</v>
      </c>
      <c r="G60" s="57">
        <v>0.13</v>
      </c>
      <c r="H60" s="56" t="s">
        <v>6961</v>
      </c>
      <c r="I60" s="56">
        <v>2.6</v>
      </c>
      <c r="J60" s="58">
        <v>150</v>
      </c>
      <c r="K60" s="58">
        <v>0</v>
      </c>
      <c r="L60" s="58">
        <v>37.5</v>
      </c>
      <c r="M60" s="58">
        <v>0.13</v>
      </c>
      <c r="N60" s="58" t="s">
        <v>6961</v>
      </c>
      <c r="O60" s="58">
        <v>19.5</v>
      </c>
      <c r="P60" s="59">
        <v>30</v>
      </c>
      <c r="Q60" s="59">
        <v>0</v>
      </c>
      <c r="R60" s="59">
        <v>7.5</v>
      </c>
      <c r="S60" s="59">
        <v>0.13</v>
      </c>
      <c r="T60" s="59" t="s">
        <v>6961</v>
      </c>
      <c r="U60" s="59">
        <v>3.9000000000000004</v>
      </c>
      <c r="V60">
        <f t="shared" si="0"/>
        <v>200</v>
      </c>
      <c r="W60">
        <f t="shared" si="1"/>
        <v>26</v>
      </c>
      <c r="X60">
        <f t="shared" si="2"/>
        <v>0.13</v>
      </c>
      <c r="AA60" s="55">
        <v>72224</v>
      </c>
      <c r="AB60">
        <v>0.13</v>
      </c>
    </row>
    <row r="61" spans="1:28" x14ac:dyDescent="0.25">
      <c r="A61" s="125"/>
      <c r="B61" s="55" t="s">
        <v>1503</v>
      </c>
      <c r="C61" s="55">
        <v>72277</v>
      </c>
      <c r="D61" s="56">
        <v>100</v>
      </c>
      <c r="E61" s="57">
        <v>0</v>
      </c>
      <c r="F61" s="57">
        <v>25</v>
      </c>
      <c r="G61" s="57">
        <v>0.13</v>
      </c>
      <c r="H61" s="56" t="s">
        <v>6961</v>
      </c>
      <c r="I61" s="56">
        <v>13</v>
      </c>
      <c r="J61" s="58">
        <v>500</v>
      </c>
      <c r="K61" s="58">
        <v>125</v>
      </c>
      <c r="L61" s="58">
        <v>250</v>
      </c>
      <c r="M61" s="58">
        <v>0.375</v>
      </c>
      <c r="N61" s="58" t="s">
        <v>6958</v>
      </c>
      <c r="O61" s="58">
        <v>187.5</v>
      </c>
      <c r="P61" s="59">
        <v>200</v>
      </c>
      <c r="Q61" s="59">
        <v>50</v>
      </c>
      <c r="R61" s="59">
        <v>100</v>
      </c>
      <c r="S61" s="59">
        <v>0.375</v>
      </c>
      <c r="T61" s="59" t="s">
        <v>6958</v>
      </c>
      <c r="U61" s="59">
        <v>75</v>
      </c>
      <c r="V61">
        <f t="shared" si="0"/>
        <v>800</v>
      </c>
      <c r="W61">
        <f t="shared" si="1"/>
        <v>275.5</v>
      </c>
      <c r="X61">
        <f t="shared" si="2"/>
        <v>0.34437499999999999</v>
      </c>
      <c r="AA61" s="55">
        <v>72277</v>
      </c>
      <c r="AB61">
        <v>0.34437499999999999</v>
      </c>
    </row>
    <row r="62" spans="1:28" x14ac:dyDescent="0.25">
      <c r="A62" s="125"/>
      <c r="B62" s="55" t="s">
        <v>1491</v>
      </c>
      <c r="C62" s="55">
        <v>72241</v>
      </c>
      <c r="D62" s="56">
        <v>0</v>
      </c>
      <c r="E62" s="57">
        <v>0</v>
      </c>
      <c r="F62" s="57">
        <v>0</v>
      </c>
      <c r="G62" s="57">
        <v>0</v>
      </c>
      <c r="H62" s="56">
        <v>0</v>
      </c>
      <c r="I62" s="56">
        <v>0</v>
      </c>
      <c r="J62" s="58">
        <v>10</v>
      </c>
      <c r="K62" s="58">
        <v>0</v>
      </c>
      <c r="L62" s="58">
        <v>2.5</v>
      </c>
      <c r="M62" s="58">
        <v>0.13</v>
      </c>
      <c r="N62" s="58" t="s">
        <v>6961</v>
      </c>
      <c r="O62" s="58">
        <v>1.3</v>
      </c>
      <c r="P62" s="59">
        <v>40</v>
      </c>
      <c r="Q62" s="59">
        <v>0</v>
      </c>
      <c r="R62" s="59">
        <v>10</v>
      </c>
      <c r="S62" s="59">
        <v>0.13</v>
      </c>
      <c r="T62" s="59" t="s">
        <v>6961</v>
      </c>
      <c r="U62" s="59">
        <v>5.2</v>
      </c>
      <c r="V62">
        <f t="shared" si="0"/>
        <v>50</v>
      </c>
      <c r="W62">
        <f t="shared" si="1"/>
        <v>6.5</v>
      </c>
      <c r="X62">
        <f t="shared" si="2"/>
        <v>0.13</v>
      </c>
      <c r="AA62" s="55">
        <v>72241</v>
      </c>
      <c r="AB62">
        <v>0.13</v>
      </c>
    </row>
    <row r="63" spans="1:28" x14ac:dyDescent="0.25">
      <c r="A63" s="125"/>
      <c r="B63" s="55" t="s">
        <v>1488</v>
      </c>
      <c r="C63" s="55">
        <v>72231</v>
      </c>
      <c r="D63" s="56">
        <v>60</v>
      </c>
      <c r="E63" s="57">
        <v>15</v>
      </c>
      <c r="F63" s="57">
        <v>30</v>
      </c>
      <c r="G63" s="57">
        <v>0.375</v>
      </c>
      <c r="H63" s="56" t="s">
        <v>6958</v>
      </c>
      <c r="I63" s="56">
        <v>22.5</v>
      </c>
      <c r="J63" s="58">
        <v>25</v>
      </c>
      <c r="K63" s="58">
        <v>0</v>
      </c>
      <c r="L63" s="58">
        <v>6.25</v>
      </c>
      <c r="M63" s="58">
        <v>0.13</v>
      </c>
      <c r="N63" s="58" t="s">
        <v>6961</v>
      </c>
      <c r="O63" s="58">
        <v>3.25</v>
      </c>
      <c r="P63" s="59">
        <v>300</v>
      </c>
      <c r="Q63" s="59">
        <v>0</v>
      </c>
      <c r="R63" s="59">
        <v>75</v>
      </c>
      <c r="S63" s="59">
        <v>0.13</v>
      </c>
      <c r="T63" s="59" t="s">
        <v>6961</v>
      </c>
      <c r="U63" s="59">
        <v>39</v>
      </c>
      <c r="V63">
        <f t="shared" si="0"/>
        <v>385</v>
      </c>
      <c r="W63">
        <f t="shared" si="1"/>
        <v>64.75</v>
      </c>
      <c r="X63">
        <f t="shared" si="2"/>
        <v>0.16818181818181818</v>
      </c>
      <c r="AA63" s="55">
        <v>72231</v>
      </c>
      <c r="AB63">
        <v>0.16818181818181818</v>
      </c>
    </row>
    <row r="64" spans="1:28" x14ac:dyDescent="0.25">
      <c r="A64" s="125"/>
      <c r="B64" s="55" t="s">
        <v>1499</v>
      </c>
      <c r="C64" s="55">
        <v>72267</v>
      </c>
      <c r="D64" s="56">
        <v>100</v>
      </c>
      <c r="E64" s="57">
        <v>0</v>
      </c>
      <c r="F64" s="57">
        <v>25</v>
      </c>
      <c r="G64" s="57">
        <v>0.13</v>
      </c>
      <c r="H64" s="56" t="s">
        <v>6961</v>
      </c>
      <c r="I64" s="56">
        <v>13</v>
      </c>
      <c r="J64" s="58">
        <v>3</v>
      </c>
      <c r="K64" s="58">
        <v>1.5</v>
      </c>
      <c r="L64" s="58">
        <v>2.25</v>
      </c>
      <c r="M64" s="58">
        <v>0.625</v>
      </c>
      <c r="N64" s="58" t="s">
        <v>6960</v>
      </c>
      <c r="O64" s="58">
        <v>1.875</v>
      </c>
      <c r="P64" s="59">
        <v>10</v>
      </c>
      <c r="Q64" s="59">
        <v>2.5</v>
      </c>
      <c r="R64" s="59">
        <v>5</v>
      </c>
      <c r="S64" s="59">
        <v>0.375</v>
      </c>
      <c r="T64" s="59" t="s">
        <v>6958</v>
      </c>
      <c r="U64" s="59">
        <v>3.75</v>
      </c>
      <c r="V64">
        <f t="shared" si="0"/>
        <v>113</v>
      </c>
      <c r="W64">
        <f t="shared" si="1"/>
        <v>18.625</v>
      </c>
      <c r="X64">
        <f t="shared" si="2"/>
        <v>0.16482300884955753</v>
      </c>
      <c r="AA64" s="55">
        <v>72267</v>
      </c>
      <c r="AB64">
        <v>0.16482300884955753</v>
      </c>
    </row>
    <row r="65" spans="1:28" x14ac:dyDescent="0.25">
      <c r="A65" s="125"/>
      <c r="B65" s="55" t="s">
        <v>1502</v>
      </c>
      <c r="C65" s="55">
        <v>72276</v>
      </c>
      <c r="D65" s="56">
        <v>50</v>
      </c>
      <c r="E65" s="57">
        <v>0</v>
      </c>
      <c r="F65" s="57">
        <v>12.5</v>
      </c>
      <c r="G65" s="57">
        <v>0.13</v>
      </c>
      <c r="H65" s="56" t="s">
        <v>6961</v>
      </c>
      <c r="I65" s="56">
        <v>6.5</v>
      </c>
      <c r="J65" s="58">
        <v>40</v>
      </c>
      <c r="K65" s="58">
        <v>30</v>
      </c>
      <c r="L65" s="58">
        <v>40</v>
      </c>
      <c r="M65" s="58">
        <v>0.87</v>
      </c>
      <c r="N65" s="58" t="s">
        <v>6959</v>
      </c>
      <c r="O65" s="58">
        <v>34.799999999999997</v>
      </c>
      <c r="P65" s="59">
        <v>180</v>
      </c>
      <c r="Q65" s="59">
        <v>135</v>
      </c>
      <c r="R65" s="59">
        <v>180</v>
      </c>
      <c r="S65" s="59">
        <v>0.87</v>
      </c>
      <c r="T65" s="59" t="s">
        <v>6959</v>
      </c>
      <c r="U65" s="59">
        <v>156.6</v>
      </c>
      <c r="V65">
        <f t="shared" si="0"/>
        <v>270</v>
      </c>
      <c r="W65">
        <f t="shared" si="1"/>
        <v>197.89999999999998</v>
      </c>
      <c r="X65">
        <f t="shared" si="2"/>
        <v>0.73296296296296293</v>
      </c>
      <c r="AA65" s="55">
        <v>72276</v>
      </c>
      <c r="AB65">
        <v>0.73296296296296293</v>
      </c>
    </row>
    <row r="66" spans="1:28" x14ac:dyDescent="0.25">
      <c r="A66" s="125"/>
      <c r="B66" s="55" t="s">
        <v>3025</v>
      </c>
      <c r="C66" s="55">
        <v>72264</v>
      </c>
      <c r="D66" s="56">
        <v>50</v>
      </c>
      <c r="E66" s="57">
        <v>0</v>
      </c>
      <c r="F66" s="57">
        <v>12.5</v>
      </c>
      <c r="G66" s="57">
        <v>0.13</v>
      </c>
      <c r="H66" s="56" t="s">
        <v>6961</v>
      </c>
      <c r="I66" s="56">
        <v>6.5</v>
      </c>
      <c r="J66" s="58">
        <v>5</v>
      </c>
      <c r="K66" s="58">
        <v>3.75</v>
      </c>
      <c r="L66" s="58">
        <v>5</v>
      </c>
      <c r="M66" s="58">
        <v>0.87</v>
      </c>
      <c r="N66" s="58" t="s">
        <v>6959</v>
      </c>
      <c r="O66" s="58">
        <v>4.3499999999999996</v>
      </c>
      <c r="P66" s="59">
        <v>100</v>
      </c>
      <c r="Q66" s="59">
        <v>75</v>
      </c>
      <c r="R66" s="59">
        <v>100</v>
      </c>
      <c r="S66" s="59">
        <v>0.87</v>
      </c>
      <c r="T66" s="59" t="s">
        <v>6959</v>
      </c>
      <c r="U66" s="59">
        <v>87</v>
      </c>
      <c r="V66">
        <f t="shared" si="0"/>
        <v>155</v>
      </c>
      <c r="W66">
        <f t="shared" si="1"/>
        <v>97.85</v>
      </c>
      <c r="X66">
        <f t="shared" si="2"/>
        <v>0.6312903225806451</v>
      </c>
      <c r="AA66" s="55">
        <v>72264</v>
      </c>
      <c r="AB66">
        <v>0.6312903225806451</v>
      </c>
    </row>
    <row r="67" spans="1:28" x14ac:dyDescent="0.25">
      <c r="A67" s="125"/>
      <c r="B67" s="55" t="s">
        <v>3024</v>
      </c>
      <c r="C67" s="55">
        <v>72261</v>
      </c>
      <c r="D67" s="56">
        <v>39</v>
      </c>
      <c r="E67" s="57">
        <v>0</v>
      </c>
      <c r="F67" s="57">
        <v>9.75</v>
      </c>
      <c r="G67" s="57">
        <v>0.13</v>
      </c>
      <c r="H67" s="56" t="s">
        <v>6961</v>
      </c>
      <c r="I67" s="56">
        <v>5.07</v>
      </c>
      <c r="J67" s="58">
        <v>50</v>
      </c>
      <c r="K67" s="58">
        <v>37.5</v>
      </c>
      <c r="L67" s="58">
        <v>50</v>
      </c>
      <c r="M67" s="58">
        <v>0.87</v>
      </c>
      <c r="N67" s="58" t="s">
        <v>6959</v>
      </c>
      <c r="O67" s="58">
        <v>43.5</v>
      </c>
      <c r="P67" s="59">
        <v>22.5</v>
      </c>
      <c r="Q67" s="59">
        <v>16.875</v>
      </c>
      <c r="R67" s="59">
        <v>22.5</v>
      </c>
      <c r="S67" s="59">
        <v>0.87</v>
      </c>
      <c r="T67" s="59" t="s">
        <v>6959</v>
      </c>
      <c r="U67" s="59">
        <v>19.574999999999999</v>
      </c>
      <c r="V67">
        <f t="shared" si="0"/>
        <v>111.5</v>
      </c>
      <c r="W67">
        <f t="shared" si="1"/>
        <v>68.14500000000001</v>
      </c>
      <c r="X67">
        <f t="shared" si="2"/>
        <v>0.61116591928251129</v>
      </c>
      <c r="AA67" s="55">
        <v>72261</v>
      </c>
      <c r="AB67">
        <v>0.61116591928251129</v>
      </c>
    </row>
    <row r="68" spans="1:28" x14ac:dyDescent="0.25">
      <c r="A68" s="125"/>
      <c r="B68" s="55" t="s">
        <v>1492</v>
      </c>
      <c r="C68" s="55">
        <v>72244</v>
      </c>
      <c r="D68" s="56">
        <v>2</v>
      </c>
      <c r="E68" s="57">
        <v>0.5</v>
      </c>
      <c r="F68" s="57">
        <v>1</v>
      </c>
      <c r="G68" s="57">
        <v>0.375</v>
      </c>
      <c r="H68" s="56" t="s">
        <v>6958</v>
      </c>
      <c r="I68" s="56">
        <v>0.75</v>
      </c>
      <c r="J68" s="58">
        <v>3</v>
      </c>
      <c r="K68" s="58">
        <v>2.25</v>
      </c>
      <c r="L68" s="58">
        <v>3</v>
      </c>
      <c r="M68" s="58">
        <v>0.87</v>
      </c>
      <c r="N68" s="58" t="s">
        <v>6959</v>
      </c>
      <c r="O68" s="58">
        <v>2.61</v>
      </c>
      <c r="P68" s="59">
        <v>30</v>
      </c>
      <c r="Q68" s="59">
        <v>22.5</v>
      </c>
      <c r="R68" s="59">
        <v>30</v>
      </c>
      <c r="S68" s="59">
        <v>0.87</v>
      </c>
      <c r="T68" s="59" t="s">
        <v>6959</v>
      </c>
      <c r="U68" s="59">
        <v>26.1</v>
      </c>
      <c r="V68">
        <f t="shared" si="0"/>
        <v>35</v>
      </c>
      <c r="W68">
        <f t="shared" si="1"/>
        <v>29.46</v>
      </c>
      <c r="X68">
        <f t="shared" si="2"/>
        <v>0.84171428571428575</v>
      </c>
      <c r="AA68" s="55">
        <v>72244</v>
      </c>
      <c r="AB68">
        <v>0.84171428571428575</v>
      </c>
    </row>
    <row r="69" spans="1:28" x14ac:dyDescent="0.25">
      <c r="A69" s="125"/>
      <c r="B69" s="55" t="s">
        <v>1493</v>
      </c>
      <c r="C69" s="55">
        <v>72247</v>
      </c>
      <c r="D69" s="56">
        <v>7</v>
      </c>
      <c r="E69" s="57">
        <v>3.5</v>
      </c>
      <c r="F69" s="57">
        <v>5.25</v>
      </c>
      <c r="G69" s="57">
        <v>0.625</v>
      </c>
      <c r="H69" s="56" t="s">
        <v>6960</v>
      </c>
      <c r="I69" s="56">
        <v>4.375</v>
      </c>
      <c r="J69" s="58">
        <v>20</v>
      </c>
      <c r="K69" s="58">
        <v>15</v>
      </c>
      <c r="L69" s="58">
        <v>20</v>
      </c>
      <c r="M69" s="58">
        <v>0.87</v>
      </c>
      <c r="N69" s="58" t="s">
        <v>6959</v>
      </c>
      <c r="O69" s="58">
        <v>17.399999999999999</v>
      </c>
      <c r="P69" s="59">
        <v>30</v>
      </c>
      <c r="Q69" s="59">
        <v>22.5</v>
      </c>
      <c r="R69" s="59">
        <v>30</v>
      </c>
      <c r="S69" s="59">
        <v>0.87</v>
      </c>
      <c r="T69" s="59" t="s">
        <v>6959</v>
      </c>
      <c r="U69" s="59">
        <v>26.1</v>
      </c>
      <c r="V69">
        <f t="shared" ref="V69:V132" si="3">D69+J69+P69</f>
        <v>57</v>
      </c>
      <c r="W69">
        <f t="shared" ref="W69:W132" si="4">U69+O69+I69</f>
        <v>47.875</v>
      </c>
      <c r="X69">
        <f t="shared" ref="X69:X132" si="5">W69/V69</f>
        <v>0.83991228070175439</v>
      </c>
      <c r="AA69" s="55">
        <v>72247</v>
      </c>
      <c r="AB69">
        <v>0.83991228070175439</v>
      </c>
    </row>
    <row r="70" spans="1:28" x14ac:dyDescent="0.25">
      <c r="A70" s="125"/>
      <c r="B70" s="55" t="s">
        <v>1489</v>
      </c>
      <c r="C70" s="55">
        <v>72234</v>
      </c>
      <c r="D70" s="56">
        <v>20</v>
      </c>
      <c r="E70" s="57">
        <v>5</v>
      </c>
      <c r="F70" s="57">
        <v>10</v>
      </c>
      <c r="G70" s="57">
        <v>0.375</v>
      </c>
      <c r="H70" s="56" t="s">
        <v>6958</v>
      </c>
      <c r="I70" s="56">
        <v>7.5</v>
      </c>
      <c r="J70" s="58">
        <v>30</v>
      </c>
      <c r="K70" s="58">
        <v>22.5</v>
      </c>
      <c r="L70" s="58">
        <v>30</v>
      </c>
      <c r="M70" s="58">
        <v>0.87</v>
      </c>
      <c r="N70" s="58" t="s">
        <v>6959</v>
      </c>
      <c r="O70" s="58">
        <v>26.1</v>
      </c>
      <c r="P70" s="59">
        <v>300</v>
      </c>
      <c r="Q70" s="59">
        <v>225</v>
      </c>
      <c r="R70" s="59">
        <v>300</v>
      </c>
      <c r="S70" s="59">
        <v>0.87</v>
      </c>
      <c r="T70" s="59" t="s">
        <v>6959</v>
      </c>
      <c r="U70" s="59">
        <v>261</v>
      </c>
      <c r="V70">
        <f t="shared" si="3"/>
        <v>350</v>
      </c>
      <c r="W70">
        <f t="shared" si="4"/>
        <v>294.60000000000002</v>
      </c>
      <c r="X70">
        <f t="shared" si="5"/>
        <v>0.84171428571428575</v>
      </c>
      <c r="AA70" s="55">
        <v>72234</v>
      </c>
      <c r="AB70">
        <v>0.84171428571428575</v>
      </c>
    </row>
    <row r="71" spans="1:28" x14ac:dyDescent="0.25">
      <c r="A71" s="125"/>
      <c r="B71" s="55" t="s">
        <v>1501</v>
      </c>
      <c r="C71" s="55">
        <v>72274</v>
      </c>
      <c r="D71" s="56">
        <v>150</v>
      </c>
      <c r="E71" s="57">
        <v>37.5</v>
      </c>
      <c r="F71" s="57">
        <v>75</v>
      </c>
      <c r="G71" s="57">
        <v>0.375</v>
      </c>
      <c r="H71" s="56" t="s">
        <v>6958</v>
      </c>
      <c r="I71" s="56">
        <v>56.25</v>
      </c>
      <c r="J71" s="58">
        <v>10</v>
      </c>
      <c r="K71" s="58">
        <v>7.5</v>
      </c>
      <c r="L71" s="58">
        <v>10</v>
      </c>
      <c r="M71" s="58">
        <v>0.87</v>
      </c>
      <c r="N71" s="58" t="s">
        <v>6959</v>
      </c>
      <c r="O71" s="58">
        <v>8.6999999999999993</v>
      </c>
      <c r="P71" s="59">
        <v>90</v>
      </c>
      <c r="Q71" s="59">
        <v>67.5</v>
      </c>
      <c r="R71" s="59">
        <v>90</v>
      </c>
      <c r="S71" s="59">
        <v>0.87</v>
      </c>
      <c r="T71" s="59" t="s">
        <v>6959</v>
      </c>
      <c r="U71" s="59">
        <v>78.3</v>
      </c>
      <c r="V71">
        <f t="shared" si="3"/>
        <v>250</v>
      </c>
      <c r="W71">
        <f t="shared" si="4"/>
        <v>143.25</v>
      </c>
      <c r="X71">
        <f t="shared" si="5"/>
        <v>0.57299999999999995</v>
      </c>
      <c r="AA71" s="55">
        <v>72274</v>
      </c>
      <c r="AB71">
        <v>0.57299999999999995</v>
      </c>
    </row>
    <row r="72" spans="1:28" x14ac:dyDescent="0.25">
      <c r="A72" s="125"/>
      <c r="B72" s="55" t="s">
        <v>1474</v>
      </c>
      <c r="C72" s="55">
        <v>72143</v>
      </c>
      <c r="D72" s="56">
        <v>25</v>
      </c>
      <c r="E72" s="57">
        <v>0</v>
      </c>
      <c r="F72" s="57">
        <v>6.25</v>
      </c>
      <c r="G72" s="57">
        <v>0.13</v>
      </c>
      <c r="H72" s="56" t="s">
        <v>6961</v>
      </c>
      <c r="I72" s="56">
        <v>3.25</v>
      </c>
      <c r="J72" s="58">
        <v>10</v>
      </c>
      <c r="K72" s="58">
        <v>0</v>
      </c>
      <c r="L72" s="58">
        <v>0</v>
      </c>
      <c r="M72" s="58">
        <v>0</v>
      </c>
      <c r="N72" s="58">
        <v>0</v>
      </c>
      <c r="O72" s="58">
        <v>0</v>
      </c>
      <c r="P72" s="59">
        <v>50</v>
      </c>
      <c r="Q72" s="59">
        <v>0</v>
      </c>
      <c r="R72" s="59">
        <v>12.5</v>
      </c>
      <c r="S72" s="59">
        <v>0.13</v>
      </c>
      <c r="T72" s="59" t="s">
        <v>6961</v>
      </c>
      <c r="U72" s="59">
        <v>6.5</v>
      </c>
      <c r="V72">
        <f t="shared" si="3"/>
        <v>85</v>
      </c>
      <c r="W72">
        <f t="shared" si="4"/>
        <v>9.75</v>
      </c>
      <c r="X72">
        <f t="shared" si="5"/>
        <v>0.11470588235294117</v>
      </c>
      <c r="AA72" s="55">
        <v>72143</v>
      </c>
      <c r="AB72">
        <v>0.11470588235294117</v>
      </c>
    </row>
    <row r="73" spans="1:28" x14ac:dyDescent="0.25">
      <c r="A73" s="125"/>
      <c r="B73" s="55" t="s">
        <v>1504</v>
      </c>
      <c r="C73" s="55">
        <v>72281</v>
      </c>
      <c r="D73" s="56">
        <v>200</v>
      </c>
      <c r="E73" s="57">
        <v>50</v>
      </c>
      <c r="F73" s="57">
        <v>100</v>
      </c>
      <c r="G73" s="57">
        <v>0.375</v>
      </c>
      <c r="H73" s="56" t="s">
        <v>6958</v>
      </c>
      <c r="I73" s="56">
        <v>75</v>
      </c>
      <c r="J73" s="58">
        <v>300</v>
      </c>
      <c r="K73" s="58">
        <v>0</v>
      </c>
      <c r="L73" s="58">
        <v>75</v>
      </c>
      <c r="M73" s="58">
        <v>0.13</v>
      </c>
      <c r="N73" s="58" t="s">
        <v>6961</v>
      </c>
      <c r="O73" s="58">
        <v>39</v>
      </c>
      <c r="P73" s="59">
        <v>300</v>
      </c>
      <c r="Q73" s="59">
        <v>0</v>
      </c>
      <c r="R73" s="59">
        <v>75</v>
      </c>
      <c r="S73" s="59">
        <v>0.13</v>
      </c>
      <c r="T73" s="59" t="s">
        <v>6961</v>
      </c>
      <c r="U73" s="59">
        <v>39</v>
      </c>
      <c r="V73">
        <f t="shared" si="3"/>
        <v>800</v>
      </c>
      <c r="W73">
        <f t="shared" si="4"/>
        <v>153</v>
      </c>
      <c r="X73">
        <f t="shared" si="5"/>
        <v>0.19125</v>
      </c>
      <c r="AA73" s="55">
        <v>72281</v>
      </c>
      <c r="AB73">
        <v>0.19125</v>
      </c>
    </row>
    <row r="74" spans="1:28" x14ac:dyDescent="0.25">
      <c r="A74" s="125"/>
      <c r="B74" s="55" t="s">
        <v>1506</v>
      </c>
      <c r="C74" s="55">
        <v>72287</v>
      </c>
      <c r="D74" s="56">
        <v>160</v>
      </c>
      <c r="E74" s="57">
        <v>0</v>
      </c>
      <c r="F74" s="57">
        <v>40</v>
      </c>
      <c r="G74" s="57">
        <v>0.13</v>
      </c>
      <c r="H74" s="56" t="s">
        <v>6961</v>
      </c>
      <c r="I74" s="56">
        <v>20.8</v>
      </c>
      <c r="J74" s="58">
        <v>50</v>
      </c>
      <c r="K74" s="58">
        <v>12.5</v>
      </c>
      <c r="L74" s="58">
        <v>25</v>
      </c>
      <c r="M74" s="58">
        <v>0.375</v>
      </c>
      <c r="N74" s="58" t="s">
        <v>6958</v>
      </c>
      <c r="O74" s="58">
        <v>18.75</v>
      </c>
      <c r="P74" s="59">
        <v>150</v>
      </c>
      <c r="Q74" s="59">
        <v>75</v>
      </c>
      <c r="R74" s="59">
        <v>112.5</v>
      </c>
      <c r="S74" s="59">
        <v>0.625</v>
      </c>
      <c r="T74" s="59" t="s">
        <v>6960</v>
      </c>
      <c r="U74" s="59">
        <v>93.75</v>
      </c>
      <c r="V74">
        <f t="shared" si="3"/>
        <v>360</v>
      </c>
      <c r="W74">
        <f t="shared" si="4"/>
        <v>133.30000000000001</v>
      </c>
      <c r="X74">
        <f t="shared" si="5"/>
        <v>0.37027777777777782</v>
      </c>
      <c r="AA74" s="55">
        <v>72287</v>
      </c>
      <c r="AB74">
        <v>0.37027777777777782</v>
      </c>
    </row>
    <row r="75" spans="1:28" x14ac:dyDescent="0.25">
      <c r="A75" s="125"/>
      <c r="B75" s="55" t="s">
        <v>1470</v>
      </c>
      <c r="C75" s="55">
        <v>72111</v>
      </c>
      <c r="D75" s="56">
        <v>100</v>
      </c>
      <c r="E75" s="57">
        <v>25</v>
      </c>
      <c r="F75" s="57">
        <v>50</v>
      </c>
      <c r="G75" s="57">
        <v>0.375</v>
      </c>
      <c r="H75" s="56" t="s">
        <v>6958</v>
      </c>
      <c r="I75" s="56">
        <v>37.5</v>
      </c>
      <c r="J75" s="58">
        <v>100</v>
      </c>
      <c r="K75" s="58">
        <v>50</v>
      </c>
      <c r="L75" s="58">
        <v>75</v>
      </c>
      <c r="M75" s="58">
        <v>0.625</v>
      </c>
      <c r="N75" s="58" t="s">
        <v>6960</v>
      </c>
      <c r="O75" s="58">
        <v>62.5</v>
      </c>
      <c r="P75" s="59">
        <v>80</v>
      </c>
      <c r="Q75" s="59">
        <v>40</v>
      </c>
      <c r="R75" s="59">
        <v>60</v>
      </c>
      <c r="S75" s="59">
        <v>0.625</v>
      </c>
      <c r="T75" s="59" t="s">
        <v>6960</v>
      </c>
      <c r="U75" s="59">
        <v>50</v>
      </c>
      <c r="V75">
        <f t="shared" si="3"/>
        <v>280</v>
      </c>
      <c r="W75">
        <f t="shared" si="4"/>
        <v>150</v>
      </c>
      <c r="X75">
        <f t="shared" si="5"/>
        <v>0.5357142857142857</v>
      </c>
      <c r="AA75" s="55">
        <v>72111</v>
      </c>
      <c r="AB75">
        <v>0.5357142857142857</v>
      </c>
    </row>
    <row r="76" spans="1:28" x14ac:dyDescent="0.25">
      <c r="A76" s="125"/>
      <c r="B76" s="55" t="s">
        <v>1472</v>
      </c>
      <c r="C76" s="55">
        <v>72127</v>
      </c>
      <c r="D76" s="56">
        <v>258</v>
      </c>
      <c r="E76" s="57">
        <v>193.5</v>
      </c>
      <c r="F76" s="57">
        <v>258</v>
      </c>
      <c r="G76" s="57">
        <v>0.87</v>
      </c>
      <c r="H76" s="56" t="s">
        <v>6959</v>
      </c>
      <c r="I76" s="56">
        <v>224.46</v>
      </c>
      <c r="J76" s="58">
        <v>13</v>
      </c>
      <c r="K76" s="58">
        <v>9.75</v>
      </c>
      <c r="L76" s="58">
        <v>13</v>
      </c>
      <c r="M76" s="58">
        <v>0.87</v>
      </c>
      <c r="N76" s="58" t="s">
        <v>6959</v>
      </c>
      <c r="O76" s="58">
        <v>11.31</v>
      </c>
      <c r="P76" s="59">
        <v>115</v>
      </c>
      <c r="Q76" s="59">
        <v>0</v>
      </c>
      <c r="R76" s="59">
        <v>0</v>
      </c>
      <c r="S76" s="59">
        <v>0</v>
      </c>
      <c r="T76" s="59">
        <v>0</v>
      </c>
      <c r="U76" s="59">
        <v>0</v>
      </c>
      <c r="V76">
        <f t="shared" si="3"/>
        <v>386</v>
      </c>
      <c r="W76">
        <f t="shared" si="4"/>
        <v>235.77</v>
      </c>
      <c r="X76">
        <f t="shared" si="5"/>
        <v>0.61080310880829014</v>
      </c>
      <c r="AA76" s="55">
        <v>72127</v>
      </c>
      <c r="AB76">
        <v>0.61080310880829014</v>
      </c>
    </row>
    <row r="77" spans="1:28" x14ac:dyDescent="0.25">
      <c r="A77" s="125"/>
      <c r="B77" s="55" t="s">
        <v>1500</v>
      </c>
      <c r="C77" s="55">
        <v>72271</v>
      </c>
      <c r="D77" s="56">
        <v>2</v>
      </c>
      <c r="E77" s="57">
        <v>0.5</v>
      </c>
      <c r="F77" s="57">
        <v>1</v>
      </c>
      <c r="G77" s="57">
        <v>0.375</v>
      </c>
      <c r="H77" s="56" t="s">
        <v>6958</v>
      </c>
      <c r="I77" s="56">
        <v>0.75</v>
      </c>
      <c r="J77" s="58">
        <v>15</v>
      </c>
      <c r="K77" s="58">
        <v>3.75</v>
      </c>
      <c r="L77" s="58">
        <v>7.5</v>
      </c>
      <c r="M77" s="58">
        <v>0.375</v>
      </c>
      <c r="N77" s="58" t="s">
        <v>6958</v>
      </c>
      <c r="O77" s="58">
        <v>5.625</v>
      </c>
      <c r="P77" s="59">
        <v>80</v>
      </c>
      <c r="Q77" s="59">
        <v>0</v>
      </c>
      <c r="R77" s="59">
        <v>20</v>
      </c>
      <c r="S77" s="59">
        <v>0.13</v>
      </c>
      <c r="T77" s="59" t="s">
        <v>6961</v>
      </c>
      <c r="U77" s="59">
        <v>10.4</v>
      </c>
      <c r="V77">
        <f t="shared" si="3"/>
        <v>97</v>
      </c>
      <c r="W77">
        <f t="shared" si="4"/>
        <v>16.774999999999999</v>
      </c>
      <c r="X77">
        <f t="shared" si="5"/>
        <v>0.1729381443298969</v>
      </c>
      <c r="AA77" s="55">
        <v>72271</v>
      </c>
      <c r="AB77">
        <v>0.1729381443298969</v>
      </c>
    </row>
    <row r="78" spans="1:28" x14ac:dyDescent="0.25">
      <c r="A78" s="125"/>
      <c r="B78" s="55" t="s">
        <v>1477</v>
      </c>
      <c r="C78" s="55">
        <v>72167</v>
      </c>
      <c r="D78" s="56">
        <v>2</v>
      </c>
      <c r="E78" s="57">
        <v>0</v>
      </c>
      <c r="F78" s="57">
        <v>0.5</v>
      </c>
      <c r="G78" s="57">
        <v>0.13</v>
      </c>
      <c r="H78" s="56" t="s">
        <v>6961</v>
      </c>
      <c r="I78" s="56">
        <v>0.26</v>
      </c>
      <c r="J78" s="58">
        <v>3</v>
      </c>
      <c r="K78" s="58">
        <v>0</v>
      </c>
      <c r="L78" s="58">
        <v>0.75</v>
      </c>
      <c r="M78" s="58">
        <v>0.13</v>
      </c>
      <c r="N78" s="58" t="s">
        <v>6961</v>
      </c>
      <c r="O78" s="58">
        <v>0.39</v>
      </c>
      <c r="P78" s="59">
        <v>2</v>
      </c>
      <c r="Q78" s="59">
        <v>0</v>
      </c>
      <c r="R78" s="59">
        <v>0.5</v>
      </c>
      <c r="S78" s="59">
        <v>0.13</v>
      </c>
      <c r="T78" s="59" t="s">
        <v>6961</v>
      </c>
      <c r="U78" s="59">
        <v>0.26</v>
      </c>
      <c r="V78">
        <f t="shared" si="3"/>
        <v>7</v>
      </c>
      <c r="W78">
        <f t="shared" si="4"/>
        <v>0.91</v>
      </c>
      <c r="X78">
        <f t="shared" si="5"/>
        <v>0.13</v>
      </c>
      <c r="AA78" s="55">
        <v>72167</v>
      </c>
      <c r="AB78">
        <v>0.13</v>
      </c>
    </row>
    <row r="79" spans="1:28" x14ac:dyDescent="0.25">
      <c r="A79" s="125"/>
      <c r="B79" s="55" t="s">
        <v>1476</v>
      </c>
      <c r="C79" s="55">
        <v>72159</v>
      </c>
      <c r="D79" s="56">
        <v>100</v>
      </c>
      <c r="E79" s="57">
        <v>0</v>
      </c>
      <c r="F79" s="57">
        <v>0</v>
      </c>
      <c r="G79" s="57">
        <v>0</v>
      </c>
      <c r="H79" s="56">
        <v>0</v>
      </c>
      <c r="I79" s="56">
        <v>0</v>
      </c>
      <c r="J79" s="58">
        <v>300</v>
      </c>
      <c r="K79" s="58">
        <v>75</v>
      </c>
      <c r="L79" s="58">
        <v>150</v>
      </c>
      <c r="M79" s="58">
        <v>0.375</v>
      </c>
      <c r="N79" s="58" t="s">
        <v>6958</v>
      </c>
      <c r="O79" s="58">
        <v>112.5</v>
      </c>
      <c r="P79" s="59">
        <v>300</v>
      </c>
      <c r="Q79" s="59">
        <v>150</v>
      </c>
      <c r="R79" s="59">
        <v>225</v>
      </c>
      <c r="S79" s="59">
        <v>0.625</v>
      </c>
      <c r="T79" s="59" t="s">
        <v>6960</v>
      </c>
      <c r="U79" s="59">
        <v>187.5</v>
      </c>
      <c r="V79">
        <f t="shared" si="3"/>
        <v>700</v>
      </c>
      <c r="W79">
        <f t="shared" si="4"/>
        <v>300</v>
      </c>
      <c r="X79">
        <f t="shared" si="5"/>
        <v>0.42857142857142855</v>
      </c>
      <c r="AA79" s="55">
        <v>72159</v>
      </c>
      <c r="AB79">
        <v>0.42857142857142855</v>
      </c>
    </row>
    <row r="80" spans="1:28" x14ac:dyDescent="0.25">
      <c r="A80" s="125"/>
      <c r="B80" s="55" t="s">
        <v>1505</v>
      </c>
      <c r="C80" s="55">
        <v>72284</v>
      </c>
      <c r="D80" s="56">
        <v>100</v>
      </c>
      <c r="E80" s="57">
        <v>0</v>
      </c>
      <c r="F80" s="57">
        <v>25</v>
      </c>
      <c r="G80" s="57">
        <v>0.13</v>
      </c>
      <c r="H80" s="56" t="s">
        <v>6961</v>
      </c>
      <c r="I80" s="56">
        <v>13</v>
      </c>
      <c r="J80" s="58">
        <v>10</v>
      </c>
      <c r="K80" s="58">
        <v>5</v>
      </c>
      <c r="L80" s="58">
        <v>7.5</v>
      </c>
      <c r="M80" s="58">
        <v>0.625</v>
      </c>
      <c r="N80" s="58" t="s">
        <v>6960</v>
      </c>
      <c r="O80" s="58">
        <v>6.25</v>
      </c>
      <c r="P80" s="59">
        <v>50</v>
      </c>
      <c r="Q80" s="59">
        <v>12.5</v>
      </c>
      <c r="R80" s="59">
        <v>25</v>
      </c>
      <c r="S80" s="59">
        <v>0.375</v>
      </c>
      <c r="T80" s="59" t="s">
        <v>6958</v>
      </c>
      <c r="U80" s="59">
        <v>18.75</v>
      </c>
      <c r="V80">
        <f t="shared" si="3"/>
        <v>160</v>
      </c>
      <c r="W80">
        <f t="shared" si="4"/>
        <v>38</v>
      </c>
      <c r="X80">
        <f t="shared" si="5"/>
        <v>0.23749999999999999</v>
      </c>
      <c r="AA80" s="55">
        <v>72284</v>
      </c>
      <c r="AB80">
        <v>0.23749999999999999</v>
      </c>
    </row>
    <row r="81" spans="1:28" x14ac:dyDescent="0.25">
      <c r="A81" s="125"/>
      <c r="B81" s="55" t="s">
        <v>1507</v>
      </c>
      <c r="C81" s="55">
        <v>72291</v>
      </c>
      <c r="D81" s="56">
        <v>70</v>
      </c>
      <c r="E81" s="57">
        <v>17.5</v>
      </c>
      <c r="F81" s="57">
        <v>35</v>
      </c>
      <c r="G81" s="57">
        <v>0.375</v>
      </c>
      <c r="H81" s="56" t="s">
        <v>6958</v>
      </c>
      <c r="I81" s="56">
        <v>26.25</v>
      </c>
      <c r="J81" s="58">
        <v>3</v>
      </c>
      <c r="K81" s="58">
        <v>225</v>
      </c>
      <c r="L81" s="58">
        <v>3</v>
      </c>
      <c r="M81" s="58">
        <v>0.87</v>
      </c>
      <c r="N81" s="58" t="s">
        <v>6959</v>
      </c>
      <c r="O81" s="58">
        <v>2.61</v>
      </c>
      <c r="P81" s="59">
        <v>30</v>
      </c>
      <c r="Q81" s="59">
        <v>7.5</v>
      </c>
      <c r="R81" s="59">
        <v>15</v>
      </c>
      <c r="S81" s="59">
        <v>0.375</v>
      </c>
      <c r="T81" s="59" t="s">
        <v>6958</v>
      </c>
      <c r="U81" s="59">
        <v>11.25</v>
      </c>
      <c r="V81">
        <f t="shared" si="3"/>
        <v>103</v>
      </c>
      <c r="W81">
        <f t="shared" si="4"/>
        <v>40.11</v>
      </c>
      <c r="X81">
        <f t="shared" si="5"/>
        <v>0.38941747572815533</v>
      </c>
      <c r="AA81" s="55">
        <v>72291</v>
      </c>
      <c r="AB81">
        <v>0.38941747572815533</v>
      </c>
    </row>
    <row r="82" spans="1:28" x14ac:dyDescent="0.25">
      <c r="A82" s="125"/>
      <c r="B82" s="55" t="s">
        <v>1480</v>
      </c>
      <c r="C82" s="55">
        <v>72191</v>
      </c>
      <c r="D82" s="56">
        <v>150</v>
      </c>
      <c r="E82" s="57">
        <v>0</v>
      </c>
      <c r="F82" s="57">
        <v>37.5</v>
      </c>
      <c r="G82" s="57">
        <v>0.13</v>
      </c>
      <c r="H82" s="56" t="s">
        <v>6961</v>
      </c>
      <c r="I82" s="56">
        <v>19.5</v>
      </c>
      <c r="J82" s="58">
        <v>100</v>
      </c>
      <c r="K82" s="58">
        <v>7500</v>
      </c>
      <c r="L82" s="58">
        <v>100</v>
      </c>
      <c r="M82" s="58">
        <v>0.87</v>
      </c>
      <c r="N82" s="58" t="s">
        <v>6959</v>
      </c>
      <c r="O82" s="58">
        <v>87</v>
      </c>
      <c r="P82" s="59">
        <v>150</v>
      </c>
      <c r="Q82" s="59">
        <v>112.5</v>
      </c>
      <c r="R82" s="59">
        <v>150</v>
      </c>
      <c r="S82" s="59">
        <v>0.87</v>
      </c>
      <c r="T82" s="59" t="s">
        <v>6959</v>
      </c>
      <c r="U82" s="59">
        <v>130.5</v>
      </c>
      <c r="V82">
        <f t="shared" si="3"/>
        <v>400</v>
      </c>
      <c r="W82">
        <f t="shared" si="4"/>
        <v>237</v>
      </c>
      <c r="X82">
        <f t="shared" si="5"/>
        <v>0.59250000000000003</v>
      </c>
      <c r="AA82" s="55">
        <v>72191</v>
      </c>
      <c r="AB82">
        <v>0.59250000000000003</v>
      </c>
    </row>
    <row r="83" spans="1:28" x14ac:dyDescent="0.25">
      <c r="A83" s="125"/>
      <c r="B83" s="55" t="s">
        <v>1479</v>
      </c>
      <c r="C83" s="55">
        <v>72183</v>
      </c>
      <c r="D83" s="56">
        <v>100</v>
      </c>
      <c r="E83" s="57">
        <v>50</v>
      </c>
      <c r="F83" s="57">
        <v>75</v>
      </c>
      <c r="G83" s="57">
        <v>0.625</v>
      </c>
      <c r="H83" s="56" t="s">
        <v>6960</v>
      </c>
      <c r="I83" s="56">
        <v>62.5</v>
      </c>
      <c r="J83" s="58">
        <v>300</v>
      </c>
      <c r="K83" s="58">
        <v>22500</v>
      </c>
      <c r="L83" s="58">
        <v>300</v>
      </c>
      <c r="M83" s="58">
        <v>0.87</v>
      </c>
      <c r="N83" s="58" t="s">
        <v>6959</v>
      </c>
      <c r="O83" s="58">
        <v>261</v>
      </c>
      <c r="P83" s="59">
        <v>100</v>
      </c>
      <c r="Q83" s="59">
        <v>75</v>
      </c>
      <c r="R83" s="59">
        <v>100</v>
      </c>
      <c r="S83" s="59">
        <v>0.87</v>
      </c>
      <c r="T83" s="59" t="s">
        <v>6959</v>
      </c>
      <c r="U83" s="59">
        <v>87</v>
      </c>
      <c r="V83">
        <f t="shared" si="3"/>
        <v>500</v>
      </c>
      <c r="W83">
        <f t="shared" si="4"/>
        <v>410.5</v>
      </c>
      <c r="X83">
        <f t="shared" si="5"/>
        <v>0.82099999999999995</v>
      </c>
      <c r="AA83" s="55">
        <v>72183</v>
      </c>
      <c r="AB83">
        <v>0.82099999999999995</v>
      </c>
    </row>
    <row r="84" spans="1:28" x14ac:dyDescent="0.25">
      <c r="A84" s="125"/>
      <c r="B84" s="55" t="s">
        <v>6964</v>
      </c>
      <c r="C84" s="55">
        <v>72151</v>
      </c>
      <c r="D84" s="56">
        <v>10</v>
      </c>
      <c r="E84" s="57">
        <v>7.5</v>
      </c>
      <c r="F84" s="57">
        <v>10</v>
      </c>
      <c r="G84" s="57">
        <v>0.87</v>
      </c>
      <c r="H84" s="56" t="s">
        <v>6959</v>
      </c>
      <c r="I84" s="56">
        <v>8.6999999999999993</v>
      </c>
      <c r="J84" s="58">
        <v>200</v>
      </c>
      <c r="K84" s="58">
        <v>15000</v>
      </c>
      <c r="L84" s="58">
        <v>200</v>
      </c>
      <c r="M84" s="58">
        <v>0.87</v>
      </c>
      <c r="N84" s="58" t="s">
        <v>6959</v>
      </c>
      <c r="O84" s="58">
        <v>174</v>
      </c>
      <c r="P84" s="59">
        <v>100</v>
      </c>
      <c r="Q84" s="59">
        <v>0</v>
      </c>
      <c r="R84" s="59">
        <v>25</v>
      </c>
      <c r="S84" s="59">
        <v>0.13</v>
      </c>
      <c r="T84" s="59" t="s">
        <v>6961</v>
      </c>
      <c r="U84" s="59">
        <v>13</v>
      </c>
      <c r="V84">
        <f t="shared" si="3"/>
        <v>310</v>
      </c>
      <c r="W84">
        <f t="shared" si="4"/>
        <v>195.7</v>
      </c>
      <c r="X84">
        <f t="shared" si="5"/>
        <v>0.6312903225806451</v>
      </c>
      <c r="AA84" s="55">
        <v>72151</v>
      </c>
      <c r="AB84">
        <v>0.6312903225806451</v>
      </c>
    </row>
    <row r="85" spans="1:28" x14ac:dyDescent="0.25">
      <c r="A85" s="125"/>
      <c r="B85" s="55" t="s">
        <v>1471</v>
      </c>
      <c r="C85" s="55">
        <v>72119</v>
      </c>
      <c r="D85" s="56">
        <v>0</v>
      </c>
      <c r="E85" s="57">
        <v>0</v>
      </c>
      <c r="F85" s="57">
        <v>0</v>
      </c>
      <c r="G85" s="57">
        <v>0</v>
      </c>
      <c r="H85" s="56">
        <v>0</v>
      </c>
      <c r="I85" s="56">
        <v>0</v>
      </c>
      <c r="J85" s="58">
        <v>20</v>
      </c>
      <c r="K85" s="58">
        <v>5</v>
      </c>
      <c r="L85" s="58">
        <v>10</v>
      </c>
      <c r="M85" s="58">
        <v>0.375</v>
      </c>
      <c r="N85" s="58" t="s">
        <v>6958</v>
      </c>
      <c r="O85" s="58">
        <v>7.5</v>
      </c>
      <c r="P85" s="59">
        <v>80</v>
      </c>
      <c r="Q85" s="59">
        <v>40</v>
      </c>
      <c r="R85" s="59">
        <v>60</v>
      </c>
      <c r="S85" s="59">
        <v>0.625</v>
      </c>
      <c r="T85" s="59" t="s">
        <v>6960</v>
      </c>
      <c r="U85" s="59">
        <v>50</v>
      </c>
      <c r="V85">
        <f t="shared" si="3"/>
        <v>100</v>
      </c>
      <c r="W85">
        <f t="shared" si="4"/>
        <v>57.5</v>
      </c>
      <c r="X85">
        <f t="shared" si="5"/>
        <v>0.57499999999999996</v>
      </c>
      <c r="AA85" s="55">
        <v>72119</v>
      </c>
      <c r="AB85">
        <v>0.57499999999999996</v>
      </c>
    </row>
    <row r="86" spans="1:28" x14ac:dyDescent="0.25">
      <c r="A86" s="125"/>
      <c r="B86" s="55" t="s">
        <v>1496</v>
      </c>
      <c r="C86" s="55">
        <v>72257</v>
      </c>
      <c r="D86" s="56">
        <v>400</v>
      </c>
      <c r="E86" s="57">
        <v>0</v>
      </c>
      <c r="F86" s="57">
        <v>100</v>
      </c>
      <c r="G86" s="57">
        <v>0.13</v>
      </c>
      <c r="H86" s="56" t="s">
        <v>6961</v>
      </c>
      <c r="I86" s="56">
        <v>52</v>
      </c>
      <c r="J86" s="58">
        <v>140</v>
      </c>
      <c r="K86" s="58">
        <v>35</v>
      </c>
      <c r="L86" s="58">
        <v>70</v>
      </c>
      <c r="M86" s="58">
        <v>0.375</v>
      </c>
      <c r="N86" s="58" t="s">
        <v>6958</v>
      </c>
      <c r="O86" s="58">
        <v>52.5</v>
      </c>
      <c r="P86" s="59">
        <v>800</v>
      </c>
      <c r="Q86" s="59">
        <v>0</v>
      </c>
      <c r="R86" s="59">
        <v>200</v>
      </c>
      <c r="S86" s="59">
        <v>0.13</v>
      </c>
      <c r="T86" s="59" t="s">
        <v>6961</v>
      </c>
      <c r="U86" s="59">
        <v>104</v>
      </c>
      <c r="V86">
        <f t="shared" si="3"/>
        <v>1340</v>
      </c>
      <c r="W86">
        <f t="shared" si="4"/>
        <v>208.5</v>
      </c>
      <c r="X86">
        <f t="shared" si="5"/>
        <v>0.15559701492537314</v>
      </c>
      <c r="AA86" s="55">
        <v>72257</v>
      </c>
      <c r="AB86">
        <v>0.15559701492537314</v>
      </c>
    </row>
    <row r="87" spans="1:28" x14ac:dyDescent="0.25">
      <c r="A87" s="125"/>
      <c r="B87" s="55" t="s">
        <v>1478</v>
      </c>
      <c r="C87" s="55">
        <v>72175</v>
      </c>
      <c r="D87" s="56">
        <v>15</v>
      </c>
      <c r="E87" s="57">
        <v>0</v>
      </c>
      <c r="F87" s="57">
        <v>3.75</v>
      </c>
      <c r="G87" s="57">
        <v>0.13</v>
      </c>
      <c r="H87" s="56" t="s">
        <v>6961</v>
      </c>
      <c r="I87" s="56">
        <v>1.9500000000000002</v>
      </c>
      <c r="J87" s="58">
        <v>45</v>
      </c>
      <c r="K87" s="58">
        <v>33.75</v>
      </c>
      <c r="L87" s="58">
        <v>45</v>
      </c>
      <c r="M87" s="58">
        <v>0.87</v>
      </c>
      <c r="N87" s="58" t="s">
        <v>6959</v>
      </c>
      <c r="O87" s="58">
        <v>39.15</v>
      </c>
      <c r="P87" s="59">
        <v>10</v>
      </c>
      <c r="Q87" s="59">
        <v>7.5</v>
      </c>
      <c r="R87" s="59">
        <v>10</v>
      </c>
      <c r="S87" s="59">
        <v>0.87</v>
      </c>
      <c r="T87" s="59" t="s">
        <v>6959</v>
      </c>
      <c r="U87" s="59">
        <v>8.6999999999999993</v>
      </c>
      <c r="V87">
        <f t="shared" si="3"/>
        <v>70</v>
      </c>
      <c r="W87">
        <f t="shared" si="4"/>
        <v>49.8</v>
      </c>
      <c r="X87">
        <f t="shared" si="5"/>
        <v>0.71142857142857141</v>
      </c>
      <c r="AA87" s="55">
        <v>72175</v>
      </c>
      <c r="AB87">
        <v>0.71142857142857141</v>
      </c>
    </row>
    <row r="88" spans="1:28" x14ac:dyDescent="0.25">
      <c r="A88" s="125"/>
      <c r="B88" s="55" t="s">
        <v>1481</v>
      </c>
      <c r="C88" s="55">
        <v>72211</v>
      </c>
      <c r="D88" s="56">
        <v>70</v>
      </c>
      <c r="E88" s="57">
        <v>0</v>
      </c>
      <c r="F88" s="57">
        <v>17.5</v>
      </c>
      <c r="G88" s="57">
        <v>0.13</v>
      </c>
      <c r="H88" s="56" t="s">
        <v>6961</v>
      </c>
      <c r="I88" s="56">
        <v>9.1</v>
      </c>
      <c r="J88" s="58">
        <v>20</v>
      </c>
      <c r="K88" s="58">
        <v>0</v>
      </c>
      <c r="L88" s="58">
        <v>5</v>
      </c>
      <c r="M88" s="58">
        <v>0.13</v>
      </c>
      <c r="N88" s="58" t="s">
        <v>6961</v>
      </c>
      <c r="O88" s="58">
        <v>2.6</v>
      </c>
      <c r="P88" s="59">
        <v>200</v>
      </c>
      <c r="Q88" s="59">
        <v>50</v>
      </c>
      <c r="R88" s="59">
        <v>100</v>
      </c>
      <c r="S88" s="59">
        <v>0.375</v>
      </c>
      <c r="T88" s="59" t="s">
        <v>6958</v>
      </c>
      <c r="U88" s="59">
        <v>75</v>
      </c>
      <c r="V88">
        <f t="shared" si="3"/>
        <v>290</v>
      </c>
      <c r="W88">
        <f t="shared" si="4"/>
        <v>86.699999999999989</v>
      </c>
      <c r="X88">
        <f t="shared" si="5"/>
        <v>0.29896551724137926</v>
      </c>
      <c r="AA88" s="55">
        <v>72211</v>
      </c>
      <c r="AB88">
        <v>0.29896551724137926</v>
      </c>
    </row>
    <row r="89" spans="1:28" x14ac:dyDescent="0.25">
      <c r="A89" s="125"/>
      <c r="B89" s="55" t="s">
        <v>1495</v>
      </c>
      <c r="C89" s="55">
        <v>72254</v>
      </c>
      <c r="D89" s="56">
        <v>1</v>
      </c>
      <c r="E89" s="57">
        <v>0.25</v>
      </c>
      <c r="F89" s="57">
        <v>0.5</v>
      </c>
      <c r="G89" s="57">
        <v>0.375</v>
      </c>
      <c r="H89" s="56" t="s">
        <v>6958</v>
      </c>
      <c r="I89" s="56">
        <v>0.375</v>
      </c>
      <c r="J89" s="58">
        <v>1</v>
      </c>
      <c r="K89" s="58">
        <v>0</v>
      </c>
      <c r="L89" s="58">
        <v>0.25</v>
      </c>
      <c r="M89" s="58">
        <v>0.13</v>
      </c>
      <c r="N89" s="58" t="s">
        <v>6961</v>
      </c>
      <c r="O89" s="58">
        <v>0.13</v>
      </c>
      <c r="P89" s="59">
        <v>3</v>
      </c>
      <c r="Q89" s="59">
        <v>0</v>
      </c>
      <c r="R89" s="59">
        <v>0.75</v>
      </c>
      <c r="S89" s="59">
        <v>0.13</v>
      </c>
      <c r="T89" s="59" t="s">
        <v>6961</v>
      </c>
      <c r="U89" s="59">
        <v>0.39</v>
      </c>
      <c r="V89">
        <f t="shared" si="3"/>
        <v>5</v>
      </c>
      <c r="W89">
        <f t="shared" si="4"/>
        <v>0.89500000000000002</v>
      </c>
      <c r="X89">
        <f t="shared" si="5"/>
        <v>0.17899999999999999</v>
      </c>
      <c r="AA89" s="55">
        <v>72254</v>
      </c>
      <c r="AB89">
        <v>0.17899999999999999</v>
      </c>
    </row>
    <row r="90" spans="1:28" x14ac:dyDescent="0.25">
      <c r="A90" s="138" t="s">
        <v>6965</v>
      </c>
      <c r="B90" s="60" t="s">
        <v>3022</v>
      </c>
      <c r="C90" s="60">
        <v>71397</v>
      </c>
      <c r="D90" s="57">
        <v>70</v>
      </c>
      <c r="E90" s="57">
        <v>0</v>
      </c>
      <c r="F90" s="57">
        <v>17.5</v>
      </c>
      <c r="G90" s="57">
        <v>0.13</v>
      </c>
      <c r="H90" s="56" t="s">
        <v>6961</v>
      </c>
      <c r="I90" s="56">
        <v>9.1</v>
      </c>
      <c r="J90" s="61">
        <v>200</v>
      </c>
      <c r="K90" s="61">
        <v>50</v>
      </c>
      <c r="L90" s="61">
        <v>100</v>
      </c>
      <c r="M90" s="61">
        <v>0.375</v>
      </c>
      <c r="N90" s="58" t="s">
        <v>6958</v>
      </c>
      <c r="O90" s="58">
        <v>75</v>
      </c>
      <c r="P90" s="59">
        <v>400</v>
      </c>
      <c r="Q90" s="62">
        <v>200</v>
      </c>
      <c r="R90" s="62">
        <v>300</v>
      </c>
      <c r="S90" s="62">
        <v>0.625</v>
      </c>
      <c r="T90" s="59" t="s">
        <v>6960</v>
      </c>
      <c r="U90" s="59">
        <v>250</v>
      </c>
      <c r="V90">
        <f t="shared" si="3"/>
        <v>670</v>
      </c>
      <c r="W90">
        <f t="shared" si="4"/>
        <v>334.1</v>
      </c>
      <c r="X90">
        <f t="shared" si="5"/>
        <v>0.49865671641791048</v>
      </c>
      <c r="AA90" s="60">
        <v>71397</v>
      </c>
      <c r="AB90">
        <v>0.49865671641791048</v>
      </c>
    </row>
    <row r="91" spans="1:28" x14ac:dyDescent="0.25">
      <c r="A91" s="125"/>
      <c r="B91" s="60" t="s">
        <v>1467</v>
      </c>
      <c r="C91" s="60">
        <v>71391</v>
      </c>
      <c r="D91" s="57">
        <v>0</v>
      </c>
      <c r="E91" s="57">
        <v>0</v>
      </c>
      <c r="F91" s="57">
        <v>0</v>
      </c>
      <c r="G91" s="57">
        <v>0</v>
      </c>
      <c r="H91" s="56">
        <v>0</v>
      </c>
      <c r="I91" s="56">
        <v>0</v>
      </c>
      <c r="J91" s="61">
        <v>80</v>
      </c>
      <c r="K91" s="61">
        <v>60</v>
      </c>
      <c r="L91" s="61">
        <v>80</v>
      </c>
      <c r="M91" s="61">
        <v>0.87</v>
      </c>
      <c r="N91" s="58" t="s">
        <v>6959</v>
      </c>
      <c r="O91" s="58">
        <v>69.599999999999994</v>
      </c>
      <c r="P91" s="59">
        <v>50</v>
      </c>
      <c r="Q91" s="62">
        <v>37.5</v>
      </c>
      <c r="R91" s="62">
        <v>50</v>
      </c>
      <c r="S91" s="62">
        <v>0.87</v>
      </c>
      <c r="T91" s="59" t="s">
        <v>6959</v>
      </c>
      <c r="U91" s="59">
        <v>43.5</v>
      </c>
      <c r="V91">
        <f t="shared" si="3"/>
        <v>130</v>
      </c>
      <c r="W91">
        <f t="shared" si="4"/>
        <v>113.1</v>
      </c>
      <c r="X91">
        <f t="shared" si="5"/>
        <v>0.87</v>
      </c>
      <c r="AA91" s="60">
        <v>71391</v>
      </c>
      <c r="AB91">
        <v>0.87</v>
      </c>
    </row>
    <row r="92" spans="1:28" x14ac:dyDescent="0.25">
      <c r="A92" s="125"/>
      <c r="B92" s="60" t="s">
        <v>1463</v>
      </c>
      <c r="C92" s="60">
        <v>71381</v>
      </c>
      <c r="D92" s="57">
        <v>0</v>
      </c>
      <c r="E92" s="57">
        <v>0</v>
      </c>
      <c r="F92" s="57">
        <v>0</v>
      </c>
      <c r="G92" s="57">
        <v>0</v>
      </c>
      <c r="H92" s="56">
        <v>0</v>
      </c>
      <c r="I92" s="56">
        <v>0</v>
      </c>
      <c r="J92" s="61">
        <v>10</v>
      </c>
      <c r="K92" s="61">
        <v>0</v>
      </c>
      <c r="L92" s="61">
        <v>2.5</v>
      </c>
      <c r="M92" s="61">
        <v>0.13</v>
      </c>
      <c r="N92" s="58" t="s">
        <v>6961</v>
      </c>
      <c r="O92" s="58">
        <v>1.3</v>
      </c>
      <c r="P92" s="59">
        <v>500</v>
      </c>
      <c r="Q92" s="62">
        <v>375</v>
      </c>
      <c r="R92" s="62">
        <v>500</v>
      </c>
      <c r="S92" s="62">
        <v>0.87</v>
      </c>
      <c r="T92" s="59" t="s">
        <v>6959</v>
      </c>
      <c r="U92" s="59">
        <v>435</v>
      </c>
      <c r="V92">
        <f t="shared" si="3"/>
        <v>510</v>
      </c>
      <c r="W92">
        <f t="shared" si="4"/>
        <v>436.3</v>
      </c>
      <c r="X92">
        <f t="shared" si="5"/>
        <v>0.85549019607843135</v>
      </c>
      <c r="AA92" s="60">
        <v>71381</v>
      </c>
      <c r="AB92">
        <v>0.85549019607843135</v>
      </c>
    </row>
    <row r="93" spans="1:28" x14ac:dyDescent="0.25">
      <c r="A93" s="125"/>
      <c r="B93" s="60" t="s">
        <v>1443</v>
      </c>
      <c r="C93" s="60">
        <v>71311</v>
      </c>
      <c r="D93" s="57">
        <v>50</v>
      </c>
      <c r="E93" s="57">
        <v>0</v>
      </c>
      <c r="F93" s="57">
        <v>12.5</v>
      </c>
      <c r="G93" s="57">
        <v>0.13</v>
      </c>
      <c r="H93" s="56" t="s">
        <v>6961</v>
      </c>
      <c r="I93" s="56">
        <v>6.5</v>
      </c>
      <c r="J93" s="61">
        <v>20</v>
      </c>
      <c r="K93" s="61">
        <v>0</v>
      </c>
      <c r="L93" s="61">
        <v>5</v>
      </c>
      <c r="M93" s="61">
        <v>0.13</v>
      </c>
      <c r="N93" s="58" t="s">
        <v>6961</v>
      </c>
      <c r="O93" s="58">
        <v>2.6</v>
      </c>
      <c r="P93" s="59">
        <v>20</v>
      </c>
      <c r="Q93" s="62">
        <v>5</v>
      </c>
      <c r="R93" s="62">
        <v>10</v>
      </c>
      <c r="S93" s="62">
        <v>0.375</v>
      </c>
      <c r="T93" s="59" t="s">
        <v>6958</v>
      </c>
      <c r="U93" s="59">
        <v>7.5</v>
      </c>
      <c r="V93">
        <f t="shared" si="3"/>
        <v>90</v>
      </c>
      <c r="W93">
        <f t="shared" si="4"/>
        <v>16.600000000000001</v>
      </c>
      <c r="X93">
        <f t="shared" si="5"/>
        <v>0.18444444444444447</v>
      </c>
      <c r="AA93" s="60">
        <v>71311</v>
      </c>
      <c r="AB93">
        <v>0.18444444444444447</v>
      </c>
    </row>
    <row r="94" spans="1:28" x14ac:dyDescent="0.25">
      <c r="A94" s="125"/>
      <c r="B94" s="60" t="s">
        <v>1455</v>
      </c>
      <c r="C94" s="60">
        <v>71354</v>
      </c>
      <c r="D94" s="57">
        <v>50</v>
      </c>
      <c r="E94" s="57">
        <v>0</v>
      </c>
      <c r="F94" s="57">
        <v>0</v>
      </c>
      <c r="G94" s="57">
        <v>0</v>
      </c>
      <c r="H94" s="56">
        <v>0</v>
      </c>
      <c r="I94" s="56">
        <v>0</v>
      </c>
      <c r="J94" s="61">
        <v>3</v>
      </c>
      <c r="K94" s="61">
        <v>0.75</v>
      </c>
      <c r="L94" s="61">
        <v>1.5</v>
      </c>
      <c r="M94" s="61">
        <v>0.375</v>
      </c>
      <c r="N94" s="58" t="s">
        <v>6958</v>
      </c>
      <c r="O94" s="58">
        <v>1.125</v>
      </c>
      <c r="P94" s="59">
        <v>10</v>
      </c>
      <c r="Q94" s="62">
        <v>0</v>
      </c>
      <c r="R94" s="62">
        <v>2.5</v>
      </c>
      <c r="S94" s="62">
        <v>0.13</v>
      </c>
      <c r="T94" s="59" t="s">
        <v>6961</v>
      </c>
      <c r="U94" s="59">
        <v>1.3</v>
      </c>
      <c r="V94">
        <f t="shared" si="3"/>
        <v>63</v>
      </c>
      <c r="W94">
        <f t="shared" si="4"/>
        <v>2.4249999999999998</v>
      </c>
      <c r="X94">
        <f t="shared" si="5"/>
        <v>3.8492063492063487E-2</v>
      </c>
      <c r="AA94" s="60">
        <v>71354</v>
      </c>
      <c r="AB94">
        <v>3.8492063492063487E-2</v>
      </c>
    </row>
    <row r="95" spans="1:28" x14ac:dyDescent="0.25">
      <c r="A95" s="125"/>
      <c r="B95" s="60" t="s">
        <v>1453</v>
      </c>
      <c r="C95" s="60">
        <v>71347</v>
      </c>
      <c r="D95" s="57">
        <v>0</v>
      </c>
      <c r="E95" s="57">
        <v>0</v>
      </c>
      <c r="F95" s="57">
        <v>0</v>
      </c>
      <c r="G95" s="57">
        <v>0</v>
      </c>
      <c r="H95" s="56">
        <v>0</v>
      </c>
      <c r="I95" s="56">
        <v>0</v>
      </c>
      <c r="J95" s="61">
        <v>250</v>
      </c>
      <c r="K95" s="61">
        <v>125</v>
      </c>
      <c r="L95" s="61">
        <v>187.5</v>
      </c>
      <c r="M95" s="61">
        <v>0.625</v>
      </c>
      <c r="N95" s="58" t="s">
        <v>6960</v>
      </c>
      <c r="O95" s="58">
        <v>156.25</v>
      </c>
      <c r="P95" s="59">
        <v>500</v>
      </c>
      <c r="Q95" s="62">
        <v>250</v>
      </c>
      <c r="R95" s="62">
        <v>375</v>
      </c>
      <c r="S95" s="62">
        <v>0.625</v>
      </c>
      <c r="T95" s="59" t="s">
        <v>6960</v>
      </c>
      <c r="U95" s="59">
        <v>312.5</v>
      </c>
      <c r="V95">
        <f t="shared" si="3"/>
        <v>750</v>
      </c>
      <c r="W95">
        <f t="shared" si="4"/>
        <v>468.75</v>
      </c>
      <c r="X95">
        <f t="shared" si="5"/>
        <v>0.625</v>
      </c>
      <c r="AA95" s="60">
        <v>71347</v>
      </c>
      <c r="AB95">
        <v>0.625</v>
      </c>
    </row>
    <row r="96" spans="1:28" x14ac:dyDescent="0.25">
      <c r="A96" s="125"/>
      <c r="B96" s="60" t="s">
        <v>1418</v>
      </c>
      <c r="C96" s="60">
        <v>71111</v>
      </c>
      <c r="D96" s="57">
        <v>1</v>
      </c>
      <c r="E96" s="57">
        <v>0</v>
      </c>
      <c r="F96" s="57">
        <v>0.25</v>
      </c>
      <c r="G96" s="57">
        <v>0.13</v>
      </c>
      <c r="H96" s="56" t="s">
        <v>6961</v>
      </c>
      <c r="I96" s="56">
        <v>0.13</v>
      </c>
      <c r="J96" s="61">
        <v>20</v>
      </c>
      <c r="K96" s="61">
        <v>0</v>
      </c>
      <c r="L96" s="61">
        <v>5</v>
      </c>
      <c r="M96" s="61">
        <v>0.13</v>
      </c>
      <c r="N96" s="58" t="s">
        <v>6961</v>
      </c>
      <c r="O96" s="58">
        <v>2.6</v>
      </c>
      <c r="P96" s="59">
        <v>4</v>
      </c>
      <c r="Q96" s="62">
        <v>0</v>
      </c>
      <c r="R96" s="62">
        <v>1</v>
      </c>
      <c r="S96" s="62">
        <v>0.13</v>
      </c>
      <c r="T96" s="59" t="s">
        <v>6961</v>
      </c>
      <c r="U96" s="59">
        <v>0.52</v>
      </c>
      <c r="V96">
        <f t="shared" si="3"/>
        <v>25</v>
      </c>
      <c r="W96">
        <f t="shared" si="4"/>
        <v>3.25</v>
      </c>
      <c r="X96">
        <f t="shared" si="5"/>
        <v>0.13</v>
      </c>
      <c r="AA96" s="60">
        <v>71111</v>
      </c>
      <c r="AB96">
        <v>0.13</v>
      </c>
    </row>
    <row r="97" spans="1:28" x14ac:dyDescent="0.25">
      <c r="A97" s="125"/>
      <c r="B97" s="60" t="s">
        <v>1421</v>
      </c>
      <c r="C97" s="60">
        <v>71117</v>
      </c>
      <c r="D97" s="57">
        <v>0</v>
      </c>
      <c r="E97" s="57">
        <v>0</v>
      </c>
      <c r="F97" s="57">
        <v>0</v>
      </c>
      <c r="G97" s="57">
        <v>0</v>
      </c>
      <c r="H97" s="56">
        <v>0</v>
      </c>
      <c r="I97" s="56">
        <v>0</v>
      </c>
      <c r="J97" s="61">
        <v>10</v>
      </c>
      <c r="K97" s="61">
        <v>2.5</v>
      </c>
      <c r="L97" s="61">
        <v>5</v>
      </c>
      <c r="M97" s="61">
        <v>0.375</v>
      </c>
      <c r="N97" s="58" t="s">
        <v>6958</v>
      </c>
      <c r="O97" s="58">
        <v>3.75</v>
      </c>
      <c r="P97" s="59">
        <v>1</v>
      </c>
      <c r="Q97" s="62">
        <v>0</v>
      </c>
      <c r="R97" s="62">
        <v>0.25</v>
      </c>
      <c r="S97" s="62">
        <v>0.13</v>
      </c>
      <c r="T97" s="59" t="s">
        <v>6961</v>
      </c>
      <c r="U97" s="59">
        <v>0.13</v>
      </c>
      <c r="V97">
        <f t="shared" si="3"/>
        <v>11</v>
      </c>
      <c r="W97">
        <f t="shared" si="4"/>
        <v>3.88</v>
      </c>
      <c r="X97">
        <f t="shared" si="5"/>
        <v>0.35272727272727272</v>
      </c>
      <c r="AA97" s="60">
        <v>71117</v>
      </c>
      <c r="AB97">
        <v>0.35272727272727272</v>
      </c>
    </row>
    <row r="98" spans="1:28" x14ac:dyDescent="0.25">
      <c r="A98" s="125"/>
      <c r="B98" s="60" t="s">
        <v>1446</v>
      </c>
      <c r="C98" s="60">
        <v>71324</v>
      </c>
      <c r="D98" s="57">
        <v>0</v>
      </c>
      <c r="E98" s="57">
        <v>0</v>
      </c>
      <c r="F98" s="57">
        <v>0</v>
      </c>
      <c r="G98" s="57">
        <v>0</v>
      </c>
      <c r="H98" s="56">
        <v>0</v>
      </c>
      <c r="I98" s="56">
        <v>0</v>
      </c>
      <c r="J98" s="61">
        <v>10</v>
      </c>
      <c r="K98" s="61">
        <v>0</v>
      </c>
      <c r="L98" s="61">
        <v>2.5</v>
      </c>
      <c r="M98" s="61">
        <v>0.13</v>
      </c>
      <c r="N98" s="58" t="s">
        <v>6961</v>
      </c>
      <c r="O98" s="58">
        <v>1.3</v>
      </c>
      <c r="P98" s="59">
        <v>1</v>
      </c>
      <c r="Q98" s="62">
        <v>0</v>
      </c>
      <c r="R98" s="62">
        <v>0.25</v>
      </c>
      <c r="S98" s="62">
        <v>0.13</v>
      </c>
      <c r="T98" s="59" t="s">
        <v>6961</v>
      </c>
      <c r="U98" s="59">
        <v>0.13</v>
      </c>
      <c r="V98">
        <f t="shared" si="3"/>
        <v>11</v>
      </c>
      <c r="W98">
        <f t="shared" si="4"/>
        <v>1.4300000000000002</v>
      </c>
      <c r="X98">
        <f t="shared" si="5"/>
        <v>0.13</v>
      </c>
      <c r="AA98" s="60">
        <v>71324</v>
      </c>
      <c r="AB98">
        <v>0.13</v>
      </c>
    </row>
    <row r="99" spans="1:28" x14ac:dyDescent="0.25">
      <c r="A99" s="125"/>
      <c r="B99" s="60" t="s">
        <v>1427</v>
      </c>
      <c r="C99" s="60">
        <v>71177</v>
      </c>
      <c r="D99" s="57">
        <v>0</v>
      </c>
      <c r="E99" s="57">
        <v>0</v>
      </c>
      <c r="F99" s="57">
        <v>0</v>
      </c>
      <c r="G99" s="57">
        <v>0</v>
      </c>
      <c r="H99" s="56">
        <v>0</v>
      </c>
      <c r="I99" s="56">
        <v>0</v>
      </c>
      <c r="J99" s="61">
        <v>60</v>
      </c>
      <c r="K99" s="61">
        <v>15</v>
      </c>
      <c r="L99" s="61">
        <v>30</v>
      </c>
      <c r="M99" s="61">
        <v>0.375</v>
      </c>
      <c r="N99" s="58" t="s">
        <v>6958</v>
      </c>
      <c r="O99" s="58">
        <v>22.5</v>
      </c>
      <c r="P99" s="59">
        <v>2</v>
      </c>
      <c r="Q99" s="62">
        <v>0</v>
      </c>
      <c r="R99" s="62">
        <v>0.5</v>
      </c>
      <c r="S99" s="62">
        <v>0.13</v>
      </c>
      <c r="T99" s="59" t="s">
        <v>6961</v>
      </c>
      <c r="U99" s="59">
        <v>0.26</v>
      </c>
      <c r="V99">
        <f t="shared" si="3"/>
        <v>62</v>
      </c>
      <c r="W99">
        <f t="shared" si="4"/>
        <v>22.76</v>
      </c>
      <c r="X99">
        <f t="shared" si="5"/>
        <v>0.36709677419354841</v>
      </c>
      <c r="AA99" s="60">
        <v>71177</v>
      </c>
      <c r="AB99">
        <v>0.36709677419354841</v>
      </c>
    </row>
    <row r="100" spans="1:28" x14ac:dyDescent="0.25">
      <c r="A100" s="125"/>
      <c r="B100" s="60" t="s">
        <v>1444</v>
      </c>
      <c r="C100" s="60">
        <v>71314</v>
      </c>
      <c r="D100" s="57">
        <v>0</v>
      </c>
      <c r="E100" s="57">
        <v>0</v>
      </c>
      <c r="F100" s="57">
        <v>0</v>
      </c>
      <c r="G100" s="57">
        <v>0</v>
      </c>
      <c r="H100" s="56">
        <v>0</v>
      </c>
      <c r="I100" s="56">
        <v>0</v>
      </c>
      <c r="J100" s="61">
        <v>30</v>
      </c>
      <c r="K100" s="61">
        <v>0</v>
      </c>
      <c r="L100" s="61">
        <v>7.5</v>
      </c>
      <c r="M100" s="61">
        <v>0.13</v>
      </c>
      <c r="N100" s="58" t="s">
        <v>6961</v>
      </c>
      <c r="O100" s="58">
        <v>3.9000000000000004</v>
      </c>
      <c r="P100" s="59">
        <v>10</v>
      </c>
      <c r="Q100" s="62">
        <v>0</v>
      </c>
      <c r="R100" s="62">
        <v>2.5</v>
      </c>
      <c r="S100" s="62">
        <v>0.13</v>
      </c>
      <c r="T100" s="59" t="s">
        <v>6961</v>
      </c>
      <c r="U100" s="59">
        <v>1.3</v>
      </c>
      <c r="V100">
        <f t="shared" si="3"/>
        <v>40</v>
      </c>
      <c r="W100">
        <f t="shared" si="4"/>
        <v>5.2</v>
      </c>
      <c r="X100">
        <f t="shared" si="5"/>
        <v>0.13</v>
      </c>
      <c r="AA100" s="60">
        <v>71314</v>
      </c>
      <c r="AB100">
        <v>0.13</v>
      </c>
    </row>
    <row r="101" spans="1:28" x14ac:dyDescent="0.25">
      <c r="A101" s="125"/>
      <c r="B101" s="60" t="s">
        <v>1428</v>
      </c>
      <c r="C101" s="60">
        <v>71211</v>
      </c>
      <c r="D101" s="57">
        <v>500</v>
      </c>
      <c r="E101" s="57">
        <v>0</v>
      </c>
      <c r="F101" s="57">
        <v>125</v>
      </c>
      <c r="G101" s="57">
        <v>0.13</v>
      </c>
      <c r="H101" s="56" t="s">
        <v>6961</v>
      </c>
      <c r="I101" s="56">
        <v>65</v>
      </c>
      <c r="J101" s="61">
        <v>3</v>
      </c>
      <c r="K101" s="61">
        <v>0</v>
      </c>
      <c r="L101" s="61">
        <v>0.75</v>
      </c>
      <c r="M101" s="61">
        <v>0.13</v>
      </c>
      <c r="N101" s="58" t="s">
        <v>6961</v>
      </c>
      <c r="O101" s="58">
        <v>0.39</v>
      </c>
      <c r="P101" s="59">
        <v>180</v>
      </c>
      <c r="Q101" s="62">
        <v>0</v>
      </c>
      <c r="R101" s="62">
        <v>45</v>
      </c>
      <c r="S101" s="62">
        <v>0.13</v>
      </c>
      <c r="T101" s="59" t="s">
        <v>6961</v>
      </c>
      <c r="U101" s="59">
        <v>23.400000000000002</v>
      </c>
      <c r="V101">
        <f t="shared" si="3"/>
        <v>683</v>
      </c>
      <c r="W101">
        <f t="shared" si="4"/>
        <v>88.79</v>
      </c>
      <c r="X101">
        <f t="shared" si="5"/>
        <v>0.13</v>
      </c>
      <c r="AA101" s="60">
        <v>71211</v>
      </c>
      <c r="AB101">
        <v>0.13</v>
      </c>
    </row>
    <row r="102" spans="1:28" x14ac:dyDescent="0.25">
      <c r="A102" s="125"/>
      <c r="B102" s="60" t="s">
        <v>1429</v>
      </c>
      <c r="C102" s="60">
        <v>71216</v>
      </c>
      <c r="D102" s="57">
        <v>0</v>
      </c>
      <c r="E102" s="57">
        <v>0</v>
      </c>
      <c r="F102" s="57">
        <v>0</v>
      </c>
      <c r="G102" s="57">
        <v>0</v>
      </c>
      <c r="H102" s="56">
        <v>0</v>
      </c>
      <c r="I102" s="56">
        <v>0</v>
      </c>
      <c r="J102" s="61">
        <v>1</v>
      </c>
      <c r="K102" s="61">
        <v>0</v>
      </c>
      <c r="L102" s="61">
        <v>0.25</v>
      </c>
      <c r="M102" s="61">
        <v>0.13</v>
      </c>
      <c r="N102" s="58" t="s">
        <v>6961</v>
      </c>
      <c r="O102" s="58">
        <v>0.13</v>
      </c>
      <c r="P102" s="59">
        <v>150</v>
      </c>
      <c r="Q102" s="62">
        <v>112.5</v>
      </c>
      <c r="R102" s="62">
        <v>150</v>
      </c>
      <c r="S102" s="62">
        <v>0.87</v>
      </c>
      <c r="T102" s="59" t="s">
        <v>6959</v>
      </c>
      <c r="U102" s="59">
        <v>130.5</v>
      </c>
      <c r="V102">
        <f t="shared" si="3"/>
        <v>151</v>
      </c>
      <c r="W102">
        <f t="shared" si="4"/>
        <v>130.63</v>
      </c>
      <c r="X102">
        <f t="shared" si="5"/>
        <v>0.86509933774834435</v>
      </c>
      <c r="AA102" s="60">
        <v>71216</v>
      </c>
      <c r="AB102">
        <v>0.86509933774834435</v>
      </c>
    </row>
    <row r="103" spans="1:28" x14ac:dyDescent="0.25">
      <c r="A103" s="125"/>
      <c r="B103" s="60" t="s">
        <v>1439</v>
      </c>
      <c r="C103" s="60">
        <v>71266</v>
      </c>
      <c r="D103" s="57">
        <v>0</v>
      </c>
      <c r="E103" s="57">
        <v>0</v>
      </c>
      <c r="F103" s="57">
        <v>0</v>
      </c>
      <c r="G103" s="57">
        <v>0</v>
      </c>
      <c r="H103" s="56">
        <v>0</v>
      </c>
      <c r="I103" s="56">
        <v>0</v>
      </c>
      <c r="J103" s="61">
        <v>10</v>
      </c>
      <c r="K103" s="61">
        <v>0</v>
      </c>
      <c r="L103" s="61">
        <v>2.5</v>
      </c>
      <c r="M103" s="61">
        <v>0.13</v>
      </c>
      <c r="N103" s="58" t="s">
        <v>6961</v>
      </c>
      <c r="O103" s="58">
        <v>1.3</v>
      </c>
      <c r="P103" s="59">
        <v>150</v>
      </c>
      <c r="Q103" s="62">
        <v>0</v>
      </c>
      <c r="R103" s="62">
        <v>37.5</v>
      </c>
      <c r="S103" s="62">
        <v>0.13</v>
      </c>
      <c r="T103" s="59" t="s">
        <v>6961</v>
      </c>
      <c r="U103" s="59">
        <v>19.5</v>
      </c>
      <c r="V103">
        <f t="shared" si="3"/>
        <v>160</v>
      </c>
      <c r="W103">
        <f t="shared" si="4"/>
        <v>20.8</v>
      </c>
      <c r="X103">
        <f t="shared" si="5"/>
        <v>0.13</v>
      </c>
      <c r="AA103" s="60">
        <v>71266</v>
      </c>
      <c r="AB103">
        <v>0.13</v>
      </c>
    </row>
    <row r="104" spans="1:28" x14ac:dyDescent="0.25">
      <c r="A104" s="125"/>
      <c r="B104" s="60" t="s">
        <v>1462</v>
      </c>
      <c r="C104" s="60">
        <v>71377</v>
      </c>
      <c r="D104" s="57">
        <v>20</v>
      </c>
      <c r="E104" s="57">
        <v>0</v>
      </c>
      <c r="F104" s="57">
        <v>0</v>
      </c>
      <c r="G104" s="57">
        <v>0</v>
      </c>
      <c r="H104" s="56">
        <v>0</v>
      </c>
      <c r="I104" s="56">
        <v>0</v>
      </c>
      <c r="J104" s="61">
        <v>250</v>
      </c>
      <c r="K104" s="61">
        <v>0</v>
      </c>
      <c r="L104" s="61">
        <v>62.5</v>
      </c>
      <c r="M104" s="61">
        <v>0.13</v>
      </c>
      <c r="N104" s="58" t="s">
        <v>6961</v>
      </c>
      <c r="O104" s="58">
        <v>32.5</v>
      </c>
      <c r="P104" s="59">
        <v>150</v>
      </c>
      <c r="Q104" s="62">
        <v>0</v>
      </c>
      <c r="R104" s="62">
        <v>37.5</v>
      </c>
      <c r="S104" s="62">
        <v>0.13</v>
      </c>
      <c r="T104" s="59" t="s">
        <v>6961</v>
      </c>
      <c r="U104" s="59">
        <v>19.5</v>
      </c>
      <c r="V104">
        <f t="shared" si="3"/>
        <v>420</v>
      </c>
      <c r="W104">
        <f t="shared" si="4"/>
        <v>52</v>
      </c>
      <c r="X104">
        <f t="shared" si="5"/>
        <v>0.12380952380952381</v>
      </c>
      <c r="AA104" s="60">
        <v>71377</v>
      </c>
      <c r="AB104">
        <v>0.12380952380952381</v>
      </c>
    </row>
    <row r="105" spans="1:28" x14ac:dyDescent="0.25">
      <c r="A105" s="125"/>
      <c r="B105" s="60" t="s">
        <v>1468</v>
      </c>
      <c r="C105" s="60">
        <v>71394</v>
      </c>
      <c r="D105" s="57">
        <v>100</v>
      </c>
      <c r="E105" s="57">
        <v>0</v>
      </c>
      <c r="F105" s="57">
        <v>25</v>
      </c>
      <c r="G105" s="57">
        <v>0.13</v>
      </c>
      <c r="H105" s="56" t="s">
        <v>6961</v>
      </c>
      <c r="I105" s="56">
        <v>13</v>
      </c>
      <c r="J105" s="61">
        <v>600</v>
      </c>
      <c r="K105" s="61">
        <v>0</v>
      </c>
      <c r="L105" s="61">
        <v>150</v>
      </c>
      <c r="M105" s="61">
        <v>0.13</v>
      </c>
      <c r="N105" s="58" t="s">
        <v>6961</v>
      </c>
      <c r="O105" s="58">
        <v>78</v>
      </c>
      <c r="P105" s="59">
        <v>100</v>
      </c>
      <c r="Q105" s="62">
        <v>0</v>
      </c>
      <c r="R105" s="62">
        <v>25</v>
      </c>
      <c r="S105" s="62">
        <v>0.13</v>
      </c>
      <c r="T105" s="59" t="s">
        <v>6961</v>
      </c>
      <c r="U105" s="59">
        <v>13</v>
      </c>
      <c r="V105">
        <f t="shared" si="3"/>
        <v>800</v>
      </c>
      <c r="W105">
        <f t="shared" si="4"/>
        <v>104</v>
      </c>
      <c r="X105">
        <f t="shared" si="5"/>
        <v>0.13</v>
      </c>
      <c r="AA105" s="60">
        <v>71394</v>
      </c>
      <c r="AB105">
        <v>0.13</v>
      </c>
    </row>
    <row r="106" spans="1:28" x14ac:dyDescent="0.25">
      <c r="A106" s="125"/>
      <c r="B106" s="60" t="s">
        <v>1456</v>
      </c>
      <c r="C106" s="60">
        <v>71357</v>
      </c>
      <c r="D106" s="57">
        <v>0</v>
      </c>
      <c r="E106" s="57">
        <v>0</v>
      </c>
      <c r="F106" s="57">
        <v>0</v>
      </c>
      <c r="G106" s="57">
        <v>0</v>
      </c>
      <c r="H106" s="56">
        <v>0</v>
      </c>
      <c r="I106" s="56">
        <v>0</v>
      </c>
      <c r="J106" s="61">
        <v>0.3</v>
      </c>
      <c r="K106" s="61">
        <v>0.22499999999999998</v>
      </c>
      <c r="L106" s="61">
        <v>0.3</v>
      </c>
      <c r="M106" s="61">
        <v>0.87</v>
      </c>
      <c r="N106" s="58" t="s">
        <v>6959</v>
      </c>
      <c r="O106" s="58">
        <v>0.26100000000000001</v>
      </c>
      <c r="P106" s="59">
        <v>120</v>
      </c>
      <c r="Q106" s="62">
        <v>90</v>
      </c>
      <c r="R106" s="62">
        <v>120</v>
      </c>
      <c r="S106" s="62">
        <v>0.87</v>
      </c>
      <c r="T106" s="59" t="s">
        <v>6959</v>
      </c>
      <c r="U106" s="59">
        <v>104.4</v>
      </c>
      <c r="V106">
        <f t="shared" si="3"/>
        <v>120.3</v>
      </c>
      <c r="W106">
        <f t="shared" si="4"/>
        <v>104.661</v>
      </c>
      <c r="X106">
        <f t="shared" si="5"/>
        <v>0.87</v>
      </c>
      <c r="AA106" s="60">
        <v>71357</v>
      </c>
      <c r="AB106">
        <v>0.87</v>
      </c>
    </row>
    <row r="107" spans="1:28" x14ac:dyDescent="0.25">
      <c r="A107" s="125"/>
      <c r="B107" s="60" t="s">
        <v>3019</v>
      </c>
      <c r="C107" s="60">
        <v>71327</v>
      </c>
      <c r="D107" s="57">
        <v>30</v>
      </c>
      <c r="E107" s="57">
        <v>0</v>
      </c>
      <c r="F107" s="57">
        <v>7.5</v>
      </c>
      <c r="G107" s="57">
        <v>0.13</v>
      </c>
      <c r="H107" s="56" t="s">
        <v>6961</v>
      </c>
      <c r="I107" s="56">
        <v>3.9000000000000004</v>
      </c>
      <c r="J107" s="61">
        <v>70</v>
      </c>
      <c r="K107" s="61">
        <v>52.5</v>
      </c>
      <c r="L107" s="61">
        <v>70</v>
      </c>
      <c r="M107" s="61">
        <v>0.87</v>
      </c>
      <c r="N107" s="58" t="s">
        <v>6959</v>
      </c>
      <c r="O107" s="58">
        <v>60.9</v>
      </c>
      <c r="P107" s="59">
        <v>150</v>
      </c>
      <c r="Q107" s="62">
        <v>112.5</v>
      </c>
      <c r="R107" s="62">
        <v>150</v>
      </c>
      <c r="S107" s="62">
        <v>0.87</v>
      </c>
      <c r="T107" s="59" t="s">
        <v>6959</v>
      </c>
      <c r="U107" s="59">
        <v>130.5</v>
      </c>
      <c r="V107">
        <f t="shared" si="3"/>
        <v>250</v>
      </c>
      <c r="W107">
        <f t="shared" si="4"/>
        <v>195.3</v>
      </c>
      <c r="X107">
        <f t="shared" si="5"/>
        <v>0.78120000000000001</v>
      </c>
      <c r="AA107" s="60">
        <v>71327</v>
      </c>
      <c r="AB107">
        <v>0.78120000000000001</v>
      </c>
    </row>
    <row r="108" spans="1:28" x14ac:dyDescent="0.25">
      <c r="A108" s="125"/>
      <c r="B108" s="60" t="s">
        <v>1466</v>
      </c>
      <c r="C108" s="60">
        <v>71387</v>
      </c>
      <c r="D108" s="57">
        <v>9</v>
      </c>
      <c r="E108" s="57">
        <v>4.5</v>
      </c>
      <c r="F108" s="57">
        <v>6.75</v>
      </c>
      <c r="G108" s="57">
        <v>0.625</v>
      </c>
      <c r="H108" s="56" t="s">
        <v>6960</v>
      </c>
      <c r="I108" s="56">
        <v>5.625</v>
      </c>
      <c r="J108" s="61">
        <v>25</v>
      </c>
      <c r="K108" s="61">
        <v>18.75</v>
      </c>
      <c r="L108" s="61">
        <v>25</v>
      </c>
      <c r="M108" s="61">
        <v>0.87</v>
      </c>
      <c r="N108" s="58" t="s">
        <v>6959</v>
      </c>
      <c r="O108" s="58">
        <v>21.75</v>
      </c>
      <c r="P108" s="59">
        <v>200</v>
      </c>
      <c r="Q108" s="62">
        <v>150</v>
      </c>
      <c r="R108" s="62">
        <v>200</v>
      </c>
      <c r="S108" s="62">
        <v>0.87</v>
      </c>
      <c r="T108" s="59" t="s">
        <v>6959</v>
      </c>
      <c r="U108" s="59">
        <v>174</v>
      </c>
      <c r="V108">
        <f t="shared" si="3"/>
        <v>234</v>
      </c>
      <c r="W108">
        <f t="shared" si="4"/>
        <v>201.375</v>
      </c>
      <c r="X108">
        <f t="shared" si="5"/>
        <v>0.86057692307692313</v>
      </c>
      <c r="AA108" s="60">
        <v>71387</v>
      </c>
      <c r="AB108">
        <v>0.86057692307692313</v>
      </c>
    </row>
    <row r="109" spans="1:28" x14ac:dyDescent="0.25">
      <c r="A109" s="125"/>
      <c r="B109" s="60" t="s">
        <v>1461</v>
      </c>
      <c r="C109" s="60">
        <v>71374</v>
      </c>
      <c r="D109" s="57">
        <v>0</v>
      </c>
      <c r="E109" s="57">
        <v>0</v>
      </c>
      <c r="F109" s="57">
        <v>0</v>
      </c>
      <c r="G109" s="57">
        <v>0</v>
      </c>
      <c r="H109" s="56">
        <v>0</v>
      </c>
      <c r="I109" s="56">
        <v>0</v>
      </c>
      <c r="J109" s="61">
        <v>90</v>
      </c>
      <c r="K109" s="61">
        <v>67.5</v>
      </c>
      <c r="L109" s="61">
        <v>90</v>
      </c>
      <c r="M109" s="61">
        <v>0.87</v>
      </c>
      <c r="N109" s="58" t="s">
        <v>6959</v>
      </c>
      <c r="O109" s="58">
        <v>78.3</v>
      </c>
      <c r="P109" s="59">
        <v>15</v>
      </c>
      <c r="Q109" s="62">
        <v>11.25</v>
      </c>
      <c r="R109" s="62">
        <v>15</v>
      </c>
      <c r="S109" s="62">
        <v>0.87</v>
      </c>
      <c r="T109" s="59" t="s">
        <v>6959</v>
      </c>
      <c r="U109" s="59">
        <v>13.05</v>
      </c>
      <c r="V109">
        <f t="shared" si="3"/>
        <v>105</v>
      </c>
      <c r="W109">
        <f t="shared" si="4"/>
        <v>91.35</v>
      </c>
      <c r="X109">
        <f t="shared" si="5"/>
        <v>0.87</v>
      </c>
      <c r="AA109" s="60">
        <v>71374</v>
      </c>
      <c r="AB109">
        <v>0.87</v>
      </c>
    </row>
    <row r="110" spans="1:28" x14ac:dyDescent="0.25">
      <c r="A110" s="125"/>
      <c r="B110" s="60" t="s">
        <v>1454</v>
      </c>
      <c r="C110" s="60">
        <v>71351</v>
      </c>
      <c r="D110" s="57">
        <v>0.1</v>
      </c>
      <c r="E110" s="57">
        <v>7.5000000000000011E-2</v>
      </c>
      <c r="F110" s="57">
        <v>0.1</v>
      </c>
      <c r="G110" s="57">
        <v>0.87</v>
      </c>
      <c r="H110" s="56" t="s">
        <v>6959</v>
      </c>
      <c r="I110" s="56">
        <v>8.7000000000000008E-2</v>
      </c>
      <c r="J110" s="61">
        <v>100</v>
      </c>
      <c r="K110" s="61">
        <v>75</v>
      </c>
      <c r="L110" s="61">
        <v>100</v>
      </c>
      <c r="M110" s="61">
        <v>0.87</v>
      </c>
      <c r="N110" s="58" t="s">
        <v>6959</v>
      </c>
      <c r="O110" s="58">
        <v>87</v>
      </c>
      <c r="P110" s="59">
        <v>300</v>
      </c>
      <c r="Q110" s="62">
        <v>225</v>
      </c>
      <c r="R110" s="62">
        <v>300</v>
      </c>
      <c r="S110" s="62">
        <v>0.87</v>
      </c>
      <c r="T110" s="59" t="s">
        <v>6959</v>
      </c>
      <c r="U110" s="59">
        <v>261</v>
      </c>
      <c r="V110">
        <f t="shared" si="3"/>
        <v>400.1</v>
      </c>
      <c r="W110">
        <f t="shared" si="4"/>
        <v>348.08699999999999</v>
      </c>
      <c r="X110">
        <f t="shared" si="5"/>
        <v>0.86999999999999988</v>
      </c>
      <c r="AA110" s="60">
        <v>71351</v>
      </c>
      <c r="AB110">
        <v>0.86999999999999988</v>
      </c>
    </row>
    <row r="111" spans="1:28" x14ac:dyDescent="0.25">
      <c r="A111" s="125"/>
      <c r="B111" s="60" t="s">
        <v>1431</v>
      </c>
      <c r="C111" s="60">
        <v>71226</v>
      </c>
      <c r="D111" s="57">
        <v>200</v>
      </c>
      <c r="E111" s="57">
        <v>0</v>
      </c>
      <c r="F111" s="57">
        <v>50</v>
      </c>
      <c r="G111" s="57">
        <v>0.13</v>
      </c>
      <c r="H111" s="56" t="s">
        <v>6961</v>
      </c>
      <c r="I111" s="56">
        <v>26</v>
      </c>
      <c r="J111" s="61">
        <v>25</v>
      </c>
      <c r="K111" s="61">
        <v>0</v>
      </c>
      <c r="L111" s="61">
        <v>6.25</v>
      </c>
      <c r="M111" s="61">
        <v>0.13</v>
      </c>
      <c r="N111" s="58" t="s">
        <v>6961</v>
      </c>
      <c r="O111" s="58">
        <v>3.25</v>
      </c>
      <c r="P111" s="59">
        <v>15</v>
      </c>
      <c r="Q111" s="62">
        <v>0</v>
      </c>
      <c r="R111" s="62">
        <v>3.75</v>
      </c>
      <c r="S111" s="62">
        <v>0.13</v>
      </c>
      <c r="T111" s="59" t="s">
        <v>6961</v>
      </c>
      <c r="U111" s="59">
        <v>1.9500000000000002</v>
      </c>
      <c r="V111">
        <f t="shared" si="3"/>
        <v>240</v>
      </c>
      <c r="W111">
        <f t="shared" si="4"/>
        <v>31.2</v>
      </c>
      <c r="X111">
        <f t="shared" si="5"/>
        <v>0.13</v>
      </c>
      <c r="AA111" s="60">
        <v>71226</v>
      </c>
      <c r="AB111">
        <v>0.13</v>
      </c>
    </row>
    <row r="112" spans="1:28" x14ac:dyDescent="0.25">
      <c r="A112" s="125"/>
      <c r="B112" s="60" t="s">
        <v>1437</v>
      </c>
      <c r="C112" s="60">
        <v>71256</v>
      </c>
      <c r="D112" s="57">
        <v>10</v>
      </c>
      <c r="E112" s="57">
        <v>0</v>
      </c>
      <c r="F112" s="57">
        <v>0</v>
      </c>
      <c r="G112" s="57">
        <v>0</v>
      </c>
      <c r="H112" s="56">
        <v>0</v>
      </c>
      <c r="I112" s="56">
        <v>0</v>
      </c>
      <c r="J112" s="61">
        <v>5</v>
      </c>
      <c r="K112" s="61">
        <v>0</v>
      </c>
      <c r="L112" s="61">
        <v>0</v>
      </c>
      <c r="M112" s="61">
        <v>0</v>
      </c>
      <c r="N112" s="58">
        <v>0</v>
      </c>
      <c r="O112" s="58">
        <v>0</v>
      </c>
      <c r="P112" s="59">
        <v>6</v>
      </c>
      <c r="Q112" s="62">
        <v>1.5</v>
      </c>
      <c r="R112" s="62">
        <v>3</v>
      </c>
      <c r="S112" s="62">
        <v>0.375</v>
      </c>
      <c r="T112" s="59" t="s">
        <v>6958</v>
      </c>
      <c r="U112" s="59">
        <v>2.25</v>
      </c>
      <c r="V112">
        <f t="shared" si="3"/>
        <v>21</v>
      </c>
      <c r="W112">
        <f t="shared" si="4"/>
        <v>2.25</v>
      </c>
      <c r="X112">
        <f t="shared" si="5"/>
        <v>0.10714285714285714</v>
      </c>
      <c r="AA112" s="60">
        <v>71256</v>
      </c>
      <c r="AB112">
        <v>0.10714285714285714</v>
      </c>
    </row>
    <row r="113" spans="1:28" x14ac:dyDescent="0.25">
      <c r="A113" s="125"/>
      <c r="B113" s="60" t="s">
        <v>1440</v>
      </c>
      <c r="C113" s="60">
        <v>71271</v>
      </c>
      <c r="D113" s="57">
        <v>350</v>
      </c>
      <c r="E113" s="57">
        <v>0</v>
      </c>
      <c r="F113" s="57">
        <v>87.5</v>
      </c>
      <c r="G113" s="57">
        <v>0.13</v>
      </c>
      <c r="H113" s="56" t="s">
        <v>6961</v>
      </c>
      <c r="I113" s="56">
        <v>45.5</v>
      </c>
      <c r="J113" s="61">
        <v>70</v>
      </c>
      <c r="K113" s="61">
        <v>0</v>
      </c>
      <c r="L113" s="61">
        <v>17.5</v>
      </c>
      <c r="M113" s="61">
        <v>0.13</v>
      </c>
      <c r="N113" s="58" t="s">
        <v>6961</v>
      </c>
      <c r="O113" s="58">
        <v>9.1</v>
      </c>
      <c r="P113" s="59">
        <v>50</v>
      </c>
      <c r="Q113" s="62">
        <v>0</v>
      </c>
      <c r="R113" s="62">
        <v>12.5</v>
      </c>
      <c r="S113" s="62">
        <v>0.13</v>
      </c>
      <c r="T113" s="59" t="s">
        <v>6961</v>
      </c>
      <c r="U113" s="59">
        <v>6.5</v>
      </c>
      <c r="V113">
        <f t="shared" si="3"/>
        <v>470</v>
      </c>
      <c r="W113">
        <f t="shared" si="4"/>
        <v>61.1</v>
      </c>
      <c r="X113">
        <f t="shared" si="5"/>
        <v>0.13</v>
      </c>
      <c r="AA113" s="60">
        <v>71271</v>
      </c>
      <c r="AB113">
        <v>0.13</v>
      </c>
    </row>
    <row r="114" spans="1:28" x14ac:dyDescent="0.25">
      <c r="A114" s="125"/>
      <c r="B114" s="60" t="s">
        <v>1457</v>
      </c>
      <c r="C114" s="60">
        <v>71361</v>
      </c>
      <c r="D114" s="57">
        <v>200</v>
      </c>
      <c r="E114" s="57">
        <v>100</v>
      </c>
      <c r="F114" s="57">
        <v>150</v>
      </c>
      <c r="G114" s="57">
        <v>0.625</v>
      </c>
      <c r="H114" s="56" t="s">
        <v>6960</v>
      </c>
      <c r="I114" s="56">
        <v>125</v>
      </c>
      <c r="J114" s="61">
        <v>400</v>
      </c>
      <c r="K114" s="61">
        <v>300</v>
      </c>
      <c r="L114" s="61">
        <v>400</v>
      </c>
      <c r="M114" s="61">
        <v>0.87</v>
      </c>
      <c r="N114" s="58" t="s">
        <v>6959</v>
      </c>
      <c r="O114" s="58">
        <v>348</v>
      </c>
      <c r="P114" s="59">
        <v>800</v>
      </c>
      <c r="Q114" s="62">
        <v>400</v>
      </c>
      <c r="R114" s="62">
        <v>600</v>
      </c>
      <c r="S114" s="62">
        <v>0.625</v>
      </c>
      <c r="T114" s="59" t="s">
        <v>6960</v>
      </c>
      <c r="U114" s="59">
        <v>500</v>
      </c>
      <c r="V114">
        <f t="shared" si="3"/>
        <v>1400</v>
      </c>
      <c r="W114">
        <f t="shared" si="4"/>
        <v>973</v>
      </c>
      <c r="X114">
        <f t="shared" si="5"/>
        <v>0.69499999999999995</v>
      </c>
      <c r="AA114" s="60">
        <v>71361</v>
      </c>
      <c r="AB114">
        <v>0.69499999999999995</v>
      </c>
    </row>
    <row r="115" spans="1:28" x14ac:dyDescent="0.25">
      <c r="A115" s="125"/>
      <c r="B115" s="60" t="s">
        <v>3017</v>
      </c>
      <c r="C115" s="60">
        <v>71276</v>
      </c>
      <c r="D115" s="57">
        <v>15</v>
      </c>
      <c r="E115" s="57">
        <v>0</v>
      </c>
      <c r="F115" s="57">
        <v>3.75</v>
      </c>
      <c r="G115" s="57">
        <v>0.13</v>
      </c>
      <c r="H115" s="56" t="s">
        <v>6961</v>
      </c>
      <c r="I115" s="56">
        <v>1.9500000000000002</v>
      </c>
      <c r="J115" s="61">
        <v>10</v>
      </c>
      <c r="K115" s="61">
        <v>0</v>
      </c>
      <c r="L115" s="61">
        <v>2.5</v>
      </c>
      <c r="M115" s="61">
        <v>0.13</v>
      </c>
      <c r="N115" s="58" t="s">
        <v>6961</v>
      </c>
      <c r="O115" s="58">
        <v>1.3</v>
      </c>
      <c r="P115" s="59">
        <v>120</v>
      </c>
      <c r="Q115" s="62">
        <v>0</v>
      </c>
      <c r="R115" s="62">
        <v>30</v>
      </c>
      <c r="S115" s="62">
        <v>0.13</v>
      </c>
      <c r="T115" s="59" t="s">
        <v>6961</v>
      </c>
      <c r="U115" s="59">
        <v>15.600000000000001</v>
      </c>
      <c r="V115">
        <f t="shared" si="3"/>
        <v>145</v>
      </c>
      <c r="W115">
        <f t="shared" si="4"/>
        <v>18.850000000000001</v>
      </c>
      <c r="X115">
        <f t="shared" si="5"/>
        <v>0.13</v>
      </c>
      <c r="AA115" s="60">
        <v>71276</v>
      </c>
      <c r="AB115">
        <v>0.13</v>
      </c>
    </row>
    <row r="116" spans="1:28" x14ac:dyDescent="0.25">
      <c r="A116" s="125"/>
      <c r="B116" s="60" t="s">
        <v>3018</v>
      </c>
      <c r="C116" s="60">
        <v>71321</v>
      </c>
      <c r="D116" s="57">
        <v>7</v>
      </c>
      <c r="E116" s="57">
        <v>0</v>
      </c>
      <c r="F116" s="57">
        <v>1.75</v>
      </c>
      <c r="G116" s="57">
        <v>0.13</v>
      </c>
      <c r="H116" s="56" t="s">
        <v>6961</v>
      </c>
      <c r="I116" s="56">
        <v>0.91</v>
      </c>
      <c r="J116" s="61">
        <v>75</v>
      </c>
      <c r="K116" s="61">
        <v>56.25</v>
      </c>
      <c r="L116" s="61">
        <v>75</v>
      </c>
      <c r="M116" s="61">
        <v>0.87</v>
      </c>
      <c r="N116" s="58" t="s">
        <v>6959</v>
      </c>
      <c r="O116" s="58">
        <v>65.25</v>
      </c>
      <c r="P116" s="59">
        <v>80</v>
      </c>
      <c r="Q116" s="62">
        <v>60</v>
      </c>
      <c r="R116" s="62">
        <v>80</v>
      </c>
      <c r="S116" s="62">
        <v>0.87</v>
      </c>
      <c r="T116" s="59" t="s">
        <v>6959</v>
      </c>
      <c r="U116" s="59">
        <v>69.599999999999994</v>
      </c>
      <c r="V116">
        <f t="shared" si="3"/>
        <v>162</v>
      </c>
      <c r="W116">
        <f t="shared" si="4"/>
        <v>135.76</v>
      </c>
      <c r="X116">
        <f t="shared" si="5"/>
        <v>0.8380246913580246</v>
      </c>
      <c r="AA116" s="60">
        <v>71321</v>
      </c>
      <c r="AB116">
        <v>0.8380246913580246</v>
      </c>
    </row>
    <row r="117" spans="1:28" x14ac:dyDescent="0.25">
      <c r="A117" s="125"/>
      <c r="B117" s="60" t="s">
        <v>1424</v>
      </c>
      <c r="C117" s="60">
        <v>71144</v>
      </c>
      <c r="D117" s="57">
        <v>0</v>
      </c>
      <c r="E117" s="57">
        <v>0</v>
      </c>
      <c r="F117" s="57">
        <v>0</v>
      </c>
      <c r="G117" s="57">
        <v>0</v>
      </c>
      <c r="H117" s="56">
        <v>0</v>
      </c>
      <c r="I117" s="56">
        <v>0</v>
      </c>
      <c r="J117" s="61">
        <v>15</v>
      </c>
      <c r="K117" s="61">
        <v>3.75</v>
      </c>
      <c r="L117" s="61">
        <v>7.5</v>
      </c>
      <c r="M117" s="61">
        <v>0.375</v>
      </c>
      <c r="N117" s="58" t="s">
        <v>6958</v>
      </c>
      <c r="O117" s="58">
        <v>5.625</v>
      </c>
      <c r="P117" s="59">
        <v>4</v>
      </c>
      <c r="Q117" s="62">
        <v>1</v>
      </c>
      <c r="R117" s="62">
        <v>2</v>
      </c>
      <c r="S117" s="62">
        <v>0.375</v>
      </c>
      <c r="T117" s="59" t="s">
        <v>6958</v>
      </c>
      <c r="U117" s="59">
        <v>1.5</v>
      </c>
      <c r="V117">
        <f t="shared" si="3"/>
        <v>19</v>
      </c>
      <c r="W117">
        <f t="shared" si="4"/>
        <v>7.125</v>
      </c>
      <c r="X117">
        <f t="shared" si="5"/>
        <v>0.375</v>
      </c>
      <c r="AA117" s="60">
        <v>71144</v>
      </c>
      <c r="AB117">
        <v>0.375</v>
      </c>
    </row>
    <row r="118" spans="1:28" x14ac:dyDescent="0.25">
      <c r="A118" s="125"/>
      <c r="B118" s="60" t="s">
        <v>1449</v>
      </c>
      <c r="C118" s="60">
        <v>71334</v>
      </c>
      <c r="D118" s="57">
        <v>35</v>
      </c>
      <c r="E118" s="57">
        <v>0</v>
      </c>
      <c r="F118" s="57">
        <v>0</v>
      </c>
      <c r="G118" s="57">
        <v>0</v>
      </c>
      <c r="H118" s="56">
        <v>0</v>
      </c>
      <c r="I118" s="56">
        <v>0</v>
      </c>
      <c r="J118" s="61">
        <v>100</v>
      </c>
      <c r="K118" s="61">
        <v>0</v>
      </c>
      <c r="L118" s="61">
        <v>0</v>
      </c>
      <c r="M118" s="61">
        <v>0</v>
      </c>
      <c r="N118" s="58">
        <v>0</v>
      </c>
      <c r="O118" s="58">
        <v>0</v>
      </c>
      <c r="P118" s="59">
        <v>300</v>
      </c>
      <c r="Q118" s="62">
        <v>0</v>
      </c>
      <c r="R118" s="62">
        <v>75</v>
      </c>
      <c r="S118" s="62">
        <v>0.13</v>
      </c>
      <c r="T118" s="59" t="s">
        <v>6961</v>
      </c>
      <c r="U118" s="59">
        <v>39</v>
      </c>
      <c r="V118">
        <f t="shared" si="3"/>
        <v>435</v>
      </c>
      <c r="W118">
        <f t="shared" si="4"/>
        <v>39</v>
      </c>
      <c r="X118">
        <f t="shared" si="5"/>
        <v>8.9655172413793102E-2</v>
      </c>
      <c r="AA118" s="60">
        <v>71334</v>
      </c>
      <c r="AB118">
        <v>8.9655172413793102E-2</v>
      </c>
    </row>
    <row r="119" spans="1:28" x14ac:dyDescent="0.25">
      <c r="A119" s="125"/>
      <c r="B119" s="60" t="s">
        <v>1425</v>
      </c>
      <c r="C119" s="60">
        <v>71155</v>
      </c>
      <c r="D119" s="57">
        <v>0</v>
      </c>
      <c r="E119" s="57">
        <v>0</v>
      </c>
      <c r="F119" s="57">
        <v>0</v>
      </c>
      <c r="G119" s="57">
        <v>0</v>
      </c>
      <c r="H119" s="56">
        <v>0</v>
      </c>
      <c r="I119" s="56">
        <v>0</v>
      </c>
      <c r="J119" s="61">
        <v>100</v>
      </c>
      <c r="K119" s="61">
        <v>0</v>
      </c>
      <c r="L119" s="61">
        <v>25</v>
      </c>
      <c r="M119" s="61">
        <v>0.13</v>
      </c>
      <c r="N119" s="58" t="s">
        <v>6961</v>
      </c>
      <c r="O119" s="58">
        <v>13</v>
      </c>
      <c r="P119" s="59">
        <v>80</v>
      </c>
      <c r="Q119" s="62">
        <v>0</v>
      </c>
      <c r="R119" s="62">
        <v>20</v>
      </c>
      <c r="S119" s="62">
        <v>0.13</v>
      </c>
      <c r="T119" s="59" t="s">
        <v>6961</v>
      </c>
      <c r="U119" s="59">
        <v>10.4</v>
      </c>
      <c r="V119">
        <f t="shared" si="3"/>
        <v>180</v>
      </c>
      <c r="W119">
        <f t="shared" si="4"/>
        <v>23.4</v>
      </c>
      <c r="X119">
        <f t="shared" si="5"/>
        <v>0.13</v>
      </c>
      <c r="AA119" s="60">
        <v>71155</v>
      </c>
      <c r="AB119">
        <v>0.13</v>
      </c>
    </row>
    <row r="120" spans="1:28" x14ac:dyDescent="0.25">
      <c r="A120" s="125"/>
      <c r="B120" s="60" t="s">
        <v>1460</v>
      </c>
      <c r="C120" s="60">
        <v>71371</v>
      </c>
      <c r="D120" s="57">
        <v>10</v>
      </c>
      <c r="E120" s="57">
        <v>0</v>
      </c>
      <c r="F120" s="57">
        <v>2.5</v>
      </c>
      <c r="G120" s="57">
        <v>0.13</v>
      </c>
      <c r="H120" s="56" t="s">
        <v>6961</v>
      </c>
      <c r="I120" s="56">
        <v>1.3</v>
      </c>
      <c r="J120" s="61">
        <v>300</v>
      </c>
      <c r="K120" s="61">
        <v>225</v>
      </c>
      <c r="L120" s="61">
        <v>300</v>
      </c>
      <c r="M120" s="61">
        <v>0.87</v>
      </c>
      <c r="N120" s="58" t="s">
        <v>6959</v>
      </c>
      <c r="O120" s="58">
        <v>261</v>
      </c>
      <c r="P120" s="59">
        <v>150</v>
      </c>
      <c r="Q120" s="62">
        <v>0</v>
      </c>
      <c r="R120" s="62">
        <v>37.5</v>
      </c>
      <c r="S120" s="62">
        <v>0.13</v>
      </c>
      <c r="T120" s="59" t="s">
        <v>6961</v>
      </c>
      <c r="U120" s="59">
        <v>19.5</v>
      </c>
      <c r="V120">
        <f t="shared" si="3"/>
        <v>460</v>
      </c>
      <c r="W120">
        <f t="shared" si="4"/>
        <v>281.8</v>
      </c>
      <c r="X120">
        <f t="shared" si="5"/>
        <v>0.61260869565217391</v>
      </c>
      <c r="AA120" s="60">
        <v>71371</v>
      </c>
      <c r="AB120">
        <v>0.61260869565217391</v>
      </c>
    </row>
    <row r="121" spans="1:28" x14ac:dyDescent="0.25">
      <c r="A121" s="125"/>
      <c r="B121" s="60" t="s">
        <v>1448</v>
      </c>
      <c r="C121" s="60">
        <v>71331</v>
      </c>
      <c r="D121" s="57">
        <v>0</v>
      </c>
      <c r="E121" s="57">
        <v>0</v>
      </c>
      <c r="F121" s="57">
        <v>0</v>
      </c>
      <c r="G121" s="57">
        <v>0</v>
      </c>
      <c r="H121" s="56">
        <v>0</v>
      </c>
      <c r="I121" s="56">
        <v>0</v>
      </c>
      <c r="J121" s="61">
        <v>20</v>
      </c>
      <c r="K121" s="61">
        <v>5</v>
      </c>
      <c r="L121" s="61">
        <v>10</v>
      </c>
      <c r="M121" s="61">
        <v>0.375</v>
      </c>
      <c r="N121" s="58" t="s">
        <v>6958</v>
      </c>
      <c r="O121" s="58">
        <v>7.5</v>
      </c>
      <c r="P121" s="59">
        <v>300</v>
      </c>
      <c r="Q121" s="62">
        <v>225</v>
      </c>
      <c r="R121" s="62">
        <v>300</v>
      </c>
      <c r="S121" s="62">
        <v>0.87</v>
      </c>
      <c r="T121" s="59" t="s">
        <v>6959</v>
      </c>
      <c r="U121" s="59">
        <v>261</v>
      </c>
      <c r="V121">
        <f t="shared" si="3"/>
        <v>320</v>
      </c>
      <c r="W121">
        <f t="shared" si="4"/>
        <v>268.5</v>
      </c>
      <c r="X121">
        <f t="shared" si="5"/>
        <v>0.83906250000000004</v>
      </c>
      <c r="AA121" s="60">
        <v>71331</v>
      </c>
      <c r="AB121">
        <v>0.83906250000000004</v>
      </c>
    </row>
    <row r="122" spans="1:28" x14ac:dyDescent="0.25">
      <c r="A122" s="125"/>
      <c r="B122" s="60" t="s">
        <v>3016</v>
      </c>
      <c r="C122" s="60">
        <v>71251</v>
      </c>
      <c r="D122" s="57">
        <v>150</v>
      </c>
      <c r="E122" s="57">
        <v>0</v>
      </c>
      <c r="F122" s="57">
        <v>37.5</v>
      </c>
      <c r="G122" s="57">
        <v>0.13</v>
      </c>
      <c r="H122" s="56" t="s">
        <v>6961</v>
      </c>
      <c r="I122" s="56">
        <v>19.5</v>
      </c>
      <c r="J122" s="61">
        <v>100</v>
      </c>
      <c r="K122" s="61">
        <v>50</v>
      </c>
      <c r="L122" s="61">
        <v>75</v>
      </c>
      <c r="M122" s="61">
        <v>0.625</v>
      </c>
      <c r="N122" s="58" t="s">
        <v>6960</v>
      </c>
      <c r="O122" s="58">
        <v>62.5</v>
      </c>
      <c r="P122" s="59">
        <v>300</v>
      </c>
      <c r="Q122" s="62">
        <v>75</v>
      </c>
      <c r="R122" s="62">
        <v>150</v>
      </c>
      <c r="S122" s="62">
        <v>0.32500000000000001</v>
      </c>
      <c r="T122" s="59" t="s">
        <v>6958</v>
      </c>
      <c r="U122" s="59">
        <v>97.5</v>
      </c>
      <c r="V122">
        <f t="shared" si="3"/>
        <v>550</v>
      </c>
      <c r="W122">
        <f t="shared" si="4"/>
        <v>179.5</v>
      </c>
      <c r="X122">
        <f t="shared" si="5"/>
        <v>0.32636363636363636</v>
      </c>
      <c r="AA122" s="60">
        <v>71251</v>
      </c>
      <c r="AB122">
        <v>0.32636363636363636</v>
      </c>
    </row>
    <row r="123" spans="1:28" x14ac:dyDescent="0.25">
      <c r="A123" s="125"/>
      <c r="B123" s="60" t="s">
        <v>1435</v>
      </c>
      <c r="C123" s="60">
        <v>71246</v>
      </c>
      <c r="D123" s="57">
        <v>30</v>
      </c>
      <c r="E123" s="57">
        <v>0</v>
      </c>
      <c r="F123" s="57">
        <v>7.5</v>
      </c>
      <c r="G123" s="57">
        <v>0.13</v>
      </c>
      <c r="H123" s="56" t="s">
        <v>6961</v>
      </c>
      <c r="I123" s="56">
        <v>3.9000000000000004</v>
      </c>
      <c r="J123" s="61">
        <v>2</v>
      </c>
      <c r="K123" s="61">
        <v>0</v>
      </c>
      <c r="L123" s="61">
        <v>0.5</v>
      </c>
      <c r="M123" s="61">
        <v>0.13</v>
      </c>
      <c r="N123" s="58" t="s">
        <v>6961</v>
      </c>
      <c r="O123" s="58">
        <v>0.26</v>
      </c>
      <c r="P123" s="59">
        <v>12</v>
      </c>
      <c r="Q123" s="62">
        <v>3</v>
      </c>
      <c r="R123" s="62">
        <v>6</v>
      </c>
      <c r="S123" s="62">
        <v>0.32500000000000001</v>
      </c>
      <c r="T123" s="59" t="s">
        <v>6958</v>
      </c>
      <c r="U123" s="59">
        <v>3.9000000000000004</v>
      </c>
      <c r="V123">
        <f t="shared" si="3"/>
        <v>44</v>
      </c>
      <c r="W123">
        <f t="shared" si="4"/>
        <v>8.06</v>
      </c>
      <c r="X123">
        <f t="shared" si="5"/>
        <v>0.1831818181818182</v>
      </c>
      <c r="AA123" s="60">
        <v>71246</v>
      </c>
      <c r="AB123">
        <v>0.1831818181818182</v>
      </c>
    </row>
    <row r="124" spans="1:28" x14ac:dyDescent="0.25">
      <c r="A124" s="125"/>
      <c r="B124" s="60" t="s">
        <v>1432</v>
      </c>
      <c r="C124" s="60">
        <v>71231</v>
      </c>
      <c r="D124" s="57">
        <v>60</v>
      </c>
      <c r="E124" s="57">
        <v>0</v>
      </c>
      <c r="F124" s="57">
        <v>15</v>
      </c>
      <c r="G124" s="57">
        <v>0.13</v>
      </c>
      <c r="H124" s="56" t="s">
        <v>6961</v>
      </c>
      <c r="I124" s="56">
        <v>7.8000000000000007</v>
      </c>
      <c r="J124" s="61">
        <v>105</v>
      </c>
      <c r="K124" s="61">
        <v>26.25</v>
      </c>
      <c r="L124" s="61">
        <v>52.5</v>
      </c>
      <c r="M124" s="61">
        <v>0.375</v>
      </c>
      <c r="N124" s="58" t="s">
        <v>6958</v>
      </c>
      <c r="O124" s="58">
        <v>39.375</v>
      </c>
      <c r="P124" s="59">
        <v>40</v>
      </c>
      <c r="Q124" s="62">
        <v>0</v>
      </c>
      <c r="R124" s="62">
        <v>3</v>
      </c>
      <c r="S124" s="62">
        <v>0.13</v>
      </c>
      <c r="T124" s="59" t="s">
        <v>6961</v>
      </c>
      <c r="U124" s="59">
        <v>5.2</v>
      </c>
      <c r="V124">
        <f t="shared" si="3"/>
        <v>205</v>
      </c>
      <c r="W124">
        <f t="shared" si="4"/>
        <v>52.375</v>
      </c>
      <c r="X124">
        <f t="shared" si="5"/>
        <v>0.25548780487804879</v>
      </c>
      <c r="AA124" s="60">
        <v>71231</v>
      </c>
      <c r="AB124">
        <v>0.25548780487804879</v>
      </c>
    </row>
    <row r="125" spans="1:28" x14ac:dyDescent="0.25">
      <c r="A125" s="125"/>
      <c r="B125" s="60" t="s">
        <v>1450</v>
      </c>
      <c r="C125" s="60">
        <v>71337</v>
      </c>
      <c r="D125" s="57">
        <v>0</v>
      </c>
      <c r="E125" s="57">
        <v>0</v>
      </c>
      <c r="F125" s="57">
        <v>0</v>
      </c>
      <c r="G125" s="57">
        <v>0</v>
      </c>
      <c r="H125" s="56">
        <v>0</v>
      </c>
      <c r="I125" s="56">
        <v>0</v>
      </c>
      <c r="J125" s="61">
        <v>15</v>
      </c>
      <c r="K125" s="61">
        <v>0</v>
      </c>
      <c r="L125" s="61">
        <v>3.75</v>
      </c>
      <c r="M125" s="61">
        <v>0.13</v>
      </c>
      <c r="N125" s="58" t="s">
        <v>6961</v>
      </c>
      <c r="O125" s="58">
        <v>1.9500000000000002</v>
      </c>
      <c r="P125" s="59">
        <v>30</v>
      </c>
      <c r="Q125" s="62">
        <v>0</v>
      </c>
      <c r="R125" s="62">
        <v>10</v>
      </c>
      <c r="S125" s="62">
        <v>0.13</v>
      </c>
      <c r="T125" s="59" t="s">
        <v>6961</v>
      </c>
      <c r="U125" s="59">
        <v>3.9000000000000004</v>
      </c>
      <c r="V125">
        <f t="shared" si="3"/>
        <v>45</v>
      </c>
      <c r="W125">
        <f t="shared" si="4"/>
        <v>5.8500000000000005</v>
      </c>
      <c r="X125">
        <f t="shared" si="5"/>
        <v>0.13</v>
      </c>
      <c r="AA125" s="60">
        <v>71337</v>
      </c>
      <c r="AB125">
        <v>0.13</v>
      </c>
    </row>
    <row r="126" spans="1:28" x14ac:dyDescent="0.25">
      <c r="A126" s="125"/>
      <c r="B126" s="60" t="s">
        <v>1423</v>
      </c>
      <c r="C126" s="60">
        <v>71133</v>
      </c>
      <c r="D126" s="57">
        <v>10</v>
      </c>
      <c r="E126" s="57">
        <v>0</v>
      </c>
      <c r="F126" s="57">
        <v>2.5</v>
      </c>
      <c r="G126" s="57">
        <v>0.13</v>
      </c>
      <c r="H126" s="56" t="s">
        <v>6961</v>
      </c>
      <c r="I126" s="56">
        <v>1.3</v>
      </c>
      <c r="J126" s="61">
        <v>15</v>
      </c>
      <c r="K126" s="61">
        <v>0</v>
      </c>
      <c r="L126" s="61">
        <v>3.75</v>
      </c>
      <c r="M126" s="61">
        <v>0.13</v>
      </c>
      <c r="N126" s="58" t="s">
        <v>6961</v>
      </c>
      <c r="O126" s="58">
        <v>1.9500000000000002</v>
      </c>
      <c r="P126" s="59">
        <v>5</v>
      </c>
      <c r="Q126" s="62">
        <v>0</v>
      </c>
      <c r="R126" s="62">
        <v>7.5</v>
      </c>
      <c r="S126" s="62">
        <v>0.13</v>
      </c>
      <c r="T126" s="59" t="s">
        <v>6961</v>
      </c>
      <c r="U126" s="59">
        <v>0.65</v>
      </c>
      <c r="V126">
        <f t="shared" si="3"/>
        <v>30</v>
      </c>
      <c r="W126">
        <f t="shared" si="4"/>
        <v>3.9000000000000004</v>
      </c>
      <c r="X126">
        <f t="shared" si="5"/>
        <v>0.13</v>
      </c>
      <c r="AA126" s="60">
        <v>71133</v>
      </c>
      <c r="AB126">
        <v>0.13</v>
      </c>
    </row>
    <row r="127" spans="1:28" x14ac:dyDescent="0.25">
      <c r="A127" s="125"/>
      <c r="B127" s="60" t="s">
        <v>1426</v>
      </c>
      <c r="C127" s="60">
        <v>71166</v>
      </c>
      <c r="D127" s="57">
        <v>10</v>
      </c>
      <c r="E127" s="57">
        <v>2.5</v>
      </c>
      <c r="F127" s="57">
        <v>5</v>
      </c>
      <c r="G127" s="57">
        <v>0.375</v>
      </c>
      <c r="H127" s="56" t="s">
        <v>6958</v>
      </c>
      <c r="I127" s="56">
        <v>3.75</v>
      </c>
      <c r="J127" s="61">
        <v>300</v>
      </c>
      <c r="K127" s="61">
        <v>0</v>
      </c>
      <c r="L127" s="61">
        <v>75</v>
      </c>
      <c r="M127" s="61">
        <v>0.13</v>
      </c>
      <c r="N127" s="58" t="s">
        <v>6961</v>
      </c>
      <c r="O127" s="58">
        <v>39</v>
      </c>
      <c r="P127" s="59">
        <v>300</v>
      </c>
      <c r="Q127" s="62">
        <v>0</v>
      </c>
      <c r="R127" s="62">
        <v>1.25</v>
      </c>
      <c r="S127" s="62">
        <v>0.13</v>
      </c>
      <c r="T127" s="59" t="s">
        <v>6961</v>
      </c>
      <c r="U127" s="59">
        <v>39</v>
      </c>
      <c r="V127">
        <f t="shared" si="3"/>
        <v>610</v>
      </c>
      <c r="W127">
        <f t="shared" si="4"/>
        <v>81.75</v>
      </c>
      <c r="X127">
        <f t="shared" si="5"/>
        <v>0.13401639344262295</v>
      </c>
      <c r="AA127" s="60">
        <v>71166</v>
      </c>
      <c r="AB127">
        <v>0.13401639344262295</v>
      </c>
    </row>
    <row r="128" spans="1:28" x14ac:dyDescent="0.25">
      <c r="A128" s="125"/>
      <c r="B128" s="60" t="s">
        <v>1430</v>
      </c>
      <c r="C128" s="60">
        <v>71221</v>
      </c>
      <c r="D128" s="57">
        <v>80</v>
      </c>
      <c r="E128" s="57">
        <v>20</v>
      </c>
      <c r="F128" s="57">
        <v>40</v>
      </c>
      <c r="G128" s="57">
        <v>0.375</v>
      </c>
      <c r="H128" s="56" t="s">
        <v>6958</v>
      </c>
      <c r="I128" s="56">
        <v>30</v>
      </c>
      <c r="J128" s="61">
        <v>80</v>
      </c>
      <c r="K128" s="61">
        <v>20</v>
      </c>
      <c r="L128" s="61">
        <v>40</v>
      </c>
      <c r="M128" s="61">
        <v>0.375</v>
      </c>
      <c r="N128" s="58" t="s">
        <v>6958</v>
      </c>
      <c r="O128" s="58">
        <v>30</v>
      </c>
      <c r="P128" s="59">
        <v>120</v>
      </c>
      <c r="Q128" s="62">
        <v>0</v>
      </c>
      <c r="R128" s="62">
        <v>75</v>
      </c>
      <c r="S128" s="62">
        <v>0.13</v>
      </c>
      <c r="T128" s="59" t="s">
        <v>6961</v>
      </c>
      <c r="U128" s="59">
        <v>15.600000000000001</v>
      </c>
      <c r="V128">
        <f t="shared" si="3"/>
        <v>280</v>
      </c>
      <c r="W128">
        <f t="shared" si="4"/>
        <v>75.599999999999994</v>
      </c>
      <c r="X128">
        <f t="shared" si="5"/>
        <v>0.26999999999999996</v>
      </c>
      <c r="AA128" s="60">
        <v>71221</v>
      </c>
      <c r="AB128">
        <v>0.26999999999999996</v>
      </c>
    </row>
    <row r="129" spans="1:28" x14ac:dyDescent="0.25">
      <c r="A129" s="125"/>
      <c r="B129" s="60" t="s">
        <v>1452</v>
      </c>
      <c r="C129" s="60">
        <v>71344</v>
      </c>
      <c r="D129" s="57">
        <v>15</v>
      </c>
      <c r="E129" s="57">
        <v>0</v>
      </c>
      <c r="F129" s="57">
        <v>3.75</v>
      </c>
      <c r="G129" s="57">
        <v>0.13</v>
      </c>
      <c r="H129" s="56" t="s">
        <v>6961</v>
      </c>
      <c r="I129" s="56">
        <v>1.9500000000000002</v>
      </c>
      <c r="J129" s="61">
        <v>25</v>
      </c>
      <c r="K129" s="61">
        <v>0</v>
      </c>
      <c r="L129" s="61">
        <v>6.25</v>
      </c>
      <c r="M129" s="61">
        <v>0.13</v>
      </c>
      <c r="N129" s="58" t="s">
        <v>6961</v>
      </c>
      <c r="O129" s="58">
        <v>3.25</v>
      </c>
      <c r="P129" s="59">
        <v>25</v>
      </c>
      <c r="Q129" s="62">
        <v>0</v>
      </c>
      <c r="R129" s="62">
        <v>30</v>
      </c>
      <c r="S129" s="62">
        <v>0.13</v>
      </c>
      <c r="T129" s="59" t="s">
        <v>6961</v>
      </c>
      <c r="U129" s="59">
        <v>3.25</v>
      </c>
      <c r="V129">
        <f t="shared" si="3"/>
        <v>65</v>
      </c>
      <c r="W129">
        <f t="shared" si="4"/>
        <v>8.4499999999999993</v>
      </c>
      <c r="X129">
        <f t="shared" si="5"/>
        <v>0.12999999999999998</v>
      </c>
      <c r="AA129" s="60">
        <v>71344</v>
      </c>
      <c r="AB129">
        <v>0.12999999999999998</v>
      </c>
    </row>
    <row r="130" spans="1:28" x14ac:dyDescent="0.25">
      <c r="A130" s="125"/>
      <c r="B130" s="60" t="s">
        <v>1419</v>
      </c>
      <c r="C130" s="60">
        <v>71113</v>
      </c>
      <c r="D130" s="57">
        <v>5</v>
      </c>
      <c r="E130" s="57">
        <v>0</v>
      </c>
      <c r="F130" s="57">
        <v>1.25</v>
      </c>
      <c r="G130" s="57">
        <v>0.13</v>
      </c>
      <c r="H130" s="56" t="s">
        <v>6961</v>
      </c>
      <c r="I130" s="56">
        <v>0.65</v>
      </c>
      <c r="J130" s="61">
        <v>700</v>
      </c>
      <c r="K130" s="61">
        <v>0</v>
      </c>
      <c r="L130" s="61">
        <v>175</v>
      </c>
      <c r="M130" s="61">
        <v>0.13</v>
      </c>
      <c r="N130" s="58" t="s">
        <v>6961</v>
      </c>
      <c r="O130" s="58">
        <v>91</v>
      </c>
      <c r="P130" s="59">
        <v>500</v>
      </c>
      <c r="Q130" s="62">
        <v>0</v>
      </c>
      <c r="R130" s="62">
        <v>6.25</v>
      </c>
      <c r="S130" s="62">
        <v>0.13</v>
      </c>
      <c r="T130" s="59" t="s">
        <v>6961</v>
      </c>
      <c r="U130" s="59">
        <v>65</v>
      </c>
      <c r="V130">
        <f t="shared" si="3"/>
        <v>1205</v>
      </c>
      <c r="W130">
        <f t="shared" si="4"/>
        <v>156.65</v>
      </c>
      <c r="X130">
        <f t="shared" si="5"/>
        <v>0.13</v>
      </c>
      <c r="AA130" s="60">
        <v>71113</v>
      </c>
      <c r="AB130">
        <v>0.13</v>
      </c>
    </row>
    <row r="131" spans="1:28" x14ac:dyDescent="0.25">
      <c r="A131" s="125"/>
      <c r="B131" s="60" t="s">
        <v>1438</v>
      </c>
      <c r="C131" s="60">
        <v>71261</v>
      </c>
      <c r="D131" s="57">
        <v>20</v>
      </c>
      <c r="E131" s="57">
        <v>10</v>
      </c>
      <c r="F131" s="57">
        <v>15</v>
      </c>
      <c r="G131" s="57">
        <v>0.625</v>
      </c>
      <c r="H131" s="56" t="s">
        <v>6960</v>
      </c>
      <c r="I131" s="56">
        <v>12.5</v>
      </c>
      <c r="J131" s="61">
        <v>120</v>
      </c>
      <c r="K131" s="61">
        <v>60</v>
      </c>
      <c r="L131" s="61">
        <v>90</v>
      </c>
      <c r="M131" s="61">
        <v>0.625</v>
      </c>
      <c r="N131" s="58" t="s">
        <v>6960</v>
      </c>
      <c r="O131" s="58">
        <v>75</v>
      </c>
      <c r="P131" s="59">
        <v>120</v>
      </c>
      <c r="Q131" s="62">
        <v>60</v>
      </c>
      <c r="R131" s="62">
        <v>90</v>
      </c>
      <c r="S131" s="62">
        <v>0.625</v>
      </c>
      <c r="T131" s="59" t="s">
        <v>6960</v>
      </c>
      <c r="U131" s="59">
        <v>75</v>
      </c>
      <c r="V131">
        <f t="shared" si="3"/>
        <v>260</v>
      </c>
      <c r="W131">
        <f t="shared" si="4"/>
        <v>162.5</v>
      </c>
      <c r="X131">
        <f t="shared" si="5"/>
        <v>0.625</v>
      </c>
      <c r="AA131" s="60">
        <v>71261</v>
      </c>
      <c r="AB131">
        <v>0.625</v>
      </c>
    </row>
    <row r="132" spans="1:28" x14ac:dyDescent="0.25">
      <c r="A132" s="125"/>
      <c r="B132" s="60" t="s">
        <v>1433</v>
      </c>
      <c r="C132" s="60">
        <v>71236</v>
      </c>
      <c r="D132" s="57">
        <v>50</v>
      </c>
      <c r="E132" s="57">
        <v>0</v>
      </c>
      <c r="F132" s="57">
        <v>12.5</v>
      </c>
      <c r="G132" s="57">
        <v>0.13</v>
      </c>
      <c r="H132" s="56" t="s">
        <v>6961</v>
      </c>
      <c r="I132" s="56">
        <v>6.5</v>
      </c>
      <c r="J132" s="61">
        <v>10</v>
      </c>
      <c r="K132" s="61">
        <v>0</v>
      </c>
      <c r="L132" s="61">
        <v>0</v>
      </c>
      <c r="M132" s="61">
        <v>0</v>
      </c>
      <c r="N132" s="58">
        <v>0</v>
      </c>
      <c r="O132" s="58">
        <v>0</v>
      </c>
      <c r="P132" s="59">
        <v>250</v>
      </c>
      <c r="Q132" s="62">
        <v>0</v>
      </c>
      <c r="R132" s="62">
        <v>62.5</v>
      </c>
      <c r="S132" s="62">
        <v>0.13</v>
      </c>
      <c r="T132" s="59" t="s">
        <v>6961</v>
      </c>
      <c r="U132" s="59">
        <v>32.5</v>
      </c>
      <c r="V132">
        <f t="shared" si="3"/>
        <v>310</v>
      </c>
      <c r="W132">
        <f t="shared" si="4"/>
        <v>39</v>
      </c>
      <c r="X132">
        <f t="shared" si="5"/>
        <v>0.12580645161290321</v>
      </c>
      <c r="AA132" s="60">
        <v>71236</v>
      </c>
      <c r="AB132">
        <v>0.12580645161290321</v>
      </c>
    </row>
    <row r="133" spans="1:28" x14ac:dyDescent="0.25">
      <c r="A133" s="125"/>
      <c r="B133" s="60" t="s">
        <v>3021</v>
      </c>
      <c r="C133" s="60">
        <v>71367</v>
      </c>
      <c r="D133" s="57">
        <v>30</v>
      </c>
      <c r="E133" s="57">
        <v>0</v>
      </c>
      <c r="F133" s="57">
        <v>7.5</v>
      </c>
      <c r="G133" s="57">
        <v>0.13</v>
      </c>
      <c r="H133" s="56" t="s">
        <v>6961</v>
      </c>
      <c r="I133" s="56">
        <v>3.9000000000000004</v>
      </c>
      <c r="J133" s="61">
        <v>300</v>
      </c>
      <c r="K133" s="61">
        <v>225</v>
      </c>
      <c r="L133" s="61">
        <v>300</v>
      </c>
      <c r="M133" s="61">
        <v>0.87</v>
      </c>
      <c r="N133" s="58" t="s">
        <v>6959</v>
      </c>
      <c r="O133" s="58">
        <v>261</v>
      </c>
      <c r="P133" s="59">
        <v>150</v>
      </c>
      <c r="Q133" s="62">
        <v>0</v>
      </c>
      <c r="R133" s="62">
        <v>37.5</v>
      </c>
      <c r="S133" s="62">
        <v>0.13</v>
      </c>
      <c r="T133" s="59" t="s">
        <v>6961</v>
      </c>
      <c r="U133" s="59">
        <v>19.5</v>
      </c>
      <c r="V133">
        <f t="shared" ref="V133:V196" si="6">D133+J133+P133</f>
        <v>480</v>
      </c>
      <c r="W133">
        <f t="shared" ref="W133:W196" si="7">U133+O133+I133</f>
        <v>284.39999999999998</v>
      </c>
      <c r="X133">
        <f t="shared" ref="X133:X196" si="8">W133/V133</f>
        <v>0.59249999999999992</v>
      </c>
      <c r="AA133" s="60">
        <v>71367</v>
      </c>
      <c r="AB133">
        <v>0.59249999999999992</v>
      </c>
    </row>
    <row r="134" spans="1:28" x14ac:dyDescent="0.25">
      <c r="A134" s="125"/>
      <c r="B134" s="60" t="s">
        <v>3020</v>
      </c>
      <c r="C134" s="60">
        <v>71364</v>
      </c>
      <c r="D134" s="57">
        <v>10</v>
      </c>
      <c r="E134" s="57">
        <v>0</v>
      </c>
      <c r="F134" s="57">
        <v>2.5</v>
      </c>
      <c r="G134" s="57">
        <v>0.13</v>
      </c>
      <c r="H134" s="56" t="s">
        <v>6961</v>
      </c>
      <c r="I134" s="56">
        <v>1.3</v>
      </c>
      <c r="J134" s="61">
        <v>400</v>
      </c>
      <c r="K134" s="61">
        <v>300</v>
      </c>
      <c r="L134" s="61">
        <v>400</v>
      </c>
      <c r="M134" s="61">
        <v>0.87</v>
      </c>
      <c r="N134" s="58" t="s">
        <v>6959</v>
      </c>
      <c r="O134" s="58">
        <v>348</v>
      </c>
      <c r="P134" s="59">
        <v>400</v>
      </c>
      <c r="Q134" s="62">
        <v>0</v>
      </c>
      <c r="R134" s="62">
        <v>100</v>
      </c>
      <c r="S134" s="62">
        <v>0.13</v>
      </c>
      <c r="T134" s="59" t="s">
        <v>6961</v>
      </c>
      <c r="U134" s="59">
        <v>52</v>
      </c>
      <c r="V134">
        <f t="shared" si="6"/>
        <v>810</v>
      </c>
      <c r="W134">
        <f t="shared" si="7"/>
        <v>401.3</v>
      </c>
      <c r="X134">
        <f t="shared" si="8"/>
        <v>0.49543209876543209</v>
      </c>
      <c r="AA134" s="60">
        <v>71364</v>
      </c>
      <c r="AB134">
        <v>0.49543209876543209</v>
      </c>
    </row>
    <row r="135" spans="1:28" x14ac:dyDescent="0.25">
      <c r="A135" s="125"/>
      <c r="B135" s="60" t="s">
        <v>1442</v>
      </c>
      <c r="C135" s="60">
        <v>71281</v>
      </c>
      <c r="D135" s="57">
        <v>12</v>
      </c>
      <c r="E135" s="57">
        <v>0</v>
      </c>
      <c r="F135" s="57">
        <v>0</v>
      </c>
      <c r="G135" s="57">
        <v>0</v>
      </c>
      <c r="H135" s="56">
        <v>0</v>
      </c>
      <c r="I135" s="56">
        <v>0</v>
      </c>
      <c r="J135" s="61">
        <v>300</v>
      </c>
      <c r="K135" s="61">
        <v>0</v>
      </c>
      <c r="L135" s="61">
        <v>75</v>
      </c>
      <c r="M135" s="61">
        <v>0.13</v>
      </c>
      <c r="N135" s="63" t="s">
        <v>6961</v>
      </c>
      <c r="O135" s="58">
        <v>39</v>
      </c>
      <c r="P135" s="59">
        <v>1000</v>
      </c>
      <c r="Q135" s="62">
        <v>0</v>
      </c>
      <c r="R135" s="62">
        <v>250</v>
      </c>
      <c r="S135" s="62">
        <v>0.13</v>
      </c>
      <c r="T135" s="59" t="s">
        <v>6961</v>
      </c>
      <c r="U135" s="59">
        <v>130</v>
      </c>
      <c r="V135">
        <f t="shared" si="6"/>
        <v>1312</v>
      </c>
      <c r="W135">
        <f t="shared" si="7"/>
        <v>169</v>
      </c>
      <c r="X135">
        <f t="shared" si="8"/>
        <v>0.1288109756097561</v>
      </c>
      <c r="AA135" s="60">
        <v>71281</v>
      </c>
      <c r="AB135">
        <v>0.1288109756097561</v>
      </c>
    </row>
    <row r="136" spans="1:28" x14ac:dyDescent="0.25">
      <c r="A136" s="125"/>
      <c r="B136" s="60" t="s">
        <v>1422</v>
      </c>
      <c r="C136" s="60">
        <v>71122</v>
      </c>
      <c r="D136" s="57">
        <v>0</v>
      </c>
      <c r="E136" s="57">
        <v>0</v>
      </c>
      <c r="F136" s="57">
        <v>0</v>
      </c>
      <c r="G136" s="57">
        <v>0</v>
      </c>
      <c r="H136" s="56">
        <v>0</v>
      </c>
      <c r="I136" s="56">
        <v>0</v>
      </c>
      <c r="J136" s="61">
        <v>50</v>
      </c>
      <c r="K136" s="61">
        <v>37.5</v>
      </c>
      <c r="L136" s="61">
        <v>50</v>
      </c>
      <c r="M136" s="61">
        <v>0.87</v>
      </c>
      <c r="N136" s="58" t="s">
        <v>6959</v>
      </c>
      <c r="O136" s="58">
        <v>43.5</v>
      </c>
      <c r="P136" s="59">
        <v>50</v>
      </c>
      <c r="Q136" s="62">
        <v>37.5</v>
      </c>
      <c r="R136" s="62">
        <v>50</v>
      </c>
      <c r="S136" s="62">
        <v>0.87</v>
      </c>
      <c r="T136" s="59" t="s">
        <v>6959</v>
      </c>
      <c r="U136" s="59">
        <v>43.5</v>
      </c>
      <c r="V136">
        <f t="shared" si="6"/>
        <v>100</v>
      </c>
      <c r="W136">
        <f t="shared" si="7"/>
        <v>87</v>
      </c>
      <c r="X136">
        <f t="shared" si="8"/>
        <v>0.87</v>
      </c>
      <c r="AA136" s="60">
        <v>71122</v>
      </c>
      <c r="AB136">
        <v>0.87</v>
      </c>
    </row>
    <row r="137" spans="1:28" x14ac:dyDescent="0.25">
      <c r="A137" s="124" t="s">
        <v>1267</v>
      </c>
      <c r="B137" s="64" t="s">
        <v>1276</v>
      </c>
      <c r="C137" s="64">
        <v>62218</v>
      </c>
      <c r="D137" s="44">
        <v>0</v>
      </c>
      <c r="E137" s="44">
        <v>0</v>
      </c>
      <c r="F137" s="44">
        <v>0</v>
      </c>
      <c r="G137" s="44">
        <v>0</v>
      </c>
      <c r="H137" s="44">
        <v>0</v>
      </c>
      <c r="I137" s="44">
        <v>0</v>
      </c>
      <c r="J137" s="46">
        <v>40</v>
      </c>
      <c r="K137" s="46">
        <v>0</v>
      </c>
      <c r="L137" s="46">
        <v>10</v>
      </c>
      <c r="M137" s="46">
        <v>0.13</v>
      </c>
      <c r="N137" s="46" t="s">
        <v>6961</v>
      </c>
      <c r="O137" s="46">
        <v>5.2</v>
      </c>
      <c r="P137" s="47">
        <v>100</v>
      </c>
      <c r="Q137" s="47">
        <v>0</v>
      </c>
      <c r="R137" s="47">
        <v>25</v>
      </c>
      <c r="S137" s="47">
        <v>0.13</v>
      </c>
      <c r="T137" s="47" t="s">
        <v>6961</v>
      </c>
      <c r="U137" s="47">
        <v>13</v>
      </c>
      <c r="V137">
        <f t="shared" si="6"/>
        <v>140</v>
      </c>
      <c r="W137">
        <f t="shared" si="7"/>
        <v>18.2</v>
      </c>
      <c r="X137">
        <f t="shared" si="8"/>
        <v>0.13</v>
      </c>
      <c r="AA137" s="64">
        <v>62218</v>
      </c>
      <c r="AB137">
        <v>0.13</v>
      </c>
    </row>
    <row r="138" spans="1:28" x14ac:dyDescent="0.25">
      <c r="A138" s="125"/>
      <c r="B138" s="64" t="s">
        <v>2984</v>
      </c>
      <c r="C138" s="64">
        <v>62221</v>
      </c>
      <c r="D138" s="44">
        <v>5</v>
      </c>
      <c r="E138" s="44">
        <v>0</v>
      </c>
      <c r="F138" s="44">
        <v>0</v>
      </c>
      <c r="G138" s="44">
        <v>0</v>
      </c>
      <c r="H138" s="44">
        <v>0</v>
      </c>
      <c r="I138" s="44">
        <v>0</v>
      </c>
      <c r="J138" s="46">
        <v>60</v>
      </c>
      <c r="K138" s="46">
        <v>15</v>
      </c>
      <c r="L138" s="46">
        <v>30</v>
      </c>
      <c r="M138" s="46">
        <v>0.375</v>
      </c>
      <c r="N138" s="46" t="s">
        <v>6958</v>
      </c>
      <c r="O138" s="46">
        <v>22.5</v>
      </c>
      <c r="P138" s="47">
        <v>100</v>
      </c>
      <c r="Q138" s="47">
        <v>0</v>
      </c>
      <c r="R138" s="47">
        <v>25</v>
      </c>
      <c r="S138" s="47">
        <v>0.13</v>
      </c>
      <c r="T138" s="47" t="s">
        <v>6961</v>
      </c>
      <c r="U138" s="47">
        <v>13</v>
      </c>
      <c r="V138">
        <f t="shared" si="6"/>
        <v>165</v>
      </c>
      <c r="W138">
        <f t="shared" si="7"/>
        <v>35.5</v>
      </c>
      <c r="X138">
        <f t="shared" si="8"/>
        <v>0.21515151515151515</v>
      </c>
      <c r="AA138" s="64">
        <v>62221</v>
      </c>
      <c r="AB138">
        <v>0.21515151515151515</v>
      </c>
    </row>
    <row r="139" spans="1:28" x14ac:dyDescent="0.25">
      <c r="A139" s="125"/>
      <c r="B139" s="64" t="s">
        <v>1280</v>
      </c>
      <c r="C139" s="64">
        <v>62224</v>
      </c>
      <c r="D139" s="44">
        <v>8</v>
      </c>
      <c r="E139" s="44">
        <v>2</v>
      </c>
      <c r="F139" s="44">
        <v>4</v>
      </c>
      <c r="G139" s="44">
        <v>0.375</v>
      </c>
      <c r="H139" s="44" t="s">
        <v>6958</v>
      </c>
      <c r="I139" s="44">
        <v>3</v>
      </c>
      <c r="J139" s="46">
        <v>15</v>
      </c>
      <c r="K139" s="46">
        <v>0</v>
      </c>
      <c r="L139" s="46">
        <v>3.75</v>
      </c>
      <c r="M139" s="46">
        <v>0.13</v>
      </c>
      <c r="N139" s="46" t="s">
        <v>6961</v>
      </c>
      <c r="O139" s="46">
        <v>1.9500000000000002</v>
      </c>
      <c r="P139" s="47">
        <v>65</v>
      </c>
      <c r="Q139" s="47">
        <v>0</v>
      </c>
      <c r="R139" s="47">
        <v>0</v>
      </c>
      <c r="S139" s="47">
        <v>0</v>
      </c>
      <c r="T139" s="47">
        <v>0</v>
      </c>
      <c r="U139" s="47">
        <v>0</v>
      </c>
      <c r="V139">
        <f t="shared" si="6"/>
        <v>88</v>
      </c>
      <c r="W139">
        <f t="shared" si="7"/>
        <v>4.95</v>
      </c>
      <c r="X139">
        <f t="shared" si="8"/>
        <v>5.6250000000000001E-2</v>
      </c>
      <c r="AA139" s="64">
        <v>62224</v>
      </c>
      <c r="AB139">
        <v>5.6250000000000001E-2</v>
      </c>
    </row>
    <row r="140" spans="1:28" x14ac:dyDescent="0.25">
      <c r="A140" s="125"/>
      <c r="B140" s="64" t="s">
        <v>1286</v>
      </c>
      <c r="C140" s="64">
        <v>62234</v>
      </c>
      <c r="D140" s="44">
        <v>8</v>
      </c>
      <c r="E140" s="44">
        <v>0</v>
      </c>
      <c r="F140" s="44">
        <v>0</v>
      </c>
      <c r="G140" s="44">
        <v>0</v>
      </c>
      <c r="H140" s="44">
        <v>0</v>
      </c>
      <c r="I140" s="44">
        <v>0</v>
      </c>
      <c r="J140" s="46">
        <v>100</v>
      </c>
      <c r="K140" s="46">
        <v>0</v>
      </c>
      <c r="L140" s="46">
        <v>0</v>
      </c>
      <c r="M140" s="46">
        <v>0</v>
      </c>
      <c r="N140" s="46">
        <v>0</v>
      </c>
      <c r="O140" s="46">
        <v>0</v>
      </c>
      <c r="P140" s="47">
        <v>150</v>
      </c>
      <c r="Q140" s="47">
        <v>0</v>
      </c>
      <c r="R140" s="47">
        <v>37.5</v>
      </c>
      <c r="S140" s="47">
        <v>0.13</v>
      </c>
      <c r="T140" s="47" t="s">
        <v>6961</v>
      </c>
      <c r="U140" s="47">
        <v>19.5</v>
      </c>
      <c r="V140">
        <f t="shared" si="6"/>
        <v>258</v>
      </c>
      <c r="W140">
        <f t="shared" si="7"/>
        <v>19.5</v>
      </c>
      <c r="X140">
        <f t="shared" si="8"/>
        <v>7.5581395348837205E-2</v>
      </c>
      <c r="AA140" s="64">
        <v>62234</v>
      </c>
      <c r="AB140">
        <v>7.5581395348837205E-2</v>
      </c>
    </row>
    <row r="141" spans="1:28" x14ac:dyDescent="0.25">
      <c r="A141" s="125"/>
      <c r="B141" s="64" t="s">
        <v>1289</v>
      </c>
      <c r="C141" s="64">
        <v>62239</v>
      </c>
      <c r="D141" s="44">
        <v>1</v>
      </c>
      <c r="E141" s="44">
        <v>0.25</v>
      </c>
      <c r="F141" s="44">
        <v>0.5</v>
      </c>
      <c r="G141" s="44">
        <v>0.375</v>
      </c>
      <c r="H141" s="44" t="s">
        <v>6958</v>
      </c>
      <c r="I141" s="44">
        <v>0.375</v>
      </c>
      <c r="J141" s="46">
        <v>50</v>
      </c>
      <c r="K141" s="46">
        <v>0</v>
      </c>
      <c r="L141" s="46">
        <v>12.5</v>
      </c>
      <c r="M141" s="46">
        <v>0.13</v>
      </c>
      <c r="N141" s="46" t="s">
        <v>6961</v>
      </c>
      <c r="O141" s="46">
        <v>6.5</v>
      </c>
      <c r="P141" s="47">
        <v>50</v>
      </c>
      <c r="Q141" s="47">
        <v>25</v>
      </c>
      <c r="R141" s="47">
        <v>37.5</v>
      </c>
      <c r="S141" s="47">
        <v>0.67500000000000004</v>
      </c>
      <c r="T141" s="47" t="s">
        <v>6960</v>
      </c>
      <c r="U141" s="47">
        <v>33.75</v>
      </c>
      <c r="V141">
        <f t="shared" si="6"/>
        <v>101</v>
      </c>
      <c r="W141">
        <f t="shared" si="7"/>
        <v>40.625</v>
      </c>
      <c r="X141">
        <f t="shared" si="8"/>
        <v>0.40222772277227725</v>
      </c>
      <c r="AA141" s="64">
        <v>62239</v>
      </c>
      <c r="AB141">
        <v>0.40222772277227725</v>
      </c>
    </row>
    <row r="142" spans="1:28" x14ac:dyDescent="0.25">
      <c r="A142" s="125"/>
      <c r="B142" s="64" t="s">
        <v>1288</v>
      </c>
      <c r="C142" s="64">
        <v>62237</v>
      </c>
      <c r="D142" s="44">
        <v>10</v>
      </c>
      <c r="E142" s="44">
        <v>7.5</v>
      </c>
      <c r="F142" s="44">
        <v>10</v>
      </c>
      <c r="G142" s="44">
        <v>0.87</v>
      </c>
      <c r="H142" s="44" t="s">
        <v>6959</v>
      </c>
      <c r="I142" s="44">
        <v>8.6999999999999993</v>
      </c>
      <c r="J142" s="46">
        <v>25</v>
      </c>
      <c r="K142" s="46">
        <v>18.75</v>
      </c>
      <c r="L142" s="46">
        <v>25</v>
      </c>
      <c r="M142" s="46">
        <v>0.87</v>
      </c>
      <c r="N142" s="46" t="s">
        <v>6959</v>
      </c>
      <c r="O142" s="46">
        <v>21.75</v>
      </c>
      <c r="P142" s="47">
        <v>80</v>
      </c>
      <c r="Q142" s="47">
        <v>0</v>
      </c>
      <c r="R142" s="47">
        <v>20</v>
      </c>
      <c r="S142" s="47">
        <v>0.13</v>
      </c>
      <c r="T142" s="47" t="s">
        <v>6961</v>
      </c>
      <c r="U142" s="47">
        <v>10.4</v>
      </c>
      <c r="V142">
        <f t="shared" si="6"/>
        <v>115</v>
      </c>
      <c r="W142">
        <f t="shared" si="7"/>
        <v>40.849999999999994</v>
      </c>
      <c r="X142">
        <f t="shared" si="8"/>
        <v>0.35521739130434776</v>
      </c>
      <c r="AA142" s="64">
        <v>62237</v>
      </c>
      <c r="AB142">
        <v>0.35521739130434776</v>
      </c>
    </row>
    <row r="143" spans="1:28" x14ac:dyDescent="0.25">
      <c r="A143" s="125"/>
      <c r="B143" s="64" t="s">
        <v>1310</v>
      </c>
      <c r="C143" s="64">
        <v>62271</v>
      </c>
      <c r="D143" s="44">
        <v>21</v>
      </c>
      <c r="E143" s="44">
        <v>0</v>
      </c>
      <c r="F143" s="44">
        <v>5.25</v>
      </c>
      <c r="G143" s="44">
        <v>0.13</v>
      </c>
      <c r="H143" s="44" t="s">
        <v>6961</v>
      </c>
      <c r="I143" s="44">
        <v>2.73</v>
      </c>
      <c r="J143" s="46">
        <v>50</v>
      </c>
      <c r="K143" s="46">
        <v>37.5</v>
      </c>
      <c r="L143" s="46">
        <v>50</v>
      </c>
      <c r="M143" s="46">
        <v>0.87</v>
      </c>
      <c r="N143" s="46" t="s">
        <v>6959</v>
      </c>
      <c r="O143" s="46">
        <v>43.5</v>
      </c>
      <c r="P143" s="47">
        <v>120</v>
      </c>
      <c r="Q143" s="47">
        <v>0</v>
      </c>
      <c r="R143" s="47">
        <v>30</v>
      </c>
      <c r="S143" s="47">
        <v>0.13</v>
      </c>
      <c r="T143" s="47" t="s">
        <v>6961</v>
      </c>
      <c r="U143" s="47">
        <v>15.600000000000001</v>
      </c>
      <c r="V143">
        <f t="shared" si="6"/>
        <v>191</v>
      </c>
      <c r="W143">
        <f t="shared" si="7"/>
        <v>61.83</v>
      </c>
      <c r="X143">
        <f t="shared" si="8"/>
        <v>0.32371727748691098</v>
      </c>
      <c r="AA143" s="64">
        <v>62271</v>
      </c>
      <c r="AB143">
        <v>0.32371727748691098</v>
      </c>
    </row>
    <row r="144" spans="1:28" x14ac:dyDescent="0.25">
      <c r="A144" s="125"/>
      <c r="B144" s="64" t="s">
        <v>1304</v>
      </c>
      <c r="C144" s="64">
        <v>62261</v>
      </c>
      <c r="D144" s="44">
        <v>3</v>
      </c>
      <c r="E144" s="44">
        <v>0</v>
      </c>
      <c r="F144" s="44">
        <v>0.75</v>
      </c>
      <c r="G144" s="44">
        <v>0.13</v>
      </c>
      <c r="H144" s="44" t="s">
        <v>6961</v>
      </c>
      <c r="I144" s="44">
        <v>0.39</v>
      </c>
      <c r="J144" s="46">
        <v>30</v>
      </c>
      <c r="K144" s="46">
        <v>15</v>
      </c>
      <c r="L144" s="46">
        <v>22.5</v>
      </c>
      <c r="M144" s="46">
        <v>0.625</v>
      </c>
      <c r="N144" s="46" t="s">
        <v>6960</v>
      </c>
      <c r="O144" s="46">
        <v>18.75</v>
      </c>
      <c r="P144" s="47">
        <v>100</v>
      </c>
      <c r="Q144" s="47">
        <v>0</v>
      </c>
      <c r="R144" s="47">
        <v>25</v>
      </c>
      <c r="S144" s="47">
        <v>0.13</v>
      </c>
      <c r="T144" s="47" t="s">
        <v>6961</v>
      </c>
      <c r="U144" s="47">
        <v>13</v>
      </c>
      <c r="V144">
        <f t="shared" si="6"/>
        <v>133</v>
      </c>
      <c r="W144">
        <f t="shared" si="7"/>
        <v>32.14</v>
      </c>
      <c r="X144">
        <f t="shared" si="8"/>
        <v>0.24165413533834587</v>
      </c>
      <c r="AA144" s="64">
        <v>62261</v>
      </c>
      <c r="AB144">
        <v>0.24165413533834587</v>
      </c>
    </row>
    <row r="145" spans="1:28" x14ac:dyDescent="0.25">
      <c r="A145" s="125"/>
      <c r="B145" s="64" t="s">
        <v>1313</v>
      </c>
      <c r="C145" s="64">
        <v>62276</v>
      </c>
      <c r="D145" s="44">
        <v>200</v>
      </c>
      <c r="E145" s="44">
        <v>0</v>
      </c>
      <c r="F145" s="44">
        <v>0</v>
      </c>
      <c r="G145" s="44">
        <v>0</v>
      </c>
      <c r="H145" s="44">
        <v>0</v>
      </c>
      <c r="I145" s="44">
        <v>0</v>
      </c>
      <c r="J145" s="46">
        <v>100</v>
      </c>
      <c r="K145" s="46">
        <v>0</v>
      </c>
      <c r="L145" s="46">
        <v>25</v>
      </c>
      <c r="M145" s="46">
        <v>0.13</v>
      </c>
      <c r="N145" s="46" t="s">
        <v>6961</v>
      </c>
      <c r="O145" s="46">
        <v>13</v>
      </c>
      <c r="P145" s="47">
        <v>1100</v>
      </c>
      <c r="Q145" s="47">
        <v>0</v>
      </c>
      <c r="R145" s="47">
        <v>275</v>
      </c>
      <c r="S145" s="47">
        <v>0.13</v>
      </c>
      <c r="T145" s="47" t="s">
        <v>6961</v>
      </c>
      <c r="U145" s="47">
        <v>143</v>
      </c>
      <c r="V145">
        <f t="shared" si="6"/>
        <v>1400</v>
      </c>
      <c r="W145">
        <f t="shared" si="7"/>
        <v>156</v>
      </c>
      <c r="X145">
        <f t="shared" si="8"/>
        <v>0.11142857142857143</v>
      </c>
      <c r="AA145" s="64">
        <v>62276</v>
      </c>
      <c r="AB145">
        <v>0.11142857142857143</v>
      </c>
    </row>
    <row r="146" spans="1:28" x14ac:dyDescent="0.25">
      <c r="A146" s="125"/>
      <c r="B146" s="64" t="s">
        <v>2992</v>
      </c>
      <c r="C146" s="64">
        <v>62269</v>
      </c>
      <c r="D146" s="44">
        <v>40</v>
      </c>
      <c r="E146" s="44">
        <v>0</v>
      </c>
      <c r="F146" s="44">
        <v>10</v>
      </c>
      <c r="G146" s="44">
        <v>0.13</v>
      </c>
      <c r="H146" s="44" t="s">
        <v>6961</v>
      </c>
      <c r="I146" s="44">
        <v>5.2</v>
      </c>
      <c r="J146" s="46">
        <v>20</v>
      </c>
      <c r="K146" s="46">
        <v>5</v>
      </c>
      <c r="L146" s="46">
        <v>10</v>
      </c>
      <c r="M146" s="46">
        <v>0.375</v>
      </c>
      <c r="N146" s="46" t="s">
        <v>6958</v>
      </c>
      <c r="O146" s="46">
        <v>7.5</v>
      </c>
      <c r="P146" s="47">
        <v>150</v>
      </c>
      <c r="Q146" s="47">
        <v>0</v>
      </c>
      <c r="R146" s="47">
        <v>37.5</v>
      </c>
      <c r="S146" s="47">
        <v>0.13</v>
      </c>
      <c r="T146" s="47" t="s">
        <v>6961</v>
      </c>
      <c r="U146" s="47">
        <v>19.5</v>
      </c>
      <c r="V146">
        <f t="shared" si="6"/>
        <v>210</v>
      </c>
      <c r="W146">
        <f t="shared" si="7"/>
        <v>32.200000000000003</v>
      </c>
      <c r="X146">
        <f t="shared" si="8"/>
        <v>0.15333333333333335</v>
      </c>
      <c r="AA146" s="64">
        <v>62269</v>
      </c>
      <c r="AB146">
        <v>0.15333333333333335</v>
      </c>
    </row>
    <row r="147" spans="1:28" x14ac:dyDescent="0.25">
      <c r="A147" s="125"/>
      <c r="B147" s="64" t="s">
        <v>1305</v>
      </c>
      <c r="C147" s="64">
        <v>62263</v>
      </c>
      <c r="D147" s="44">
        <v>5</v>
      </c>
      <c r="E147" s="44">
        <v>0</v>
      </c>
      <c r="F147" s="44">
        <v>1.25</v>
      </c>
      <c r="G147" s="44">
        <v>0.13</v>
      </c>
      <c r="H147" s="44" t="s">
        <v>6961</v>
      </c>
      <c r="I147" s="44">
        <v>0.65</v>
      </c>
      <c r="J147" s="46">
        <v>4</v>
      </c>
      <c r="K147" s="46">
        <v>3</v>
      </c>
      <c r="L147" s="46">
        <v>4</v>
      </c>
      <c r="M147" s="46">
        <v>0.87</v>
      </c>
      <c r="N147" s="46" t="s">
        <v>6959</v>
      </c>
      <c r="O147" s="46">
        <v>3.48</v>
      </c>
      <c r="P147" s="47">
        <v>50</v>
      </c>
      <c r="Q147" s="47">
        <v>12.5</v>
      </c>
      <c r="R147" s="47">
        <v>25</v>
      </c>
      <c r="S147" s="47">
        <v>0.375</v>
      </c>
      <c r="T147" s="47" t="s">
        <v>6958</v>
      </c>
      <c r="U147" s="47">
        <v>18.75</v>
      </c>
      <c r="V147">
        <f t="shared" si="6"/>
        <v>59</v>
      </c>
      <c r="W147">
        <f t="shared" si="7"/>
        <v>22.88</v>
      </c>
      <c r="X147">
        <f t="shared" si="8"/>
        <v>0.38779661016949152</v>
      </c>
      <c r="AA147" s="64">
        <v>62263</v>
      </c>
      <c r="AB147">
        <v>0.38779661016949152</v>
      </c>
    </row>
    <row r="148" spans="1:28" x14ac:dyDescent="0.25">
      <c r="A148" s="125"/>
      <c r="B148" s="64" t="s">
        <v>1312</v>
      </c>
      <c r="C148" s="64">
        <v>62274</v>
      </c>
      <c r="D148" s="44">
        <v>50</v>
      </c>
      <c r="E148" s="44">
        <v>0</v>
      </c>
      <c r="F148" s="44">
        <v>0</v>
      </c>
      <c r="G148" s="44">
        <v>0</v>
      </c>
      <c r="H148" s="44">
        <v>0</v>
      </c>
      <c r="I148" s="44">
        <v>0</v>
      </c>
      <c r="J148" s="46">
        <v>20</v>
      </c>
      <c r="K148" s="46">
        <v>0</v>
      </c>
      <c r="L148" s="46">
        <v>5</v>
      </c>
      <c r="M148" s="46">
        <v>0.13</v>
      </c>
      <c r="N148" s="46" t="s">
        <v>6961</v>
      </c>
      <c r="O148" s="46">
        <v>2.6</v>
      </c>
      <c r="P148" s="47">
        <v>100</v>
      </c>
      <c r="Q148" s="47">
        <v>25</v>
      </c>
      <c r="R148" s="47">
        <v>50</v>
      </c>
      <c r="S148" s="47">
        <v>0.375</v>
      </c>
      <c r="T148" s="47" t="s">
        <v>6958</v>
      </c>
      <c r="U148" s="47">
        <v>37.5</v>
      </c>
      <c r="V148">
        <f t="shared" si="6"/>
        <v>170</v>
      </c>
      <c r="W148">
        <f t="shared" si="7"/>
        <v>40.1</v>
      </c>
      <c r="X148">
        <f t="shared" si="8"/>
        <v>0.23588235294117649</v>
      </c>
      <c r="AA148" s="64">
        <v>62274</v>
      </c>
      <c r="AB148">
        <v>0.23588235294117649</v>
      </c>
    </row>
    <row r="149" spans="1:28" x14ac:dyDescent="0.25">
      <c r="A149" s="125"/>
      <c r="B149" s="64" t="s">
        <v>1279</v>
      </c>
      <c r="C149" s="64">
        <v>62223</v>
      </c>
      <c r="D149" s="44">
        <v>45</v>
      </c>
      <c r="E149" s="44">
        <v>0</v>
      </c>
      <c r="F149" s="44">
        <v>11.25</v>
      </c>
      <c r="G149" s="44">
        <v>0.13</v>
      </c>
      <c r="H149" s="44" t="s">
        <v>6961</v>
      </c>
      <c r="I149" s="44">
        <v>5.8500000000000005</v>
      </c>
      <c r="J149" s="46">
        <v>50</v>
      </c>
      <c r="K149" s="46">
        <v>0</v>
      </c>
      <c r="L149" s="46">
        <v>12.5</v>
      </c>
      <c r="M149" s="46">
        <v>0.13</v>
      </c>
      <c r="N149" s="46" t="s">
        <v>6961</v>
      </c>
      <c r="O149" s="46">
        <v>6.5</v>
      </c>
      <c r="P149" s="47">
        <v>80</v>
      </c>
      <c r="Q149" s="47">
        <v>0</v>
      </c>
      <c r="R149" s="47">
        <v>20</v>
      </c>
      <c r="S149" s="47">
        <v>0.13</v>
      </c>
      <c r="T149" s="47" t="s">
        <v>6961</v>
      </c>
      <c r="U149" s="47">
        <v>10.4</v>
      </c>
      <c r="V149">
        <f t="shared" si="6"/>
        <v>175</v>
      </c>
      <c r="W149">
        <f t="shared" si="7"/>
        <v>22.75</v>
      </c>
      <c r="X149">
        <f t="shared" si="8"/>
        <v>0.13</v>
      </c>
      <c r="AA149" s="64">
        <v>62223</v>
      </c>
      <c r="AB149">
        <v>0.13</v>
      </c>
    </row>
    <row r="150" spans="1:28" x14ac:dyDescent="0.25">
      <c r="A150" s="125"/>
      <c r="B150" s="64" t="s">
        <v>1283</v>
      </c>
      <c r="C150" s="64">
        <v>62229</v>
      </c>
      <c r="D150" s="44">
        <v>20</v>
      </c>
      <c r="E150" s="44">
        <v>0</v>
      </c>
      <c r="F150" s="44">
        <v>5</v>
      </c>
      <c r="G150" s="44">
        <v>0.13</v>
      </c>
      <c r="H150" s="44" t="s">
        <v>6961</v>
      </c>
      <c r="I150" s="44">
        <v>2.6</v>
      </c>
      <c r="J150" s="46">
        <v>20</v>
      </c>
      <c r="K150" s="46">
        <v>5</v>
      </c>
      <c r="L150" s="46">
        <v>10</v>
      </c>
      <c r="M150" s="46">
        <v>0.375</v>
      </c>
      <c r="N150" s="46" t="s">
        <v>6958</v>
      </c>
      <c r="O150" s="46">
        <v>7.5</v>
      </c>
      <c r="P150" s="47">
        <v>400</v>
      </c>
      <c r="Q150" s="47">
        <v>0</v>
      </c>
      <c r="R150" s="47">
        <v>100</v>
      </c>
      <c r="S150" s="47">
        <v>0.13</v>
      </c>
      <c r="T150" s="47" t="s">
        <v>6961</v>
      </c>
      <c r="U150" s="47">
        <v>52</v>
      </c>
      <c r="V150">
        <f t="shared" si="6"/>
        <v>440</v>
      </c>
      <c r="W150">
        <f t="shared" si="7"/>
        <v>62.1</v>
      </c>
      <c r="X150">
        <f t="shared" si="8"/>
        <v>0.14113636363636364</v>
      </c>
      <c r="AA150" s="64">
        <v>62229</v>
      </c>
      <c r="AB150">
        <v>0.14113636363636364</v>
      </c>
    </row>
    <row r="151" spans="1:28" x14ac:dyDescent="0.25">
      <c r="A151" s="125"/>
      <c r="B151" s="64" t="s">
        <v>1268</v>
      </c>
      <c r="C151" s="64">
        <v>62128</v>
      </c>
      <c r="D151" s="44">
        <v>2</v>
      </c>
      <c r="E151" s="44">
        <v>0.5</v>
      </c>
      <c r="F151" s="44">
        <v>1</v>
      </c>
      <c r="G151" s="44">
        <v>0.375</v>
      </c>
      <c r="H151" s="44" t="s">
        <v>6958</v>
      </c>
      <c r="I151" s="44">
        <v>0.75</v>
      </c>
      <c r="J151" s="46">
        <v>15</v>
      </c>
      <c r="K151" s="46">
        <v>11.25</v>
      </c>
      <c r="L151" s="46">
        <v>15</v>
      </c>
      <c r="M151" s="46">
        <v>0.87</v>
      </c>
      <c r="N151" s="46" t="s">
        <v>6959</v>
      </c>
      <c r="O151" s="46">
        <v>13.05</v>
      </c>
      <c r="P151" s="47">
        <v>350</v>
      </c>
      <c r="Q151" s="47">
        <v>262.5</v>
      </c>
      <c r="R151" s="47">
        <v>350</v>
      </c>
      <c r="S151" s="47">
        <v>0.87</v>
      </c>
      <c r="T151" s="47" t="s">
        <v>6959</v>
      </c>
      <c r="U151" s="47">
        <v>304.5</v>
      </c>
      <c r="V151">
        <f t="shared" si="6"/>
        <v>367</v>
      </c>
      <c r="W151">
        <f t="shared" si="7"/>
        <v>318.3</v>
      </c>
      <c r="X151">
        <f t="shared" si="8"/>
        <v>0.86730245231607628</v>
      </c>
      <c r="AA151" s="64">
        <v>62128</v>
      </c>
      <c r="AB151">
        <v>0.86730245231607628</v>
      </c>
    </row>
    <row r="152" spans="1:28" x14ac:dyDescent="0.25">
      <c r="A152" s="125"/>
      <c r="B152" s="64" t="s">
        <v>2988</v>
      </c>
      <c r="C152" s="64">
        <v>62246</v>
      </c>
      <c r="D152" s="44">
        <v>3</v>
      </c>
      <c r="E152" s="44">
        <v>0.75</v>
      </c>
      <c r="F152" s="44">
        <v>1.5</v>
      </c>
      <c r="G152" s="44">
        <v>0.375</v>
      </c>
      <c r="H152" s="44" t="s">
        <v>6958</v>
      </c>
      <c r="I152" s="44">
        <v>1.125</v>
      </c>
      <c r="J152" s="46">
        <v>30</v>
      </c>
      <c r="K152" s="46">
        <v>7.5</v>
      </c>
      <c r="L152" s="46">
        <v>15</v>
      </c>
      <c r="M152" s="46">
        <v>0.375</v>
      </c>
      <c r="N152" s="46" t="s">
        <v>6958</v>
      </c>
      <c r="O152" s="46">
        <v>11.25</v>
      </c>
      <c r="P152" s="47">
        <v>450</v>
      </c>
      <c r="Q152" s="47">
        <v>112.5</v>
      </c>
      <c r="R152" s="47">
        <v>225</v>
      </c>
      <c r="S152" s="47">
        <v>0.375</v>
      </c>
      <c r="T152" s="47" t="s">
        <v>6958</v>
      </c>
      <c r="U152" s="47">
        <v>168.75</v>
      </c>
      <c r="V152">
        <f t="shared" si="6"/>
        <v>483</v>
      </c>
      <c r="W152">
        <f t="shared" si="7"/>
        <v>181.125</v>
      </c>
      <c r="X152">
        <f t="shared" si="8"/>
        <v>0.375</v>
      </c>
      <c r="AA152" s="64">
        <v>62246</v>
      </c>
      <c r="AB152">
        <v>0.375</v>
      </c>
    </row>
    <row r="153" spans="1:28" x14ac:dyDescent="0.25">
      <c r="A153" s="125"/>
      <c r="B153" s="64" t="s">
        <v>1275</v>
      </c>
      <c r="C153" s="64">
        <v>62217</v>
      </c>
      <c r="D153" s="44">
        <v>40</v>
      </c>
      <c r="E153" s="44">
        <v>10</v>
      </c>
      <c r="F153" s="44">
        <v>20</v>
      </c>
      <c r="G153" s="44">
        <v>0.375</v>
      </c>
      <c r="H153" s="44" t="s">
        <v>6958</v>
      </c>
      <c r="I153" s="44">
        <v>15</v>
      </c>
      <c r="J153" s="46">
        <v>5</v>
      </c>
      <c r="K153" s="46">
        <v>0</v>
      </c>
      <c r="L153" s="46">
        <v>1.25</v>
      </c>
      <c r="M153" s="46">
        <v>0.13</v>
      </c>
      <c r="N153" s="46" t="s">
        <v>6961</v>
      </c>
      <c r="O153" s="46">
        <v>0.65</v>
      </c>
      <c r="P153" s="47">
        <v>30</v>
      </c>
      <c r="Q153" s="47">
        <v>0</v>
      </c>
      <c r="R153" s="47">
        <v>7.5</v>
      </c>
      <c r="S153" s="47">
        <v>0.13</v>
      </c>
      <c r="T153" s="47" t="s">
        <v>6961</v>
      </c>
      <c r="U153" s="47">
        <v>3.9000000000000004</v>
      </c>
      <c r="V153">
        <f t="shared" si="6"/>
        <v>75</v>
      </c>
      <c r="W153">
        <f t="shared" si="7"/>
        <v>19.55</v>
      </c>
      <c r="X153">
        <f t="shared" si="8"/>
        <v>0.26066666666666666</v>
      </c>
      <c r="AA153" s="64">
        <v>62217</v>
      </c>
      <c r="AB153">
        <v>0.26066666666666666</v>
      </c>
    </row>
    <row r="154" spans="1:28" x14ac:dyDescent="0.25">
      <c r="A154" s="125"/>
      <c r="B154" s="64" t="s">
        <v>1296</v>
      </c>
      <c r="C154" s="64">
        <v>62247</v>
      </c>
      <c r="D154" s="44">
        <v>5</v>
      </c>
      <c r="E154" s="44">
        <v>0</v>
      </c>
      <c r="F154" s="44">
        <v>1.25</v>
      </c>
      <c r="G154" s="44">
        <v>0.13</v>
      </c>
      <c r="H154" s="44" t="s">
        <v>6961</v>
      </c>
      <c r="I154" s="44">
        <v>0.65</v>
      </c>
      <c r="J154" s="46">
        <v>60</v>
      </c>
      <c r="K154" s="46">
        <v>0</v>
      </c>
      <c r="L154" s="46">
        <v>15</v>
      </c>
      <c r="M154" s="46">
        <v>0.13</v>
      </c>
      <c r="N154" s="46" t="s">
        <v>6961</v>
      </c>
      <c r="O154" s="46">
        <v>7.8000000000000007</v>
      </c>
      <c r="P154" s="47">
        <v>200</v>
      </c>
      <c r="Q154" s="47">
        <v>0</v>
      </c>
      <c r="R154" s="47">
        <v>50</v>
      </c>
      <c r="S154" s="47">
        <v>0.13</v>
      </c>
      <c r="T154" s="47" t="s">
        <v>6961</v>
      </c>
      <c r="U154" s="47">
        <v>26</v>
      </c>
      <c r="V154">
        <f t="shared" si="6"/>
        <v>265</v>
      </c>
      <c r="W154">
        <f t="shared" si="7"/>
        <v>34.449999999999996</v>
      </c>
      <c r="X154">
        <f t="shared" si="8"/>
        <v>0.12999999999999998</v>
      </c>
      <c r="AA154" s="64">
        <v>62247</v>
      </c>
      <c r="AB154">
        <v>0.12999999999999998</v>
      </c>
    </row>
    <row r="155" spans="1:28" x14ac:dyDescent="0.25">
      <c r="A155" s="125"/>
      <c r="B155" s="64" t="s">
        <v>1292</v>
      </c>
      <c r="C155" s="64">
        <v>62243</v>
      </c>
      <c r="D155" s="44">
        <v>2</v>
      </c>
      <c r="E155" s="44">
        <v>0</v>
      </c>
      <c r="F155" s="44">
        <v>0.5</v>
      </c>
      <c r="G155" s="44">
        <v>0.13</v>
      </c>
      <c r="H155" s="44" t="s">
        <v>6961</v>
      </c>
      <c r="I155" s="44">
        <v>0.26</v>
      </c>
      <c r="J155" s="46">
        <v>85</v>
      </c>
      <c r="K155" s="46">
        <v>0</v>
      </c>
      <c r="L155" s="46">
        <v>21.25</v>
      </c>
      <c r="M155" s="46">
        <v>0.13</v>
      </c>
      <c r="N155" s="46" t="s">
        <v>6961</v>
      </c>
      <c r="O155" s="46">
        <v>11.05</v>
      </c>
      <c r="P155" s="47">
        <v>300</v>
      </c>
      <c r="Q155" s="47">
        <v>0</v>
      </c>
      <c r="R155" s="47">
        <v>75</v>
      </c>
      <c r="S155" s="47">
        <v>0.13</v>
      </c>
      <c r="T155" s="47" t="s">
        <v>6961</v>
      </c>
      <c r="U155" s="47">
        <v>39</v>
      </c>
      <c r="V155">
        <f t="shared" si="6"/>
        <v>387</v>
      </c>
      <c r="W155">
        <f t="shared" si="7"/>
        <v>50.309999999999995</v>
      </c>
      <c r="X155">
        <f t="shared" si="8"/>
        <v>0.12999999999999998</v>
      </c>
      <c r="AA155" s="64">
        <v>62243</v>
      </c>
      <c r="AB155">
        <v>0.12999999999999998</v>
      </c>
    </row>
    <row r="156" spans="1:28" x14ac:dyDescent="0.25">
      <c r="A156" s="125"/>
      <c r="B156" s="64" t="s">
        <v>1322</v>
      </c>
      <c r="C156" s="64">
        <v>62291</v>
      </c>
      <c r="D156" s="44">
        <v>0</v>
      </c>
      <c r="E156" s="44">
        <v>0</v>
      </c>
      <c r="F156" s="44">
        <v>0</v>
      </c>
      <c r="G156" s="44">
        <v>0.13</v>
      </c>
      <c r="H156" s="44" t="s">
        <v>6961</v>
      </c>
      <c r="I156" s="44">
        <v>0</v>
      </c>
      <c r="J156" s="46">
        <v>100</v>
      </c>
      <c r="K156" s="46">
        <v>50</v>
      </c>
      <c r="L156" s="46">
        <v>75</v>
      </c>
      <c r="M156" s="46">
        <v>0.625</v>
      </c>
      <c r="N156" s="46" t="s">
        <v>6960</v>
      </c>
      <c r="O156" s="46">
        <v>62.5</v>
      </c>
      <c r="P156" s="47">
        <v>400</v>
      </c>
      <c r="Q156" s="47">
        <v>200</v>
      </c>
      <c r="R156" s="47">
        <v>300</v>
      </c>
      <c r="S156" s="47">
        <v>0.625</v>
      </c>
      <c r="T156" s="47" t="s">
        <v>6960</v>
      </c>
      <c r="U156" s="47">
        <v>250</v>
      </c>
      <c r="V156">
        <f t="shared" si="6"/>
        <v>500</v>
      </c>
      <c r="W156">
        <f t="shared" si="7"/>
        <v>312.5</v>
      </c>
      <c r="X156">
        <f t="shared" si="8"/>
        <v>0.625</v>
      </c>
      <c r="AA156" s="64">
        <v>62291</v>
      </c>
      <c r="AB156">
        <v>0.625</v>
      </c>
    </row>
    <row r="157" spans="1:28" x14ac:dyDescent="0.25">
      <c r="A157" s="125"/>
      <c r="B157" s="64" t="s">
        <v>1270</v>
      </c>
      <c r="C157" s="64">
        <v>62179</v>
      </c>
      <c r="D157" s="44">
        <v>0</v>
      </c>
      <c r="E157" s="44">
        <v>0</v>
      </c>
      <c r="F157" s="44">
        <v>0</v>
      </c>
      <c r="G157" s="44">
        <v>0</v>
      </c>
      <c r="H157" s="44">
        <v>0</v>
      </c>
      <c r="I157" s="44">
        <v>0</v>
      </c>
      <c r="J157" s="46">
        <v>40</v>
      </c>
      <c r="K157" s="46">
        <v>30</v>
      </c>
      <c r="L157" s="46">
        <v>40</v>
      </c>
      <c r="M157" s="46">
        <v>0.87</v>
      </c>
      <c r="N157" s="46" t="s">
        <v>6959</v>
      </c>
      <c r="O157" s="46">
        <v>34.799999999999997</v>
      </c>
      <c r="P157" s="47">
        <v>150</v>
      </c>
      <c r="Q157" s="47">
        <v>75</v>
      </c>
      <c r="R157" s="47">
        <v>112.5</v>
      </c>
      <c r="S157" s="47">
        <v>0.625</v>
      </c>
      <c r="T157" s="47" t="s">
        <v>6960</v>
      </c>
      <c r="U157" s="47">
        <v>93.75</v>
      </c>
      <c r="V157">
        <f t="shared" si="6"/>
        <v>190</v>
      </c>
      <c r="W157">
        <f t="shared" si="7"/>
        <v>128.55000000000001</v>
      </c>
      <c r="X157">
        <f t="shared" si="8"/>
        <v>0.67657894736842106</v>
      </c>
      <c r="AA157" s="64">
        <v>62179</v>
      </c>
      <c r="AB157">
        <v>0.67657894736842106</v>
      </c>
    </row>
    <row r="158" spans="1:28" x14ac:dyDescent="0.25">
      <c r="A158" s="125"/>
      <c r="B158" s="64" t="s">
        <v>1326</v>
      </c>
      <c r="C158" s="64">
        <v>62295</v>
      </c>
      <c r="D158" s="44">
        <v>50</v>
      </c>
      <c r="E158" s="44">
        <v>0</v>
      </c>
      <c r="F158" s="44">
        <v>0</v>
      </c>
      <c r="G158" s="44">
        <v>0</v>
      </c>
      <c r="H158" s="44">
        <v>0</v>
      </c>
      <c r="I158" s="44">
        <v>0</v>
      </c>
      <c r="J158" s="46">
        <v>200</v>
      </c>
      <c r="K158" s="46">
        <v>150</v>
      </c>
      <c r="L158" s="46">
        <v>200</v>
      </c>
      <c r="M158" s="46">
        <v>0.87</v>
      </c>
      <c r="N158" s="46" t="s">
        <v>6959</v>
      </c>
      <c r="O158" s="46">
        <v>174</v>
      </c>
      <c r="P158" s="47">
        <v>200</v>
      </c>
      <c r="Q158" s="47">
        <v>50</v>
      </c>
      <c r="R158" s="47">
        <v>100</v>
      </c>
      <c r="S158" s="47">
        <v>0.375</v>
      </c>
      <c r="T158" s="47" t="s">
        <v>6958</v>
      </c>
      <c r="U158" s="47">
        <v>75</v>
      </c>
      <c r="V158">
        <f t="shared" si="6"/>
        <v>450</v>
      </c>
      <c r="W158">
        <f t="shared" si="7"/>
        <v>249</v>
      </c>
      <c r="X158">
        <f t="shared" si="8"/>
        <v>0.55333333333333334</v>
      </c>
      <c r="AA158" s="64">
        <v>62295</v>
      </c>
      <c r="AB158">
        <v>0.55333333333333334</v>
      </c>
    </row>
    <row r="159" spans="1:28" x14ac:dyDescent="0.25">
      <c r="A159" s="125"/>
      <c r="B159" s="64" t="s">
        <v>1337</v>
      </c>
      <c r="C159" s="64">
        <v>62319</v>
      </c>
      <c r="D159" s="44">
        <v>0</v>
      </c>
      <c r="E159" s="44">
        <v>0</v>
      </c>
      <c r="F159" s="44">
        <v>0</v>
      </c>
      <c r="G159" s="44">
        <v>0.13</v>
      </c>
      <c r="H159" s="44" t="s">
        <v>6961</v>
      </c>
      <c r="I159" s="44">
        <v>0</v>
      </c>
      <c r="J159" s="46">
        <v>50</v>
      </c>
      <c r="K159" s="46">
        <v>37.5</v>
      </c>
      <c r="L159" s="46">
        <v>50</v>
      </c>
      <c r="M159" s="46">
        <v>0.87</v>
      </c>
      <c r="N159" s="46" t="s">
        <v>6959</v>
      </c>
      <c r="O159" s="46">
        <v>43.5</v>
      </c>
      <c r="P159" s="47">
        <v>70</v>
      </c>
      <c r="Q159" s="47">
        <v>0</v>
      </c>
      <c r="R159" s="47">
        <v>17.5</v>
      </c>
      <c r="S159" s="47">
        <v>0.13</v>
      </c>
      <c r="T159" s="47" t="s">
        <v>6961</v>
      </c>
      <c r="U159" s="47">
        <v>9.1</v>
      </c>
      <c r="V159">
        <f t="shared" si="6"/>
        <v>120</v>
      </c>
      <c r="W159">
        <f t="shared" si="7"/>
        <v>52.6</v>
      </c>
      <c r="X159">
        <f t="shared" si="8"/>
        <v>0.43833333333333335</v>
      </c>
      <c r="AA159" s="64">
        <v>62319</v>
      </c>
      <c r="AB159">
        <v>0.43833333333333335</v>
      </c>
    </row>
    <row r="160" spans="1:28" x14ac:dyDescent="0.25">
      <c r="A160" s="125"/>
      <c r="B160" s="64" t="s">
        <v>1267</v>
      </c>
      <c r="C160" s="64">
        <v>62111</v>
      </c>
      <c r="D160" s="44">
        <v>170</v>
      </c>
      <c r="E160" s="44">
        <v>0</v>
      </c>
      <c r="F160" s="44">
        <v>0</v>
      </c>
      <c r="G160" s="44">
        <v>0</v>
      </c>
      <c r="H160" s="44">
        <v>0</v>
      </c>
      <c r="I160" s="44">
        <v>0</v>
      </c>
      <c r="J160" s="46">
        <v>15</v>
      </c>
      <c r="K160" s="46">
        <v>7.5</v>
      </c>
      <c r="L160" s="46">
        <v>11.25</v>
      </c>
      <c r="M160" s="46">
        <v>0.625</v>
      </c>
      <c r="N160" s="46" t="s">
        <v>6960</v>
      </c>
      <c r="O160" s="46">
        <v>9.375</v>
      </c>
      <c r="P160" s="47">
        <v>0</v>
      </c>
      <c r="Q160" s="47">
        <v>0</v>
      </c>
      <c r="R160" s="47">
        <v>0</v>
      </c>
      <c r="S160" s="47">
        <v>0</v>
      </c>
      <c r="T160" s="47">
        <v>0</v>
      </c>
      <c r="U160" s="47"/>
      <c r="V160">
        <f t="shared" si="6"/>
        <v>185</v>
      </c>
      <c r="W160">
        <f t="shared" si="7"/>
        <v>9.375</v>
      </c>
      <c r="X160">
        <f t="shared" si="8"/>
        <v>5.0675675675675678E-2</v>
      </c>
      <c r="AA160" s="64">
        <v>62111</v>
      </c>
      <c r="AB160" t="e">
        <v>#VALUE!</v>
      </c>
    </row>
    <row r="161" spans="1:28" x14ac:dyDescent="0.25">
      <c r="A161" s="125"/>
      <c r="B161" s="64" t="s">
        <v>2995</v>
      </c>
      <c r="C161" s="64">
        <v>62293</v>
      </c>
      <c r="D161" s="44">
        <v>3</v>
      </c>
      <c r="E161" s="44">
        <v>0</v>
      </c>
      <c r="F161" s="44">
        <v>0.75</v>
      </c>
      <c r="G161" s="44">
        <v>0.13</v>
      </c>
      <c r="H161" s="44" t="s">
        <v>6961</v>
      </c>
      <c r="I161" s="44">
        <v>0.39</v>
      </c>
      <c r="J161" s="46">
        <v>50</v>
      </c>
      <c r="K161" s="46">
        <v>12.5</v>
      </c>
      <c r="L161" s="46">
        <v>25</v>
      </c>
      <c r="M161" s="46">
        <v>0.375</v>
      </c>
      <c r="N161" s="46" t="s">
        <v>6958</v>
      </c>
      <c r="O161" s="46">
        <v>18.75</v>
      </c>
      <c r="P161" s="47">
        <v>90</v>
      </c>
      <c r="Q161" s="47">
        <v>22.5</v>
      </c>
      <c r="R161" s="47">
        <v>45</v>
      </c>
      <c r="S161" s="47">
        <v>0.375</v>
      </c>
      <c r="T161" s="47" t="s">
        <v>6958</v>
      </c>
      <c r="U161" s="47">
        <v>33.75</v>
      </c>
      <c r="V161">
        <f t="shared" si="6"/>
        <v>143</v>
      </c>
      <c r="W161">
        <f t="shared" si="7"/>
        <v>52.89</v>
      </c>
      <c r="X161">
        <f t="shared" si="8"/>
        <v>0.36986013986013988</v>
      </c>
      <c r="AA161" s="64">
        <v>62293</v>
      </c>
      <c r="AB161">
        <v>0.36986013986013988</v>
      </c>
    </row>
    <row r="162" spans="1:28" x14ac:dyDescent="0.25">
      <c r="A162" s="125"/>
      <c r="B162" s="64" t="s">
        <v>2996</v>
      </c>
      <c r="C162" s="64">
        <v>62294</v>
      </c>
      <c r="D162" s="44">
        <v>400</v>
      </c>
      <c r="E162" s="44">
        <v>0</v>
      </c>
      <c r="F162" s="44">
        <v>100</v>
      </c>
      <c r="G162" s="44">
        <v>0.13</v>
      </c>
      <c r="H162" s="44" t="s">
        <v>6961</v>
      </c>
      <c r="I162" s="44">
        <v>52</v>
      </c>
      <c r="J162" s="46">
        <v>100</v>
      </c>
      <c r="K162" s="46">
        <v>25</v>
      </c>
      <c r="L162" s="46">
        <v>50</v>
      </c>
      <c r="M162" s="46">
        <v>0.375</v>
      </c>
      <c r="N162" s="46" t="s">
        <v>6958</v>
      </c>
      <c r="O162" s="46">
        <v>37.5</v>
      </c>
      <c r="P162" s="47">
        <v>300</v>
      </c>
      <c r="Q162" s="47">
        <v>0</v>
      </c>
      <c r="R162" s="47">
        <v>75</v>
      </c>
      <c r="S162" s="47">
        <v>0.13</v>
      </c>
      <c r="T162" s="47" t="s">
        <v>6961</v>
      </c>
      <c r="U162" s="47">
        <v>39</v>
      </c>
      <c r="V162">
        <f t="shared" si="6"/>
        <v>800</v>
      </c>
      <c r="W162">
        <f t="shared" si="7"/>
        <v>128.5</v>
      </c>
      <c r="X162">
        <f t="shared" si="8"/>
        <v>0.16062499999999999</v>
      </c>
      <c r="AA162" s="64">
        <v>62294</v>
      </c>
      <c r="AB162">
        <v>0.16062499999999999</v>
      </c>
    </row>
    <row r="163" spans="1:28" x14ac:dyDescent="0.25">
      <c r="A163" s="125"/>
      <c r="B163" s="64" t="s">
        <v>1308</v>
      </c>
      <c r="C163" s="64">
        <v>62267</v>
      </c>
      <c r="D163" s="44">
        <v>0</v>
      </c>
      <c r="E163" s="44">
        <v>0</v>
      </c>
      <c r="F163" s="44">
        <v>0</v>
      </c>
      <c r="G163" s="44">
        <v>0.375</v>
      </c>
      <c r="H163" s="44" t="s">
        <v>6958</v>
      </c>
      <c r="I163" s="44">
        <v>0</v>
      </c>
      <c r="J163" s="46">
        <v>10</v>
      </c>
      <c r="K163" s="46">
        <v>5</v>
      </c>
      <c r="L163" s="46">
        <v>7.5</v>
      </c>
      <c r="M163" s="46">
        <v>0.625</v>
      </c>
      <c r="N163" s="46" t="s">
        <v>6960</v>
      </c>
      <c r="O163" s="46">
        <v>6.25</v>
      </c>
      <c r="P163" s="47">
        <v>25</v>
      </c>
      <c r="Q163" s="47">
        <v>12.5</v>
      </c>
      <c r="R163" s="47">
        <v>18.75</v>
      </c>
      <c r="S163" s="47">
        <v>0.625</v>
      </c>
      <c r="T163" s="47" t="s">
        <v>6960</v>
      </c>
      <c r="U163" s="47">
        <v>15.625</v>
      </c>
      <c r="V163">
        <f t="shared" si="6"/>
        <v>35</v>
      </c>
      <c r="W163">
        <f t="shared" si="7"/>
        <v>21.875</v>
      </c>
      <c r="X163">
        <f t="shared" si="8"/>
        <v>0.625</v>
      </c>
      <c r="AA163" s="64">
        <v>62267</v>
      </c>
      <c r="AB163">
        <v>0.625</v>
      </c>
    </row>
    <row r="164" spans="1:28" x14ac:dyDescent="0.25">
      <c r="A164" s="125"/>
      <c r="B164" s="64" t="s">
        <v>2994</v>
      </c>
      <c r="C164" s="64">
        <v>62287</v>
      </c>
      <c r="D164" s="44">
        <v>250</v>
      </c>
      <c r="E164" s="44">
        <v>0</v>
      </c>
      <c r="F164" s="44">
        <v>0</v>
      </c>
      <c r="G164" s="44">
        <v>0</v>
      </c>
      <c r="H164" s="44">
        <v>0</v>
      </c>
      <c r="I164" s="44">
        <v>0</v>
      </c>
      <c r="J164" s="46">
        <v>600</v>
      </c>
      <c r="K164" s="46">
        <v>150</v>
      </c>
      <c r="L164" s="46">
        <v>300</v>
      </c>
      <c r="M164" s="46">
        <v>0.375</v>
      </c>
      <c r="N164" s="46" t="s">
        <v>6958</v>
      </c>
      <c r="O164" s="46">
        <v>225</v>
      </c>
      <c r="P164" s="47">
        <v>380</v>
      </c>
      <c r="Q164" s="47">
        <v>0</v>
      </c>
      <c r="R164" s="47">
        <v>95</v>
      </c>
      <c r="S164" s="47">
        <v>0.13</v>
      </c>
      <c r="T164" s="47" t="s">
        <v>6961</v>
      </c>
      <c r="U164" s="47">
        <v>49.4</v>
      </c>
      <c r="V164">
        <f t="shared" si="6"/>
        <v>1230</v>
      </c>
      <c r="W164">
        <f t="shared" si="7"/>
        <v>274.39999999999998</v>
      </c>
      <c r="X164">
        <f t="shared" si="8"/>
        <v>0.22308943089430894</v>
      </c>
      <c r="AA164" s="64">
        <v>62287</v>
      </c>
      <c r="AB164">
        <v>0.22308943089430894</v>
      </c>
    </row>
    <row r="165" spans="1:28" x14ac:dyDescent="0.25">
      <c r="A165" s="125"/>
      <c r="B165" s="64" t="s">
        <v>1315</v>
      </c>
      <c r="C165" s="64">
        <v>62279</v>
      </c>
      <c r="D165" s="44">
        <v>220</v>
      </c>
      <c r="E165" s="44">
        <v>0</v>
      </c>
      <c r="F165" s="44">
        <v>55</v>
      </c>
      <c r="G165" s="44">
        <v>0.13</v>
      </c>
      <c r="H165" s="44" t="s">
        <v>6961</v>
      </c>
      <c r="I165" s="44">
        <v>28.6</v>
      </c>
      <c r="J165" s="46">
        <v>4</v>
      </c>
      <c r="K165" s="46">
        <v>0</v>
      </c>
      <c r="L165" s="46">
        <v>1</v>
      </c>
      <c r="M165" s="46">
        <v>0.13</v>
      </c>
      <c r="N165" s="46" t="s">
        <v>6961</v>
      </c>
      <c r="O165" s="46">
        <v>0.52</v>
      </c>
      <c r="P165" s="47">
        <v>100</v>
      </c>
      <c r="Q165" s="47">
        <v>0</v>
      </c>
      <c r="R165" s="47">
        <v>25</v>
      </c>
      <c r="S165" s="47">
        <v>0.13</v>
      </c>
      <c r="T165" s="47" t="s">
        <v>6961</v>
      </c>
      <c r="U165" s="47">
        <v>13</v>
      </c>
      <c r="V165">
        <f t="shared" si="6"/>
        <v>324</v>
      </c>
      <c r="W165">
        <f t="shared" si="7"/>
        <v>42.120000000000005</v>
      </c>
      <c r="X165">
        <f t="shared" si="8"/>
        <v>0.13</v>
      </c>
      <c r="AA165" s="64">
        <v>62279</v>
      </c>
      <c r="AB165">
        <v>0.13</v>
      </c>
    </row>
    <row r="166" spans="1:28" x14ac:dyDescent="0.25">
      <c r="A166" s="125"/>
      <c r="B166" s="64" t="s">
        <v>2991</v>
      </c>
      <c r="C166" s="64">
        <v>62259</v>
      </c>
      <c r="D166" s="44">
        <v>1</v>
      </c>
      <c r="E166" s="44">
        <v>0</v>
      </c>
      <c r="F166" s="44">
        <v>0</v>
      </c>
      <c r="G166" s="44">
        <v>0</v>
      </c>
      <c r="H166" s="44">
        <v>0</v>
      </c>
      <c r="I166" s="44">
        <v>0</v>
      </c>
      <c r="J166" s="46">
        <v>25</v>
      </c>
      <c r="K166" s="46">
        <v>0</v>
      </c>
      <c r="L166" s="46">
        <v>6.25</v>
      </c>
      <c r="M166" s="46">
        <v>0.13</v>
      </c>
      <c r="N166" s="46" t="s">
        <v>6961</v>
      </c>
      <c r="O166" s="46">
        <v>3.25</v>
      </c>
      <c r="P166" s="47">
        <v>55</v>
      </c>
      <c r="Q166" s="47">
        <v>13.75</v>
      </c>
      <c r="R166" s="47">
        <v>27.5</v>
      </c>
      <c r="S166" s="47">
        <v>0.375</v>
      </c>
      <c r="T166" s="47" t="s">
        <v>6958</v>
      </c>
      <c r="U166" s="47">
        <v>20.625</v>
      </c>
      <c r="V166">
        <f t="shared" si="6"/>
        <v>81</v>
      </c>
      <c r="W166">
        <f t="shared" si="7"/>
        <v>23.875</v>
      </c>
      <c r="X166">
        <f t="shared" si="8"/>
        <v>0.29475308641975306</v>
      </c>
      <c r="AA166" s="64">
        <v>62259</v>
      </c>
      <c r="AB166">
        <v>0.29475308641975306</v>
      </c>
    </row>
    <row r="167" spans="1:28" x14ac:dyDescent="0.25">
      <c r="A167" s="125"/>
      <c r="B167" s="64" t="s">
        <v>1333</v>
      </c>
      <c r="C167" s="64">
        <v>62312</v>
      </c>
      <c r="D167" s="44">
        <v>1</v>
      </c>
      <c r="E167" s="44">
        <v>0</v>
      </c>
      <c r="F167" s="44">
        <v>0</v>
      </c>
      <c r="G167" s="44">
        <v>0</v>
      </c>
      <c r="H167" s="44">
        <v>0</v>
      </c>
      <c r="I167" s="44">
        <v>0</v>
      </c>
      <c r="J167" s="46">
        <v>5</v>
      </c>
      <c r="K167" s="46">
        <v>0</v>
      </c>
      <c r="L167" s="46">
        <v>1.25</v>
      </c>
      <c r="M167" s="46">
        <v>0.13</v>
      </c>
      <c r="N167" s="46" t="s">
        <v>6961</v>
      </c>
      <c r="O167" s="46">
        <v>0.65</v>
      </c>
      <c r="P167" s="47">
        <v>2</v>
      </c>
      <c r="Q167" s="47">
        <v>0.5</v>
      </c>
      <c r="R167" s="47">
        <v>1</v>
      </c>
      <c r="S167" s="47">
        <v>0.375</v>
      </c>
      <c r="T167" s="47" t="s">
        <v>6958</v>
      </c>
      <c r="U167" s="47">
        <v>0.75</v>
      </c>
      <c r="V167">
        <f t="shared" si="6"/>
        <v>8</v>
      </c>
      <c r="W167">
        <f t="shared" si="7"/>
        <v>1.4</v>
      </c>
      <c r="X167">
        <f t="shared" si="8"/>
        <v>0.17499999999999999</v>
      </c>
      <c r="AA167" s="64">
        <v>62312</v>
      </c>
      <c r="AB167">
        <v>0.17499999999999999</v>
      </c>
    </row>
    <row r="168" spans="1:28" x14ac:dyDescent="0.25">
      <c r="A168" s="125"/>
      <c r="B168" s="64" t="s">
        <v>1334</v>
      </c>
      <c r="C168" s="64">
        <v>62314</v>
      </c>
      <c r="D168" s="44">
        <v>0</v>
      </c>
      <c r="E168" s="44">
        <v>0</v>
      </c>
      <c r="F168" s="44">
        <v>0</v>
      </c>
      <c r="G168" s="44">
        <v>0.13</v>
      </c>
      <c r="H168" s="44" t="s">
        <v>6961</v>
      </c>
      <c r="I168" s="44">
        <v>0</v>
      </c>
      <c r="J168" s="46">
        <v>0</v>
      </c>
      <c r="K168" s="46">
        <v>0</v>
      </c>
      <c r="L168" s="46">
        <v>0</v>
      </c>
      <c r="M168" s="46">
        <v>0</v>
      </c>
      <c r="N168" s="46">
        <v>0</v>
      </c>
      <c r="O168" s="46">
        <v>0</v>
      </c>
      <c r="P168" s="47">
        <v>7</v>
      </c>
      <c r="Q168" s="47">
        <v>1.75</v>
      </c>
      <c r="R168" s="47">
        <v>3.5</v>
      </c>
      <c r="S168" s="47">
        <v>0.375</v>
      </c>
      <c r="T168" s="47" t="s">
        <v>6958</v>
      </c>
      <c r="U168" s="47">
        <v>2.625</v>
      </c>
      <c r="V168">
        <f t="shared" si="6"/>
        <v>7</v>
      </c>
      <c r="W168">
        <f t="shared" si="7"/>
        <v>2.625</v>
      </c>
      <c r="X168">
        <f t="shared" si="8"/>
        <v>0.375</v>
      </c>
      <c r="AA168" s="64">
        <v>62314</v>
      </c>
      <c r="AB168">
        <v>0.375</v>
      </c>
    </row>
    <row r="169" spans="1:28" x14ac:dyDescent="0.25">
      <c r="A169" s="125"/>
      <c r="B169" s="64" t="s">
        <v>1331</v>
      </c>
      <c r="C169" s="64">
        <v>62308</v>
      </c>
      <c r="D169" s="44">
        <v>0</v>
      </c>
      <c r="E169" s="44">
        <v>0</v>
      </c>
      <c r="F169" s="44">
        <v>0</v>
      </c>
      <c r="G169" s="44">
        <v>0</v>
      </c>
      <c r="H169" s="44">
        <v>0</v>
      </c>
      <c r="I169" s="44">
        <v>0</v>
      </c>
      <c r="J169" s="46">
        <v>1</v>
      </c>
      <c r="K169" s="46">
        <v>0</v>
      </c>
      <c r="L169" s="46">
        <v>0.25</v>
      </c>
      <c r="M169" s="46">
        <v>0.13</v>
      </c>
      <c r="N169" s="46" t="s">
        <v>6961</v>
      </c>
      <c r="O169" s="46">
        <v>0.13</v>
      </c>
      <c r="P169" s="47">
        <v>3</v>
      </c>
      <c r="Q169" s="47">
        <v>1.5</v>
      </c>
      <c r="R169" s="47">
        <v>2.25</v>
      </c>
      <c r="S169" s="47">
        <v>0.625</v>
      </c>
      <c r="T169" s="47" t="s">
        <v>6960</v>
      </c>
      <c r="U169" s="47">
        <v>1.875</v>
      </c>
      <c r="V169">
        <f t="shared" si="6"/>
        <v>4</v>
      </c>
      <c r="W169">
        <f t="shared" si="7"/>
        <v>2.0049999999999999</v>
      </c>
      <c r="X169">
        <f t="shared" si="8"/>
        <v>0.50124999999999997</v>
      </c>
      <c r="AA169" s="64">
        <v>62308</v>
      </c>
      <c r="AB169">
        <v>0.50124999999999997</v>
      </c>
    </row>
    <row r="170" spans="1:28" x14ac:dyDescent="0.25">
      <c r="A170" s="125"/>
      <c r="B170" s="64" t="s">
        <v>1327</v>
      </c>
      <c r="C170" s="64">
        <v>62296</v>
      </c>
      <c r="D170" s="44">
        <v>0</v>
      </c>
      <c r="E170" s="44">
        <v>0</v>
      </c>
      <c r="F170" s="44">
        <v>0</v>
      </c>
      <c r="G170" s="44">
        <v>0.13</v>
      </c>
      <c r="H170" s="44" t="s">
        <v>6961</v>
      </c>
      <c r="I170" s="44">
        <v>0</v>
      </c>
      <c r="J170" s="46">
        <v>50</v>
      </c>
      <c r="K170" s="46">
        <v>12.5</v>
      </c>
      <c r="L170" s="46">
        <v>25</v>
      </c>
      <c r="M170" s="46">
        <v>0.375</v>
      </c>
      <c r="N170" s="46" t="s">
        <v>6958</v>
      </c>
      <c r="O170" s="46">
        <v>18.75</v>
      </c>
      <c r="P170" s="47">
        <v>300</v>
      </c>
      <c r="Q170" s="47">
        <v>150</v>
      </c>
      <c r="R170" s="47">
        <v>225</v>
      </c>
      <c r="S170" s="47">
        <v>0.625</v>
      </c>
      <c r="T170" s="47" t="s">
        <v>6960</v>
      </c>
      <c r="U170" s="47">
        <v>187.5</v>
      </c>
      <c r="V170">
        <f t="shared" si="6"/>
        <v>350</v>
      </c>
      <c r="W170">
        <f t="shared" si="7"/>
        <v>206.25</v>
      </c>
      <c r="X170">
        <f t="shared" si="8"/>
        <v>0.5892857142857143</v>
      </c>
      <c r="AA170" s="64">
        <v>62296</v>
      </c>
      <c r="AB170">
        <v>0.5892857142857143</v>
      </c>
    </row>
    <row r="171" spans="1:28" x14ac:dyDescent="0.25">
      <c r="A171" s="125"/>
      <c r="B171" s="64" t="s">
        <v>1330</v>
      </c>
      <c r="C171" s="64">
        <v>62299</v>
      </c>
      <c r="D171" s="44">
        <v>0</v>
      </c>
      <c r="E171" s="44">
        <v>0</v>
      </c>
      <c r="F171" s="44">
        <v>0</v>
      </c>
      <c r="G171" s="44">
        <v>0.13</v>
      </c>
      <c r="H171" s="44" t="s">
        <v>6961</v>
      </c>
      <c r="I171" s="44">
        <v>0</v>
      </c>
      <c r="J171" s="46">
        <v>600</v>
      </c>
      <c r="K171" s="46">
        <v>0</v>
      </c>
      <c r="L171" s="46">
        <v>150</v>
      </c>
      <c r="M171" s="46">
        <v>0.13</v>
      </c>
      <c r="N171" s="46" t="s">
        <v>6961</v>
      </c>
      <c r="O171" s="46">
        <v>78</v>
      </c>
      <c r="P171" s="47">
        <v>1</v>
      </c>
      <c r="Q171" s="47">
        <v>0</v>
      </c>
      <c r="R171" s="47">
        <v>0.25</v>
      </c>
      <c r="S171" s="47">
        <v>0.13</v>
      </c>
      <c r="T171" s="47" t="s">
        <v>6961</v>
      </c>
      <c r="U171" s="47">
        <v>0.13</v>
      </c>
      <c r="V171">
        <f t="shared" si="6"/>
        <v>601</v>
      </c>
      <c r="W171">
        <f t="shared" si="7"/>
        <v>78.13</v>
      </c>
      <c r="X171">
        <f t="shared" si="8"/>
        <v>0.13</v>
      </c>
      <c r="AA171" s="64">
        <v>62299</v>
      </c>
      <c r="AB171">
        <v>0.13</v>
      </c>
    </row>
    <row r="172" spans="1:28" x14ac:dyDescent="0.25">
      <c r="A172" s="125"/>
      <c r="B172" s="64" t="s">
        <v>1328</v>
      </c>
      <c r="C172" s="64">
        <v>62297</v>
      </c>
      <c r="D172" s="44">
        <v>250</v>
      </c>
      <c r="E172" s="44">
        <v>0</v>
      </c>
      <c r="F172" s="44">
        <v>0</v>
      </c>
      <c r="G172" s="44">
        <v>0</v>
      </c>
      <c r="H172" s="44">
        <v>0</v>
      </c>
      <c r="I172" s="44">
        <v>0</v>
      </c>
      <c r="J172" s="46">
        <v>300</v>
      </c>
      <c r="K172" s="46">
        <v>0</v>
      </c>
      <c r="L172" s="46">
        <v>75</v>
      </c>
      <c r="M172" s="46">
        <v>0.13</v>
      </c>
      <c r="N172" s="46" t="s">
        <v>6961</v>
      </c>
      <c r="O172" s="46">
        <v>39</v>
      </c>
      <c r="P172" s="47">
        <v>400</v>
      </c>
      <c r="Q172" s="47">
        <v>0</v>
      </c>
      <c r="R172" s="47">
        <v>100</v>
      </c>
      <c r="S172" s="47">
        <v>0.13</v>
      </c>
      <c r="T172" s="47" t="s">
        <v>6961</v>
      </c>
      <c r="U172" s="47">
        <v>52</v>
      </c>
      <c r="V172">
        <f t="shared" si="6"/>
        <v>950</v>
      </c>
      <c r="W172">
        <f t="shared" si="7"/>
        <v>91</v>
      </c>
      <c r="X172">
        <f t="shared" si="8"/>
        <v>9.5789473684210522E-2</v>
      </c>
      <c r="AA172" s="64">
        <v>62297</v>
      </c>
      <c r="AB172">
        <v>9.5789473684210522E-2</v>
      </c>
    </row>
    <row r="173" spans="1:28" x14ac:dyDescent="0.25">
      <c r="A173" s="125"/>
      <c r="B173" s="64" t="s">
        <v>1293</v>
      </c>
      <c r="C173" s="64">
        <v>62244</v>
      </c>
      <c r="D173" s="44">
        <v>50</v>
      </c>
      <c r="E173" s="44">
        <v>12.5</v>
      </c>
      <c r="F173" s="44">
        <v>25</v>
      </c>
      <c r="G173" s="44">
        <v>0.375</v>
      </c>
      <c r="H173" s="44" t="s">
        <v>6958</v>
      </c>
      <c r="I173" s="44">
        <v>18.75</v>
      </c>
      <c r="J173" s="46">
        <v>250</v>
      </c>
      <c r="K173" s="46">
        <v>0</v>
      </c>
      <c r="L173" s="46">
        <v>62.5</v>
      </c>
      <c r="M173" s="46">
        <v>0.13</v>
      </c>
      <c r="N173" s="46" t="s">
        <v>6961</v>
      </c>
      <c r="O173" s="46">
        <v>32.5</v>
      </c>
      <c r="P173" s="47">
        <v>50</v>
      </c>
      <c r="Q173" s="47">
        <v>0</v>
      </c>
      <c r="R173" s="47">
        <v>12.5</v>
      </c>
      <c r="S173" s="47">
        <v>0.13</v>
      </c>
      <c r="T173" s="47" t="s">
        <v>6961</v>
      </c>
      <c r="U173" s="47">
        <v>6.5</v>
      </c>
      <c r="V173">
        <f t="shared" si="6"/>
        <v>350</v>
      </c>
      <c r="W173">
        <f t="shared" si="7"/>
        <v>57.75</v>
      </c>
      <c r="X173">
        <f t="shared" si="8"/>
        <v>0.16500000000000001</v>
      </c>
      <c r="AA173" s="64">
        <v>62244</v>
      </c>
      <c r="AB173">
        <v>0.16500000000000001</v>
      </c>
    </row>
    <row r="174" spans="1:28" x14ac:dyDescent="0.25">
      <c r="A174" s="125"/>
      <c r="B174" s="64" t="s">
        <v>1281</v>
      </c>
      <c r="C174" s="64">
        <v>62226</v>
      </c>
      <c r="D174" s="44">
        <v>0</v>
      </c>
      <c r="E174" s="44">
        <v>0</v>
      </c>
      <c r="F174" s="44">
        <v>0</v>
      </c>
      <c r="G174" s="44">
        <v>0.13</v>
      </c>
      <c r="H174" s="44" t="s">
        <v>6961</v>
      </c>
      <c r="I174" s="44">
        <v>0</v>
      </c>
      <c r="J174" s="46">
        <v>1</v>
      </c>
      <c r="K174" s="46">
        <v>0</v>
      </c>
      <c r="L174" s="46">
        <v>0.25</v>
      </c>
      <c r="M174" s="46">
        <v>0.13</v>
      </c>
      <c r="N174" s="46" t="s">
        <v>6961</v>
      </c>
      <c r="O174" s="46">
        <v>0.13</v>
      </c>
      <c r="P174" s="47">
        <v>1</v>
      </c>
      <c r="Q174" s="47">
        <v>0.25</v>
      </c>
      <c r="R174" s="47">
        <v>0.5</v>
      </c>
      <c r="S174" s="47">
        <v>0.375</v>
      </c>
      <c r="T174" s="47" t="s">
        <v>6958</v>
      </c>
      <c r="U174" s="47">
        <v>0.375</v>
      </c>
      <c r="V174">
        <f t="shared" si="6"/>
        <v>2</v>
      </c>
      <c r="W174">
        <f t="shared" si="7"/>
        <v>0.505</v>
      </c>
      <c r="X174">
        <f t="shared" si="8"/>
        <v>0.2525</v>
      </c>
      <c r="AA174" s="64">
        <v>62226</v>
      </c>
      <c r="AB174">
        <v>0.2525</v>
      </c>
    </row>
    <row r="175" spans="1:28" x14ac:dyDescent="0.25">
      <c r="A175" s="125"/>
      <c r="B175" s="64" t="s">
        <v>1341</v>
      </c>
      <c r="C175" s="64">
        <v>62351</v>
      </c>
      <c r="D175" s="44">
        <v>0</v>
      </c>
      <c r="E175" s="44">
        <v>0</v>
      </c>
      <c r="F175" s="44">
        <v>0</v>
      </c>
      <c r="G175" s="44">
        <v>0</v>
      </c>
      <c r="H175" s="44">
        <v>0</v>
      </c>
      <c r="I175" s="44">
        <v>0</v>
      </c>
      <c r="J175" s="46">
        <v>1</v>
      </c>
      <c r="K175" s="46">
        <v>0.25</v>
      </c>
      <c r="L175" s="46">
        <v>0.5</v>
      </c>
      <c r="M175" s="46">
        <v>0.375</v>
      </c>
      <c r="N175" s="46" t="s">
        <v>6958</v>
      </c>
      <c r="O175" s="46">
        <v>0.375</v>
      </c>
      <c r="P175" s="47">
        <v>1</v>
      </c>
      <c r="Q175" s="47">
        <v>0</v>
      </c>
      <c r="R175" s="47">
        <v>0.25</v>
      </c>
      <c r="S175" s="47">
        <v>0.13</v>
      </c>
      <c r="T175" s="47" t="s">
        <v>6961</v>
      </c>
      <c r="U175" s="47">
        <v>0.13</v>
      </c>
      <c r="V175">
        <f t="shared" si="6"/>
        <v>2</v>
      </c>
      <c r="W175">
        <f t="shared" si="7"/>
        <v>0.505</v>
      </c>
      <c r="X175">
        <f t="shared" si="8"/>
        <v>0.2525</v>
      </c>
      <c r="AA175" s="64">
        <v>62351</v>
      </c>
      <c r="AB175">
        <v>0.2525</v>
      </c>
    </row>
    <row r="176" spans="1:28" x14ac:dyDescent="0.25">
      <c r="A176" s="125"/>
      <c r="B176" s="64" t="s">
        <v>2986</v>
      </c>
      <c r="C176" s="64">
        <v>62233</v>
      </c>
      <c r="D176" s="44">
        <v>0</v>
      </c>
      <c r="E176" s="44">
        <v>0</v>
      </c>
      <c r="F176" s="44">
        <v>0</v>
      </c>
      <c r="G176" s="44">
        <v>0</v>
      </c>
      <c r="H176" s="44">
        <v>0</v>
      </c>
      <c r="I176" s="44">
        <v>0</v>
      </c>
      <c r="J176" s="46">
        <v>100</v>
      </c>
      <c r="K176" s="46">
        <v>25</v>
      </c>
      <c r="L176" s="46">
        <v>50</v>
      </c>
      <c r="M176" s="46">
        <v>0.375</v>
      </c>
      <c r="N176" s="46" t="s">
        <v>6958</v>
      </c>
      <c r="O176" s="46">
        <v>37.5</v>
      </c>
      <c r="P176" s="47">
        <v>50</v>
      </c>
      <c r="Q176" s="47">
        <v>12.5</v>
      </c>
      <c r="R176" s="47">
        <v>25</v>
      </c>
      <c r="S176" s="47">
        <v>0.375</v>
      </c>
      <c r="T176" s="47" t="s">
        <v>6958</v>
      </c>
      <c r="U176" s="47">
        <v>18.75</v>
      </c>
      <c r="V176">
        <f t="shared" si="6"/>
        <v>150</v>
      </c>
      <c r="W176">
        <f t="shared" si="7"/>
        <v>56.25</v>
      </c>
      <c r="X176">
        <f t="shared" si="8"/>
        <v>0.375</v>
      </c>
      <c r="AA176" s="64">
        <v>62233</v>
      </c>
      <c r="AB176">
        <v>0.375</v>
      </c>
    </row>
    <row r="177" spans="1:28" x14ac:dyDescent="0.25">
      <c r="A177" s="125"/>
      <c r="B177" s="64" t="s">
        <v>2993</v>
      </c>
      <c r="C177" s="64">
        <v>62277</v>
      </c>
      <c r="D177" s="44">
        <v>22</v>
      </c>
      <c r="E177" s="44">
        <v>0</v>
      </c>
      <c r="F177" s="44">
        <v>0</v>
      </c>
      <c r="G177" s="44">
        <v>0</v>
      </c>
      <c r="H177" s="44">
        <v>0</v>
      </c>
      <c r="I177" s="44">
        <v>0</v>
      </c>
      <c r="J177" s="46">
        <v>10</v>
      </c>
      <c r="K177" s="46">
        <v>7.5</v>
      </c>
      <c r="L177" s="46">
        <v>10</v>
      </c>
      <c r="M177" s="46">
        <v>0.87</v>
      </c>
      <c r="N177" s="46" t="s">
        <v>6959</v>
      </c>
      <c r="O177" s="46">
        <v>8.6999999999999993</v>
      </c>
      <c r="P177" s="47">
        <v>150</v>
      </c>
      <c r="Q177" s="47">
        <v>75</v>
      </c>
      <c r="R177" s="47">
        <v>112.5</v>
      </c>
      <c r="S177" s="47">
        <v>0.625</v>
      </c>
      <c r="T177" s="47" t="s">
        <v>6960</v>
      </c>
      <c r="U177" s="47">
        <v>93.75</v>
      </c>
      <c r="V177">
        <f t="shared" si="6"/>
        <v>182</v>
      </c>
      <c r="W177">
        <f t="shared" si="7"/>
        <v>102.45</v>
      </c>
      <c r="X177">
        <f t="shared" si="8"/>
        <v>0.56291208791208791</v>
      </c>
      <c r="AA177" s="64">
        <v>62277</v>
      </c>
      <c r="AB177">
        <v>0.56291208791208791</v>
      </c>
    </row>
    <row r="178" spans="1:28" x14ac:dyDescent="0.25">
      <c r="A178" s="125"/>
      <c r="B178" s="64" t="s">
        <v>1287</v>
      </c>
      <c r="C178" s="64">
        <v>62236</v>
      </c>
      <c r="D178" s="44">
        <v>10</v>
      </c>
      <c r="E178" s="44">
        <v>0</v>
      </c>
      <c r="F178" s="44">
        <v>2.5</v>
      </c>
      <c r="G178" s="44">
        <v>0.13</v>
      </c>
      <c r="H178" s="44" t="s">
        <v>6961</v>
      </c>
      <c r="I178" s="44">
        <v>1.3</v>
      </c>
      <c r="J178" s="46">
        <v>120</v>
      </c>
      <c r="K178" s="46">
        <v>0</v>
      </c>
      <c r="L178" s="46">
        <v>30</v>
      </c>
      <c r="M178" s="46">
        <v>0.13</v>
      </c>
      <c r="N178" s="46" t="s">
        <v>6961</v>
      </c>
      <c r="O178" s="46">
        <v>15.600000000000001</v>
      </c>
      <c r="P178" s="47">
        <v>300</v>
      </c>
      <c r="Q178" s="47">
        <v>0</v>
      </c>
      <c r="R178" s="47">
        <v>0</v>
      </c>
      <c r="S178" s="47">
        <v>0</v>
      </c>
      <c r="T178" s="47">
        <v>0</v>
      </c>
      <c r="U178" s="47">
        <v>0</v>
      </c>
      <c r="V178">
        <f t="shared" si="6"/>
        <v>430</v>
      </c>
      <c r="W178">
        <f t="shared" si="7"/>
        <v>16.900000000000002</v>
      </c>
      <c r="X178">
        <f t="shared" si="8"/>
        <v>3.9302325581395355E-2</v>
      </c>
      <c r="AA178" s="64">
        <v>62236</v>
      </c>
      <c r="AB178">
        <v>3.9302325581395355E-2</v>
      </c>
    </row>
    <row r="179" spans="1:28" x14ac:dyDescent="0.25">
      <c r="A179" s="125"/>
      <c r="B179" s="64" t="s">
        <v>1320</v>
      </c>
      <c r="C179" s="64">
        <v>62286</v>
      </c>
      <c r="D179" s="44">
        <v>400</v>
      </c>
      <c r="E179" s="44">
        <v>0</v>
      </c>
      <c r="F179" s="44">
        <v>0</v>
      </c>
      <c r="G179" s="44">
        <v>0</v>
      </c>
      <c r="H179" s="44">
        <v>0</v>
      </c>
      <c r="I179" s="44">
        <v>0</v>
      </c>
      <c r="J179" s="46">
        <v>400</v>
      </c>
      <c r="K179" s="46">
        <v>0</v>
      </c>
      <c r="L179" s="46">
        <v>100</v>
      </c>
      <c r="M179" s="46">
        <v>0.13</v>
      </c>
      <c r="N179" s="46" t="s">
        <v>6961</v>
      </c>
      <c r="O179" s="46">
        <v>52</v>
      </c>
      <c r="P179" s="47">
        <v>600</v>
      </c>
      <c r="Q179" s="47">
        <v>150</v>
      </c>
      <c r="R179" s="47">
        <v>300</v>
      </c>
      <c r="S179" s="47">
        <v>0.375</v>
      </c>
      <c r="T179" s="47" t="s">
        <v>6958</v>
      </c>
      <c r="U179" s="47">
        <v>225</v>
      </c>
      <c r="V179">
        <f t="shared" si="6"/>
        <v>1400</v>
      </c>
      <c r="W179">
        <f t="shared" si="7"/>
        <v>277</v>
      </c>
      <c r="X179">
        <f t="shared" si="8"/>
        <v>0.19785714285714287</v>
      </c>
      <c r="AA179" s="64">
        <v>62286</v>
      </c>
      <c r="AB179">
        <v>0.19785714285714287</v>
      </c>
    </row>
    <row r="180" spans="1:28" x14ac:dyDescent="0.25">
      <c r="A180" s="125"/>
      <c r="B180" s="64" t="s">
        <v>1307</v>
      </c>
      <c r="C180" s="64">
        <v>62266</v>
      </c>
      <c r="D180" s="44">
        <v>50</v>
      </c>
      <c r="E180" s="44">
        <v>12.5</v>
      </c>
      <c r="F180" s="44">
        <v>25</v>
      </c>
      <c r="G180" s="44">
        <v>0.375</v>
      </c>
      <c r="H180" s="44" t="s">
        <v>6958</v>
      </c>
      <c r="I180" s="44">
        <v>18.75</v>
      </c>
      <c r="J180" s="46">
        <v>100</v>
      </c>
      <c r="K180" s="46">
        <v>0</v>
      </c>
      <c r="L180" s="46">
        <v>0</v>
      </c>
      <c r="M180" s="46">
        <v>0</v>
      </c>
      <c r="N180" s="46">
        <v>0</v>
      </c>
      <c r="O180" s="46">
        <v>0</v>
      </c>
      <c r="P180" s="47">
        <v>150</v>
      </c>
      <c r="Q180" s="47">
        <v>0</v>
      </c>
      <c r="R180" s="47">
        <v>0</v>
      </c>
      <c r="S180" s="47">
        <v>0</v>
      </c>
      <c r="T180" s="47">
        <v>0</v>
      </c>
      <c r="U180" s="47">
        <v>0</v>
      </c>
      <c r="V180">
        <f t="shared" si="6"/>
        <v>300</v>
      </c>
      <c r="W180">
        <f t="shared" si="7"/>
        <v>18.75</v>
      </c>
      <c r="X180">
        <f t="shared" si="8"/>
        <v>6.25E-2</v>
      </c>
      <c r="AA180" s="64">
        <v>62266</v>
      </c>
      <c r="AB180">
        <v>6.25E-2</v>
      </c>
    </row>
    <row r="181" spans="1:28" x14ac:dyDescent="0.25">
      <c r="A181" s="125"/>
      <c r="B181" s="64" t="s">
        <v>1273</v>
      </c>
      <c r="C181" s="64">
        <v>62214</v>
      </c>
      <c r="D181" s="44">
        <v>0</v>
      </c>
      <c r="E181" s="44">
        <v>0</v>
      </c>
      <c r="F181" s="44">
        <v>0</v>
      </c>
      <c r="G181" s="44">
        <v>0.375</v>
      </c>
      <c r="H181" s="44" t="s">
        <v>6958</v>
      </c>
      <c r="I181" s="44">
        <v>0</v>
      </c>
      <c r="J181" s="46">
        <v>30</v>
      </c>
      <c r="K181" s="46">
        <v>7.5</v>
      </c>
      <c r="L181" s="46">
        <v>15</v>
      </c>
      <c r="M181" s="46">
        <v>0.375</v>
      </c>
      <c r="N181" s="46" t="s">
        <v>6958</v>
      </c>
      <c r="O181" s="46">
        <v>11.25</v>
      </c>
      <c r="P181" s="47">
        <v>50</v>
      </c>
      <c r="Q181" s="47">
        <v>0</v>
      </c>
      <c r="R181" s="47">
        <v>12.5</v>
      </c>
      <c r="S181" s="47">
        <v>0.13</v>
      </c>
      <c r="T181" s="47" t="s">
        <v>6961</v>
      </c>
      <c r="U181" s="47">
        <v>6.5</v>
      </c>
      <c r="V181">
        <f t="shared" si="6"/>
        <v>80</v>
      </c>
      <c r="W181">
        <f t="shared" si="7"/>
        <v>17.75</v>
      </c>
      <c r="X181">
        <f t="shared" si="8"/>
        <v>0.22187499999999999</v>
      </c>
      <c r="AA181" s="64">
        <v>62214</v>
      </c>
      <c r="AB181">
        <v>0.22187499999999999</v>
      </c>
    </row>
    <row r="182" spans="1:28" x14ac:dyDescent="0.25">
      <c r="A182" s="125"/>
      <c r="B182" s="64" t="s">
        <v>1282</v>
      </c>
      <c r="C182" s="64">
        <v>62227</v>
      </c>
      <c r="D182" s="44">
        <v>0</v>
      </c>
      <c r="E182" s="44">
        <v>0</v>
      </c>
      <c r="F182" s="44">
        <v>0</v>
      </c>
      <c r="G182" s="44">
        <v>0</v>
      </c>
      <c r="H182" s="44">
        <v>0</v>
      </c>
      <c r="I182" s="44">
        <v>0</v>
      </c>
      <c r="J182" s="46">
        <v>33</v>
      </c>
      <c r="K182" s="46">
        <v>0</v>
      </c>
      <c r="L182" s="46">
        <v>8.25</v>
      </c>
      <c r="M182" s="46">
        <v>0.13</v>
      </c>
      <c r="N182" s="46" t="s">
        <v>6961</v>
      </c>
      <c r="O182" s="46">
        <v>4.29</v>
      </c>
      <c r="P182" s="47">
        <v>150</v>
      </c>
      <c r="Q182" s="47">
        <v>0</v>
      </c>
      <c r="R182" s="47">
        <v>37.5</v>
      </c>
      <c r="S182" s="47">
        <v>0.13</v>
      </c>
      <c r="T182" s="47" t="s">
        <v>6961</v>
      </c>
      <c r="U182" s="47">
        <v>19.5</v>
      </c>
      <c r="V182">
        <f t="shared" si="6"/>
        <v>183</v>
      </c>
      <c r="W182">
        <f t="shared" si="7"/>
        <v>23.79</v>
      </c>
      <c r="X182">
        <f t="shared" si="8"/>
        <v>0.13</v>
      </c>
      <c r="AA182" s="64">
        <v>62227</v>
      </c>
      <c r="AB182">
        <v>0.13</v>
      </c>
    </row>
    <row r="183" spans="1:28" x14ac:dyDescent="0.25">
      <c r="A183" s="125"/>
      <c r="B183" s="64" t="s">
        <v>1335</v>
      </c>
      <c r="C183" s="64">
        <v>62316</v>
      </c>
      <c r="D183" s="44">
        <v>400</v>
      </c>
      <c r="E183" s="44">
        <v>0</v>
      </c>
      <c r="F183" s="44">
        <v>0</v>
      </c>
      <c r="G183" s="44">
        <v>0</v>
      </c>
      <c r="H183" s="44">
        <v>0</v>
      </c>
      <c r="I183" s="44">
        <v>0</v>
      </c>
      <c r="J183" s="46">
        <v>300</v>
      </c>
      <c r="K183" s="46">
        <v>225</v>
      </c>
      <c r="L183" s="46">
        <v>300</v>
      </c>
      <c r="M183" s="46">
        <v>0.87</v>
      </c>
      <c r="N183" s="46" t="s">
        <v>6959</v>
      </c>
      <c r="O183" s="46">
        <v>261</v>
      </c>
      <c r="P183" s="47">
        <v>600</v>
      </c>
      <c r="Q183" s="47">
        <v>450</v>
      </c>
      <c r="R183" s="47">
        <v>600</v>
      </c>
      <c r="S183" s="47">
        <v>0.87</v>
      </c>
      <c r="T183" s="47" t="s">
        <v>6959</v>
      </c>
      <c r="U183" s="47">
        <v>522</v>
      </c>
      <c r="V183">
        <f t="shared" si="6"/>
        <v>1300</v>
      </c>
      <c r="W183">
        <f t="shared" si="7"/>
        <v>783</v>
      </c>
      <c r="X183">
        <f t="shared" si="8"/>
        <v>0.60230769230769232</v>
      </c>
      <c r="AA183" s="64">
        <v>62316</v>
      </c>
      <c r="AB183">
        <v>0.60230769230769232</v>
      </c>
    </row>
    <row r="184" spans="1:28" x14ac:dyDescent="0.25">
      <c r="A184" s="125"/>
      <c r="B184" s="64" t="s">
        <v>2997</v>
      </c>
      <c r="C184" s="64">
        <v>62331</v>
      </c>
      <c r="D184" s="44">
        <v>50</v>
      </c>
      <c r="E184" s="44">
        <v>0</v>
      </c>
      <c r="F184" s="44">
        <v>12.5</v>
      </c>
      <c r="G184" s="44">
        <v>0.13</v>
      </c>
      <c r="H184" s="44" t="s">
        <v>6961</v>
      </c>
      <c r="I184" s="44">
        <v>6.5</v>
      </c>
      <c r="J184" s="46">
        <v>15</v>
      </c>
      <c r="K184" s="46">
        <v>11.25</v>
      </c>
      <c r="L184" s="46">
        <v>15</v>
      </c>
      <c r="M184" s="46">
        <v>0.87</v>
      </c>
      <c r="N184" s="46" t="s">
        <v>6959</v>
      </c>
      <c r="O184" s="46">
        <v>13.05</v>
      </c>
      <c r="P184" s="47">
        <v>30</v>
      </c>
      <c r="Q184" s="47">
        <v>22.5</v>
      </c>
      <c r="R184" s="47">
        <v>30</v>
      </c>
      <c r="S184" s="47">
        <v>0.87</v>
      </c>
      <c r="T184" s="47" t="s">
        <v>6959</v>
      </c>
      <c r="U184" s="47">
        <v>26.1</v>
      </c>
      <c r="V184">
        <f t="shared" si="6"/>
        <v>95</v>
      </c>
      <c r="W184">
        <f t="shared" si="7"/>
        <v>45.650000000000006</v>
      </c>
      <c r="X184">
        <f t="shared" si="8"/>
        <v>0.48052631578947375</v>
      </c>
      <c r="AA184" s="64">
        <v>62331</v>
      </c>
      <c r="AB184">
        <v>0.48052631578947375</v>
      </c>
    </row>
    <row r="185" spans="1:28" x14ac:dyDescent="0.25">
      <c r="A185" s="125"/>
      <c r="B185" s="64" t="s">
        <v>1336</v>
      </c>
      <c r="C185" s="64">
        <v>62318</v>
      </c>
      <c r="D185" s="44">
        <v>60</v>
      </c>
      <c r="E185" s="44">
        <v>45</v>
      </c>
      <c r="F185" s="44">
        <v>60</v>
      </c>
      <c r="G185" s="44">
        <v>0.87</v>
      </c>
      <c r="H185" s="44" t="s">
        <v>6959</v>
      </c>
      <c r="I185" s="44">
        <v>52.2</v>
      </c>
      <c r="J185" s="46">
        <v>20</v>
      </c>
      <c r="K185" s="46">
        <v>0</v>
      </c>
      <c r="L185" s="46">
        <v>5</v>
      </c>
      <c r="M185" s="46">
        <v>0.13</v>
      </c>
      <c r="N185" s="46" t="s">
        <v>6961</v>
      </c>
      <c r="O185" s="46">
        <v>2.6</v>
      </c>
      <c r="P185" s="47">
        <v>210</v>
      </c>
      <c r="Q185" s="47">
        <v>0</v>
      </c>
      <c r="R185" s="47">
        <v>52.5</v>
      </c>
      <c r="S185" s="47">
        <v>0.13</v>
      </c>
      <c r="T185" s="47" t="s">
        <v>6961</v>
      </c>
      <c r="U185" s="47">
        <v>27.3</v>
      </c>
      <c r="V185">
        <f t="shared" si="6"/>
        <v>290</v>
      </c>
      <c r="W185">
        <f t="shared" si="7"/>
        <v>82.100000000000009</v>
      </c>
      <c r="X185">
        <f t="shared" si="8"/>
        <v>0.28310344827586209</v>
      </c>
      <c r="AA185" s="64">
        <v>62318</v>
      </c>
      <c r="AB185">
        <v>0.28310344827586209</v>
      </c>
    </row>
    <row r="186" spans="1:28" x14ac:dyDescent="0.25">
      <c r="A186" s="125"/>
      <c r="B186" s="64" t="s">
        <v>1301</v>
      </c>
      <c r="C186" s="64">
        <v>62256</v>
      </c>
      <c r="D186" s="44">
        <v>1</v>
      </c>
      <c r="E186" s="44">
        <v>0</v>
      </c>
      <c r="F186" s="44">
        <v>0.25</v>
      </c>
      <c r="G186" s="44">
        <v>0.13</v>
      </c>
      <c r="H186" s="44" t="s">
        <v>6961</v>
      </c>
      <c r="I186" s="44">
        <v>0.13</v>
      </c>
      <c r="J186" s="46">
        <v>40</v>
      </c>
      <c r="K186" s="46">
        <v>0</v>
      </c>
      <c r="L186" s="46">
        <v>10</v>
      </c>
      <c r="M186" s="46">
        <v>0.13</v>
      </c>
      <c r="N186" s="46" t="s">
        <v>6961</v>
      </c>
      <c r="O186" s="46">
        <v>5.2</v>
      </c>
      <c r="P186" s="47">
        <v>30</v>
      </c>
      <c r="Q186" s="47">
        <v>0</v>
      </c>
      <c r="R186" s="47">
        <v>7.5</v>
      </c>
      <c r="S186" s="47">
        <v>0.13</v>
      </c>
      <c r="T186" s="47" t="s">
        <v>6961</v>
      </c>
      <c r="U186" s="47">
        <v>3.9000000000000004</v>
      </c>
      <c r="V186">
        <f t="shared" si="6"/>
        <v>71</v>
      </c>
      <c r="W186">
        <f t="shared" si="7"/>
        <v>9.2300000000000022</v>
      </c>
      <c r="X186">
        <f t="shared" si="8"/>
        <v>0.13000000000000003</v>
      </c>
      <c r="AA186" s="64">
        <v>62256</v>
      </c>
      <c r="AB186">
        <v>0.13000000000000003</v>
      </c>
    </row>
    <row r="187" spans="1:28" x14ac:dyDescent="0.25">
      <c r="A187" s="125"/>
      <c r="B187" s="64" t="s">
        <v>1269</v>
      </c>
      <c r="C187" s="64">
        <v>62162</v>
      </c>
      <c r="D187" s="44">
        <v>0</v>
      </c>
      <c r="E187" s="44">
        <v>0</v>
      </c>
      <c r="F187" s="44">
        <v>0</v>
      </c>
      <c r="G187" s="44">
        <v>0</v>
      </c>
      <c r="H187" s="44">
        <v>0</v>
      </c>
      <c r="I187" s="44">
        <v>0</v>
      </c>
      <c r="J187" s="46">
        <v>0</v>
      </c>
      <c r="K187" s="46">
        <v>0</v>
      </c>
      <c r="L187" s="46">
        <v>0</v>
      </c>
      <c r="M187" s="46">
        <v>0</v>
      </c>
      <c r="N187" s="46">
        <v>0</v>
      </c>
      <c r="O187" s="46"/>
      <c r="P187" s="47">
        <v>3</v>
      </c>
      <c r="Q187" s="47">
        <v>0</v>
      </c>
      <c r="R187" s="47">
        <v>0.75</v>
      </c>
      <c r="S187" s="47">
        <v>0.13</v>
      </c>
      <c r="T187" s="47" t="s">
        <v>6961</v>
      </c>
      <c r="U187" s="47">
        <v>0.39</v>
      </c>
      <c r="V187">
        <f t="shared" si="6"/>
        <v>3</v>
      </c>
      <c r="W187">
        <f t="shared" si="7"/>
        <v>0.39</v>
      </c>
      <c r="X187">
        <f t="shared" si="8"/>
        <v>0.13</v>
      </c>
      <c r="AA187" s="64">
        <v>62162</v>
      </c>
      <c r="AB187" t="e">
        <v>#VALUE!</v>
      </c>
    </row>
    <row r="188" spans="1:28" x14ac:dyDescent="0.25">
      <c r="A188" s="125"/>
      <c r="B188" s="64" t="s">
        <v>1317</v>
      </c>
      <c r="C188" s="64">
        <v>62283</v>
      </c>
      <c r="D188" s="44">
        <v>0</v>
      </c>
      <c r="E188" s="44">
        <v>0</v>
      </c>
      <c r="F188" s="44">
        <v>0</v>
      </c>
      <c r="G188" s="44">
        <v>0</v>
      </c>
      <c r="H188" s="44">
        <v>0</v>
      </c>
      <c r="I188" s="44">
        <v>0</v>
      </c>
      <c r="J188" s="46">
        <v>50</v>
      </c>
      <c r="K188" s="46">
        <v>12.5</v>
      </c>
      <c r="L188" s="46">
        <v>25</v>
      </c>
      <c r="M188" s="46">
        <v>0.375</v>
      </c>
      <c r="N188" s="46" t="s">
        <v>6958</v>
      </c>
      <c r="O188" s="46">
        <v>18.75</v>
      </c>
      <c r="P188" s="47">
        <v>600</v>
      </c>
      <c r="Q188" s="47">
        <v>300</v>
      </c>
      <c r="R188" s="47">
        <v>450</v>
      </c>
      <c r="S188" s="47">
        <v>0.625</v>
      </c>
      <c r="T188" s="47" t="s">
        <v>6960</v>
      </c>
      <c r="U188" s="47">
        <v>375</v>
      </c>
      <c r="V188">
        <f t="shared" si="6"/>
        <v>650</v>
      </c>
      <c r="W188">
        <f t="shared" si="7"/>
        <v>393.75</v>
      </c>
      <c r="X188">
        <f t="shared" si="8"/>
        <v>0.60576923076923073</v>
      </c>
      <c r="AA188" s="64">
        <v>62283</v>
      </c>
      <c r="AB188">
        <v>0.60576923076923073</v>
      </c>
    </row>
    <row r="189" spans="1:28" x14ac:dyDescent="0.25">
      <c r="A189" s="125"/>
      <c r="B189" s="64" t="s">
        <v>1338</v>
      </c>
      <c r="C189" s="64">
        <v>62321</v>
      </c>
      <c r="D189" s="44">
        <v>60</v>
      </c>
      <c r="E189" s="44">
        <v>0</v>
      </c>
      <c r="F189" s="44">
        <v>0</v>
      </c>
      <c r="G189" s="44">
        <v>0</v>
      </c>
      <c r="H189" s="44">
        <v>0</v>
      </c>
      <c r="I189" s="44">
        <v>0</v>
      </c>
      <c r="J189" s="46">
        <v>200</v>
      </c>
      <c r="K189" s="46">
        <v>50</v>
      </c>
      <c r="L189" s="46">
        <v>100</v>
      </c>
      <c r="M189" s="46">
        <v>0.375</v>
      </c>
      <c r="N189" s="46" t="s">
        <v>6958</v>
      </c>
      <c r="O189" s="46">
        <v>75</v>
      </c>
      <c r="P189" s="47">
        <v>300</v>
      </c>
      <c r="Q189" s="47">
        <v>0</v>
      </c>
      <c r="R189" s="47">
        <v>0</v>
      </c>
      <c r="S189" s="47">
        <v>0</v>
      </c>
      <c r="T189" s="47">
        <v>0</v>
      </c>
      <c r="U189" s="47">
        <v>0</v>
      </c>
      <c r="V189">
        <f t="shared" si="6"/>
        <v>560</v>
      </c>
      <c r="W189">
        <f t="shared" si="7"/>
        <v>75</v>
      </c>
      <c r="X189">
        <f t="shared" si="8"/>
        <v>0.13392857142857142</v>
      </c>
      <c r="AA189" s="64">
        <v>62321</v>
      </c>
      <c r="AB189">
        <v>0.13392857142857142</v>
      </c>
    </row>
    <row r="190" spans="1:28" x14ac:dyDescent="0.25">
      <c r="A190" s="125"/>
      <c r="B190" s="64" t="s">
        <v>1329</v>
      </c>
      <c r="C190" s="64">
        <v>62298</v>
      </c>
      <c r="D190" s="44">
        <v>1</v>
      </c>
      <c r="E190" s="44">
        <v>0.25</v>
      </c>
      <c r="F190" s="44">
        <v>0.5</v>
      </c>
      <c r="G190" s="44">
        <v>0.375</v>
      </c>
      <c r="H190" s="44" t="s">
        <v>6958</v>
      </c>
      <c r="I190" s="44">
        <v>0.375</v>
      </c>
      <c r="J190" s="46">
        <v>100</v>
      </c>
      <c r="K190" s="46">
        <v>0</v>
      </c>
      <c r="L190" s="46">
        <v>25</v>
      </c>
      <c r="M190" s="46">
        <v>0.13</v>
      </c>
      <c r="N190" s="46" t="s">
        <v>6961</v>
      </c>
      <c r="O190" s="46">
        <v>13</v>
      </c>
      <c r="P190" s="47">
        <v>1</v>
      </c>
      <c r="Q190" s="47">
        <v>0</v>
      </c>
      <c r="R190" s="47">
        <v>0</v>
      </c>
      <c r="S190" s="47">
        <v>0</v>
      </c>
      <c r="T190" s="47">
        <v>0</v>
      </c>
      <c r="U190" s="47">
        <v>0</v>
      </c>
      <c r="V190">
        <f t="shared" si="6"/>
        <v>102</v>
      </c>
      <c r="W190">
        <f t="shared" si="7"/>
        <v>13.375</v>
      </c>
      <c r="X190">
        <f t="shared" si="8"/>
        <v>0.13112745098039216</v>
      </c>
      <c r="AA190" s="64">
        <v>62298</v>
      </c>
      <c r="AB190">
        <v>0.13112745098039216</v>
      </c>
    </row>
    <row r="191" spans="1:28" x14ac:dyDescent="0.25">
      <c r="A191" s="125"/>
      <c r="B191" s="64" t="s">
        <v>2990</v>
      </c>
      <c r="C191" s="64">
        <v>62254</v>
      </c>
      <c r="D191" s="44">
        <v>5</v>
      </c>
      <c r="E191" s="44">
        <v>0</v>
      </c>
      <c r="F191" s="44">
        <v>1.25</v>
      </c>
      <c r="G191" s="44">
        <v>0.13</v>
      </c>
      <c r="H191" s="44" t="s">
        <v>6961</v>
      </c>
      <c r="I191" s="44">
        <v>0.65</v>
      </c>
      <c r="J191" s="46">
        <v>100</v>
      </c>
      <c r="K191" s="46">
        <v>0</v>
      </c>
      <c r="L191" s="46">
        <v>25</v>
      </c>
      <c r="M191" s="46">
        <v>0.13</v>
      </c>
      <c r="N191" s="46" t="s">
        <v>6961</v>
      </c>
      <c r="O191" s="46">
        <v>13</v>
      </c>
      <c r="P191" s="47">
        <v>300</v>
      </c>
      <c r="Q191" s="47">
        <v>0</v>
      </c>
      <c r="R191" s="47">
        <v>75</v>
      </c>
      <c r="S191" s="47">
        <v>0.13</v>
      </c>
      <c r="T191" s="47" t="s">
        <v>6961</v>
      </c>
      <c r="U191" s="47">
        <v>39</v>
      </c>
      <c r="V191">
        <f t="shared" si="6"/>
        <v>405</v>
      </c>
      <c r="W191">
        <f t="shared" si="7"/>
        <v>52.65</v>
      </c>
      <c r="X191">
        <f t="shared" si="8"/>
        <v>0.13</v>
      </c>
      <c r="AA191" s="64">
        <v>62254</v>
      </c>
      <c r="AB191">
        <v>0.13</v>
      </c>
    </row>
    <row r="192" spans="1:28" x14ac:dyDescent="0.25">
      <c r="A192" s="125"/>
      <c r="B192" s="64" t="s">
        <v>1306</v>
      </c>
      <c r="C192" s="64">
        <v>62264</v>
      </c>
      <c r="D192" s="44">
        <v>70</v>
      </c>
      <c r="E192" s="44">
        <v>0</v>
      </c>
      <c r="F192" s="44">
        <v>17.5</v>
      </c>
      <c r="G192" s="44">
        <v>0.13</v>
      </c>
      <c r="H192" s="44" t="s">
        <v>6961</v>
      </c>
      <c r="I192" s="44">
        <v>9.1</v>
      </c>
      <c r="J192" s="46">
        <v>15</v>
      </c>
      <c r="K192" s="46">
        <v>0</v>
      </c>
      <c r="L192" s="46">
        <v>3.75</v>
      </c>
      <c r="M192" s="46">
        <v>0.13</v>
      </c>
      <c r="N192" s="46" t="s">
        <v>6961</v>
      </c>
      <c r="O192" s="46">
        <v>1.9500000000000002</v>
      </c>
      <c r="P192" s="47">
        <v>350</v>
      </c>
      <c r="Q192" s="47">
        <v>0</v>
      </c>
      <c r="R192" s="47">
        <v>87.5</v>
      </c>
      <c r="S192" s="47">
        <v>0.13</v>
      </c>
      <c r="T192" s="47" t="s">
        <v>6961</v>
      </c>
      <c r="U192" s="47">
        <v>45.5</v>
      </c>
      <c r="V192">
        <f t="shared" si="6"/>
        <v>435</v>
      </c>
      <c r="W192">
        <f t="shared" si="7"/>
        <v>56.550000000000004</v>
      </c>
      <c r="X192">
        <f t="shared" si="8"/>
        <v>0.13</v>
      </c>
      <c r="AA192" s="64">
        <v>62264</v>
      </c>
      <c r="AB192">
        <v>0.13</v>
      </c>
    </row>
    <row r="193" spans="1:28" x14ac:dyDescent="0.25">
      <c r="A193" s="125"/>
      <c r="B193" s="64" t="s">
        <v>1319</v>
      </c>
      <c r="C193" s="64">
        <v>62285</v>
      </c>
      <c r="D193" s="44">
        <v>1</v>
      </c>
      <c r="E193" s="44">
        <v>0</v>
      </c>
      <c r="F193" s="44">
        <v>0.25</v>
      </c>
      <c r="G193" s="44">
        <v>0.13</v>
      </c>
      <c r="H193" s="44" t="s">
        <v>6961</v>
      </c>
      <c r="I193" s="44">
        <v>0.13</v>
      </c>
      <c r="J193" s="46">
        <v>1</v>
      </c>
      <c r="K193" s="46">
        <v>0</v>
      </c>
      <c r="L193" s="46">
        <v>0</v>
      </c>
      <c r="M193" s="46">
        <v>0</v>
      </c>
      <c r="N193" s="46">
        <v>0</v>
      </c>
      <c r="O193" s="46">
        <v>0</v>
      </c>
      <c r="P193" s="47">
        <v>2</v>
      </c>
      <c r="Q193" s="47">
        <v>0.5</v>
      </c>
      <c r="R193" s="47">
        <v>1</v>
      </c>
      <c r="S193" s="47">
        <v>0.375</v>
      </c>
      <c r="T193" s="47" t="s">
        <v>6958</v>
      </c>
      <c r="U193" s="47">
        <v>0.75</v>
      </c>
      <c r="V193">
        <f t="shared" si="6"/>
        <v>4</v>
      </c>
      <c r="W193">
        <f t="shared" si="7"/>
        <v>0.88</v>
      </c>
      <c r="X193">
        <f t="shared" si="8"/>
        <v>0.22</v>
      </c>
      <c r="AA193" s="64">
        <v>62285</v>
      </c>
      <c r="AB193">
        <v>0.22</v>
      </c>
    </row>
    <row r="194" spans="1:28" x14ac:dyDescent="0.25">
      <c r="A194" s="125"/>
      <c r="B194" s="64" t="s">
        <v>1272</v>
      </c>
      <c r="C194" s="64">
        <v>62212</v>
      </c>
      <c r="D194" s="44">
        <v>1</v>
      </c>
      <c r="E194" s="44">
        <v>0</v>
      </c>
      <c r="F194" s="44">
        <v>0.25</v>
      </c>
      <c r="G194" s="44">
        <v>0.13</v>
      </c>
      <c r="H194" s="44" t="s">
        <v>6961</v>
      </c>
      <c r="I194" s="44">
        <v>0.13</v>
      </c>
      <c r="J194" s="46">
        <v>90</v>
      </c>
      <c r="K194" s="46">
        <v>0</v>
      </c>
      <c r="L194" s="46">
        <v>22.5</v>
      </c>
      <c r="M194" s="46">
        <v>0.13</v>
      </c>
      <c r="N194" s="46" t="s">
        <v>6961</v>
      </c>
      <c r="O194" s="46">
        <v>11.700000000000001</v>
      </c>
      <c r="P194" s="47">
        <v>90</v>
      </c>
      <c r="Q194" s="47">
        <v>0</v>
      </c>
      <c r="R194" s="47">
        <v>22.5</v>
      </c>
      <c r="S194" s="47">
        <v>0.13</v>
      </c>
      <c r="T194" s="47" t="s">
        <v>6961</v>
      </c>
      <c r="U194" s="47">
        <v>11.700000000000001</v>
      </c>
      <c r="V194">
        <f t="shared" si="6"/>
        <v>181</v>
      </c>
      <c r="W194">
        <f t="shared" si="7"/>
        <v>23.53</v>
      </c>
      <c r="X194">
        <f t="shared" si="8"/>
        <v>0.13</v>
      </c>
      <c r="AA194" s="64">
        <v>62212</v>
      </c>
      <c r="AB194">
        <v>0.13</v>
      </c>
    </row>
    <row r="195" spans="1:28" x14ac:dyDescent="0.25">
      <c r="A195" s="125"/>
      <c r="B195" s="64" t="s">
        <v>1298</v>
      </c>
      <c r="C195" s="64">
        <v>62251</v>
      </c>
      <c r="D195" s="44">
        <v>6</v>
      </c>
      <c r="E195" s="44">
        <v>0</v>
      </c>
      <c r="F195" s="44">
        <v>0</v>
      </c>
      <c r="G195" s="44">
        <v>0</v>
      </c>
      <c r="H195" s="44">
        <v>0</v>
      </c>
      <c r="I195" s="44">
        <v>0</v>
      </c>
      <c r="J195" s="46">
        <v>40</v>
      </c>
      <c r="K195" s="46">
        <v>0</v>
      </c>
      <c r="L195" s="46">
        <v>10</v>
      </c>
      <c r="M195" s="46">
        <v>0.13</v>
      </c>
      <c r="N195" s="46" t="s">
        <v>6961</v>
      </c>
      <c r="O195" s="46">
        <v>5.2</v>
      </c>
      <c r="P195" s="47">
        <v>30</v>
      </c>
      <c r="Q195" s="47">
        <v>0</v>
      </c>
      <c r="R195" s="47">
        <v>7.5</v>
      </c>
      <c r="S195" s="47">
        <v>0.13</v>
      </c>
      <c r="T195" s="47" t="s">
        <v>6961</v>
      </c>
      <c r="U195" s="47">
        <v>3.9000000000000004</v>
      </c>
      <c r="V195">
        <f t="shared" si="6"/>
        <v>76</v>
      </c>
      <c r="W195">
        <f t="shared" si="7"/>
        <v>9.1000000000000014</v>
      </c>
      <c r="X195">
        <f t="shared" si="8"/>
        <v>0.11973684210526318</v>
      </c>
      <c r="AA195" s="64">
        <v>62251</v>
      </c>
      <c r="AB195">
        <v>0.11973684210526318</v>
      </c>
    </row>
    <row r="196" spans="1:28" x14ac:dyDescent="0.25">
      <c r="A196" s="125"/>
      <c r="B196" s="64" t="s">
        <v>1340</v>
      </c>
      <c r="C196" s="64">
        <v>62341</v>
      </c>
      <c r="D196" s="44">
        <v>0</v>
      </c>
      <c r="E196" s="44">
        <v>0</v>
      </c>
      <c r="F196" s="44">
        <v>0</v>
      </c>
      <c r="G196" s="44">
        <v>0.625</v>
      </c>
      <c r="H196" s="44" t="s">
        <v>6960</v>
      </c>
      <c r="I196" s="44">
        <v>0</v>
      </c>
      <c r="J196" s="46">
        <v>100</v>
      </c>
      <c r="K196" s="46">
        <v>75</v>
      </c>
      <c r="L196" s="46">
        <v>100</v>
      </c>
      <c r="M196" s="46">
        <v>0.87</v>
      </c>
      <c r="N196" s="46" t="s">
        <v>6959</v>
      </c>
      <c r="O196" s="46">
        <v>87</v>
      </c>
      <c r="P196" s="47">
        <v>350</v>
      </c>
      <c r="Q196" s="47">
        <v>262.5</v>
      </c>
      <c r="R196" s="47">
        <v>350</v>
      </c>
      <c r="S196" s="47">
        <v>0.87</v>
      </c>
      <c r="T196" s="47" t="s">
        <v>6959</v>
      </c>
      <c r="U196" s="47">
        <v>304.5</v>
      </c>
      <c r="V196">
        <f t="shared" si="6"/>
        <v>450</v>
      </c>
      <c r="W196">
        <f t="shared" si="7"/>
        <v>391.5</v>
      </c>
      <c r="X196">
        <f t="shared" si="8"/>
        <v>0.87</v>
      </c>
      <c r="AA196" s="64">
        <v>62341</v>
      </c>
      <c r="AB196">
        <v>0.87</v>
      </c>
    </row>
    <row r="197" spans="1:28" x14ac:dyDescent="0.25">
      <c r="A197" s="125"/>
      <c r="B197" s="64" t="s">
        <v>1323</v>
      </c>
      <c r="C197" s="64">
        <v>62292</v>
      </c>
      <c r="D197" s="44">
        <v>1</v>
      </c>
      <c r="E197" s="44">
        <v>0</v>
      </c>
      <c r="F197" s="44">
        <v>0</v>
      </c>
      <c r="G197" s="44">
        <v>0</v>
      </c>
      <c r="H197" s="44">
        <v>0</v>
      </c>
      <c r="I197" s="44">
        <v>0</v>
      </c>
      <c r="J197" s="46">
        <v>1</v>
      </c>
      <c r="K197" s="46">
        <v>0.5</v>
      </c>
      <c r="L197" s="46">
        <v>0.75</v>
      </c>
      <c r="M197" s="46">
        <v>0.625</v>
      </c>
      <c r="N197" s="46" t="s">
        <v>6960</v>
      </c>
      <c r="O197" s="46">
        <v>0.625</v>
      </c>
      <c r="P197" s="47">
        <v>1</v>
      </c>
      <c r="Q197" s="47">
        <v>0.5</v>
      </c>
      <c r="R197" s="47">
        <v>0.75</v>
      </c>
      <c r="S197" s="47">
        <v>0.625</v>
      </c>
      <c r="T197" s="47" t="s">
        <v>6960</v>
      </c>
      <c r="U197" s="47">
        <v>0.625</v>
      </c>
      <c r="V197">
        <f t="shared" ref="V197:V260" si="9">D197+J197+P197</f>
        <v>3</v>
      </c>
      <c r="W197">
        <f t="shared" ref="W197:W260" si="10">U197+O197+I197</f>
        <v>1.25</v>
      </c>
      <c r="X197">
        <f t="shared" ref="X197:X260" si="11">W197/V197</f>
        <v>0.41666666666666669</v>
      </c>
      <c r="AA197" s="64">
        <v>62292</v>
      </c>
      <c r="AB197">
        <v>0.41666666666666669</v>
      </c>
    </row>
    <row r="198" spans="1:28" x14ac:dyDescent="0.25">
      <c r="A198" s="125"/>
      <c r="B198" s="64" t="s">
        <v>1271</v>
      </c>
      <c r="C198" s="64">
        <v>62211</v>
      </c>
      <c r="D198" s="44">
        <v>11</v>
      </c>
      <c r="E198" s="44">
        <v>0</v>
      </c>
      <c r="F198" s="44">
        <v>2.75</v>
      </c>
      <c r="G198" s="44">
        <v>0.13</v>
      </c>
      <c r="H198" s="44" t="s">
        <v>6961</v>
      </c>
      <c r="I198" s="44">
        <v>1.4300000000000002</v>
      </c>
      <c r="J198" s="46">
        <v>50</v>
      </c>
      <c r="K198" s="46">
        <v>0</v>
      </c>
      <c r="L198" s="46">
        <v>12.5</v>
      </c>
      <c r="M198" s="46">
        <v>0.13</v>
      </c>
      <c r="N198" s="46" t="s">
        <v>6961</v>
      </c>
      <c r="O198" s="46">
        <v>6.5</v>
      </c>
      <c r="P198" s="47">
        <v>200</v>
      </c>
      <c r="Q198" s="47">
        <v>50</v>
      </c>
      <c r="R198" s="47">
        <v>100</v>
      </c>
      <c r="S198" s="47">
        <v>0.375</v>
      </c>
      <c r="T198" s="47" t="s">
        <v>6958</v>
      </c>
      <c r="U198" s="47">
        <v>75</v>
      </c>
      <c r="V198">
        <f t="shared" si="9"/>
        <v>261</v>
      </c>
      <c r="W198">
        <f t="shared" si="10"/>
        <v>82.93</v>
      </c>
      <c r="X198">
        <f t="shared" si="11"/>
        <v>0.3177394636015326</v>
      </c>
      <c r="AA198" s="64">
        <v>62211</v>
      </c>
      <c r="AB198">
        <v>0.3177394636015326</v>
      </c>
    </row>
    <row r="199" spans="1:28" x14ac:dyDescent="0.25">
      <c r="A199" s="125"/>
      <c r="B199" s="64" t="s">
        <v>2985</v>
      </c>
      <c r="C199" s="64">
        <v>62231</v>
      </c>
      <c r="D199" s="44">
        <v>1</v>
      </c>
      <c r="E199" s="44">
        <v>0.25</v>
      </c>
      <c r="F199" s="44">
        <v>0.5</v>
      </c>
      <c r="G199" s="44">
        <v>0.375</v>
      </c>
      <c r="H199" s="44" t="s">
        <v>6958</v>
      </c>
      <c r="I199" s="44">
        <v>0.375</v>
      </c>
      <c r="J199" s="46">
        <v>300</v>
      </c>
      <c r="K199" s="46">
        <v>0</v>
      </c>
      <c r="L199" s="46">
        <v>75</v>
      </c>
      <c r="M199" s="46">
        <v>0.13</v>
      </c>
      <c r="N199" s="46" t="s">
        <v>6961</v>
      </c>
      <c r="O199" s="46">
        <v>39</v>
      </c>
      <c r="P199" s="47">
        <v>550</v>
      </c>
      <c r="Q199" s="47">
        <v>0</v>
      </c>
      <c r="R199" s="47">
        <v>137.5</v>
      </c>
      <c r="S199" s="47">
        <v>0.13</v>
      </c>
      <c r="T199" s="47" t="s">
        <v>6961</v>
      </c>
      <c r="U199" s="47">
        <v>71.5</v>
      </c>
      <c r="V199">
        <f t="shared" si="9"/>
        <v>851</v>
      </c>
      <c r="W199">
        <f t="shared" si="10"/>
        <v>110.875</v>
      </c>
      <c r="X199">
        <f t="shared" si="11"/>
        <v>0.13028789659224441</v>
      </c>
      <c r="AA199" s="64">
        <v>62231</v>
      </c>
      <c r="AB199">
        <v>0.13028789659224441</v>
      </c>
    </row>
    <row r="200" spans="1:28" x14ac:dyDescent="0.25">
      <c r="A200" s="125"/>
      <c r="B200" s="64" t="s">
        <v>1274</v>
      </c>
      <c r="C200" s="64">
        <v>62215</v>
      </c>
      <c r="D200" s="44">
        <v>200</v>
      </c>
      <c r="E200" s="44">
        <v>0</v>
      </c>
      <c r="F200" s="44">
        <v>0</v>
      </c>
      <c r="G200" s="44">
        <v>0</v>
      </c>
      <c r="H200" s="44">
        <v>0</v>
      </c>
      <c r="I200" s="44">
        <v>0</v>
      </c>
      <c r="J200" s="46">
        <v>4</v>
      </c>
      <c r="K200" s="46">
        <v>1</v>
      </c>
      <c r="L200" s="46">
        <v>2</v>
      </c>
      <c r="M200" s="46">
        <v>0.375</v>
      </c>
      <c r="N200" s="46" t="s">
        <v>6958</v>
      </c>
      <c r="O200" s="46">
        <v>1.5</v>
      </c>
      <c r="P200" s="47">
        <v>273</v>
      </c>
      <c r="Q200" s="47">
        <v>0</v>
      </c>
      <c r="R200" s="47">
        <v>68.25</v>
      </c>
      <c r="S200" s="47">
        <v>0.13</v>
      </c>
      <c r="T200" s="47" t="s">
        <v>6961</v>
      </c>
      <c r="U200" s="47">
        <v>35.49</v>
      </c>
      <c r="V200">
        <f t="shared" si="9"/>
        <v>477</v>
      </c>
      <c r="W200">
        <f t="shared" si="10"/>
        <v>36.99</v>
      </c>
      <c r="X200">
        <f t="shared" si="11"/>
        <v>7.754716981132076E-2</v>
      </c>
      <c r="AA200" s="64">
        <v>62215</v>
      </c>
      <c r="AB200">
        <v>7.754716981132076E-2</v>
      </c>
    </row>
    <row r="201" spans="1:28" x14ac:dyDescent="0.25">
      <c r="A201" s="125"/>
      <c r="B201" s="64" t="s">
        <v>1332</v>
      </c>
      <c r="C201" s="64">
        <v>62311</v>
      </c>
      <c r="D201" s="44">
        <v>350</v>
      </c>
      <c r="E201" s="44">
        <v>0</v>
      </c>
      <c r="F201" s="44">
        <v>87.5</v>
      </c>
      <c r="G201" s="44">
        <v>0.13</v>
      </c>
      <c r="H201" s="44" t="s">
        <v>6961</v>
      </c>
      <c r="I201" s="44">
        <v>45.5</v>
      </c>
      <c r="J201" s="46">
        <v>200</v>
      </c>
      <c r="K201" s="46">
        <v>150</v>
      </c>
      <c r="L201" s="46">
        <v>200</v>
      </c>
      <c r="M201" s="46">
        <v>0.87</v>
      </c>
      <c r="N201" s="46" t="s">
        <v>6959</v>
      </c>
      <c r="O201" s="46">
        <v>174</v>
      </c>
      <c r="P201" s="47">
        <v>400</v>
      </c>
      <c r="Q201" s="47">
        <v>300</v>
      </c>
      <c r="R201" s="47">
        <v>400</v>
      </c>
      <c r="S201" s="47">
        <v>0.87</v>
      </c>
      <c r="T201" s="47" t="s">
        <v>6959</v>
      </c>
      <c r="U201" s="47">
        <v>348</v>
      </c>
      <c r="V201">
        <f t="shared" si="9"/>
        <v>950</v>
      </c>
      <c r="W201">
        <f t="shared" si="10"/>
        <v>567.5</v>
      </c>
      <c r="X201">
        <f t="shared" si="11"/>
        <v>0.59736842105263155</v>
      </c>
      <c r="AA201" s="64">
        <v>62311</v>
      </c>
      <c r="AB201">
        <v>0.59736842105263155</v>
      </c>
    </row>
    <row r="202" spans="1:28" x14ac:dyDescent="0.25">
      <c r="A202" s="125"/>
      <c r="B202" s="64" t="s">
        <v>1294</v>
      </c>
      <c r="C202" s="64">
        <v>62245</v>
      </c>
      <c r="D202" s="44">
        <v>0</v>
      </c>
      <c r="E202" s="44">
        <v>0</v>
      </c>
      <c r="F202" s="44">
        <v>0</v>
      </c>
      <c r="G202" s="44">
        <v>0</v>
      </c>
      <c r="H202" s="44">
        <v>0</v>
      </c>
      <c r="I202" s="44">
        <v>0</v>
      </c>
      <c r="J202" s="46">
        <v>10</v>
      </c>
      <c r="K202" s="46">
        <v>0</v>
      </c>
      <c r="L202" s="46">
        <v>0</v>
      </c>
      <c r="M202" s="46">
        <v>0</v>
      </c>
      <c r="N202" s="46">
        <v>0</v>
      </c>
      <c r="O202" s="46">
        <v>0</v>
      </c>
      <c r="P202" s="47">
        <v>1000</v>
      </c>
      <c r="Q202" s="47">
        <v>0</v>
      </c>
      <c r="R202" s="47">
        <v>250</v>
      </c>
      <c r="S202" s="47">
        <v>0.13</v>
      </c>
      <c r="T202" s="47" t="s">
        <v>6961</v>
      </c>
      <c r="U202" s="47">
        <v>130</v>
      </c>
      <c r="V202">
        <f t="shared" si="9"/>
        <v>1010</v>
      </c>
      <c r="W202">
        <f t="shared" si="10"/>
        <v>130</v>
      </c>
      <c r="X202">
        <f t="shared" si="11"/>
        <v>0.12871287128712872</v>
      </c>
      <c r="AA202" s="64">
        <v>62245</v>
      </c>
      <c r="AB202">
        <v>0.12871287128712872</v>
      </c>
    </row>
    <row r="203" spans="1:28" x14ac:dyDescent="0.25">
      <c r="A203" s="125"/>
      <c r="B203" s="64" t="s">
        <v>1290</v>
      </c>
      <c r="C203" s="64">
        <v>62241</v>
      </c>
      <c r="D203" s="44">
        <v>75000</v>
      </c>
      <c r="E203" s="44">
        <v>0</v>
      </c>
      <c r="F203" s="44">
        <v>0</v>
      </c>
      <c r="G203" s="44">
        <v>0</v>
      </c>
      <c r="H203" s="44">
        <v>0</v>
      </c>
      <c r="I203" s="44">
        <v>0</v>
      </c>
      <c r="J203" s="46">
        <v>150</v>
      </c>
      <c r="K203" s="46">
        <v>37.5</v>
      </c>
      <c r="L203" s="46">
        <v>75</v>
      </c>
      <c r="M203" s="46">
        <v>0.375</v>
      </c>
      <c r="N203" s="46" t="s">
        <v>6958</v>
      </c>
      <c r="O203" s="46">
        <v>56.25</v>
      </c>
      <c r="P203" s="47">
        <v>850</v>
      </c>
      <c r="Q203" s="47">
        <v>212.5</v>
      </c>
      <c r="R203" s="47">
        <v>425</v>
      </c>
      <c r="S203" s="47">
        <v>0.375</v>
      </c>
      <c r="T203" s="47" t="s">
        <v>6958</v>
      </c>
      <c r="U203" s="47">
        <v>318.75</v>
      </c>
      <c r="V203">
        <f t="shared" si="9"/>
        <v>76000</v>
      </c>
      <c r="W203">
        <f t="shared" si="10"/>
        <v>375</v>
      </c>
      <c r="X203">
        <f t="shared" si="11"/>
        <v>4.9342105263157892E-3</v>
      </c>
      <c r="AA203" s="64">
        <v>62241</v>
      </c>
      <c r="AB203">
        <v>4.9342105263157892E-3</v>
      </c>
    </row>
    <row r="204" spans="1:28" x14ac:dyDescent="0.25">
      <c r="A204" s="125"/>
      <c r="B204" s="64" t="s">
        <v>2989</v>
      </c>
      <c r="C204" s="64">
        <v>62253</v>
      </c>
      <c r="D204" s="44">
        <v>1</v>
      </c>
      <c r="E204" s="44">
        <v>0</v>
      </c>
      <c r="F204" s="44">
        <v>0</v>
      </c>
      <c r="G204" s="44">
        <v>0</v>
      </c>
      <c r="H204" s="44">
        <v>0</v>
      </c>
      <c r="I204" s="44">
        <v>0</v>
      </c>
      <c r="J204" s="46">
        <v>5</v>
      </c>
      <c r="K204" s="46">
        <v>0</v>
      </c>
      <c r="L204" s="46">
        <v>1.25</v>
      </c>
      <c r="M204" s="46">
        <v>0.13</v>
      </c>
      <c r="N204" s="46" t="s">
        <v>6961</v>
      </c>
      <c r="O204" s="46">
        <v>0.65</v>
      </c>
      <c r="P204" s="47">
        <v>100</v>
      </c>
      <c r="Q204" s="47">
        <v>0</v>
      </c>
      <c r="R204" s="47">
        <v>25</v>
      </c>
      <c r="S204" s="47">
        <v>0.13</v>
      </c>
      <c r="T204" s="47" t="s">
        <v>6961</v>
      </c>
      <c r="U204" s="47">
        <v>13</v>
      </c>
      <c r="V204">
        <f t="shared" si="9"/>
        <v>106</v>
      </c>
      <c r="W204">
        <f t="shared" si="10"/>
        <v>13.65</v>
      </c>
      <c r="X204">
        <f t="shared" si="11"/>
        <v>0.12877358490566038</v>
      </c>
      <c r="AA204" s="64">
        <v>62253</v>
      </c>
      <c r="AB204">
        <v>0.12877358490566038</v>
      </c>
    </row>
    <row r="205" spans="1:28" x14ac:dyDescent="0.25">
      <c r="A205" s="125"/>
      <c r="B205" s="64" t="s">
        <v>1277</v>
      </c>
      <c r="C205" s="64">
        <v>62219</v>
      </c>
      <c r="D205" s="44">
        <v>1</v>
      </c>
      <c r="E205" s="44">
        <v>0</v>
      </c>
      <c r="F205" s="44">
        <v>0</v>
      </c>
      <c r="G205" s="44">
        <v>0</v>
      </c>
      <c r="H205" s="44">
        <v>0</v>
      </c>
      <c r="I205" s="44">
        <v>0</v>
      </c>
      <c r="J205" s="46">
        <v>50</v>
      </c>
      <c r="K205" s="46">
        <v>12.5</v>
      </c>
      <c r="L205" s="46">
        <v>25</v>
      </c>
      <c r="M205" s="46">
        <v>0.375</v>
      </c>
      <c r="N205" s="46" t="s">
        <v>6958</v>
      </c>
      <c r="O205" s="46">
        <v>87.875</v>
      </c>
      <c r="P205" s="47">
        <v>50</v>
      </c>
      <c r="Q205" s="47">
        <v>0</v>
      </c>
      <c r="R205" s="47">
        <v>12.5</v>
      </c>
      <c r="S205" s="47">
        <v>0.13</v>
      </c>
      <c r="T205" s="47" t="s">
        <v>6961</v>
      </c>
      <c r="U205" s="47">
        <v>6.5</v>
      </c>
      <c r="V205">
        <f t="shared" si="9"/>
        <v>101</v>
      </c>
      <c r="W205">
        <f t="shared" si="10"/>
        <v>94.375</v>
      </c>
      <c r="X205">
        <f t="shared" si="11"/>
        <v>0.93440594059405946</v>
      </c>
      <c r="AA205" s="64">
        <v>62219</v>
      </c>
      <c r="AB205">
        <v>0.93440594059405946</v>
      </c>
    </row>
    <row r="206" spans="1:28" x14ac:dyDescent="0.25">
      <c r="A206" s="124" t="s">
        <v>3039</v>
      </c>
      <c r="B206" s="64" t="s">
        <v>1211</v>
      </c>
      <c r="C206" s="64">
        <v>61383</v>
      </c>
      <c r="D206" s="44">
        <v>15</v>
      </c>
      <c r="E206" s="44">
        <v>0</v>
      </c>
      <c r="F206" s="44">
        <v>0</v>
      </c>
      <c r="G206" s="44">
        <v>0</v>
      </c>
      <c r="H206" s="44">
        <v>0</v>
      </c>
      <c r="I206" s="44">
        <v>0</v>
      </c>
      <c r="J206" s="46">
        <v>12</v>
      </c>
      <c r="K206" s="46">
        <v>0</v>
      </c>
      <c r="L206" s="46">
        <v>0</v>
      </c>
      <c r="M206" s="46">
        <v>0</v>
      </c>
      <c r="N206" s="46">
        <v>0</v>
      </c>
      <c r="O206" s="46">
        <v>0</v>
      </c>
      <c r="P206" s="47">
        <v>120</v>
      </c>
      <c r="Q206" s="47">
        <v>0</v>
      </c>
      <c r="R206" s="47">
        <v>0</v>
      </c>
      <c r="S206" s="47">
        <v>0</v>
      </c>
      <c r="T206" s="47">
        <v>0</v>
      </c>
      <c r="U206" s="47">
        <v>0</v>
      </c>
      <c r="V206">
        <f t="shared" si="9"/>
        <v>147</v>
      </c>
      <c r="W206">
        <f t="shared" si="10"/>
        <v>0</v>
      </c>
      <c r="X206">
        <f t="shared" si="11"/>
        <v>0</v>
      </c>
      <c r="AA206" s="64">
        <v>61383</v>
      </c>
      <c r="AB206">
        <v>0</v>
      </c>
    </row>
    <row r="207" spans="1:28" x14ac:dyDescent="0.25">
      <c r="A207" s="125"/>
      <c r="B207" s="64" t="s">
        <v>1261</v>
      </c>
      <c r="C207" s="64">
        <v>61489</v>
      </c>
      <c r="D207" s="44">
        <v>1</v>
      </c>
      <c r="E207" s="44">
        <v>0</v>
      </c>
      <c r="F207" s="44">
        <v>0.25</v>
      </c>
      <c r="G207" s="44">
        <v>0.13</v>
      </c>
      <c r="H207" s="44" t="s">
        <v>6961</v>
      </c>
      <c r="I207" s="44">
        <v>0.13</v>
      </c>
      <c r="J207" s="46">
        <v>200</v>
      </c>
      <c r="K207" s="46">
        <v>0</v>
      </c>
      <c r="L207" s="46">
        <v>50</v>
      </c>
      <c r="M207" s="46">
        <v>0.13</v>
      </c>
      <c r="N207" s="46" t="s">
        <v>6961</v>
      </c>
      <c r="O207" s="46">
        <v>26</v>
      </c>
      <c r="P207" s="47">
        <v>0.5</v>
      </c>
      <c r="Q207" s="47">
        <v>0</v>
      </c>
      <c r="R207" s="47">
        <v>0.125</v>
      </c>
      <c r="S207" s="47">
        <v>0.13</v>
      </c>
      <c r="T207" s="47" t="s">
        <v>6961</v>
      </c>
      <c r="U207" s="47">
        <v>6.5000000000000002E-2</v>
      </c>
      <c r="V207">
        <f t="shared" si="9"/>
        <v>201.5</v>
      </c>
      <c r="W207">
        <f t="shared" si="10"/>
        <v>26.195</v>
      </c>
      <c r="X207">
        <f t="shared" si="11"/>
        <v>0.13</v>
      </c>
      <c r="AA207" s="64">
        <v>61489</v>
      </c>
      <c r="AB207">
        <v>0.13</v>
      </c>
    </row>
    <row r="208" spans="1:28" x14ac:dyDescent="0.25">
      <c r="A208" s="125"/>
      <c r="B208" s="64" t="s">
        <v>1259</v>
      </c>
      <c r="C208" s="64">
        <v>61487</v>
      </c>
      <c r="D208" s="44">
        <v>0</v>
      </c>
      <c r="E208" s="44">
        <v>0</v>
      </c>
      <c r="F208" s="44">
        <v>0</v>
      </c>
      <c r="G208" s="44">
        <v>0</v>
      </c>
      <c r="H208" s="44">
        <v>0</v>
      </c>
      <c r="I208" s="44">
        <v>0</v>
      </c>
      <c r="J208" s="46">
        <v>10</v>
      </c>
      <c r="K208" s="46">
        <v>0</v>
      </c>
      <c r="L208" s="46">
        <v>0</v>
      </c>
      <c r="M208" s="46">
        <v>0</v>
      </c>
      <c r="N208" s="46">
        <v>0</v>
      </c>
      <c r="O208" s="46">
        <v>0</v>
      </c>
      <c r="P208" s="47">
        <v>100</v>
      </c>
      <c r="Q208" s="47">
        <v>0</v>
      </c>
      <c r="R208" s="47">
        <v>0</v>
      </c>
      <c r="S208" s="47">
        <v>0</v>
      </c>
      <c r="T208" s="47">
        <v>0</v>
      </c>
      <c r="U208" s="47">
        <v>0</v>
      </c>
      <c r="V208">
        <f t="shared" si="9"/>
        <v>110</v>
      </c>
      <c r="W208">
        <f t="shared" si="10"/>
        <v>0</v>
      </c>
      <c r="X208">
        <f t="shared" si="11"/>
        <v>0</v>
      </c>
      <c r="AA208" s="64">
        <v>61487</v>
      </c>
      <c r="AB208">
        <v>0</v>
      </c>
    </row>
    <row r="209" spans="1:28" x14ac:dyDescent="0.25">
      <c r="A209" s="125"/>
      <c r="B209" s="64" t="s">
        <v>1209</v>
      </c>
      <c r="C209" s="64">
        <v>61359</v>
      </c>
      <c r="D209" s="44">
        <v>3</v>
      </c>
      <c r="E209" s="44">
        <v>0</v>
      </c>
      <c r="F209" s="44">
        <v>0</v>
      </c>
      <c r="G209" s="44">
        <v>0</v>
      </c>
      <c r="H209" s="44">
        <v>0</v>
      </c>
      <c r="I209" s="44">
        <v>0</v>
      </c>
      <c r="J209" s="46">
        <v>1</v>
      </c>
      <c r="K209" s="46">
        <v>0</v>
      </c>
      <c r="L209" s="46">
        <v>0.25</v>
      </c>
      <c r="M209" s="46">
        <v>0.13</v>
      </c>
      <c r="N209" s="46" t="s">
        <v>6961</v>
      </c>
      <c r="O209" s="46">
        <v>0.13</v>
      </c>
      <c r="P209" s="47">
        <v>40</v>
      </c>
      <c r="Q209" s="47">
        <v>10</v>
      </c>
      <c r="R209" s="47">
        <v>20</v>
      </c>
      <c r="S209" s="47">
        <v>0.375</v>
      </c>
      <c r="T209" s="47" t="s">
        <v>6958</v>
      </c>
      <c r="U209" s="47">
        <v>15</v>
      </c>
      <c r="V209">
        <f t="shared" si="9"/>
        <v>44</v>
      </c>
      <c r="W209">
        <f t="shared" si="10"/>
        <v>15.13</v>
      </c>
      <c r="X209">
        <f t="shared" si="11"/>
        <v>0.34386363636363637</v>
      </c>
      <c r="AA209" s="64">
        <v>61359</v>
      </c>
      <c r="AB209">
        <v>0.34386363636363637</v>
      </c>
    </row>
    <row r="210" spans="1:28" x14ac:dyDescent="0.25">
      <c r="A210" s="125"/>
      <c r="B210" s="64" t="s">
        <v>1255</v>
      </c>
      <c r="C210" s="64">
        <v>61481</v>
      </c>
      <c r="D210" s="44">
        <v>0</v>
      </c>
      <c r="E210" s="44">
        <v>0</v>
      </c>
      <c r="F210" s="44">
        <v>0</v>
      </c>
      <c r="G210" s="44">
        <v>0</v>
      </c>
      <c r="H210" s="44">
        <v>0</v>
      </c>
      <c r="I210" s="44">
        <v>0</v>
      </c>
      <c r="J210" s="46">
        <v>1</v>
      </c>
      <c r="K210" s="46">
        <v>0</v>
      </c>
      <c r="L210" s="46">
        <v>0.25</v>
      </c>
      <c r="M210" s="46">
        <v>0.13</v>
      </c>
      <c r="N210" s="46" t="s">
        <v>6961</v>
      </c>
      <c r="O210" s="46">
        <v>0.13</v>
      </c>
      <c r="P210" s="47">
        <v>200</v>
      </c>
      <c r="Q210" s="47">
        <v>0</v>
      </c>
      <c r="R210" s="47">
        <v>50</v>
      </c>
      <c r="S210" s="47">
        <v>0.13</v>
      </c>
      <c r="T210" s="47" t="s">
        <v>6961</v>
      </c>
      <c r="U210" s="47">
        <v>26</v>
      </c>
      <c r="V210">
        <f t="shared" si="9"/>
        <v>201</v>
      </c>
      <c r="W210">
        <f t="shared" si="10"/>
        <v>26.13</v>
      </c>
      <c r="X210">
        <f t="shared" si="11"/>
        <v>0.13</v>
      </c>
      <c r="AA210" s="64">
        <v>61481</v>
      </c>
      <c r="AB210">
        <v>0.13</v>
      </c>
    </row>
    <row r="211" spans="1:28" x14ac:dyDescent="0.25">
      <c r="A211" s="125"/>
      <c r="B211" s="64" t="s">
        <v>1253</v>
      </c>
      <c r="C211" s="64">
        <v>61477</v>
      </c>
      <c r="D211" s="44">
        <v>10</v>
      </c>
      <c r="E211" s="44">
        <v>0</v>
      </c>
      <c r="F211" s="44">
        <v>0</v>
      </c>
      <c r="G211" s="44">
        <v>0</v>
      </c>
      <c r="H211" s="44">
        <v>0</v>
      </c>
      <c r="I211" s="44">
        <v>0</v>
      </c>
      <c r="J211" s="46">
        <v>5</v>
      </c>
      <c r="K211" s="46">
        <v>0</v>
      </c>
      <c r="L211" s="46">
        <v>0</v>
      </c>
      <c r="M211" s="46">
        <v>0</v>
      </c>
      <c r="N211" s="46">
        <v>0</v>
      </c>
      <c r="O211" s="46">
        <v>0</v>
      </c>
      <c r="P211" s="47">
        <v>200</v>
      </c>
      <c r="Q211" s="47">
        <v>0</v>
      </c>
      <c r="R211" s="47">
        <v>0</v>
      </c>
      <c r="S211" s="47">
        <v>0</v>
      </c>
      <c r="T211" s="47">
        <v>0</v>
      </c>
      <c r="U211" s="47">
        <v>0</v>
      </c>
      <c r="V211">
        <f t="shared" si="9"/>
        <v>215</v>
      </c>
      <c r="W211">
        <f t="shared" si="10"/>
        <v>0</v>
      </c>
      <c r="X211">
        <f t="shared" si="11"/>
        <v>0</v>
      </c>
      <c r="AA211" s="64">
        <v>61477</v>
      </c>
      <c r="AB211">
        <v>0</v>
      </c>
    </row>
    <row r="212" spans="1:28" x14ac:dyDescent="0.25">
      <c r="A212" s="125"/>
      <c r="B212" s="64" t="s">
        <v>2982</v>
      </c>
      <c r="C212" s="64">
        <v>61476</v>
      </c>
      <c r="D212" s="44">
        <v>10</v>
      </c>
      <c r="E212" s="44">
        <v>0</v>
      </c>
      <c r="F212" s="44">
        <v>0</v>
      </c>
      <c r="G212" s="44">
        <v>0</v>
      </c>
      <c r="H212" s="44">
        <v>0</v>
      </c>
      <c r="I212" s="44">
        <v>0</v>
      </c>
      <c r="J212" s="46">
        <v>10</v>
      </c>
      <c r="K212" s="46">
        <v>0</v>
      </c>
      <c r="L212" s="46">
        <v>0</v>
      </c>
      <c r="M212" s="46">
        <v>0</v>
      </c>
      <c r="N212" s="46">
        <v>0</v>
      </c>
      <c r="O212" s="46">
        <v>0</v>
      </c>
      <c r="P212" s="47">
        <v>300</v>
      </c>
      <c r="Q212" s="47">
        <v>0</v>
      </c>
      <c r="R212" s="47">
        <v>0</v>
      </c>
      <c r="S212" s="47">
        <v>0</v>
      </c>
      <c r="T212" s="47">
        <v>0</v>
      </c>
      <c r="U212" s="47">
        <v>0</v>
      </c>
      <c r="V212">
        <f t="shared" si="9"/>
        <v>320</v>
      </c>
      <c r="W212">
        <f t="shared" si="10"/>
        <v>0</v>
      </c>
      <c r="X212">
        <f t="shared" si="11"/>
        <v>0</v>
      </c>
      <c r="AA212" s="64">
        <v>61476</v>
      </c>
      <c r="AB212">
        <v>0</v>
      </c>
    </row>
    <row r="213" spans="1:28" x14ac:dyDescent="0.25">
      <c r="A213" s="125"/>
      <c r="B213" s="64" t="s">
        <v>1254</v>
      </c>
      <c r="C213" s="64">
        <v>61479</v>
      </c>
      <c r="D213" s="44">
        <v>10</v>
      </c>
      <c r="E213" s="44">
        <v>0</v>
      </c>
      <c r="F213" s="44">
        <v>0</v>
      </c>
      <c r="G213" s="44">
        <v>0</v>
      </c>
      <c r="H213" s="44">
        <v>0</v>
      </c>
      <c r="I213" s="44">
        <v>0</v>
      </c>
      <c r="J213" s="46">
        <v>10</v>
      </c>
      <c r="K213" s="46">
        <v>2.5</v>
      </c>
      <c r="L213" s="46">
        <v>5</v>
      </c>
      <c r="M213" s="46">
        <v>0.375</v>
      </c>
      <c r="N213" s="46" t="s">
        <v>6958</v>
      </c>
      <c r="O213" s="46">
        <v>3.75</v>
      </c>
      <c r="P213" s="47">
        <v>80</v>
      </c>
      <c r="Q213" s="47">
        <v>20</v>
      </c>
      <c r="R213" s="47">
        <v>40</v>
      </c>
      <c r="S213" s="47">
        <v>0.375</v>
      </c>
      <c r="T213" s="47" t="s">
        <v>6958</v>
      </c>
      <c r="U213" s="47">
        <v>30</v>
      </c>
      <c r="V213">
        <f t="shared" si="9"/>
        <v>100</v>
      </c>
      <c r="W213">
        <f t="shared" si="10"/>
        <v>33.75</v>
      </c>
      <c r="X213">
        <f t="shared" si="11"/>
        <v>0.33750000000000002</v>
      </c>
      <c r="AA213" s="64">
        <v>61479</v>
      </c>
      <c r="AB213">
        <v>0.33750000000000002</v>
      </c>
    </row>
    <row r="214" spans="1:28" x14ac:dyDescent="0.25">
      <c r="A214" s="125"/>
      <c r="B214" s="64" t="s">
        <v>1208</v>
      </c>
      <c r="C214" s="64">
        <v>61347</v>
      </c>
      <c r="D214" s="44">
        <v>5</v>
      </c>
      <c r="E214" s="44">
        <v>1.25</v>
      </c>
      <c r="F214" s="44">
        <v>2.5</v>
      </c>
      <c r="G214" s="44">
        <v>0.375</v>
      </c>
      <c r="H214" s="44" t="s">
        <v>6958</v>
      </c>
      <c r="I214" s="44">
        <v>1.875</v>
      </c>
      <c r="J214" s="46">
        <v>1</v>
      </c>
      <c r="K214" s="46">
        <v>0.25</v>
      </c>
      <c r="L214" s="46">
        <v>0.5</v>
      </c>
      <c r="M214" s="46">
        <v>0.375</v>
      </c>
      <c r="N214" s="46" t="s">
        <v>6958</v>
      </c>
      <c r="O214" s="46">
        <v>0.375</v>
      </c>
      <c r="P214" s="47">
        <v>300</v>
      </c>
      <c r="Q214" s="47">
        <v>0</v>
      </c>
      <c r="R214" s="47">
        <v>0</v>
      </c>
      <c r="S214" s="47">
        <v>0</v>
      </c>
      <c r="T214" s="47">
        <v>0</v>
      </c>
      <c r="U214" s="47">
        <v>0</v>
      </c>
      <c r="V214">
        <f t="shared" si="9"/>
        <v>306</v>
      </c>
      <c r="W214">
        <f t="shared" si="10"/>
        <v>2.25</v>
      </c>
      <c r="X214">
        <f t="shared" si="11"/>
        <v>7.3529411764705881E-3</v>
      </c>
      <c r="AA214" s="64">
        <v>61347</v>
      </c>
      <c r="AB214">
        <v>7.3529411764705881E-3</v>
      </c>
    </row>
    <row r="215" spans="1:28" x14ac:dyDescent="0.25">
      <c r="A215" s="125"/>
      <c r="B215" s="64" t="s">
        <v>2964</v>
      </c>
      <c r="C215" s="64">
        <v>61311</v>
      </c>
      <c r="D215" s="44">
        <v>0</v>
      </c>
      <c r="E215" s="44">
        <v>0</v>
      </c>
      <c r="F215" s="44">
        <v>0</v>
      </c>
      <c r="G215" s="44">
        <v>0</v>
      </c>
      <c r="H215" s="44">
        <v>0</v>
      </c>
      <c r="I215" s="44">
        <v>0</v>
      </c>
      <c r="J215" s="46">
        <v>1</v>
      </c>
      <c r="K215" s="46">
        <v>0</v>
      </c>
      <c r="L215" s="46">
        <v>0.25</v>
      </c>
      <c r="M215" s="46">
        <v>0.13</v>
      </c>
      <c r="N215" s="46" t="s">
        <v>6961</v>
      </c>
      <c r="O215" s="46">
        <v>0.13</v>
      </c>
      <c r="P215" s="47">
        <v>50</v>
      </c>
      <c r="Q215" s="47">
        <v>0</v>
      </c>
      <c r="R215" s="47">
        <v>12.5</v>
      </c>
      <c r="S215" s="47">
        <v>0.13</v>
      </c>
      <c r="T215" s="47" t="s">
        <v>6961</v>
      </c>
      <c r="U215" s="47">
        <v>6.5</v>
      </c>
      <c r="V215">
        <f t="shared" si="9"/>
        <v>51</v>
      </c>
      <c r="W215">
        <f t="shared" si="10"/>
        <v>6.63</v>
      </c>
      <c r="X215">
        <f t="shared" si="11"/>
        <v>0.13</v>
      </c>
      <c r="AA215" s="64">
        <v>61311</v>
      </c>
      <c r="AB215">
        <v>0.13</v>
      </c>
    </row>
    <row r="216" spans="1:28" x14ac:dyDescent="0.25">
      <c r="A216" s="125"/>
      <c r="B216" s="64" t="s">
        <v>2979</v>
      </c>
      <c r="C216" s="64">
        <v>61466</v>
      </c>
      <c r="D216" s="44">
        <v>1</v>
      </c>
      <c r="E216" s="44">
        <v>0</v>
      </c>
      <c r="F216" s="44">
        <v>0.25</v>
      </c>
      <c r="G216" s="44">
        <v>0.13</v>
      </c>
      <c r="H216" s="44" t="s">
        <v>6961</v>
      </c>
      <c r="I216" s="44">
        <v>0.13</v>
      </c>
      <c r="J216" s="46">
        <v>1</v>
      </c>
      <c r="K216" s="46">
        <v>0</v>
      </c>
      <c r="L216" s="46">
        <v>0.25</v>
      </c>
      <c r="M216" s="46">
        <v>0.13</v>
      </c>
      <c r="N216" s="46" t="s">
        <v>6961</v>
      </c>
      <c r="O216" s="46">
        <v>0.13</v>
      </c>
      <c r="P216" s="47">
        <v>350</v>
      </c>
      <c r="Q216" s="47">
        <v>0</v>
      </c>
      <c r="R216" s="47">
        <v>87.5</v>
      </c>
      <c r="S216" s="47">
        <v>0.13</v>
      </c>
      <c r="T216" s="47" t="s">
        <v>6961</v>
      </c>
      <c r="U216" s="47">
        <v>45.5</v>
      </c>
      <c r="V216">
        <f t="shared" si="9"/>
        <v>352</v>
      </c>
      <c r="W216">
        <f t="shared" si="10"/>
        <v>45.760000000000005</v>
      </c>
      <c r="X216">
        <f t="shared" si="11"/>
        <v>0.13</v>
      </c>
      <c r="AA216" s="64">
        <v>61466</v>
      </c>
      <c r="AB216">
        <v>0.13</v>
      </c>
    </row>
    <row r="217" spans="1:28" x14ac:dyDescent="0.25">
      <c r="A217" s="125"/>
      <c r="B217" s="64" t="s">
        <v>1191</v>
      </c>
      <c r="C217" s="64">
        <v>61111</v>
      </c>
      <c r="D217" s="44">
        <v>0</v>
      </c>
      <c r="E217" s="44">
        <v>0</v>
      </c>
      <c r="F217" s="44">
        <v>0</v>
      </c>
      <c r="G217" s="44">
        <v>0</v>
      </c>
      <c r="H217" s="44">
        <v>0</v>
      </c>
      <c r="I217" s="44">
        <v>0</v>
      </c>
      <c r="J217" s="46">
        <v>1</v>
      </c>
      <c r="K217" s="46">
        <v>0</v>
      </c>
      <c r="L217" s="46">
        <v>0</v>
      </c>
      <c r="M217" s="46">
        <v>0</v>
      </c>
      <c r="N217" s="46">
        <v>0</v>
      </c>
      <c r="O217" s="46">
        <v>0</v>
      </c>
      <c r="P217" s="47">
        <v>60</v>
      </c>
      <c r="Q217" s="47">
        <v>0</v>
      </c>
      <c r="R217" s="47">
        <v>0</v>
      </c>
      <c r="S217" s="47">
        <v>0</v>
      </c>
      <c r="T217" s="47">
        <v>0</v>
      </c>
      <c r="U217" s="47">
        <v>0</v>
      </c>
      <c r="V217">
        <f t="shared" si="9"/>
        <v>61</v>
      </c>
      <c r="W217">
        <f t="shared" si="10"/>
        <v>0</v>
      </c>
      <c r="X217">
        <f t="shared" si="11"/>
        <v>0</v>
      </c>
      <c r="AA217" s="64">
        <v>61111</v>
      </c>
      <c r="AB217">
        <v>0</v>
      </c>
    </row>
    <row r="218" spans="1:28" x14ac:dyDescent="0.25">
      <c r="A218" s="125"/>
      <c r="B218" s="64" t="s">
        <v>1193</v>
      </c>
      <c r="C218" s="64">
        <v>61119</v>
      </c>
      <c r="D218" s="44">
        <v>0.2</v>
      </c>
      <c r="E218" s="44">
        <v>0</v>
      </c>
      <c r="F218" s="44">
        <v>0</v>
      </c>
      <c r="G218" s="44">
        <v>0</v>
      </c>
      <c r="H218" s="44">
        <v>0</v>
      </c>
      <c r="I218" s="44">
        <v>0</v>
      </c>
      <c r="J218" s="46">
        <v>0.5</v>
      </c>
      <c r="K218" s="46">
        <v>0</v>
      </c>
      <c r="L218" s="46">
        <v>0</v>
      </c>
      <c r="M218" s="46">
        <v>0</v>
      </c>
      <c r="N218" s="46">
        <v>0</v>
      </c>
      <c r="O218" s="46">
        <v>0</v>
      </c>
      <c r="P218" s="47">
        <v>0.2</v>
      </c>
      <c r="Q218" s="47">
        <v>0</v>
      </c>
      <c r="R218" s="47">
        <v>0.05</v>
      </c>
      <c r="S218" s="47">
        <v>0.13</v>
      </c>
      <c r="T218" s="47" t="s">
        <v>6961</v>
      </c>
      <c r="U218" s="47">
        <v>2.6000000000000002E-2</v>
      </c>
      <c r="V218">
        <f t="shared" si="9"/>
        <v>0.89999999999999991</v>
      </c>
      <c r="W218">
        <f t="shared" si="10"/>
        <v>2.6000000000000002E-2</v>
      </c>
      <c r="X218">
        <f t="shared" si="11"/>
        <v>2.8888888888888895E-2</v>
      </c>
      <c r="AA218" s="64">
        <v>61119</v>
      </c>
      <c r="AB218">
        <v>2.8888888888888895E-2</v>
      </c>
    </row>
    <row r="219" spans="1:28" x14ac:dyDescent="0.25">
      <c r="A219" s="125"/>
      <c r="B219" s="64" t="s">
        <v>1227</v>
      </c>
      <c r="C219" s="64">
        <v>61434</v>
      </c>
      <c r="D219" s="44">
        <v>0</v>
      </c>
      <c r="E219" s="44">
        <v>0</v>
      </c>
      <c r="F219" s="44">
        <v>0</v>
      </c>
      <c r="G219" s="44">
        <v>0</v>
      </c>
      <c r="H219" s="44">
        <v>0</v>
      </c>
      <c r="I219" s="44">
        <v>0</v>
      </c>
      <c r="J219" s="46">
        <v>35</v>
      </c>
      <c r="K219" s="46">
        <v>17.5</v>
      </c>
      <c r="L219" s="46">
        <v>26.25</v>
      </c>
      <c r="M219" s="46">
        <v>0.625</v>
      </c>
      <c r="N219" s="46" t="s">
        <v>6960</v>
      </c>
      <c r="O219" s="46">
        <v>21.875</v>
      </c>
      <c r="P219" s="47">
        <v>500</v>
      </c>
      <c r="Q219" s="47">
        <v>0</v>
      </c>
      <c r="R219" s="47">
        <v>125</v>
      </c>
      <c r="S219" s="47">
        <v>0.13</v>
      </c>
      <c r="T219" s="47" t="s">
        <v>6961</v>
      </c>
      <c r="U219" s="47">
        <v>65</v>
      </c>
      <c r="V219">
        <f t="shared" si="9"/>
        <v>535</v>
      </c>
      <c r="W219">
        <f t="shared" si="10"/>
        <v>86.875</v>
      </c>
      <c r="X219">
        <f t="shared" si="11"/>
        <v>0.16238317757009346</v>
      </c>
      <c r="AA219" s="64">
        <v>61434</v>
      </c>
      <c r="AB219">
        <v>0.16238317757009346</v>
      </c>
    </row>
    <row r="220" spans="1:28" x14ac:dyDescent="0.25">
      <c r="A220" s="125"/>
      <c r="B220" s="64" t="s">
        <v>2971</v>
      </c>
      <c r="C220" s="64">
        <v>61439</v>
      </c>
      <c r="D220" s="44">
        <v>0</v>
      </c>
      <c r="E220" s="44">
        <v>0</v>
      </c>
      <c r="F220" s="44">
        <v>0</v>
      </c>
      <c r="G220" s="44">
        <v>0</v>
      </c>
      <c r="H220" s="44">
        <v>0</v>
      </c>
      <c r="I220" s="44">
        <v>0</v>
      </c>
      <c r="J220" s="46">
        <v>48</v>
      </c>
      <c r="K220" s="46">
        <v>0</v>
      </c>
      <c r="L220" s="46">
        <v>12</v>
      </c>
      <c r="M220" s="46">
        <v>0.13</v>
      </c>
      <c r="N220" s="46" t="s">
        <v>6961</v>
      </c>
      <c r="O220" s="46">
        <v>6.24</v>
      </c>
      <c r="P220" s="47">
        <v>112</v>
      </c>
      <c r="Q220" s="47">
        <v>0</v>
      </c>
      <c r="R220" s="47">
        <v>28</v>
      </c>
      <c r="S220" s="47">
        <v>0.13</v>
      </c>
      <c r="T220" s="47" t="s">
        <v>6961</v>
      </c>
      <c r="U220" s="47">
        <v>14.56</v>
      </c>
      <c r="V220">
        <f t="shared" si="9"/>
        <v>160</v>
      </c>
      <c r="W220">
        <f t="shared" si="10"/>
        <v>20.8</v>
      </c>
      <c r="X220">
        <f t="shared" si="11"/>
        <v>0.13</v>
      </c>
      <c r="AA220" s="64">
        <v>61439</v>
      </c>
      <c r="AB220">
        <v>0.13</v>
      </c>
    </row>
    <row r="221" spans="1:28" x14ac:dyDescent="0.25">
      <c r="A221" s="125"/>
      <c r="B221" s="64" t="s">
        <v>2970</v>
      </c>
      <c r="C221" s="64">
        <v>61436</v>
      </c>
      <c r="D221" s="44">
        <v>3</v>
      </c>
      <c r="E221" s="44">
        <v>0</v>
      </c>
      <c r="F221" s="44">
        <v>0</v>
      </c>
      <c r="G221" s="44">
        <v>0</v>
      </c>
      <c r="H221" s="44">
        <v>0</v>
      </c>
      <c r="I221" s="44">
        <v>0</v>
      </c>
      <c r="J221" s="46">
        <v>25</v>
      </c>
      <c r="K221" s="46">
        <v>0</v>
      </c>
      <c r="L221" s="46">
        <v>0</v>
      </c>
      <c r="M221" s="46">
        <v>0</v>
      </c>
      <c r="N221" s="46">
        <v>0</v>
      </c>
      <c r="O221" s="46">
        <v>0</v>
      </c>
      <c r="P221" s="47">
        <v>100</v>
      </c>
      <c r="Q221" s="47">
        <v>0</v>
      </c>
      <c r="R221" s="47">
        <v>25</v>
      </c>
      <c r="S221" s="47">
        <v>0.13</v>
      </c>
      <c r="T221" s="47" t="s">
        <v>6961</v>
      </c>
      <c r="U221" s="47">
        <v>13</v>
      </c>
      <c r="V221">
        <f t="shared" si="9"/>
        <v>128</v>
      </c>
      <c r="W221">
        <f t="shared" si="10"/>
        <v>13</v>
      </c>
      <c r="X221">
        <f t="shared" si="11"/>
        <v>0.1015625</v>
      </c>
      <c r="AA221" s="64">
        <v>61436</v>
      </c>
      <c r="AB221">
        <v>0.1015625</v>
      </c>
    </row>
    <row r="222" spans="1:28" x14ac:dyDescent="0.25">
      <c r="A222" s="125"/>
      <c r="B222" s="64" t="s">
        <v>1225</v>
      </c>
      <c r="C222" s="64">
        <v>61431</v>
      </c>
      <c r="D222" s="44">
        <v>0</v>
      </c>
      <c r="E222" s="44">
        <v>0</v>
      </c>
      <c r="F222" s="44">
        <v>0</v>
      </c>
      <c r="G222" s="44">
        <v>0</v>
      </c>
      <c r="H222" s="44">
        <v>0</v>
      </c>
      <c r="I222" s="44">
        <v>0</v>
      </c>
      <c r="J222" s="46">
        <v>90</v>
      </c>
      <c r="K222" s="46">
        <v>0</v>
      </c>
      <c r="L222" s="46">
        <v>0</v>
      </c>
      <c r="M222" s="46">
        <v>0</v>
      </c>
      <c r="N222" s="46">
        <v>0</v>
      </c>
      <c r="O222" s="46">
        <v>0</v>
      </c>
      <c r="P222" s="47">
        <v>95</v>
      </c>
      <c r="Q222" s="47">
        <v>0</v>
      </c>
      <c r="R222" s="47">
        <v>23.75</v>
      </c>
      <c r="S222" s="47">
        <v>0.13</v>
      </c>
      <c r="T222" s="47" t="s">
        <v>6961</v>
      </c>
      <c r="U222" s="47">
        <v>12.35</v>
      </c>
      <c r="V222">
        <f t="shared" si="9"/>
        <v>185</v>
      </c>
      <c r="W222">
        <f t="shared" si="10"/>
        <v>12.35</v>
      </c>
      <c r="X222">
        <f t="shared" si="11"/>
        <v>6.6756756756756755E-2</v>
      </c>
      <c r="AA222" s="64">
        <v>61431</v>
      </c>
      <c r="AB222">
        <v>6.6756756756756755E-2</v>
      </c>
    </row>
    <row r="223" spans="1:28" x14ac:dyDescent="0.25">
      <c r="A223" s="125"/>
      <c r="B223" s="64" t="s">
        <v>2975</v>
      </c>
      <c r="C223" s="64">
        <v>61453</v>
      </c>
      <c r="D223" s="44">
        <v>0</v>
      </c>
      <c r="E223" s="44">
        <v>0</v>
      </c>
      <c r="F223" s="44">
        <v>0</v>
      </c>
      <c r="G223" s="44">
        <v>0</v>
      </c>
      <c r="H223" s="44">
        <v>0</v>
      </c>
      <c r="I223" s="44">
        <v>0</v>
      </c>
      <c r="J223" s="46">
        <v>20</v>
      </c>
      <c r="K223" s="46">
        <v>0</v>
      </c>
      <c r="L223" s="46">
        <v>0</v>
      </c>
      <c r="M223" s="46">
        <v>0</v>
      </c>
      <c r="N223" s="46">
        <v>0</v>
      </c>
      <c r="O223" s="46">
        <v>0</v>
      </c>
      <c r="P223" s="47">
        <v>225</v>
      </c>
      <c r="Q223" s="47">
        <v>0</v>
      </c>
      <c r="R223" s="47">
        <v>0</v>
      </c>
      <c r="S223" s="47">
        <v>0</v>
      </c>
      <c r="T223" s="47">
        <v>0</v>
      </c>
      <c r="U223" s="47">
        <v>0</v>
      </c>
      <c r="V223">
        <f t="shared" si="9"/>
        <v>245</v>
      </c>
      <c r="W223">
        <f t="shared" si="10"/>
        <v>0</v>
      </c>
      <c r="X223">
        <f t="shared" si="11"/>
        <v>0</v>
      </c>
      <c r="AA223" s="64">
        <v>61453</v>
      </c>
      <c r="AB223">
        <v>0</v>
      </c>
    </row>
    <row r="224" spans="1:28" x14ac:dyDescent="0.25">
      <c r="A224" s="125"/>
      <c r="B224" s="64" t="s">
        <v>2976</v>
      </c>
      <c r="C224" s="64">
        <v>61461</v>
      </c>
      <c r="D224" s="44">
        <v>0</v>
      </c>
      <c r="E224" s="44">
        <v>0</v>
      </c>
      <c r="F224" s="44">
        <v>0</v>
      </c>
      <c r="G224" s="44">
        <v>0</v>
      </c>
      <c r="H224" s="44">
        <v>0</v>
      </c>
      <c r="I224" s="44">
        <v>0</v>
      </c>
      <c r="J224" s="46">
        <v>25</v>
      </c>
      <c r="K224" s="46">
        <v>0</v>
      </c>
      <c r="L224" s="46">
        <v>6.25</v>
      </c>
      <c r="M224" s="46">
        <v>0.13</v>
      </c>
      <c r="N224" s="46" t="s">
        <v>6961</v>
      </c>
      <c r="O224" s="46">
        <v>3.25</v>
      </c>
      <c r="P224" s="47">
        <v>30</v>
      </c>
      <c r="Q224" s="47">
        <v>0</v>
      </c>
      <c r="R224" s="47">
        <v>0</v>
      </c>
      <c r="S224" s="47">
        <v>0</v>
      </c>
      <c r="T224" s="47">
        <v>0</v>
      </c>
      <c r="U224" s="47">
        <v>0</v>
      </c>
      <c r="V224">
        <f t="shared" si="9"/>
        <v>55</v>
      </c>
      <c r="W224">
        <f t="shared" si="10"/>
        <v>3.25</v>
      </c>
      <c r="X224">
        <f t="shared" si="11"/>
        <v>5.909090909090909E-2</v>
      </c>
      <c r="AA224" s="64">
        <v>61461</v>
      </c>
      <c r="AB224">
        <v>5.909090909090909E-2</v>
      </c>
    </row>
    <row r="225" spans="1:28" x14ac:dyDescent="0.25">
      <c r="A225" s="125"/>
      <c r="B225" s="64" t="s">
        <v>1236</v>
      </c>
      <c r="C225" s="64">
        <v>61449</v>
      </c>
      <c r="D225" s="44">
        <v>0</v>
      </c>
      <c r="E225" s="44">
        <v>0</v>
      </c>
      <c r="F225" s="44">
        <v>0</v>
      </c>
      <c r="G225" s="44">
        <v>0</v>
      </c>
      <c r="H225" s="44">
        <v>0</v>
      </c>
      <c r="I225" s="44">
        <v>0</v>
      </c>
      <c r="J225" s="46">
        <v>15</v>
      </c>
      <c r="K225" s="46">
        <v>0</v>
      </c>
      <c r="L225" s="46">
        <v>3.75</v>
      </c>
      <c r="M225" s="46">
        <v>0.13</v>
      </c>
      <c r="N225" s="46" t="s">
        <v>6961</v>
      </c>
      <c r="O225" s="46">
        <v>1.9500000000000002</v>
      </c>
      <c r="P225" s="47">
        <v>400</v>
      </c>
      <c r="Q225" s="47">
        <v>0</v>
      </c>
      <c r="R225" s="47">
        <v>0</v>
      </c>
      <c r="S225" s="47">
        <v>0</v>
      </c>
      <c r="T225" s="47">
        <v>0</v>
      </c>
      <c r="U225" s="47">
        <v>0</v>
      </c>
      <c r="V225">
        <f t="shared" si="9"/>
        <v>415</v>
      </c>
      <c r="W225">
        <f t="shared" si="10"/>
        <v>1.9500000000000002</v>
      </c>
      <c r="X225">
        <f t="shared" si="11"/>
        <v>4.6987951807228919E-3</v>
      </c>
      <c r="AA225" s="64">
        <v>61449</v>
      </c>
      <c r="AB225">
        <v>4.6987951807228919E-3</v>
      </c>
    </row>
    <row r="226" spans="1:28" x14ac:dyDescent="0.25">
      <c r="A226" s="125"/>
      <c r="B226" s="64" t="s">
        <v>1232</v>
      </c>
      <c r="C226" s="64">
        <v>61443</v>
      </c>
      <c r="D226" s="44">
        <v>0</v>
      </c>
      <c r="E226" s="44">
        <v>0</v>
      </c>
      <c r="F226" s="44">
        <v>0</v>
      </c>
      <c r="G226" s="44">
        <v>0</v>
      </c>
      <c r="H226" s="44">
        <v>0</v>
      </c>
      <c r="I226" s="44">
        <v>0</v>
      </c>
      <c r="J226" s="46">
        <v>10</v>
      </c>
      <c r="K226" s="46">
        <v>0</v>
      </c>
      <c r="L226" s="46">
        <v>2.5</v>
      </c>
      <c r="M226" s="46">
        <v>0.13</v>
      </c>
      <c r="N226" s="46" t="s">
        <v>6961</v>
      </c>
      <c r="O226" s="46">
        <v>1.3</v>
      </c>
      <c r="P226" s="47">
        <v>40</v>
      </c>
      <c r="Q226" s="47">
        <v>0</v>
      </c>
      <c r="R226" s="47">
        <v>10</v>
      </c>
      <c r="S226" s="47">
        <v>0.13</v>
      </c>
      <c r="T226" s="47" t="s">
        <v>6961</v>
      </c>
      <c r="U226" s="47">
        <v>5.2</v>
      </c>
      <c r="V226">
        <f t="shared" si="9"/>
        <v>50</v>
      </c>
      <c r="W226">
        <f t="shared" si="10"/>
        <v>6.5</v>
      </c>
      <c r="X226">
        <f t="shared" si="11"/>
        <v>0.13</v>
      </c>
      <c r="AA226" s="64">
        <v>61443</v>
      </c>
      <c r="AB226">
        <v>0.13</v>
      </c>
    </row>
    <row r="227" spans="1:28" x14ac:dyDescent="0.25">
      <c r="A227" s="125"/>
      <c r="B227" s="64" t="s">
        <v>2972</v>
      </c>
      <c r="C227" s="64">
        <v>61441</v>
      </c>
      <c r="D227" s="44">
        <v>0</v>
      </c>
      <c r="E227" s="44">
        <v>0</v>
      </c>
      <c r="F227" s="44">
        <v>0</v>
      </c>
      <c r="G227" s="44">
        <v>0</v>
      </c>
      <c r="H227" s="44">
        <v>0</v>
      </c>
      <c r="I227" s="44">
        <v>0</v>
      </c>
      <c r="J227" s="46">
        <v>700</v>
      </c>
      <c r="K227" s="46">
        <v>0</v>
      </c>
      <c r="L227" s="46">
        <v>0</v>
      </c>
      <c r="M227" s="46">
        <v>0</v>
      </c>
      <c r="N227" s="46">
        <v>0</v>
      </c>
      <c r="O227" s="46">
        <v>0</v>
      </c>
      <c r="P227" s="47">
        <v>15</v>
      </c>
      <c r="Q227" s="47">
        <v>0</v>
      </c>
      <c r="R227" s="47">
        <v>0</v>
      </c>
      <c r="S227" s="47">
        <v>0</v>
      </c>
      <c r="T227" s="47">
        <v>0</v>
      </c>
      <c r="U227" s="47">
        <v>0</v>
      </c>
      <c r="V227">
        <f t="shared" si="9"/>
        <v>715</v>
      </c>
      <c r="W227">
        <f t="shared" si="10"/>
        <v>0</v>
      </c>
      <c r="X227">
        <f t="shared" si="11"/>
        <v>0</v>
      </c>
      <c r="AA227" s="64">
        <v>61441</v>
      </c>
      <c r="AB227">
        <v>0</v>
      </c>
    </row>
    <row r="228" spans="1:28" x14ac:dyDescent="0.25">
      <c r="A228" s="125"/>
      <c r="B228" s="64" t="s">
        <v>1237</v>
      </c>
      <c r="C228" s="64">
        <v>61451</v>
      </c>
      <c r="D228" s="44">
        <v>0</v>
      </c>
      <c r="E228" s="44">
        <v>0</v>
      </c>
      <c r="F228" s="44">
        <v>0</v>
      </c>
      <c r="G228" s="44">
        <v>0</v>
      </c>
      <c r="H228" s="44">
        <v>0</v>
      </c>
      <c r="I228" s="44">
        <v>0</v>
      </c>
      <c r="J228" s="46">
        <v>70</v>
      </c>
      <c r="K228" s="46">
        <v>0</v>
      </c>
      <c r="L228" s="46">
        <v>17.5</v>
      </c>
      <c r="M228" s="46">
        <v>0.13</v>
      </c>
      <c r="N228" s="46" t="s">
        <v>6961</v>
      </c>
      <c r="O228" s="46">
        <v>9.1</v>
      </c>
      <c r="P228" s="47">
        <v>140</v>
      </c>
      <c r="Q228" s="47">
        <v>0</v>
      </c>
      <c r="R228" s="47">
        <v>35</v>
      </c>
      <c r="S228" s="47">
        <v>0.13</v>
      </c>
      <c r="T228" s="47" t="s">
        <v>6961</v>
      </c>
      <c r="U228" s="47">
        <v>18.2</v>
      </c>
      <c r="V228">
        <f t="shared" si="9"/>
        <v>210</v>
      </c>
      <c r="W228">
        <f t="shared" si="10"/>
        <v>27.299999999999997</v>
      </c>
      <c r="X228">
        <f t="shared" si="11"/>
        <v>0.12999999999999998</v>
      </c>
      <c r="AA228" s="64">
        <v>61451</v>
      </c>
      <c r="AB228">
        <v>0.12999999999999998</v>
      </c>
    </row>
    <row r="229" spans="1:28" x14ac:dyDescent="0.25">
      <c r="A229" s="125"/>
      <c r="B229" s="64" t="s">
        <v>1240</v>
      </c>
      <c r="C229" s="64">
        <v>61456</v>
      </c>
      <c r="D229" s="44">
        <v>40</v>
      </c>
      <c r="E229" s="44">
        <v>0</v>
      </c>
      <c r="F229" s="44">
        <v>10</v>
      </c>
      <c r="G229" s="44">
        <v>0.13</v>
      </c>
      <c r="H229" s="44" t="s">
        <v>6961</v>
      </c>
      <c r="I229" s="44">
        <v>5.2</v>
      </c>
      <c r="J229" s="46">
        <v>1</v>
      </c>
      <c r="K229" s="46">
        <v>0</v>
      </c>
      <c r="L229" s="46">
        <v>0</v>
      </c>
      <c r="M229" s="46">
        <v>0</v>
      </c>
      <c r="N229" s="46">
        <v>0</v>
      </c>
      <c r="O229" s="46">
        <v>0</v>
      </c>
      <c r="P229" s="47">
        <v>2</v>
      </c>
      <c r="Q229" s="47">
        <v>0</v>
      </c>
      <c r="R229" s="47">
        <v>0</v>
      </c>
      <c r="S229" s="47">
        <v>0</v>
      </c>
      <c r="T229" s="47">
        <v>0</v>
      </c>
      <c r="U229" s="47">
        <v>0</v>
      </c>
      <c r="V229">
        <f t="shared" si="9"/>
        <v>43</v>
      </c>
      <c r="W229">
        <f t="shared" si="10"/>
        <v>5.2</v>
      </c>
      <c r="X229">
        <f t="shared" si="11"/>
        <v>0.12093023255813953</v>
      </c>
      <c r="AA229" s="64">
        <v>61456</v>
      </c>
      <c r="AB229">
        <v>0.12093023255813953</v>
      </c>
    </row>
    <row r="230" spans="1:28" x14ac:dyDescent="0.25">
      <c r="A230" s="125"/>
      <c r="B230" s="64" t="s">
        <v>1241</v>
      </c>
      <c r="C230" s="64">
        <v>61457</v>
      </c>
      <c r="D230" s="44">
        <v>15</v>
      </c>
      <c r="E230" s="44">
        <v>0</v>
      </c>
      <c r="F230" s="44">
        <v>0</v>
      </c>
      <c r="G230" s="44">
        <v>0</v>
      </c>
      <c r="H230" s="44">
        <v>0</v>
      </c>
      <c r="I230" s="44">
        <v>0</v>
      </c>
      <c r="J230" s="46">
        <v>600</v>
      </c>
      <c r="K230" s="46">
        <v>0</v>
      </c>
      <c r="L230" s="46">
        <v>0</v>
      </c>
      <c r="M230" s="46">
        <v>0</v>
      </c>
      <c r="N230" s="46">
        <v>0</v>
      </c>
      <c r="O230" s="46">
        <v>0</v>
      </c>
      <c r="P230" s="47">
        <v>15</v>
      </c>
      <c r="Q230" s="47">
        <v>0</v>
      </c>
      <c r="R230" s="47">
        <v>0</v>
      </c>
      <c r="S230" s="47">
        <v>0</v>
      </c>
      <c r="T230" s="47">
        <v>0</v>
      </c>
      <c r="U230" s="47">
        <v>0</v>
      </c>
      <c r="V230">
        <f t="shared" si="9"/>
        <v>630</v>
      </c>
      <c r="W230">
        <f t="shared" si="10"/>
        <v>0</v>
      </c>
      <c r="X230">
        <f t="shared" si="11"/>
        <v>0</v>
      </c>
      <c r="AA230" s="64">
        <v>61457</v>
      </c>
      <c r="AB230">
        <v>0</v>
      </c>
    </row>
    <row r="231" spans="1:28" x14ac:dyDescent="0.25">
      <c r="A231" s="125"/>
      <c r="B231" s="64" t="s">
        <v>2974</v>
      </c>
      <c r="C231" s="64">
        <v>61447</v>
      </c>
      <c r="D231" s="44">
        <v>0</v>
      </c>
      <c r="E231" s="44">
        <v>0</v>
      </c>
      <c r="F231" s="44">
        <v>0</v>
      </c>
      <c r="G231" s="44">
        <v>0</v>
      </c>
      <c r="H231" s="44">
        <v>0</v>
      </c>
      <c r="I231" s="44">
        <v>0</v>
      </c>
      <c r="J231" s="46">
        <v>3</v>
      </c>
      <c r="K231" s="46">
        <v>0</v>
      </c>
      <c r="L231" s="46">
        <v>0</v>
      </c>
      <c r="M231" s="46">
        <v>0</v>
      </c>
      <c r="N231" s="46">
        <v>0</v>
      </c>
      <c r="O231" s="46">
        <v>0</v>
      </c>
      <c r="P231" s="47">
        <v>200</v>
      </c>
      <c r="Q231" s="47">
        <v>0</v>
      </c>
      <c r="R231" s="47">
        <v>0</v>
      </c>
      <c r="S231" s="47">
        <v>0</v>
      </c>
      <c r="T231" s="47">
        <v>0</v>
      </c>
      <c r="U231" s="47">
        <v>0</v>
      </c>
      <c r="V231">
        <f t="shared" si="9"/>
        <v>203</v>
      </c>
      <c r="W231">
        <f t="shared" si="10"/>
        <v>0</v>
      </c>
      <c r="X231">
        <f t="shared" si="11"/>
        <v>0</v>
      </c>
      <c r="AA231" s="64">
        <v>61447</v>
      </c>
      <c r="AB231">
        <v>0</v>
      </c>
    </row>
    <row r="232" spans="1:28" x14ac:dyDescent="0.25">
      <c r="A232" s="125"/>
      <c r="B232" s="64" t="s">
        <v>2969</v>
      </c>
      <c r="C232" s="64">
        <v>61427</v>
      </c>
      <c r="D232" s="44">
        <v>250</v>
      </c>
      <c r="E232" s="44">
        <v>0</v>
      </c>
      <c r="F232" s="44">
        <v>62.5</v>
      </c>
      <c r="G232" s="44">
        <v>0.13</v>
      </c>
      <c r="H232" s="44" t="s">
        <v>6961</v>
      </c>
      <c r="I232" s="44">
        <v>32.5</v>
      </c>
      <c r="J232" s="46">
        <v>350</v>
      </c>
      <c r="K232" s="46">
        <v>262.5</v>
      </c>
      <c r="L232" s="46">
        <v>350</v>
      </c>
      <c r="M232" s="46">
        <v>0.87</v>
      </c>
      <c r="N232" s="46" t="s">
        <v>6959</v>
      </c>
      <c r="O232" s="46">
        <v>304.5</v>
      </c>
      <c r="P232" s="47">
        <v>900</v>
      </c>
      <c r="Q232" s="47">
        <v>0</v>
      </c>
      <c r="R232" s="47">
        <v>225</v>
      </c>
      <c r="S232" s="47">
        <v>0.13</v>
      </c>
      <c r="T232" s="47" t="s">
        <v>6961</v>
      </c>
      <c r="U232" s="47">
        <v>117</v>
      </c>
      <c r="V232">
        <f t="shared" si="9"/>
        <v>1500</v>
      </c>
      <c r="W232">
        <f t="shared" si="10"/>
        <v>454</v>
      </c>
      <c r="X232">
        <f t="shared" si="11"/>
        <v>0.30266666666666664</v>
      </c>
      <c r="AA232" s="64">
        <v>61427</v>
      </c>
      <c r="AB232">
        <v>0.30266666666666664</v>
      </c>
    </row>
    <row r="233" spans="1:28" x14ac:dyDescent="0.25">
      <c r="A233" s="125"/>
      <c r="B233" s="64" t="s">
        <v>1218</v>
      </c>
      <c r="C233" s="64">
        <v>61419</v>
      </c>
      <c r="D233" s="44">
        <v>150</v>
      </c>
      <c r="E233" s="44">
        <v>0</v>
      </c>
      <c r="F233" s="44">
        <v>37.5</v>
      </c>
      <c r="G233" s="44">
        <v>0.13</v>
      </c>
      <c r="H233" s="44" t="s">
        <v>6961</v>
      </c>
      <c r="I233" s="44">
        <v>19.5</v>
      </c>
      <c r="J233" s="46">
        <v>250</v>
      </c>
      <c r="K233" s="46">
        <v>187.5</v>
      </c>
      <c r="L233" s="46">
        <v>250</v>
      </c>
      <c r="M233" s="46">
        <v>0.87</v>
      </c>
      <c r="N233" s="46" t="s">
        <v>6959</v>
      </c>
      <c r="O233" s="46">
        <v>217.5</v>
      </c>
      <c r="P233" s="47">
        <v>450</v>
      </c>
      <c r="Q233" s="47">
        <v>0</v>
      </c>
      <c r="R233" s="47">
        <v>112.5</v>
      </c>
      <c r="S233" s="47">
        <v>0.13</v>
      </c>
      <c r="T233" s="47" t="s">
        <v>6961</v>
      </c>
      <c r="U233" s="47">
        <v>58.5</v>
      </c>
      <c r="V233">
        <f t="shared" si="9"/>
        <v>850</v>
      </c>
      <c r="W233">
        <f t="shared" si="10"/>
        <v>295.5</v>
      </c>
      <c r="X233">
        <f t="shared" si="11"/>
        <v>0.34764705882352942</v>
      </c>
      <c r="AA233" s="64">
        <v>61419</v>
      </c>
      <c r="AB233">
        <v>0.34764705882352942</v>
      </c>
    </row>
    <row r="234" spans="1:28" x14ac:dyDescent="0.25">
      <c r="A234" s="125"/>
      <c r="B234" s="64" t="s">
        <v>1216</v>
      </c>
      <c r="C234" s="64">
        <v>61417</v>
      </c>
      <c r="D234" s="44">
        <v>0</v>
      </c>
      <c r="E234" s="44">
        <v>0</v>
      </c>
      <c r="F234" s="44">
        <v>0</v>
      </c>
      <c r="G234" s="44">
        <v>0</v>
      </c>
      <c r="H234" s="44">
        <v>0</v>
      </c>
      <c r="I234" s="44">
        <v>0</v>
      </c>
      <c r="J234" s="46">
        <v>150</v>
      </c>
      <c r="K234" s="46">
        <v>0</v>
      </c>
      <c r="L234" s="46">
        <v>37.5</v>
      </c>
      <c r="M234" s="46">
        <v>0.13</v>
      </c>
      <c r="N234" s="46" t="s">
        <v>6961</v>
      </c>
      <c r="O234" s="46">
        <v>19.5</v>
      </c>
      <c r="P234" s="47">
        <v>100</v>
      </c>
      <c r="Q234" s="47">
        <v>0</v>
      </c>
      <c r="R234" s="47">
        <v>25</v>
      </c>
      <c r="S234" s="47">
        <v>0.13</v>
      </c>
      <c r="T234" s="47" t="s">
        <v>6961</v>
      </c>
      <c r="U234" s="47">
        <v>13</v>
      </c>
      <c r="V234">
        <f t="shared" si="9"/>
        <v>250</v>
      </c>
      <c r="W234">
        <f t="shared" si="10"/>
        <v>32.5</v>
      </c>
      <c r="X234">
        <f t="shared" si="11"/>
        <v>0.13</v>
      </c>
      <c r="AA234" s="64">
        <v>61417</v>
      </c>
      <c r="AB234">
        <v>0.13</v>
      </c>
    </row>
    <row r="235" spans="1:28" x14ac:dyDescent="0.25">
      <c r="A235" s="125"/>
      <c r="B235" s="64" t="s">
        <v>2978</v>
      </c>
      <c r="C235" s="64">
        <v>61464</v>
      </c>
      <c r="D235" s="44">
        <v>0</v>
      </c>
      <c r="E235" s="44">
        <v>0</v>
      </c>
      <c r="F235" s="44">
        <v>0</v>
      </c>
      <c r="G235" s="44">
        <v>0</v>
      </c>
      <c r="H235" s="44">
        <v>0</v>
      </c>
      <c r="I235" s="44">
        <v>0</v>
      </c>
      <c r="J235" s="46">
        <v>100</v>
      </c>
      <c r="K235" s="46">
        <v>25</v>
      </c>
      <c r="L235" s="46">
        <v>50</v>
      </c>
      <c r="M235" s="46">
        <v>0.375</v>
      </c>
      <c r="N235" s="46" t="s">
        <v>6958</v>
      </c>
      <c r="O235" s="46">
        <v>37.5</v>
      </c>
      <c r="P235" s="47">
        <v>500</v>
      </c>
      <c r="Q235" s="47">
        <v>0</v>
      </c>
      <c r="R235" s="47">
        <v>0</v>
      </c>
      <c r="S235" s="47">
        <v>0</v>
      </c>
      <c r="T235" s="47">
        <v>0</v>
      </c>
      <c r="U235" s="47">
        <v>0</v>
      </c>
      <c r="V235">
        <f t="shared" si="9"/>
        <v>600</v>
      </c>
      <c r="W235">
        <f t="shared" si="10"/>
        <v>37.5</v>
      </c>
      <c r="X235">
        <f t="shared" si="11"/>
        <v>6.25E-2</v>
      </c>
      <c r="AA235" s="64">
        <v>61464</v>
      </c>
      <c r="AB235">
        <v>6.25E-2</v>
      </c>
    </row>
    <row r="236" spans="1:28" x14ac:dyDescent="0.25">
      <c r="A236" s="125"/>
      <c r="B236" s="64" t="s">
        <v>1248</v>
      </c>
      <c r="C236" s="64">
        <v>61469</v>
      </c>
      <c r="D236" s="44">
        <v>0</v>
      </c>
      <c r="E236" s="44">
        <v>0</v>
      </c>
      <c r="F236" s="44">
        <v>0</v>
      </c>
      <c r="G236" s="44">
        <v>0</v>
      </c>
      <c r="H236" s="44">
        <v>0</v>
      </c>
      <c r="I236" s="44">
        <v>0</v>
      </c>
      <c r="J236" s="46">
        <v>15</v>
      </c>
      <c r="K236" s="46">
        <v>0</v>
      </c>
      <c r="L236" s="46">
        <v>0</v>
      </c>
      <c r="M236" s="46">
        <v>0</v>
      </c>
      <c r="N236" s="46">
        <v>0</v>
      </c>
      <c r="O236" s="46">
        <v>0</v>
      </c>
      <c r="P236" s="47">
        <v>200</v>
      </c>
      <c r="Q236" s="47">
        <v>0</v>
      </c>
      <c r="R236" s="47">
        <v>50</v>
      </c>
      <c r="S236" s="47">
        <v>0.13</v>
      </c>
      <c r="T236" s="47" t="s">
        <v>6961</v>
      </c>
      <c r="U236" s="47">
        <v>26</v>
      </c>
      <c r="V236">
        <f t="shared" si="9"/>
        <v>215</v>
      </c>
      <c r="W236">
        <f t="shared" si="10"/>
        <v>26</v>
      </c>
      <c r="X236">
        <f t="shared" si="11"/>
        <v>0.12093023255813953</v>
      </c>
      <c r="AA236" s="64">
        <v>61469</v>
      </c>
      <c r="AB236">
        <v>0.12093023255813953</v>
      </c>
    </row>
    <row r="237" spans="1:28" x14ac:dyDescent="0.25">
      <c r="A237" s="125"/>
      <c r="B237" s="64" t="s">
        <v>2977</v>
      </c>
      <c r="C237" s="64">
        <v>61463</v>
      </c>
      <c r="D237" s="44">
        <v>7</v>
      </c>
      <c r="E237" s="44">
        <v>0</v>
      </c>
      <c r="F237" s="44">
        <v>0</v>
      </c>
      <c r="G237" s="44">
        <v>0</v>
      </c>
      <c r="H237" s="44">
        <v>0</v>
      </c>
      <c r="I237" s="44">
        <v>0</v>
      </c>
      <c r="J237" s="46">
        <v>100</v>
      </c>
      <c r="K237" s="46">
        <v>0</v>
      </c>
      <c r="L237" s="46">
        <v>0</v>
      </c>
      <c r="M237" s="46">
        <v>0</v>
      </c>
      <c r="N237" s="46">
        <v>0</v>
      </c>
      <c r="O237" s="46">
        <v>0</v>
      </c>
      <c r="P237" s="47">
        <v>150</v>
      </c>
      <c r="Q237" s="47">
        <v>0</v>
      </c>
      <c r="R237" s="47">
        <v>37.5</v>
      </c>
      <c r="S237" s="47">
        <v>0.13</v>
      </c>
      <c r="T237" s="47" t="s">
        <v>6961</v>
      </c>
      <c r="U237" s="47">
        <v>19.5</v>
      </c>
      <c r="V237">
        <f t="shared" si="9"/>
        <v>257</v>
      </c>
      <c r="W237">
        <f t="shared" si="10"/>
        <v>19.5</v>
      </c>
      <c r="X237">
        <f t="shared" si="11"/>
        <v>7.5875486381322951E-2</v>
      </c>
      <c r="AA237" s="64">
        <v>61463</v>
      </c>
      <c r="AB237">
        <v>7.5875486381322951E-2</v>
      </c>
    </row>
    <row r="238" spans="1:28" x14ac:dyDescent="0.25">
      <c r="A238" s="125"/>
      <c r="B238" s="64" t="s">
        <v>1239</v>
      </c>
      <c r="C238" s="64">
        <v>61454</v>
      </c>
      <c r="D238" s="44">
        <v>9</v>
      </c>
      <c r="E238" s="44">
        <v>0</v>
      </c>
      <c r="F238" s="44">
        <v>0</v>
      </c>
      <c r="G238" s="44">
        <v>0</v>
      </c>
      <c r="H238" s="44">
        <v>0</v>
      </c>
      <c r="I238" s="44">
        <v>0</v>
      </c>
      <c r="J238" s="46">
        <v>30</v>
      </c>
      <c r="K238" s="46">
        <v>0</v>
      </c>
      <c r="L238" s="46">
        <v>0</v>
      </c>
      <c r="M238" s="46">
        <v>0</v>
      </c>
      <c r="N238" s="46">
        <v>0</v>
      </c>
      <c r="O238" s="46">
        <v>0</v>
      </c>
      <c r="P238" s="47">
        <v>150</v>
      </c>
      <c r="Q238" s="47">
        <v>0</v>
      </c>
      <c r="R238" s="47">
        <v>37.5</v>
      </c>
      <c r="S238" s="47">
        <v>0.13</v>
      </c>
      <c r="T238" s="47" t="s">
        <v>6961</v>
      </c>
      <c r="U238" s="47">
        <v>19.5</v>
      </c>
      <c r="V238">
        <f t="shared" si="9"/>
        <v>189</v>
      </c>
      <c r="W238">
        <f t="shared" si="10"/>
        <v>19.5</v>
      </c>
      <c r="X238">
        <f t="shared" si="11"/>
        <v>0.10317460317460317</v>
      </c>
      <c r="AA238" s="64">
        <v>61454</v>
      </c>
      <c r="AB238">
        <v>0.10317460317460317</v>
      </c>
    </row>
    <row r="239" spans="1:28" x14ac:dyDescent="0.25">
      <c r="A239" s="125"/>
      <c r="B239" s="64" t="s">
        <v>1234</v>
      </c>
      <c r="C239" s="64">
        <v>61446</v>
      </c>
      <c r="D239" s="44">
        <v>0</v>
      </c>
      <c r="E239" s="44">
        <v>0</v>
      </c>
      <c r="F239" s="44">
        <v>0</v>
      </c>
      <c r="G239" s="44">
        <v>0</v>
      </c>
      <c r="H239" s="44">
        <v>0</v>
      </c>
      <c r="I239" s="44">
        <v>0</v>
      </c>
      <c r="J239" s="46">
        <v>10</v>
      </c>
      <c r="K239" s="46">
        <v>0</v>
      </c>
      <c r="L239" s="46">
        <v>0</v>
      </c>
      <c r="M239" s="46">
        <v>0</v>
      </c>
      <c r="N239" s="46">
        <v>0</v>
      </c>
      <c r="O239" s="46">
        <v>0</v>
      </c>
      <c r="P239" s="47">
        <v>200</v>
      </c>
      <c r="Q239" s="47">
        <v>0</v>
      </c>
      <c r="R239" s="47">
        <v>50</v>
      </c>
      <c r="S239" s="47">
        <v>0.13</v>
      </c>
      <c r="T239" s="47" t="s">
        <v>6961</v>
      </c>
      <c r="U239" s="47">
        <v>26</v>
      </c>
      <c r="V239">
        <f t="shared" si="9"/>
        <v>210</v>
      </c>
      <c r="W239">
        <f t="shared" si="10"/>
        <v>26</v>
      </c>
      <c r="X239">
        <f t="shared" si="11"/>
        <v>0.12380952380952381</v>
      </c>
      <c r="AA239" s="64">
        <v>61446</v>
      </c>
      <c r="AB239">
        <v>0.12380952380952381</v>
      </c>
    </row>
    <row r="240" spans="1:28" x14ac:dyDescent="0.25">
      <c r="A240" s="125"/>
      <c r="B240" s="64" t="s">
        <v>1224</v>
      </c>
      <c r="C240" s="64">
        <v>61429</v>
      </c>
      <c r="D240" s="44">
        <v>0</v>
      </c>
      <c r="E240" s="44">
        <v>0</v>
      </c>
      <c r="F240" s="44">
        <v>0</v>
      </c>
      <c r="G240" s="44">
        <v>0</v>
      </c>
      <c r="H240" s="44">
        <v>0</v>
      </c>
      <c r="I240" s="44">
        <v>0</v>
      </c>
      <c r="J240" s="46">
        <v>30</v>
      </c>
      <c r="K240" s="46">
        <v>0</v>
      </c>
      <c r="L240" s="46">
        <v>0</v>
      </c>
      <c r="M240" s="46">
        <v>0</v>
      </c>
      <c r="N240" s="46">
        <v>0</v>
      </c>
      <c r="O240" s="46">
        <v>0</v>
      </c>
      <c r="P240" s="47">
        <v>70</v>
      </c>
      <c r="Q240" s="47">
        <v>0</v>
      </c>
      <c r="R240" s="47">
        <v>17.5</v>
      </c>
      <c r="S240" s="47">
        <v>0.13</v>
      </c>
      <c r="T240" s="47" t="s">
        <v>6961</v>
      </c>
      <c r="U240" s="47">
        <v>9.1</v>
      </c>
      <c r="V240">
        <f t="shared" si="9"/>
        <v>100</v>
      </c>
      <c r="W240">
        <f t="shared" si="10"/>
        <v>9.1</v>
      </c>
      <c r="X240">
        <f t="shared" si="11"/>
        <v>9.0999999999999998E-2</v>
      </c>
      <c r="AA240" s="64">
        <v>61429</v>
      </c>
      <c r="AB240">
        <v>9.0999999999999998E-2</v>
      </c>
    </row>
    <row r="241" spans="1:28" x14ac:dyDescent="0.25">
      <c r="A241" s="125"/>
      <c r="B241" s="64" t="s">
        <v>1217</v>
      </c>
      <c r="C241" s="64">
        <v>61418</v>
      </c>
      <c r="D241" s="44">
        <v>0</v>
      </c>
      <c r="E241" s="44">
        <v>0</v>
      </c>
      <c r="F241" s="44">
        <v>0</v>
      </c>
      <c r="G241" s="44">
        <v>0</v>
      </c>
      <c r="H241" s="44">
        <v>0</v>
      </c>
      <c r="I241" s="44">
        <v>0</v>
      </c>
      <c r="J241" s="46">
        <v>80</v>
      </c>
      <c r="K241" s="46">
        <v>0</v>
      </c>
      <c r="L241" s="46">
        <v>0</v>
      </c>
      <c r="M241" s="46">
        <v>0</v>
      </c>
      <c r="N241" s="46">
        <v>0</v>
      </c>
      <c r="O241" s="46">
        <v>0</v>
      </c>
      <c r="P241" s="47">
        <v>80</v>
      </c>
      <c r="Q241" s="47">
        <v>0</v>
      </c>
      <c r="R241" s="47">
        <v>0</v>
      </c>
      <c r="S241" s="47">
        <v>0</v>
      </c>
      <c r="T241" s="47">
        <v>0</v>
      </c>
      <c r="U241" s="47">
        <v>0</v>
      </c>
      <c r="V241">
        <f t="shared" si="9"/>
        <v>160</v>
      </c>
      <c r="W241">
        <f t="shared" si="10"/>
        <v>0</v>
      </c>
      <c r="X241">
        <f t="shared" si="11"/>
        <v>0</v>
      </c>
      <c r="AA241" s="64">
        <v>61418</v>
      </c>
      <c r="AB241">
        <v>0</v>
      </c>
    </row>
    <row r="242" spans="1:28" x14ac:dyDescent="0.25">
      <c r="A242" s="125"/>
      <c r="B242" s="64" t="s">
        <v>2966</v>
      </c>
      <c r="C242" s="64">
        <v>61412</v>
      </c>
      <c r="D242" s="44">
        <v>0</v>
      </c>
      <c r="E242" s="44">
        <v>0</v>
      </c>
      <c r="F242" s="44">
        <v>0</v>
      </c>
      <c r="G242" s="44">
        <v>0</v>
      </c>
      <c r="H242" s="44">
        <v>0</v>
      </c>
      <c r="I242" s="44">
        <v>0</v>
      </c>
      <c r="J242" s="46">
        <v>250</v>
      </c>
      <c r="K242" s="46">
        <v>0</v>
      </c>
      <c r="L242" s="46">
        <v>0</v>
      </c>
      <c r="M242" s="46">
        <v>0</v>
      </c>
      <c r="N242" s="46">
        <v>0</v>
      </c>
      <c r="O242" s="46">
        <v>0</v>
      </c>
      <c r="P242" s="47">
        <v>250</v>
      </c>
      <c r="Q242" s="47">
        <v>0</v>
      </c>
      <c r="R242" s="47">
        <v>62.5</v>
      </c>
      <c r="S242" s="47">
        <v>0.13</v>
      </c>
      <c r="T242" s="47" t="s">
        <v>6961</v>
      </c>
      <c r="U242" s="47">
        <v>32.5</v>
      </c>
      <c r="V242">
        <f t="shared" si="9"/>
        <v>500</v>
      </c>
      <c r="W242">
        <f t="shared" si="10"/>
        <v>32.5</v>
      </c>
      <c r="X242">
        <f t="shared" si="11"/>
        <v>6.5000000000000002E-2</v>
      </c>
      <c r="AA242" s="64">
        <v>61412</v>
      </c>
      <c r="AB242">
        <v>6.5000000000000002E-2</v>
      </c>
    </row>
    <row r="243" spans="1:28" x14ac:dyDescent="0.25">
      <c r="A243" s="125"/>
      <c r="B243" s="64" t="s">
        <v>1229</v>
      </c>
      <c r="C243" s="64">
        <v>61437</v>
      </c>
      <c r="D243" s="44">
        <v>100</v>
      </c>
      <c r="E243" s="44">
        <v>0</v>
      </c>
      <c r="F243" s="44">
        <v>0</v>
      </c>
      <c r="G243" s="44">
        <v>0</v>
      </c>
      <c r="H243" s="44">
        <v>0</v>
      </c>
      <c r="I243" s="44">
        <v>0</v>
      </c>
      <c r="J243" s="46">
        <v>20</v>
      </c>
      <c r="K243" s="46">
        <v>0</v>
      </c>
      <c r="L243" s="46">
        <v>0</v>
      </c>
      <c r="M243" s="46">
        <v>0</v>
      </c>
      <c r="N243" s="46">
        <v>0</v>
      </c>
      <c r="O243" s="46">
        <v>0</v>
      </c>
      <c r="P243" s="47">
        <v>200</v>
      </c>
      <c r="Q243" s="47">
        <v>0</v>
      </c>
      <c r="R243" s="47">
        <v>50</v>
      </c>
      <c r="S243" s="47">
        <v>0.13</v>
      </c>
      <c r="T243" s="47" t="s">
        <v>6961</v>
      </c>
      <c r="U243" s="47">
        <v>26</v>
      </c>
      <c r="V243">
        <f t="shared" si="9"/>
        <v>320</v>
      </c>
      <c r="W243">
        <f t="shared" si="10"/>
        <v>26</v>
      </c>
      <c r="X243">
        <f t="shared" si="11"/>
        <v>8.1250000000000003E-2</v>
      </c>
      <c r="AA243" s="64">
        <v>61437</v>
      </c>
      <c r="AB243">
        <v>8.1250000000000003E-2</v>
      </c>
    </row>
    <row r="244" spans="1:28" x14ac:dyDescent="0.25">
      <c r="A244" s="125"/>
      <c r="B244" s="64" t="s">
        <v>1242</v>
      </c>
      <c r="C244" s="64">
        <v>61459</v>
      </c>
      <c r="D244" s="44">
        <v>0</v>
      </c>
      <c r="E244" s="44">
        <v>0</v>
      </c>
      <c r="F244" s="44">
        <v>0</v>
      </c>
      <c r="G244" s="44">
        <v>0</v>
      </c>
      <c r="H244" s="44">
        <v>0</v>
      </c>
      <c r="I244" s="44">
        <v>0</v>
      </c>
      <c r="J244" s="46">
        <v>100</v>
      </c>
      <c r="K244" s="46">
        <v>0</v>
      </c>
      <c r="L244" s="46">
        <v>25</v>
      </c>
      <c r="M244" s="46">
        <v>0.13</v>
      </c>
      <c r="N244" s="46" t="s">
        <v>6961</v>
      </c>
      <c r="O244" s="46">
        <v>13</v>
      </c>
      <c r="P244" s="47">
        <v>200</v>
      </c>
      <c r="Q244" s="47">
        <v>0</v>
      </c>
      <c r="R244" s="47">
        <v>50</v>
      </c>
      <c r="S244" s="47">
        <v>0.13</v>
      </c>
      <c r="T244" s="47" t="s">
        <v>6961</v>
      </c>
      <c r="U244" s="47">
        <v>26</v>
      </c>
      <c r="V244">
        <f t="shared" si="9"/>
        <v>300</v>
      </c>
      <c r="W244">
        <f t="shared" si="10"/>
        <v>39</v>
      </c>
      <c r="X244">
        <f t="shared" si="11"/>
        <v>0.13</v>
      </c>
      <c r="AA244" s="64">
        <v>61459</v>
      </c>
      <c r="AB244">
        <v>0.13</v>
      </c>
    </row>
    <row r="245" spans="1:28" x14ac:dyDescent="0.25">
      <c r="A245" s="125"/>
      <c r="B245" s="64" t="s">
        <v>1201</v>
      </c>
      <c r="C245" s="64">
        <v>61244</v>
      </c>
      <c r="D245" s="44">
        <v>0.3</v>
      </c>
      <c r="E245" s="44">
        <v>0</v>
      </c>
      <c r="F245" s="44">
        <v>0</v>
      </c>
      <c r="G245" s="44">
        <v>0</v>
      </c>
      <c r="H245" s="44">
        <v>0</v>
      </c>
      <c r="I245" s="44">
        <v>0</v>
      </c>
      <c r="J245" s="46">
        <v>50</v>
      </c>
      <c r="K245" s="46">
        <v>12.5</v>
      </c>
      <c r="L245" s="46">
        <v>25</v>
      </c>
      <c r="M245" s="46">
        <v>0.375</v>
      </c>
      <c r="N245" s="46" t="s">
        <v>6958</v>
      </c>
      <c r="O245" s="46">
        <v>18.75</v>
      </c>
      <c r="P245" s="47">
        <v>100</v>
      </c>
      <c r="Q245" s="47">
        <v>0</v>
      </c>
      <c r="R245" s="47">
        <v>0</v>
      </c>
      <c r="S245" s="47">
        <v>0</v>
      </c>
      <c r="T245" s="47">
        <v>0</v>
      </c>
      <c r="U245" s="47">
        <v>0</v>
      </c>
      <c r="V245">
        <f t="shared" si="9"/>
        <v>150.30000000000001</v>
      </c>
      <c r="W245">
        <f t="shared" si="10"/>
        <v>18.75</v>
      </c>
      <c r="X245">
        <f t="shared" si="11"/>
        <v>0.124750499001996</v>
      </c>
      <c r="AA245" s="64">
        <v>61244</v>
      </c>
      <c r="AB245">
        <v>0.124750499001996</v>
      </c>
    </row>
    <row r="246" spans="1:28" x14ac:dyDescent="0.25">
      <c r="A246" s="125"/>
      <c r="B246" s="64" t="s">
        <v>1204</v>
      </c>
      <c r="C246" s="64">
        <v>61277</v>
      </c>
      <c r="D246" s="44">
        <v>0</v>
      </c>
      <c r="E246" s="44">
        <v>0</v>
      </c>
      <c r="F246" s="44">
        <v>0</v>
      </c>
      <c r="G246" s="44">
        <v>0</v>
      </c>
      <c r="H246" s="44">
        <v>0</v>
      </c>
      <c r="I246" s="44">
        <v>0</v>
      </c>
      <c r="J246" s="46">
        <v>1</v>
      </c>
      <c r="K246" s="46">
        <v>0</v>
      </c>
      <c r="L246" s="46">
        <v>0.25</v>
      </c>
      <c r="M246" s="46">
        <v>0.13</v>
      </c>
      <c r="N246" s="46" t="s">
        <v>6961</v>
      </c>
      <c r="O246" s="46">
        <v>0.13</v>
      </c>
      <c r="P246" s="47">
        <v>40</v>
      </c>
      <c r="Q246" s="47">
        <v>0</v>
      </c>
      <c r="R246" s="47">
        <v>0</v>
      </c>
      <c r="S246" s="47">
        <v>0</v>
      </c>
      <c r="T246" s="47">
        <v>0</v>
      </c>
      <c r="U246" s="47">
        <v>0</v>
      </c>
      <c r="V246">
        <f t="shared" si="9"/>
        <v>41</v>
      </c>
      <c r="W246">
        <f t="shared" si="10"/>
        <v>0.13</v>
      </c>
      <c r="X246">
        <f t="shared" si="11"/>
        <v>3.1707317073170734E-3</v>
      </c>
      <c r="AA246" s="64">
        <v>61277</v>
      </c>
      <c r="AB246">
        <v>3.1707317073170734E-3</v>
      </c>
    </row>
    <row r="247" spans="1:28" x14ac:dyDescent="0.25">
      <c r="A247" s="125"/>
      <c r="B247" s="64" t="s">
        <v>1260</v>
      </c>
      <c r="C247" s="64">
        <v>61488</v>
      </c>
      <c r="D247" s="44">
        <v>5</v>
      </c>
      <c r="E247" s="44">
        <v>0</v>
      </c>
      <c r="F247" s="44">
        <v>0</v>
      </c>
      <c r="G247" s="44">
        <v>0</v>
      </c>
      <c r="H247" s="44">
        <v>0</v>
      </c>
      <c r="I247" s="44">
        <v>0</v>
      </c>
      <c r="J247" s="46">
        <v>200</v>
      </c>
      <c r="K247" s="46">
        <v>0</v>
      </c>
      <c r="L247" s="46">
        <v>0</v>
      </c>
      <c r="M247" s="46">
        <v>0</v>
      </c>
      <c r="N247" s="46">
        <v>0</v>
      </c>
      <c r="O247" s="46">
        <v>0</v>
      </c>
      <c r="P247" s="47">
        <v>20</v>
      </c>
      <c r="Q247" s="47">
        <v>0</v>
      </c>
      <c r="R247" s="47">
        <v>5</v>
      </c>
      <c r="S247" s="47">
        <v>0.13</v>
      </c>
      <c r="T247" s="47" t="s">
        <v>6961</v>
      </c>
      <c r="U247" s="47">
        <v>2.6</v>
      </c>
      <c r="V247">
        <f t="shared" si="9"/>
        <v>225</v>
      </c>
      <c r="W247">
        <f t="shared" si="10"/>
        <v>2.6</v>
      </c>
      <c r="X247">
        <f t="shared" si="11"/>
        <v>1.1555555555555557E-2</v>
      </c>
      <c r="AA247" s="64">
        <v>61488</v>
      </c>
      <c r="AB247">
        <v>1.1555555555555557E-2</v>
      </c>
    </row>
    <row r="248" spans="1:28" x14ac:dyDescent="0.25">
      <c r="A248" s="125"/>
      <c r="B248" s="64" t="s">
        <v>1207</v>
      </c>
      <c r="C248" s="64">
        <v>61335</v>
      </c>
      <c r="D248" s="44">
        <v>1</v>
      </c>
      <c r="E248" s="44">
        <v>0</v>
      </c>
      <c r="F248" s="44">
        <v>0</v>
      </c>
      <c r="G248" s="44">
        <v>0</v>
      </c>
      <c r="H248" s="44">
        <v>0</v>
      </c>
      <c r="I248" s="44">
        <v>0</v>
      </c>
      <c r="J248" s="46">
        <v>4</v>
      </c>
      <c r="K248" s="46">
        <v>2</v>
      </c>
      <c r="L248" s="46">
        <v>3</v>
      </c>
      <c r="M248" s="46">
        <v>0.625</v>
      </c>
      <c r="N248" s="46" t="s">
        <v>6960</v>
      </c>
      <c r="O248" s="46">
        <v>2.5</v>
      </c>
      <c r="P248" s="47">
        <v>20</v>
      </c>
      <c r="Q248" s="47">
        <v>0</v>
      </c>
      <c r="R248" s="47">
        <v>0</v>
      </c>
      <c r="S248" s="47">
        <v>0</v>
      </c>
      <c r="T248" s="47">
        <v>0</v>
      </c>
      <c r="U248" s="47">
        <v>0</v>
      </c>
      <c r="V248">
        <f t="shared" si="9"/>
        <v>25</v>
      </c>
      <c r="W248">
        <f t="shared" si="10"/>
        <v>2.5</v>
      </c>
      <c r="X248">
        <f t="shared" si="11"/>
        <v>0.1</v>
      </c>
      <c r="AA248" s="64">
        <v>61335</v>
      </c>
      <c r="AB248">
        <v>0.1</v>
      </c>
    </row>
    <row r="249" spans="1:28" x14ac:dyDescent="0.25">
      <c r="A249" s="125"/>
      <c r="B249" s="64" t="s">
        <v>1196</v>
      </c>
      <c r="C249" s="64">
        <v>61159</v>
      </c>
      <c r="D249" s="44">
        <v>0</v>
      </c>
      <c r="E249" s="44">
        <v>0</v>
      </c>
      <c r="F249" s="44">
        <v>0</v>
      </c>
      <c r="G249" s="44">
        <v>0</v>
      </c>
      <c r="H249" s="44">
        <v>0</v>
      </c>
      <c r="I249" s="44">
        <v>0</v>
      </c>
      <c r="J249" s="46">
        <v>100</v>
      </c>
      <c r="K249" s="46">
        <v>0</v>
      </c>
      <c r="L249" s="46">
        <v>25</v>
      </c>
      <c r="M249" s="46">
        <v>0.13</v>
      </c>
      <c r="N249" s="46" t="s">
        <v>6961</v>
      </c>
      <c r="O249" s="46">
        <v>13</v>
      </c>
      <c r="P249" s="47">
        <v>20</v>
      </c>
      <c r="Q249" s="47">
        <v>0</v>
      </c>
      <c r="R249" s="47">
        <v>5</v>
      </c>
      <c r="S249" s="47">
        <v>0.13</v>
      </c>
      <c r="T249" s="47" t="s">
        <v>6961</v>
      </c>
      <c r="U249" s="47">
        <v>2.6</v>
      </c>
      <c r="V249">
        <f t="shared" si="9"/>
        <v>120</v>
      </c>
      <c r="W249">
        <f t="shared" si="10"/>
        <v>15.6</v>
      </c>
      <c r="X249">
        <f t="shared" si="11"/>
        <v>0.13</v>
      </c>
      <c r="AA249" s="64">
        <v>61159</v>
      </c>
      <c r="AB249">
        <v>0.13</v>
      </c>
    </row>
    <row r="250" spans="1:28" x14ac:dyDescent="0.25">
      <c r="A250" s="125"/>
      <c r="B250" s="64" t="s">
        <v>1262</v>
      </c>
      <c r="C250" s="64">
        <v>61491</v>
      </c>
      <c r="D250" s="44">
        <v>0</v>
      </c>
      <c r="E250" s="44">
        <v>0</v>
      </c>
      <c r="F250" s="44">
        <v>0</v>
      </c>
      <c r="G250" s="44">
        <v>0</v>
      </c>
      <c r="H250" s="44">
        <v>0</v>
      </c>
      <c r="I250" s="44">
        <v>0</v>
      </c>
      <c r="J250" s="46">
        <v>1</v>
      </c>
      <c r="K250" s="46">
        <v>0</v>
      </c>
      <c r="L250" s="46">
        <v>0.25</v>
      </c>
      <c r="M250" s="46">
        <v>0.13</v>
      </c>
      <c r="N250" s="46" t="s">
        <v>6961</v>
      </c>
      <c r="O250" s="46">
        <v>0.13</v>
      </c>
      <c r="P250" s="47">
        <v>70</v>
      </c>
      <c r="Q250" s="47">
        <v>0</v>
      </c>
      <c r="R250" s="47">
        <v>0</v>
      </c>
      <c r="S250" s="47">
        <v>0</v>
      </c>
      <c r="T250" s="47">
        <v>0</v>
      </c>
      <c r="U250" s="47">
        <v>0</v>
      </c>
      <c r="V250">
        <f t="shared" si="9"/>
        <v>71</v>
      </c>
      <c r="W250">
        <f t="shared" si="10"/>
        <v>0.13</v>
      </c>
      <c r="X250">
        <f t="shared" si="11"/>
        <v>1.8309859154929577E-3</v>
      </c>
      <c r="AA250" s="64">
        <v>61491</v>
      </c>
      <c r="AB250">
        <v>1.8309859154929577E-3</v>
      </c>
    </row>
    <row r="251" spans="1:28" x14ac:dyDescent="0.25">
      <c r="A251" s="125"/>
      <c r="B251" s="64" t="s">
        <v>1263</v>
      </c>
      <c r="C251" s="64">
        <v>61493</v>
      </c>
      <c r="D251" s="44">
        <v>1.5</v>
      </c>
      <c r="E251" s="44">
        <v>0</v>
      </c>
      <c r="F251" s="44">
        <v>0</v>
      </c>
      <c r="G251" s="44">
        <v>0</v>
      </c>
      <c r="H251" s="44">
        <v>0</v>
      </c>
      <c r="I251" s="44">
        <v>0</v>
      </c>
      <c r="J251" s="46">
        <v>200</v>
      </c>
      <c r="K251" s="46">
        <v>0</v>
      </c>
      <c r="L251" s="46">
        <v>50</v>
      </c>
      <c r="M251" s="46">
        <v>0.13</v>
      </c>
      <c r="N251" s="46" t="s">
        <v>6961</v>
      </c>
      <c r="O251" s="46">
        <v>26</v>
      </c>
      <c r="P251" s="47">
        <v>200</v>
      </c>
      <c r="Q251" s="47">
        <v>0</v>
      </c>
      <c r="R251" s="47">
        <v>50</v>
      </c>
      <c r="S251" s="47">
        <v>0.13</v>
      </c>
      <c r="T251" s="47" t="s">
        <v>6961</v>
      </c>
      <c r="U251" s="47">
        <v>26</v>
      </c>
      <c r="V251">
        <f t="shared" si="9"/>
        <v>401.5</v>
      </c>
      <c r="W251">
        <f t="shared" si="10"/>
        <v>52</v>
      </c>
      <c r="X251">
        <f t="shared" si="11"/>
        <v>0.1295143212951432</v>
      </c>
      <c r="AA251" s="64">
        <v>61493</v>
      </c>
      <c r="AB251">
        <v>0.1295143212951432</v>
      </c>
    </row>
    <row r="252" spans="1:28" x14ac:dyDescent="0.25">
      <c r="A252" s="125"/>
      <c r="B252" s="64" t="s">
        <v>1265</v>
      </c>
      <c r="C252" s="64">
        <v>61496</v>
      </c>
      <c r="D252" s="44">
        <v>300</v>
      </c>
      <c r="E252" s="44">
        <v>0</v>
      </c>
      <c r="F252" s="44">
        <v>75</v>
      </c>
      <c r="G252" s="44">
        <v>0.13</v>
      </c>
      <c r="H252" s="44" t="s">
        <v>6961</v>
      </c>
      <c r="I252" s="44">
        <v>39</v>
      </c>
      <c r="J252" s="46">
        <v>150</v>
      </c>
      <c r="K252" s="46">
        <v>0</v>
      </c>
      <c r="L252" s="46">
        <v>37.5</v>
      </c>
      <c r="M252" s="46">
        <v>0.13</v>
      </c>
      <c r="N252" s="46" t="s">
        <v>6961</v>
      </c>
      <c r="O252" s="46">
        <v>19.5</v>
      </c>
      <c r="P252" s="47">
        <v>300</v>
      </c>
      <c r="Q252" s="47">
        <v>0</v>
      </c>
      <c r="R252" s="47">
        <v>75</v>
      </c>
      <c r="S252" s="47">
        <v>0.13</v>
      </c>
      <c r="T252" s="47" t="s">
        <v>6961</v>
      </c>
      <c r="U252" s="47">
        <v>39</v>
      </c>
      <c r="V252">
        <f t="shared" si="9"/>
        <v>750</v>
      </c>
      <c r="W252">
        <f t="shared" si="10"/>
        <v>97.5</v>
      </c>
      <c r="X252">
        <f t="shared" si="11"/>
        <v>0.13</v>
      </c>
      <c r="AA252" s="64">
        <v>61496</v>
      </c>
      <c r="AB252">
        <v>0.13</v>
      </c>
    </row>
    <row r="253" spans="1:28" x14ac:dyDescent="0.25">
      <c r="A253" s="125"/>
      <c r="B253" s="64" t="s">
        <v>2965</v>
      </c>
      <c r="C253" s="64">
        <v>61323</v>
      </c>
      <c r="D253" s="44">
        <v>3</v>
      </c>
      <c r="E253" s="44">
        <v>0</v>
      </c>
      <c r="F253" s="44">
        <v>0</v>
      </c>
      <c r="G253" s="44">
        <v>0</v>
      </c>
      <c r="H253" s="44">
        <v>0</v>
      </c>
      <c r="I253" s="44">
        <v>0</v>
      </c>
      <c r="J253" s="46">
        <v>3</v>
      </c>
      <c r="K253" s="46">
        <v>0</v>
      </c>
      <c r="L253" s="46">
        <v>0</v>
      </c>
      <c r="M253" s="46">
        <v>0</v>
      </c>
      <c r="N253" s="46">
        <v>0</v>
      </c>
      <c r="O253" s="46">
        <v>0</v>
      </c>
      <c r="P253" s="47">
        <v>50</v>
      </c>
      <c r="Q253" s="47">
        <v>0</v>
      </c>
      <c r="R253" s="47">
        <v>0</v>
      </c>
      <c r="S253" s="47">
        <v>0</v>
      </c>
      <c r="T253" s="47">
        <v>0</v>
      </c>
      <c r="U253" s="47">
        <v>0</v>
      </c>
      <c r="V253">
        <f t="shared" si="9"/>
        <v>56</v>
      </c>
      <c r="W253">
        <f t="shared" si="10"/>
        <v>0</v>
      </c>
      <c r="X253">
        <f t="shared" si="11"/>
        <v>0</v>
      </c>
      <c r="AA253" s="64">
        <v>61323</v>
      </c>
      <c r="AB253">
        <v>0</v>
      </c>
    </row>
    <row r="254" spans="1:28" x14ac:dyDescent="0.25">
      <c r="A254" s="125"/>
      <c r="B254" s="64" t="s">
        <v>1215</v>
      </c>
      <c r="C254" s="64">
        <v>61415</v>
      </c>
      <c r="D254" s="44">
        <v>50</v>
      </c>
      <c r="E254" s="44">
        <v>0</v>
      </c>
      <c r="F254" s="44">
        <v>0</v>
      </c>
      <c r="G254" s="44">
        <v>0</v>
      </c>
      <c r="H254" s="44">
        <v>0</v>
      </c>
      <c r="I254" s="44">
        <v>0</v>
      </c>
      <c r="J254" s="46">
        <v>100</v>
      </c>
      <c r="K254" s="46">
        <v>75</v>
      </c>
      <c r="L254" s="46">
        <v>100</v>
      </c>
      <c r="M254" s="46">
        <v>0.87</v>
      </c>
      <c r="N254" s="46" t="s">
        <v>6959</v>
      </c>
      <c r="O254" s="46">
        <v>87</v>
      </c>
      <c r="P254" s="47">
        <v>1000</v>
      </c>
      <c r="Q254" s="47">
        <v>0</v>
      </c>
      <c r="R254" s="47">
        <v>250</v>
      </c>
      <c r="S254" s="47">
        <v>0.13</v>
      </c>
      <c r="T254" s="47" t="s">
        <v>6961</v>
      </c>
      <c r="U254" s="47">
        <v>130</v>
      </c>
      <c r="V254">
        <f t="shared" si="9"/>
        <v>1150</v>
      </c>
      <c r="W254">
        <f t="shared" si="10"/>
        <v>217</v>
      </c>
      <c r="X254">
        <f t="shared" si="11"/>
        <v>0.18869565217391304</v>
      </c>
      <c r="AA254" s="64">
        <v>61415</v>
      </c>
      <c r="AB254">
        <v>0.18869565217391304</v>
      </c>
    </row>
    <row r="255" spans="1:28" x14ac:dyDescent="0.25">
      <c r="A255" s="125"/>
      <c r="B255" s="64" t="s">
        <v>1222</v>
      </c>
      <c r="C255" s="64">
        <v>61426</v>
      </c>
      <c r="D255" s="44">
        <v>10</v>
      </c>
      <c r="E255" s="44">
        <v>0</v>
      </c>
      <c r="F255" s="44">
        <v>2.5</v>
      </c>
      <c r="G255" s="44">
        <v>0.13</v>
      </c>
      <c r="H255" s="44" t="s">
        <v>6961</v>
      </c>
      <c r="I255" s="44">
        <v>1.3</v>
      </c>
      <c r="J255" s="46">
        <v>100</v>
      </c>
      <c r="K255" s="46">
        <v>75</v>
      </c>
      <c r="L255" s="46">
        <v>100</v>
      </c>
      <c r="M255" s="46">
        <v>0.87</v>
      </c>
      <c r="N255" s="46" t="s">
        <v>6959</v>
      </c>
      <c r="O255" s="46">
        <v>87</v>
      </c>
      <c r="P255" s="47">
        <v>300</v>
      </c>
      <c r="Q255" s="47">
        <v>0</v>
      </c>
      <c r="R255" s="47">
        <v>75</v>
      </c>
      <c r="S255" s="47">
        <v>0.13</v>
      </c>
      <c r="T255" s="47" t="s">
        <v>6961</v>
      </c>
      <c r="U255" s="47">
        <v>39</v>
      </c>
      <c r="V255">
        <f t="shared" si="9"/>
        <v>410</v>
      </c>
      <c r="W255">
        <f t="shared" si="10"/>
        <v>127.3</v>
      </c>
      <c r="X255">
        <f t="shared" si="11"/>
        <v>0.31048780487804878</v>
      </c>
      <c r="AA255" s="64">
        <v>61426</v>
      </c>
      <c r="AB255">
        <v>0.31048780487804878</v>
      </c>
    </row>
    <row r="256" spans="1:28" x14ac:dyDescent="0.25">
      <c r="A256" s="125"/>
      <c r="B256" s="64" t="s">
        <v>2963</v>
      </c>
      <c r="C256" s="64">
        <v>61183</v>
      </c>
      <c r="D256" s="44">
        <v>0</v>
      </c>
      <c r="E256" s="44">
        <v>0</v>
      </c>
      <c r="F256" s="44">
        <v>0</v>
      </c>
      <c r="G256" s="44">
        <v>0</v>
      </c>
      <c r="H256" s="44">
        <v>0</v>
      </c>
      <c r="I256" s="44">
        <v>0</v>
      </c>
      <c r="J256" s="46">
        <v>2</v>
      </c>
      <c r="K256" s="46">
        <v>0</v>
      </c>
      <c r="L256" s="46">
        <v>0</v>
      </c>
      <c r="M256" s="46">
        <v>0</v>
      </c>
      <c r="N256" s="46">
        <v>0</v>
      </c>
      <c r="O256" s="46">
        <v>0</v>
      </c>
      <c r="P256" s="47">
        <v>2</v>
      </c>
      <c r="Q256" s="47">
        <v>0</v>
      </c>
      <c r="R256" s="47">
        <v>0</v>
      </c>
      <c r="S256" s="47">
        <v>0</v>
      </c>
      <c r="T256" s="47">
        <v>0</v>
      </c>
      <c r="U256" s="47">
        <v>0</v>
      </c>
      <c r="V256">
        <f t="shared" si="9"/>
        <v>4</v>
      </c>
      <c r="W256">
        <f t="shared" si="10"/>
        <v>0</v>
      </c>
      <c r="X256">
        <f t="shared" si="11"/>
        <v>0</v>
      </c>
      <c r="AA256" s="64">
        <v>61183</v>
      </c>
      <c r="AB256">
        <v>0</v>
      </c>
    </row>
    <row r="257" spans="1:28" x14ac:dyDescent="0.25">
      <c r="A257" s="125"/>
      <c r="B257" s="64" t="s">
        <v>2973</v>
      </c>
      <c r="C257" s="64">
        <v>61037</v>
      </c>
      <c r="D257" s="44">
        <v>0</v>
      </c>
      <c r="E257" s="44">
        <v>0</v>
      </c>
      <c r="F257" s="44">
        <v>0</v>
      </c>
      <c r="G257" s="44">
        <v>0</v>
      </c>
      <c r="H257" s="44">
        <v>0</v>
      </c>
      <c r="I257" s="44">
        <v>0</v>
      </c>
      <c r="J257" s="46">
        <v>100</v>
      </c>
      <c r="K257" s="46">
        <v>0</v>
      </c>
      <c r="L257" s="46">
        <v>0</v>
      </c>
      <c r="M257" s="46">
        <v>0</v>
      </c>
      <c r="N257" s="46">
        <v>0</v>
      </c>
      <c r="O257" s="46">
        <v>0</v>
      </c>
      <c r="P257" s="47">
        <v>500</v>
      </c>
      <c r="Q257" s="47">
        <v>0</v>
      </c>
      <c r="R257" s="47">
        <v>0</v>
      </c>
      <c r="S257" s="47">
        <v>0</v>
      </c>
      <c r="T257" s="47">
        <v>0</v>
      </c>
      <c r="U257" s="47">
        <v>0</v>
      </c>
      <c r="V257">
        <f t="shared" si="9"/>
        <v>600</v>
      </c>
      <c r="W257">
        <f t="shared" si="10"/>
        <v>0</v>
      </c>
      <c r="X257">
        <f t="shared" si="11"/>
        <v>0</v>
      </c>
      <c r="AA257" s="64">
        <v>61037</v>
      </c>
      <c r="AB257">
        <v>0</v>
      </c>
    </row>
    <row r="258" spans="1:28" x14ac:dyDescent="0.25">
      <c r="A258" s="124" t="s">
        <v>1342</v>
      </c>
      <c r="B258" s="64" t="s">
        <v>1385</v>
      </c>
      <c r="C258" s="64">
        <v>63267</v>
      </c>
      <c r="D258" s="44">
        <v>0</v>
      </c>
      <c r="E258" s="44">
        <v>0</v>
      </c>
      <c r="F258" s="44">
        <v>0</v>
      </c>
      <c r="G258" s="44">
        <v>0</v>
      </c>
      <c r="H258" s="44">
        <v>0</v>
      </c>
      <c r="I258" s="44">
        <v>0</v>
      </c>
      <c r="J258" s="46">
        <v>3</v>
      </c>
      <c r="K258" s="46">
        <v>0</v>
      </c>
      <c r="L258" s="46">
        <v>0</v>
      </c>
      <c r="M258" s="46">
        <v>0</v>
      </c>
      <c r="N258" s="46">
        <v>0</v>
      </c>
      <c r="O258" s="46">
        <v>0</v>
      </c>
      <c r="P258" s="47">
        <v>20</v>
      </c>
      <c r="Q258" s="47">
        <v>0</v>
      </c>
      <c r="R258" s="47">
        <v>0</v>
      </c>
      <c r="S258" s="47">
        <v>0</v>
      </c>
      <c r="T258" s="47">
        <v>0</v>
      </c>
      <c r="U258" s="47">
        <v>0</v>
      </c>
      <c r="V258">
        <f t="shared" si="9"/>
        <v>23</v>
      </c>
      <c r="W258">
        <f t="shared" si="10"/>
        <v>0</v>
      </c>
      <c r="X258">
        <f t="shared" si="11"/>
        <v>0</v>
      </c>
      <c r="AA258" s="64">
        <v>63267</v>
      </c>
      <c r="AB258">
        <v>0</v>
      </c>
    </row>
    <row r="259" spans="1:28" x14ac:dyDescent="0.25">
      <c r="A259" s="125"/>
      <c r="B259" s="64" t="s">
        <v>1388</v>
      </c>
      <c r="C259" s="64">
        <v>63277</v>
      </c>
      <c r="D259" s="44">
        <v>250</v>
      </c>
      <c r="E259" s="44">
        <v>0</v>
      </c>
      <c r="F259" s="44">
        <v>0</v>
      </c>
      <c r="G259" s="44">
        <v>0</v>
      </c>
      <c r="H259" s="44">
        <v>0</v>
      </c>
      <c r="I259" s="44">
        <v>0</v>
      </c>
      <c r="J259" s="46">
        <v>0.5</v>
      </c>
      <c r="K259" s="46">
        <v>0</v>
      </c>
      <c r="L259" s="46">
        <v>0</v>
      </c>
      <c r="M259" s="46">
        <v>0</v>
      </c>
      <c r="N259" s="46">
        <v>0</v>
      </c>
      <c r="O259" s="46">
        <v>0</v>
      </c>
      <c r="P259" s="47">
        <v>250</v>
      </c>
      <c r="Q259" s="47">
        <v>0</v>
      </c>
      <c r="R259" s="47">
        <v>0</v>
      </c>
      <c r="S259" s="47">
        <v>0</v>
      </c>
      <c r="T259" s="47">
        <v>0</v>
      </c>
      <c r="U259" s="47">
        <v>0</v>
      </c>
      <c r="V259">
        <f t="shared" si="9"/>
        <v>500.5</v>
      </c>
      <c r="W259">
        <f t="shared" si="10"/>
        <v>0</v>
      </c>
      <c r="X259">
        <f t="shared" si="11"/>
        <v>0</v>
      </c>
      <c r="AA259" s="64">
        <v>63277</v>
      </c>
      <c r="AB259">
        <v>0</v>
      </c>
    </row>
    <row r="260" spans="1:28" x14ac:dyDescent="0.25">
      <c r="A260" s="125"/>
      <c r="B260" s="64" t="s">
        <v>1353</v>
      </c>
      <c r="C260" s="64">
        <v>63147</v>
      </c>
      <c r="D260" s="44">
        <v>50</v>
      </c>
      <c r="E260" s="44">
        <v>0</v>
      </c>
      <c r="F260" s="44">
        <v>0</v>
      </c>
      <c r="G260" s="44">
        <v>0</v>
      </c>
      <c r="H260" s="44">
        <v>0</v>
      </c>
      <c r="I260" s="44">
        <v>0</v>
      </c>
      <c r="J260" s="46">
        <v>0.2</v>
      </c>
      <c r="K260" s="46">
        <v>0</v>
      </c>
      <c r="L260" s="46">
        <v>0</v>
      </c>
      <c r="M260" s="46">
        <v>0</v>
      </c>
      <c r="N260" s="46">
        <v>0</v>
      </c>
      <c r="O260" s="46">
        <v>0</v>
      </c>
      <c r="P260" s="47">
        <v>80</v>
      </c>
      <c r="Q260" s="47">
        <v>0</v>
      </c>
      <c r="R260" s="47">
        <v>0</v>
      </c>
      <c r="S260" s="47">
        <v>0</v>
      </c>
      <c r="T260" s="47">
        <v>0</v>
      </c>
      <c r="U260" s="47">
        <v>0</v>
      </c>
      <c r="V260">
        <f t="shared" si="9"/>
        <v>130.19999999999999</v>
      </c>
      <c r="W260">
        <f t="shared" si="10"/>
        <v>0</v>
      </c>
      <c r="X260">
        <f t="shared" si="11"/>
        <v>0</v>
      </c>
      <c r="AA260" s="64">
        <v>63147</v>
      </c>
      <c r="AB260">
        <v>0</v>
      </c>
    </row>
    <row r="261" spans="1:28" x14ac:dyDescent="0.25">
      <c r="A261" s="125"/>
      <c r="B261" s="64" t="s">
        <v>1395</v>
      </c>
      <c r="C261" s="64">
        <v>63298</v>
      </c>
      <c r="D261" s="44">
        <v>200</v>
      </c>
      <c r="E261" s="44">
        <v>0</v>
      </c>
      <c r="F261" s="44">
        <v>50</v>
      </c>
      <c r="G261" s="44">
        <v>0.13</v>
      </c>
      <c r="H261" s="44" t="s">
        <v>6961</v>
      </c>
      <c r="I261" s="44">
        <v>26</v>
      </c>
      <c r="J261" s="46">
        <v>0.5</v>
      </c>
      <c r="K261" s="46">
        <v>0</v>
      </c>
      <c r="L261" s="46">
        <v>0</v>
      </c>
      <c r="M261" s="46">
        <v>0</v>
      </c>
      <c r="N261" s="46">
        <v>0</v>
      </c>
      <c r="O261" s="46">
        <v>0</v>
      </c>
      <c r="P261" s="47">
        <v>100</v>
      </c>
      <c r="Q261" s="47">
        <v>0</v>
      </c>
      <c r="R261" s="47">
        <v>25</v>
      </c>
      <c r="S261" s="47">
        <v>0.13</v>
      </c>
      <c r="T261" s="47" t="s">
        <v>6961</v>
      </c>
      <c r="U261" s="47">
        <v>13</v>
      </c>
      <c r="V261">
        <f t="shared" ref="V261:V324" si="12">D261+J261+P261</f>
        <v>300.5</v>
      </c>
      <c r="W261">
        <f t="shared" ref="W261:W324" si="13">U261+O261+I261</f>
        <v>39</v>
      </c>
      <c r="X261">
        <f t="shared" ref="X261:X324" si="14">W261/V261</f>
        <v>0.12978369384359401</v>
      </c>
      <c r="AA261" s="64">
        <v>63298</v>
      </c>
      <c r="AB261">
        <v>0.12978369384359401</v>
      </c>
    </row>
    <row r="262" spans="1:28" x14ac:dyDescent="0.25">
      <c r="A262" s="125"/>
      <c r="B262" s="64" t="s">
        <v>1405</v>
      </c>
      <c r="C262" s="64">
        <v>63347</v>
      </c>
      <c r="D262" s="44">
        <v>500</v>
      </c>
      <c r="E262" s="44">
        <v>0</v>
      </c>
      <c r="F262" s="44">
        <v>125</v>
      </c>
      <c r="G262" s="44">
        <v>0.13</v>
      </c>
      <c r="H262" s="44" t="s">
        <v>6961</v>
      </c>
      <c r="I262" s="44">
        <v>65</v>
      </c>
      <c r="J262" s="46">
        <v>0</v>
      </c>
      <c r="K262" s="46">
        <v>0</v>
      </c>
      <c r="L262" s="46">
        <v>0</v>
      </c>
      <c r="M262" s="46">
        <v>0</v>
      </c>
      <c r="N262" s="46">
        <v>0</v>
      </c>
      <c r="O262" s="46">
        <v>0</v>
      </c>
      <c r="P262" s="47">
        <v>2</v>
      </c>
      <c r="Q262" s="47">
        <v>0</v>
      </c>
      <c r="R262" s="47">
        <v>0</v>
      </c>
      <c r="S262" s="47">
        <v>0</v>
      </c>
      <c r="T262" s="47">
        <v>0</v>
      </c>
      <c r="U262" s="47">
        <v>0</v>
      </c>
      <c r="V262">
        <f t="shared" si="12"/>
        <v>502</v>
      </c>
      <c r="W262">
        <f t="shared" si="13"/>
        <v>65</v>
      </c>
      <c r="X262">
        <f t="shared" si="14"/>
        <v>0.12948207171314741</v>
      </c>
      <c r="AA262" s="64">
        <v>63347</v>
      </c>
      <c r="AB262">
        <v>0.12948207171314741</v>
      </c>
    </row>
    <row r="263" spans="1:28" x14ac:dyDescent="0.25">
      <c r="A263" s="125"/>
      <c r="B263" s="64" t="s">
        <v>1400</v>
      </c>
      <c r="C263" s="64">
        <v>63327</v>
      </c>
      <c r="D263" s="44">
        <v>150</v>
      </c>
      <c r="E263" s="44">
        <v>0</v>
      </c>
      <c r="F263" s="44">
        <v>37.5</v>
      </c>
      <c r="G263" s="44">
        <v>0.13</v>
      </c>
      <c r="H263" s="44" t="s">
        <v>6961</v>
      </c>
      <c r="I263" s="44">
        <v>19.5</v>
      </c>
      <c r="J263" s="46">
        <v>0</v>
      </c>
      <c r="K263" s="46">
        <v>0</v>
      </c>
      <c r="L263" s="46">
        <v>0</v>
      </c>
      <c r="M263" s="46">
        <v>0</v>
      </c>
      <c r="N263" s="46">
        <v>0</v>
      </c>
      <c r="O263" s="46">
        <v>0</v>
      </c>
      <c r="P263" s="47">
        <v>100</v>
      </c>
      <c r="Q263" s="47">
        <v>0</v>
      </c>
      <c r="R263" s="47">
        <v>25</v>
      </c>
      <c r="S263" s="47">
        <v>0.13</v>
      </c>
      <c r="T263" s="47" t="s">
        <v>6961</v>
      </c>
      <c r="U263" s="47">
        <v>13</v>
      </c>
      <c r="V263">
        <f t="shared" si="12"/>
        <v>250</v>
      </c>
      <c r="W263">
        <f t="shared" si="13"/>
        <v>32.5</v>
      </c>
      <c r="X263">
        <f t="shared" si="14"/>
        <v>0.13</v>
      </c>
      <c r="AA263" s="64">
        <v>63327</v>
      </c>
      <c r="AB263">
        <v>0.13</v>
      </c>
    </row>
    <row r="264" spans="1:28" x14ac:dyDescent="0.25">
      <c r="A264" s="125"/>
      <c r="B264" s="64" t="s">
        <v>3002</v>
      </c>
      <c r="C264" s="64">
        <v>63167</v>
      </c>
      <c r="D264" s="44">
        <v>1400</v>
      </c>
      <c r="E264" s="44">
        <v>0</v>
      </c>
      <c r="F264" s="44">
        <v>350</v>
      </c>
      <c r="G264" s="44">
        <v>0.13</v>
      </c>
      <c r="H264" s="44" t="s">
        <v>6961</v>
      </c>
      <c r="I264" s="44">
        <v>182</v>
      </c>
      <c r="J264" s="46">
        <v>4</v>
      </c>
      <c r="K264" s="46">
        <v>0</v>
      </c>
      <c r="L264" s="46">
        <v>1</v>
      </c>
      <c r="M264" s="46">
        <v>0.13</v>
      </c>
      <c r="N264" s="46" t="s">
        <v>6961</v>
      </c>
      <c r="O264" s="46">
        <v>0.52</v>
      </c>
      <c r="P264" s="47">
        <v>100</v>
      </c>
      <c r="Q264" s="47">
        <v>0</v>
      </c>
      <c r="R264" s="47">
        <v>25</v>
      </c>
      <c r="S264" s="47">
        <v>0.13</v>
      </c>
      <c r="T264" s="47" t="s">
        <v>6961</v>
      </c>
      <c r="U264" s="47">
        <v>13</v>
      </c>
      <c r="V264">
        <f t="shared" si="12"/>
        <v>1504</v>
      </c>
      <c r="W264">
        <f t="shared" si="13"/>
        <v>195.52</v>
      </c>
      <c r="X264">
        <f t="shared" si="14"/>
        <v>0.13</v>
      </c>
      <c r="AA264" s="64">
        <v>63167</v>
      </c>
      <c r="AB264">
        <v>0.13</v>
      </c>
    </row>
    <row r="265" spans="1:28" x14ac:dyDescent="0.25">
      <c r="A265" s="125"/>
      <c r="B265" s="64" t="s">
        <v>1396</v>
      </c>
      <c r="C265" s="64">
        <v>63311</v>
      </c>
      <c r="D265" s="44">
        <v>400</v>
      </c>
      <c r="E265" s="44">
        <v>0</v>
      </c>
      <c r="F265" s="44">
        <v>100</v>
      </c>
      <c r="G265" s="44">
        <v>0.13</v>
      </c>
      <c r="H265" s="44" t="s">
        <v>6961</v>
      </c>
      <c r="I265" s="44">
        <v>52</v>
      </c>
      <c r="J265" s="46">
        <v>5</v>
      </c>
      <c r="K265" s="46">
        <v>0</v>
      </c>
      <c r="L265" s="46">
        <v>1.25</v>
      </c>
      <c r="M265" s="46">
        <v>0.13</v>
      </c>
      <c r="N265" s="46" t="s">
        <v>6961</v>
      </c>
      <c r="O265" s="46">
        <v>0.65</v>
      </c>
      <c r="P265" s="47">
        <v>150</v>
      </c>
      <c r="Q265" s="47">
        <v>0</v>
      </c>
      <c r="R265" s="47">
        <v>37.5</v>
      </c>
      <c r="S265" s="47">
        <v>0.13</v>
      </c>
      <c r="T265" s="47" t="s">
        <v>6961</v>
      </c>
      <c r="U265" s="47">
        <v>19.5</v>
      </c>
      <c r="V265">
        <f t="shared" si="12"/>
        <v>555</v>
      </c>
      <c r="W265">
        <f t="shared" si="13"/>
        <v>72.150000000000006</v>
      </c>
      <c r="X265">
        <f t="shared" si="14"/>
        <v>0.13</v>
      </c>
      <c r="AA265" s="64">
        <v>63311</v>
      </c>
      <c r="AB265">
        <v>0.13</v>
      </c>
    </row>
    <row r="266" spans="1:28" x14ac:dyDescent="0.25">
      <c r="A266" s="125"/>
      <c r="B266" s="64" t="s">
        <v>1397</v>
      </c>
      <c r="C266" s="64">
        <v>63315</v>
      </c>
      <c r="D266" s="44">
        <v>300</v>
      </c>
      <c r="E266" s="44">
        <v>0</v>
      </c>
      <c r="F266" s="44">
        <v>75</v>
      </c>
      <c r="G266" s="44">
        <v>0.13</v>
      </c>
      <c r="H266" s="44" t="s">
        <v>6961</v>
      </c>
      <c r="I266" s="44">
        <v>39</v>
      </c>
      <c r="J266" s="46">
        <v>1</v>
      </c>
      <c r="K266" s="46">
        <v>0</v>
      </c>
      <c r="L266" s="46">
        <v>0</v>
      </c>
      <c r="M266" s="46">
        <v>0</v>
      </c>
      <c r="N266" s="46">
        <v>0</v>
      </c>
      <c r="O266" s="46">
        <v>0</v>
      </c>
      <c r="P266" s="47">
        <v>100</v>
      </c>
      <c r="Q266" s="47">
        <v>0</v>
      </c>
      <c r="R266" s="47">
        <v>25</v>
      </c>
      <c r="S266" s="47">
        <v>0.13</v>
      </c>
      <c r="T266" s="47" t="s">
        <v>6961</v>
      </c>
      <c r="U266" s="47">
        <v>13</v>
      </c>
      <c r="V266">
        <f t="shared" si="12"/>
        <v>401</v>
      </c>
      <c r="W266">
        <f t="shared" si="13"/>
        <v>52</v>
      </c>
      <c r="X266">
        <f t="shared" si="14"/>
        <v>0.12967581047381546</v>
      </c>
      <c r="AA266" s="64">
        <v>63315</v>
      </c>
      <c r="AB266">
        <v>0.12967581047381546</v>
      </c>
    </row>
    <row r="267" spans="1:28" x14ac:dyDescent="0.25">
      <c r="A267" s="125"/>
      <c r="B267" s="64" t="s">
        <v>1401</v>
      </c>
      <c r="C267" s="64">
        <v>63331</v>
      </c>
      <c r="D267" s="44">
        <v>200</v>
      </c>
      <c r="E267" s="44">
        <v>0</v>
      </c>
      <c r="F267" s="44">
        <v>50</v>
      </c>
      <c r="G267" s="44">
        <v>0.13</v>
      </c>
      <c r="H267" s="44" t="s">
        <v>6961</v>
      </c>
      <c r="I267" s="44">
        <v>26</v>
      </c>
      <c r="J267" s="46">
        <v>1</v>
      </c>
      <c r="K267" s="46">
        <v>0</v>
      </c>
      <c r="L267" s="46">
        <v>0.25</v>
      </c>
      <c r="M267" s="46">
        <v>0.13</v>
      </c>
      <c r="N267" s="46" t="s">
        <v>6961</v>
      </c>
      <c r="O267" s="46">
        <v>0.13</v>
      </c>
      <c r="P267" s="47">
        <v>30</v>
      </c>
      <c r="Q267" s="47">
        <v>0</v>
      </c>
      <c r="R267" s="47">
        <v>7.5</v>
      </c>
      <c r="S267" s="47">
        <v>0.13</v>
      </c>
      <c r="T267" s="47" t="s">
        <v>6961</v>
      </c>
      <c r="U267" s="47">
        <v>3.9000000000000004</v>
      </c>
      <c r="V267">
        <f t="shared" si="12"/>
        <v>231</v>
      </c>
      <c r="W267">
        <f t="shared" si="13"/>
        <v>30.03</v>
      </c>
      <c r="X267">
        <f t="shared" si="14"/>
        <v>0.13</v>
      </c>
      <c r="AA267" s="64">
        <v>63331</v>
      </c>
      <c r="AB267">
        <v>0.13</v>
      </c>
    </row>
    <row r="268" spans="1:28" x14ac:dyDescent="0.25">
      <c r="A268" s="125"/>
      <c r="B268" s="64" t="s">
        <v>1398</v>
      </c>
      <c r="C268" s="64">
        <v>63319</v>
      </c>
      <c r="D268" s="44">
        <v>20</v>
      </c>
      <c r="E268" s="44">
        <v>0</v>
      </c>
      <c r="F268" s="44">
        <v>5</v>
      </c>
      <c r="G268" s="44">
        <v>0.13</v>
      </c>
      <c r="H268" s="44" t="s">
        <v>6961</v>
      </c>
      <c r="I268" s="44">
        <v>2.6</v>
      </c>
      <c r="J268" s="46">
        <v>20</v>
      </c>
      <c r="K268" s="46">
        <v>0</v>
      </c>
      <c r="L268" s="46">
        <v>5</v>
      </c>
      <c r="M268" s="46">
        <v>0.13</v>
      </c>
      <c r="N268" s="46" t="s">
        <v>6961</v>
      </c>
      <c r="O268" s="46">
        <v>2.6</v>
      </c>
      <c r="P268" s="47">
        <v>150</v>
      </c>
      <c r="Q268" s="47">
        <v>0</v>
      </c>
      <c r="R268" s="47">
        <v>37.5</v>
      </c>
      <c r="S268" s="47">
        <v>0.13</v>
      </c>
      <c r="T268" s="47" t="s">
        <v>6961</v>
      </c>
      <c r="U268" s="47">
        <v>19.5</v>
      </c>
      <c r="V268">
        <f t="shared" si="12"/>
        <v>190</v>
      </c>
      <c r="W268">
        <f t="shared" si="13"/>
        <v>24.700000000000003</v>
      </c>
      <c r="X268">
        <f t="shared" si="14"/>
        <v>0.13</v>
      </c>
      <c r="AA268" s="64">
        <v>63319</v>
      </c>
      <c r="AB268">
        <v>0.13</v>
      </c>
    </row>
    <row r="269" spans="1:28" x14ac:dyDescent="0.25">
      <c r="A269" s="125"/>
      <c r="B269" s="64" t="s">
        <v>3009</v>
      </c>
      <c r="C269" s="64">
        <v>63351</v>
      </c>
      <c r="D269" s="44">
        <v>200</v>
      </c>
      <c r="E269" s="44">
        <v>0</v>
      </c>
      <c r="F269" s="44">
        <v>50</v>
      </c>
      <c r="G269" s="44">
        <v>0.13</v>
      </c>
      <c r="H269" s="44" t="s">
        <v>6961</v>
      </c>
      <c r="I269" s="44">
        <v>26</v>
      </c>
      <c r="J269" s="46">
        <v>2.5</v>
      </c>
      <c r="K269" s="46">
        <v>0</v>
      </c>
      <c r="L269" s="46">
        <v>0.625</v>
      </c>
      <c r="M269" s="46">
        <v>0.13</v>
      </c>
      <c r="N269" s="46" t="s">
        <v>6961</v>
      </c>
      <c r="O269" s="46">
        <v>0.32500000000000001</v>
      </c>
      <c r="P269" s="47">
        <v>50</v>
      </c>
      <c r="Q269" s="47">
        <v>0</v>
      </c>
      <c r="R269" s="47">
        <v>12.5</v>
      </c>
      <c r="S269" s="47">
        <v>0.13</v>
      </c>
      <c r="T269" s="47" t="s">
        <v>6961</v>
      </c>
      <c r="U269" s="47">
        <v>6.5</v>
      </c>
      <c r="V269">
        <f t="shared" si="12"/>
        <v>252.5</v>
      </c>
      <c r="W269">
        <f t="shared" si="13"/>
        <v>32.825000000000003</v>
      </c>
      <c r="X269">
        <f t="shared" si="14"/>
        <v>0.13</v>
      </c>
      <c r="AA269" s="64">
        <v>63351</v>
      </c>
      <c r="AB269">
        <v>0.13</v>
      </c>
    </row>
    <row r="270" spans="1:28" x14ac:dyDescent="0.25">
      <c r="A270" s="125"/>
      <c r="B270" s="64" t="s">
        <v>3010</v>
      </c>
      <c r="C270" s="64">
        <v>63355</v>
      </c>
      <c r="D270" s="44">
        <v>200</v>
      </c>
      <c r="E270" s="44">
        <v>0</v>
      </c>
      <c r="F270" s="44">
        <v>50</v>
      </c>
      <c r="G270" s="44">
        <v>0.13</v>
      </c>
      <c r="H270" s="44" t="s">
        <v>6961</v>
      </c>
      <c r="I270" s="44">
        <v>26</v>
      </c>
      <c r="J270" s="46">
        <v>5</v>
      </c>
      <c r="K270" s="46">
        <v>0</v>
      </c>
      <c r="L270" s="46">
        <v>1.25</v>
      </c>
      <c r="M270" s="46">
        <v>0.13</v>
      </c>
      <c r="N270" s="46" t="s">
        <v>6961</v>
      </c>
      <c r="O270" s="46">
        <v>0.65</v>
      </c>
      <c r="P270" s="47">
        <v>200</v>
      </c>
      <c r="Q270" s="47">
        <v>0</v>
      </c>
      <c r="R270" s="47">
        <v>50</v>
      </c>
      <c r="S270" s="47">
        <v>0.13</v>
      </c>
      <c r="T270" s="47" t="s">
        <v>6961</v>
      </c>
      <c r="U270" s="47">
        <v>26</v>
      </c>
      <c r="V270">
        <f t="shared" si="12"/>
        <v>405</v>
      </c>
      <c r="W270">
        <f t="shared" si="13"/>
        <v>52.65</v>
      </c>
      <c r="X270">
        <f t="shared" si="14"/>
        <v>0.13</v>
      </c>
      <c r="AA270" s="64">
        <v>63355</v>
      </c>
      <c r="AB270">
        <v>0.13</v>
      </c>
    </row>
    <row r="271" spans="1:28" x14ac:dyDescent="0.25">
      <c r="A271" s="125"/>
      <c r="B271" s="64" t="s">
        <v>3013</v>
      </c>
      <c r="C271" s="64">
        <v>63371</v>
      </c>
      <c r="D271" s="44">
        <v>60</v>
      </c>
      <c r="E271" s="44">
        <v>0</v>
      </c>
      <c r="F271" s="44">
        <v>15</v>
      </c>
      <c r="G271" s="44">
        <v>0.13</v>
      </c>
      <c r="H271" s="44" t="s">
        <v>6961</v>
      </c>
      <c r="I271" s="44">
        <v>7.8000000000000007</v>
      </c>
      <c r="J271" s="46">
        <v>1</v>
      </c>
      <c r="K271" s="46">
        <v>0.5</v>
      </c>
      <c r="L271" s="46">
        <v>0.75</v>
      </c>
      <c r="M271" s="46">
        <v>0.625</v>
      </c>
      <c r="N271" s="46" t="s">
        <v>6960</v>
      </c>
      <c r="O271" s="46">
        <v>0.625</v>
      </c>
      <c r="P271" s="47">
        <v>40</v>
      </c>
      <c r="Q271" s="47">
        <v>10</v>
      </c>
      <c r="R271" s="47">
        <v>20</v>
      </c>
      <c r="S271" s="47">
        <v>0.375</v>
      </c>
      <c r="T271" s="47" t="s">
        <v>6958</v>
      </c>
      <c r="U271" s="47">
        <v>15</v>
      </c>
      <c r="V271">
        <f t="shared" si="12"/>
        <v>101</v>
      </c>
      <c r="W271">
        <f t="shared" si="13"/>
        <v>23.425000000000001</v>
      </c>
      <c r="X271">
        <f t="shared" si="14"/>
        <v>0.23193069306930694</v>
      </c>
      <c r="AA271" s="64">
        <v>63371</v>
      </c>
      <c r="AB271">
        <v>0.23193069306930694</v>
      </c>
    </row>
    <row r="272" spans="1:28" x14ac:dyDescent="0.25">
      <c r="A272" s="125"/>
      <c r="B272" s="64" t="s">
        <v>3012</v>
      </c>
      <c r="C272" s="64">
        <v>63363</v>
      </c>
      <c r="D272" s="44">
        <v>250</v>
      </c>
      <c r="E272" s="44">
        <v>62.5</v>
      </c>
      <c r="F272" s="44">
        <v>125</v>
      </c>
      <c r="G272" s="44">
        <v>0.375</v>
      </c>
      <c r="H272" s="44" t="s">
        <v>6958</v>
      </c>
      <c r="I272" s="44">
        <v>93.75</v>
      </c>
      <c r="J272" s="46">
        <v>0</v>
      </c>
      <c r="K272" s="46">
        <v>0</v>
      </c>
      <c r="L272" s="46">
        <v>0</v>
      </c>
      <c r="M272" s="46">
        <v>0</v>
      </c>
      <c r="N272" s="46">
        <v>0</v>
      </c>
      <c r="O272" s="46">
        <v>0</v>
      </c>
      <c r="P272" s="47">
        <v>0</v>
      </c>
      <c r="Q272" s="47">
        <v>0</v>
      </c>
      <c r="R272" s="47">
        <v>0</v>
      </c>
      <c r="S272" s="47">
        <v>0</v>
      </c>
      <c r="T272" s="47">
        <v>0</v>
      </c>
      <c r="U272" s="47">
        <v>0</v>
      </c>
      <c r="V272">
        <f t="shared" si="12"/>
        <v>250</v>
      </c>
      <c r="W272">
        <f t="shared" si="13"/>
        <v>93.75</v>
      </c>
      <c r="X272">
        <f t="shared" si="14"/>
        <v>0.375</v>
      </c>
      <c r="AA272" s="64">
        <v>63363</v>
      </c>
      <c r="AB272">
        <v>0.375</v>
      </c>
    </row>
    <row r="273" spans="1:28" x14ac:dyDescent="0.25">
      <c r="A273" s="125"/>
      <c r="B273" s="64" t="s">
        <v>1413</v>
      </c>
      <c r="C273" s="64">
        <v>63375</v>
      </c>
      <c r="D273" s="44">
        <v>300</v>
      </c>
      <c r="E273" s="44">
        <v>0</v>
      </c>
      <c r="F273" s="44">
        <v>75</v>
      </c>
      <c r="G273" s="44">
        <v>0.13</v>
      </c>
      <c r="H273" s="44" t="s">
        <v>6961</v>
      </c>
      <c r="I273" s="44">
        <v>39</v>
      </c>
      <c r="J273" s="46">
        <v>300</v>
      </c>
      <c r="K273" s="46">
        <v>0</v>
      </c>
      <c r="L273" s="46">
        <v>75</v>
      </c>
      <c r="M273" s="46">
        <v>0.13</v>
      </c>
      <c r="N273" s="46" t="s">
        <v>6961</v>
      </c>
      <c r="O273" s="46">
        <v>39</v>
      </c>
      <c r="P273" s="47">
        <v>240</v>
      </c>
      <c r="Q273" s="47">
        <v>0</v>
      </c>
      <c r="R273" s="47">
        <v>60</v>
      </c>
      <c r="S273" s="47">
        <v>0.13</v>
      </c>
      <c r="T273" s="47" t="s">
        <v>6961</v>
      </c>
      <c r="U273" s="47">
        <v>31.200000000000003</v>
      </c>
      <c r="V273">
        <f t="shared" si="12"/>
        <v>840</v>
      </c>
      <c r="W273">
        <f t="shared" si="13"/>
        <v>109.2</v>
      </c>
      <c r="X273">
        <f t="shared" si="14"/>
        <v>0.13</v>
      </c>
      <c r="AA273" s="64">
        <v>63375</v>
      </c>
      <c r="AB273">
        <v>0.13</v>
      </c>
    </row>
    <row r="274" spans="1:28" x14ac:dyDescent="0.25">
      <c r="A274" s="125"/>
      <c r="B274" s="64" t="s">
        <v>1411</v>
      </c>
      <c r="C274" s="64">
        <v>63367</v>
      </c>
      <c r="D274" s="44">
        <v>150</v>
      </c>
      <c r="E274" s="44">
        <v>0</v>
      </c>
      <c r="F274" s="44">
        <v>37.5</v>
      </c>
      <c r="G274" s="44">
        <v>0.13</v>
      </c>
      <c r="H274" s="44" t="s">
        <v>6961</v>
      </c>
      <c r="I274" s="44">
        <v>19.5</v>
      </c>
      <c r="J274" s="46">
        <v>0.5</v>
      </c>
      <c r="K274" s="46">
        <v>0</v>
      </c>
      <c r="L274" s="46">
        <v>0</v>
      </c>
      <c r="M274" s="46">
        <v>0</v>
      </c>
      <c r="N274" s="46">
        <v>0</v>
      </c>
      <c r="O274" s="46">
        <v>0</v>
      </c>
      <c r="P274" s="47">
        <v>0.5</v>
      </c>
      <c r="Q274" s="47">
        <v>0</v>
      </c>
      <c r="R274" s="47">
        <v>0</v>
      </c>
      <c r="S274" s="47">
        <v>0</v>
      </c>
      <c r="T274" s="47">
        <v>0</v>
      </c>
      <c r="U274" s="47">
        <v>0</v>
      </c>
      <c r="V274">
        <f t="shared" si="12"/>
        <v>151</v>
      </c>
      <c r="W274">
        <f t="shared" si="13"/>
        <v>19.5</v>
      </c>
      <c r="X274">
        <f t="shared" si="14"/>
        <v>0.12913907284768211</v>
      </c>
      <c r="AA274" s="64">
        <v>63367</v>
      </c>
      <c r="AB274">
        <v>0.12913907284768211</v>
      </c>
    </row>
    <row r="275" spans="1:28" x14ac:dyDescent="0.25">
      <c r="A275" s="125"/>
      <c r="B275" s="64" t="s">
        <v>1399</v>
      </c>
      <c r="C275" s="64">
        <v>63323</v>
      </c>
      <c r="D275" s="44">
        <v>150</v>
      </c>
      <c r="E275" s="44">
        <v>0</v>
      </c>
      <c r="F275" s="44">
        <v>37.5</v>
      </c>
      <c r="G275" s="44">
        <v>0.13</v>
      </c>
      <c r="H275" s="44" t="s">
        <v>6961</v>
      </c>
      <c r="I275" s="44">
        <v>19.5</v>
      </c>
      <c r="J275" s="46">
        <v>0</v>
      </c>
      <c r="K275" s="46">
        <v>0</v>
      </c>
      <c r="L275" s="46">
        <v>0</v>
      </c>
      <c r="M275" s="46">
        <v>0</v>
      </c>
      <c r="N275" s="46">
        <v>0</v>
      </c>
      <c r="O275" s="46">
        <v>0</v>
      </c>
      <c r="P275" s="47">
        <v>0</v>
      </c>
      <c r="Q275" s="47">
        <v>0</v>
      </c>
      <c r="R275" s="47">
        <v>0</v>
      </c>
      <c r="S275" s="47">
        <v>0</v>
      </c>
      <c r="T275" s="47">
        <v>0</v>
      </c>
      <c r="U275" s="47">
        <v>0</v>
      </c>
      <c r="V275">
        <f t="shared" si="12"/>
        <v>150</v>
      </c>
      <c r="W275">
        <f t="shared" si="13"/>
        <v>19.5</v>
      </c>
      <c r="X275">
        <f t="shared" si="14"/>
        <v>0.13</v>
      </c>
      <c r="AA275" s="64">
        <v>63323</v>
      </c>
      <c r="AB275">
        <v>0.13</v>
      </c>
    </row>
    <row r="276" spans="1:28" x14ac:dyDescent="0.25">
      <c r="A276" s="125"/>
      <c r="B276" s="64" t="s">
        <v>1342</v>
      </c>
      <c r="C276" s="64">
        <v>63111</v>
      </c>
      <c r="D276" s="44">
        <v>300</v>
      </c>
      <c r="E276" s="44">
        <v>0</v>
      </c>
      <c r="F276" s="44">
        <v>0</v>
      </c>
      <c r="G276" s="44">
        <v>0</v>
      </c>
      <c r="H276" s="44">
        <v>0</v>
      </c>
      <c r="I276" s="44">
        <v>0</v>
      </c>
      <c r="J276" s="46">
        <v>112</v>
      </c>
      <c r="K276" s="46">
        <v>0</v>
      </c>
      <c r="L276" s="46">
        <v>0</v>
      </c>
      <c r="M276" s="46">
        <v>0</v>
      </c>
      <c r="N276" s="46">
        <v>0</v>
      </c>
      <c r="O276" s="46">
        <v>0</v>
      </c>
      <c r="P276" s="47">
        <v>200</v>
      </c>
      <c r="Q276" s="47">
        <v>0</v>
      </c>
      <c r="R276" s="47">
        <v>0</v>
      </c>
      <c r="S276" s="47">
        <v>0</v>
      </c>
      <c r="T276" s="47">
        <v>0</v>
      </c>
      <c r="U276" s="47">
        <v>0</v>
      </c>
      <c r="V276">
        <f t="shared" si="12"/>
        <v>612</v>
      </c>
      <c r="W276">
        <f t="shared" si="13"/>
        <v>0</v>
      </c>
      <c r="X276">
        <f t="shared" si="14"/>
        <v>0</v>
      </c>
      <c r="AA276" s="64">
        <v>63111</v>
      </c>
      <c r="AB276">
        <v>0</v>
      </c>
    </row>
    <row r="277" spans="1:28" x14ac:dyDescent="0.25">
      <c r="A277" s="125"/>
      <c r="B277" s="64" t="s">
        <v>1358</v>
      </c>
      <c r="C277" s="64">
        <v>63164</v>
      </c>
      <c r="D277" s="44">
        <v>200</v>
      </c>
      <c r="E277" s="44">
        <v>0</v>
      </c>
      <c r="F277" s="44">
        <v>50</v>
      </c>
      <c r="G277" s="44">
        <v>0.13</v>
      </c>
      <c r="H277" s="44" t="s">
        <v>6961</v>
      </c>
      <c r="I277" s="44">
        <v>26</v>
      </c>
      <c r="J277" s="46">
        <v>10</v>
      </c>
      <c r="K277" s="46">
        <v>0</v>
      </c>
      <c r="L277" s="46">
        <v>2.5</v>
      </c>
      <c r="M277" s="46">
        <v>0.13</v>
      </c>
      <c r="N277" s="46" t="s">
        <v>6961</v>
      </c>
      <c r="O277" s="46">
        <v>1.3</v>
      </c>
      <c r="P277" s="47">
        <v>10</v>
      </c>
      <c r="Q277" s="47">
        <v>0</v>
      </c>
      <c r="R277" s="47">
        <v>0</v>
      </c>
      <c r="S277" s="47">
        <v>0</v>
      </c>
      <c r="T277" s="47">
        <v>0</v>
      </c>
      <c r="U277" s="47">
        <v>0</v>
      </c>
      <c r="V277">
        <f t="shared" si="12"/>
        <v>220</v>
      </c>
      <c r="W277">
        <f t="shared" si="13"/>
        <v>27.3</v>
      </c>
      <c r="X277">
        <f t="shared" si="14"/>
        <v>0.1240909090909091</v>
      </c>
      <c r="AA277" s="64">
        <v>63164</v>
      </c>
      <c r="AB277">
        <v>0.1240909090909091</v>
      </c>
    </row>
    <row r="278" spans="1:28" x14ac:dyDescent="0.25">
      <c r="A278" s="125"/>
      <c r="B278" s="64" t="s">
        <v>1417</v>
      </c>
      <c r="C278" s="64">
        <v>63385</v>
      </c>
      <c r="D278" s="44">
        <v>250</v>
      </c>
      <c r="E278" s="44">
        <v>62.5</v>
      </c>
      <c r="F278" s="44">
        <v>125</v>
      </c>
      <c r="G278" s="44">
        <v>0.375</v>
      </c>
      <c r="H278" s="44" t="s">
        <v>6958</v>
      </c>
      <c r="I278" s="44">
        <v>93.75</v>
      </c>
      <c r="J278" s="46">
        <v>5</v>
      </c>
      <c r="K278" s="46">
        <v>0</v>
      </c>
      <c r="L278" s="46">
        <v>1.25</v>
      </c>
      <c r="M278" s="46">
        <v>0.13</v>
      </c>
      <c r="N278" s="46" t="s">
        <v>6961</v>
      </c>
      <c r="O278" s="46">
        <v>0.65</v>
      </c>
      <c r="P278" s="47">
        <v>10</v>
      </c>
      <c r="Q278" s="47">
        <v>0</v>
      </c>
      <c r="R278" s="47">
        <v>2.5</v>
      </c>
      <c r="S278" s="47">
        <v>0.13</v>
      </c>
      <c r="T278" s="47" t="s">
        <v>6961</v>
      </c>
      <c r="U278" s="47">
        <v>1.3</v>
      </c>
      <c r="V278">
        <f t="shared" si="12"/>
        <v>265</v>
      </c>
      <c r="W278">
        <f t="shared" si="13"/>
        <v>95.7</v>
      </c>
      <c r="X278">
        <f t="shared" si="14"/>
        <v>0.36113207547169812</v>
      </c>
      <c r="AA278" s="64">
        <v>63385</v>
      </c>
      <c r="AB278">
        <v>0.36113207547169812</v>
      </c>
    </row>
    <row r="279" spans="1:28" x14ac:dyDescent="0.25">
      <c r="A279" s="125"/>
      <c r="B279" s="64" t="s">
        <v>3006</v>
      </c>
      <c r="C279" s="64">
        <v>63241</v>
      </c>
      <c r="D279" s="44">
        <v>1</v>
      </c>
      <c r="E279" s="44">
        <v>0</v>
      </c>
      <c r="F279" s="44">
        <v>0</v>
      </c>
      <c r="G279" s="44">
        <v>0</v>
      </c>
      <c r="H279" s="44">
        <v>0</v>
      </c>
      <c r="I279" s="44">
        <v>0</v>
      </c>
      <c r="J279" s="46">
        <v>6</v>
      </c>
      <c r="K279" s="46">
        <v>0</v>
      </c>
      <c r="L279" s="46">
        <v>0</v>
      </c>
      <c r="M279" s="46">
        <v>0</v>
      </c>
      <c r="N279" s="46">
        <v>0</v>
      </c>
      <c r="O279" s="46">
        <v>0</v>
      </c>
      <c r="P279" s="47">
        <v>100</v>
      </c>
      <c r="Q279" s="47">
        <v>0</v>
      </c>
      <c r="R279" s="47">
        <v>25</v>
      </c>
      <c r="S279" s="47">
        <v>0.13</v>
      </c>
      <c r="T279" s="47" t="s">
        <v>6961</v>
      </c>
      <c r="U279" s="47">
        <v>13</v>
      </c>
      <c r="V279">
        <f t="shared" si="12"/>
        <v>107</v>
      </c>
      <c r="W279">
        <f t="shared" si="13"/>
        <v>13</v>
      </c>
      <c r="X279">
        <f t="shared" si="14"/>
        <v>0.12149532710280374</v>
      </c>
      <c r="AA279" s="64">
        <v>63241</v>
      </c>
      <c r="AB279">
        <v>0.12149532710280374</v>
      </c>
    </row>
    <row r="280" spans="1:28" x14ac:dyDescent="0.25">
      <c r="A280" s="125"/>
      <c r="B280" s="64" t="s">
        <v>1393</v>
      </c>
      <c r="C280" s="64">
        <v>63294</v>
      </c>
      <c r="D280" s="44">
        <v>70</v>
      </c>
      <c r="E280" s="44">
        <v>0</v>
      </c>
      <c r="F280" s="44">
        <v>17.5</v>
      </c>
      <c r="G280" s="44">
        <v>0.13</v>
      </c>
      <c r="H280" s="44" t="s">
        <v>6961</v>
      </c>
      <c r="I280" s="44">
        <v>9.1</v>
      </c>
      <c r="J280" s="46">
        <v>2</v>
      </c>
      <c r="K280" s="46">
        <v>0</v>
      </c>
      <c r="L280" s="46">
        <v>0</v>
      </c>
      <c r="M280" s="46">
        <v>0</v>
      </c>
      <c r="N280" s="46">
        <v>0</v>
      </c>
      <c r="O280" s="46">
        <v>0</v>
      </c>
      <c r="P280" s="47">
        <v>100</v>
      </c>
      <c r="Q280" s="47">
        <v>0</v>
      </c>
      <c r="R280" s="47">
        <v>0</v>
      </c>
      <c r="S280" s="47">
        <v>0</v>
      </c>
      <c r="T280" s="47">
        <v>0</v>
      </c>
      <c r="U280" s="47">
        <v>0</v>
      </c>
      <c r="V280">
        <f t="shared" si="12"/>
        <v>172</v>
      </c>
      <c r="W280">
        <f t="shared" si="13"/>
        <v>9.1</v>
      </c>
      <c r="X280">
        <f t="shared" si="14"/>
        <v>5.2906976744186048E-2</v>
      </c>
      <c r="AA280" s="64">
        <v>63294</v>
      </c>
      <c r="AB280">
        <v>5.2906976744186048E-2</v>
      </c>
    </row>
    <row r="281" spans="1:28" x14ac:dyDescent="0.25">
      <c r="A281" s="125"/>
      <c r="B281" s="64" t="s">
        <v>1375</v>
      </c>
      <c r="C281" s="64">
        <v>63234</v>
      </c>
      <c r="D281" s="44">
        <v>10</v>
      </c>
      <c r="E281" s="44">
        <v>0</v>
      </c>
      <c r="F281" s="44">
        <v>0</v>
      </c>
      <c r="G281" s="44">
        <v>0</v>
      </c>
      <c r="H281" s="44">
        <v>0</v>
      </c>
      <c r="I281" s="44">
        <v>0</v>
      </c>
      <c r="J281" s="46">
        <v>0.5</v>
      </c>
      <c r="K281" s="46">
        <v>0</v>
      </c>
      <c r="L281" s="46">
        <v>0</v>
      </c>
      <c r="M281" s="46">
        <v>0</v>
      </c>
      <c r="N281" s="46">
        <v>0</v>
      </c>
      <c r="O281" s="46">
        <v>0</v>
      </c>
      <c r="P281" s="47">
        <v>100</v>
      </c>
      <c r="Q281" s="47">
        <v>0</v>
      </c>
      <c r="R281" s="47">
        <v>0</v>
      </c>
      <c r="S281" s="47">
        <v>0</v>
      </c>
      <c r="T281" s="47">
        <v>0</v>
      </c>
      <c r="U281" s="47">
        <v>0</v>
      </c>
      <c r="V281">
        <f t="shared" si="12"/>
        <v>110.5</v>
      </c>
      <c r="W281">
        <f t="shared" si="13"/>
        <v>0</v>
      </c>
      <c r="X281">
        <f t="shared" si="14"/>
        <v>0</v>
      </c>
      <c r="AA281" s="64">
        <v>63234</v>
      </c>
      <c r="AB281">
        <v>0</v>
      </c>
    </row>
    <row r="282" spans="1:28" x14ac:dyDescent="0.25">
      <c r="A282" s="125"/>
      <c r="B282" s="64" t="s">
        <v>1391</v>
      </c>
      <c r="C282" s="64">
        <v>63287</v>
      </c>
      <c r="D282" s="44">
        <v>150</v>
      </c>
      <c r="E282" s="44">
        <v>0</v>
      </c>
      <c r="F282" s="44">
        <v>37.5</v>
      </c>
      <c r="G282" s="44">
        <v>0.13</v>
      </c>
      <c r="H282" s="44" t="s">
        <v>6961</v>
      </c>
      <c r="I282" s="44">
        <v>19.5</v>
      </c>
      <c r="J282" s="46">
        <v>2</v>
      </c>
      <c r="K282" s="46">
        <v>0</v>
      </c>
      <c r="L282" s="46">
        <v>0.5</v>
      </c>
      <c r="M282" s="46">
        <v>0.13</v>
      </c>
      <c r="N282" s="46" t="s">
        <v>6961</v>
      </c>
      <c r="O282" s="46">
        <v>0.26</v>
      </c>
      <c r="P282" s="47">
        <v>100</v>
      </c>
      <c r="Q282" s="47">
        <v>0</v>
      </c>
      <c r="R282" s="47">
        <v>25</v>
      </c>
      <c r="S282" s="47">
        <v>0.13</v>
      </c>
      <c r="T282" s="47" t="s">
        <v>6961</v>
      </c>
      <c r="U282" s="47">
        <v>13</v>
      </c>
      <c r="V282">
        <f t="shared" si="12"/>
        <v>252</v>
      </c>
      <c r="W282">
        <f t="shared" si="13"/>
        <v>32.76</v>
      </c>
      <c r="X282">
        <f t="shared" si="14"/>
        <v>0.13</v>
      </c>
      <c r="AA282" s="64">
        <v>63287</v>
      </c>
      <c r="AB282">
        <v>0.13</v>
      </c>
    </row>
    <row r="283" spans="1:28" x14ac:dyDescent="0.25">
      <c r="A283" s="125"/>
      <c r="B283" s="64" t="s">
        <v>1362</v>
      </c>
      <c r="C283" s="64">
        <v>63177</v>
      </c>
      <c r="D283" s="44">
        <v>40</v>
      </c>
      <c r="E283" s="44">
        <v>0</v>
      </c>
      <c r="F283" s="44">
        <v>0</v>
      </c>
      <c r="G283" s="44">
        <v>0</v>
      </c>
      <c r="H283" s="44">
        <v>0</v>
      </c>
      <c r="I283" s="44">
        <v>0</v>
      </c>
      <c r="J283" s="46">
        <v>1</v>
      </c>
      <c r="K283" s="46">
        <v>0</v>
      </c>
      <c r="L283" s="46">
        <v>0</v>
      </c>
      <c r="M283" s="46">
        <v>0</v>
      </c>
      <c r="N283" s="46">
        <v>0</v>
      </c>
      <c r="O283" s="46">
        <v>0</v>
      </c>
      <c r="P283" s="47">
        <v>30</v>
      </c>
      <c r="Q283" s="47">
        <v>0</v>
      </c>
      <c r="R283" s="47">
        <v>0</v>
      </c>
      <c r="S283" s="47">
        <v>0</v>
      </c>
      <c r="T283" s="47">
        <v>0</v>
      </c>
      <c r="U283" s="47">
        <v>0</v>
      </c>
      <c r="V283">
        <f t="shared" si="12"/>
        <v>71</v>
      </c>
      <c r="W283">
        <f t="shared" si="13"/>
        <v>0</v>
      </c>
      <c r="X283">
        <f t="shared" si="14"/>
        <v>0</v>
      </c>
      <c r="AA283" s="64">
        <v>63177</v>
      </c>
      <c r="AB283">
        <v>0</v>
      </c>
    </row>
    <row r="284" spans="1:28" x14ac:dyDescent="0.25">
      <c r="A284" s="124" t="s">
        <v>3221</v>
      </c>
      <c r="B284" s="64" t="s">
        <v>1060</v>
      </c>
      <c r="C284" s="64">
        <v>52267</v>
      </c>
      <c r="D284" s="44">
        <v>2</v>
      </c>
      <c r="E284" s="44">
        <v>0</v>
      </c>
      <c r="F284" s="44">
        <v>0.5</v>
      </c>
      <c r="G284" s="44">
        <v>0.13</v>
      </c>
      <c r="H284" s="44" t="s">
        <v>6961</v>
      </c>
      <c r="I284" s="44">
        <v>0.26</v>
      </c>
      <c r="J284" s="46">
        <v>70</v>
      </c>
      <c r="K284" s="46">
        <v>52.5</v>
      </c>
      <c r="L284" s="46">
        <v>70</v>
      </c>
      <c r="M284" s="46">
        <v>0.87</v>
      </c>
      <c r="N284" s="46" t="s">
        <v>6959</v>
      </c>
      <c r="O284" s="46">
        <v>60.9</v>
      </c>
      <c r="P284" s="47">
        <v>200</v>
      </c>
      <c r="Q284" s="47">
        <v>150</v>
      </c>
      <c r="R284" s="47">
        <v>200</v>
      </c>
      <c r="S284" s="47">
        <v>0.87</v>
      </c>
      <c r="T284" s="47" t="s">
        <v>6959</v>
      </c>
      <c r="U284" s="47">
        <v>174</v>
      </c>
      <c r="V284">
        <f t="shared" si="12"/>
        <v>272</v>
      </c>
      <c r="W284">
        <f t="shared" si="13"/>
        <v>235.16</v>
      </c>
      <c r="X284">
        <f t="shared" si="14"/>
        <v>0.86455882352941171</v>
      </c>
      <c r="AA284" s="64">
        <v>52267</v>
      </c>
      <c r="AB284">
        <v>0.86455882352941171</v>
      </c>
    </row>
    <row r="285" spans="1:28" x14ac:dyDescent="0.25">
      <c r="A285" s="125"/>
      <c r="B285" s="64" t="s">
        <v>1064</v>
      </c>
      <c r="C285" s="64">
        <v>52281</v>
      </c>
      <c r="D285" s="44">
        <v>50</v>
      </c>
      <c r="E285" s="44">
        <v>0</v>
      </c>
      <c r="F285" s="44">
        <v>12.5</v>
      </c>
      <c r="G285" s="44">
        <v>0.13</v>
      </c>
      <c r="H285" s="44" t="s">
        <v>6961</v>
      </c>
      <c r="I285" s="44">
        <v>6.5</v>
      </c>
      <c r="J285" s="46">
        <v>90</v>
      </c>
      <c r="K285" s="46">
        <v>0</v>
      </c>
      <c r="L285" s="46">
        <v>22.5</v>
      </c>
      <c r="M285" s="46">
        <v>0.13</v>
      </c>
      <c r="N285" s="46" t="s">
        <v>6961</v>
      </c>
      <c r="O285" s="46">
        <v>11.700000000000001</v>
      </c>
      <c r="P285" s="47">
        <v>50</v>
      </c>
      <c r="Q285" s="47">
        <v>25</v>
      </c>
      <c r="R285" s="47">
        <v>37.5</v>
      </c>
      <c r="S285" s="47">
        <v>0.625</v>
      </c>
      <c r="T285" s="47" t="s">
        <v>6960</v>
      </c>
      <c r="U285" s="47">
        <v>31.25</v>
      </c>
      <c r="V285">
        <f t="shared" si="12"/>
        <v>190</v>
      </c>
      <c r="W285">
        <f t="shared" si="13"/>
        <v>49.45</v>
      </c>
      <c r="X285">
        <f t="shared" si="14"/>
        <v>0.26026315789473686</v>
      </c>
      <c r="AA285" s="64">
        <v>52281</v>
      </c>
      <c r="AB285">
        <v>0.26026315789473686</v>
      </c>
    </row>
    <row r="286" spans="1:28" x14ac:dyDescent="0.25">
      <c r="A286" s="125"/>
      <c r="B286" s="64" t="s">
        <v>1062</v>
      </c>
      <c r="C286" s="64">
        <v>52274</v>
      </c>
      <c r="D286" s="44">
        <v>4</v>
      </c>
      <c r="E286" s="44">
        <v>0</v>
      </c>
      <c r="F286" s="44">
        <v>1</v>
      </c>
      <c r="G286" s="44">
        <v>0.13</v>
      </c>
      <c r="H286" s="44" t="s">
        <v>6961</v>
      </c>
      <c r="I286" s="44">
        <v>0.52</v>
      </c>
      <c r="J286" s="46">
        <v>4</v>
      </c>
      <c r="K286" s="46">
        <v>0</v>
      </c>
      <c r="L286" s="46">
        <v>0</v>
      </c>
      <c r="M286" s="46">
        <v>0</v>
      </c>
      <c r="N286" s="46">
        <v>0</v>
      </c>
      <c r="O286" s="46">
        <v>0</v>
      </c>
      <c r="P286" s="47">
        <v>8</v>
      </c>
      <c r="Q286" s="47">
        <v>0</v>
      </c>
      <c r="R286" s="47">
        <v>2</v>
      </c>
      <c r="S286" s="47">
        <v>0.13</v>
      </c>
      <c r="T286" s="47" t="s">
        <v>6961</v>
      </c>
      <c r="U286" s="47">
        <v>1.04</v>
      </c>
      <c r="V286">
        <f t="shared" si="12"/>
        <v>16</v>
      </c>
      <c r="W286">
        <f t="shared" si="13"/>
        <v>1.56</v>
      </c>
      <c r="X286">
        <f t="shared" si="14"/>
        <v>9.7500000000000003E-2</v>
      </c>
      <c r="AA286" s="64">
        <v>52274</v>
      </c>
      <c r="AB286">
        <v>9.7500000000000003E-2</v>
      </c>
    </row>
    <row r="287" spans="1:28" x14ac:dyDescent="0.25">
      <c r="A287" s="125"/>
      <c r="B287" s="64" t="s">
        <v>1065</v>
      </c>
      <c r="C287" s="64">
        <v>52284</v>
      </c>
      <c r="D287" s="44">
        <v>15</v>
      </c>
      <c r="E287" s="44">
        <v>3.75</v>
      </c>
      <c r="F287" s="44">
        <v>7.5</v>
      </c>
      <c r="G287" s="44">
        <v>0.375</v>
      </c>
      <c r="H287" s="44" t="s">
        <v>6958</v>
      </c>
      <c r="I287" s="44">
        <v>5.625</v>
      </c>
      <c r="J287" s="46">
        <v>10</v>
      </c>
      <c r="K287" s="46">
        <v>0</v>
      </c>
      <c r="L287" s="46">
        <v>0</v>
      </c>
      <c r="M287" s="46">
        <v>0</v>
      </c>
      <c r="N287" s="46">
        <v>0</v>
      </c>
      <c r="O287" s="46">
        <v>0</v>
      </c>
      <c r="P287" s="47">
        <v>2</v>
      </c>
      <c r="Q287" s="47">
        <v>0</v>
      </c>
      <c r="R287" s="47">
        <v>0.5</v>
      </c>
      <c r="S287" s="47">
        <v>0.13</v>
      </c>
      <c r="T287" s="47" t="s">
        <v>6961</v>
      </c>
      <c r="U287" s="47">
        <v>0.26</v>
      </c>
      <c r="V287">
        <f t="shared" si="12"/>
        <v>27</v>
      </c>
      <c r="W287">
        <f t="shared" si="13"/>
        <v>5.8849999999999998</v>
      </c>
      <c r="X287">
        <f t="shared" si="14"/>
        <v>0.21796296296296294</v>
      </c>
      <c r="AA287" s="64">
        <v>52284</v>
      </c>
      <c r="AB287">
        <v>0.21796296296296294</v>
      </c>
    </row>
    <row r="288" spans="1:28" x14ac:dyDescent="0.25">
      <c r="A288" s="125"/>
      <c r="B288" s="64" t="s">
        <v>1067</v>
      </c>
      <c r="C288" s="64">
        <v>52291</v>
      </c>
      <c r="D288" s="44">
        <v>4</v>
      </c>
      <c r="E288" s="44">
        <v>0</v>
      </c>
      <c r="F288" s="44">
        <v>0</v>
      </c>
      <c r="G288" s="44">
        <v>0</v>
      </c>
      <c r="H288" s="44">
        <v>0</v>
      </c>
      <c r="I288" s="44">
        <v>0</v>
      </c>
      <c r="J288" s="46">
        <v>10</v>
      </c>
      <c r="K288" s="46">
        <v>0</v>
      </c>
      <c r="L288" s="46">
        <v>2.5</v>
      </c>
      <c r="M288" s="46">
        <v>0.13</v>
      </c>
      <c r="N288" s="46" t="s">
        <v>6961</v>
      </c>
      <c r="O288" s="46">
        <v>1.3</v>
      </c>
      <c r="P288" s="47">
        <v>8</v>
      </c>
      <c r="Q288" s="47">
        <v>0</v>
      </c>
      <c r="R288" s="47">
        <v>2</v>
      </c>
      <c r="S288" s="47">
        <v>0.13</v>
      </c>
      <c r="T288" s="47" t="s">
        <v>6961</v>
      </c>
      <c r="U288" s="47">
        <v>1.04</v>
      </c>
      <c r="V288">
        <f t="shared" si="12"/>
        <v>22</v>
      </c>
      <c r="W288">
        <f t="shared" si="13"/>
        <v>2.34</v>
      </c>
      <c r="X288">
        <f t="shared" si="14"/>
        <v>0.10636363636363635</v>
      </c>
      <c r="AA288" s="64">
        <v>52291</v>
      </c>
      <c r="AB288">
        <v>0.10636363636363635</v>
      </c>
    </row>
    <row r="289" spans="1:28" x14ac:dyDescent="0.25">
      <c r="A289" s="125"/>
      <c r="B289" s="64" t="s">
        <v>1066</v>
      </c>
      <c r="C289" s="64">
        <v>52287</v>
      </c>
      <c r="D289" s="44">
        <v>4</v>
      </c>
      <c r="E289" s="44">
        <v>0</v>
      </c>
      <c r="F289" s="44">
        <v>1</v>
      </c>
      <c r="G289" s="44">
        <v>0.13</v>
      </c>
      <c r="H289" s="44" t="s">
        <v>6961</v>
      </c>
      <c r="I289" s="44">
        <v>0.52</v>
      </c>
      <c r="J289" s="46">
        <v>3</v>
      </c>
      <c r="K289" s="46">
        <v>0</v>
      </c>
      <c r="L289" s="46">
        <v>0.75</v>
      </c>
      <c r="M289" s="46">
        <v>0.13</v>
      </c>
      <c r="N289" s="46" t="s">
        <v>6961</v>
      </c>
      <c r="O289" s="46">
        <v>0.39</v>
      </c>
      <c r="P289" s="47">
        <v>6</v>
      </c>
      <c r="Q289" s="47">
        <v>0</v>
      </c>
      <c r="R289" s="47">
        <v>1.5</v>
      </c>
      <c r="S289" s="47">
        <v>0.13</v>
      </c>
      <c r="T289" s="47" t="s">
        <v>6961</v>
      </c>
      <c r="U289" s="47">
        <v>0.78</v>
      </c>
      <c r="V289">
        <f t="shared" si="12"/>
        <v>13</v>
      </c>
      <c r="W289">
        <f t="shared" si="13"/>
        <v>1.69</v>
      </c>
      <c r="X289">
        <f t="shared" si="14"/>
        <v>0.13</v>
      </c>
      <c r="AA289" s="64">
        <v>52287</v>
      </c>
      <c r="AB289">
        <v>0.13</v>
      </c>
    </row>
    <row r="290" spans="1:28" x14ac:dyDescent="0.25">
      <c r="A290" s="125"/>
      <c r="B290" s="64" t="s">
        <v>1034</v>
      </c>
      <c r="C290" s="64">
        <v>52141</v>
      </c>
      <c r="D290" s="44">
        <v>1</v>
      </c>
      <c r="E290" s="44">
        <v>0</v>
      </c>
      <c r="F290" s="44">
        <v>0.25</v>
      </c>
      <c r="G290" s="44">
        <v>0.13</v>
      </c>
      <c r="H290" s="44" t="s">
        <v>6961</v>
      </c>
      <c r="I290" s="44">
        <v>0.13</v>
      </c>
      <c r="J290" s="46">
        <v>1.5</v>
      </c>
      <c r="K290" s="46">
        <v>0</v>
      </c>
      <c r="L290" s="46">
        <v>0.375</v>
      </c>
      <c r="M290" s="46">
        <v>0.13</v>
      </c>
      <c r="N290" s="46" t="s">
        <v>6961</v>
      </c>
      <c r="O290" s="46">
        <v>0.19500000000000001</v>
      </c>
      <c r="P290" s="47">
        <v>1</v>
      </c>
      <c r="Q290" s="47">
        <v>0</v>
      </c>
      <c r="R290" s="47">
        <v>0.25</v>
      </c>
      <c r="S290" s="47">
        <v>0.13</v>
      </c>
      <c r="T290" s="47" t="s">
        <v>6961</v>
      </c>
      <c r="U290" s="47">
        <v>0.13</v>
      </c>
      <c r="V290">
        <f t="shared" si="12"/>
        <v>3.5</v>
      </c>
      <c r="W290">
        <f t="shared" si="13"/>
        <v>0.45500000000000002</v>
      </c>
      <c r="X290">
        <f t="shared" si="14"/>
        <v>0.13</v>
      </c>
      <c r="AA290" s="64">
        <v>52141</v>
      </c>
      <c r="AB290">
        <v>0.13</v>
      </c>
    </row>
    <row r="291" spans="1:28" x14ac:dyDescent="0.25">
      <c r="A291" s="125"/>
      <c r="B291" s="64" t="s">
        <v>1051</v>
      </c>
      <c r="C291" s="64">
        <v>52237</v>
      </c>
      <c r="D291" s="44">
        <v>0.1</v>
      </c>
      <c r="E291" s="44">
        <v>0</v>
      </c>
      <c r="F291" s="44">
        <v>0</v>
      </c>
      <c r="G291" s="44">
        <v>0</v>
      </c>
      <c r="H291" s="44">
        <v>0</v>
      </c>
      <c r="I291" s="44">
        <v>0</v>
      </c>
      <c r="J291" s="46">
        <v>0.5</v>
      </c>
      <c r="K291" s="46">
        <v>0</v>
      </c>
      <c r="L291" s="46">
        <v>0</v>
      </c>
      <c r="M291" s="46">
        <v>0</v>
      </c>
      <c r="N291" s="46">
        <v>0</v>
      </c>
      <c r="O291" s="46">
        <v>0</v>
      </c>
      <c r="P291" s="47">
        <v>0.1</v>
      </c>
      <c r="Q291" s="47">
        <v>0</v>
      </c>
      <c r="R291" s="47">
        <v>0</v>
      </c>
      <c r="S291" s="47">
        <v>0</v>
      </c>
      <c r="T291" s="47">
        <v>0</v>
      </c>
      <c r="U291" s="47">
        <v>0</v>
      </c>
      <c r="V291">
        <f t="shared" si="12"/>
        <v>0.7</v>
      </c>
      <c r="W291">
        <f t="shared" si="13"/>
        <v>0</v>
      </c>
      <c r="X291">
        <f t="shared" si="14"/>
        <v>0</v>
      </c>
      <c r="AA291" s="64">
        <v>52237</v>
      </c>
      <c r="AB291">
        <v>0</v>
      </c>
    </row>
    <row r="292" spans="1:28" x14ac:dyDescent="0.25">
      <c r="A292" s="125"/>
      <c r="B292" s="64" t="s">
        <v>1050</v>
      </c>
      <c r="C292" s="64">
        <v>52234</v>
      </c>
      <c r="D292" s="44">
        <v>0</v>
      </c>
      <c r="E292" s="44">
        <v>0</v>
      </c>
      <c r="F292" s="44">
        <v>0</v>
      </c>
      <c r="G292" s="44">
        <v>0</v>
      </c>
      <c r="H292" s="44">
        <v>0</v>
      </c>
      <c r="I292" s="44">
        <v>0</v>
      </c>
      <c r="J292" s="46">
        <v>3</v>
      </c>
      <c r="K292" s="46">
        <v>0</v>
      </c>
      <c r="L292" s="46">
        <v>0</v>
      </c>
      <c r="M292" s="46">
        <v>0</v>
      </c>
      <c r="N292" s="46">
        <v>0</v>
      </c>
      <c r="O292" s="46">
        <v>0</v>
      </c>
      <c r="P292" s="47">
        <v>0.5</v>
      </c>
      <c r="Q292" s="47">
        <v>0</v>
      </c>
      <c r="R292" s="47">
        <v>0</v>
      </c>
      <c r="S292" s="47">
        <v>0</v>
      </c>
      <c r="T292" s="47">
        <v>0</v>
      </c>
      <c r="U292" s="47">
        <v>0</v>
      </c>
      <c r="V292">
        <f t="shared" si="12"/>
        <v>3.5</v>
      </c>
      <c r="W292">
        <f t="shared" si="13"/>
        <v>0</v>
      </c>
      <c r="X292">
        <f t="shared" si="14"/>
        <v>0</v>
      </c>
      <c r="AA292" s="64">
        <v>52234</v>
      </c>
      <c r="AB292">
        <v>0</v>
      </c>
    </row>
    <row r="293" spans="1:28" x14ac:dyDescent="0.25">
      <c r="A293" s="125"/>
      <c r="B293" s="64" t="s">
        <v>1033</v>
      </c>
      <c r="C293" s="64">
        <v>52136</v>
      </c>
      <c r="D293" s="44">
        <v>9</v>
      </c>
      <c r="E293" s="44">
        <v>0</v>
      </c>
      <c r="F293" s="44">
        <v>0</v>
      </c>
      <c r="G293" s="44">
        <v>0</v>
      </c>
      <c r="H293" s="44">
        <v>0</v>
      </c>
      <c r="I293" s="44">
        <v>0</v>
      </c>
      <c r="J293" s="46">
        <v>7</v>
      </c>
      <c r="K293" s="46">
        <v>0</v>
      </c>
      <c r="L293" s="46">
        <v>0</v>
      </c>
      <c r="M293" s="46">
        <v>0</v>
      </c>
      <c r="N293" s="46">
        <v>0</v>
      </c>
      <c r="O293" s="46">
        <v>0</v>
      </c>
      <c r="P293" s="47">
        <v>9</v>
      </c>
      <c r="Q293" s="47">
        <v>0</v>
      </c>
      <c r="R293" s="47">
        <v>0</v>
      </c>
      <c r="S293" s="47">
        <v>0</v>
      </c>
      <c r="T293" s="47">
        <v>0</v>
      </c>
      <c r="U293" s="47">
        <v>0</v>
      </c>
      <c r="V293">
        <f t="shared" si="12"/>
        <v>25</v>
      </c>
      <c r="W293">
        <f t="shared" si="13"/>
        <v>0</v>
      </c>
      <c r="X293">
        <f t="shared" si="14"/>
        <v>0</v>
      </c>
      <c r="AA293" s="64">
        <v>52136</v>
      </c>
      <c r="AB293">
        <v>0</v>
      </c>
    </row>
    <row r="294" spans="1:28" x14ac:dyDescent="0.25">
      <c r="A294" s="125"/>
      <c r="B294" s="64" t="s">
        <v>2946</v>
      </c>
      <c r="C294" s="64">
        <v>52227</v>
      </c>
      <c r="D294" s="44">
        <v>0</v>
      </c>
      <c r="E294" s="44">
        <v>0</v>
      </c>
      <c r="F294" s="44">
        <v>0</v>
      </c>
      <c r="G294" s="44">
        <v>0</v>
      </c>
      <c r="H294" s="44">
        <v>0</v>
      </c>
      <c r="I294" s="44">
        <v>0</v>
      </c>
      <c r="J294" s="46">
        <v>200</v>
      </c>
      <c r="K294" s="46">
        <v>0</v>
      </c>
      <c r="L294" s="46">
        <v>0</v>
      </c>
      <c r="M294" s="46">
        <v>0</v>
      </c>
      <c r="N294" s="46">
        <v>0</v>
      </c>
      <c r="O294" s="46">
        <v>0</v>
      </c>
      <c r="P294" s="47">
        <v>0.3</v>
      </c>
      <c r="Q294" s="47">
        <v>0</v>
      </c>
      <c r="R294" s="47">
        <v>0</v>
      </c>
      <c r="S294" s="47">
        <v>0</v>
      </c>
      <c r="T294" s="47">
        <v>0</v>
      </c>
      <c r="U294" s="47">
        <v>0</v>
      </c>
      <c r="V294">
        <f t="shared" si="12"/>
        <v>200.3</v>
      </c>
      <c r="W294">
        <f t="shared" si="13"/>
        <v>0</v>
      </c>
      <c r="X294">
        <f t="shared" si="14"/>
        <v>0</v>
      </c>
      <c r="AA294" s="64">
        <v>52227</v>
      </c>
      <c r="AB294">
        <v>0</v>
      </c>
    </row>
    <row r="295" spans="1:28" x14ac:dyDescent="0.25">
      <c r="A295" s="125"/>
      <c r="B295" s="64" t="s">
        <v>1043</v>
      </c>
      <c r="C295" s="64">
        <v>52211</v>
      </c>
      <c r="D295" s="44">
        <v>5</v>
      </c>
      <c r="E295" s="44">
        <v>0</v>
      </c>
      <c r="F295" s="44">
        <v>0</v>
      </c>
      <c r="G295" s="44">
        <v>0</v>
      </c>
      <c r="H295" s="44">
        <v>0</v>
      </c>
      <c r="I295" s="44">
        <v>0</v>
      </c>
      <c r="J295" s="46">
        <v>5</v>
      </c>
      <c r="K295" s="46">
        <v>0</v>
      </c>
      <c r="L295" s="46">
        <v>0</v>
      </c>
      <c r="M295" s="46">
        <v>0</v>
      </c>
      <c r="N295" s="46">
        <v>0</v>
      </c>
      <c r="O295" s="46">
        <v>0</v>
      </c>
      <c r="P295" s="47">
        <v>1</v>
      </c>
      <c r="Q295" s="47">
        <v>0</v>
      </c>
      <c r="R295" s="47">
        <v>0.25</v>
      </c>
      <c r="S295" s="47">
        <v>0.13</v>
      </c>
      <c r="T295" s="47" t="s">
        <v>6961</v>
      </c>
      <c r="U295" s="47">
        <v>0.13</v>
      </c>
      <c r="V295">
        <f t="shared" si="12"/>
        <v>11</v>
      </c>
      <c r="W295">
        <f t="shared" si="13"/>
        <v>0.13</v>
      </c>
      <c r="X295">
        <f t="shared" si="14"/>
        <v>1.1818181818181818E-2</v>
      </c>
      <c r="AA295" s="64">
        <v>52211</v>
      </c>
      <c r="AB295">
        <v>1.1818181818181818E-2</v>
      </c>
    </row>
    <row r="296" spans="1:28" x14ac:dyDescent="0.25">
      <c r="A296" s="125"/>
      <c r="B296" s="64" t="s">
        <v>1047</v>
      </c>
      <c r="C296" s="64">
        <v>52224</v>
      </c>
      <c r="D296" s="44">
        <v>9</v>
      </c>
      <c r="E296" s="44">
        <v>0</v>
      </c>
      <c r="F296" s="44">
        <v>0</v>
      </c>
      <c r="G296" s="44">
        <v>0</v>
      </c>
      <c r="H296" s="44">
        <v>0</v>
      </c>
      <c r="I296" s="44">
        <v>0</v>
      </c>
      <c r="J296" s="46">
        <v>12</v>
      </c>
      <c r="K296" s="46">
        <v>0</v>
      </c>
      <c r="L296" s="46">
        <v>0</v>
      </c>
      <c r="M296" s="46">
        <v>0</v>
      </c>
      <c r="N296" s="46">
        <v>0</v>
      </c>
      <c r="O296" s="46">
        <v>0</v>
      </c>
      <c r="P296" s="47">
        <v>10</v>
      </c>
      <c r="Q296" s="47">
        <v>0</v>
      </c>
      <c r="R296" s="47">
        <v>0</v>
      </c>
      <c r="S296" s="47">
        <v>0</v>
      </c>
      <c r="T296" s="47">
        <v>0</v>
      </c>
      <c r="U296" s="47">
        <v>0</v>
      </c>
      <c r="V296">
        <f t="shared" si="12"/>
        <v>31</v>
      </c>
      <c r="W296">
        <f t="shared" si="13"/>
        <v>0</v>
      </c>
      <c r="X296">
        <f t="shared" si="14"/>
        <v>0</v>
      </c>
      <c r="AA296" s="64">
        <v>52224</v>
      </c>
      <c r="AB296">
        <v>0</v>
      </c>
    </row>
    <row r="297" spans="1:28" x14ac:dyDescent="0.25">
      <c r="A297" s="125"/>
      <c r="B297" s="64" t="s">
        <v>2943</v>
      </c>
      <c r="C297" s="64">
        <v>52116</v>
      </c>
      <c r="D297" s="44">
        <v>300</v>
      </c>
      <c r="E297" s="44">
        <v>0</v>
      </c>
      <c r="F297" s="44">
        <v>75</v>
      </c>
      <c r="G297" s="44">
        <v>0.13</v>
      </c>
      <c r="H297" s="44" t="s">
        <v>6961</v>
      </c>
      <c r="I297" s="44">
        <v>39</v>
      </c>
      <c r="J297" s="46">
        <v>2</v>
      </c>
      <c r="K297" s="46">
        <v>0</v>
      </c>
      <c r="L297" s="46">
        <v>0</v>
      </c>
      <c r="M297" s="46">
        <v>0</v>
      </c>
      <c r="N297" s="46">
        <v>0</v>
      </c>
      <c r="O297" s="46">
        <v>0</v>
      </c>
      <c r="P297" s="47">
        <v>0</v>
      </c>
      <c r="Q297" s="47">
        <v>0</v>
      </c>
      <c r="R297" s="47">
        <v>0</v>
      </c>
      <c r="S297" s="47">
        <v>0</v>
      </c>
      <c r="T297" s="47">
        <v>0</v>
      </c>
      <c r="U297" s="47">
        <v>0</v>
      </c>
      <c r="V297">
        <f t="shared" si="12"/>
        <v>302</v>
      </c>
      <c r="W297">
        <f t="shared" si="13"/>
        <v>39</v>
      </c>
      <c r="X297">
        <f t="shared" si="14"/>
        <v>0.12913907284768211</v>
      </c>
      <c r="AA297" s="64">
        <v>52116</v>
      </c>
      <c r="AB297">
        <v>0.12913907284768211</v>
      </c>
    </row>
    <row r="298" spans="1:28" x14ac:dyDescent="0.25">
      <c r="A298" s="125"/>
      <c r="B298" s="64" t="s">
        <v>1028</v>
      </c>
      <c r="C298" s="64">
        <v>52111</v>
      </c>
      <c r="D298" s="44">
        <v>20</v>
      </c>
      <c r="E298" s="44">
        <v>0</v>
      </c>
      <c r="F298" s="44">
        <v>5</v>
      </c>
      <c r="G298" s="44">
        <v>0.13</v>
      </c>
      <c r="H298" s="44" t="s">
        <v>6961</v>
      </c>
      <c r="I298" s="44">
        <v>2.6</v>
      </c>
      <c r="J298" s="46">
        <v>15</v>
      </c>
      <c r="K298" s="46">
        <v>3.75</v>
      </c>
      <c r="L298" s="46">
        <v>7.5</v>
      </c>
      <c r="M298" s="46">
        <v>0.375</v>
      </c>
      <c r="N298" s="46" t="s">
        <v>6958</v>
      </c>
      <c r="O298" s="46">
        <v>5.625</v>
      </c>
      <c r="P298" s="47">
        <v>10000</v>
      </c>
      <c r="Q298" s="47">
        <v>2500</v>
      </c>
      <c r="R298" s="47">
        <v>5000</v>
      </c>
      <c r="S298" s="47">
        <v>0.375</v>
      </c>
      <c r="T298" s="47" t="s">
        <v>6958</v>
      </c>
      <c r="U298" s="47">
        <v>3750</v>
      </c>
      <c r="V298">
        <f t="shared" si="12"/>
        <v>10035</v>
      </c>
      <c r="W298">
        <f t="shared" si="13"/>
        <v>3758.2249999999999</v>
      </c>
      <c r="X298">
        <f t="shared" si="14"/>
        <v>0.37451170901843545</v>
      </c>
      <c r="AA298" s="64">
        <v>52111</v>
      </c>
      <c r="AB298">
        <v>0.37451170901843545</v>
      </c>
    </row>
    <row r="299" spans="1:28" x14ac:dyDescent="0.25">
      <c r="A299" s="125"/>
      <c r="B299" s="64" t="s">
        <v>1059</v>
      </c>
      <c r="C299" s="64">
        <v>52264</v>
      </c>
      <c r="D299" s="44">
        <v>0</v>
      </c>
      <c r="E299" s="44">
        <v>0</v>
      </c>
      <c r="F299" s="44">
        <v>0</v>
      </c>
      <c r="G299" s="44">
        <v>0</v>
      </c>
      <c r="H299" s="44">
        <v>0</v>
      </c>
      <c r="I299" s="44">
        <v>0</v>
      </c>
      <c r="J299" s="46">
        <v>0.2</v>
      </c>
      <c r="K299" s="46">
        <v>0</v>
      </c>
      <c r="L299" s="46">
        <v>0</v>
      </c>
      <c r="M299" s="46">
        <v>0</v>
      </c>
      <c r="N299" s="46">
        <v>0</v>
      </c>
      <c r="O299" s="46">
        <v>0</v>
      </c>
      <c r="P299" s="47">
        <v>0.4</v>
      </c>
      <c r="Q299" s="47">
        <v>0</v>
      </c>
      <c r="R299" s="47">
        <v>0</v>
      </c>
      <c r="S299" s="47">
        <v>0</v>
      </c>
      <c r="T299" s="47">
        <v>0</v>
      </c>
      <c r="U299" s="47">
        <v>0</v>
      </c>
      <c r="V299">
        <f t="shared" si="12"/>
        <v>0.60000000000000009</v>
      </c>
      <c r="W299">
        <f t="shared" si="13"/>
        <v>0</v>
      </c>
      <c r="X299">
        <f t="shared" si="14"/>
        <v>0</v>
      </c>
      <c r="AA299" s="64">
        <v>52264</v>
      </c>
      <c r="AB299">
        <v>0</v>
      </c>
    </row>
    <row r="300" spans="1:28" x14ac:dyDescent="0.25">
      <c r="A300" s="124" t="s">
        <v>3045</v>
      </c>
      <c r="B300" s="64" t="s">
        <v>1020</v>
      </c>
      <c r="C300" s="64">
        <v>51353</v>
      </c>
      <c r="D300" s="44">
        <v>57</v>
      </c>
      <c r="E300" s="44">
        <v>0</v>
      </c>
      <c r="F300" s="44">
        <v>14.25</v>
      </c>
      <c r="G300" s="44">
        <v>0.13</v>
      </c>
      <c r="H300" s="44" t="s">
        <v>6961</v>
      </c>
      <c r="I300" s="44">
        <v>7.41</v>
      </c>
      <c r="J300" s="46">
        <v>6</v>
      </c>
      <c r="K300" s="46">
        <v>0</v>
      </c>
      <c r="L300" s="46">
        <v>1.5</v>
      </c>
      <c r="M300" s="46">
        <v>0.13</v>
      </c>
      <c r="N300" s="46" t="s">
        <v>6961</v>
      </c>
      <c r="O300" s="46">
        <v>0.78</v>
      </c>
      <c r="P300" s="47">
        <v>10</v>
      </c>
      <c r="Q300" s="47">
        <v>0</v>
      </c>
      <c r="R300" s="47">
        <v>2.5</v>
      </c>
      <c r="S300" s="47">
        <v>0.13</v>
      </c>
      <c r="T300" s="47" t="s">
        <v>6961</v>
      </c>
      <c r="U300" s="47">
        <v>1.3</v>
      </c>
      <c r="V300">
        <f t="shared" si="12"/>
        <v>73</v>
      </c>
      <c r="W300">
        <f t="shared" si="13"/>
        <v>9.49</v>
      </c>
      <c r="X300">
        <f t="shared" si="14"/>
        <v>0.13</v>
      </c>
      <c r="AA300" s="64">
        <v>51353</v>
      </c>
      <c r="AB300">
        <v>0.13</v>
      </c>
    </row>
    <row r="301" spans="1:28" x14ac:dyDescent="0.25">
      <c r="A301" s="125"/>
      <c r="B301" s="64" t="s">
        <v>1024</v>
      </c>
      <c r="C301" s="64">
        <v>51371</v>
      </c>
      <c r="D301" s="44">
        <v>0</v>
      </c>
      <c r="E301" s="44">
        <v>0</v>
      </c>
      <c r="F301" s="44">
        <v>0</v>
      </c>
      <c r="G301" s="44">
        <v>0</v>
      </c>
      <c r="H301" s="44">
        <v>0</v>
      </c>
      <c r="I301" s="44">
        <v>0</v>
      </c>
      <c r="J301" s="46">
        <v>276</v>
      </c>
      <c r="K301" s="46">
        <v>207</v>
      </c>
      <c r="L301" s="46">
        <v>276</v>
      </c>
      <c r="M301" s="46">
        <v>0.87</v>
      </c>
      <c r="N301" s="46" t="s">
        <v>6959</v>
      </c>
      <c r="O301" s="46">
        <v>240.12</v>
      </c>
      <c r="P301" s="47">
        <v>1500</v>
      </c>
      <c r="Q301" s="47">
        <v>750</v>
      </c>
      <c r="R301" s="47">
        <v>1125</v>
      </c>
      <c r="S301" s="47">
        <v>0.625</v>
      </c>
      <c r="T301" s="47" t="s">
        <v>6960</v>
      </c>
      <c r="U301" s="47">
        <v>937.5</v>
      </c>
      <c r="V301">
        <f t="shared" si="12"/>
        <v>1776</v>
      </c>
      <c r="W301">
        <f t="shared" si="13"/>
        <v>1177.6199999999999</v>
      </c>
      <c r="X301">
        <f t="shared" si="14"/>
        <v>0.66307432432432423</v>
      </c>
      <c r="AA301" s="64">
        <v>51371</v>
      </c>
      <c r="AB301">
        <v>0.66307432432432423</v>
      </c>
    </row>
    <row r="302" spans="1:28" x14ac:dyDescent="0.25">
      <c r="A302" s="125"/>
      <c r="B302" s="64" t="s">
        <v>1021</v>
      </c>
      <c r="C302" s="64">
        <v>51354</v>
      </c>
      <c r="D302" s="44">
        <v>0</v>
      </c>
      <c r="E302" s="44">
        <v>0</v>
      </c>
      <c r="F302" s="44">
        <v>0</v>
      </c>
      <c r="G302" s="44">
        <v>0</v>
      </c>
      <c r="H302" s="44">
        <v>0</v>
      </c>
      <c r="I302" s="44">
        <v>0</v>
      </c>
      <c r="J302" s="46">
        <v>113</v>
      </c>
      <c r="K302" s="46">
        <v>84.75</v>
      </c>
      <c r="L302" s="46">
        <v>113</v>
      </c>
      <c r="M302" s="46">
        <v>0.87</v>
      </c>
      <c r="N302" s="46" t="s">
        <v>6959</v>
      </c>
      <c r="O302" s="46">
        <v>98.31</v>
      </c>
      <c r="P302" s="47">
        <v>25</v>
      </c>
      <c r="Q302" s="47">
        <v>6.25</v>
      </c>
      <c r="R302" s="47">
        <v>12.5</v>
      </c>
      <c r="S302" s="47">
        <v>0.375</v>
      </c>
      <c r="T302" s="47" t="s">
        <v>6958</v>
      </c>
      <c r="U302" s="47">
        <v>9.375</v>
      </c>
      <c r="V302">
        <f t="shared" si="12"/>
        <v>138</v>
      </c>
      <c r="W302">
        <f t="shared" si="13"/>
        <v>107.685</v>
      </c>
      <c r="X302">
        <f t="shared" si="14"/>
        <v>0.78032608695652173</v>
      </c>
      <c r="AA302" s="64">
        <v>51354</v>
      </c>
      <c r="AB302">
        <v>0.78032608695652173</v>
      </c>
    </row>
    <row r="303" spans="1:28" x14ac:dyDescent="0.25">
      <c r="A303" s="125"/>
      <c r="B303" s="64" t="s">
        <v>1016</v>
      </c>
      <c r="C303" s="64">
        <v>51329</v>
      </c>
      <c r="D303" s="44">
        <v>0</v>
      </c>
      <c r="E303" s="44">
        <v>0</v>
      </c>
      <c r="F303" s="44">
        <v>0</v>
      </c>
      <c r="G303" s="44">
        <v>0</v>
      </c>
      <c r="H303" s="44">
        <v>0</v>
      </c>
      <c r="I303" s="44">
        <v>0</v>
      </c>
      <c r="J303" s="46">
        <v>276</v>
      </c>
      <c r="K303" s="46">
        <v>207</v>
      </c>
      <c r="L303" s="46">
        <v>276</v>
      </c>
      <c r="M303" s="46">
        <v>0.87</v>
      </c>
      <c r="N303" s="46" t="s">
        <v>6959</v>
      </c>
      <c r="O303" s="46">
        <v>240.12</v>
      </c>
      <c r="P303" s="47">
        <v>4</v>
      </c>
      <c r="Q303" s="47">
        <v>0</v>
      </c>
      <c r="R303" s="47">
        <v>1</v>
      </c>
      <c r="S303" s="47">
        <v>0.13</v>
      </c>
      <c r="T303" s="47" t="s">
        <v>6961</v>
      </c>
      <c r="U303" s="47">
        <v>0.52</v>
      </c>
      <c r="V303">
        <f t="shared" si="12"/>
        <v>280</v>
      </c>
      <c r="W303">
        <f t="shared" si="13"/>
        <v>240.64000000000001</v>
      </c>
      <c r="X303">
        <f t="shared" si="14"/>
        <v>0.85942857142857143</v>
      </c>
      <c r="AA303" s="64">
        <v>51329</v>
      </c>
      <c r="AB303">
        <v>0.85942857142857143</v>
      </c>
    </row>
    <row r="304" spans="1:28" x14ac:dyDescent="0.25">
      <c r="A304" s="125"/>
      <c r="B304" s="64" t="s">
        <v>2933</v>
      </c>
      <c r="C304" s="64">
        <v>51177</v>
      </c>
      <c r="D304" s="44">
        <v>3</v>
      </c>
      <c r="E304" s="44">
        <v>0</v>
      </c>
      <c r="F304" s="44">
        <v>0.75</v>
      </c>
      <c r="G304" s="44">
        <v>0.13</v>
      </c>
      <c r="H304" s="44" t="s">
        <v>6961</v>
      </c>
      <c r="I304" s="44">
        <v>0.39</v>
      </c>
      <c r="J304" s="46">
        <v>10</v>
      </c>
      <c r="K304" s="46">
        <v>2.5</v>
      </c>
      <c r="L304" s="46">
        <v>5</v>
      </c>
      <c r="M304" s="46">
        <v>0.375</v>
      </c>
      <c r="N304" s="46" t="s">
        <v>6958</v>
      </c>
      <c r="O304" s="46">
        <v>3.75</v>
      </c>
      <c r="P304" s="47">
        <v>7</v>
      </c>
      <c r="Q304" s="47">
        <v>3.5</v>
      </c>
      <c r="R304" s="47">
        <v>5.25</v>
      </c>
      <c r="S304" s="47">
        <v>0.625</v>
      </c>
      <c r="T304" s="47" t="s">
        <v>6960</v>
      </c>
      <c r="U304" s="47">
        <v>4.375</v>
      </c>
      <c r="V304">
        <f t="shared" si="12"/>
        <v>20</v>
      </c>
      <c r="W304">
        <f t="shared" si="13"/>
        <v>8.5150000000000006</v>
      </c>
      <c r="X304">
        <f t="shared" si="14"/>
        <v>0.42575000000000002</v>
      </c>
      <c r="AA304" s="64">
        <v>51177</v>
      </c>
      <c r="AB304">
        <v>0.42575000000000002</v>
      </c>
    </row>
    <row r="305" spans="1:28" x14ac:dyDescent="0.25">
      <c r="A305" s="125"/>
      <c r="B305" s="64" t="s">
        <v>982</v>
      </c>
      <c r="C305" s="64">
        <v>51151</v>
      </c>
      <c r="D305" s="44">
        <v>0</v>
      </c>
      <c r="E305" s="44">
        <v>0</v>
      </c>
      <c r="F305" s="44">
        <v>0</v>
      </c>
      <c r="G305" s="44">
        <v>0</v>
      </c>
      <c r="H305" s="44">
        <v>0</v>
      </c>
      <c r="I305" s="44">
        <v>0</v>
      </c>
      <c r="J305" s="46">
        <v>20</v>
      </c>
      <c r="K305" s="46"/>
      <c r="L305" s="46"/>
      <c r="M305" s="46"/>
      <c r="N305" s="46"/>
      <c r="O305" s="46"/>
      <c r="P305" s="47">
        <v>8</v>
      </c>
      <c r="Q305" s="47">
        <v>2</v>
      </c>
      <c r="R305" s="47">
        <v>4</v>
      </c>
      <c r="S305" s="47">
        <v>0.375</v>
      </c>
      <c r="T305" s="47" t="s">
        <v>6958</v>
      </c>
      <c r="U305" s="47">
        <v>3</v>
      </c>
      <c r="V305">
        <f t="shared" si="12"/>
        <v>28</v>
      </c>
      <c r="W305">
        <f t="shared" si="13"/>
        <v>3</v>
      </c>
      <c r="X305">
        <f t="shared" si="14"/>
        <v>0.10714285714285714</v>
      </c>
      <c r="AA305" s="64">
        <v>51151</v>
      </c>
      <c r="AB305">
        <v>0.10714285714285714</v>
      </c>
    </row>
    <row r="306" spans="1:28" x14ac:dyDescent="0.25">
      <c r="A306" s="125"/>
      <c r="B306" s="64" t="s">
        <v>984</v>
      </c>
      <c r="C306" s="64">
        <v>51163</v>
      </c>
      <c r="D306" s="44">
        <v>2</v>
      </c>
      <c r="E306" s="44">
        <v>0</v>
      </c>
      <c r="F306" s="44">
        <v>0</v>
      </c>
      <c r="G306" s="44">
        <v>0</v>
      </c>
      <c r="H306" s="44">
        <v>0</v>
      </c>
      <c r="I306" s="44">
        <v>0</v>
      </c>
      <c r="J306" s="46">
        <v>300</v>
      </c>
      <c r="K306" s="46">
        <v>75</v>
      </c>
      <c r="L306" s="46">
        <v>150</v>
      </c>
      <c r="M306" s="46">
        <v>0.375</v>
      </c>
      <c r="N306" s="46" t="s">
        <v>6958</v>
      </c>
      <c r="O306" s="46">
        <v>112.5</v>
      </c>
      <c r="P306" s="47">
        <v>400</v>
      </c>
      <c r="Q306" s="47">
        <v>100</v>
      </c>
      <c r="R306" s="47">
        <v>200</v>
      </c>
      <c r="S306" s="47">
        <v>0.375</v>
      </c>
      <c r="T306" s="47" t="s">
        <v>6958</v>
      </c>
      <c r="U306" s="47">
        <v>150</v>
      </c>
      <c r="V306">
        <f t="shared" si="12"/>
        <v>702</v>
      </c>
      <c r="W306">
        <f t="shared" si="13"/>
        <v>262.5</v>
      </c>
      <c r="X306">
        <f t="shared" si="14"/>
        <v>0.37393162393162394</v>
      </c>
      <c r="AA306" s="64">
        <v>51163</v>
      </c>
      <c r="AB306">
        <v>0.37393162393162394</v>
      </c>
    </row>
    <row r="307" spans="1:28" x14ac:dyDescent="0.25">
      <c r="A307" s="125"/>
      <c r="B307" s="64" t="s">
        <v>983</v>
      </c>
      <c r="C307" s="64">
        <v>51157</v>
      </c>
      <c r="D307" s="44">
        <v>50</v>
      </c>
      <c r="E307" s="44">
        <v>0</v>
      </c>
      <c r="F307" s="44">
        <v>12.5</v>
      </c>
      <c r="G307" s="44">
        <v>0.13</v>
      </c>
      <c r="H307" s="44" t="s">
        <v>6961</v>
      </c>
      <c r="I307" s="44">
        <v>6.5</v>
      </c>
      <c r="J307" s="46">
        <v>200</v>
      </c>
      <c r="K307" s="46">
        <v>0</v>
      </c>
      <c r="L307" s="46">
        <v>50</v>
      </c>
      <c r="M307" s="46">
        <v>0.13</v>
      </c>
      <c r="N307" s="46" t="s">
        <v>6961</v>
      </c>
      <c r="O307" s="46">
        <v>26</v>
      </c>
      <c r="P307" s="47">
        <v>280</v>
      </c>
      <c r="Q307" s="47">
        <v>140</v>
      </c>
      <c r="R307" s="47">
        <v>210</v>
      </c>
      <c r="S307" s="47">
        <v>0.625</v>
      </c>
      <c r="T307" s="47" t="s">
        <v>6960</v>
      </c>
      <c r="U307" s="47">
        <v>175</v>
      </c>
      <c r="V307">
        <f t="shared" si="12"/>
        <v>530</v>
      </c>
      <c r="W307">
        <f t="shared" si="13"/>
        <v>207.5</v>
      </c>
      <c r="X307">
        <f t="shared" si="14"/>
        <v>0.39150943396226418</v>
      </c>
      <c r="AA307" s="64">
        <v>51157</v>
      </c>
      <c r="AB307">
        <v>0.39150943396226418</v>
      </c>
    </row>
    <row r="308" spans="1:28" x14ac:dyDescent="0.25">
      <c r="A308" s="125"/>
      <c r="B308" s="64" t="s">
        <v>2932</v>
      </c>
      <c r="C308" s="64">
        <v>51145</v>
      </c>
      <c r="D308" s="44">
        <v>0</v>
      </c>
      <c r="E308" s="44">
        <v>0</v>
      </c>
      <c r="F308" s="44">
        <v>0</v>
      </c>
      <c r="G308" s="44">
        <v>0</v>
      </c>
      <c r="H308" s="44">
        <v>0</v>
      </c>
      <c r="I308" s="44">
        <v>0</v>
      </c>
      <c r="J308" s="46">
        <v>500</v>
      </c>
      <c r="K308" s="46">
        <v>0</v>
      </c>
      <c r="L308" s="46">
        <v>0</v>
      </c>
      <c r="M308" s="46">
        <v>0</v>
      </c>
      <c r="N308" s="46">
        <v>0</v>
      </c>
      <c r="O308" s="46">
        <v>0</v>
      </c>
      <c r="P308" s="47">
        <v>100</v>
      </c>
      <c r="Q308" s="47">
        <v>0</v>
      </c>
      <c r="R308" s="47">
        <v>0</v>
      </c>
      <c r="S308" s="47">
        <v>0</v>
      </c>
      <c r="T308" s="47">
        <v>0</v>
      </c>
      <c r="U308" s="47">
        <v>0</v>
      </c>
      <c r="V308">
        <f t="shared" si="12"/>
        <v>600</v>
      </c>
      <c r="W308">
        <f t="shared" si="13"/>
        <v>0</v>
      </c>
      <c r="X308">
        <f t="shared" si="14"/>
        <v>0</v>
      </c>
      <c r="AA308" s="64">
        <v>51145</v>
      </c>
      <c r="AB308">
        <v>0</v>
      </c>
    </row>
    <row r="309" spans="1:28" x14ac:dyDescent="0.25">
      <c r="A309" s="125"/>
      <c r="B309" s="64" t="s">
        <v>996</v>
      </c>
      <c r="C309" s="64">
        <v>51231</v>
      </c>
      <c r="D309" s="44">
        <v>0</v>
      </c>
      <c r="E309" s="44">
        <v>0</v>
      </c>
      <c r="F309" s="44">
        <v>0</v>
      </c>
      <c r="G309" s="44">
        <v>0</v>
      </c>
      <c r="H309" s="44">
        <v>0</v>
      </c>
      <c r="I309" s="44">
        <v>0</v>
      </c>
      <c r="J309" s="46">
        <v>10</v>
      </c>
      <c r="K309" s="46">
        <v>0</v>
      </c>
      <c r="L309" s="46">
        <v>2.5</v>
      </c>
      <c r="M309" s="46">
        <v>0.13</v>
      </c>
      <c r="N309" s="46" t="s">
        <v>6961</v>
      </c>
      <c r="O309" s="46">
        <v>1.3</v>
      </c>
      <c r="P309" s="47">
        <v>3</v>
      </c>
      <c r="Q309" s="47">
        <v>1.5</v>
      </c>
      <c r="R309" s="47">
        <v>2.25</v>
      </c>
      <c r="S309" s="47">
        <v>0.625</v>
      </c>
      <c r="T309" s="47" t="s">
        <v>6960</v>
      </c>
      <c r="U309" s="47">
        <v>1.875</v>
      </c>
      <c r="V309">
        <f t="shared" si="12"/>
        <v>13</v>
      </c>
      <c r="W309">
        <f t="shared" si="13"/>
        <v>3.1749999999999998</v>
      </c>
      <c r="X309">
        <f t="shared" si="14"/>
        <v>0.24423076923076922</v>
      </c>
      <c r="AA309" s="64">
        <v>51231</v>
      </c>
      <c r="AB309">
        <v>0.24423076923076922</v>
      </c>
    </row>
    <row r="310" spans="1:28" x14ac:dyDescent="0.25">
      <c r="A310" s="125"/>
      <c r="B310" s="64" t="s">
        <v>980</v>
      </c>
      <c r="C310" s="64">
        <v>51139</v>
      </c>
      <c r="D310" s="44">
        <v>3</v>
      </c>
      <c r="E310" s="44">
        <v>0</v>
      </c>
      <c r="F310" s="44">
        <v>0</v>
      </c>
      <c r="G310" s="44">
        <v>0</v>
      </c>
      <c r="H310" s="44">
        <v>0</v>
      </c>
      <c r="I310" s="44">
        <v>0</v>
      </c>
      <c r="J310" s="46">
        <v>100</v>
      </c>
      <c r="K310" s="46">
        <v>0</v>
      </c>
      <c r="L310" s="46">
        <v>25</v>
      </c>
      <c r="M310" s="46">
        <v>0.13</v>
      </c>
      <c r="N310" s="46" t="s">
        <v>6961</v>
      </c>
      <c r="O310" s="46">
        <v>13</v>
      </c>
      <c r="P310" s="47">
        <v>1300</v>
      </c>
      <c r="Q310" s="47">
        <v>0</v>
      </c>
      <c r="R310" s="47">
        <v>325</v>
      </c>
      <c r="S310" s="47">
        <v>0.13</v>
      </c>
      <c r="T310" s="47" t="s">
        <v>6961</v>
      </c>
      <c r="U310" s="47">
        <v>169</v>
      </c>
      <c r="V310">
        <f t="shared" si="12"/>
        <v>1403</v>
      </c>
      <c r="W310">
        <f t="shared" si="13"/>
        <v>182</v>
      </c>
      <c r="X310">
        <f t="shared" si="14"/>
        <v>0.12972202423378476</v>
      </c>
      <c r="AA310" s="64">
        <v>51139</v>
      </c>
      <c r="AB310">
        <v>0.12972202423378476</v>
      </c>
    </row>
    <row r="311" spans="1:28" x14ac:dyDescent="0.25">
      <c r="A311" s="125"/>
      <c r="B311" s="64" t="s">
        <v>1022</v>
      </c>
      <c r="C311" s="64">
        <v>51359</v>
      </c>
      <c r="D311" s="44">
        <v>3</v>
      </c>
      <c r="E311" s="44">
        <v>0</v>
      </c>
      <c r="F311" s="44">
        <v>0</v>
      </c>
      <c r="G311" s="44">
        <v>0</v>
      </c>
      <c r="H311" s="44">
        <v>0</v>
      </c>
      <c r="I311" s="44">
        <v>0</v>
      </c>
      <c r="J311" s="46">
        <v>200</v>
      </c>
      <c r="K311" s="46">
        <v>0</v>
      </c>
      <c r="L311" s="46">
        <v>50</v>
      </c>
      <c r="M311" s="46">
        <v>0.13</v>
      </c>
      <c r="N311" s="46" t="s">
        <v>6961</v>
      </c>
      <c r="O311" s="46">
        <v>26</v>
      </c>
      <c r="P311" s="47">
        <v>300</v>
      </c>
      <c r="Q311" s="47">
        <v>0</v>
      </c>
      <c r="R311" s="47">
        <v>75</v>
      </c>
      <c r="S311" s="47">
        <v>0.13</v>
      </c>
      <c r="T311" s="47" t="s">
        <v>6961</v>
      </c>
      <c r="U311" s="47">
        <v>39</v>
      </c>
      <c r="V311">
        <f t="shared" si="12"/>
        <v>503</v>
      </c>
      <c r="W311">
        <f t="shared" si="13"/>
        <v>65</v>
      </c>
      <c r="X311">
        <f t="shared" si="14"/>
        <v>0.12922465208747516</v>
      </c>
      <c r="AA311" s="64">
        <v>51359</v>
      </c>
      <c r="AB311">
        <v>0.12922465208747516</v>
      </c>
    </row>
    <row r="312" spans="1:28" x14ac:dyDescent="0.25">
      <c r="A312" s="125"/>
      <c r="B312" s="64" t="s">
        <v>1019</v>
      </c>
      <c r="C312" s="64">
        <v>51347</v>
      </c>
      <c r="D312" s="44">
        <v>55</v>
      </c>
      <c r="E312" s="44">
        <v>0</v>
      </c>
      <c r="F312" s="44">
        <v>0</v>
      </c>
      <c r="G312" s="44">
        <v>0</v>
      </c>
      <c r="H312" s="44">
        <v>0</v>
      </c>
      <c r="I312" s="44">
        <v>0</v>
      </c>
      <c r="J312" s="46">
        <v>10</v>
      </c>
      <c r="K312" s="46">
        <v>0</v>
      </c>
      <c r="L312" s="46">
        <v>2.5</v>
      </c>
      <c r="M312" s="46">
        <v>0.13</v>
      </c>
      <c r="N312" s="46" t="s">
        <v>6961</v>
      </c>
      <c r="O312" s="46">
        <v>1.3</v>
      </c>
      <c r="P312" s="47">
        <v>30</v>
      </c>
      <c r="Q312" s="47">
        <v>0</v>
      </c>
      <c r="R312" s="47">
        <v>0</v>
      </c>
      <c r="S312" s="47">
        <v>0</v>
      </c>
      <c r="T312" s="47">
        <v>0</v>
      </c>
      <c r="U312" s="47">
        <v>0</v>
      </c>
      <c r="V312">
        <f t="shared" si="12"/>
        <v>95</v>
      </c>
      <c r="W312">
        <f t="shared" si="13"/>
        <v>1.3</v>
      </c>
      <c r="X312">
        <f t="shared" si="14"/>
        <v>1.368421052631579E-2</v>
      </c>
      <c r="AA312" s="64">
        <v>51347</v>
      </c>
      <c r="AB312">
        <v>1.368421052631579E-2</v>
      </c>
    </row>
    <row r="313" spans="1:28" x14ac:dyDescent="0.25">
      <c r="A313" s="125"/>
      <c r="B313" s="64" t="s">
        <v>1025</v>
      </c>
      <c r="C313" s="64">
        <v>51377</v>
      </c>
      <c r="D313" s="44">
        <v>13</v>
      </c>
      <c r="E313" s="44">
        <v>6.5</v>
      </c>
      <c r="F313" s="44">
        <v>9.75</v>
      </c>
      <c r="G313" s="44">
        <v>0.625</v>
      </c>
      <c r="H313" s="44" t="s">
        <v>6960</v>
      </c>
      <c r="I313" s="44">
        <v>8.125</v>
      </c>
      <c r="J313" s="46">
        <v>20</v>
      </c>
      <c r="K313" s="46">
        <v>0</v>
      </c>
      <c r="L313" s="46">
        <v>5</v>
      </c>
      <c r="M313" s="46">
        <v>0.13</v>
      </c>
      <c r="N313" s="46" t="s">
        <v>6961</v>
      </c>
      <c r="O313" s="46">
        <v>2.6</v>
      </c>
      <c r="P313" s="47">
        <v>50</v>
      </c>
      <c r="Q313" s="47">
        <v>37.5</v>
      </c>
      <c r="R313" s="47">
        <v>50</v>
      </c>
      <c r="S313" s="47">
        <v>0.87</v>
      </c>
      <c r="T313" s="47" t="s">
        <v>6959</v>
      </c>
      <c r="U313" s="47">
        <v>43.5</v>
      </c>
      <c r="V313">
        <f t="shared" si="12"/>
        <v>83</v>
      </c>
      <c r="W313">
        <f t="shared" si="13"/>
        <v>54.225000000000001</v>
      </c>
      <c r="X313">
        <f t="shared" si="14"/>
        <v>0.65331325301204823</v>
      </c>
      <c r="AA313" s="64">
        <v>51377</v>
      </c>
      <c r="AB313">
        <v>0.65331325301204823</v>
      </c>
    </row>
    <row r="314" spans="1:28" x14ac:dyDescent="0.25">
      <c r="A314" s="125"/>
      <c r="B314" s="64" t="s">
        <v>993</v>
      </c>
      <c r="C314" s="64">
        <v>51221</v>
      </c>
      <c r="D314" s="44">
        <v>3</v>
      </c>
      <c r="E314" s="44">
        <v>0</v>
      </c>
      <c r="F314" s="44">
        <v>0</v>
      </c>
      <c r="G314" s="44">
        <v>0</v>
      </c>
      <c r="H314" s="44">
        <v>0</v>
      </c>
      <c r="I314" s="44">
        <v>0</v>
      </c>
      <c r="J314" s="46">
        <v>30</v>
      </c>
      <c r="K314" s="46">
        <v>0</v>
      </c>
      <c r="L314" s="46">
        <v>7.5</v>
      </c>
      <c r="M314" s="46">
        <v>0.13</v>
      </c>
      <c r="N314" s="46" t="s">
        <v>6961</v>
      </c>
      <c r="O314" s="46">
        <v>3.9000000000000004</v>
      </c>
      <c r="P314" s="47">
        <v>20</v>
      </c>
      <c r="Q314" s="47">
        <v>5</v>
      </c>
      <c r="R314" s="47">
        <v>10</v>
      </c>
      <c r="S314" s="47">
        <v>0.375</v>
      </c>
      <c r="T314" s="47" t="s">
        <v>6958</v>
      </c>
      <c r="U314" s="47">
        <v>7.5</v>
      </c>
      <c r="V314">
        <f t="shared" si="12"/>
        <v>53</v>
      </c>
      <c r="W314">
        <f t="shared" si="13"/>
        <v>11.4</v>
      </c>
      <c r="X314">
        <f t="shared" si="14"/>
        <v>0.21509433962264152</v>
      </c>
      <c r="AA314" s="64">
        <v>51221</v>
      </c>
      <c r="AB314">
        <v>0.21509433962264152</v>
      </c>
    </row>
    <row r="315" spans="1:28" x14ac:dyDescent="0.25">
      <c r="A315" s="125"/>
      <c r="B315" s="64" t="s">
        <v>990</v>
      </c>
      <c r="C315" s="64">
        <v>51211</v>
      </c>
      <c r="D315" s="44">
        <v>0</v>
      </c>
      <c r="E315" s="44">
        <v>0</v>
      </c>
      <c r="F315" s="44">
        <v>0</v>
      </c>
      <c r="G315" s="44">
        <v>0</v>
      </c>
      <c r="H315" s="44">
        <v>0</v>
      </c>
      <c r="I315" s="44">
        <v>0</v>
      </c>
      <c r="J315" s="46">
        <v>1</v>
      </c>
      <c r="K315" s="46">
        <v>0</v>
      </c>
      <c r="L315" s="46">
        <v>0.25</v>
      </c>
      <c r="M315" s="46">
        <v>0.13</v>
      </c>
      <c r="N315" s="46" t="s">
        <v>6961</v>
      </c>
      <c r="O315" s="46">
        <v>0.13</v>
      </c>
      <c r="P315" s="47">
        <v>1</v>
      </c>
      <c r="Q315" s="47">
        <v>0</v>
      </c>
      <c r="R315" s="47">
        <v>0.25</v>
      </c>
      <c r="S315" s="47">
        <v>0.13</v>
      </c>
      <c r="T315" s="47" t="s">
        <v>6961</v>
      </c>
      <c r="U315" s="47">
        <v>0.13</v>
      </c>
      <c r="V315">
        <f t="shared" si="12"/>
        <v>2</v>
      </c>
      <c r="W315">
        <f t="shared" si="13"/>
        <v>0.26</v>
      </c>
      <c r="X315">
        <f t="shared" si="14"/>
        <v>0.13</v>
      </c>
      <c r="AA315" s="64">
        <v>51211</v>
      </c>
      <c r="AB315">
        <v>0.13</v>
      </c>
    </row>
    <row r="316" spans="1:28" x14ac:dyDescent="0.25">
      <c r="A316" s="125"/>
      <c r="B316" s="64" t="s">
        <v>1009</v>
      </c>
      <c r="C316" s="64">
        <v>51277</v>
      </c>
      <c r="D316" s="44">
        <v>0</v>
      </c>
      <c r="E316" s="44">
        <v>0</v>
      </c>
      <c r="F316" s="44">
        <v>0</v>
      </c>
      <c r="G316" s="44">
        <v>0</v>
      </c>
      <c r="H316" s="44">
        <v>0</v>
      </c>
      <c r="I316" s="44">
        <v>0</v>
      </c>
      <c r="J316" s="46">
        <v>658</v>
      </c>
      <c r="K316" s="46">
        <v>329</v>
      </c>
      <c r="L316" s="46">
        <v>493.5</v>
      </c>
      <c r="M316" s="46">
        <v>0.625</v>
      </c>
      <c r="N316" s="46" t="s">
        <v>6960</v>
      </c>
      <c r="O316" s="46">
        <v>411.25</v>
      </c>
      <c r="P316" s="47">
        <v>0</v>
      </c>
      <c r="Q316" s="47">
        <v>0</v>
      </c>
      <c r="R316" s="47">
        <v>0</v>
      </c>
      <c r="S316" s="47">
        <v>0</v>
      </c>
      <c r="T316" s="47">
        <v>0</v>
      </c>
      <c r="U316" s="47">
        <v>0</v>
      </c>
      <c r="V316">
        <f t="shared" si="12"/>
        <v>658</v>
      </c>
      <c r="W316">
        <f t="shared" si="13"/>
        <v>411.25</v>
      </c>
      <c r="X316">
        <f t="shared" si="14"/>
        <v>0.625</v>
      </c>
      <c r="AA316" s="64">
        <v>51277</v>
      </c>
      <c r="AB316">
        <v>0.625</v>
      </c>
    </row>
    <row r="317" spans="1:28" x14ac:dyDescent="0.25">
      <c r="A317" s="125"/>
      <c r="B317" s="64" t="s">
        <v>995</v>
      </c>
      <c r="C317" s="64">
        <v>51227</v>
      </c>
      <c r="D317" s="44">
        <v>1</v>
      </c>
      <c r="E317" s="44">
        <v>0</v>
      </c>
      <c r="F317" s="44">
        <v>0</v>
      </c>
      <c r="G317" s="44">
        <v>0</v>
      </c>
      <c r="H317" s="44">
        <v>0</v>
      </c>
      <c r="I317" s="44">
        <v>0</v>
      </c>
      <c r="J317" s="46">
        <v>843</v>
      </c>
      <c r="K317" s="46">
        <v>0</v>
      </c>
      <c r="L317" s="46">
        <v>210.75</v>
      </c>
      <c r="M317" s="46">
        <v>0.13</v>
      </c>
      <c r="N317" s="46" t="s">
        <v>6961</v>
      </c>
      <c r="O317" s="46">
        <v>109.59</v>
      </c>
      <c r="P317" s="47">
        <v>50</v>
      </c>
      <c r="Q317" s="47">
        <v>0</v>
      </c>
      <c r="R317" s="47">
        <v>12.5</v>
      </c>
      <c r="S317" s="47">
        <v>0.13</v>
      </c>
      <c r="T317" s="47" t="s">
        <v>6961</v>
      </c>
      <c r="U317" s="47">
        <v>6.5</v>
      </c>
      <c r="V317">
        <f t="shared" si="12"/>
        <v>894</v>
      </c>
      <c r="W317">
        <f t="shared" si="13"/>
        <v>116.09</v>
      </c>
      <c r="X317">
        <f t="shared" si="14"/>
        <v>0.12985458612975392</v>
      </c>
      <c r="AA317" s="64">
        <v>51227</v>
      </c>
      <c r="AB317">
        <v>0.12985458612975392</v>
      </c>
    </row>
    <row r="318" spans="1:28" x14ac:dyDescent="0.25">
      <c r="A318" s="125"/>
      <c r="B318" s="64" t="s">
        <v>1027</v>
      </c>
      <c r="C318" s="64">
        <v>51389</v>
      </c>
      <c r="D318" s="44">
        <v>0</v>
      </c>
      <c r="E318" s="44">
        <v>0</v>
      </c>
      <c r="F318" s="44">
        <v>0</v>
      </c>
      <c r="G318" s="44">
        <v>0</v>
      </c>
      <c r="H318" s="44">
        <v>0</v>
      </c>
      <c r="I318" s="44">
        <v>0</v>
      </c>
      <c r="J318" s="46">
        <v>350</v>
      </c>
      <c r="K318" s="46">
        <v>0</v>
      </c>
      <c r="L318" s="46">
        <v>0</v>
      </c>
      <c r="M318" s="46">
        <v>0</v>
      </c>
      <c r="N318" s="46">
        <v>0</v>
      </c>
      <c r="O318" s="46">
        <v>0</v>
      </c>
      <c r="P318" s="47">
        <v>150</v>
      </c>
      <c r="Q318" s="47">
        <v>0</v>
      </c>
      <c r="R318" s="47">
        <v>0</v>
      </c>
      <c r="S318" s="47">
        <v>0</v>
      </c>
      <c r="T318" s="47">
        <v>0</v>
      </c>
      <c r="U318" s="47">
        <v>0</v>
      </c>
      <c r="V318">
        <f t="shared" si="12"/>
        <v>500</v>
      </c>
      <c r="W318">
        <f t="shared" si="13"/>
        <v>0</v>
      </c>
      <c r="X318">
        <f t="shared" si="14"/>
        <v>0</v>
      </c>
      <c r="AA318" s="64">
        <v>51389</v>
      </c>
      <c r="AB318">
        <v>0</v>
      </c>
    </row>
    <row r="319" spans="1:28" x14ac:dyDescent="0.25">
      <c r="A319" s="125"/>
      <c r="B319" s="64" t="s">
        <v>1011</v>
      </c>
      <c r="C319" s="64">
        <v>51284</v>
      </c>
      <c r="D319" s="44">
        <v>30</v>
      </c>
      <c r="E319" s="44">
        <v>7.5</v>
      </c>
      <c r="F319" s="44">
        <v>15</v>
      </c>
      <c r="G319" s="44">
        <v>0.375</v>
      </c>
      <c r="H319" s="44" t="s">
        <v>6958</v>
      </c>
      <c r="I319" s="44">
        <v>11.25</v>
      </c>
      <c r="J319" s="46">
        <v>200</v>
      </c>
      <c r="K319" s="46">
        <v>50</v>
      </c>
      <c r="L319" s="46">
        <v>100</v>
      </c>
      <c r="M319" s="46">
        <v>0.375</v>
      </c>
      <c r="N319" s="46" t="s">
        <v>6958</v>
      </c>
      <c r="O319" s="46">
        <v>75</v>
      </c>
      <c r="P319" s="47">
        <v>10</v>
      </c>
      <c r="Q319" s="47">
        <v>2.5</v>
      </c>
      <c r="R319" s="47">
        <v>5</v>
      </c>
      <c r="S319" s="47">
        <v>0.375</v>
      </c>
      <c r="T319" s="47" t="s">
        <v>6958</v>
      </c>
      <c r="U319" s="47">
        <v>3.75</v>
      </c>
      <c r="V319">
        <f t="shared" si="12"/>
        <v>240</v>
      </c>
      <c r="W319">
        <f t="shared" si="13"/>
        <v>90</v>
      </c>
      <c r="X319">
        <f t="shared" si="14"/>
        <v>0.375</v>
      </c>
      <c r="AA319" s="64">
        <v>51284</v>
      </c>
      <c r="AB319">
        <v>0.375</v>
      </c>
    </row>
    <row r="320" spans="1:28" x14ac:dyDescent="0.25">
      <c r="A320" s="125"/>
      <c r="B320" s="64" t="s">
        <v>1015</v>
      </c>
      <c r="C320" s="64">
        <v>51323</v>
      </c>
      <c r="D320" s="44">
        <v>0</v>
      </c>
      <c r="E320" s="44">
        <v>0</v>
      </c>
      <c r="F320" s="44">
        <v>0</v>
      </c>
      <c r="G320" s="44">
        <v>0</v>
      </c>
      <c r="H320" s="44">
        <v>0</v>
      </c>
      <c r="I320" s="44">
        <v>0</v>
      </c>
      <c r="J320" s="46">
        <v>18</v>
      </c>
      <c r="K320" s="46">
        <v>13.5</v>
      </c>
      <c r="L320" s="46">
        <v>18</v>
      </c>
      <c r="M320" s="46">
        <v>0.87</v>
      </c>
      <c r="N320" s="46" t="s">
        <v>6959</v>
      </c>
      <c r="O320" s="46">
        <v>15.66</v>
      </c>
      <c r="P320" s="47">
        <v>8</v>
      </c>
      <c r="Q320" s="47">
        <v>6</v>
      </c>
      <c r="R320" s="47">
        <v>8</v>
      </c>
      <c r="S320" s="47">
        <v>0.87</v>
      </c>
      <c r="T320" s="47" t="s">
        <v>6959</v>
      </c>
      <c r="U320" s="47">
        <v>6.96</v>
      </c>
      <c r="V320">
        <f t="shared" si="12"/>
        <v>26</v>
      </c>
      <c r="W320">
        <f t="shared" si="13"/>
        <v>22.62</v>
      </c>
      <c r="X320">
        <f t="shared" si="14"/>
        <v>0.87</v>
      </c>
      <c r="AA320" s="64">
        <v>51323</v>
      </c>
      <c r="AB320">
        <v>0.87</v>
      </c>
    </row>
    <row r="321" spans="1:28" x14ac:dyDescent="0.25">
      <c r="A321" s="125"/>
      <c r="B321" s="64" t="s">
        <v>1013</v>
      </c>
      <c r="C321" s="64">
        <v>51311</v>
      </c>
      <c r="D321" s="44">
        <v>0</v>
      </c>
      <c r="E321" s="44">
        <v>0</v>
      </c>
      <c r="F321" s="44">
        <v>0</v>
      </c>
      <c r="G321" s="44">
        <v>0</v>
      </c>
      <c r="H321" s="44">
        <v>0</v>
      </c>
      <c r="I321" s="44">
        <v>0</v>
      </c>
      <c r="J321" s="46">
        <v>50</v>
      </c>
      <c r="K321" s="46">
        <v>37.5</v>
      </c>
      <c r="L321" s="46">
        <v>50</v>
      </c>
      <c r="M321" s="46">
        <v>0.87</v>
      </c>
      <c r="N321" s="46" t="s">
        <v>6959</v>
      </c>
      <c r="O321" s="46">
        <v>43.5</v>
      </c>
      <c r="P321" s="47">
        <v>80</v>
      </c>
      <c r="Q321" s="47">
        <v>60</v>
      </c>
      <c r="R321" s="47">
        <v>80</v>
      </c>
      <c r="S321" s="47">
        <v>0.87</v>
      </c>
      <c r="T321" s="47" t="s">
        <v>6959</v>
      </c>
      <c r="U321" s="47">
        <v>69.599999999999994</v>
      </c>
      <c r="V321">
        <f t="shared" si="12"/>
        <v>130</v>
      </c>
      <c r="W321">
        <f t="shared" si="13"/>
        <v>113.1</v>
      </c>
      <c r="X321">
        <f t="shared" si="14"/>
        <v>0.87</v>
      </c>
      <c r="AA321" s="64">
        <v>51311</v>
      </c>
      <c r="AB321">
        <v>0.87</v>
      </c>
    </row>
    <row r="322" spans="1:28" x14ac:dyDescent="0.25">
      <c r="A322" s="125"/>
      <c r="B322" s="64" t="s">
        <v>2919</v>
      </c>
      <c r="C322" s="64">
        <v>51004</v>
      </c>
      <c r="D322" s="44">
        <v>0</v>
      </c>
      <c r="E322" s="44">
        <v>0</v>
      </c>
      <c r="F322" s="44">
        <v>0</v>
      </c>
      <c r="G322" s="44">
        <v>0</v>
      </c>
      <c r="H322" s="44">
        <v>0</v>
      </c>
      <c r="I322" s="44">
        <v>0</v>
      </c>
      <c r="J322" s="46">
        <v>1767</v>
      </c>
      <c r="K322" s="46">
        <v>0</v>
      </c>
      <c r="L322" s="46">
        <v>441.75</v>
      </c>
      <c r="M322" s="46">
        <v>0.13</v>
      </c>
      <c r="N322" s="46" t="s">
        <v>6961</v>
      </c>
      <c r="O322" s="46">
        <v>229.71</v>
      </c>
      <c r="P322" s="47">
        <v>600</v>
      </c>
      <c r="Q322" s="47">
        <v>0</v>
      </c>
      <c r="R322" s="47">
        <v>150</v>
      </c>
      <c r="S322" s="47">
        <v>0.13</v>
      </c>
      <c r="T322" s="47" t="s">
        <v>6961</v>
      </c>
      <c r="U322" s="47">
        <v>78</v>
      </c>
      <c r="V322">
        <f t="shared" si="12"/>
        <v>2367</v>
      </c>
      <c r="W322">
        <f t="shared" si="13"/>
        <v>307.71000000000004</v>
      </c>
      <c r="X322">
        <f t="shared" si="14"/>
        <v>0.13</v>
      </c>
      <c r="AA322" s="64">
        <v>51004</v>
      </c>
      <c r="AB322">
        <v>0.13</v>
      </c>
    </row>
    <row r="323" spans="1:28" x14ac:dyDescent="0.25">
      <c r="A323" s="124" t="s">
        <v>1163</v>
      </c>
      <c r="B323" s="64" t="s">
        <v>1188</v>
      </c>
      <c r="C323" s="64">
        <v>55017</v>
      </c>
      <c r="D323" s="44">
        <v>30</v>
      </c>
      <c r="E323" s="44">
        <v>0</v>
      </c>
      <c r="F323" s="44">
        <v>0</v>
      </c>
      <c r="G323" s="44">
        <v>0</v>
      </c>
      <c r="H323" s="44">
        <v>0</v>
      </c>
      <c r="I323" s="44">
        <v>0</v>
      </c>
      <c r="J323" s="46">
        <v>20</v>
      </c>
      <c r="K323" s="46">
        <v>0</v>
      </c>
      <c r="L323" s="46">
        <v>0</v>
      </c>
      <c r="M323" s="46">
        <v>0</v>
      </c>
      <c r="N323" s="46">
        <v>0</v>
      </c>
      <c r="O323" s="46">
        <v>0</v>
      </c>
      <c r="P323" s="47">
        <v>20</v>
      </c>
      <c r="Q323" s="47">
        <v>0</v>
      </c>
      <c r="R323" s="47">
        <v>0</v>
      </c>
      <c r="S323" s="47">
        <v>0</v>
      </c>
      <c r="T323" s="47">
        <v>0</v>
      </c>
      <c r="U323" s="47">
        <v>0</v>
      </c>
      <c r="V323">
        <f t="shared" si="12"/>
        <v>70</v>
      </c>
      <c r="W323">
        <f t="shared" si="13"/>
        <v>0</v>
      </c>
      <c r="X323">
        <f t="shared" si="14"/>
        <v>0</v>
      </c>
      <c r="AA323" s="64">
        <v>55017</v>
      </c>
      <c r="AB323">
        <v>0</v>
      </c>
    </row>
    <row r="324" spans="1:28" x14ac:dyDescent="0.25">
      <c r="A324" s="125"/>
      <c r="B324" s="64" t="s">
        <v>1182</v>
      </c>
      <c r="C324" s="64">
        <v>55174</v>
      </c>
      <c r="D324" s="44">
        <v>1500</v>
      </c>
      <c r="E324" s="44">
        <v>0</v>
      </c>
      <c r="F324" s="44">
        <v>0</v>
      </c>
      <c r="G324" s="44">
        <v>0</v>
      </c>
      <c r="H324" s="44">
        <v>0</v>
      </c>
      <c r="I324" s="44">
        <v>0</v>
      </c>
      <c r="J324" s="46">
        <v>600</v>
      </c>
      <c r="K324" s="46">
        <v>0</v>
      </c>
      <c r="L324" s="46">
        <v>0</v>
      </c>
      <c r="M324" s="46">
        <v>0</v>
      </c>
      <c r="N324" s="46">
        <v>0</v>
      </c>
      <c r="O324" s="46">
        <v>0</v>
      </c>
      <c r="P324" s="47">
        <v>400</v>
      </c>
      <c r="Q324" s="47">
        <v>0</v>
      </c>
      <c r="R324" s="47">
        <v>0</v>
      </c>
      <c r="S324" s="47">
        <v>0</v>
      </c>
      <c r="T324" s="47">
        <v>0</v>
      </c>
      <c r="U324" s="47">
        <v>0</v>
      </c>
      <c r="V324">
        <f t="shared" si="12"/>
        <v>2500</v>
      </c>
      <c r="W324">
        <f t="shared" si="13"/>
        <v>0</v>
      </c>
      <c r="X324">
        <f t="shared" si="14"/>
        <v>0</v>
      </c>
      <c r="AA324" s="64">
        <v>55174</v>
      </c>
      <c r="AB324">
        <v>0</v>
      </c>
    </row>
    <row r="325" spans="1:28" x14ac:dyDescent="0.25">
      <c r="A325" s="125"/>
      <c r="B325" s="64" t="s">
        <v>1177</v>
      </c>
      <c r="C325" s="64">
        <v>55157</v>
      </c>
      <c r="D325" s="44">
        <v>0</v>
      </c>
      <c r="E325" s="44">
        <v>0</v>
      </c>
      <c r="F325" s="44">
        <v>0</v>
      </c>
      <c r="G325" s="44">
        <v>0</v>
      </c>
      <c r="H325" s="44">
        <v>0</v>
      </c>
      <c r="I325" s="44">
        <v>0</v>
      </c>
      <c r="J325" s="46">
        <v>200</v>
      </c>
      <c r="K325" s="46">
        <v>0</v>
      </c>
      <c r="L325" s="46">
        <v>0</v>
      </c>
      <c r="M325" s="46">
        <v>0</v>
      </c>
      <c r="N325" s="46">
        <v>0</v>
      </c>
      <c r="O325" s="46">
        <v>0</v>
      </c>
      <c r="P325" s="47">
        <v>100</v>
      </c>
      <c r="Q325" s="47">
        <v>0</v>
      </c>
      <c r="R325" s="47">
        <v>0</v>
      </c>
      <c r="S325" s="47">
        <v>0</v>
      </c>
      <c r="T325" s="47">
        <v>0</v>
      </c>
      <c r="U325" s="47">
        <v>0</v>
      </c>
      <c r="V325">
        <f t="shared" ref="V325:V386" si="15">D325+J325+P325</f>
        <v>300</v>
      </c>
      <c r="W325">
        <f t="shared" ref="W325:W386" si="16">U325+O325+I325</f>
        <v>0</v>
      </c>
      <c r="X325">
        <f t="shared" ref="X325:X386" si="17">W325/V325</f>
        <v>0</v>
      </c>
      <c r="AA325" s="64">
        <v>55157</v>
      </c>
      <c r="AB325">
        <v>0</v>
      </c>
    </row>
    <row r="326" spans="1:28" x14ac:dyDescent="0.25">
      <c r="A326" s="124" t="s">
        <v>6967</v>
      </c>
      <c r="B326" s="64" t="s">
        <v>1157</v>
      </c>
      <c r="C326" s="64">
        <v>54143</v>
      </c>
      <c r="D326" s="44">
        <v>1800</v>
      </c>
      <c r="E326" s="44">
        <v>450</v>
      </c>
      <c r="F326" s="44">
        <v>900</v>
      </c>
      <c r="G326" s="44">
        <v>0.375</v>
      </c>
      <c r="H326" s="44" t="s">
        <v>6958</v>
      </c>
      <c r="I326" s="44">
        <v>675</v>
      </c>
      <c r="J326" s="46">
        <v>20</v>
      </c>
      <c r="K326" s="46">
        <v>5</v>
      </c>
      <c r="L326" s="46">
        <v>10</v>
      </c>
      <c r="M326" s="46">
        <v>0.375</v>
      </c>
      <c r="N326" s="46" t="s">
        <v>6958</v>
      </c>
      <c r="O326" s="46">
        <v>7.5</v>
      </c>
      <c r="P326" s="47">
        <v>70</v>
      </c>
      <c r="Q326" s="47">
        <v>17.5</v>
      </c>
      <c r="R326" s="47">
        <v>35</v>
      </c>
      <c r="S326" s="47">
        <v>0.375</v>
      </c>
      <c r="T326" s="47" t="s">
        <v>6958</v>
      </c>
      <c r="U326" s="47">
        <v>26.25</v>
      </c>
      <c r="V326">
        <f t="shared" si="15"/>
        <v>1890</v>
      </c>
      <c r="W326">
        <f t="shared" si="16"/>
        <v>708.75</v>
      </c>
      <c r="X326">
        <f t="shared" si="17"/>
        <v>0.375</v>
      </c>
      <c r="AA326" s="64">
        <v>54143</v>
      </c>
      <c r="AB326">
        <v>0.375</v>
      </c>
    </row>
    <row r="327" spans="1:28" x14ac:dyDescent="0.25">
      <c r="A327" s="125"/>
      <c r="B327" s="64" t="s">
        <v>1155</v>
      </c>
      <c r="C327" s="64">
        <v>54127</v>
      </c>
      <c r="D327" s="44">
        <v>100</v>
      </c>
      <c r="E327" s="44">
        <v>25</v>
      </c>
      <c r="F327" s="44">
        <v>50</v>
      </c>
      <c r="G327" s="44">
        <v>0.375</v>
      </c>
      <c r="H327" s="44" t="s">
        <v>6958</v>
      </c>
      <c r="I327" s="44">
        <v>37.5</v>
      </c>
      <c r="J327" s="46">
        <v>10</v>
      </c>
      <c r="K327" s="46">
        <v>0</v>
      </c>
      <c r="L327" s="46">
        <v>2.5</v>
      </c>
      <c r="M327" s="46">
        <v>0.13</v>
      </c>
      <c r="N327" s="46" t="s">
        <v>6961</v>
      </c>
      <c r="O327" s="46">
        <v>1.3</v>
      </c>
      <c r="P327" s="47">
        <v>40</v>
      </c>
      <c r="Q327" s="47">
        <v>10</v>
      </c>
      <c r="R327" s="47">
        <v>20</v>
      </c>
      <c r="S327" s="47">
        <v>0.375</v>
      </c>
      <c r="T327" s="47" t="s">
        <v>6958</v>
      </c>
      <c r="U327" s="47">
        <v>15</v>
      </c>
      <c r="V327">
        <f t="shared" si="15"/>
        <v>150</v>
      </c>
      <c r="W327">
        <f t="shared" si="16"/>
        <v>53.8</v>
      </c>
      <c r="X327">
        <f t="shared" si="17"/>
        <v>0.35866666666666663</v>
      </c>
      <c r="AA327" s="64">
        <v>54127</v>
      </c>
      <c r="AB327">
        <v>0.35866666666666663</v>
      </c>
    </row>
    <row r="328" spans="1:28" x14ac:dyDescent="0.25">
      <c r="A328" s="125"/>
      <c r="B328" s="64" t="s">
        <v>1152</v>
      </c>
      <c r="C328" s="64">
        <v>54111</v>
      </c>
      <c r="D328" s="44">
        <v>0</v>
      </c>
      <c r="E328" s="44">
        <v>0</v>
      </c>
      <c r="F328" s="44">
        <v>0</v>
      </c>
      <c r="G328" s="44">
        <v>0</v>
      </c>
      <c r="H328" s="44">
        <v>0</v>
      </c>
      <c r="I328" s="44">
        <v>0</v>
      </c>
      <c r="J328" s="46">
        <v>100</v>
      </c>
      <c r="K328" s="46">
        <v>50</v>
      </c>
      <c r="L328" s="46">
        <v>75</v>
      </c>
      <c r="M328" s="46">
        <v>0.625</v>
      </c>
      <c r="N328" s="46" t="s">
        <v>6960</v>
      </c>
      <c r="O328" s="46">
        <v>62.5</v>
      </c>
      <c r="P328" s="47">
        <v>10</v>
      </c>
      <c r="Q328" s="47">
        <v>5</v>
      </c>
      <c r="R328" s="47">
        <v>7.5</v>
      </c>
      <c r="S328" s="47">
        <v>0.625</v>
      </c>
      <c r="T328" s="47" t="s">
        <v>6960</v>
      </c>
      <c r="U328" s="47">
        <v>6.25</v>
      </c>
      <c r="V328">
        <f t="shared" si="15"/>
        <v>110</v>
      </c>
      <c r="W328">
        <f t="shared" si="16"/>
        <v>68.75</v>
      </c>
      <c r="X328">
        <f t="shared" si="17"/>
        <v>0.625</v>
      </c>
      <c r="AA328" s="64">
        <v>54111</v>
      </c>
      <c r="AB328">
        <v>0.625</v>
      </c>
    </row>
    <row r="329" spans="1:28" x14ac:dyDescent="0.25">
      <c r="A329" s="125"/>
      <c r="B329" s="64" t="s">
        <v>1154</v>
      </c>
      <c r="C329" s="64">
        <v>54119</v>
      </c>
      <c r="D329" s="44">
        <v>1500</v>
      </c>
      <c r="E329" s="44">
        <v>0</v>
      </c>
      <c r="F329" s="44">
        <v>375</v>
      </c>
      <c r="G329" s="44">
        <v>0.13</v>
      </c>
      <c r="H329" s="44" t="s">
        <v>6961</v>
      </c>
      <c r="I329" s="44">
        <v>195</v>
      </c>
      <c r="J329" s="46">
        <v>50</v>
      </c>
      <c r="K329" s="46">
        <v>37.5</v>
      </c>
      <c r="L329" s="46">
        <v>50</v>
      </c>
      <c r="M329" s="46">
        <v>0.87</v>
      </c>
      <c r="N329" s="46" t="s">
        <v>6959</v>
      </c>
      <c r="O329" s="46">
        <v>43.5</v>
      </c>
      <c r="P329" s="47">
        <v>80</v>
      </c>
      <c r="Q329" s="47">
        <v>60</v>
      </c>
      <c r="R329" s="47">
        <v>80</v>
      </c>
      <c r="S329" s="47">
        <v>0.87</v>
      </c>
      <c r="T329" s="47" t="s">
        <v>6959</v>
      </c>
      <c r="U329" s="47">
        <v>69.599999999999994</v>
      </c>
      <c r="V329">
        <f t="shared" si="15"/>
        <v>1630</v>
      </c>
      <c r="W329">
        <f t="shared" si="16"/>
        <v>308.10000000000002</v>
      </c>
      <c r="X329">
        <f t="shared" si="17"/>
        <v>0.18901840490797547</v>
      </c>
      <c r="AA329" s="64">
        <v>54119</v>
      </c>
      <c r="AB329">
        <v>0.18901840490797547</v>
      </c>
    </row>
    <row r="330" spans="1:28" x14ac:dyDescent="0.25">
      <c r="A330" s="124" t="s">
        <v>1069</v>
      </c>
      <c r="B330" s="64" t="s">
        <v>1105</v>
      </c>
      <c r="C330" s="64">
        <v>53271</v>
      </c>
      <c r="D330" s="44">
        <v>10000</v>
      </c>
      <c r="E330" s="44">
        <v>0</v>
      </c>
      <c r="F330" s="44">
        <v>2500</v>
      </c>
      <c r="G330" s="44">
        <v>0.13</v>
      </c>
      <c r="H330" s="44" t="s">
        <v>6961</v>
      </c>
      <c r="I330" s="44">
        <v>1300</v>
      </c>
      <c r="J330" s="46">
        <v>500</v>
      </c>
      <c r="K330" s="46">
        <v>375</v>
      </c>
      <c r="L330" s="46">
        <v>500</v>
      </c>
      <c r="M330" s="46">
        <v>0.87</v>
      </c>
      <c r="N330" s="46" t="s">
        <v>6959</v>
      </c>
      <c r="O330" s="46">
        <v>435</v>
      </c>
      <c r="P330" s="47">
        <v>50</v>
      </c>
      <c r="Q330" s="47">
        <v>12.5</v>
      </c>
      <c r="R330" s="47">
        <v>25</v>
      </c>
      <c r="S330" s="47">
        <v>0.375</v>
      </c>
      <c r="T330" s="47" t="s">
        <v>6958</v>
      </c>
      <c r="U330" s="47">
        <v>18.75</v>
      </c>
      <c r="V330">
        <f t="shared" si="15"/>
        <v>10550</v>
      </c>
      <c r="W330">
        <f t="shared" si="16"/>
        <v>1753.75</v>
      </c>
      <c r="X330">
        <f t="shared" si="17"/>
        <v>0.16623222748815167</v>
      </c>
      <c r="AA330" s="64">
        <v>53271</v>
      </c>
      <c r="AB330">
        <v>0.16623222748815167</v>
      </c>
    </row>
    <row r="331" spans="1:28" x14ac:dyDescent="0.25">
      <c r="A331" s="125"/>
      <c r="B331" s="64" t="s">
        <v>1107</v>
      </c>
      <c r="C331" s="64">
        <v>53277</v>
      </c>
      <c r="D331" s="44">
        <v>100</v>
      </c>
      <c r="E331" s="44">
        <v>0</v>
      </c>
      <c r="F331" s="44">
        <v>25</v>
      </c>
      <c r="G331" s="44">
        <v>0.13</v>
      </c>
      <c r="H331" s="44" t="s">
        <v>6961</v>
      </c>
      <c r="I331" s="44">
        <v>13</v>
      </c>
      <c r="J331" s="46">
        <v>0.4</v>
      </c>
      <c r="K331" s="46">
        <v>0</v>
      </c>
      <c r="L331" s="46">
        <v>0.1</v>
      </c>
      <c r="M331" s="46">
        <v>0.13</v>
      </c>
      <c r="N331" s="46" t="s">
        <v>6961</v>
      </c>
      <c r="O331" s="46">
        <v>5.2000000000000005E-2</v>
      </c>
      <c r="P331" s="47">
        <v>240</v>
      </c>
      <c r="Q331" s="47">
        <v>0</v>
      </c>
      <c r="R331" s="47">
        <v>60</v>
      </c>
      <c r="S331" s="47">
        <v>0.13</v>
      </c>
      <c r="T331" s="47" t="s">
        <v>6961</v>
      </c>
      <c r="U331" s="47">
        <v>31.200000000000003</v>
      </c>
      <c r="V331">
        <f t="shared" si="15"/>
        <v>340.4</v>
      </c>
      <c r="W331">
        <f t="shared" si="16"/>
        <v>44.252000000000002</v>
      </c>
      <c r="X331">
        <f t="shared" si="17"/>
        <v>0.13</v>
      </c>
      <c r="AA331" s="64">
        <v>53277</v>
      </c>
      <c r="AB331">
        <v>0.13</v>
      </c>
    </row>
    <row r="332" spans="1:28" x14ac:dyDescent="0.25">
      <c r="A332" s="125"/>
      <c r="B332" s="64" t="s">
        <v>1108</v>
      </c>
      <c r="C332" s="64">
        <v>53281</v>
      </c>
      <c r="D332" s="44">
        <v>250</v>
      </c>
      <c r="E332" s="44">
        <v>0</v>
      </c>
      <c r="F332" s="44">
        <v>62.5</v>
      </c>
      <c r="G332" s="44">
        <v>0.13</v>
      </c>
      <c r="H332" s="44" t="s">
        <v>6961</v>
      </c>
      <c r="I332" s="44">
        <v>32.5</v>
      </c>
      <c r="J332" s="46">
        <v>10</v>
      </c>
      <c r="K332" s="46">
        <v>2.5</v>
      </c>
      <c r="L332" s="46">
        <v>5</v>
      </c>
      <c r="M332" s="46">
        <v>0.375</v>
      </c>
      <c r="N332" s="46" t="s">
        <v>6958</v>
      </c>
      <c r="O332" s="46">
        <v>3.75</v>
      </c>
      <c r="P332" s="47">
        <v>30</v>
      </c>
      <c r="Q332" s="47">
        <v>0</v>
      </c>
      <c r="R332" s="47">
        <v>7.5</v>
      </c>
      <c r="S332" s="47">
        <v>0.13</v>
      </c>
      <c r="T332" s="47" t="s">
        <v>6961</v>
      </c>
      <c r="U332" s="47">
        <v>3.9000000000000004</v>
      </c>
      <c r="V332">
        <f t="shared" si="15"/>
        <v>290</v>
      </c>
      <c r="W332">
        <f t="shared" si="16"/>
        <v>40.15</v>
      </c>
      <c r="X332">
        <f t="shared" si="17"/>
        <v>0.13844827586206895</v>
      </c>
      <c r="AA332" s="64">
        <v>53281</v>
      </c>
      <c r="AB332">
        <v>0.13844827586206895</v>
      </c>
    </row>
    <row r="333" spans="1:28" x14ac:dyDescent="0.25">
      <c r="A333" s="125"/>
      <c r="B333" s="64" t="s">
        <v>1095</v>
      </c>
      <c r="C333" s="64">
        <v>53237</v>
      </c>
      <c r="D333" s="44">
        <v>0</v>
      </c>
      <c r="E333" s="44">
        <v>0</v>
      </c>
      <c r="F333" s="44">
        <v>0</v>
      </c>
      <c r="G333" s="44">
        <v>0</v>
      </c>
      <c r="H333" s="44">
        <v>0</v>
      </c>
      <c r="I333" s="44">
        <v>0</v>
      </c>
      <c r="J333" s="46">
        <v>15</v>
      </c>
      <c r="K333" s="46">
        <v>7.5</v>
      </c>
      <c r="L333" s="46">
        <v>11.25</v>
      </c>
      <c r="M333" s="46">
        <v>0.625</v>
      </c>
      <c r="N333" s="46" t="s">
        <v>6960</v>
      </c>
      <c r="O333" s="46">
        <v>9.375</v>
      </c>
      <c r="P333" s="47">
        <v>30</v>
      </c>
      <c r="Q333" s="47">
        <v>7.5</v>
      </c>
      <c r="R333" s="47">
        <v>15</v>
      </c>
      <c r="S333" s="47">
        <v>0.375</v>
      </c>
      <c r="T333" s="47" t="s">
        <v>6958</v>
      </c>
      <c r="U333" s="47">
        <v>11.25</v>
      </c>
      <c r="V333">
        <f t="shared" si="15"/>
        <v>45</v>
      </c>
      <c r="W333">
        <f t="shared" si="16"/>
        <v>20.625</v>
      </c>
      <c r="X333">
        <f t="shared" si="17"/>
        <v>0.45833333333333331</v>
      </c>
      <c r="AA333" s="64">
        <v>53237</v>
      </c>
      <c r="AB333">
        <v>0.45833333333333331</v>
      </c>
    </row>
    <row r="334" spans="1:28" x14ac:dyDescent="0.25">
      <c r="A334" s="125"/>
      <c r="B334" s="64" t="s">
        <v>1161</v>
      </c>
      <c r="C334" s="64">
        <v>54175</v>
      </c>
      <c r="D334" s="44">
        <v>400</v>
      </c>
      <c r="E334" s="44">
        <v>100</v>
      </c>
      <c r="F334" s="44">
        <v>200</v>
      </c>
      <c r="G334" s="44">
        <v>0.375</v>
      </c>
      <c r="H334" s="44" t="s">
        <v>6958</v>
      </c>
      <c r="I334" s="44">
        <v>150</v>
      </c>
      <c r="J334" s="46">
        <v>100</v>
      </c>
      <c r="K334" s="46">
        <v>25</v>
      </c>
      <c r="L334" s="46">
        <v>50</v>
      </c>
      <c r="M334" s="46">
        <v>0.375</v>
      </c>
      <c r="N334" s="46" t="s">
        <v>6958</v>
      </c>
      <c r="O334" s="46">
        <v>37.5</v>
      </c>
      <c r="P334" s="47">
        <v>20</v>
      </c>
      <c r="Q334" s="47">
        <v>5</v>
      </c>
      <c r="R334" s="47">
        <v>10</v>
      </c>
      <c r="S334" s="47">
        <v>0.375</v>
      </c>
      <c r="T334" s="47" t="s">
        <v>6958</v>
      </c>
      <c r="U334" s="47">
        <v>7.5</v>
      </c>
      <c r="V334">
        <f t="shared" si="15"/>
        <v>520</v>
      </c>
      <c r="W334">
        <f t="shared" si="16"/>
        <v>195</v>
      </c>
      <c r="X334">
        <f t="shared" si="17"/>
        <v>0.375</v>
      </c>
      <c r="AA334" s="64">
        <v>54175</v>
      </c>
      <c r="AB334">
        <v>0.375</v>
      </c>
    </row>
    <row r="335" spans="1:28" x14ac:dyDescent="0.25">
      <c r="A335" s="125"/>
      <c r="B335" s="64" t="s">
        <v>1088</v>
      </c>
      <c r="C335" s="64">
        <v>53214</v>
      </c>
      <c r="D335" s="44">
        <v>15</v>
      </c>
      <c r="E335" s="44">
        <v>0</v>
      </c>
      <c r="F335" s="44">
        <v>3.75</v>
      </c>
      <c r="G335" s="44">
        <v>0.13</v>
      </c>
      <c r="H335" s="44" t="s">
        <v>6961</v>
      </c>
      <c r="I335" s="44">
        <v>1.9500000000000002</v>
      </c>
      <c r="J335" s="46">
        <v>1000</v>
      </c>
      <c r="K335" s="46">
        <v>500</v>
      </c>
      <c r="L335" s="46">
        <v>750</v>
      </c>
      <c r="M335" s="46">
        <v>0.625</v>
      </c>
      <c r="N335" s="46" t="s">
        <v>6960</v>
      </c>
      <c r="O335" s="46">
        <v>625</v>
      </c>
      <c r="P335" s="47">
        <v>1000</v>
      </c>
      <c r="Q335" s="47">
        <v>500</v>
      </c>
      <c r="R335" s="47">
        <v>750</v>
      </c>
      <c r="S335" s="47">
        <v>0.625</v>
      </c>
      <c r="T335" s="47" t="s">
        <v>6960</v>
      </c>
      <c r="U335" s="47">
        <v>625</v>
      </c>
      <c r="V335">
        <f t="shared" si="15"/>
        <v>2015</v>
      </c>
      <c r="W335">
        <f t="shared" si="16"/>
        <v>1251.95</v>
      </c>
      <c r="X335">
        <f t="shared" si="17"/>
        <v>0.62131513647642678</v>
      </c>
      <c r="AA335" s="64">
        <v>53214</v>
      </c>
      <c r="AB335">
        <v>0.62131513647642678</v>
      </c>
    </row>
    <row r="336" spans="1:28" x14ac:dyDescent="0.25">
      <c r="A336" s="125"/>
      <c r="B336" s="64" t="s">
        <v>1092</v>
      </c>
      <c r="C336" s="64">
        <v>53227</v>
      </c>
      <c r="D336" s="44">
        <v>6</v>
      </c>
      <c r="E336" s="44">
        <v>0</v>
      </c>
      <c r="F336" s="44">
        <v>0</v>
      </c>
      <c r="G336" s="44">
        <v>0</v>
      </c>
      <c r="H336" s="44">
        <v>0</v>
      </c>
      <c r="I336" s="44">
        <v>0</v>
      </c>
      <c r="J336" s="46">
        <v>800</v>
      </c>
      <c r="K336" s="46">
        <v>200</v>
      </c>
      <c r="L336" s="46">
        <v>400</v>
      </c>
      <c r="M336" s="46">
        <v>0.375</v>
      </c>
      <c r="N336" s="46" t="s">
        <v>6958</v>
      </c>
      <c r="O336" s="46">
        <v>300</v>
      </c>
      <c r="P336" s="47">
        <v>40</v>
      </c>
      <c r="Q336" s="47">
        <v>10</v>
      </c>
      <c r="R336" s="47">
        <v>20</v>
      </c>
      <c r="S336" s="47">
        <v>0.375</v>
      </c>
      <c r="T336" s="47" t="s">
        <v>6958</v>
      </c>
      <c r="U336" s="47">
        <v>15</v>
      </c>
      <c r="V336">
        <f t="shared" si="15"/>
        <v>846</v>
      </c>
      <c r="W336">
        <f t="shared" si="16"/>
        <v>315</v>
      </c>
      <c r="X336">
        <f t="shared" si="17"/>
        <v>0.37234042553191488</v>
      </c>
      <c r="AA336" s="64">
        <v>53227</v>
      </c>
      <c r="AB336">
        <v>0.37234042553191488</v>
      </c>
    </row>
    <row r="337" spans="1:28" x14ac:dyDescent="0.25">
      <c r="A337" s="125"/>
      <c r="B337" s="64" t="s">
        <v>1096</v>
      </c>
      <c r="C337" s="64">
        <v>53241</v>
      </c>
      <c r="D337" s="44">
        <v>0</v>
      </c>
      <c r="E337" s="44">
        <v>0</v>
      </c>
      <c r="F337" s="44">
        <v>0</v>
      </c>
      <c r="G337" s="44">
        <v>0</v>
      </c>
      <c r="H337" s="44">
        <v>0</v>
      </c>
      <c r="I337" s="44">
        <v>0</v>
      </c>
      <c r="J337" s="46">
        <v>500</v>
      </c>
      <c r="K337" s="46">
        <v>0</v>
      </c>
      <c r="L337" s="46">
        <v>125</v>
      </c>
      <c r="M337" s="46">
        <v>0.13</v>
      </c>
      <c r="N337" s="46" t="s">
        <v>6961</v>
      </c>
      <c r="O337" s="46">
        <v>65</v>
      </c>
      <c r="P337" s="47">
        <v>500</v>
      </c>
      <c r="Q337" s="47">
        <v>0</v>
      </c>
      <c r="R337" s="47">
        <v>125</v>
      </c>
      <c r="S337" s="47">
        <v>0.13</v>
      </c>
      <c r="T337" s="47" t="s">
        <v>6961</v>
      </c>
      <c r="U337" s="47">
        <v>65</v>
      </c>
      <c r="V337">
        <f t="shared" si="15"/>
        <v>1000</v>
      </c>
      <c r="W337">
        <f t="shared" si="16"/>
        <v>130</v>
      </c>
      <c r="X337">
        <f t="shared" si="17"/>
        <v>0.13</v>
      </c>
      <c r="AA337" s="64">
        <v>53241</v>
      </c>
      <c r="AB337">
        <v>0.13</v>
      </c>
    </row>
    <row r="338" spans="1:28" x14ac:dyDescent="0.25">
      <c r="A338" s="125"/>
      <c r="B338" s="64" t="s">
        <v>2952</v>
      </c>
      <c r="C338" s="64">
        <v>53167</v>
      </c>
      <c r="D338" s="44">
        <v>0</v>
      </c>
      <c r="E338" s="44">
        <v>0</v>
      </c>
      <c r="F338" s="44">
        <v>0</v>
      </c>
      <c r="G338" s="44" t="s">
        <v>6966</v>
      </c>
      <c r="H338" s="44">
        <v>0</v>
      </c>
      <c r="I338" s="44"/>
      <c r="J338" s="46">
        <v>400</v>
      </c>
      <c r="K338" s="46">
        <v>0</v>
      </c>
      <c r="L338" s="46">
        <v>100</v>
      </c>
      <c r="M338" s="46">
        <v>0.13</v>
      </c>
      <c r="N338" s="46" t="s">
        <v>6961</v>
      </c>
      <c r="O338" s="46">
        <v>52</v>
      </c>
      <c r="P338" s="47">
        <v>10</v>
      </c>
      <c r="Q338" s="47">
        <v>0</v>
      </c>
      <c r="R338" s="47">
        <v>0</v>
      </c>
      <c r="S338" s="47">
        <v>0</v>
      </c>
      <c r="T338" s="47">
        <v>0</v>
      </c>
      <c r="U338" s="47">
        <v>0</v>
      </c>
      <c r="V338">
        <f t="shared" si="15"/>
        <v>410</v>
      </c>
      <c r="W338">
        <f t="shared" si="16"/>
        <v>52</v>
      </c>
      <c r="X338">
        <f t="shared" si="17"/>
        <v>0.12682926829268293</v>
      </c>
      <c r="AA338" s="64">
        <v>53167</v>
      </c>
      <c r="AB338">
        <v>0.12682926829268293</v>
      </c>
    </row>
    <row r="339" spans="1:28" x14ac:dyDescent="0.25">
      <c r="A339" s="125"/>
      <c r="B339" s="64" t="s">
        <v>1143</v>
      </c>
      <c r="C339" s="64">
        <v>53459</v>
      </c>
      <c r="D339" s="44">
        <v>200</v>
      </c>
      <c r="E339" s="44">
        <v>0</v>
      </c>
      <c r="F339" s="44">
        <v>50</v>
      </c>
      <c r="G339" s="44">
        <v>0.13</v>
      </c>
      <c r="H339" s="44" t="s">
        <v>6961</v>
      </c>
      <c r="I339" s="44">
        <v>26</v>
      </c>
      <c r="J339" s="46">
        <v>400</v>
      </c>
      <c r="K339" s="46">
        <v>0</v>
      </c>
      <c r="L339" s="46">
        <v>100</v>
      </c>
      <c r="M339" s="46">
        <v>0.13</v>
      </c>
      <c r="N339" s="46" t="s">
        <v>6961</v>
      </c>
      <c r="O339" s="46">
        <v>52</v>
      </c>
      <c r="P339" s="47">
        <v>100</v>
      </c>
      <c r="Q339" s="47">
        <v>0</v>
      </c>
      <c r="R339" s="47">
        <v>25</v>
      </c>
      <c r="S339" s="47">
        <v>0.13</v>
      </c>
      <c r="T339" s="47" t="s">
        <v>6961</v>
      </c>
      <c r="U339" s="47">
        <v>13</v>
      </c>
      <c r="V339">
        <f t="shared" si="15"/>
        <v>700</v>
      </c>
      <c r="W339">
        <f t="shared" si="16"/>
        <v>91</v>
      </c>
      <c r="X339">
        <f t="shared" si="17"/>
        <v>0.13</v>
      </c>
      <c r="AA339" s="64">
        <v>53459</v>
      </c>
      <c r="AB339">
        <v>0.13</v>
      </c>
    </row>
    <row r="340" spans="1:28" x14ac:dyDescent="0.25">
      <c r="A340" s="125"/>
      <c r="B340" s="64" t="s">
        <v>2955</v>
      </c>
      <c r="C340" s="64">
        <v>53388</v>
      </c>
      <c r="D340" s="44">
        <v>700</v>
      </c>
      <c r="E340" s="44">
        <v>0</v>
      </c>
      <c r="F340" s="44">
        <v>0</v>
      </c>
      <c r="G340" s="44">
        <v>0</v>
      </c>
      <c r="H340" s="44">
        <v>0</v>
      </c>
      <c r="I340" s="44">
        <v>0</v>
      </c>
      <c r="J340" s="46">
        <v>50</v>
      </c>
      <c r="K340" s="46">
        <v>0</v>
      </c>
      <c r="L340" s="46">
        <v>0</v>
      </c>
      <c r="M340" s="46">
        <v>0</v>
      </c>
      <c r="N340" s="46">
        <v>0</v>
      </c>
      <c r="O340" s="46">
        <v>0</v>
      </c>
      <c r="P340" s="47">
        <v>100</v>
      </c>
      <c r="Q340" s="47">
        <v>0</v>
      </c>
      <c r="R340" s="47">
        <v>25</v>
      </c>
      <c r="S340" s="47">
        <v>0.13</v>
      </c>
      <c r="T340" s="47" t="s">
        <v>6961</v>
      </c>
      <c r="U340" s="47">
        <v>13</v>
      </c>
      <c r="V340">
        <f t="shared" si="15"/>
        <v>850</v>
      </c>
      <c r="W340">
        <f t="shared" si="16"/>
        <v>13</v>
      </c>
      <c r="X340">
        <f t="shared" si="17"/>
        <v>1.5294117647058824E-2</v>
      </c>
      <c r="AA340" s="64">
        <v>53388</v>
      </c>
      <c r="AB340">
        <v>1.5294117647058824E-2</v>
      </c>
    </row>
    <row r="341" spans="1:28" x14ac:dyDescent="0.25">
      <c r="A341" s="125"/>
      <c r="B341" s="64" t="s">
        <v>1117</v>
      </c>
      <c r="C341" s="64">
        <v>53377</v>
      </c>
      <c r="D341" s="44">
        <v>2000</v>
      </c>
      <c r="E341" s="44">
        <v>0</v>
      </c>
      <c r="F341" s="44">
        <v>0</v>
      </c>
      <c r="G341" s="44">
        <v>0</v>
      </c>
      <c r="H341" s="44">
        <v>0</v>
      </c>
      <c r="I341" s="44">
        <v>0</v>
      </c>
      <c r="J341" s="46">
        <v>15</v>
      </c>
      <c r="K341" s="46">
        <v>0</v>
      </c>
      <c r="L341" s="46">
        <v>0</v>
      </c>
      <c r="M341" s="46">
        <v>0</v>
      </c>
      <c r="N341" s="46">
        <v>0</v>
      </c>
      <c r="O341" s="46">
        <v>0</v>
      </c>
      <c r="P341" s="47">
        <v>500</v>
      </c>
      <c r="Q341" s="47">
        <v>0</v>
      </c>
      <c r="R341" s="47">
        <v>0</v>
      </c>
      <c r="S341" s="47">
        <v>0</v>
      </c>
      <c r="T341" s="47">
        <v>0</v>
      </c>
      <c r="U341" s="47">
        <v>0</v>
      </c>
      <c r="V341">
        <f t="shared" si="15"/>
        <v>2515</v>
      </c>
      <c r="W341">
        <f t="shared" si="16"/>
        <v>0</v>
      </c>
      <c r="X341">
        <f t="shared" si="17"/>
        <v>0</v>
      </c>
      <c r="AA341" s="64">
        <v>53377</v>
      </c>
      <c r="AB341">
        <v>0</v>
      </c>
    </row>
    <row r="342" spans="1:28" x14ac:dyDescent="0.25">
      <c r="A342" s="125"/>
      <c r="B342" s="64" t="s">
        <v>1116</v>
      </c>
      <c r="C342" s="64">
        <v>53375</v>
      </c>
      <c r="D342" s="44">
        <v>500</v>
      </c>
      <c r="E342" s="44">
        <v>0</v>
      </c>
      <c r="F342" s="44">
        <v>0</v>
      </c>
      <c r="G342" s="44">
        <v>0</v>
      </c>
      <c r="H342" s="44">
        <v>0</v>
      </c>
      <c r="I342" s="44">
        <v>0</v>
      </c>
      <c r="J342" s="46">
        <v>200</v>
      </c>
      <c r="K342" s="46">
        <v>0</v>
      </c>
      <c r="L342" s="46">
        <v>0</v>
      </c>
      <c r="M342" s="46">
        <v>0</v>
      </c>
      <c r="N342" s="46">
        <v>0</v>
      </c>
      <c r="O342" s="46">
        <v>0</v>
      </c>
      <c r="P342" s="47">
        <v>70</v>
      </c>
      <c r="Q342" s="47">
        <v>0</v>
      </c>
      <c r="R342" s="47">
        <v>0</v>
      </c>
      <c r="S342" s="47">
        <v>0</v>
      </c>
      <c r="T342" s="47">
        <v>0</v>
      </c>
      <c r="U342" s="47">
        <v>0</v>
      </c>
      <c r="V342">
        <f t="shared" si="15"/>
        <v>770</v>
      </c>
      <c r="W342">
        <f t="shared" si="16"/>
        <v>0</v>
      </c>
      <c r="X342">
        <f t="shared" si="17"/>
        <v>0</v>
      </c>
      <c r="AA342" s="64">
        <v>53375</v>
      </c>
      <c r="AB342">
        <v>0</v>
      </c>
    </row>
    <row r="343" spans="1:28" x14ac:dyDescent="0.25">
      <c r="A343" s="125"/>
      <c r="B343" s="64" t="s">
        <v>2951</v>
      </c>
      <c r="C343" s="64">
        <v>53155</v>
      </c>
      <c r="D343" s="44">
        <v>0</v>
      </c>
      <c r="E343" s="44">
        <v>0</v>
      </c>
      <c r="F343" s="44">
        <v>0</v>
      </c>
      <c r="G343" s="44">
        <v>0</v>
      </c>
      <c r="H343" s="44">
        <v>0</v>
      </c>
      <c r="I343" s="44">
        <v>0</v>
      </c>
      <c r="J343" s="46">
        <v>500</v>
      </c>
      <c r="K343" s="46">
        <v>0</v>
      </c>
      <c r="L343" s="46">
        <v>125</v>
      </c>
      <c r="M343" s="46">
        <v>0.13</v>
      </c>
      <c r="N343" s="46" t="s">
        <v>6961</v>
      </c>
      <c r="O343" s="46">
        <v>65</v>
      </c>
      <c r="P343" s="47">
        <v>10</v>
      </c>
      <c r="Q343" s="47">
        <v>0</v>
      </c>
      <c r="R343" s="47">
        <v>0</v>
      </c>
      <c r="S343" s="47">
        <v>0</v>
      </c>
      <c r="T343" s="47">
        <v>0</v>
      </c>
      <c r="U343" s="47">
        <v>0</v>
      </c>
      <c r="V343">
        <f t="shared" si="15"/>
        <v>510</v>
      </c>
      <c r="W343">
        <f t="shared" si="16"/>
        <v>65</v>
      </c>
      <c r="X343">
        <f t="shared" si="17"/>
        <v>0.12745098039215685</v>
      </c>
      <c r="AA343" s="64">
        <v>53155</v>
      </c>
      <c r="AB343">
        <v>0.12745098039215685</v>
      </c>
    </row>
    <row r="344" spans="1:28" x14ac:dyDescent="0.25">
      <c r="A344" s="125"/>
      <c r="B344" s="65" t="s">
        <v>2447</v>
      </c>
      <c r="C344" s="64">
        <v>53284</v>
      </c>
      <c r="D344" s="44">
        <v>0</v>
      </c>
      <c r="E344" s="44">
        <v>0</v>
      </c>
      <c r="F344" s="44">
        <v>0</v>
      </c>
      <c r="G344" s="44">
        <v>0</v>
      </c>
      <c r="H344" s="44">
        <v>0</v>
      </c>
      <c r="I344" s="44">
        <v>0</v>
      </c>
      <c r="J344" s="46">
        <v>2000</v>
      </c>
      <c r="K344" s="46">
        <v>0</v>
      </c>
      <c r="L344" s="46">
        <v>0</v>
      </c>
      <c r="M344" s="46">
        <v>0</v>
      </c>
      <c r="N344" s="46">
        <v>0</v>
      </c>
      <c r="O344" s="46">
        <v>0</v>
      </c>
      <c r="P344" s="47">
        <v>2000</v>
      </c>
      <c r="Q344" s="47">
        <v>0</v>
      </c>
      <c r="R344" s="47">
        <v>500</v>
      </c>
      <c r="S344" s="47">
        <v>0.13</v>
      </c>
      <c r="T344" s="47" t="s">
        <v>6961</v>
      </c>
      <c r="U344" s="47">
        <v>260</v>
      </c>
      <c r="V344">
        <f t="shared" si="15"/>
        <v>4000</v>
      </c>
      <c r="W344">
        <f t="shared" si="16"/>
        <v>260</v>
      </c>
      <c r="X344">
        <f t="shared" si="17"/>
        <v>6.5000000000000002E-2</v>
      </c>
      <c r="AA344" s="64">
        <v>53284</v>
      </c>
      <c r="AB344">
        <v>6.5000000000000002E-2</v>
      </c>
    </row>
    <row r="345" spans="1:28" x14ac:dyDescent="0.25">
      <c r="A345" s="125"/>
      <c r="B345" s="64" t="s">
        <v>1111</v>
      </c>
      <c r="C345" s="64">
        <v>53322</v>
      </c>
      <c r="D345" s="44">
        <v>0</v>
      </c>
      <c r="E345" s="44">
        <v>0</v>
      </c>
      <c r="F345" s="44">
        <v>0</v>
      </c>
      <c r="G345" s="44">
        <v>0</v>
      </c>
      <c r="H345" s="44">
        <v>0</v>
      </c>
      <c r="I345" s="44">
        <v>0</v>
      </c>
      <c r="J345" s="46">
        <v>3000</v>
      </c>
      <c r="K345" s="46">
        <v>0</v>
      </c>
      <c r="L345" s="46">
        <v>0</v>
      </c>
      <c r="M345" s="46">
        <v>0</v>
      </c>
      <c r="N345" s="46">
        <v>0</v>
      </c>
      <c r="O345" s="46">
        <v>0</v>
      </c>
      <c r="P345" s="47">
        <v>500</v>
      </c>
      <c r="Q345" s="47">
        <v>0</v>
      </c>
      <c r="R345" s="47">
        <v>0</v>
      </c>
      <c r="S345" s="47">
        <v>0</v>
      </c>
      <c r="T345" s="47">
        <v>0</v>
      </c>
      <c r="U345" s="47">
        <v>0</v>
      </c>
      <c r="V345">
        <f t="shared" si="15"/>
        <v>3500</v>
      </c>
      <c r="W345">
        <f t="shared" si="16"/>
        <v>0</v>
      </c>
      <c r="X345">
        <f t="shared" si="17"/>
        <v>0</v>
      </c>
      <c r="AA345" s="64">
        <v>53322</v>
      </c>
      <c r="AB345">
        <v>0</v>
      </c>
    </row>
    <row r="346" spans="1:28" x14ac:dyDescent="0.25">
      <c r="A346" s="125"/>
      <c r="B346" s="64" t="s">
        <v>1079</v>
      </c>
      <c r="C346" s="64">
        <v>53151</v>
      </c>
      <c r="D346" s="44">
        <v>0</v>
      </c>
      <c r="E346" s="44">
        <v>0</v>
      </c>
      <c r="F346" s="44">
        <v>0</v>
      </c>
      <c r="G346" s="44">
        <v>0</v>
      </c>
      <c r="H346" s="44">
        <v>0</v>
      </c>
      <c r="I346" s="44">
        <v>0</v>
      </c>
      <c r="J346" s="46">
        <v>700</v>
      </c>
      <c r="K346" s="46">
        <v>0</v>
      </c>
      <c r="L346" s="46">
        <v>175</v>
      </c>
      <c r="M346" s="46">
        <v>0.13</v>
      </c>
      <c r="N346" s="46" t="s">
        <v>6961</v>
      </c>
      <c r="O346" s="46">
        <v>91</v>
      </c>
      <c r="P346" s="47">
        <v>10</v>
      </c>
      <c r="Q346" s="47">
        <v>0</v>
      </c>
      <c r="R346" s="47">
        <v>2.5</v>
      </c>
      <c r="S346" s="47">
        <v>0.13</v>
      </c>
      <c r="T346" s="47" t="s">
        <v>6961</v>
      </c>
      <c r="U346" s="47">
        <v>1.3</v>
      </c>
      <c r="V346">
        <f t="shared" si="15"/>
        <v>710</v>
      </c>
      <c r="W346">
        <f t="shared" si="16"/>
        <v>92.3</v>
      </c>
      <c r="X346">
        <f t="shared" si="17"/>
        <v>0.13</v>
      </c>
      <c r="AA346" s="64">
        <v>53151</v>
      </c>
      <c r="AB346">
        <v>0.13</v>
      </c>
    </row>
    <row r="347" spans="1:28" x14ac:dyDescent="0.25">
      <c r="A347" s="125"/>
      <c r="B347" s="64" t="s">
        <v>1114</v>
      </c>
      <c r="C347" s="64">
        <v>53355</v>
      </c>
      <c r="D347" s="44">
        <v>0</v>
      </c>
      <c r="E347" s="44">
        <v>0</v>
      </c>
      <c r="F347" s="44">
        <v>0</v>
      </c>
      <c r="G347" s="44">
        <v>0</v>
      </c>
      <c r="H347" s="44">
        <v>0</v>
      </c>
      <c r="I347" s="44">
        <v>0</v>
      </c>
      <c r="J347" s="46">
        <v>150</v>
      </c>
      <c r="K347" s="46">
        <v>0</v>
      </c>
      <c r="L347" s="46">
        <v>0</v>
      </c>
      <c r="M347" s="46">
        <v>0</v>
      </c>
      <c r="N347" s="46">
        <v>0</v>
      </c>
      <c r="O347" s="46">
        <v>0</v>
      </c>
      <c r="P347" s="47">
        <v>10</v>
      </c>
      <c r="Q347" s="47">
        <v>0</v>
      </c>
      <c r="R347" s="47">
        <v>0</v>
      </c>
      <c r="S347" s="47">
        <v>0</v>
      </c>
      <c r="T347" s="47">
        <v>0</v>
      </c>
      <c r="U347" s="47">
        <v>0</v>
      </c>
      <c r="V347">
        <f t="shared" si="15"/>
        <v>160</v>
      </c>
      <c r="W347">
        <f t="shared" si="16"/>
        <v>0</v>
      </c>
      <c r="X347">
        <f t="shared" si="17"/>
        <v>0</v>
      </c>
      <c r="AA347" s="64">
        <v>53355</v>
      </c>
      <c r="AB347">
        <v>0</v>
      </c>
    </row>
    <row r="348" spans="1:28" x14ac:dyDescent="0.25">
      <c r="A348" s="125"/>
      <c r="B348" s="64" t="s">
        <v>1069</v>
      </c>
      <c r="C348" s="64">
        <v>53111</v>
      </c>
      <c r="D348" s="44">
        <v>50</v>
      </c>
      <c r="E348" s="44">
        <v>0</v>
      </c>
      <c r="F348" s="44">
        <v>12.5</v>
      </c>
      <c r="G348" s="44">
        <v>0.13</v>
      </c>
      <c r="H348" s="44" t="s">
        <v>6961</v>
      </c>
      <c r="I348" s="44">
        <v>6.5</v>
      </c>
      <c r="J348" s="46">
        <v>100</v>
      </c>
      <c r="K348" s="46">
        <v>0</v>
      </c>
      <c r="L348" s="46">
        <v>25</v>
      </c>
      <c r="M348" s="46">
        <v>0.13</v>
      </c>
      <c r="N348" s="46" t="s">
        <v>6961</v>
      </c>
      <c r="O348" s="46">
        <v>13</v>
      </c>
      <c r="P348" s="47">
        <v>100</v>
      </c>
      <c r="Q348" s="47">
        <v>0</v>
      </c>
      <c r="R348" s="47">
        <v>25</v>
      </c>
      <c r="S348" s="47">
        <v>0.13</v>
      </c>
      <c r="T348" s="47" t="s">
        <v>6961</v>
      </c>
      <c r="U348" s="47">
        <v>13</v>
      </c>
      <c r="V348">
        <f t="shared" si="15"/>
        <v>250</v>
      </c>
      <c r="W348">
        <f t="shared" si="16"/>
        <v>32.5</v>
      </c>
      <c r="X348">
        <f t="shared" si="17"/>
        <v>0.13</v>
      </c>
      <c r="AA348" s="64">
        <v>53111</v>
      </c>
      <c r="AB348">
        <v>0.13</v>
      </c>
    </row>
    <row r="349" spans="1:28" x14ac:dyDescent="0.25">
      <c r="A349" s="125"/>
      <c r="B349" s="64" t="s">
        <v>1122</v>
      </c>
      <c r="C349" s="64">
        <v>53417</v>
      </c>
      <c r="D349" s="44">
        <v>0</v>
      </c>
      <c r="E349" s="44">
        <v>0</v>
      </c>
      <c r="F349" s="44">
        <v>0</v>
      </c>
      <c r="G349" s="44">
        <v>0</v>
      </c>
      <c r="H349" s="44">
        <v>0</v>
      </c>
      <c r="I349" s="44">
        <v>0</v>
      </c>
      <c r="J349" s="46">
        <v>1200</v>
      </c>
      <c r="K349" s="46">
        <v>0</v>
      </c>
      <c r="L349" s="46">
        <v>300</v>
      </c>
      <c r="M349" s="46">
        <v>0.13</v>
      </c>
      <c r="N349" s="46" t="s">
        <v>6961</v>
      </c>
      <c r="O349" s="46">
        <v>156</v>
      </c>
      <c r="P349" s="47">
        <v>60</v>
      </c>
      <c r="Q349" s="47">
        <v>0</v>
      </c>
      <c r="R349" s="47">
        <v>15</v>
      </c>
      <c r="S349" s="47">
        <v>0.13</v>
      </c>
      <c r="T349" s="47" t="s">
        <v>6961</v>
      </c>
      <c r="U349" s="47">
        <v>7.8000000000000007</v>
      </c>
      <c r="V349">
        <f t="shared" si="15"/>
        <v>1260</v>
      </c>
      <c r="W349">
        <f t="shared" si="16"/>
        <v>163.80000000000001</v>
      </c>
      <c r="X349">
        <f t="shared" si="17"/>
        <v>0.13</v>
      </c>
      <c r="AA349" s="64">
        <v>53417</v>
      </c>
      <c r="AB349">
        <v>0.13</v>
      </c>
    </row>
    <row r="350" spans="1:28" x14ac:dyDescent="0.25">
      <c r="A350" s="125"/>
      <c r="B350" s="64" t="s">
        <v>1129</v>
      </c>
      <c r="C350" s="64">
        <v>53431</v>
      </c>
      <c r="D350" s="44">
        <v>2</v>
      </c>
      <c r="E350" s="44">
        <v>0</v>
      </c>
      <c r="F350" s="44">
        <v>0</v>
      </c>
      <c r="G350" s="44">
        <v>0</v>
      </c>
      <c r="H350" s="44">
        <v>0</v>
      </c>
      <c r="I350" s="44">
        <v>0</v>
      </c>
      <c r="J350" s="46">
        <v>70</v>
      </c>
      <c r="K350" s="46">
        <v>35</v>
      </c>
      <c r="L350" s="46">
        <v>52.5</v>
      </c>
      <c r="M350" s="46">
        <v>0.625</v>
      </c>
      <c r="N350" s="46" t="s">
        <v>6960</v>
      </c>
      <c r="O350" s="46">
        <v>43.75</v>
      </c>
      <c r="P350" s="47">
        <v>40</v>
      </c>
      <c r="Q350" s="47">
        <v>20</v>
      </c>
      <c r="R350" s="47">
        <v>30</v>
      </c>
      <c r="S350" s="47">
        <v>0.625</v>
      </c>
      <c r="T350" s="47" t="s">
        <v>6960</v>
      </c>
      <c r="U350" s="47">
        <v>25</v>
      </c>
      <c r="V350">
        <f t="shared" si="15"/>
        <v>112</v>
      </c>
      <c r="W350">
        <f t="shared" si="16"/>
        <v>68.75</v>
      </c>
      <c r="X350">
        <f t="shared" si="17"/>
        <v>0.6138392857142857</v>
      </c>
      <c r="AA350" s="64">
        <v>53431</v>
      </c>
      <c r="AB350">
        <v>0.6138392857142857</v>
      </c>
    </row>
    <row r="351" spans="1:28" x14ac:dyDescent="0.25">
      <c r="A351" s="125"/>
      <c r="B351" s="64" t="s">
        <v>1140</v>
      </c>
      <c r="C351" s="64">
        <v>53453</v>
      </c>
      <c r="D351" s="44">
        <v>170</v>
      </c>
      <c r="E351" s="44">
        <v>0</v>
      </c>
      <c r="F351" s="44">
        <v>0</v>
      </c>
      <c r="G351" s="44">
        <v>0</v>
      </c>
      <c r="H351" s="44">
        <v>0</v>
      </c>
      <c r="I351" s="44">
        <v>0</v>
      </c>
      <c r="J351" s="46">
        <v>13</v>
      </c>
      <c r="K351" s="46">
        <v>0</v>
      </c>
      <c r="L351" s="46">
        <v>3.25</v>
      </c>
      <c r="M351" s="46">
        <v>0.13</v>
      </c>
      <c r="N351" s="46" t="s">
        <v>6961</v>
      </c>
      <c r="O351" s="46">
        <v>1.69</v>
      </c>
      <c r="P351" s="47">
        <v>300</v>
      </c>
      <c r="Q351" s="47">
        <v>0</v>
      </c>
      <c r="R351" s="47">
        <v>75</v>
      </c>
      <c r="S351" s="47">
        <v>0.13</v>
      </c>
      <c r="T351" s="47" t="s">
        <v>6961</v>
      </c>
      <c r="U351" s="47">
        <v>39</v>
      </c>
      <c r="V351">
        <f t="shared" si="15"/>
        <v>483</v>
      </c>
      <c r="W351">
        <f t="shared" si="16"/>
        <v>40.69</v>
      </c>
      <c r="X351">
        <f t="shared" si="17"/>
        <v>8.424430641821945E-2</v>
      </c>
      <c r="AA351" s="64">
        <v>53453</v>
      </c>
      <c r="AB351">
        <v>8.424430641821945E-2</v>
      </c>
    </row>
    <row r="352" spans="1:28" x14ac:dyDescent="0.25">
      <c r="A352" s="125"/>
      <c r="B352" s="64" t="s">
        <v>1137</v>
      </c>
      <c r="C352" s="64">
        <v>53447</v>
      </c>
      <c r="D352" s="44">
        <v>250</v>
      </c>
      <c r="E352" s="44">
        <v>125</v>
      </c>
      <c r="F352" s="44">
        <v>187.5</v>
      </c>
      <c r="G352" s="44">
        <v>0.625</v>
      </c>
      <c r="H352" s="44" t="s">
        <v>6960</v>
      </c>
      <c r="I352" s="44">
        <v>156.25</v>
      </c>
      <c r="J352" s="46">
        <v>250</v>
      </c>
      <c r="K352" s="46">
        <v>125</v>
      </c>
      <c r="L352" s="46">
        <v>187.5</v>
      </c>
      <c r="M352" s="46">
        <v>0.625</v>
      </c>
      <c r="N352" s="46" t="s">
        <v>6960</v>
      </c>
      <c r="O352" s="46">
        <v>156.25</v>
      </c>
      <c r="P352" s="47">
        <v>370</v>
      </c>
      <c r="Q352" s="47">
        <v>92.5</v>
      </c>
      <c r="R352" s="47">
        <v>185</v>
      </c>
      <c r="S352" s="47">
        <v>0.375</v>
      </c>
      <c r="T352" s="47" t="s">
        <v>6958</v>
      </c>
      <c r="U352" s="47">
        <v>138.75</v>
      </c>
      <c r="V352">
        <f t="shared" si="15"/>
        <v>870</v>
      </c>
      <c r="W352">
        <f t="shared" si="16"/>
        <v>451.25</v>
      </c>
      <c r="X352">
        <f t="shared" si="17"/>
        <v>0.51867816091954022</v>
      </c>
      <c r="AA352" s="64">
        <v>53447</v>
      </c>
      <c r="AB352">
        <v>0.51867816091954022</v>
      </c>
    </row>
    <row r="353" spans="1:28" x14ac:dyDescent="0.25">
      <c r="A353" s="125"/>
      <c r="B353" s="64" t="s">
        <v>1123</v>
      </c>
      <c r="C353" s="64">
        <v>53419</v>
      </c>
      <c r="D353" s="44">
        <v>0</v>
      </c>
      <c r="E353" s="44">
        <v>0</v>
      </c>
      <c r="F353" s="44">
        <v>0</v>
      </c>
      <c r="G353" s="44">
        <v>0</v>
      </c>
      <c r="H353" s="44">
        <v>0</v>
      </c>
      <c r="I353" s="44">
        <v>0</v>
      </c>
      <c r="J353" s="46">
        <v>120</v>
      </c>
      <c r="K353" s="46">
        <v>60</v>
      </c>
      <c r="L353" s="46">
        <v>90</v>
      </c>
      <c r="M353" s="46">
        <v>0.625</v>
      </c>
      <c r="N353" s="46" t="s">
        <v>6960</v>
      </c>
      <c r="O353" s="46">
        <v>75</v>
      </c>
      <c r="P353" s="47">
        <v>160</v>
      </c>
      <c r="Q353" s="47">
        <v>40</v>
      </c>
      <c r="R353" s="47">
        <v>80</v>
      </c>
      <c r="S353" s="47">
        <v>0.375</v>
      </c>
      <c r="T353" s="47" t="s">
        <v>6958</v>
      </c>
      <c r="U353" s="47">
        <v>60</v>
      </c>
      <c r="V353">
        <f t="shared" si="15"/>
        <v>280</v>
      </c>
      <c r="W353">
        <f t="shared" si="16"/>
        <v>135</v>
      </c>
      <c r="X353">
        <f t="shared" si="17"/>
        <v>0.48214285714285715</v>
      </c>
      <c r="AA353" s="64">
        <v>53419</v>
      </c>
      <c r="AB353">
        <v>0.48214285714285715</v>
      </c>
    </row>
    <row r="354" spans="1:28" x14ac:dyDescent="0.25">
      <c r="A354" s="125"/>
      <c r="B354" s="64" t="s">
        <v>1133</v>
      </c>
      <c r="C354" s="64">
        <v>53439</v>
      </c>
      <c r="D354" s="44">
        <v>0</v>
      </c>
      <c r="E354" s="44">
        <v>0</v>
      </c>
      <c r="F354" s="44">
        <v>0</v>
      </c>
      <c r="G354" s="44">
        <v>0</v>
      </c>
      <c r="H354" s="44">
        <v>0</v>
      </c>
      <c r="I354" s="44">
        <v>0</v>
      </c>
      <c r="J354" s="46">
        <v>350</v>
      </c>
      <c r="K354" s="46">
        <v>0</v>
      </c>
      <c r="L354" s="46">
        <v>87.5</v>
      </c>
      <c r="M354" s="46">
        <v>0.13</v>
      </c>
      <c r="N354" s="46" t="s">
        <v>6961</v>
      </c>
      <c r="O354" s="46">
        <v>45.5</v>
      </c>
      <c r="P354" s="47">
        <v>120</v>
      </c>
      <c r="Q354" s="47">
        <v>0</v>
      </c>
      <c r="R354" s="47">
        <v>30</v>
      </c>
      <c r="S354" s="47">
        <v>0.13</v>
      </c>
      <c r="T354" s="47" t="s">
        <v>6961</v>
      </c>
      <c r="U354" s="47">
        <v>15.600000000000001</v>
      </c>
      <c r="V354">
        <f t="shared" si="15"/>
        <v>470</v>
      </c>
      <c r="W354">
        <f t="shared" si="16"/>
        <v>61.1</v>
      </c>
      <c r="X354">
        <f t="shared" si="17"/>
        <v>0.13</v>
      </c>
      <c r="AA354" s="64">
        <v>53439</v>
      </c>
      <c r="AB354">
        <v>0.13</v>
      </c>
    </row>
    <row r="355" spans="1:28" x14ac:dyDescent="0.25">
      <c r="A355" s="125"/>
      <c r="B355" s="64" t="s">
        <v>1132</v>
      </c>
      <c r="C355" s="64">
        <v>53437</v>
      </c>
      <c r="D355" s="44">
        <v>0</v>
      </c>
      <c r="E355" s="44">
        <v>0</v>
      </c>
      <c r="F355" s="44">
        <v>0</v>
      </c>
      <c r="G355" s="44">
        <v>0</v>
      </c>
      <c r="H355" s="44">
        <v>0</v>
      </c>
      <c r="I355" s="44">
        <v>0</v>
      </c>
      <c r="J355" s="46">
        <v>13</v>
      </c>
      <c r="K355" s="46">
        <v>3.25</v>
      </c>
      <c r="L355" s="46">
        <v>6.5</v>
      </c>
      <c r="M355" s="46">
        <v>0.375</v>
      </c>
      <c r="N355" s="46" t="s">
        <v>6958</v>
      </c>
      <c r="O355" s="46">
        <v>4.875</v>
      </c>
      <c r="P355" s="47">
        <v>5</v>
      </c>
      <c r="Q355" s="47">
        <v>0</v>
      </c>
      <c r="R355" s="47">
        <v>1.25</v>
      </c>
      <c r="S355" s="47">
        <v>0.13</v>
      </c>
      <c r="T355" s="47" t="s">
        <v>6961</v>
      </c>
      <c r="U355" s="47">
        <v>0.65</v>
      </c>
      <c r="V355">
        <f t="shared" si="15"/>
        <v>18</v>
      </c>
      <c r="W355">
        <f t="shared" si="16"/>
        <v>5.5250000000000004</v>
      </c>
      <c r="X355">
        <f t="shared" si="17"/>
        <v>0.30694444444444446</v>
      </c>
      <c r="AA355" s="64">
        <v>53437</v>
      </c>
      <c r="AB355">
        <v>0.30694444444444446</v>
      </c>
    </row>
    <row r="356" spans="1:28" x14ac:dyDescent="0.25">
      <c r="A356" s="125"/>
      <c r="B356" s="64" t="s">
        <v>1076</v>
      </c>
      <c r="C356" s="64">
        <v>53139</v>
      </c>
      <c r="D356" s="44">
        <v>0</v>
      </c>
      <c r="E356" s="44">
        <v>0</v>
      </c>
      <c r="F356" s="44">
        <v>0</v>
      </c>
      <c r="G356" s="44">
        <v>0</v>
      </c>
      <c r="H356" s="44">
        <v>0</v>
      </c>
      <c r="I356" s="44">
        <v>0</v>
      </c>
      <c r="J356" s="46">
        <v>170</v>
      </c>
      <c r="K356" s="46">
        <v>0</v>
      </c>
      <c r="L356" s="46">
        <v>42.5</v>
      </c>
      <c r="M356" s="46">
        <v>0.13</v>
      </c>
      <c r="N356" s="46" t="s">
        <v>6961</v>
      </c>
      <c r="O356" s="46">
        <v>22.1</v>
      </c>
      <c r="P356" s="47">
        <v>75</v>
      </c>
      <c r="Q356" s="47">
        <v>0</v>
      </c>
      <c r="R356" s="47">
        <v>18.75</v>
      </c>
      <c r="S356" s="47">
        <v>0.13</v>
      </c>
      <c r="T356" s="47" t="s">
        <v>6961</v>
      </c>
      <c r="U356" s="47">
        <v>9.75</v>
      </c>
      <c r="V356">
        <f t="shared" si="15"/>
        <v>245</v>
      </c>
      <c r="W356">
        <f t="shared" si="16"/>
        <v>31.85</v>
      </c>
      <c r="X356">
        <f t="shared" si="17"/>
        <v>0.13</v>
      </c>
      <c r="AA356" s="64">
        <v>53139</v>
      </c>
      <c r="AB356">
        <v>0.13</v>
      </c>
    </row>
    <row r="357" spans="1:28" x14ac:dyDescent="0.25">
      <c r="A357" s="125"/>
      <c r="B357" s="64" t="s">
        <v>1134</v>
      </c>
      <c r="C357" s="64">
        <v>53441</v>
      </c>
      <c r="D357" s="44">
        <v>1</v>
      </c>
      <c r="E357" s="44">
        <v>0</v>
      </c>
      <c r="F357" s="44">
        <v>0</v>
      </c>
      <c r="G357" s="44">
        <v>0</v>
      </c>
      <c r="H357" s="44">
        <v>0</v>
      </c>
      <c r="I357" s="44">
        <v>0</v>
      </c>
      <c r="J357" s="46">
        <v>200</v>
      </c>
      <c r="K357" s="46">
        <v>0</v>
      </c>
      <c r="L357" s="46">
        <v>50</v>
      </c>
      <c r="M357" s="46">
        <v>0.13</v>
      </c>
      <c r="N357" s="46" t="s">
        <v>6961</v>
      </c>
      <c r="O357" s="46">
        <v>26</v>
      </c>
      <c r="P357" s="47">
        <v>25</v>
      </c>
      <c r="Q357" s="47">
        <v>0</v>
      </c>
      <c r="R357" s="47">
        <v>6.25</v>
      </c>
      <c r="S357" s="47">
        <v>0.13</v>
      </c>
      <c r="T357" s="47" t="s">
        <v>6961</v>
      </c>
      <c r="U357" s="47">
        <v>3.25</v>
      </c>
      <c r="V357">
        <f t="shared" si="15"/>
        <v>226</v>
      </c>
      <c r="W357">
        <f t="shared" si="16"/>
        <v>29.25</v>
      </c>
      <c r="X357">
        <f t="shared" si="17"/>
        <v>0.12942477876106195</v>
      </c>
      <c r="AA357" s="64">
        <v>53441</v>
      </c>
      <c r="AB357">
        <v>0.12942477876106195</v>
      </c>
    </row>
    <row r="358" spans="1:28" x14ac:dyDescent="0.25">
      <c r="A358" s="125"/>
      <c r="B358" s="64" t="s">
        <v>1136</v>
      </c>
      <c r="C358" s="64">
        <v>53445</v>
      </c>
      <c r="D358" s="44">
        <v>0</v>
      </c>
      <c r="E358" s="44">
        <v>0</v>
      </c>
      <c r="F358" s="44">
        <v>0</v>
      </c>
      <c r="G358" s="44">
        <v>0</v>
      </c>
      <c r="H358" s="44">
        <v>0</v>
      </c>
      <c r="I358" s="44">
        <v>0</v>
      </c>
      <c r="J358" s="46">
        <v>6000</v>
      </c>
      <c r="K358" s="46">
        <v>3000</v>
      </c>
      <c r="L358" s="46">
        <v>4500</v>
      </c>
      <c r="M358" s="46">
        <v>0.625</v>
      </c>
      <c r="N358" s="46" t="s">
        <v>6960</v>
      </c>
      <c r="O358" s="46">
        <v>3750</v>
      </c>
      <c r="P358" s="47">
        <v>2000</v>
      </c>
      <c r="Q358" s="47">
        <v>500</v>
      </c>
      <c r="R358" s="47">
        <v>1000</v>
      </c>
      <c r="S358" s="47">
        <v>0.375</v>
      </c>
      <c r="T358" s="47" t="s">
        <v>6958</v>
      </c>
      <c r="U358" s="47">
        <v>750</v>
      </c>
      <c r="V358">
        <f t="shared" si="15"/>
        <v>8000</v>
      </c>
      <c r="W358">
        <f t="shared" si="16"/>
        <v>4500</v>
      </c>
      <c r="X358">
        <f t="shared" si="17"/>
        <v>0.5625</v>
      </c>
      <c r="AA358" s="64">
        <v>53445</v>
      </c>
      <c r="AB358">
        <v>0.5625</v>
      </c>
    </row>
    <row r="359" spans="1:28" x14ac:dyDescent="0.25">
      <c r="A359" s="125"/>
      <c r="B359" s="64" t="s">
        <v>1119</v>
      </c>
      <c r="C359" s="64">
        <v>53411</v>
      </c>
      <c r="D359" s="44">
        <v>0</v>
      </c>
      <c r="E359" s="44">
        <v>0</v>
      </c>
      <c r="F359" s="44">
        <v>0</v>
      </c>
      <c r="G359" s="44">
        <v>0</v>
      </c>
      <c r="H359" s="44">
        <v>0</v>
      </c>
      <c r="I359" s="44">
        <v>0</v>
      </c>
      <c r="J359" s="46">
        <v>300</v>
      </c>
      <c r="K359" s="46">
        <v>75</v>
      </c>
      <c r="L359" s="46">
        <v>150</v>
      </c>
      <c r="M359" s="46">
        <v>0.375</v>
      </c>
      <c r="N359" s="46" t="s">
        <v>6958</v>
      </c>
      <c r="O359" s="46">
        <v>112.5</v>
      </c>
      <c r="P359" s="47">
        <v>300</v>
      </c>
      <c r="Q359" s="47">
        <v>75</v>
      </c>
      <c r="R359" s="47">
        <v>150</v>
      </c>
      <c r="S359" s="47">
        <v>0.375</v>
      </c>
      <c r="T359" s="47" t="s">
        <v>6958</v>
      </c>
      <c r="U359" s="47">
        <v>112.5</v>
      </c>
      <c r="V359">
        <f t="shared" si="15"/>
        <v>600</v>
      </c>
      <c r="W359">
        <f t="shared" si="16"/>
        <v>225</v>
      </c>
      <c r="X359">
        <f t="shared" si="17"/>
        <v>0.375</v>
      </c>
      <c r="AA359" s="64">
        <v>53411</v>
      </c>
      <c r="AB359">
        <v>0.375</v>
      </c>
    </row>
    <row r="360" spans="1:28" x14ac:dyDescent="0.25">
      <c r="A360" s="125"/>
      <c r="B360" s="64" t="s">
        <v>1139</v>
      </c>
      <c r="C360" s="64">
        <v>53451</v>
      </c>
      <c r="D360" s="44">
        <v>3</v>
      </c>
      <c r="E360" s="44">
        <v>0</v>
      </c>
      <c r="F360" s="44">
        <v>0</v>
      </c>
      <c r="G360" s="44">
        <v>0</v>
      </c>
      <c r="H360" s="44">
        <v>0</v>
      </c>
      <c r="I360" s="44">
        <v>0</v>
      </c>
      <c r="J360" s="46">
        <v>225</v>
      </c>
      <c r="K360" s="46">
        <v>0</v>
      </c>
      <c r="L360" s="46">
        <v>56.25</v>
      </c>
      <c r="M360" s="46">
        <v>0.13</v>
      </c>
      <c r="N360" s="46" t="s">
        <v>6961</v>
      </c>
      <c r="O360" s="46">
        <v>29.25</v>
      </c>
      <c r="P360" s="47">
        <v>110</v>
      </c>
      <c r="Q360" s="47">
        <v>0</v>
      </c>
      <c r="R360" s="47">
        <v>0</v>
      </c>
      <c r="S360" s="47">
        <v>0</v>
      </c>
      <c r="T360" s="47">
        <v>0</v>
      </c>
      <c r="U360" s="47">
        <v>0</v>
      </c>
      <c r="V360">
        <f t="shared" si="15"/>
        <v>338</v>
      </c>
      <c r="W360">
        <f t="shared" si="16"/>
        <v>29.25</v>
      </c>
      <c r="X360">
        <f t="shared" si="17"/>
        <v>8.6538461538461536E-2</v>
      </c>
      <c r="AA360" s="64">
        <v>53451</v>
      </c>
      <c r="AB360">
        <v>8.6538461538461536E-2</v>
      </c>
    </row>
    <row r="361" spans="1:28" x14ac:dyDescent="0.25">
      <c r="A361" s="125"/>
      <c r="B361" s="64" t="s">
        <v>1128</v>
      </c>
      <c r="C361" s="64">
        <v>53429</v>
      </c>
      <c r="D361" s="44">
        <v>20</v>
      </c>
      <c r="E361" s="44">
        <v>0</v>
      </c>
      <c r="F361" s="44">
        <v>0</v>
      </c>
      <c r="G361" s="44">
        <v>0</v>
      </c>
      <c r="H361" s="44">
        <v>0</v>
      </c>
      <c r="I361" s="44">
        <v>0</v>
      </c>
      <c r="J361" s="46">
        <v>200</v>
      </c>
      <c r="K361" s="46">
        <v>0</v>
      </c>
      <c r="L361" s="46">
        <v>50</v>
      </c>
      <c r="M361" s="46">
        <v>0.13</v>
      </c>
      <c r="N361" s="46" t="s">
        <v>6961</v>
      </c>
      <c r="O361" s="46">
        <v>26</v>
      </c>
      <c r="P361" s="47">
        <v>75</v>
      </c>
      <c r="Q361" s="47">
        <v>0</v>
      </c>
      <c r="R361" s="47">
        <v>18.75</v>
      </c>
      <c r="S361" s="47">
        <v>0.13</v>
      </c>
      <c r="T361" s="47" t="s">
        <v>6961</v>
      </c>
      <c r="U361" s="47">
        <v>9.75</v>
      </c>
      <c r="V361">
        <f t="shared" si="15"/>
        <v>295</v>
      </c>
      <c r="W361">
        <f t="shared" si="16"/>
        <v>35.75</v>
      </c>
      <c r="X361">
        <f t="shared" si="17"/>
        <v>0.12118644067796611</v>
      </c>
      <c r="AA361" s="64">
        <v>53429</v>
      </c>
      <c r="AB361">
        <v>0.12118644067796611</v>
      </c>
    </row>
    <row r="362" spans="1:28" x14ac:dyDescent="0.25">
      <c r="A362" s="125"/>
      <c r="B362" s="64" t="s">
        <v>1086</v>
      </c>
      <c r="C362" s="64">
        <v>53183</v>
      </c>
      <c r="D362" s="44">
        <v>0</v>
      </c>
      <c r="E362" s="44">
        <v>0</v>
      </c>
      <c r="F362" s="44">
        <v>0</v>
      </c>
      <c r="G362" s="44">
        <v>0</v>
      </c>
      <c r="H362" s="44">
        <v>0</v>
      </c>
      <c r="I362" s="44">
        <v>0</v>
      </c>
      <c r="J362" s="46">
        <v>150</v>
      </c>
      <c r="K362" s="46">
        <v>37.5</v>
      </c>
      <c r="L362" s="46">
        <v>75</v>
      </c>
      <c r="M362" s="46">
        <v>0.375</v>
      </c>
      <c r="N362" s="46" t="s">
        <v>6958</v>
      </c>
      <c r="O362" s="46">
        <v>56.25</v>
      </c>
      <c r="P362" s="47">
        <v>100</v>
      </c>
      <c r="Q362" s="47">
        <v>0</v>
      </c>
      <c r="R362" s="47">
        <v>25</v>
      </c>
      <c r="S362" s="47">
        <v>0.13</v>
      </c>
      <c r="T362" s="47" t="s">
        <v>6961</v>
      </c>
      <c r="U362" s="47">
        <v>13</v>
      </c>
      <c r="V362">
        <f t="shared" si="15"/>
        <v>250</v>
      </c>
      <c r="W362">
        <f t="shared" si="16"/>
        <v>69.25</v>
      </c>
      <c r="X362">
        <f t="shared" si="17"/>
        <v>0.27700000000000002</v>
      </c>
      <c r="AA362" s="64">
        <v>53183</v>
      </c>
      <c r="AB362">
        <v>0.27700000000000002</v>
      </c>
    </row>
    <row r="363" spans="1:28" x14ac:dyDescent="0.25">
      <c r="A363" s="125"/>
      <c r="B363" s="64" t="s">
        <v>1131</v>
      </c>
      <c r="C363" s="64">
        <v>53435</v>
      </c>
      <c r="D363" s="44">
        <v>0</v>
      </c>
      <c r="E363" s="44">
        <v>0</v>
      </c>
      <c r="F363" s="44">
        <v>0</v>
      </c>
      <c r="G363" s="44">
        <v>0</v>
      </c>
      <c r="H363" s="44">
        <v>0</v>
      </c>
      <c r="I363" s="44">
        <v>0</v>
      </c>
      <c r="J363" s="46">
        <v>150</v>
      </c>
      <c r="K363" s="46">
        <v>37.5</v>
      </c>
      <c r="L363" s="46">
        <v>75</v>
      </c>
      <c r="M363" s="46">
        <v>0.375</v>
      </c>
      <c r="N363" s="46" t="s">
        <v>6958</v>
      </c>
      <c r="O363" s="46">
        <v>56.25</v>
      </c>
      <c r="P363" s="47">
        <v>70</v>
      </c>
      <c r="Q363" s="47">
        <v>17.5</v>
      </c>
      <c r="R363" s="47">
        <v>35</v>
      </c>
      <c r="S363" s="47">
        <v>0.375</v>
      </c>
      <c r="T363" s="47" t="s">
        <v>6958</v>
      </c>
      <c r="U363" s="47">
        <v>26.25</v>
      </c>
      <c r="V363">
        <f t="shared" si="15"/>
        <v>220</v>
      </c>
      <c r="W363">
        <f t="shared" si="16"/>
        <v>82.5</v>
      </c>
      <c r="X363">
        <f t="shared" si="17"/>
        <v>0.375</v>
      </c>
      <c r="AA363" s="64">
        <v>53435</v>
      </c>
      <c r="AB363">
        <v>0.375</v>
      </c>
    </row>
    <row r="364" spans="1:28" x14ac:dyDescent="0.25">
      <c r="A364" s="125"/>
      <c r="B364" s="64" t="s">
        <v>1078</v>
      </c>
      <c r="C364" s="64">
        <v>53147</v>
      </c>
      <c r="D364" s="44">
        <v>1</v>
      </c>
      <c r="E364" s="44">
        <v>0.25</v>
      </c>
      <c r="F364" s="44">
        <v>0.5</v>
      </c>
      <c r="G364" s="44">
        <v>0.375</v>
      </c>
      <c r="H364" s="44" t="s">
        <v>6958</v>
      </c>
      <c r="I364" s="44">
        <v>0.375</v>
      </c>
      <c r="J364" s="46">
        <v>60</v>
      </c>
      <c r="K364" s="46">
        <v>15</v>
      </c>
      <c r="L364" s="46">
        <v>30</v>
      </c>
      <c r="M364" s="46">
        <v>0.375</v>
      </c>
      <c r="N364" s="46" t="s">
        <v>6958</v>
      </c>
      <c r="O364" s="46">
        <v>22.5</v>
      </c>
      <c r="P364" s="47">
        <v>50</v>
      </c>
      <c r="Q364" s="47">
        <v>12.5</v>
      </c>
      <c r="R364" s="47">
        <v>25</v>
      </c>
      <c r="S364" s="47">
        <v>0.375</v>
      </c>
      <c r="T364" s="47" t="s">
        <v>6958</v>
      </c>
      <c r="U364" s="47">
        <v>18.75</v>
      </c>
      <c r="V364">
        <f t="shared" si="15"/>
        <v>111</v>
      </c>
      <c r="W364">
        <f t="shared" si="16"/>
        <v>41.625</v>
      </c>
      <c r="X364">
        <f t="shared" si="17"/>
        <v>0.375</v>
      </c>
      <c r="AA364" s="64">
        <v>53147</v>
      </c>
      <c r="AB364">
        <v>0.375</v>
      </c>
    </row>
    <row r="365" spans="1:28" x14ac:dyDescent="0.25">
      <c r="A365" s="125"/>
      <c r="B365" s="64" t="s">
        <v>1073</v>
      </c>
      <c r="C365" s="64">
        <v>53127</v>
      </c>
      <c r="D365" s="44">
        <v>0</v>
      </c>
      <c r="E365" s="44">
        <v>0</v>
      </c>
      <c r="F365" s="44">
        <v>0</v>
      </c>
      <c r="G365" s="44">
        <v>0</v>
      </c>
      <c r="H365" s="44">
        <v>0</v>
      </c>
      <c r="I365" s="44">
        <v>0</v>
      </c>
      <c r="J365" s="46">
        <v>80</v>
      </c>
      <c r="K365" s="46">
        <v>0</v>
      </c>
      <c r="L365" s="46">
        <v>0</v>
      </c>
      <c r="M365" s="46">
        <v>0</v>
      </c>
      <c r="N365" s="46">
        <v>0</v>
      </c>
      <c r="O365" s="46">
        <v>0</v>
      </c>
      <c r="P365" s="47">
        <v>10</v>
      </c>
      <c r="Q365" s="47">
        <v>0</v>
      </c>
      <c r="R365" s="47">
        <v>0</v>
      </c>
      <c r="S365" s="47">
        <v>0</v>
      </c>
      <c r="T365" s="47">
        <v>0</v>
      </c>
      <c r="U365" s="47">
        <v>0</v>
      </c>
      <c r="V365">
        <f t="shared" si="15"/>
        <v>90</v>
      </c>
      <c r="W365">
        <f t="shared" si="16"/>
        <v>0</v>
      </c>
      <c r="X365">
        <f t="shared" si="17"/>
        <v>0</v>
      </c>
      <c r="AA365" s="64">
        <v>53127</v>
      </c>
      <c r="AB365">
        <v>0</v>
      </c>
    </row>
    <row r="366" spans="1:28" x14ac:dyDescent="0.25">
      <c r="A366" s="125"/>
      <c r="B366" s="64" t="s">
        <v>1089</v>
      </c>
      <c r="C366" s="64">
        <v>53217</v>
      </c>
      <c r="D366" s="44">
        <v>0</v>
      </c>
      <c r="E366" s="44">
        <v>0</v>
      </c>
      <c r="F366" s="44">
        <v>0</v>
      </c>
      <c r="G366" s="44">
        <v>0</v>
      </c>
      <c r="H366" s="44">
        <v>0</v>
      </c>
      <c r="I366" s="44">
        <v>0</v>
      </c>
      <c r="J366" s="46">
        <v>20</v>
      </c>
      <c r="K366" s="46">
        <v>0</v>
      </c>
      <c r="L366" s="46">
        <v>5</v>
      </c>
      <c r="M366" s="46">
        <v>0.13</v>
      </c>
      <c r="N366" s="46" t="s">
        <v>6961</v>
      </c>
      <c r="O366" s="46">
        <v>2.6</v>
      </c>
      <c r="P366" s="47">
        <v>50</v>
      </c>
      <c r="Q366" s="47">
        <v>12.5</v>
      </c>
      <c r="R366" s="47">
        <v>25</v>
      </c>
      <c r="S366" s="47">
        <v>0.375</v>
      </c>
      <c r="T366" s="47" t="s">
        <v>6958</v>
      </c>
      <c r="U366" s="47">
        <v>18.75</v>
      </c>
      <c r="V366">
        <f t="shared" si="15"/>
        <v>70</v>
      </c>
      <c r="W366">
        <f t="shared" si="16"/>
        <v>21.35</v>
      </c>
      <c r="X366">
        <f t="shared" si="17"/>
        <v>0.30499999999999999</v>
      </c>
      <c r="AA366" s="64">
        <v>53217</v>
      </c>
      <c r="AB366">
        <v>0.30499999999999999</v>
      </c>
    </row>
    <row r="367" spans="1:28" x14ac:dyDescent="0.25">
      <c r="A367" s="125"/>
      <c r="B367" s="64" t="s">
        <v>1070</v>
      </c>
      <c r="C367" s="64">
        <v>53115</v>
      </c>
      <c r="D367" s="44">
        <v>0</v>
      </c>
      <c r="E367" s="44">
        <v>0</v>
      </c>
      <c r="F367" s="44">
        <v>0</v>
      </c>
      <c r="G367" s="44">
        <v>0</v>
      </c>
      <c r="H367" s="44">
        <v>0</v>
      </c>
      <c r="I367" s="44">
        <v>0</v>
      </c>
      <c r="J367" s="46">
        <v>100</v>
      </c>
      <c r="K367" s="46">
        <v>0</v>
      </c>
      <c r="L367" s="46">
        <v>25</v>
      </c>
      <c r="M367" s="46">
        <v>0.13</v>
      </c>
      <c r="N367" s="46" t="s">
        <v>6961</v>
      </c>
      <c r="O367" s="46">
        <v>13</v>
      </c>
      <c r="P367" s="47">
        <v>300</v>
      </c>
      <c r="Q367" s="47">
        <v>0</v>
      </c>
      <c r="R367" s="47">
        <v>0</v>
      </c>
      <c r="S367" s="47">
        <v>0</v>
      </c>
      <c r="T367" s="47">
        <v>0</v>
      </c>
      <c r="U367" s="47">
        <v>0</v>
      </c>
      <c r="V367">
        <f t="shared" si="15"/>
        <v>400</v>
      </c>
      <c r="W367">
        <f t="shared" si="16"/>
        <v>13</v>
      </c>
      <c r="X367">
        <f t="shared" si="17"/>
        <v>3.2500000000000001E-2</v>
      </c>
      <c r="AA367" s="64">
        <v>53115</v>
      </c>
      <c r="AB367">
        <v>3.2500000000000001E-2</v>
      </c>
    </row>
    <row r="368" spans="1:28" x14ac:dyDescent="0.25">
      <c r="A368" s="125"/>
      <c r="B368" s="64" t="s">
        <v>1093</v>
      </c>
      <c r="C368" s="64">
        <v>53231</v>
      </c>
      <c r="D368" s="44">
        <v>0</v>
      </c>
      <c r="E368" s="44"/>
      <c r="F368" s="44"/>
      <c r="G368" s="44">
        <v>0.625</v>
      </c>
      <c r="H368" s="44" t="s">
        <v>6960</v>
      </c>
      <c r="I368" s="44"/>
      <c r="J368" s="46">
        <v>6000</v>
      </c>
      <c r="K368" s="46">
        <v>4500</v>
      </c>
      <c r="L368" s="46">
        <v>6000</v>
      </c>
      <c r="M368" s="46">
        <v>0.87</v>
      </c>
      <c r="N368" s="46" t="s">
        <v>6959</v>
      </c>
      <c r="O368" s="46">
        <v>5220</v>
      </c>
      <c r="P368" s="47">
        <v>2000</v>
      </c>
      <c r="Q368" s="47">
        <v>500</v>
      </c>
      <c r="R368" s="47">
        <v>1000</v>
      </c>
      <c r="S368" s="47">
        <v>0.375</v>
      </c>
      <c r="T368" s="47" t="s">
        <v>6958</v>
      </c>
      <c r="U368" s="47">
        <v>750</v>
      </c>
      <c r="V368">
        <f t="shared" si="15"/>
        <v>8000</v>
      </c>
      <c r="W368">
        <f t="shared" si="16"/>
        <v>5970</v>
      </c>
      <c r="X368">
        <f t="shared" si="17"/>
        <v>0.74624999999999997</v>
      </c>
      <c r="AA368" s="64">
        <v>53231</v>
      </c>
      <c r="AB368">
        <v>0.74624999999999997</v>
      </c>
    </row>
    <row r="369" spans="1:28" x14ac:dyDescent="0.25">
      <c r="A369" s="125"/>
      <c r="B369" s="64" t="s">
        <v>1074</v>
      </c>
      <c r="C369" s="64">
        <v>53131</v>
      </c>
      <c r="D369" s="44">
        <v>0</v>
      </c>
      <c r="E369" s="44">
        <v>0</v>
      </c>
      <c r="F369" s="44">
        <v>0</v>
      </c>
      <c r="G369" s="44">
        <v>0</v>
      </c>
      <c r="H369" s="44">
        <v>0</v>
      </c>
      <c r="I369" s="44">
        <v>0</v>
      </c>
      <c r="J369" s="46">
        <v>5</v>
      </c>
      <c r="K369" s="46">
        <v>0</v>
      </c>
      <c r="L369" s="46">
        <v>1.25</v>
      </c>
      <c r="M369" s="46">
        <v>0.13</v>
      </c>
      <c r="N369" s="46" t="s">
        <v>6961</v>
      </c>
      <c r="O369" s="46">
        <v>0.65</v>
      </c>
      <c r="P369" s="47">
        <v>100</v>
      </c>
      <c r="Q369" s="47">
        <v>0</v>
      </c>
      <c r="R369" s="47">
        <v>25</v>
      </c>
      <c r="S369" s="47">
        <v>0.13</v>
      </c>
      <c r="T369" s="47" t="s">
        <v>6961</v>
      </c>
      <c r="U369" s="47">
        <v>13</v>
      </c>
      <c r="V369">
        <f t="shared" si="15"/>
        <v>105</v>
      </c>
      <c r="W369">
        <f t="shared" si="16"/>
        <v>13.65</v>
      </c>
      <c r="X369">
        <f t="shared" si="17"/>
        <v>0.13</v>
      </c>
      <c r="AA369" s="64">
        <v>53131</v>
      </c>
      <c r="AB369">
        <v>0.13</v>
      </c>
    </row>
    <row r="370" spans="1:28" x14ac:dyDescent="0.25">
      <c r="A370" s="125"/>
      <c r="B370" s="64" t="s">
        <v>1071</v>
      </c>
      <c r="C370" s="64">
        <v>53119</v>
      </c>
      <c r="D370" s="44">
        <v>0</v>
      </c>
      <c r="E370" s="44">
        <v>0</v>
      </c>
      <c r="F370" s="44">
        <v>0</v>
      </c>
      <c r="G370" s="44">
        <v>0</v>
      </c>
      <c r="H370" s="44">
        <v>0</v>
      </c>
      <c r="I370" s="44">
        <v>0</v>
      </c>
      <c r="J370" s="46">
        <v>300</v>
      </c>
      <c r="K370" s="46">
        <v>150</v>
      </c>
      <c r="L370" s="46">
        <v>225</v>
      </c>
      <c r="M370" s="46">
        <v>0.625</v>
      </c>
      <c r="N370" s="46" t="s">
        <v>6960</v>
      </c>
      <c r="O370" s="46">
        <v>187.5</v>
      </c>
      <c r="P370" s="47">
        <v>10</v>
      </c>
      <c r="Q370" s="47">
        <v>0</v>
      </c>
      <c r="R370" s="47">
        <v>2.5</v>
      </c>
      <c r="S370" s="47">
        <v>0.13</v>
      </c>
      <c r="T370" s="47" t="s">
        <v>6961</v>
      </c>
      <c r="U370" s="47">
        <v>1.3</v>
      </c>
      <c r="V370">
        <f t="shared" si="15"/>
        <v>310</v>
      </c>
      <c r="W370">
        <f t="shared" si="16"/>
        <v>188.8</v>
      </c>
      <c r="X370">
        <f t="shared" si="17"/>
        <v>0.60903225806451622</v>
      </c>
      <c r="AA370" s="64">
        <v>53119</v>
      </c>
      <c r="AB370">
        <v>0.60903225806451622</v>
      </c>
    </row>
    <row r="371" spans="1:28" x14ac:dyDescent="0.25">
      <c r="A371" s="125"/>
      <c r="B371" s="64" t="s">
        <v>2949</v>
      </c>
      <c r="C371" s="64">
        <v>53135</v>
      </c>
      <c r="D371" s="44">
        <v>0</v>
      </c>
      <c r="E371" s="44">
        <v>0</v>
      </c>
      <c r="F371" s="44">
        <v>0</v>
      </c>
      <c r="G371" s="44">
        <v>0</v>
      </c>
      <c r="H371" s="44">
        <v>0</v>
      </c>
      <c r="I371" s="44">
        <v>0</v>
      </c>
      <c r="J371" s="46">
        <v>4000</v>
      </c>
      <c r="K371" s="46">
        <v>0</v>
      </c>
      <c r="L371" s="46">
        <v>1000</v>
      </c>
      <c r="M371" s="46">
        <v>0.13</v>
      </c>
      <c r="N371" s="46" t="s">
        <v>6961</v>
      </c>
      <c r="O371" s="46">
        <v>520</v>
      </c>
      <c r="P371" s="47">
        <v>40</v>
      </c>
      <c r="Q371" s="47">
        <v>0</v>
      </c>
      <c r="R371" s="47">
        <v>0</v>
      </c>
      <c r="S371" s="47">
        <v>0</v>
      </c>
      <c r="T371" s="47">
        <v>0</v>
      </c>
      <c r="U371" s="47">
        <v>0</v>
      </c>
      <c r="V371">
        <f t="shared" si="15"/>
        <v>4040</v>
      </c>
      <c r="W371">
        <f t="shared" si="16"/>
        <v>520</v>
      </c>
      <c r="X371">
        <f t="shared" si="17"/>
        <v>0.12871287128712872</v>
      </c>
      <c r="AA371" s="64">
        <v>53135</v>
      </c>
      <c r="AB371">
        <v>0.12871287128712872</v>
      </c>
    </row>
    <row r="372" spans="1:28" x14ac:dyDescent="0.25">
      <c r="A372" s="125"/>
      <c r="B372" s="64" t="s">
        <v>1103</v>
      </c>
      <c r="C372" s="64">
        <v>53264</v>
      </c>
      <c r="D372" s="44">
        <v>2000</v>
      </c>
      <c r="E372" s="44">
        <v>1000</v>
      </c>
      <c r="F372" s="44">
        <v>1500</v>
      </c>
      <c r="G372" s="44">
        <v>0.625</v>
      </c>
      <c r="H372" s="44" t="s">
        <v>6960</v>
      </c>
      <c r="I372" s="44">
        <v>1250</v>
      </c>
      <c r="J372" s="46">
        <v>3000</v>
      </c>
      <c r="K372" s="46">
        <v>1500</v>
      </c>
      <c r="L372" s="46">
        <v>2250</v>
      </c>
      <c r="M372" s="46">
        <v>0.625</v>
      </c>
      <c r="N372" s="46" t="s">
        <v>6960</v>
      </c>
      <c r="O372" s="46">
        <v>1875</v>
      </c>
      <c r="P372" s="47">
        <v>800</v>
      </c>
      <c r="Q372" s="47">
        <v>200</v>
      </c>
      <c r="R372" s="47">
        <v>400</v>
      </c>
      <c r="S372" s="47">
        <v>0.375</v>
      </c>
      <c r="T372" s="47" t="s">
        <v>6958</v>
      </c>
      <c r="U372" s="47">
        <v>300</v>
      </c>
      <c r="V372">
        <f t="shared" si="15"/>
        <v>5800</v>
      </c>
      <c r="W372">
        <f t="shared" si="16"/>
        <v>3425</v>
      </c>
      <c r="X372">
        <f t="shared" si="17"/>
        <v>0.59051724137931039</v>
      </c>
      <c r="AA372" s="64">
        <v>53264</v>
      </c>
      <c r="AB372">
        <v>0.59051724137931039</v>
      </c>
    </row>
    <row r="373" spans="1:28" x14ac:dyDescent="0.25">
      <c r="A373" s="125"/>
      <c r="B373" s="64" t="s">
        <v>1072</v>
      </c>
      <c r="C373" s="64">
        <v>53123</v>
      </c>
      <c r="D373" s="44">
        <v>0</v>
      </c>
      <c r="E373" s="44">
        <v>0</v>
      </c>
      <c r="F373" s="44">
        <v>0</v>
      </c>
      <c r="G373" s="44">
        <v>0</v>
      </c>
      <c r="H373" s="44">
        <v>0</v>
      </c>
      <c r="I373" s="44">
        <v>0</v>
      </c>
      <c r="J373" s="46">
        <v>3000</v>
      </c>
      <c r="K373" s="46">
        <v>0</v>
      </c>
      <c r="L373" s="46">
        <v>750</v>
      </c>
      <c r="M373" s="46">
        <v>0.13</v>
      </c>
      <c r="N373" s="46" t="s">
        <v>6961</v>
      </c>
      <c r="O373" s="46">
        <v>390</v>
      </c>
      <c r="P373" s="47">
        <v>1000</v>
      </c>
      <c r="Q373" s="47">
        <v>0</v>
      </c>
      <c r="R373" s="47">
        <v>0</v>
      </c>
      <c r="S373" s="47">
        <v>0</v>
      </c>
      <c r="T373" s="47">
        <v>0</v>
      </c>
      <c r="U373" s="47">
        <v>0</v>
      </c>
      <c r="V373">
        <f t="shared" si="15"/>
        <v>4000</v>
      </c>
      <c r="W373">
        <f t="shared" si="16"/>
        <v>390</v>
      </c>
      <c r="X373">
        <f t="shared" si="17"/>
        <v>9.7500000000000003E-2</v>
      </c>
      <c r="AA373" s="64">
        <v>53123</v>
      </c>
      <c r="AB373">
        <v>9.7500000000000003E-2</v>
      </c>
    </row>
    <row r="374" spans="1:28" x14ac:dyDescent="0.25">
      <c r="A374" s="125"/>
      <c r="B374" s="64" t="s">
        <v>1085</v>
      </c>
      <c r="C374" s="64">
        <v>53179</v>
      </c>
      <c r="D374" s="44">
        <v>0</v>
      </c>
      <c r="E374" s="44"/>
      <c r="F374" s="44"/>
      <c r="G374" s="44"/>
      <c r="H374" s="44"/>
      <c r="I374" s="44"/>
      <c r="J374" s="46">
        <v>400</v>
      </c>
      <c r="K374" s="46">
        <v>100</v>
      </c>
      <c r="L374" s="46">
        <v>200</v>
      </c>
      <c r="M374" s="46">
        <v>0.375</v>
      </c>
      <c r="N374" s="46" t="s">
        <v>6958</v>
      </c>
      <c r="O374" s="46">
        <v>150</v>
      </c>
      <c r="P374" s="47">
        <v>10</v>
      </c>
      <c r="Q374" s="47">
        <v>0</v>
      </c>
      <c r="R374" s="47">
        <v>0</v>
      </c>
      <c r="S374" s="47">
        <v>0</v>
      </c>
      <c r="T374" s="47">
        <v>0</v>
      </c>
      <c r="U374" s="47">
        <v>0</v>
      </c>
      <c r="V374">
        <f t="shared" si="15"/>
        <v>410</v>
      </c>
      <c r="W374">
        <f t="shared" si="16"/>
        <v>150</v>
      </c>
      <c r="X374">
        <f t="shared" si="17"/>
        <v>0.36585365853658536</v>
      </c>
      <c r="AA374" s="64">
        <v>53179</v>
      </c>
      <c r="AB374">
        <v>0.36585365853658536</v>
      </c>
    </row>
    <row r="375" spans="1:28" x14ac:dyDescent="0.25">
      <c r="A375" s="125"/>
      <c r="B375" s="64" t="s">
        <v>1135</v>
      </c>
      <c r="C375" s="64">
        <v>53443</v>
      </c>
      <c r="D375" s="44">
        <v>0</v>
      </c>
      <c r="E375" s="44">
        <v>0</v>
      </c>
      <c r="F375" s="44">
        <v>0</v>
      </c>
      <c r="G375" s="44">
        <v>0</v>
      </c>
      <c r="H375" s="44">
        <v>0</v>
      </c>
      <c r="I375" s="44">
        <v>0</v>
      </c>
      <c r="J375" s="46">
        <v>20</v>
      </c>
      <c r="K375" s="46">
        <v>5</v>
      </c>
      <c r="L375" s="46">
        <v>10</v>
      </c>
      <c r="M375" s="46">
        <v>0.375</v>
      </c>
      <c r="N375" s="46" t="s">
        <v>6958</v>
      </c>
      <c r="O375" s="46">
        <v>7.5</v>
      </c>
      <c r="P375" s="47">
        <v>40</v>
      </c>
      <c r="Q375" s="47">
        <v>0</v>
      </c>
      <c r="R375" s="47">
        <v>10</v>
      </c>
      <c r="S375" s="47">
        <v>0.13</v>
      </c>
      <c r="T375" s="47" t="s">
        <v>6961</v>
      </c>
      <c r="U375" s="47">
        <v>5.2</v>
      </c>
      <c r="V375">
        <f t="shared" si="15"/>
        <v>60</v>
      </c>
      <c r="W375">
        <f t="shared" si="16"/>
        <v>12.7</v>
      </c>
      <c r="X375">
        <f t="shared" si="17"/>
        <v>0.21166666666666664</v>
      </c>
      <c r="AA375" s="64">
        <v>53443</v>
      </c>
      <c r="AB375">
        <v>0.21166666666666664</v>
      </c>
    </row>
    <row r="376" spans="1:28" x14ac:dyDescent="0.25">
      <c r="A376" s="125"/>
      <c r="B376" s="64" t="s">
        <v>1141</v>
      </c>
      <c r="C376" s="64">
        <v>53455</v>
      </c>
      <c r="D376" s="44">
        <v>35</v>
      </c>
      <c r="E376" s="44">
        <v>8.75</v>
      </c>
      <c r="F376" s="44">
        <v>17.5</v>
      </c>
      <c r="G376" s="44">
        <v>0.375</v>
      </c>
      <c r="H376" s="44" t="s">
        <v>6958</v>
      </c>
      <c r="I376" s="44">
        <v>13.125</v>
      </c>
      <c r="J376" s="46">
        <v>50</v>
      </c>
      <c r="K376" s="46">
        <v>0</v>
      </c>
      <c r="L376" s="46">
        <v>12.5</v>
      </c>
      <c r="M376" s="46">
        <v>0.13</v>
      </c>
      <c r="N376" s="46" t="s">
        <v>6961</v>
      </c>
      <c r="O376" s="46">
        <v>6.5</v>
      </c>
      <c r="P376" s="47">
        <v>100</v>
      </c>
      <c r="Q376" s="47" t="s">
        <v>6966</v>
      </c>
      <c r="R376" s="47" t="s">
        <v>6966</v>
      </c>
      <c r="S376" s="47" t="s">
        <v>6966</v>
      </c>
      <c r="T376" s="47" t="s">
        <v>6966</v>
      </c>
      <c r="U376" s="47"/>
      <c r="V376">
        <f t="shared" si="15"/>
        <v>185</v>
      </c>
      <c r="W376">
        <f t="shared" si="16"/>
        <v>19.625</v>
      </c>
      <c r="X376">
        <f t="shared" si="17"/>
        <v>0.10608108108108108</v>
      </c>
      <c r="AA376" s="64">
        <v>53455</v>
      </c>
      <c r="AB376">
        <v>0.10608108108108108</v>
      </c>
    </row>
    <row r="377" spans="1:28" x14ac:dyDescent="0.25">
      <c r="A377" s="125"/>
      <c r="B377" s="64" t="s">
        <v>2953</v>
      </c>
      <c r="C377" s="64">
        <v>53234</v>
      </c>
      <c r="D377" s="44">
        <v>0</v>
      </c>
      <c r="E377" s="44">
        <v>0</v>
      </c>
      <c r="F377" s="44">
        <v>0</v>
      </c>
      <c r="G377" s="44">
        <v>0</v>
      </c>
      <c r="H377" s="44">
        <v>0</v>
      </c>
      <c r="I377" s="44">
        <v>0</v>
      </c>
      <c r="J377" s="46">
        <v>1000</v>
      </c>
      <c r="K377" s="46">
        <v>750</v>
      </c>
      <c r="L377" s="46">
        <v>1000</v>
      </c>
      <c r="M377" s="46">
        <v>0.87</v>
      </c>
      <c r="N377" s="46" t="s">
        <v>6959</v>
      </c>
      <c r="O377" s="46">
        <v>870</v>
      </c>
      <c r="P377" s="47">
        <v>900</v>
      </c>
      <c r="Q377" s="47">
        <v>225</v>
      </c>
      <c r="R377" s="47">
        <v>450</v>
      </c>
      <c r="S377" s="47">
        <v>0.375</v>
      </c>
      <c r="T377" s="47" t="s">
        <v>6958</v>
      </c>
      <c r="U377" s="47">
        <v>337.5</v>
      </c>
      <c r="V377">
        <f t="shared" si="15"/>
        <v>1900</v>
      </c>
      <c r="W377">
        <f t="shared" si="16"/>
        <v>1207.5</v>
      </c>
      <c r="X377">
        <f t="shared" si="17"/>
        <v>0.63552631578947372</v>
      </c>
      <c r="AA377" s="64">
        <v>53234</v>
      </c>
      <c r="AB377">
        <v>0.63552631578947372</v>
      </c>
    </row>
    <row r="378" spans="1:28" x14ac:dyDescent="0.25">
      <c r="A378" s="125"/>
      <c r="B378" s="64" t="s">
        <v>1142</v>
      </c>
      <c r="C378" s="64">
        <v>53457</v>
      </c>
      <c r="D378" s="44">
        <v>2000</v>
      </c>
      <c r="E378" s="44">
        <v>500</v>
      </c>
      <c r="F378" s="44">
        <v>1000</v>
      </c>
      <c r="G378" s="44">
        <v>0.375</v>
      </c>
      <c r="H378" s="44" t="s">
        <v>6958</v>
      </c>
      <c r="I378" s="44">
        <v>750</v>
      </c>
      <c r="J378" s="46">
        <v>100</v>
      </c>
      <c r="K378" s="46">
        <v>0</v>
      </c>
      <c r="L378" s="46">
        <v>0</v>
      </c>
      <c r="M378" s="46">
        <v>0</v>
      </c>
      <c r="N378" s="46">
        <v>0</v>
      </c>
      <c r="O378" s="46">
        <v>0</v>
      </c>
      <c r="P378" s="47">
        <v>40</v>
      </c>
      <c r="Q378" s="47">
        <v>10</v>
      </c>
      <c r="R378" s="47">
        <v>20</v>
      </c>
      <c r="S378" s="47">
        <v>0.375</v>
      </c>
      <c r="T378" s="47" t="s">
        <v>6958</v>
      </c>
      <c r="U378" s="47">
        <v>15</v>
      </c>
      <c r="V378">
        <f t="shared" si="15"/>
        <v>2140</v>
      </c>
      <c r="W378">
        <f t="shared" si="16"/>
        <v>765</v>
      </c>
      <c r="X378">
        <f t="shared" si="17"/>
        <v>0.3574766355140187</v>
      </c>
      <c r="AA378" s="64">
        <v>53457</v>
      </c>
      <c r="AB378">
        <v>0.3574766355140187</v>
      </c>
    </row>
    <row r="379" spans="1:28" x14ac:dyDescent="0.25">
      <c r="A379" s="125"/>
      <c r="B379" s="64" t="s">
        <v>1099</v>
      </c>
      <c r="C379" s="64">
        <v>53251</v>
      </c>
      <c r="D379" s="44">
        <v>500</v>
      </c>
      <c r="E379" s="44">
        <v>0</v>
      </c>
      <c r="F379" s="44">
        <v>0</v>
      </c>
      <c r="G379" s="44">
        <v>0</v>
      </c>
      <c r="H379" s="44">
        <v>0</v>
      </c>
      <c r="I379" s="44">
        <v>0</v>
      </c>
      <c r="J379" s="46">
        <v>150</v>
      </c>
      <c r="K379" s="46">
        <v>75</v>
      </c>
      <c r="L379" s="46">
        <v>112.5</v>
      </c>
      <c r="M379" s="46">
        <v>0.625</v>
      </c>
      <c r="N379" s="46" t="s">
        <v>6960</v>
      </c>
      <c r="O379" s="46">
        <v>93.75</v>
      </c>
      <c r="P379" s="47">
        <v>50</v>
      </c>
      <c r="Q379" s="47">
        <v>12.5</v>
      </c>
      <c r="R379" s="47">
        <v>25</v>
      </c>
      <c r="S379" s="47">
        <v>0.375</v>
      </c>
      <c r="T379" s="47" t="s">
        <v>6958</v>
      </c>
      <c r="U379" s="47">
        <v>18.75</v>
      </c>
      <c r="V379">
        <f t="shared" si="15"/>
        <v>700</v>
      </c>
      <c r="W379">
        <f t="shared" si="16"/>
        <v>112.5</v>
      </c>
      <c r="X379">
        <f t="shared" si="17"/>
        <v>0.16071428571428573</v>
      </c>
      <c r="AA379" s="64">
        <v>53251</v>
      </c>
      <c r="AB379">
        <v>0.16071428571428573</v>
      </c>
    </row>
    <row r="380" spans="1:28" x14ac:dyDescent="0.25">
      <c r="A380" s="125"/>
      <c r="B380" s="64" t="s">
        <v>1091</v>
      </c>
      <c r="C380" s="64">
        <v>53224</v>
      </c>
      <c r="D380" s="44">
        <v>1</v>
      </c>
      <c r="E380" s="44">
        <v>0</v>
      </c>
      <c r="F380" s="44">
        <v>0</v>
      </c>
      <c r="G380" s="44">
        <v>0</v>
      </c>
      <c r="H380" s="44">
        <v>0</v>
      </c>
      <c r="I380" s="44">
        <v>0</v>
      </c>
      <c r="J380" s="46">
        <v>100</v>
      </c>
      <c r="K380" s="46">
        <v>0</v>
      </c>
      <c r="L380" s="46">
        <v>25</v>
      </c>
      <c r="M380" s="46">
        <v>0.13</v>
      </c>
      <c r="N380" s="46" t="s">
        <v>6961</v>
      </c>
      <c r="O380" s="46">
        <v>13</v>
      </c>
      <c r="P380" s="47">
        <v>0</v>
      </c>
      <c r="Q380" s="47">
        <v>0</v>
      </c>
      <c r="R380" s="47"/>
      <c r="S380" s="47">
        <v>0.13</v>
      </c>
      <c r="T380" s="47" t="s">
        <v>6961</v>
      </c>
      <c r="U380" s="47"/>
      <c r="V380">
        <f t="shared" si="15"/>
        <v>101</v>
      </c>
      <c r="W380">
        <f t="shared" si="16"/>
        <v>13</v>
      </c>
      <c r="X380">
        <f t="shared" si="17"/>
        <v>0.12871287128712872</v>
      </c>
      <c r="AA380" s="64">
        <v>53224</v>
      </c>
      <c r="AB380">
        <v>0.12871287128712899</v>
      </c>
    </row>
    <row r="381" spans="1:28" x14ac:dyDescent="0.25">
      <c r="A381" s="125"/>
      <c r="B381" s="64" t="s">
        <v>2950</v>
      </c>
      <c r="C381" s="64">
        <v>53143</v>
      </c>
      <c r="D381" s="44">
        <v>10</v>
      </c>
      <c r="E381" s="44">
        <v>0</v>
      </c>
      <c r="F381" s="44">
        <v>2.5</v>
      </c>
      <c r="G381" s="44">
        <v>0.13</v>
      </c>
      <c r="H381" s="44" t="s">
        <v>6961</v>
      </c>
      <c r="I381" s="44">
        <v>1.3</v>
      </c>
      <c r="J381" s="46">
        <v>50</v>
      </c>
      <c r="K381" s="46">
        <v>0</v>
      </c>
      <c r="L381" s="46">
        <v>0</v>
      </c>
      <c r="M381" s="46">
        <v>0</v>
      </c>
      <c r="N381" s="46">
        <v>0</v>
      </c>
      <c r="O381" s="46">
        <v>0</v>
      </c>
      <c r="P381" s="47">
        <v>2000</v>
      </c>
      <c r="Q381" s="47">
        <v>0</v>
      </c>
      <c r="R381" s="47">
        <v>500</v>
      </c>
      <c r="S381" s="47">
        <v>0.13</v>
      </c>
      <c r="T381" s="47" t="s">
        <v>6961</v>
      </c>
      <c r="U381" s="47">
        <v>260</v>
      </c>
      <c r="V381">
        <f t="shared" si="15"/>
        <v>2060</v>
      </c>
      <c r="W381">
        <f t="shared" si="16"/>
        <v>261.3</v>
      </c>
      <c r="X381">
        <f t="shared" si="17"/>
        <v>0.12684466019417476</v>
      </c>
      <c r="AA381" s="64">
        <v>53143</v>
      </c>
      <c r="AB381">
        <v>0.12684466019417476</v>
      </c>
    </row>
    <row r="382" spans="1:28" x14ac:dyDescent="0.25">
      <c r="A382" s="125"/>
      <c r="B382" s="64" t="s">
        <v>1120</v>
      </c>
      <c r="C382" s="64">
        <v>53413</v>
      </c>
      <c r="D382" s="44">
        <v>0</v>
      </c>
      <c r="E382" s="44">
        <v>0</v>
      </c>
      <c r="F382" s="44">
        <v>0</v>
      </c>
      <c r="G382" s="44">
        <v>0</v>
      </c>
      <c r="H382" s="44">
        <v>0</v>
      </c>
      <c r="I382" s="44">
        <v>0</v>
      </c>
      <c r="J382" s="46">
        <v>120</v>
      </c>
      <c r="K382" s="46">
        <v>60</v>
      </c>
      <c r="L382" s="46">
        <v>90</v>
      </c>
      <c r="M382" s="46">
        <v>0.625</v>
      </c>
      <c r="N382" s="46" t="s">
        <v>6960</v>
      </c>
      <c r="O382" s="46">
        <v>75</v>
      </c>
      <c r="P382" s="47">
        <v>160</v>
      </c>
      <c r="Q382" s="47">
        <v>40</v>
      </c>
      <c r="R382" s="47">
        <v>80</v>
      </c>
      <c r="S382" s="47">
        <v>0.375</v>
      </c>
      <c r="T382" s="47" t="s">
        <v>6958</v>
      </c>
      <c r="U382" s="47">
        <v>60</v>
      </c>
      <c r="V382">
        <f t="shared" si="15"/>
        <v>280</v>
      </c>
      <c r="W382">
        <f t="shared" si="16"/>
        <v>135</v>
      </c>
      <c r="X382">
        <f t="shared" si="17"/>
        <v>0.48214285714285715</v>
      </c>
      <c r="AA382" s="64">
        <v>53413</v>
      </c>
      <c r="AB382">
        <v>0.48214285714285715</v>
      </c>
    </row>
    <row r="383" spans="1:28" x14ac:dyDescent="0.25">
      <c r="A383" s="125"/>
      <c r="B383" s="64" t="s">
        <v>1121</v>
      </c>
      <c r="C383" s="64">
        <v>53415</v>
      </c>
      <c r="D383" s="44">
        <v>20</v>
      </c>
      <c r="E383" s="44">
        <v>0</v>
      </c>
      <c r="F383" s="44">
        <v>5</v>
      </c>
      <c r="G383" s="44">
        <v>0.13</v>
      </c>
      <c r="H383" s="44" t="s">
        <v>6961</v>
      </c>
      <c r="I383" s="44">
        <v>2.6</v>
      </c>
      <c r="J383" s="46">
        <v>8</v>
      </c>
      <c r="K383" s="46">
        <v>2</v>
      </c>
      <c r="L383" s="46">
        <v>4</v>
      </c>
      <c r="M383" s="46">
        <v>0.375</v>
      </c>
      <c r="N383" s="46" t="s">
        <v>6958</v>
      </c>
      <c r="O383" s="46">
        <v>3</v>
      </c>
      <c r="P383" s="47">
        <v>8000</v>
      </c>
      <c r="Q383" s="47">
        <v>2000</v>
      </c>
      <c r="R383" s="47">
        <v>4000</v>
      </c>
      <c r="S383" s="47">
        <v>0.375</v>
      </c>
      <c r="T383" s="47" t="s">
        <v>6958</v>
      </c>
      <c r="U383" s="47">
        <v>3000</v>
      </c>
      <c r="V383">
        <f t="shared" si="15"/>
        <v>8028</v>
      </c>
      <c r="W383">
        <f t="shared" si="16"/>
        <v>3005.6</v>
      </c>
      <c r="X383">
        <f t="shared" si="17"/>
        <v>0.37438963627304434</v>
      </c>
      <c r="AA383" s="64">
        <v>53415</v>
      </c>
      <c r="AB383">
        <v>0.37438963627304434</v>
      </c>
    </row>
    <row r="384" spans="1:28" x14ac:dyDescent="0.25">
      <c r="A384" s="125"/>
      <c r="B384" s="64" t="s">
        <v>1126</v>
      </c>
      <c r="C384" s="64">
        <v>53425</v>
      </c>
      <c r="D384" s="44">
        <v>0.5</v>
      </c>
      <c r="E384" s="44">
        <v>0</v>
      </c>
      <c r="F384" s="44">
        <v>0.125</v>
      </c>
      <c r="G384" s="44">
        <v>0.13</v>
      </c>
      <c r="H384" s="44" t="s">
        <v>6961</v>
      </c>
      <c r="I384" s="44">
        <v>6.5000000000000002E-2</v>
      </c>
      <c r="J384" s="46">
        <v>10</v>
      </c>
      <c r="K384" s="46">
        <v>5</v>
      </c>
      <c r="L384" s="46">
        <v>7.5</v>
      </c>
      <c r="M384" s="46">
        <v>0.625</v>
      </c>
      <c r="N384" s="46" t="s">
        <v>6960</v>
      </c>
      <c r="O384" s="46">
        <v>6.25</v>
      </c>
      <c r="P384" s="47">
        <v>70</v>
      </c>
      <c r="Q384" s="47">
        <v>17.5</v>
      </c>
      <c r="R384" s="47">
        <v>35</v>
      </c>
      <c r="S384" s="47">
        <v>0.375</v>
      </c>
      <c r="T384" s="47" t="s">
        <v>6958</v>
      </c>
      <c r="U384" s="47">
        <v>26.25</v>
      </c>
      <c r="V384">
        <f t="shared" si="15"/>
        <v>80.5</v>
      </c>
      <c r="W384">
        <f t="shared" si="16"/>
        <v>32.564999999999998</v>
      </c>
      <c r="X384">
        <f t="shared" si="17"/>
        <v>0.40453416149068322</v>
      </c>
      <c r="AA384" s="64">
        <v>53425</v>
      </c>
      <c r="AB384">
        <v>0.40453416149068322</v>
      </c>
    </row>
    <row r="385" spans="1:28" x14ac:dyDescent="0.25">
      <c r="A385" s="125"/>
      <c r="B385" s="65" t="s">
        <v>2447</v>
      </c>
      <c r="C385" s="64">
        <v>53284</v>
      </c>
      <c r="D385" s="44">
        <v>1.5149999999999999</v>
      </c>
      <c r="E385" s="44">
        <v>0</v>
      </c>
      <c r="F385" s="44">
        <v>0.37874999999999998</v>
      </c>
      <c r="G385" s="44">
        <v>0.13</v>
      </c>
      <c r="H385" s="44" t="s">
        <v>6961</v>
      </c>
      <c r="I385" s="44">
        <v>0.19694999999999999</v>
      </c>
      <c r="J385" s="46">
        <v>30</v>
      </c>
      <c r="K385" s="46">
        <v>15</v>
      </c>
      <c r="L385" s="46">
        <v>22.5</v>
      </c>
      <c r="M385" s="46">
        <v>0.625</v>
      </c>
      <c r="N385" s="46" t="s">
        <v>6960</v>
      </c>
      <c r="O385" s="46">
        <v>18.75</v>
      </c>
      <c r="P385" s="47">
        <v>15</v>
      </c>
      <c r="Q385" s="47">
        <v>3.75</v>
      </c>
      <c r="R385" s="47">
        <v>7.5</v>
      </c>
      <c r="S385" s="47">
        <v>0.375</v>
      </c>
      <c r="T385" s="47" t="s">
        <v>6958</v>
      </c>
      <c r="U385" s="47">
        <v>5.625</v>
      </c>
      <c r="V385">
        <f t="shared" si="15"/>
        <v>46.515000000000001</v>
      </c>
      <c r="W385">
        <f t="shared" si="16"/>
        <v>24.571950000000001</v>
      </c>
      <c r="X385">
        <f t="shared" si="17"/>
        <v>0.52825862624959696</v>
      </c>
      <c r="AA385" s="64">
        <v>53284</v>
      </c>
      <c r="AB385">
        <v>0.52825862624959696</v>
      </c>
    </row>
    <row r="386" spans="1:28" x14ac:dyDescent="0.25">
      <c r="A386" s="125"/>
      <c r="B386" s="64" t="s">
        <v>1106</v>
      </c>
      <c r="C386" s="64">
        <v>53040</v>
      </c>
      <c r="D386" s="44">
        <v>0</v>
      </c>
      <c r="E386" s="44">
        <v>0</v>
      </c>
      <c r="F386" s="44">
        <v>0</v>
      </c>
      <c r="G386" s="44">
        <v>0</v>
      </c>
      <c r="H386" s="44">
        <v>0</v>
      </c>
      <c r="I386" s="44">
        <v>0</v>
      </c>
      <c r="J386" s="46">
        <v>25</v>
      </c>
      <c r="K386" s="46" t="s">
        <v>6968</v>
      </c>
      <c r="L386" s="46" t="s">
        <v>6968</v>
      </c>
      <c r="M386" s="46" t="s">
        <v>6968</v>
      </c>
      <c r="N386" s="46" t="s">
        <v>6968</v>
      </c>
      <c r="O386" s="46" t="s">
        <v>6968</v>
      </c>
      <c r="P386" s="47" t="s">
        <v>6968</v>
      </c>
      <c r="Q386" s="47" t="s">
        <v>6966</v>
      </c>
      <c r="R386" s="47" t="s">
        <v>6966</v>
      </c>
      <c r="S386" s="47" t="s">
        <v>6968</v>
      </c>
      <c r="T386" s="47" t="s">
        <v>6966</v>
      </c>
      <c r="U386" s="47" t="s">
        <v>6966</v>
      </c>
      <c r="V386" t="e">
        <f t="shared" si="15"/>
        <v>#VALUE!</v>
      </c>
      <c r="W386" t="e">
        <f t="shared" si="16"/>
        <v>#VALUE!</v>
      </c>
      <c r="X386" t="e">
        <f t="shared" si="17"/>
        <v>#VALUE!</v>
      </c>
      <c r="AA386" s="64">
        <v>53040</v>
      </c>
      <c r="AB386">
        <v>0</v>
      </c>
    </row>
  </sheetData>
  <mergeCells count="17">
    <mergeCell ref="A284:A299"/>
    <mergeCell ref="A300:A322"/>
    <mergeCell ref="A323:A325"/>
    <mergeCell ref="A326:A329"/>
    <mergeCell ref="A330:A386"/>
    <mergeCell ref="A258:A283"/>
    <mergeCell ref="A1:B2"/>
    <mergeCell ref="D1:U1"/>
    <mergeCell ref="D2:I2"/>
    <mergeCell ref="J2:O2"/>
    <mergeCell ref="P2:U2"/>
    <mergeCell ref="A4:A38"/>
    <mergeCell ref="A39:A52"/>
    <mergeCell ref="A53:A89"/>
    <mergeCell ref="A90:A136"/>
    <mergeCell ref="A137:A205"/>
    <mergeCell ref="A206:A257"/>
  </mergeCells>
  <conditionalFormatting sqref="B4:C4 B5:B18 C5:C38">
    <cfRule type="cellIs" dxfId="10" priority="5" operator="equal">
      <formula>"&lt;Null&gt;"</formula>
    </cfRule>
  </conditionalFormatting>
  <conditionalFormatting sqref="B39:C52">
    <cfRule type="cellIs" dxfId="9" priority="4" operator="equal">
      <formula>"&lt;Null&gt;"</formula>
    </cfRule>
  </conditionalFormatting>
  <conditionalFormatting sqref="E3:I3">
    <cfRule type="cellIs" dxfId="8" priority="6" operator="equal">
      <formula>"&lt;Null&gt;"</formula>
    </cfRule>
  </conditionalFormatting>
  <conditionalFormatting sqref="K3:O3">
    <cfRule type="cellIs" dxfId="7" priority="7" operator="equal">
      <formula>"&lt;Null&gt;"</formula>
    </cfRule>
  </conditionalFormatting>
  <conditionalFormatting sqref="Q3:X3">
    <cfRule type="cellIs" dxfId="6" priority="8" operator="equal">
      <formula>"&lt;Null&gt;"</formula>
    </cfRule>
  </conditionalFormatting>
  <conditionalFormatting sqref="AA4:AA52">
    <cfRule type="cellIs" dxfId="5" priority="2" operator="equal">
      <formula>"&lt;Null&gt;"</formula>
    </cfRule>
  </conditionalFormatting>
  <conditionalFormatting sqref="AB3">
    <cfRule type="cellIs" dxfId="4" priority="1" operator="equal">
      <formula>"&lt;Null&gt;"</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9368B-F692-42D0-942C-11C607E0BB5D}">
  <dimension ref="A1:J1628"/>
  <sheetViews>
    <sheetView workbookViewId="0">
      <selection activeCell="J2" sqref="J2"/>
    </sheetView>
  </sheetViews>
  <sheetFormatPr defaultRowHeight="15" x14ac:dyDescent="0.25"/>
  <cols>
    <col min="1" max="1" width="12.42578125" customWidth="1"/>
    <col min="2" max="2" width="14.28515625" customWidth="1"/>
    <col min="3" max="3" width="13" customWidth="1"/>
    <col min="4" max="5" width="24.28515625" customWidth="1"/>
    <col min="6" max="6" width="21.42578125" customWidth="1"/>
    <col min="8" max="8" width="35.28515625" customWidth="1"/>
  </cols>
  <sheetData>
    <row r="1" spans="1:10" x14ac:dyDescent="0.25">
      <c r="A1" t="s">
        <v>2802</v>
      </c>
      <c r="B1" t="s">
        <v>6929</v>
      </c>
      <c r="C1" t="s">
        <v>6930</v>
      </c>
      <c r="D1" t="s">
        <v>6920</v>
      </c>
      <c r="E1" t="s">
        <v>6931</v>
      </c>
      <c r="F1" t="s">
        <v>6932</v>
      </c>
      <c r="G1" t="s">
        <v>6933</v>
      </c>
      <c r="H1" t="s">
        <v>6934</v>
      </c>
      <c r="I1" t="s">
        <v>6935</v>
      </c>
      <c r="J1" t="s">
        <v>6937</v>
      </c>
    </row>
    <row r="2" spans="1:10" x14ac:dyDescent="0.25">
      <c r="A2">
        <v>21111</v>
      </c>
      <c r="B2" t="s">
        <v>3212</v>
      </c>
      <c r="C2" t="s">
        <v>36</v>
      </c>
      <c r="D2" t="s">
        <v>30</v>
      </c>
      <c r="E2">
        <v>62902</v>
      </c>
      <c r="F2">
        <v>7265</v>
      </c>
      <c r="G2">
        <v>1196</v>
      </c>
      <c r="H2">
        <v>158073</v>
      </c>
      <c r="I2">
        <v>9767</v>
      </c>
      <c r="J2">
        <v>5.3525902589310004E-2</v>
      </c>
    </row>
    <row r="3" spans="1:10" x14ac:dyDescent="0.25">
      <c r="A3">
        <v>54111</v>
      </c>
      <c r="B3" t="s">
        <v>3216</v>
      </c>
      <c r="C3" t="s">
        <v>6936</v>
      </c>
      <c r="D3" t="s">
        <v>1152</v>
      </c>
      <c r="E3">
        <v>32481</v>
      </c>
      <c r="F3">
        <v>0</v>
      </c>
      <c r="G3">
        <v>0</v>
      </c>
      <c r="H3">
        <v>16704</v>
      </c>
      <c r="I3">
        <v>452</v>
      </c>
      <c r="J3">
        <v>0</v>
      </c>
    </row>
    <row r="4" spans="1:10" x14ac:dyDescent="0.25">
      <c r="A4">
        <v>53231</v>
      </c>
      <c r="B4" t="s">
        <v>3216</v>
      </c>
      <c r="C4" t="s">
        <v>1069</v>
      </c>
      <c r="D4" t="s">
        <v>1093</v>
      </c>
      <c r="E4">
        <v>32445</v>
      </c>
      <c r="F4">
        <v>0</v>
      </c>
      <c r="G4">
        <v>0</v>
      </c>
      <c r="H4">
        <v>15105</v>
      </c>
      <c r="I4">
        <v>54</v>
      </c>
      <c r="J4">
        <v>0</v>
      </c>
    </row>
    <row r="5" spans="1:10" x14ac:dyDescent="0.25">
      <c r="A5">
        <v>21177</v>
      </c>
      <c r="B5" t="s">
        <v>3212</v>
      </c>
      <c r="C5" t="s">
        <v>36</v>
      </c>
      <c r="D5" t="s">
        <v>34</v>
      </c>
      <c r="E5">
        <v>27156</v>
      </c>
      <c r="F5">
        <v>9302</v>
      </c>
      <c r="G5">
        <v>1600</v>
      </c>
      <c r="H5">
        <v>90718</v>
      </c>
      <c r="I5">
        <v>1865</v>
      </c>
      <c r="J5">
        <v>0.12017460702396437</v>
      </c>
    </row>
    <row r="6" spans="1:10" x14ac:dyDescent="0.25">
      <c r="A6">
        <v>51267</v>
      </c>
      <c r="B6" t="s">
        <v>3214</v>
      </c>
      <c r="C6" t="s">
        <v>3045</v>
      </c>
      <c r="D6" t="s">
        <v>1006</v>
      </c>
      <c r="E6">
        <v>26652</v>
      </c>
      <c r="F6">
        <v>1626</v>
      </c>
      <c r="G6">
        <v>510</v>
      </c>
      <c r="H6">
        <v>8362</v>
      </c>
      <c r="I6">
        <v>154</v>
      </c>
      <c r="J6">
        <v>0.25544128198995458</v>
      </c>
    </row>
    <row r="7" spans="1:10" x14ac:dyDescent="0.25">
      <c r="A7">
        <v>24111</v>
      </c>
      <c r="B7" t="s">
        <v>3212</v>
      </c>
      <c r="C7" t="s">
        <v>1808</v>
      </c>
      <c r="D7" t="s">
        <v>2843</v>
      </c>
      <c r="E7">
        <v>25798</v>
      </c>
      <c r="F7">
        <v>298</v>
      </c>
      <c r="G7">
        <v>0</v>
      </c>
      <c r="H7">
        <v>70316</v>
      </c>
      <c r="I7">
        <v>1760</v>
      </c>
      <c r="J7">
        <v>4.238011263439331E-3</v>
      </c>
    </row>
    <row r="8" spans="1:10" x14ac:dyDescent="0.25">
      <c r="A8">
        <v>22111</v>
      </c>
      <c r="B8" t="s">
        <v>3212</v>
      </c>
      <c r="C8" t="s">
        <v>3224</v>
      </c>
      <c r="D8" t="s">
        <v>88</v>
      </c>
      <c r="E8">
        <v>19017</v>
      </c>
      <c r="F8">
        <v>1038</v>
      </c>
      <c r="G8">
        <v>60</v>
      </c>
      <c r="H8">
        <v>70331</v>
      </c>
      <c r="I8">
        <v>10767</v>
      </c>
      <c r="J8">
        <v>1.561189233766049E-2</v>
      </c>
    </row>
    <row r="9" spans="1:10" x14ac:dyDescent="0.25">
      <c r="A9">
        <v>53111</v>
      </c>
      <c r="B9" t="s">
        <v>3216</v>
      </c>
      <c r="C9" t="s">
        <v>1069</v>
      </c>
      <c r="D9" t="s">
        <v>1069</v>
      </c>
      <c r="E9">
        <v>18910</v>
      </c>
      <c r="F9">
        <v>2228</v>
      </c>
      <c r="G9">
        <v>1251</v>
      </c>
      <c r="H9">
        <v>42977</v>
      </c>
      <c r="I9">
        <v>192</v>
      </c>
      <c r="J9">
        <v>8.0950275728878238E-2</v>
      </c>
    </row>
    <row r="10" spans="1:10" x14ac:dyDescent="0.25">
      <c r="A10">
        <v>37231</v>
      </c>
      <c r="B10" t="s">
        <v>3215</v>
      </c>
      <c r="C10" t="s">
        <v>3228</v>
      </c>
      <c r="D10" t="s">
        <v>911</v>
      </c>
      <c r="E10">
        <v>18030</v>
      </c>
      <c r="F10">
        <v>15044</v>
      </c>
      <c r="G10">
        <v>1833</v>
      </c>
      <c r="H10">
        <v>28120</v>
      </c>
      <c r="I10">
        <v>89</v>
      </c>
      <c r="J10">
        <v>0.60017780938833576</v>
      </c>
    </row>
    <row r="11" spans="1:10" x14ac:dyDescent="0.25">
      <c r="A11">
        <v>51234</v>
      </c>
      <c r="B11" t="s">
        <v>3214</v>
      </c>
      <c r="C11" t="s">
        <v>3045</v>
      </c>
      <c r="D11" t="s">
        <v>997</v>
      </c>
      <c r="E11">
        <v>15732</v>
      </c>
      <c r="F11">
        <v>1626</v>
      </c>
      <c r="G11">
        <v>0</v>
      </c>
      <c r="H11">
        <v>8868</v>
      </c>
      <c r="I11">
        <v>155</v>
      </c>
      <c r="J11">
        <v>0.18335588633288227</v>
      </c>
    </row>
    <row r="12" spans="1:10" x14ac:dyDescent="0.25">
      <c r="A12">
        <v>52277</v>
      </c>
      <c r="B12" t="s">
        <v>3214</v>
      </c>
      <c r="C12" t="s">
        <v>3221</v>
      </c>
      <c r="D12" t="s">
        <v>1063</v>
      </c>
      <c r="E12">
        <v>14463</v>
      </c>
      <c r="F12">
        <v>339</v>
      </c>
      <c r="G12">
        <v>0</v>
      </c>
      <c r="H12">
        <v>3401</v>
      </c>
      <c r="I12">
        <v>275</v>
      </c>
      <c r="J12">
        <v>9.9676565715965892E-2</v>
      </c>
    </row>
    <row r="13" spans="1:10" x14ac:dyDescent="0.25">
      <c r="A13">
        <v>35512</v>
      </c>
      <c r="B13" t="s">
        <v>3217</v>
      </c>
      <c r="C13" t="s">
        <v>3217</v>
      </c>
      <c r="D13" t="s">
        <v>882</v>
      </c>
      <c r="E13">
        <v>13465</v>
      </c>
      <c r="F13">
        <v>0</v>
      </c>
      <c r="G13">
        <v>0</v>
      </c>
      <c r="H13">
        <v>6881</v>
      </c>
      <c r="I13">
        <v>63</v>
      </c>
      <c r="J13">
        <v>0</v>
      </c>
    </row>
    <row r="14" spans="1:10" x14ac:dyDescent="0.25">
      <c r="A14">
        <v>53241</v>
      </c>
      <c r="B14" t="s">
        <v>3216</v>
      </c>
      <c r="C14" t="s">
        <v>1069</v>
      </c>
      <c r="D14" t="s">
        <v>1096</v>
      </c>
      <c r="E14">
        <v>12856</v>
      </c>
      <c r="F14">
        <v>0</v>
      </c>
      <c r="G14">
        <v>0</v>
      </c>
      <c r="H14">
        <v>2978</v>
      </c>
      <c r="I14">
        <v>25</v>
      </c>
      <c r="J14">
        <v>0</v>
      </c>
    </row>
    <row r="15" spans="1:10" x14ac:dyDescent="0.25">
      <c r="A15">
        <v>31161</v>
      </c>
      <c r="B15" t="s">
        <v>3215</v>
      </c>
      <c r="C15" t="s">
        <v>3225</v>
      </c>
      <c r="D15" t="s">
        <v>547</v>
      </c>
      <c r="E15">
        <v>12730</v>
      </c>
      <c r="F15">
        <v>208</v>
      </c>
      <c r="G15">
        <v>0</v>
      </c>
      <c r="H15">
        <v>15084</v>
      </c>
      <c r="I15">
        <v>21</v>
      </c>
      <c r="J15">
        <v>1.3789445770352692E-2</v>
      </c>
    </row>
    <row r="16" spans="1:10" x14ac:dyDescent="0.25">
      <c r="A16">
        <v>10310</v>
      </c>
      <c r="B16" t="s">
        <v>3177</v>
      </c>
      <c r="C16" t="s">
        <v>3177</v>
      </c>
      <c r="D16" t="s">
        <v>21</v>
      </c>
      <c r="E16">
        <v>11598</v>
      </c>
      <c r="F16">
        <v>5395</v>
      </c>
      <c r="G16">
        <v>0</v>
      </c>
      <c r="H16">
        <v>66709</v>
      </c>
      <c r="I16">
        <v>5183</v>
      </c>
      <c r="J16">
        <v>8.0873645235275599E-2</v>
      </c>
    </row>
    <row r="17" spans="1:10" x14ac:dyDescent="0.25">
      <c r="A17">
        <v>24211</v>
      </c>
      <c r="B17" t="s">
        <v>3212</v>
      </c>
      <c r="C17" t="s">
        <v>1808</v>
      </c>
      <c r="D17" t="s">
        <v>291</v>
      </c>
      <c r="E17">
        <v>10866</v>
      </c>
      <c r="F17">
        <v>298</v>
      </c>
      <c r="G17">
        <v>0</v>
      </c>
      <c r="H17">
        <v>7680</v>
      </c>
      <c r="I17">
        <v>1930</v>
      </c>
      <c r="J17">
        <v>3.8802083333333334E-2</v>
      </c>
    </row>
    <row r="18" spans="1:10" x14ac:dyDescent="0.25">
      <c r="A18">
        <v>52227</v>
      </c>
      <c r="B18" t="s">
        <v>3214</v>
      </c>
      <c r="C18" t="s">
        <v>3221</v>
      </c>
      <c r="D18" t="s">
        <v>2946</v>
      </c>
      <c r="E18">
        <v>10861</v>
      </c>
      <c r="F18">
        <v>0</v>
      </c>
      <c r="G18">
        <v>0</v>
      </c>
      <c r="H18">
        <v>4625</v>
      </c>
      <c r="I18">
        <v>165</v>
      </c>
      <c r="J18">
        <v>0</v>
      </c>
    </row>
    <row r="19" spans="1:10" x14ac:dyDescent="0.25">
      <c r="A19">
        <v>51284</v>
      </c>
      <c r="B19" t="s">
        <v>3214</v>
      </c>
      <c r="C19" t="s">
        <v>3045</v>
      </c>
      <c r="D19" t="s">
        <v>1011</v>
      </c>
      <c r="E19">
        <v>10716</v>
      </c>
      <c r="F19">
        <v>0</v>
      </c>
      <c r="G19">
        <v>0</v>
      </c>
      <c r="H19">
        <v>6230</v>
      </c>
      <c r="I19">
        <v>200</v>
      </c>
      <c r="J19">
        <v>0</v>
      </c>
    </row>
    <row r="20" spans="1:10" x14ac:dyDescent="0.25">
      <c r="A20">
        <v>51231</v>
      </c>
      <c r="B20" t="s">
        <v>3214</v>
      </c>
      <c r="C20" t="s">
        <v>3045</v>
      </c>
      <c r="D20" t="s">
        <v>996</v>
      </c>
      <c r="E20">
        <v>10520</v>
      </c>
      <c r="F20">
        <v>1626</v>
      </c>
      <c r="G20">
        <v>0</v>
      </c>
      <c r="H20">
        <v>5597</v>
      </c>
      <c r="I20">
        <v>255</v>
      </c>
      <c r="J20">
        <v>0.29051277470073256</v>
      </c>
    </row>
    <row r="21" spans="1:10" x14ac:dyDescent="0.25">
      <c r="A21">
        <v>35277</v>
      </c>
      <c r="B21" t="s">
        <v>3217</v>
      </c>
      <c r="C21" t="s">
        <v>3217</v>
      </c>
      <c r="D21" t="s">
        <v>803</v>
      </c>
      <c r="E21">
        <v>10223</v>
      </c>
      <c r="F21">
        <v>25733</v>
      </c>
      <c r="G21">
        <v>1383</v>
      </c>
      <c r="H21">
        <v>31383</v>
      </c>
      <c r="I21">
        <v>15</v>
      </c>
      <c r="J21">
        <v>0.86403466845107224</v>
      </c>
    </row>
    <row r="22" spans="1:10" x14ac:dyDescent="0.25">
      <c r="A22">
        <v>37271</v>
      </c>
      <c r="B22" t="s">
        <v>3215</v>
      </c>
      <c r="C22" t="s">
        <v>3228</v>
      </c>
      <c r="D22" t="s">
        <v>915</v>
      </c>
      <c r="E22">
        <v>9920</v>
      </c>
      <c r="F22">
        <v>0</v>
      </c>
      <c r="G22">
        <v>0</v>
      </c>
      <c r="H22">
        <v>21832</v>
      </c>
      <c r="I22">
        <v>66</v>
      </c>
      <c r="J22">
        <v>0</v>
      </c>
    </row>
    <row r="23" spans="1:10" x14ac:dyDescent="0.25">
      <c r="A23">
        <v>35111</v>
      </c>
      <c r="B23" t="s">
        <v>3217</v>
      </c>
      <c r="C23" t="s">
        <v>3217</v>
      </c>
      <c r="D23" t="s">
        <v>722</v>
      </c>
      <c r="E23">
        <v>9032</v>
      </c>
      <c r="F23">
        <v>0</v>
      </c>
      <c r="G23">
        <v>0</v>
      </c>
      <c r="H23">
        <v>6843</v>
      </c>
      <c r="I23">
        <v>21</v>
      </c>
      <c r="J23">
        <v>0</v>
      </c>
    </row>
    <row r="24" spans="1:10" x14ac:dyDescent="0.25">
      <c r="A24">
        <v>51383</v>
      </c>
      <c r="B24" t="s">
        <v>3214</v>
      </c>
      <c r="C24" t="s">
        <v>3045</v>
      </c>
      <c r="D24" t="s">
        <v>2942</v>
      </c>
      <c r="E24">
        <v>8840</v>
      </c>
      <c r="F24">
        <v>0</v>
      </c>
      <c r="G24">
        <v>0</v>
      </c>
      <c r="H24">
        <v>980</v>
      </c>
      <c r="I24">
        <v>5</v>
      </c>
      <c r="J24">
        <v>0</v>
      </c>
    </row>
    <row r="25" spans="1:10" x14ac:dyDescent="0.25">
      <c r="A25">
        <v>35275</v>
      </c>
      <c r="B25" t="s">
        <v>3217</v>
      </c>
      <c r="C25" t="s">
        <v>3217</v>
      </c>
      <c r="D25" t="s">
        <v>802</v>
      </c>
      <c r="E25">
        <v>8534</v>
      </c>
      <c r="F25">
        <v>0</v>
      </c>
      <c r="G25">
        <v>0</v>
      </c>
      <c r="H25">
        <v>15002</v>
      </c>
      <c r="I25">
        <v>41</v>
      </c>
      <c r="J25">
        <v>0</v>
      </c>
    </row>
    <row r="26" spans="1:10" x14ac:dyDescent="0.25">
      <c r="A26">
        <v>51111</v>
      </c>
      <c r="B26" t="s">
        <v>3214</v>
      </c>
      <c r="C26" t="s">
        <v>3045</v>
      </c>
      <c r="D26" t="s">
        <v>2919</v>
      </c>
      <c r="E26">
        <v>8113</v>
      </c>
      <c r="F26">
        <v>0</v>
      </c>
      <c r="G26">
        <v>0</v>
      </c>
      <c r="H26">
        <v>3276</v>
      </c>
      <c r="I26">
        <v>40</v>
      </c>
      <c r="J26">
        <v>0</v>
      </c>
    </row>
    <row r="27" spans="1:10" x14ac:dyDescent="0.25">
      <c r="A27">
        <v>53453</v>
      </c>
      <c r="B27" t="s">
        <v>3216</v>
      </c>
      <c r="C27" t="s">
        <v>1069</v>
      </c>
      <c r="D27" t="s">
        <v>1140</v>
      </c>
      <c r="E27">
        <v>7938</v>
      </c>
      <c r="F27">
        <v>0</v>
      </c>
      <c r="G27">
        <v>0</v>
      </c>
      <c r="H27">
        <v>8550</v>
      </c>
      <c r="I27">
        <v>150</v>
      </c>
      <c r="J27">
        <v>0</v>
      </c>
    </row>
    <row r="28" spans="1:10" x14ac:dyDescent="0.25">
      <c r="A28">
        <v>31111</v>
      </c>
      <c r="B28" t="s">
        <v>3215</v>
      </c>
      <c r="C28" t="s">
        <v>3225</v>
      </c>
      <c r="D28" t="s">
        <v>537</v>
      </c>
      <c r="E28">
        <v>7758</v>
      </c>
      <c r="F28">
        <v>207</v>
      </c>
      <c r="G28">
        <v>0</v>
      </c>
      <c r="H28">
        <v>3710</v>
      </c>
      <c r="I28">
        <v>320</v>
      </c>
      <c r="J28">
        <v>5.5795148247978439E-2</v>
      </c>
    </row>
    <row r="29" spans="1:10" x14ac:dyDescent="0.25">
      <c r="A29">
        <v>24133</v>
      </c>
      <c r="B29" t="s">
        <v>3212</v>
      </c>
      <c r="C29" t="s">
        <v>1808</v>
      </c>
      <c r="D29" t="s">
        <v>2844</v>
      </c>
      <c r="E29">
        <v>7659</v>
      </c>
      <c r="F29">
        <v>298</v>
      </c>
      <c r="G29">
        <v>0</v>
      </c>
      <c r="H29">
        <v>27554</v>
      </c>
      <c r="I29">
        <v>3726</v>
      </c>
      <c r="J29">
        <v>1.081512666037599E-2</v>
      </c>
    </row>
    <row r="30" spans="1:10" x14ac:dyDescent="0.25">
      <c r="A30">
        <v>10210</v>
      </c>
      <c r="B30" t="s">
        <v>3177</v>
      </c>
      <c r="C30" t="s">
        <v>3177</v>
      </c>
      <c r="D30" t="s">
        <v>2803</v>
      </c>
      <c r="E30">
        <v>6506</v>
      </c>
      <c r="F30">
        <v>1257</v>
      </c>
      <c r="G30">
        <v>493</v>
      </c>
      <c r="H30">
        <v>53146</v>
      </c>
      <c r="I30">
        <v>4928</v>
      </c>
      <c r="J30">
        <v>3.2928160162571031E-2</v>
      </c>
    </row>
    <row r="31" spans="1:10" x14ac:dyDescent="0.25">
      <c r="A31">
        <v>23251</v>
      </c>
      <c r="B31" t="s">
        <v>3212</v>
      </c>
      <c r="C31" t="s">
        <v>3220</v>
      </c>
      <c r="D31" t="s">
        <v>202</v>
      </c>
      <c r="E31">
        <v>6446</v>
      </c>
      <c r="F31">
        <v>514</v>
      </c>
      <c r="G31">
        <v>0</v>
      </c>
      <c r="H31">
        <v>15985</v>
      </c>
      <c r="I31">
        <v>278</v>
      </c>
      <c r="J31">
        <v>3.2155145448858308E-2</v>
      </c>
    </row>
    <row r="32" spans="1:10" x14ac:dyDescent="0.25">
      <c r="A32">
        <v>61115</v>
      </c>
      <c r="B32" t="s">
        <v>3213</v>
      </c>
      <c r="C32" t="s">
        <v>3039</v>
      </c>
      <c r="D32" t="s">
        <v>1192</v>
      </c>
      <c r="E32">
        <v>6249</v>
      </c>
      <c r="F32">
        <v>539</v>
      </c>
      <c r="G32">
        <v>0</v>
      </c>
      <c r="H32">
        <v>8391</v>
      </c>
      <c r="I32">
        <v>20</v>
      </c>
      <c r="J32">
        <v>6.4235490406387791E-2</v>
      </c>
    </row>
    <row r="33" spans="1:10" x14ac:dyDescent="0.25">
      <c r="A33">
        <v>37291</v>
      </c>
      <c r="B33" t="s">
        <v>3215</v>
      </c>
      <c r="C33" t="s">
        <v>3228</v>
      </c>
      <c r="D33" t="s">
        <v>917</v>
      </c>
      <c r="E33">
        <v>6235</v>
      </c>
      <c r="F33">
        <v>72</v>
      </c>
      <c r="G33">
        <v>0</v>
      </c>
      <c r="H33">
        <v>4494</v>
      </c>
      <c r="I33">
        <v>5</v>
      </c>
      <c r="J33">
        <v>1.602136181575434E-2</v>
      </c>
    </row>
    <row r="34" spans="1:10" x14ac:dyDescent="0.25">
      <c r="A34">
        <v>35516</v>
      </c>
      <c r="B34" t="s">
        <v>3217</v>
      </c>
      <c r="C34" t="s">
        <v>3217</v>
      </c>
      <c r="D34" t="s">
        <v>885</v>
      </c>
      <c r="E34">
        <v>6194</v>
      </c>
      <c r="F34">
        <v>0</v>
      </c>
      <c r="G34">
        <v>0</v>
      </c>
      <c r="H34">
        <v>6487</v>
      </c>
      <c r="I34">
        <v>15</v>
      </c>
      <c r="J34">
        <v>0</v>
      </c>
    </row>
    <row r="35" spans="1:10" x14ac:dyDescent="0.25">
      <c r="A35">
        <v>61453</v>
      </c>
      <c r="B35" t="s">
        <v>3213</v>
      </c>
      <c r="C35" t="s">
        <v>3039</v>
      </c>
      <c r="D35" t="s">
        <v>2975</v>
      </c>
      <c r="E35">
        <v>6147</v>
      </c>
      <c r="F35">
        <v>1221</v>
      </c>
      <c r="G35">
        <v>0</v>
      </c>
      <c r="H35">
        <v>3473</v>
      </c>
      <c r="I35">
        <v>204</v>
      </c>
      <c r="J35">
        <v>0.35156924848833859</v>
      </c>
    </row>
    <row r="36" spans="1:10" x14ac:dyDescent="0.25">
      <c r="A36">
        <v>35211</v>
      </c>
      <c r="B36" t="s">
        <v>3217</v>
      </c>
      <c r="C36" t="s">
        <v>3217</v>
      </c>
      <c r="D36" t="s">
        <v>767</v>
      </c>
      <c r="E36">
        <v>6110</v>
      </c>
      <c r="F36">
        <v>0</v>
      </c>
      <c r="G36">
        <v>0</v>
      </c>
      <c r="H36">
        <v>2256</v>
      </c>
      <c r="I36">
        <v>22</v>
      </c>
      <c r="J36">
        <v>0</v>
      </c>
    </row>
    <row r="37" spans="1:10" x14ac:dyDescent="0.25">
      <c r="A37">
        <v>52211</v>
      </c>
      <c r="B37" t="s">
        <v>3214</v>
      </c>
      <c r="C37" t="s">
        <v>3221</v>
      </c>
      <c r="D37" t="s">
        <v>1043</v>
      </c>
      <c r="E37">
        <v>6110</v>
      </c>
      <c r="F37">
        <v>338</v>
      </c>
      <c r="G37">
        <v>0</v>
      </c>
      <c r="H37">
        <v>5826</v>
      </c>
      <c r="I37">
        <v>98</v>
      </c>
      <c r="J37">
        <v>5.8015791280466876E-2</v>
      </c>
    </row>
    <row r="38" spans="1:10" x14ac:dyDescent="0.25">
      <c r="A38">
        <v>10350</v>
      </c>
      <c r="B38" t="s">
        <v>3177</v>
      </c>
      <c r="C38" t="s">
        <v>3177</v>
      </c>
      <c r="D38" t="s">
        <v>22</v>
      </c>
      <c r="E38">
        <v>5736</v>
      </c>
      <c r="F38">
        <v>0</v>
      </c>
      <c r="G38">
        <v>0</v>
      </c>
      <c r="H38">
        <v>9341</v>
      </c>
      <c r="I38">
        <v>1141</v>
      </c>
      <c r="J38">
        <v>0</v>
      </c>
    </row>
    <row r="39" spans="1:10" x14ac:dyDescent="0.25">
      <c r="A39">
        <v>51125</v>
      </c>
      <c r="B39" t="s">
        <v>3214</v>
      </c>
      <c r="C39" t="s">
        <v>3045</v>
      </c>
      <c r="D39" t="s">
        <v>2926</v>
      </c>
      <c r="E39">
        <v>5681</v>
      </c>
      <c r="F39">
        <v>0</v>
      </c>
      <c r="G39">
        <v>0</v>
      </c>
      <c r="H39">
        <v>3095</v>
      </c>
      <c r="I39">
        <v>120</v>
      </c>
      <c r="J39">
        <v>0</v>
      </c>
    </row>
    <row r="40" spans="1:10" x14ac:dyDescent="0.25">
      <c r="A40">
        <v>51121</v>
      </c>
      <c r="B40" t="s">
        <v>3214</v>
      </c>
      <c r="C40" t="s">
        <v>3045</v>
      </c>
      <c r="D40" t="s">
        <v>2924</v>
      </c>
      <c r="E40">
        <v>5614</v>
      </c>
      <c r="F40">
        <v>0</v>
      </c>
      <c r="G40">
        <v>1555</v>
      </c>
      <c r="H40">
        <v>9352</v>
      </c>
      <c r="I40">
        <v>70</v>
      </c>
      <c r="J40">
        <v>0.16627459366980324</v>
      </c>
    </row>
    <row r="41" spans="1:10" x14ac:dyDescent="0.25">
      <c r="A41">
        <v>35416</v>
      </c>
      <c r="B41" t="s">
        <v>3217</v>
      </c>
      <c r="C41" t="s">
        <v>3217</v>
      </c>
      <c r="D41" t="s">
        <v>843</v>
      </c>
      <c r="E41">
        <v>5574</v>
      </c>
      <c r="F41">
        <v>0</v>
      </c>
      <c r="G41">
        <v>0</v>
      </c>
      <c r="H41">
        <v>1877</v>
      </c>
      <c r="I41">
        <v>3</v>
      </c>
      <c r="J41">
        <v>0</v>
      </c>
    </row>
    <row r="42" spans="1:10" x14ac:dyDescent="0.25">
      <c r="A42">
        <v>23141</v>
      </c>
      <c r="B42" t="s">
        <v>3212</v>
      </c>
      <c r="C42" t="s">
        <v>3220</v>
      </c>
      <c r="D42" t="s">
        <v>2827</v>
      </c>
      <c r="E42">
        <v>5490</v>
      </c>
      <c r="F42">
        <v>514</v>
      </c>
      <c r="G42">
        <v>0</v>
      </c>
      <c r="H42">
        <v>10111</v>
      </c>
      <c r="I42">
        <v>950</v>
      </c>
      <c r="J42">
        <v>5.0835723469488676E-2</v>
      </c>
    </row>
    <row r="43" spans="1:10" x14ac:dyDescent="0.25">
      <c r="A43">
        <v>62111</v>
      </c>
      <c r="B43" t="s">
        <v>3213</v>
      </c>
      <c r="C43" t="s">
        <v>1267</v>
      </c>
      <c r="D43" t="s">
        <v>1267</v>
      </c>
      <c r="E43">
        <v>5482</v>
      </c>
      <c r="F43">
        <v>15245</v>
      </c>
      <c r="G43">
        <v>1732</v>
      </c>
      <c r="H43">
        <v>42876</v>
      </c>
      <c r="I43">
        <v>1085</v>
      </c>
      <c r="J43">
        <v>0.39595577945703891</v>
      </c>
    </row>
    <row r="44" spans="1:10" x14ac:dyDescent="0.25">
      <c r="A44">
        <v>24243</v>
      </c>
      <c r="B44" t="s">
        <v>3212</v>
      </c>
      <c r="C44" t="s">
        <v>1808</v>
      </c>
      <c r="D44" t="s">
        <v>295</v>
      </c>
      <c r="E44">
        <v>5365</v>
      </c>
      <c r="F44">
        <v>298</v>
      </c>
      <c r="G44">
        <v>0</v>
      </c>
      <c r="H44">
        <v>7236</v>
      </c>
      <c r="I44">
        <v>311</v>
      </c>
      <c r="J44">
        <v>4.1182974018794914E-2</v>
      </c>
    </row>
    <row r="45" spans="1:10" x14ac:dyDescent="0.25">
      <c r="A45">
        <v>21144</v>
      </c>
      <c r="B45" t="s">
        <v>3212</v>
      </c>
      <c r="C45" t="s">
        <v>36</v>
      </c>
      <c r="D45" t="s">
        <v>32</v>
      </c>
      <c r="E45">
        <v>5360</v>
      </c>
      <c r="F45">
        <v>5429</v>
      </c>
      <c r="G45">
        <v>122</v>
      </c>
      <c r="H45">
        <v>51252</v>
      </c>
      <c r="I45">
        <v>681</v>
      </c>
      <c r="J45">
        <v>0.10830796846952315</v>
      </c>
    </row>
    <row r="46" spans="1:10" x14ac:dyDescent="0.25">
      <c r="A46">
        <v>51311</v>
      </c>
      <c r="B46" t="s">
        <v>3214</v>
      </c>
      <c r="C46" t="s">
        <v>3045</v>
      </c>
      <c r="D46" t="s">
        <v>1013</v>
      </c>
      <c r="E46">
        <v>5247</v>
      </c>
      <c r="F46">
        <v>0</v>
      </c>
      <c r="G46">
        <v>0</v>
      </c>
      <c r="H46">
        <v>3065</v>
      </c>
      <c r="I46">
        <v>125</v>
      </c>
      <c r="J46">
        <v>0</v>
      </c>
    </row>
    <row r="47" spans="1:10" x14ac:dyDescent="0.25">
      <c r="A47">
        <v>51389</v>
      </c>
      <c r="B47" t="s">
        <v>3214</v>
      </c>
      <c r="C47" t="s">
        <v>3045</v>
      </c>
      <c r="D47" t="s">
        <v>1027</v>
      </c>
      <c r="E47">
        <v>5068</v>
      </c>
      <c r="F47">
        <v>0</v>
      </c>
      <c r="G47">
        <v>0</v>
      </c>
      <c r="H47">
        <v>3245</v>
      </c>
      <c r="I47">
        <v>75</v>
      </c>
      <c r="J47">
        <v>0</v>
      </c>
    </row>
    <row r="48" spans="1:10" x14ac:dyDescent="0.25">
      <c r="A48">
        <v>53119</v>
      </c>
      <c r="B48" t="s">
        <v>3216</v>
      </c>
      <c r="C48" t="s">
        <v>1069</v>
      </c>
      <c r="D48" t="s">
        <v>1071</v>
      </c>
      <c r="E48">
        <v>5048</v>
      </c>
      <c r="F48">
        <v>850</v>
      </c>
      <c r="G48">
        <v>0</v>
      </c>
      <c r="H48">
        <v>5516</v>
      </c>
      <c r="I48">
        <v>27</v>
      </c>
      <c r="J48">
        <v>0.15409717186366934</v>
      </c>
    </row>
    <row r="49" spans="1:10" x14ac:dyDescent="0.25">
      <c r="A49">
        <v>51221</v>
      </c>
      <c r="B49" t="s">
        <v>3214</v>
      </c>
      <c r="C49" t="s">
        <v>3045</v>
      </c>
      <c r="D49" t="s">
        <v>993</v>
      </c>
      <c r="E49">
        <v>5017</v>
      </c>
      <c r="F49">
        <v>1626</v>
      </c>
      <c r="G49">
        <v>195</v>
      </c>
      <c r="H49">
        <v>10499</v>
      </c>
      <c r="I49">
        <v>240</v>
      </c>
      <c r="J49">
        <v>0.17344509000857225</v>
      </c>
    </row>
    <row r="50" spans="1:10" x14ac:dyDescent="0.25">
      <c r="A50">
        <v>35269</v>
      </c>
      <c r="B50" t="s">
        <v>3217</v>
      </c>
      <c r="C50" t="s">
        <v>3217</v>
      </c>
      <c r="D50" t="s">
        <v>799</v>
      </c>
      <c r="E50">
        <v>5000</v>
      </c>
      <c r="F50">
        <v>0</v>
      </c>
      <c r="G50">
        <v>0</v>
      </c>
      <c r="H50">
        <v>1377</v>
      </c>
      <c r="J50">
        <v>0</v>
      </c>
    </row>
    <row r="51" spans="1:10" x14ac:dyDescent="0.25">
      <c r="A51">
        <v>53445</v>
      </c>
      <c r="B51" t="s">
        <v>3216</v>
      </c>
      <c r="C51" t="s">
        <v>1069</v>
      </c>
      <c r="D51" t="s">
        <v>1136</v>
      </c>
      <c r="E51">
        <v>4973</v>
      </c>
      <c r="F51">
        <v>0</v>
      </c>
      <c r="G51">
        <v>0</v>
      </c>
      <c r="H51">
        <v>5755</v>
      </c>
      <c r="I51">
        <v>307</v>
      </c>
      <c r="J51">
        <v>0</v>
      </c>
    </row>
    <row r="52" spans="1:10" x14ac:dyDescent="0.25">
      <c r="A52">
        <v>35314</v>
      </c>
      <c r="B52" t="s">
        <v>3217</v>
      </c>
      <c r="C52" t="s">
        <v>3217</v>
      </c>
      <c r="D52" t="s">
        <v>806</v>
      </c>
      <c r="E52">
        <v>4825</v>
      </c>
      <c r="F52">
        <v>0</v>
      </c>
      <c r="G52">
        <v>0</v>
      </c>
      <c r="H52">
        <v>7683</v>
      </c>
      <c r="I52">
        <v>13</v>
      </c>
      <c r="J52">
        <v>0</v>
      </c>
    </row>
    <row r="53" spans="1:10" x14ac:dyDescent="0.25">
      <c r="A53">
        <v>22228</v>
      </c>
      <c r="B53" t="s">
        <v>3212</v>
      </c>
      <c r="C53" t="s">
        <v>3224</v>
      </c>
      <c r="D53" t="s">
        <v>2814</v>
      </c>
      <c r="E53">
        <v>4766</v>
      </c>
      <c r="F53">
        <v>0</v>
      </c>
      <c r="G53">
        <v>0</v>
      </c>
      <c r="H53">
        <v>60601</v>
      </c>
      <c r="I53">
        <v>2406</v>
      </c>
      <c r="J53">
        <v>0</v>
      </c>
    </row>
    <row r="54" spans="1:10" x14ac:dyDescent="0.25">
      <c r="A54">
        <v>53284</v>
      </c>
      <c r="B54" t="s">
        <v>3216</v>
      </c>
      <c r="C54" t="s">
        <v>1069</v>
      </c>
      <c r="D54" t="s">
        <v>1109</v>
      </c>
      <c r="E54">
        <v>4587</v>
      </c>
      <c r="F54">
        <v>0</v>
      </c>
      <c r="G54">
        <v>0</v>
      </c>
      <c r="H54">
        <v>3111</v>
      </c>
      <c r="I54">
        <v>10</v>
      </c>
      <c r="J54">
        <v>0</v>
      </c>
    </row>
    <row r="55" spans="1:10" x14ac:dyDescent="0.25">
      <c r="A55">
        <v>53429</v>
      </c>
      <c r="B55" t="s">
        <v>3216</v>
      </c>
      <c r="C55" t="s">
        <v>1069</v>
      </c>
      <c r="D55" t="s">
        <v>1128</v>
      </c>
      <c r="E55">
        <v>4437</v>
      </c>
      <c r="F55">
        <v>0</v>
      </c>
      <c r="G55">
        <v>0</v>
      </c>
      <c r="H55">
        <v>6022</v>
      </c>
      <c r="I55">
        <v>4</v>
      </c>
      <c r="J55">
        <v>0</v>
      </c>
    </row>
    <row r="56" spans="1:10" x14ac:dyDescent="0.25">
      <c r="A56">
        <v>24311</v>
      </c>
      <c r="B56" t="s">
        <v>3212</v>
      </c>
      <c r="C56" t="s">
        <v>1808</v>
      </c>
      <c r="D56" t="s">
        <v>302</v>
      </c>
      <c r="E56">
        <v>4362</v>
      </c>
      <c r="F56">
        <v>0</v>
      </c>
      <c r="G56">
        <v>554</v>
      </c>
      <c r="H56">
        <v>21822</v>
      </c>
      <c r="I56">
        <v>4115</v>
      </c>
      <c r="J56">
        <v>2.5387223902483731E-2</v>
      </c>
    </row>
    <row r="57" spans="1:10" x14ac:dyDescent="0.25">
      <c r="A57">
        <v>61449</v>
      </c>
      <c r="B57" t="s">
        <v>3213</v>
      </c>
      <c r="C57" t="s">
        <v>3039</v>
      </c>
      <c r="D57" t="s">
        <v>1236</v>
      </c>
      <c r="E57">
        <v>4249</v>
      </c>
      <c r="F57">
        <v>1221</v>
      </c>
      <c r="G57">
        <v>0</v>
      </c>
      <c r="H57">
        <v>11602</v>
      </c>
      <c r="I57">
        <v>254</v>
      </c>
      <c r="J57">
        <v>0.10524047578003792</v>
      </c>
    </row>
    <row r="58" spans="1:10" x14ac:dyDescent="0.25">
      <c r="A58">
        <v>31151</v>
      </c>
      <c r="B58" t="s">
        <v>3215</v>
      </c>
      <c r="C58" t="s">
        <v>3225</v>
      </c>
      <c r="D58" t="s">
        <v>545</v>
      </c>
      <c r="E58">
        <v>4241</v>
      </c>
      <c r="F58">
        <v>208</v>
      </c>
      <c r="G58">
        <v>0</v>
      </c>
      <c r="H58">
        <v>42241</v>
      </c>
      <c r="I58">
        <v>63</v>
      </c>
      <c r="J58">
        <v>4.9241258492933402E-3</v>
      </c>
    </row>
    <row r="59" spans="1:10" x14ac:dyDescent="0.25">
      <c r="A59">
        <v>53419</v>
      </c>
      <c r="B59" t="s">
        <v>3216</v>
      </c>
      <c r="C59" t="s">
        <v>1069</v>
      </c>
      <c r="D59" t="s">
        <v>1123</v>
      </c>
      <c r="E59">
        <v>4193</v>
      </c>
      <c r="F59">
        <v>0</v>
      </c>
      <c r="G59">
        <v>0</v>
      </c>
      <c r="H59">
        <v>2738</v>
      </c>
      <c r="I59">
        <v>10</v>
      </c>
      <c r="J59">
        <v>0</v>
      </c>
    </row>
    <row r="60" spans="1:10" x14ac:dyDescent="0.25">
      <c r="A60">
        <v>61311</v>
      </c>
      <c r="B60" t="s">
        <v>3213</v>
      </c>
      <c r="C60" t="s">
        <v>3039</v>
      </c>
      <c r="D60" t="s">
        <v>2964</v>
      </c>
      <c r="E60">
        <v>4121</v>
      </c>
      <c r="F60">
        <v>1221</v>
      </c>
      <c r="G60">
        <v>89</v>
      </c>
      <c r="H60">
        <v>12215</v>
      </c>
      <c r="I60">
        <v>178</v>
      </c>
      <c r="J60">
        <v>0.10724519033974621</v>
      </c>
    </row>
    <row r="61" spans="1:10" x14ac:dyDescent="0.25">
      <c r="A61">
        <v>53234</v>
      </c>
      <c r="B61" t="s">
        <v>3216</v>
      </c>
      <c r="C61" t="s">
        <v>1069</v>
      </c>
      <c r="D61" t="s">
        <v>2953</v>
      </c>
      <c r="E61">
        <v>4091</v>
      </c>
      <c r="F61">
        <v>0</v>
      </c>
      <c r="G61">
        <v>0</v>
      </c>
      <c r="H61">
        <v>5972</v>
      </c>
      <c r="I61">
        <v>65</v>
      </c>
      <c r="J61">
        <v>0</v>
      </c>
    </row>
    <row r="62" spans="1:10" x14ac:dyDescent="0.25">
      <c r="A62">
        <v>35149</v>
      </c>
      <c r="B62" t="s">
        <v>3217</v>
      </c>
      <c r="C62" t="s">
        <v>3217</v>
      </c>
      <c r="D62" t="s">
        <v>744</v>
      </c>
      <c r="E62">
        <v>4020</v>
      </c>
      <c r="F62">
        <v>0</v>
      </c>
      <c r="G62">
        <v>0</v>
      </c>
      <c r="H62">
        <v>3951</v>
      </c>
      <c r="I62">
        <v>3</v>
      </c>
      <c r="J62">
        <v>0</v>
      </c>
    </row>
    <row r="63" spans="1:10" x14ac:dyDescent="0.25">
      <c r="A63">
        <v>35221</v>
      </c>
      <c r="B63" t="s">
        <v>3217</v>
      </c>
      <c r="C63" t="s">
        <v>3217</v>
      </c>
      <c r="D63" t="s">
        <v>773</v>
      </c>
      <c r="E63">
        <v>3947</v>
      </c>
      <c r="F63">
        <v>0</v>
      </c>
      <c r="G63">
        <v>0</v>
      </c>
      <c r="H63">
        <v>697</v>
      </c>
      <c r="I63">
        <v>7</v>
      </c>
      <c r="J63">
        <v>0</v>
      </c>
    </row>
    <row r="64" spans="1:10" x14ac:dyDescent="0.25">
      <c r="A64">
        <v>52254</v>
      </c>
      <c r="B64" t="s">
        <v>3214</v>
      </c>
      <c r="C64" t="s">
        <v>3221</v>
      </c>
      <c r="D64" t="s">
        <v>1056</v>
      </c>
      <c r="E64">
        <v>3756</v>
      </c>
      <c r="F64">
        <v>0</v>
      </c>
      <c r="G64">
        <v>0</v>
      </c>
      <c r="H64">
        <v>1366</v>
      </c>
      <c r="I64">
        <v>4</v>
      </c>
      <c r="J64">
        <v>0</v>
      </c>
    </row>
    <row r="65" spans="1:10" x14ac:dyDescent="0.25">
      <c r="A65">
        <v>23211</v>
      </c>
      <c r="B65" t="s">
        <v>3212</v>
      </c>
      <c r="C65" t="s">
        <v>3220</v>
      </c>
      <c r="D65" t="s">
        <v>191</v>
      </c>
      <c r="E65">
        <v>3740</v>
      </c>
      <c r="F65">
        <v>514</v>
      </c>
      <c r="G65">
        <v>1580</v>
      </c>
      <c r="H65">
        <v>18445</v>
      </c>
      <c r="I65">
        <v>378</v>
      </c>
      <c r="J65">
        <v>0.11352670100298184</v>
      </c>
    </row>
    <row r="66" spans="1:10" x14ac:dyDescent="0.25">
      <c r="A66">
        <v>23267</v>
      </c>
      <c r="B66" t="s">
        <v>3212</v>
      </c>
      <c r="C66" t="s">
        <v>3220</v>
      </c>
      <c r="D66" t="s">
        <v>2830</v>
      </c>
      <c r="E66">
        <v>3720</v>
      </c>
      <c r="F66">
        <v>513</v>
      </c>
      <c r="G66">
        <v>0</v>
      </c>
      <c r="H66">
        <v>4615</v>
      </c>
      <c r="I66">
        <v>80</v>
      </c>
      <c r="J66">
        <v>0.11115926327193933</v>
      </c>
    </row>
    <row r="67" spans="1:10" x14ac:dyDescent="0.25">
      <c r="A67">
        <v>51323</v>
      </c>
      <c r="B67" t="s">
        <v>3214</v>
      </c>
      <c r="C67" t="s">
        <v>3045</v>
      </c>
      <c r="D67" t="s">
        <v>1015</v>
      </c>
      <c r="E67">
        <v>3697</v>
      </c>
      <c r="F67">
        <v>0</v>
      </c>
      <c r="G67">
        <v>0</v>
      </c>
      <c r="H67">
        <v>4889</v>
      </c>
      <c r="I67">
        <v>30</v>
      </c>
      <c r="J67">
        <v>0</v>
      </c>
    </row>
    <row r="68" spans="1:10" x14ac:dyDescent="0.25">
      <c r="A68">
        <v>10150</v>
      </c>
      <c r="B68" t="s">
        <v>3177</v>
      </c>
      <c r="C68" t="s">
        <v>3177</v>
      </c>
      <c r="D68" t="s">
        <v>18</v>
      </c>
      <c r="E68">
        <v>3668</v>
      </c>
      <c r="F68">
        <v>0</v>
      </c>
      <c r="G68">
        <v>0</v>
      </c>
      <c r="H68">
        <v>28319</v>
      </c>
      <c r="I68">
        <v>5719</v>
      </c>
      <c r="J68">
        <v>0</v>
      </c>
    </row>
    <row r="69" spans="1:10" x14ac:dyDescent="0.25">
      <c r="A69">
        <v>53425</v>
      </c>
      <c r="B69" t="s">
        <v>3216</v>
      </c>
      <c r="C69" t="s">
        <v>1069</v>
      </c>
      <c r="D69" t="s">
        <v>1126</v>
      </c>
      <c r="E69">
        <v>3614</v>
      </c>
      <c r="F69">
        <v>0</v>
      </c>
      <c r="G69">
        <v>0</v>
      </c>
      <c r="H69">
        <v>6221</v>
      </c>
      <c r="I69">
        <v>10</v>
      </c>
      <c r="J69">
        <v>0</v>
      </c>
    </row>
    <row r="70" spans="1:10" x14ac:dyDescent="0.25">
      <c r="A70">
        <v>35467</v>
      </c>
      <c r="B70" t="s">
        <v>3217</v>
      </c>
      <c r="C70" t="s">
        <v>3217</v>
      </c>
      <c r="D70" t="s">
        <v>872</v>
      </c>
      <c r="E70">
        <v>3568</v>
      </c>
      <c r="F70">
        <v>0</v>
      </c>
      <c r="G70">
        <v>0</v>
      </c>
      <c r="H70">
        <v>666</v>
      </c>
      <c r="J70">
        <v>0</v>
      </c>
    </row>
    <row r="71" spans="1:10" x14ac:dyDescent="0.25">
      <c r="A71">
        <v>53123</v>
      </c>
      <c r="B71" t="s">
        <v>3216</v>
      </c>
      <c r="C71" t="s">
        <v>1069</v>
      </c>
      <c r="D71" t="s">
        <v>1072</v>
      </c>
      <c r="E71">
        <v>3566</v>
      </c>
      <c r="F71">
        <v>0</v>
      </c>
      <c r="G71">
        <v>0</v>
      </c>
      <c r="H71">
        <v>2711</v>
      </c>
      <c r="I71">
        <v>15</v>
      </c>
      <c r="J71">
        <v>0</v>
      </c>
    </row>
    <row r="72" spans="1:10" x14ac:dyDescent="0.25">
      <c r="A72">
        <v>35229</v>
      </c>
      <c r="B72" t="s">
        <v>3217</v>
      </c>
      <c r="C72" t="s">
        <v>3217</v>
      </c>
      <c r="D72" t="s">
        <v>2889</v>
      </c>
      <c r="E72">
        <v>3562</v>
      </c>
      <c r="F72">
        <v>0</v>
      </c>
      <c r="G72">
        <v>0</v>
      </c>
      <c r="H72">
        <v>1234</v>
      </c>
      <c r="I72">
        <v>4</v>
      </c>
      <c r="J72">
        <v>0</v>
      </c>
    </row>
    <row r="73" spans="1:10" x14ac:dyDescent="0.25">
      <c r="A73">
        <v>23271</v>
      </c>
      <c r="B73" t="s">
        <v>3212</v>
      </c>
      <c r="C73" t="s">
        <v>3220</v>
      </c>
      <c r="D73" t="s">
        <v>208</v>
      </c>
      <c r="E73">
        <v>3508</v>
      </c>
      <c r="F73">
        <v>513</v>
      </c>
      <c r="G73">
        <v>0</v>
      </c>
      <c r="H73">
        <v>706</v>
      </c>
      <c r="I73">
        <v>21</v>
      </c>
      <c r="J73">
        <v>0.72662889518413598</v>
      </c>
    </row>
    <row r="74" spans="1:10" x14ac:dyDescent="0.25">
      <c r="A74">
        <v>23111</v>
      </c>
      <c r="B74" t="s">
        <v>3212</v>
      </c>
      <c r="C74" t="s">
        <v>3220</v>
      </c>
      <c r="D74" t="s">
        <v>188</v>
      </c>
      <c r="E74">
        <v>3359</v>
      </c>
      <c r="F74">
        <v>513</v>
      </c>
      <c r="G74">
        <v>0</v>
      </c>
      <c r="H74">
        <v>1441</v>
      </c>
      <c r="I74">
        <v>158</v>
      </c>
      <c r="J74">
        <v>0.35600277585010409</v>
      </c>
    </row>
    <row r="75" spans="1:10" x14ac:dyDescent="0.25">
      <c r="A75">
        <v>53437</v>
      </c>
      <c r="B75" t="s">
        <v>3216</v>
      </c>
      <c r="C75" t="s">
        <v>1069</v>
      </c>
      <c r="D75" t="s">
        <v>1132</v>
      </c>
      <c r="E75">
        <v>3290</v>
      </c>
      <c r="F75">
        <v>0</v>
      </c>
      <c r="G75">
        <v>0</v>
      </c>
      <c r="H75">
        <v>5444</v>
      </c>
      <c r="I75">
        <v>50</v>
      </c>
      <c r="J75">
        <v>0</v>
      </c>
    </row>
    <row r="76" spans="1:10" x14ac:dyDescent="0.25">
      <c r="A76">
        <v>10650</v>
      </c>
      <c r="B76" t="s">
        <v>3177</v>
      </c>
      <c r="C76" t="s">
        <v>3177</v>
      </c>
      <c r="D76" t="s">
        <v>28</v>
      </c>
      <c r="E76">
        <v>3274</v>
      </c>
      <c r="F76">
        <v>0</v>
      </c>
      <c r="G76">
        <v>0</v>
      </c>
      <c r="H76">
        <v>40263</v>
      </c>
      <c r="I76">
        <v>4898</v>
      </c>
      <c r="J76">
        <v>0</v>
      </c>
    </row>
    <row r="77" spans="1:10" x14ac:dyDescent="0.25">
      <c r="A77">
        <v>52217</v>
      </c>
      <c r="B77" t="s">
        <v>3214</v>
      </c>
      <c r="C77" t="s">
        <v>3221</v>
      </c>
      <c r="D77" t="s">
        <v>1045</v>
      </c>
      <c r="E77">
        <v>3106</v>
      </c>
      <c r="F77">
        <v>0</v>
      </c>
      <c r="G77">
        <v>0</v>
      </c>
      <c r="H77">
        <v>4257</v>
      </c>
      <c r="I77">
        <v>146</v>
      </c>
      <c r="J77">
        <v>0</v>
      </c>
    </row>
    <row r="78" spans="1:10" x14ac:dyDescent="0.25">
      <c r="A78">
        <v>51227</v>
      </c>
      <c r="B78" t="s">
        <v>3214</v>
      </c>
      <c r="C78" t="s">
        <v>3045</v>
      </c>
      <c r="D78" t="s">
        <v>995</v>
      </c>
      <c r="E78">
        <v>3049</v>
      </c>
      <c r="F78">
        <v>0</v>
      </c>
      <c r="G78">
        <v>0</v>
      </c>
      <c r="H78">
        <v>1222</v>
      </c>
      <c r="I78">
        <v>32</v>
      </c>
      <c r="J78">
        <v>0</v>
      </c>
    </row>
    <row r="79" spans="1:10" x14ac:dyDescent="0.25">
      <c r="A79">
        <v>35261</v>
      </c>
      <c r="B79" t="s">
        <v>3217</v>
      </c>
      <c r="C79" t="s">
        <v>3217</v>
      </c>
      <c r="D79" t="s">
        <v>795</v>
      </c>
      <c r="E79">
        <v>3033</v>
      </c>
      <c r="F79">
        <v>0</v>
      </c>
      <c r="G79">
        <v>0</v>
      </c>
      <c r="H79">
        <v>2263</v>
      </c>
      <c r="I79">
        <v>11</v>
      </c>
      <c r="J79">
        <v>0</v>
      </c>
    </row>
    <row r="80" spans="1:10" x14ac:dyDescent="0.25">
      <c r="A80">
        <v>33111</v>
      </c>
      <c r="B80" t="s">
        <v>3215</v>
      </c>
      <c r="C80" t="s">
        <v>597</v>
      </c>
      <c r="D80" t="s">
        <v>597</v>
      </c>
      <c r="E80">
        <v>3033</v>
      </c>
      <c r="F80">
        <v>0</v>
      </c>
      <c r="G80">
        <v>0</v>
      </c>
      <c r="H80">
        <v>16652</v>
      </c>
      <c r="I80">
        <v>220</v>
      </c>
      <c r="J80">
        <v>0</v>
      </c>
    </row>
    <row r="81" spans="1:10" x14ac:dyDescent="0.25">
      <c r="A81">
        <v>62128</v>
      </c>
      <c r="B81" t="s">
        <v>3213</v>
      </c>
      <c r="C81" t="s">
        <v>1267</v>
      </c>
      <c r="D81" t="s">
        <v>1268</v>
      </c>
      <c r="E81">
        <v>3000</v>
      </c>
      <c r="F81">
        <v>9783</v>
      </c>
      <c r="G81">
        <v>1892</v>
      </c>
      <c r="H81">
        <v>20148</v>
      </c>
      <c r="I81">
        <v>607</v>
      </c>
      <c r="J81">
        <v>0.57946198133809812</v>
      </c>
    </row>
    <row r="82" spans="1:10" x14ac:dyDescent="0.25">
      <c r="A82">
        <v>53459</v>
      </c>
      <c r="B82" t="s">
        <v>3216</v>
      </c>
      <c r="C82" t="s">
        <v>1069</v>
      </c>
      <c r="D82" t="s">
        <v>1143</v>
      </c>
      <c r="E82">
        <v>2977</v>
      </c>
      <c r="F82">
        <v>0</v>
      </c>
      <c r="G82">
        <v>0</v>
      </c>
      <c r="H82">
        <v>6083</v>
      </c>
      <c r="I82">
        <v>152</v>
      </c>
      <c r="J82">
        <v>0</v>
      </c>
    </row>
    <row r="83" spans="1:10" x14ac:dyDescent="0.25">
      <c r="A83">
        <v>53311</v>
      </c>
      <c r="B83" t="s">
        <v>3216</v>
      </c>
      <c r="C83" t="s">
        <v>1069</v>
      </c>
      <c r="D83" t="s">
        <v>1110</v>
      </c>
      <c r="E83">
        <v>2934</v>
      </c>
      <c r="F83">
        <v>0</v>
      </c>
      <c r="G83">
        <v>0</v>
      </c>
      <c r="H83">
        <v>3994</v>
      </c>
      <c r="I83">
        <v>34</v>
      </c>
      <c r="J83">
        <v>0</v>
      </c>
    </row>
    <row r="84" spans="1:10" x14ac:dyDescent="0.25">
      <c r="A84">
        <v>31181</v>
      </c>
      <c r="B84" t="s">
        <v>3215</v>
      </c>
      <c r="C84" t="s">
        <v>3225</v>
      </c>
      <c r="D84" t="s">
        <v>2878</v>
      </c>
      <c r="E84">
        <v>2892</v>
      </c>
      <c r="F84">
        <v>207</v>
      </c>
      <c r="G84">
        <v>0</v>
      </c>
      <c r="H84">
        <v>7261</v>
      </c>
      <c r="I84">
        <v>100</v>
      </c>
      <c r="J84">
        <v>2.8508469907726208E-2</v>
      </c>
    </row>
    <row r="85" spans="1:10" x14ac:dyDescent="0.25">
      <c r="A85">
        <v>21166</v>
      </c>
      <c r="B85" t="s">
        <v>3212</v>
      </c>
      <c r="C85" t="s">
        <v>36</v>
      </c>
      <c r="D85" t="s">
        <v>2804</v>
      </c>
      <c r="E85">
        <v>2861</v>
      </c>
      <c r="F85">
        <v>597</v>
      </c>
      <c r="G85">
        <v>0</v>
      </c>
      <c r="H85">
        <v>6910</v>
      </c>
      <c r="I85">
        <v>710</v>
      </c>
      <c r="J85">
        <v>8.6396526772793053E-2</v>
      </c>
    </row>
    <row r="86" spans="1:10" x14ac:dyDescent="0.25">
      <c r="A86">
        <v>51139</v>
      </c>
      <c r="B86" t="s">
        <v>3214</v>
      </c>
      <c r="C86" t="s">
        <v>3045</v>
      </c>
      <c r="D86" t="s">
        <v>980</v>
      </c>
      <c r="E86">
        <v>2854</v>
      </c>
      <c r="F86">
        <v>0</v>
      </c>
      <c r="G86">
        <v>0</v>
      </c>
      <c r="H86">
        <v>3342</v>
      </c>
      <c r="I86">
        <v>235</v>
      </c>
      <c r="J86">
        <v>0</v>
      </c>
    </row>
    <row r="87" spans="1:10" x14ac:dyDescent="0.25">
      <c r="A87">
        <v>51281</v>
      </c>
      <c r="B87" t="s">
        <v>3214</v>
      </c>
      <c r="C87" t="s">
        <v>3045</v>
      </c>
      <c r="D87" t="s">
        <v>1010</v>
      </c>
      <c r="E87">
        <v>2773</v>
      </c>
      <c r="F87">
        <v>0</v>
      </c>
      <c r="G87">
        <v>0</v>
      </c>
      <c r="H87">
        <v>5517</v>
      </c>
      <c r="I87">
        <v>95</v>
      </c>
      <c r="J87">
        <v>0</v>
      </c>
    </row>
    <row r="88" spans="1:10" x14ac:dyDescent="0.25">
      <c r="A88">
        <v>35437</v>
      </c>
      <c r="B88" t="s">
        <v>3217</v>
      </c>
      <c r="C88" t="s">
        <v>3217</v>
      </c>
      <c r="D88" t="s">
        <v>857</v>
      </c>
      <c r="E88">
        <v>2769</v>
      </c>
      <c r="F88">
        <v>0</v>
      </c>
      <c r="G88">
        <v>0</v>
      </c>
      <c r="H88">
        <v>10598</v>
      </c>
      <c r="I88">
        <v>1</v>
      </c>
      <c r="J88">
        <v>0</v>
      </c>
    </row>
    <row r="89" spans="1:10" x14ac:dyDescent="0.25">
      <c r="A89">
        <v>53274</v>
      </c>
      <c r="B89" t="s">
        <v>3216</v>
      </c>
      <c r="C89" t="s">
        <v>1069</v>
      </c>
      <c r="D89" t="s">
        <v>1106</v>
      </c>
      <c r="E89">
        <v>2764</v>
      </c>
      <c r="F89">
        <v>0</v>
      </c>
      <c r="G89">
        <v>0</v>
      </c>
      <c r="H89">
        <v>3538</v>
      </c>
      <c r="I89">
        <v>25</v>
      </c>
      <c r="J89">
        <v>0</v>
      </c>
    </row>
    <row r="90" spans="1:10" x14ac:dyDescent="0.25">
      <c r="A90">
        <v>22262</v>
      </c>
      <c r="B90" t="s">
        <v>3212</v>
      </c>
      <c r="C90" t="s">
        <v>3224</v>
      </c>
      <c r="D90" t="s">
        <v>2815</v>
      </c>
      <c r="E90">
        <v>2716</v>
      </c>
      <c r="F90">
        <v>0</v>
      </c>
      <c r="G90">
        <v>0</v>
      </c>
      <c r="H90">
        <v>22471</v>
      </c>
      <c r="I90">
        <v>1570</v>
      </c>
      <c r="J90">
        <v>0</v>
      </c>
    </row>
    <row r="91" spans="1:10" x14ac:dyDescent="0.25">
      <c r="A91">
        <v>22155</v>
      </c>
      <c r="B91" t="s">
        <v>3212</v>
      </c>
      <c r="C91" t="s">
        <v>3224</v>
      </c>
      <c r="D91" t="s">
        <v>89</v>
      </c>
      <c r="E91">
        <v>2703</v>
      </c>
      <c r="F91">
        <v>0</v>
      </c>
      <c r="G91">
        <v>0</v>
      </c>
      <c r="H91">
        <v>32216</v>
      </c>
      <c r="I91">
        <v>3569</v>
      </c>
      <c r="J91">
        <v>0</v>
      </c>
    </row>
    <row r="92" spans="1:10" x14ac:dyDescent="0.25">
      <c r="A92">
        <v>62276</v>
      </c>
      <c r="B92" t="s">
        <v>3213</v>
      </c>
      <c r="C92" t="s">
        <v>1267</v>
      </c>
      <c r="D92" t="s">
        <v>1313</v>
      </c>
      <c r="E92">
        <v>2692</v>
      </c>
      <c r="F92">
        <v>1832</v>
      </c>
      <c r="G92">
        <v>0</v>
      </c>
      <c r="H92">
        <v>10769</v>
      </c>
      <c r="I92">
        <v>247</v>
      </c>
      <c r="J92">
        <v>0.17011793109852355</v>
      </c>
    </row>
    <row r="93" spans="1:10" x14ac:dyDescent="0.25">
      <c r="A93">
        <v>35141</v>
      </c>
      <c r="B93" t="s">
        <v>3217</v>
      </c>
      <c r="C93" t="s">
        <v>3217</v>
      </c>
      <c r="D93" t="s">
        <v>740</v>
      </c>
      <c r="E93">
        <v>2622</v>
      </c>
      <c r="F93">
        <v>0</v>
      </c>
      <c r="G93">
        <v>0</v>
      </c>
      <c r="H93">
        <v>2846</v>
      </c>
      <c r="I93">
        <v>15</v>
      </c>
      <c r="J93">
        <v>0</v>
      </c>
    </row>
    <row r="94" spans="1:10" x14ac:dyDescent="0.25">
      <c r="A94">
        <v>34188</v>
      </c>
      <c r="B94" t="s">
        <v>3215</v>
      </c>
      <c r="C94" t="s">
        <v>3226</v>
      </c>
      <c r="D94" t="s">
        <v>656</v>
      </c>
      <c r="E94">
        <v>2584</v>
      </c>
      <c r="F94">
        <v>0</v>
      </c>
      <c r="G94">
        <v>0</v>
      </c>
      <c r="H94">
        <v>9614</v>
      </c>
      <c r="I94">
        <v>75</v>
      </c>
      <c r="J94">
        <v>0</v>
      </c>
    </row>
    <row r="95" spans="1:10" x14ac:dyDescent="0.25">
      <c r="A95">
        <v>51365</v>
      </c>
      <c r="B95" t="s">
        <v>3214</v>
      </c>
      <c r="C95" t="s">
        <v>3045</v>
      </c>
      <c r="D95" t="s">
        <v>2941</v>
      </c>
      <c r="E95">
        <v>2583</v>
      </c>
      <c r="F95">
        <v>0</v>
      </c>
      <c r="G95">
        <v>0</v>
      </c>
      <c r="H95">
        <v>3209</v>
      </c>
      <c r="I95">
        <v>25</v>
      </c>
      <c r="J95">
        <v>0</v>
      </c>
    </row>
    <row r="96" spans="1:10" x14ac:dyDescent="0.25">
      <c r="A96">
        <v>35249</v>
      </c>
      <c r="B96" t="s">
        <v>3217</v>
      </c>
      <c r="C96" t="s">
        <v>3217</v>
      </c>
      <c r="D96" t="s">
        <v>2891</v>
      </c>
      <c r="E96">
        <v>2570</v>
      </c>
      <c r="F96">
        <v>0</v>
      </c>
      <c r="G96">
        <v>0</v>
      </c>
      <c r="H96">
        <v>53</v>
      </c>
      <c r="I96">
        <v>18</v>
      </c>
      <c r="J96">
        <v>0</v>
      </c>
    </row>
    <row r="97" spans="1:10" x14ac:dyDescent="0.25">
      <c r="A97">
        <v>53411</v>
      </c>
      <c r="B97" t="s">
        <v>3216</v>
      </c>
      <c r="C97" t="s">
        <v>1069</v>
      </c>
      <c r="D97" t="s">
        <v>1119</v>
      </c>
      <c r="E97">
        <v>2516</v>
      </c>
      <c r="F97">
        <v>0</v>
      </c>
      <c r="G97">
        <v>0</v>
      </c>
      <c r="H97">
        <v>5333</v>
      </c>
      <c r="I97">
        <v>130</v>
      </c>
      <c r="J97">
        <v>0</v>
      </c>
    </row>
    <row r="98" spans="1:10" x14ac:dyDescent="0.25">
      <c r="A98">
        <v>33129</v>
      </c>
      <c r="B98" t="s">
        <v>3215</v>
      </c>
      <c r="C98" t="s">
        <v>597</v>
      </c>
      <c r="D98" t="s">
        <v>606</v>
      </c>
      <c r="E98">
        <v>2505</v>
      </c>
      <c r="F98">
        <v>0</v>
      </c>
      <c r="G98">
        <v>0</v>
      </c>
      <c r="H98">
        <v>9401</v>
      </c>
      <c r="I98">
        <v>117</v>
      </c>
      <c r="J98">
        <v>0</v>
      </c>
    </row>
    <row r="99" spans="1:10" x14ac:dyDescent="0.25">
      <c r="A99">
        <v>35243</v>
      </c>
      <c r="B99" t="s">
        <v>3217</v>
      </c>
      <c r="C99" t="s">
        <v>3217</v>
      </c>
      <c r="D99" t="s">
        <v>786</v>
      </c>
      <c r="E99">
        <v>2480</v>
      </c>
      <c r="F99">
        <v>0</v>
      </c>
      <c r="G99">
        <v>0</v>
      </c>
      <c r="H99">
        <v>2030</v>
      </c>
      <c r="J99">
        <v>0</v>
      </c>
    </row>
    <row r="100" spans="1:10" x14ac:dyDescent="0.25">
      <c r="A100">
        <v>22419</v>
      </c>
      <c r="B100" t="s">
        <v>3212</v>
      </c>
      <c r="C100" t="s">
        <v>3224</v>
      </c>
      <c r="D100" t="s">
        <v>108</v>
      </c>
      <c r="E100">
        <v>2461</v>
      </c>
      <c r="F100">
        <v>0</v>
      </c>
      <c r="G100">
        <v>0</v>
      </c>
      <c r="H100">
        <v>9129</v>
      </c>
      <c r="I100">
        <v>1198</v>
      </c>
      <c r="J100">
        <v>0</v>
      </c>
    </row>
    <row r="101" spans="1:10" x14ac:dyDescent="0.25">
      <c r="A101">
        <v>35429</v>
      </c>
      <c r="B101" t="s">
        <v>3217</v>
      </c>
      <c r="C101" t="s">
        <v>3217</v>
      </c>
      <c r="D101" t="s">
        <v>851</v>
      </c>
      <c r="E101">
        <v>2427</v>
      </c>
      <c r="F101">
        <v>0</v>
      </c>
      <c r="G101">
        <v>0</v>
      </c>
      <c r="H101">
        <v>1431</v>
      </c>
      <c r="J101">
        <v>0</v>
      </c>
    </row>
    <row r="102" spans="1:10" x14ac:dyDescent="0.25">
      <c r="A102">
        <v>21219</v>
      </c>
      <c r="B102" t="s">
        <v>3212</v>
      </c>
      <c r="C102" t="s">
        <v>36</v>
      </c>
      <c r="D102" t="s">
        <v>37</v>
      </c>
      <c r="E102">
        <v>2418</v>
      </c>
      <c r="F102">
        <v>0</v>
      </c>
      <c r="G102">
        <v>33</v>
      </c>
      <c r="H102">
        <v>18977</v>
      </c>
      <c r="I102">
        <v>277</v>
      </c>
      <c r="J102">
        <v>1.7389471465458187E-3</v>
      </c>
    </row>
    <row r="103" spans="1:10" x14ac:dyDescent="0.25">
      <c r="A103">
        <v>35364</v>
      </c>
      <c r="B103" t="s">
        <v>3217</v>
      </c>
      <c r="C103" t="s">
        <v>3217</v>
      </c>
      <c r="D103" t="s">
        <v>831</v>
      </c>
      <c r="E103">
        <v>2391</v>
      </c>
      <c r="F103">
        <v>0</v>
      </c>
      <c r="G103">
        <v>0</v>
      </c>
      <c r="H103">
        <v>5056</v>
      </c>
      <c r="J103">
        <v>0</v>
      </c>
    </row>
    <row r="104" spans="1:10" x14ac:dyDescent="0.25">
      <c r="A104">
        <v>32119</v>
      </c>
      <c r="B104" t="s">
        <v>3215</v>
      </c>
      <c r="C104" t="s">
        <v>3223</v>
      </c>
      <c r="D104" t="s">
        <v>558</v>
      </c>
      <c r="E104">
        <v>2388</v>
      </c>
      <c r="F104">
        <v>0</v>
      </c>
      <c r="G104">
        <v>0</v>
      </c>
      <c r="H104">
        <v>2401</v>
      </c>
      <c r="I104">
        <v>15</v>
      </c>
      <c r="J104">
        <v>0</v>
      </c>
    </row>
    <row r="105" spans="1:10" x14ac:dyDescent="0.25">
      <c r="A105">
        <v>34111</v>
      </c>
      <c r="B105" t="s">
        <v>3215</v>
      </c>
      <c r="C105" t="s">
        <v>3226</v>
      </c>
      <c r="D105" t="s">
        <v>649</v>
      </c>
      <c r="E105">
        <v>2370</v>
      </c>
      <c r="F105">
        <v>0</v>
      </c>
      <c r="G105">
        <v>0</v>
      </c>
      <c r="H105">
        <v>1604</v>
      </c>
      <c r="I105">
        <v>500</v>
      </c>
      <c r="J105">
        <v>0</v>
      </c>
    </row>
    <row r="106" spans="1:10" x14ac:dyDescent="0.25">
      <c r="A106">
        <v>35216</v>
      </c>
      <c r="B106" t="s">
        <v>3217</v>
      </c>
      <c r="C106" t="s">
        <v>3217</v>
      </c>
      <c r="D106" t="s">
        <v>770</v>
      </c>
      <c r="E106">
        <v>2353</v>
      </c>
      <c r="F106">
        <v>0</v>
      </c>
      <c r="G106">
        <v>0</v>
      </c>
      <c r="H106">
        <v>4322</v>
      </c>
      <c r="I106">
        <v>17</v>
      </c>
      <c r="J106">
        <v>0</v>
      </c>
    </row>
    <row r="107" spans="1:10" x14ac:dyDescent="0.25">
      <c r="A107">
        <v>31221</v>
      </c>
      <c r="B107" t="s">
        <v>3215</v>
      </c>
      <c r="C107" t="s">
        <v>3225</v>
      </c>
      <c r="D107" t="s">
        <v>553</v>
      </c>
      <c r="E107">
        <v>2349</v>
      </c>
      <c r="F107">
        <v>0</v>
      </c>
      <c r="G107">
        <v>0</v>
      </c>
      <c r="H107">
        <v>3650</v>
      </c>
      <c r="I107">
        <v>15</v>
      </c>
      <c r="J107">
        <v>0</v>
      </c>
    </row>
    <row r="108" spans="1:10" x14ac:dyDescent="0.25">
      <c r="A108">
        <v>35511</v>
      </c>
      <c r="B108" t="s">
        <v>3217</v>
      </c>
      <c r="C108" t="s">
        <v>3217</v>
      </c>
      <c r="D108" t="s">
        <v>881</v>
      </c>
      <c r="E108">
        <v>2337</v>
      </c>
      <c r="F108">
        <v>0</v>
      </c>
      <c r="G108">
        <v>0</v>
      </c>
      <c r="H108">
        <v>1112</v>
      </c>
      <c r="J108">
        <v>0</v>
      </c>
    </row>
    <row r="109" spans="1:10" x14ac:dyDescent="0.25">
      <c r="A109">
        <v>51211</v>
      </c>
      <c r="B109" t="s">
        <v>3214</v>
      </c>
      <c r="C109" t="s">
        <v>3045</v>
      </c>
      <c r="D109" t="s">
        <v>990</v>
      </c>
      <c r="E109">
        <v>2293</v>
      </c>
      <c r="F109">
        <v>0</v>
      </c>
      <c r="G109">
        <v>0</v>
      </c>
      <c r="H109">
        <v>1205</v>
      </c>
      <c r="I109">
        <v>101</v>
      </c>
      <c r="J109">
        <v>0</v>
      </c>
    </row>
    <row r="110" spans="1:10" x14ac:dyDescent="0.25">
      <c r="A110">
        <v>53217</v>
      </c>
      <c r="B110" t="s">
        <v>3216</v>
      </c>
      <c r="C110" t="s">
        <v>1069</v>
      </c>
      <c r="D110" t="s">
        <v>1089</v>
      </c>
      <c r="E110">
        <v>2288</v>
      </c>
      <c r="F110">
        <v>0</v>
      </c>
      <c r="G110">
        <v>0</v>
      </c>
      <c r="H110">
        <v>5827</v>
      </c>
      <c r="I110">
        <v>22</v>
      </c>
      <c r="J110">
        <v>0</v>
      </c>
    </row>
    <row r="111" spans="1:10" x14ac:dyDescent="0.25">
      <c r="A111">
        <v>71111</v>
      </c>
      <c r="B111" t="s">
        <v>3218</v>
      </c>
      <c r="C111" t="s">
        <v>3218</v>
      </c>
      <c r="D111" t="s">
        <v>1418</v>
      </c>
      <c r="E111">
        <v>2164</v>
      </c>
      <c r="F111">
        <v>0</v>
      </c>
      <c r="G111">
        <v>332</v>
      </c>
      <c r="H111">
        <v>28789</v>
      </c>
      <c r="J111">
        <v>1.1532182430789538E-2</v>
      </c>
    </row>
    <row r="112" spans="1:10" x14ac:dyDescent="0.25">
      <c r="A112">
        <v>35235</v>
      </c>
      <c r="B112" t="s">
        <v>3217</v>
      </c>
      <c r="C112" t="s">
        <v>3217</v>
      </c>
      <c r="D112" t="s">
        <v>2890</v>
      </c>
      <c r="E112">
        <v>2091</v>
      </c>
      <c r="F112">
        <v>0</v>
      </c>
      <c r="G112">
        <v>0</v>
      </c>
      <c r="H112">
        <v>726</v>
      </c>
      <c r="J112">
        <v>0</v>
      </c>
    </row>
    <row r="113" spans="1:10" x14ac:dyDescent="0.25">
      <c r="A113">
        <v>25121</v>
      </c>
      <c r="B113" t="s">
        <v>3212</v>
      </c>
      <c r="C113" t="s">
        <v>3229</v>
      </c>
      <c r="D113" t="s">
        <v>362</v>
      </c>
      <c r="E113">
        <v>2087</v>
      </c>
      <c r="F113">
        <v>0</v>
      </c>
      <c r="G113">
        <v>0</v>
      </c>
      <c r="H113">
        <v>12606</v>
      </c>
      <c r="I113">
        <v>478</v>
      </c>
      <c r="J113">
        <v>0</v>
      </c>
    </row>
    <row r="114" spans="1:10" x14ac:dyDescent="0.25">
      <c r="A114">
        <v>26111</v>
      </c>
      <c r="B114" t="s">
        <v>3212</v>
      </c>
      <c r="C114" t="s">
        <v>3227</v>
      </c>
      <c r="D114" t="s">
        <v>438</v>
      </c>
      <c r="E114">
        <v>2082</v>
      </c>
      <c r="F114">
        <v>0</v>
      </c>
      <c r="G114">
        <v>0</v>
      </c>
      <c r="H114">
        <v>18914</v>
      </c>
      <c r="I114">
        <v>1395</v>
      </c>
      <c r="J114">
        <v>0</v>
      </c>
    </row>
    <row r="115" spans="1:10" x14ac:dyDescent="0.25">
      <c r="A115">
        <v>35224</v>
      </c>
      <c r="B115" t="s">
        <v>3217</v>
      </c>
      <c r="C115" t="s">
        <v>3217</v>
      </c>
      <c r="D115" t="s">
        <v>775</v>
      </c>
      <c r="E115">
        <v>2053</v>
      </c>
      <c r="F115">
        <v>0</v>
      </c>
      <c r="G115">
        <v>0</v>
      </c>
      <c r="H115">
        <v>2323</v>
      </c>
      <c r="J115">
        <v>0</v>
      </c>
    </row>
    <row r="116" spans="1:10" x14ac:dyDescent="0.25">
      <c r="A116">
        <v>53214</v>
      </c>
      <c r="B116" t="s">
        <v>3216</v>
      </c>
      <c r="C116" t="s">
        <v>1069</v>
      </c>
      <c r="D116" t="s">
        <v>1088</v>
      </c>
      <c r="E116">
        <v>2026</v>
      </c>
      <c r="F116">
        <v>0</v>
      </c>
      <c r="G116">
        <v>0</v>
      </c>
      <c r="H116">
        <v>6838</v>
      </c>
      <c r="I116">
        <v>23</v>
      </c>
      <c r="J116">
        <v>0</v>
      </c>
    </row>
    <row r="117" spans="1:10" x14ac:dyDescent="0.25">
      <c r="A117">
        <v>53167</v>
      </c>
      <c r="B117" t="s">
        <v>3216</v>
      </c>
      <c r="C117" t="s">
        <v>1069</v>
      </c>
      <c r="D117" t="s">
        <v>2952</v>
      </c>
      <c r="E117">
        <v>2016</v>
      </c>
      <c r="F117">
        <v>0</v>
      </c>
      <c r="G117">
        <v>0</v>
      </c>
      <c r="H117">
        <v>783</v>
      </c>
      <c r="I117">
        <v>17</v>
      </c>
      <c r="J117">
        <v>0</v>
      </c>
    </row>
    <row r="118" spans="1:10" x14ac:dyDescent="0.25">
      <c r="A118">
        <v>22211</v>
      </c>
      <c r="B118" t="s">
        <v>3212</v>
      </c>
      <c r="C118" t="s">
        <v>3224</v>
      </c>
      <c r="D118" t="s">
        <v>90</v>
      </c>
      <c r="E118">
        <v>2003</v>
      </c>
      <c r="F118">
        <v>0</v>
      </c>
      <c r="G118">
        <v>0</v>
      </c>
      <c r="H118">
        <v>15068</v>
      </c>
      <c r="I118">
        <v>242</v>
      </c>
      <c r="J118">
        <v>0</v>
      </c>
    </row>
    <row r="119" spans="1:10" x14ac:dyDescent="0.25">
      <c r="A119">
        <v>52171</v>
      </c>
      <c r="B119" t="s">
        <v>3214</v>
      </c>
      <c r="C119" t="s">
        <v>3221</v>
      </c>
      <c r="D119" t="s">
        <v>1040</v>
      </c>
      <c r="E119">
        <v>1964</v>
      </c>
      <c r="F119">
        <v>0</v>
      </c>
      <c r="G119">
        <v>0</v>
      </c>
      <c r="H119">
        <v>1606</v>
      </c>
      <c r="I119">
        <v>25</v>
      </c>
      <c r="J119">
        <v>0</v>
      </c>
    </row>
    <row r="120" spans="1:10" x14ac:dyDescent="0.25">
      <c r="A120">
        <v>35237</v>
      </c>
      <c r="B120" t="s">
        <v>3217</v>
      </c>
      <c r="C120" t="s">
        <v>3217</v>
      </c>
      <c r="D120" t="s">
        <v>783</v>
      </c>
      <c r="E120">
        <v>1941</v>
      </c>
      <c r="F120">
        <v>0</v>
      </c>
      <c r="G120">
        <v>0</v>
      </c>
      <c r="H120">
        <v>1136</v>
      </c>
      <c r="I120">
        <v>4</v>
      </c>
      <c r="J120">
        <v>0</v>
      </c>
    </row>
    <row r="121" spans="1:10" x14ac:dyDescent="0.25">
      <c r="A121">
        <v>37311</v>
      </c>
      <c r="B121" t="s">
        <v>3215</v>
      </c>
      <c r="C121" t="s">
        <v>3228</v>
      </c>
      <c r="D121" t="s">
        <v>2910</v>
      </c>
      <c r="E121">
        <v>1940</v>
      </c>
      <c r="F121">
        <v>0</v>
      </c>
      <c r="G121">
        <v>0</v>
      </c>
      <c r="H121">
        <v>4330</v>
      </c>
      <c r="I121">
        <v>17</v>
      </c>
      <c r="J121">
        <v>0</v>
      </c>
    </row>
    <row r="122" spans="1:10" x14ac:dyDescent="0.25">
      <c r="A122">
        <v>35129</v>
      </c>
      <c r="B122" t="s">
        <v>3217</v>
      </c>
      <c r="C122" t="s">
        <v>3217</v>
      </c>
      <c r="D122" t="s">
        <v>733</v>
      </c>
      <c r="E122">
        <v>1935</v>
      </c>
      <c r="F122">
        <v>0</v>
      </c>
      <c r="G122">
        <v>0</v>
      </c>
      <c r="H122">
        <v>4783</v>
      </c>
      <c r="I122">
        <v>38</v>
      </c>
      <c r="J122">
        <v>0</v>
      </c>
    </row>
    <row r="123" spans="1:10" x14ac:dyDescent="0.25">
      <c r="A123">
        <v>52234</v>
      </c>
      <c r="B123" t="s">
        <v>3214</v>
      </c>
      <c r="C123" t="s">
        <v>3221</v>
      </c>
      <c r="D123" t="s">
        <v>1050</v>
      </c>
      <c r="E123">
        <v>1933</v>
      </c>
      <c r="F123">
        <v>0</v>
      </c>
      <c r="G123">
        <v>0</v>
      </c>
      <c r="H123">
        <v>441</v>
      </c>
      <c r="I123">
        <v>35</v>
      </c>
      <c r="J123">
        <v>0</v>
      </c>
    </row>
    <row r="124" spans="1:10" x14ac:dyDescent="0.25">
      <c r="A124">
        <v>33271</v>
      </c>
      <c r="B124" t="s">
        <v>3215</v>
      </c>
      <c r="C124" t="s">
        <v>597</v>
      </c>
      <c r="D124" t="s">
        <v>643</v>
      </c>
      <c r="E124">
        <v>1929</v>
      </c>
      <c r="F124">
        <v>0</v>
      </c>
      <c r="G124">
        <v>0</v>
      </c>
      <c r="H124">
        <v>3396</v>
      </c>
      <c r="I124">
        <v>8</v>
      </c>
      <c r="J124">
        <v>0</v>
      </c>
    </row>
    <row r="125" spans="1:10" x14ac:dyDescent="0.25">
      <c r="A125">
        <v>31156</v>
      </c>
      <c r="B125" t="s">
        <v>3215</v>
      </c>
      <c r="C125" t="s">
        <v>3225</v>
      </c>
      <c r="D125" t="s">
        <v>546</v>
      </c>
      <c r="E125">
        <v>1922</v>
      </c>
      <c r="F125">
        <v>207</v>
      </c>
      <c r="G125">
        <v>0</v>
      </c>
      <c r="H125">
        <v>3023</v>
      </c>
      <c r="I125">
        <v>26</v>
      </c>
      <c r="J125">
        <v>6.8475024809791604E-2</v>
      </c>
    </row>
    <row r="126" spans="1:10" x14ac:dyDescent="0.25">
      <c r="A126">
        <v>35417</v>
      </c>
      <c r="B126" t="s">
        <v>3217</v>
      </c>
      <c r="C126" t="s">
        <v>3217</v>
      </c>
      <c r="D126" t="s">
        <v>844</v>
      </c>
      <c r="E126">
        <v>1898</v>
      </c>
      <c r="F126">
        <v>0</v>
      </c>
      <c r="G126">
        <v>0</v>
      </c>
      <c r="H126">
        <v>855</v>
      </c>
      <c r="I126">
        <v>3</v>
      </c>
      <c r="J126">
        <v>0</v>
      </c>
    </row>
    <row r="127" spans="1:10" x14ac:dyDescent="0.25">
      <c r="A127">
        <v>35271</v>
      </c>
      <c r="B127" t="s">
        <v>3217</v>
      </c>
      <c r="C127" t="s">
        <v>3217</v>
      </c>
      <c r="D127" t="s">
        <v>2892</v>
      </c>
      <c r="E127">
        <v>1884</v>
      </c>
      <c r="F127">
        <v>0</v>
      </c>
      <c r="G127">
        <v>0</v>
      </c>
      <c r="H127">
        <v>1120</v>
      </c>
      <c r="J127">
        <v>0</v>
      </c>
    </row>
    <row r="128" spans="1:10" x14ac:dyDescent="0.25">
      <c r="A128">
        <v>51224</v>
      </c>
      <c r="B128" t="s">
        <v>3214</v>
      </c>
      <c r="C128" t="s">
        <v>3045</v>
      </c>
      <c r="D128" t="s">
        <v>994</v>
      </c>
      <c r="E128">
        <v>1883</v>
      </c>
      <c r="F128">
        <v>0</v>
      </c>
      <c r="G128">
        <v>0</v>
      </c>
      <c r="H128">
        <v>4928</v>
      </c>
      <c r="I128">
        <v>80</v>
      </c>
      <c r="J128">
        <v>0</v>
      </c>
    </row>
    <row r="129" spans="1:10" x14ac:dyDescent="0.25">
      <c r="A129">
        <v>26141</v>
      </c>
      <c r="B129" t="s">
        <v>3212</v>
      </c>
      <c r="C129" t="s">
        <v>3227</v>
      </c>
      <c r="D129" t="s">
        <v>443</v>
      </c>
      <c r="E129">
        <v>1881</v>
      </c>
      <c r="F129">
        <v>0</v>
      </c>
      <c r="G129">
        <v>0</v>
      </c>
      <c r="H129">
        <v>19297</v>
      </c>
      <c r="I129">
        <v>435</v>
      </c>
      <c r="J129">
        <v>0</v>
      </c>
    </row>
    <row r="130" spans="1:10" x14ac:dyDescent="0.25">
      <c r="A130">
        <v>53439</v>
      </c>
      <c r="B130" t="s">
        <v>3216</v>
      </c>
      <c r="C130" t="s">
        <v>1069</v>
      </c>
      <c r="D130" t="s">
        <v>1133</v>
      </c>
      <c r="E130">
        <v>1851</v>
      </c>
      <c r="F130">
        <v>0</v>
      </c>
      <c r="G130">
        <v>0</v>
      </c>
      <c r="H130">
        <v>1350</v>
      </c>
      <c r="I130">
        <v>32</v>
      </c>
      <c r="J130">
        <v>0</v>
      </c>
    </row>
    <row r="131" spans="1:10" x14ac:dyDescent="0.25">
      <c r="A131">
        <v>53443</v>
      </c>
      <c r="B131" t="s">
        <v>3216</v>
      </c>
      <c r="C131" t="s">
        <v>1069</v>
      </c>
      <c r="D131" t="s">
        <v>1135</v>
      </c>
      <c r="E131">
        <v>1791</v>
      </c>
      <c r="F131">
        <v>0</v>
      </c>
      <c r="G131">
        <v>0</v>
      </c>
      <c r="H131">
        <v>2428</v>
      </c>
      <c r="I131">
        <v>10</v>
      </c>
      <c r="J131">
        <v>0</v>
      </c>
    </row>
    <row r="132" spans="1:10" x14ac:dyDescent="0.25">
      <c r="A132">
        <v>31116</v>
      </c>
      <c r="B132" t="s">
        <v>3215</v>
      </c>
      <c r="C132" t="s">
        <v>3225</v>
      </c>
      <c r="D132" t="s">
        <v>538</v>
      </c>
      <c r="E132">
        <v>1774</v>
      </c>
      <c r="F132">
        <v>208</v>
      </c>
      <c r="G132">
        <v>0</v>
      </c>
      <c r="H132">
        <v>39544</v>
      </c>
      <c r="I132">
        <v>213</v>
      </c>
      <c r="J132">
        <v>5.259963584867489E-3</v>
      </c>
    </row>
    <row r="133" spans="1:10" x14ac:dyDescent="0.25">
      <c r="A133">
        <v>62241</v>
      </c>
      <c r="B133" t="s">
        <v>3213</v>
      </c>
      <c r="C133" t="s">
        <v>1267</v>
      </c>
      <c r="D133" t="s">
        <v>1290</v>
      </c>
      <c r="E133">
        <v>1738</v>
      </c>
      <c r="F133">
        <v>0</v>
      </c>
      <c r="G133">
        <v>0</v>
      </c>
      <c r="H133">
        <v>1948</v>
      </c>
      <c r="I133">
        <v>60</v>
      </c>
      <c r="J133">
        <v>0</v>
      </c>
    </row>
    <row r="134" spans="1:10" x14ac:dyDescent="0.25">
      <c r="A134">
        <v>35213</v>
      </c>
      <c r="B134" t="s">
        <v>3217</v>
      </c>
      <c r="C134" t="s">
        <v>3217</v>
      </c>
      <c r="D134" t="s">
        <v>768</v>
      </c>
      <c r="E134">
        <v>1728</v>
      </c>
      <c r="F134">
        <v>0</v>
      </c>
      <c r="G134">
        <v>0</v>
      </c>
      <c r="H134">
        <v>522</v>
      </c>
      <c r="I134">
        <v>5</v>
      </c>
      <c r="J134">
        <v>0</v>
      </c>
    </row>
    <row r="135" spans="1:10" x14ac:dyDescent="0.25">
      <c r="A135">
        <v>35514</v>
      </c>
      <c r="B135" t="s">
        <v>3217</v>
      </c>
      <c r="C135" t="s">
        <v>3217</v>
      </c>
      <c r="D135" t="s">
        <v>883</v>
      </c>
      <c r="E135">
        <v>1724</v>
      </c>
      <c r="F135">
        <v>0</v>
      </c>
      <c r="G135">
        <v>0</v>
      </c>
      <c r="H135">
        <v>477</v>
      </c>
      <c r="J135">
        <v>0</v>
      </c>
    </row>
    <row r="136" spans="1:10" x14ac:dyDescent="0.25">
      <c r="A136">
        <v>51163</v>
      </c>
      <c r="B136" t="s">
        <v>3214</v>
      </c>
      <c r="C136" t="s">
        <v>3045</v>
      </c>
      <c r="D136" t="s">
        <v>984</v>
      </c>
      <c r="E136">
        <v>1724</v>
      </c>
      <c r="F136">
        <v>0</v>
      </c>
      <c r="G136">
        <v>0</v>
      </c>
      <c r="H136">
        <v>3662</v>
      </c>
      <c r="I136">
        <v>35</v>
      </c>
      <c r="J136">
        <v>0</v>
      </c>
    </row>
    <row r="137" spans="1:10" x14ac:dyDescent="0.25">
      <c r="A137">
        <v>61444</v>
      </c>
      <c r="B137" t="s">
        <v>3213</v>
      </c>
      <c r="C137" t="s">
        <v>3039</v>
      </c>
      <c r="D137" t="s">
        <v>2973</v>
      </c>
      <c r="E137">
        <v>1711</v>
      </c>
      <c r="F137">
        <v>0</v>
      </c>
      <c r="G137">
        <v>0</v>
      </c>
      <c r="H137">
        <v>2894</v>
      </c>
      <c r="I137">
        <v>244</v>
      </c>
      <c r="J137">
        <v>0</v>
      </c>
    </row>
    <row r="138" spans="1:10" x14ac:dyDescent="0.25">
      <c r="A138">
        <v>61419</v>
      </c>
      <c r="B138" t="s">
        <v>3213</v>
      </c>
      <c r="C138" t="s">
        <v>3039</v>
      </c>
      <c r="D138" t="s">
        <v>1218</v>
      </c>
      <c r="E138">
        <v>1705</v>
      </c>
      <c r="F138">
        <v>0</v>
      </c>
      <c r="G138">
        <v>0</v>
      </c>
      <c r="H138">
        <v>3233</v>
      </c>
      <c r="I138">
        <v>120</v>
      </c>
      <c r="J138">
        <v>0</v>
      </c>
    </row>
    <row r="139" spans="1:10" x14ac:dyDescent="0.25">
      <c r="A139">
        <v>21211</v>
      </c>
      <c r="B139" t="s">
        <v>3212</v>
      </c>
      <c r="C139" t="s">
        <v>36</v>
      </c>
      <c r="D139" t="s">
        <v>36</v>
      </c>
      <c r="E139">
        <v>1689</v>
      </c>
      <c r="F139">
        <v>0</v>
      </c>
      <c r="G139">
        <v>23</v>
      </c>
      <c r="H139">
        <v>23842</v>
      </c>
      <c r="I139">
        <v>3828</v>
      </c>
      <c r="J139">
        <v>9.6468417079104097E-4</v>
      </c>
    </row>
    <row r="140" spans="1:10" x14ac:dyDescent="0.25">
      <c r="A140">
        <v>25126</v>
      </c>
      <c r="B140" t="s">
        <v>3212</v>
      </c>
      <c r="C140" t="s">
        <v>3229</v>
      </c>
      <c r="D140" t="s">
        <v>363</v>
      </c>
      <c r="E140">
        <v>1680</v>
      </c>
      <c r="F140">
        <v>0</v>
      </c>
      <c r="G140">
        <v>0</v>
      </c>
      <c r="H140">
        <v>23787</v>
      </c>
      <c r="I140">
        <v>2255</v>
      </c>
      <c r="J140">
        <v>0</v>
      </c>
    </row>
    <row r="141" spans="1:10" x14ac:dyDescent="0.25">
      <c r="A141">
        <v>53147</v>
      </c>
      <c r="B141" t="s">
        <v>3216</v>
      </c>
      <c r="C141" t="s">
        <v>1069</v>
      </c>
      <c r="D141" t="s">
        <v>1078</v>
      </c>
      <c r="E141">
        <v>1676</v>
      </c>
      <c r="F141">
        <v>0</v>
      </c>
      <c r="G141">
        <v>0</v>
      </c>
      <c r="H141">
        <v>767</v>
      </c>
      <c r="I141">
        <v>10</v>
      </c>
      <c r="J141">
        <v>0</v>
      </c>
    </row>
    <row r="142" spans="1:10" x14ac:dyDescent="0.25">
      <c r="A142">
        <v>53127</v>
      </c>
      <c r="B142" t="s">
        <v>3216</v>
      </c>
      <c r="C142" t="s">
        <v>1069</v>
      </c>
      <c r="D142" t="s">
        <v>1073</v>
      </c>
      <c r="E142">
        <v>1617</v>
      </c>
      <c r="F142">
        <v>0</v>
      </c>
      <c r="G142">
        <v>0</v>
      </c>
      <c r="H142">
        <v>44</v>
      </c>
      <c r="J142">
        <v>0</v>
      </c>
    </row>
    <row r="143" spans="1:10" x14ac:dyDescent="0.25">
      <c r="A143">
        <v>22411</v>
      </c>
      <c r="B143" t="s">
        <v>3212</v>
      </c>
      <c r="C143" t="s">
        <v>3224</v>
      </c>
      <c r="D143" t="s">
        <v>106</v>
      </c>
      <c r="E143">
        <v>1609</v>
      </c>
      <c r="F143">
        <v>0</v>
      </c>
      <c r="G143">
        <v>0</v>
      </c>
      <c r="H143">
        <v>10156</v>
      </c>
      <c r="I143">
        <v>1031</v>
      </c>
      <c r="J143">
        <v>0</v>
      </c>
    </row>
    <row r="144" spans="1:10" x14ac:dyDescent="0.25">
      <c r="A144">
        <v>52264</v>
      </c>
      <c r="B144" t="s">
        <v>3214</v>
      </c>
      <c r="C144" t="s">
        <v>3221</v>
      </c>
      <c r="D144" t="s">
        <v>1059</v>
      </c>
      <c r="E144">
        <v>1605</v>
      </c>
      <c r="F144">
        <v>0</v>
      </c>
      <c r="G144">
        <v>0</v>
      </c>
      <c r="H144">
        <v>3491</v>
      </c>
      <c r="I144">
        <v>8</v>
      </c>
      <c r="J144">
        <v>0</v>
      </c>
    </row>
    <row r="145" spans="1:10" x14ac:dyDescent="0.25">
      <c r="A145">
        <v>32185</v>
      </c>
      <c r="B145" t="s">
        <v>3215</v>
      </c>
      <c r="C145" t="s">
        <v>3223</v>
      </c>
      <c r="D145" t="s">
        <v>591</v>
      </c>
      <c r="E145">
        <v>1578</v>
      </c>
      <c r="F145">
        <v>0</v>
      </c>
      <c r="G145">
        <v>0</v>
      </c>
      <c r="H145">
        <v>6106</v>
      </c>
      <c r="I145">
        <v>166</v>
      </c>
      <c r="J145">
        <v>0</v>
      </c>
    </row>
    <row r="146" spans="1:10" x14ac:dyDescent="0.25">
      <c r="A146">
        <v>23321</v>
      </c>
      <c r="B146" t="s">
        <v>3212</v>
      </c>
      <c r="C146" t="s">
        <v>3220</v>
      </c>
      <c r="D146" t="s">
        <v>213</v>
      </c>
      <c r="E146">
        <v>1576</v>
      </c>
      <c r="F146">
        <v>513</v>
      </c>
      <c r="G146">
        <v>0</v>
      </c>
      <c r="H146">
        <v>3244</v>
      </c>
      <c r="I146">
        <v>107</v>
      </c>
      <c r="J146">
        <v>0.15813810110974105</v>
      </c>
    </row>
    <row r="147" spans="1:10" x14ac:dyDescent="0.25">
      <c r="A147">
        <v>31121</v>
      </c>
      <c r="B147" t="s">
        <v>3215</v>
      </c>
      <c r="C147" t="s">
        <v>3225</v>
      </c>
      <c r="D147" t="s">
        <v>539</v>
      </c>
      <c r="E147">
        <v>1559</v>
      </c>
      <c r="F147">
        <v>208</v>
      </c>
      <c r="G147">
        <v>0</v>
      </c>
      <c r="H147">
        <v>43610</v>
      </c>
      <c r="I147">
        <v>225</v>
      </c>
      <c r="J147">
        <v>4.7695482687457004E-3</v>
      </c>
    </row>
    <row r="148" spans="1:10" x14ac:dyDescent="0.25">
      <c r="A148">
        <v>53415</v>
      </c>
      <c r="B148" t="s">
        <v>3216</v>
      </c>
      <c r="C148" t="s">
        <v>1069</v>
      </c>
      <c r="D148" t="s">
        <v>1121</v>
      </c>
      <c r="E148">
        <v>1546</v>
      </c>
      <c r="F148">
        <v>0</v>
      </c>
      <c r="G148">
        <v>0</v>
      </c>
      <c r="H148">
        <v>2834</v>
      </c>
      <c r="I148">
        <v>30</v>
      </c>
      <c r="J148">
        <v>0</v>
      </c>
    </row>
    <row r="149" spans="1:10" x14ac:dyDescent="0.25">
      <c r="A149">
        <v>51217</v>
      </c>
      <c r="B149" t="s">
        <v>3214</v>
      </c>
      <c r="C149" t="s">
        <v>3045</v>
      </c>
      <c r="D149" t="s">
        <v>2935</v>
      </c>
      <c r="E149">
        <v>1499</v>
      </c>
      <c r="F149">
        <v>0</v>
      </c>
      <c r="G149">
        <v>0</v>
      </c>
      <c r="H149">
        <v>1838</v>
      </c>
      <c r="I149">
        <v>30</v>
      </c>
      <c r="J149">
        <v>0</v>
      </c>
    </row>
    <row r="150" spans="1:10" x14ac:dyDescent="0.25">
      <c r="A150">
        <v>23623</v>
      </c>
      <c r="B150" t="s">
        <v>3212</v>
      </c>
      <c r="C150" t="s">
        <v>3220</v>
      </c>
      <c r="D150" t="s">
        <v>270</v>
      </c>
      <c r="E150">
        <v>1498</v>
      </c>
      <c r="F150">
        <v>0</v>
      </c>
      <c r="G150">
        <v>0</v>
      </c>
      <c r="H150">
        <v>6279</v>
      </c>
      <c r="I150">
        <v>365</v>
      </c>
      <c r="J150">
        <v>0</v>
      </c>
    </row>
    <row r="151" spans="1:10" x14ac:dyDescent="0.25">
      <c r="A151">
        <v>71155</v>
      </c>
      <c r="B151" t="s">
        <v>3218</v>
      </c>
      <c r="C151" t="s">
        <v>3218</v>
      </c>
      <c r="D151" t="s">
        <v>1425</v>
      </c>
      <c r="E151">
        <v>1481</v>
      </c>
      <c r="F151">
        <v>0</v>
      </c>
      <c r="G151">
        <v>0</v>
      </c>
      <c r="H151">
        <v>10943</v>
      </c>
      <c r="I151">
        <v>58</v>
      </c>
      <c r="J151">
        <v>0</v>
      </c>
    </row>
    <row r="152" spans="1:10" x14ac:dyDescent="0.25">
      <c r="A152">
        <v>71324</v>
      </c>
      <c r="B152" t="s">
        <v>3218</v>
      </c>
      <c r="C152" t="s">
        <v>3218</v>
      </c>
      <c r="D152" t="s">
        <v>1446</v>
      </c>
      <c r="E152">
        <v>1465</v>
      </c>
      <c r="F152">
        <v>0</v>
      </c>
      <c r="G152">
        <v>0</v>
      </c>
      <c r="H152">
        <v>2163</v>
      </c>
      <c r="I152">
        <v>113</v>
      </c>
      <c r="J152">
        <v>0</v>
      </c>
    </row>
    <row r="153" spans="1:10" x14ac:dyDescent="0.25">
      <c r="A153">
        <v>35234</v>
      </c>
      <c r="B153" t="s">
        <v>3217</v>
      </c>
      <c r="C153" t="s">
        <v>3217</v>
      </c>
      <c r="D153" t="s">
        <v>781</v>
      </c>
      <c r="E153">
        <v>1457</v>
      </c>
      <c r="F153">
        <v>0</v>
      </c>
      <c r="G153">
        <v>0</v>
      </c>
      <c r="H153">
        <v>280</v>
      </c>
      <c r="J153">
        <v>0</v>
      </c>
    </row>
    <row r="154" spans="1:10" x14ac:dyDescent="0.25">
      <c r="A154">
        <v>61159</v>
      </c>
      <c r="B154" t="s">
        <v>3213</v>
      </c>
      <c r="C154" t="s">
        <v>3039</v>
      </c>
      <c r="D154" t="s">
        <v>1196</v>
      </c>
      <c r="E154">
        <v>1447</v>
      </c>
      <c r="F154">
        <v>539</v>
      </c>
      <c r="G154">
        <v>0</v>
      </c>
      <c r="H154">
        <v>12374</v>
      </c>
      <c r="I154">
        <v>362</v>
      </c>
      <c r="J154">
        <v>4.3559075480846934E-2</v>
      </c>
    </row>
    <row r="155" spans="1:10" x14ac:dyDescent="0.25">
      <c r="A155">
        <v>32179</v>
      </c>
      <c r="B155" t="s">
        <v>3215</v>
      </c>
      <c r="C155" t="s">
        <v>3223</v>
      </c>
      <c r="D155" t="s">
        <v>2879</v>
      </c>
      <c r="E155">
        <v>1446</v>
      </c>
      <c r="F155">
        <v>0</v>
      </c>
      <c r="G155">
        <v>0</v>
      </c>
      <c r="H155">
        <v>5113</v>
      </c>
      <c r="I155">
        <v>35</v>
      </c>
      <c r="J155">
        <v>0</v>
      </c>
    </row>
    <row r="156" spans="1:10" x14ac:dyDescent="0.25">
      <c r="A156">
        <v>71133</v>
      </c>
      <c r="B156" t="s">
        <v>3218</v>
      </c>
      <c r="C156" t="s">
        <v>3218</v>
      </c>
      <c r="D156" t="s">
        <v>1423</v>
      </c>
      <c r="E156">
        <v>1418</v>
      </c>
      <c r="F156">
        <v>783</v>
      </c>
      <c r="G156">
        <v>0</v>
      </c>
      <c r="H156">
        <v>5467</v>
      </c>
      <c r="I156">
        <v>158</v>
      </c>
      <c r="J156">
        <v>0.14322297420888971</v>
      </c>
    </row>
    <row r="157" spans="1:10" x14ac:dyDescent="0.25">
      <c r="A157">
        <v>62243</v>
      </c>
      <c r="B157" t="s">
        <v>3213</v>
      </c>
      <c r="C157" t="s">
        <v>1267</v>
      </c>
      <c r="D157" t="s">
        <v>1292</v>
      </c>
      <c r="E157">
        <v>1413</v>
      </c>
      <c r="F157">
        <v>261</v>
      </c>
      <c r="G157">
        <v>0</v>
      </c>
      <c r="H157">
        <v>3917</v>
      </c>
      <c r="I157">
        <v>150</v>
      </c>
      <c r="J157">
        <v>6.6632627010467196E-2</v>
      </c>
    </row>
    <row r="158" spans="1:10" x14ac:dyDescent="0.25">
      <c r="A158">
        <v>32181</v>
      </c>
      <c r="B158" t="s">
        <v>3215</v>
      </c>
      <c r="C158" t="s">
        <v>3223</v>
      </c>
      <c r="D158" t="s">
        <v>2880</v>
      </c>
      <c r="E158">
        <v>1396</v>
      </c>
      <c r="F158">
        <v>0</v>
      </c>
      <c r="G158">
        <v>0</v>
      </c>
      <c r="H158">
        <v>7141</v>
      </c>
      <c r="I158">
        <v>144</v>
      </c>
      <c r="J158">
        <v>0</v>
      </c>
    </row>
    <row r="159" spans="1:10" x14ac:dyDescent="0.25">
      <c r="A159">
        <v>52237</v>
      </c>
      <c r="B159" t="s">
        <v>3214</v>
      </c>
      <c r="C159" t="s">
        <v>3221</v>
      </c>
      <c r="D159" t="s">
        <v>1051</v>
      </c>
      <c r="E159">
        <v>1393</v>
      </c>
      <c r="F159">
        <v>338</v>
      </c>
      <c r="G159">
        <v>716</v>
      </c>
      <c r="H159">
        <v>4338</v>
      </c>
      <c r="I159">
        <v>294</v>
      </c>
      <c r="J159">
        <v>0.2429691101890272</v>
      </c>
    </row>
    <row r="160" spans="1:10" x14ac:dyDescent="0.25">
      <c r="A160">
        <v>35439</v>
      </c>
      <c r="B160" t="s">
        <v>3217</v>
      </c>
      <c r="C160" t="s">
        <v>3217</v>
      </c>
      <c r="D160" t="s">
        <v>858</v>
      </c>
      <c r="E160">
        <v>1382</v>
      </c>
      <c r="F160">
        <v>0</v>
      </c>
      <c r="G160">
        <v>0</v>
      </c>
      <c r="H160">
        <v>1195</v>
      </c>
      <c r="I160">
        <v>6</v>
      </c>
      <c r="J160">
        <v>0</v>
      </c>
    </row>
    <row r="161" spans="1:10" x14ac:dyDescent="0.25">
      <c r="A161">
        <v>21411</v>
      </c>
      <c r="B161" t="s">
        <v>3212</v>
      </c>
      <c r="C161" t="s">
        <v>36</v>
      </c>
      <c r="D161" t="s">
        <v>71</v>
      </c>
      <c r="E161">
        <v>1369</v>
      </c>
      <c r="F161">
        <v>0</v>
      </c>
      <c r="G161">
        <v>0</v>
      </c>
      <c r="H161">
        <v>2130</v>
      </c>
      <c r="I161">
        <v>81</v>
      </c>
      <c r="J161">
        <v>0</v>
      </c>
    </row>
    <row r="162" spans="1:10" x14ac:dyDescent="0.25">
      <c r="A162">
        <v>35459</v>
      </c>
      <c r="B162" t="s">
        <v>3217</v>
      </c>
      <c r="C162" t="s">
        <v>3217</v>
      </c>
      <c r="D162" t="s">
        <v>868</v>
      </c>
      <c r="E162">
        <v>1361</v>
      </c>
      <c r="F162">
        <v>0</v>
      </c>
      <c r="G162">
        <v>0</v>
      </c>
      <c r="H162">
        <v>1695</v>
      </c>
      <c r="I162">
        <v>3</v>
      </c>
      <c r="J162">
        <v>0</v>
      </c>
    </row>
    <row r="163" spans="1:10" x14ac:dyDescent="0.25">
      <c r="A163">
        <v>31166</v>
      </c>
      <c r="B163" t="s">
        <v>3215</v>
      </c>
      <c r="C163" t="s">
        <v>3225</v>
      </c>
      <c r="D163" t="s">
        <v>548</v>
      </c>
      <c r="E163">
        <v>1359</v>
      </c>
      <c r="F163">
        <v>207</v>
      </c>
      <c r="G163">
        <v>545</v>
      </c>
      <c r="H163">
        <v>1681</v>
      </c>
      <c r="I163">
        <v>966</v>
      </c>
      <c r="J163">
        <v>0.44735276621058895</v>
      </c>
    </row>
    <row r="164" spans="1:10" x14ac:dyDescent="0.25">
      <c r="A164">
        <v>71361</v>
      </c>
      <c r="B164" t="s">
        <v>3218</v>
      </c>
      <c r="C164" t="s">
        <v>3218</v>
      </c>
      <c r="D164" t="s">
        <v>1457</v>
      </c>
      <c r="E164">
        <v>1354</v>
      </c>
      <c r="F164">
        <v>783</v>
      </c>
      <c r="G164">
        <v>0</v>
      </c>
      <c r="H164">
        <v>10020</v>
      </c>
      <c r="I164">
        <v>181</v>
      </c>
      <c r="J164">
        <v>7.8143712574850296E-2</v>
      </c>
    </row>
    <row r="165" spans="1:10" x14ac:dyDescent="0.25">
      <c r="A165">
        <v>35191</v>
      </c>
      <c r="B165" t="s">
        <v>3217</v>
      </c>
      <c r="C165" t="s">
        <v>3217</v>
      </c>
      <c r="D165" t="s">
        <v>766</v>
      </c>
      <c r="E165">
        <v>1344</v>
      </c>
      <c r="F165">
        <v>0</v>
      </c>
      <c r="G165">
        <v>0</v>
      </c>
      <c r="H165">
        <v>8788</v>
      </c>
      <c r="I165">
        <v>15</v>
      </c>
      <c r="J165">
        <v>0</v>
      </c>
    </row>
    <row r="166" spans="1:10" x14ac:dyDescent="0.25">
      <c r="A166">
        <v>53435</v>
      </c>
      <c r="B166" t="s">
        <v>3216</v>
      </c>
      <c r="C166" t="s">
        <v>1069</v>
      </c>
      <c r="D166" t="s">
        <v>1131</v>
      </c>
      <c r="E166">
        <v>1334</v>
      </c>
      <c r="F166">
        <v>0</v>
      </c>
      <c r="G166">
        <v>0</v>
      </c>
      <c r="H166">
        <v>3433</v>
      </c>
      <c r="I166">
        <v>25</v>
      </c>
      <c r="J166">
        <v>0</v>
      </c>
    </row>
    <row r="167" spans="1:10" x14ac:dyDescent="0.25">
      <c r="A167">
        <v>35515</v>
      </c>
      <c r="B167" t="s">
        <v>3217</v>
      </c>
      <c r="C167" t="s">
        <v>3217</v>
      </c>
      <c r="D167" t="s">
        <v>884</v>
      </c>
      <c r="E167">
        <v>1318</v>
      </c>
      <c r="F167">
        <v>0</v>
      </c>
      <c r="G167">
        <v>0</v>
      </c>
      <c r="H167">
        <v>485</v>
      </c>
      <c r="J167">
        <v>0</v>
      </c>
    </row>
    <row r="168" spans="1:10" x14ac:dyDescent="0.25">
      <c r="A168">
        <v>53413</v>
      </c>
      <c r="B168" t="s">
        <v>3216</v>
      </c>
      <c r="C168" t="s">
        <v>1069</v>
      </c>
      <c r="D168" t="s">
        <v>1120</v>
      </c>
      <c r="E168">
        <v>1309</v>
      </c>
      <c r="F168">
        <v>0</v>
      </c>
      <c r="G168">
        <v>0</v>
      </c>
      <c r="H168">
        <v>2950</v>
      </c>
      <c r="I168">
        <v>110</v>
      </c>
      <c r="J168">
        <v>0</v>
      </c>
    </row>
    <row r="169" spans="1:10" x14ac:dyDescent="0.25">
      <c r="A169">
        <v>24337</v>
      </c>
      <c r="B169" t="s">
        <v>3212</v>
      </c>
      <c r="C169" t="s">
        <v>1808</v>
      </c>
      <c r="D169" t="s">
        <v>315</v>
      </c>
      <c r="E169">
        <v>1294</v>
      </c>
      <c r="F169">
        <v>0</v>
      </c>
      <c r="G169">
        <v>0</v>
      </c>
      <c r="H169">
        <v>2038</v>
      </c>
      <c r="I169">
        <v>24</v>
      </c>
      <c r="J169">
        <v>0</v>
      </c>
    </row>
    <row r="170" spans="1:10" x14ac:dyDescent="0.25">
      <c r="A170">
        <v>25111</v>
      </c>
      <c r="B170" t="s">
        <v>3212</v>
      </c>
      <c r="C170" t="s">
        <v>3229</v>
      </c>
      <c r="D170" t="s">
        <v>2856</v>
      </c>
      <c r="E170">
        <v>1264</v>
      </c>
      <c r="F170">
        <v>126</v>
      </c>
      <c r="G170">
        <v>82</v>
      </c>
      <c r="H170">
        <v>20973</v>
      </c>
      <c r="I170">
        <v>1488</v>
      </c>
      <c r="J170">
        <v>9.9175129928956284E-3</v>
      </c>
    </row>
    <row r="171" spans="1:10" x14ac:dyDescent="0.25">
      <c r="A171">
        <v>23511</v>
      </c>
      <c r="B171" t="s">
        <v>3212</v>
      </c>
      <c r="C171" t="s">
        <v>3220</v>
      </c>
      <c r="D171" t="s">
        <v>259</v>
      </c>
      <c r="E171">
        <v>1258</v>
      </c>
      <c r="F171">
        <v>0</v>
      </c>
      <c r="G171">
        <v>0</v>
      </c>
      <c r="H171">
        <v>9843</v>
      </c>
      <c r="I171">
        <v>489</v>
      </c>
      <c r="J171">
        <v>0</v>
      </c>
    </row>
    <row r="172" spans="1:10" x14ac:dyDescent="0.25">
      <c r="A172">
        <v>35137</v>
      </c>
      <c r="B172" t="s">
        <v>3217</v>
      </c>
      <c r="C172" t="s">
        <v>3217</v>
      </c>
      <c r="D172" t="s">
        <v>738</v>
      </c>
      <c r="E172">
        <v>1256</v>
      </c>
      <c r="F172">
        <v>0</v>
      </c>
      <c r="G172">
        <v>0</v>
      </c>
      <c r="H172">
        <v>4117</v>
      </c>
      <c r="I172">
        <v>10</v>
      </c>
      <c r="J172">
        <v>0</v>
      </c>
    </row>
    <row r="173" spans="1:10" x14ac:dyDescent="0.25">
      <c r="A173">
        <v>37391</v>
      </c>
      <c r="B173" t="s">
        <v>3215</v>
      </c>
      <c r="C173" t="s">
        <v>3228</v>
      </c>
      <c r="D173" t="s">
        <v>965</v>
      </c>
      <c r="E173">
        <v>1228</v>
      </c>
      <c r="F173">
        <v>0</v>
      </c>
      <c r="G173">
        <v>0</v>
      </c>
      <c r="H173">
        <v>9135</v>
      </c>
      <c r="I173">
        <v>109</v>
      </c>
      <c r="J173">
        <v>0</v>
      </c>
    </row>
    <row r="174" spans="1:10" x14ac:dyDescent="0.25">
      <c r="A174">
        <v>26171</v>
      </c>
      <c r="B174" t="s">
        <v>3212</v>
      </c>
      <c r="C174" t="s">
        <v>3227</v>
      </c>
      <c r="D174" t="s">
        <v>448</v>
      </c>
      <c r="E174">
        <v>1224</v>
      </c>
      <c r="F174">
        <v>0</v>
      </c>
      <c r="G174">
        <v>0</v>
      </c>
      <c r="H174">
        <v>3572</v>
      </c>
      <c r="I174">
        <v>272</v>
      </c>
      <c r="J174">
        <v>0</v>
      </c>
    </row>
    <row r="175" spans="1:10" x14ac:dyDescent="0.25">
      <c r="A175">
        <v>61434</v>
      </c>
      <c r="B175" t="s">
        <v>3213</v>
      </c>
      <c r="C175" t="s">
        <v>3039</v>
      </c>
      <c r="D175" t="s">
        <v>1227</v>
      </c>
      <c r="E175">
        <v>1207</v>
      </c>
      <c r="F175">
        <v>141</v>
      </c>
      <c r="G175">
        <v>156</v>
      </c>
      <c r="H175">
        <v>5174</v>
      </c>
      <c r="I175">
        <v>130</v>
      </c>
      <c r="J175">
        <v>5.7402396598376496E-2</v>
      </c>
    </row>
    <row r="176" spans="1:10" x14ac:dyDescent="0.25">
      <c r="A176">
        <v>23231</v>
      </c>
      <c r="B176" t="s">
        <v>3212</v>
      </c>
      <c r="C176" t="s">
        <v>3220</v>
      </c>
      <c r="D176" t="s">
        <v>196</v>
      </c>
      <c r="E176">
        <v>1203</v>
      </c>
      <c r="F176">
        <v>514</v>
      </c>
      <c r="G176">
        <v>0</v>
      </c>
      <c r="H176">
        <v>5410</v>
      </c>
      <c r="I176">
        <v>16</v>
      </c>
      <c r="J176">
        <v>9.5009242144177455E-2</v>
      </c>
    </row>
    <row r="177" spans="1:10" x14ac:dyDescent="0.25">
      <c r="A177">
        <v>37241</v>
      </c>
      <c r="B177" t="s">
        <v>3215</v>
      </c>
      <c r="C177" t="s">
        <v>3228</v>
      </c>
      <c r="D177" t="s">
        <v>912</v>
      </c>
      <c r="E177">
        <v>1201</v>
      </c>
      <c r="F177">
        <v>0</v>
      </c>
      <c r="G177">
        <v>0</v>
      </c>
      <c r="H177">
        <v>5008</v>
      </c>
      <c r="I177">
        <v>34</v>
      </c>
      <c r="J177">
        <v>0</v>
      </c>
    </row>
    <row r="178" spans="1:10" x14ac:dyDescent="0.25">
      <c r="A178">
        <v>71166</v>
      </c>
      <c r="B178" t="s">
        <v>3218</v>
      </c>
      <c r="C178" t="s">
        <v>3218</v>
      </c>
      <c r="D178" t="s">
        <v>1426</v>
      </c>
      <c r="E178">
        <v>1200</v>
      </c>
      <c r="F178">
        <v>0</v>
      </c>
      <c r="G178">
        <v>0</v>
      </c>
      <c r="H178">
        <v>4943</v>
      </c>
      <c r="I178">
        <v>13</v>
      </c>
      <c r="J178">
        <v>0</v>
      </c>
    </row>
    <row r="179" spans="1:10" x14ac:dyDescent="0.25">
      <c r="A179">
        <v>35231</v>
      </c>
      <c r="B179" t="s">
        <v>3217</v>
      </c>
      <c r="C179" t="s">
        <v>3217</v>
      </c>
      <c r="D179" t="s">
        <v>779</v>
      </c>
      <c r="E179">
        <v>1190</v>
      </c>
      <c r="F179">
        <v>0</v>
      </c>
      <c r="G179">
        <v>0</v>
      </c>
      <c r="H179">
        <v>2036</v>
      </c>
      <c r="J179">
        <v>0</v>
      </c>
    </row>
    <row r="180" spans="1:10" x14ac:dyDescent="0.25">
      <c r="A180">
        <v>26147</v>
      </c>
      <c r="B180" t="s">
        <v>3212</v>
      </c>
      <c r="C180" t="s">
        <v>3227</v>
      </c>
      <c r="D180" t="s">
        <v>444</v>
      </c>
      <c r="E180">
        <v>1187</v>
      </c>
      <c r="F180">
        <v>0</v>
      </c>
      <c r="G180">
        <v>0</v>
      </c>
      <c r="H180">
        <v>7919</v>
      </c>
      <c r="I180">
        <v>616</v>
      </c>
      <c r="J180">
        <v>0</v>
      </c>
    </row>
    <row r="181" spans="1:10" x14ac:dyDescent="0.25">
      <c r="A181">
        <v>35227</v>
      </c>
      <c r="B181" t="s">
        <v>3217</v>
      </c>
      <c r="C181" t="s">
        <v>3217</v>
      </c>
      <c r="D181" t="s">
        <v>2888</v>
      </c>
      <c r="E181">
        <v>1185</v>
      </c>
      <c r="F181">
        <v>0</v>
      </c>
      <c r="G181">
        <v>0</v>
      </c>
      <c r="H181">
        <v>1059</v>
      </c>
      <c r="I181">
        <v>28</v>
      </c>
      <c r="J181">
        <v>0</v>
      </c>
    </row>
    <row r="182" spans="1:10" x14ac:dyDescent="0.25">
      <c r="A182">
        <v>23227</v>
      </c>
      <c r="B182" t="s">
        <v>3212</v>
      </c>
      <c r="C182" t="s">
        <v>3220</v>
      </c>
      <c r="D182" t="s">
        <v>195</v>
      </c>
      <c r="E182">
        <v>1178</v>
      </c>
      <c r="F182">
        <v>513</v>
      </c>
      <c r="G182">
        <v>0</v>
      </c>
      <c r="H182">
        <v>3936</v>
      </c>
      <c r="I182">
        <v>109</v>
      </c>
      <c r="J182">
        <v>0.13033536585365854</v>
      </c>
    </row>
    <row r="183" spans="1:10" x14ac:dyDescent="0.25">
      <c r="A183">
        <v>62246</v>
      </c>
      <c r="B183" t="s">
        <v>3213</v>
      </c>
      <c r="C183" t="s">
        <v>1267</v>
      </c>
      <c r="D183" t="s">
        <v>2988</v>
      </c>
      <c r="E183">
        <v>1156</v>
      </c>
      <c r="F183">
        <v>261</v>
      </c>
      <c r="G183">
        <v>0</v>
      </c>
      <c r="H183">
        <v>4882</v>
      </c>
      <c r="I183">
        <v>161</v>
      </c>
      <c r="J183">
        <v>5.3461696026218766E-2</v>
      </c>
    </row>
    <row r="184" spans="1:10" x14ac:dyDescent="0.25">
      <c r="A184">
        <v>73159</v>
      </c>
      <c r="B184" t="s">
        <v>3218</v>
      </c>
      <c r="C184" t="s">
        <v>1508</v>
      </c>
      <c r="D184" t="s">
        <v>1516</v>
      </c>
      <c r="E184">
        <v>1146</v>
      </c>
      <c r="F184">
        <v>0</v>
      </c>
      <c r="G184">
        <v>0</v>
      </c>
      <c r="H184">
        <v>2954</v>
      </c>
      <c r="I184">
        <v>15</v>
      </c>
      <c r="J184">
        <v>0</v>
      </c>
    </row>
    <row r="185" spans="1:10" x14ac:dyDescent="0.25">
      <c r="A185">
        <v>21133</v>
      </c>
      <c r="B185" t="s">
        <v>3212</v>
      </c>
      <c r="C185" t="s">
        <v>36</v>
      </c>
      <c r="D185" t="s">
        <v>31</v>
      </c>
      <c r="E185">
        <v>1138</v>
      </c>
      <c r="F185">
        <v>0</v>
      </c>
      <c r="G185">
        <v>24</v>
      </c>
      <c r="H185">
        <v>10206</v>
      </c>
      <c r="I185">
        <v>853</v>
      </c>
      <c r="J185">
        <v>2.3515579071134627E-3</v>
      </c>
    </row>
    <row r="186" spans="1:10" x14ac:dyDescent="0.25">
      <c r="A186">
        <v>25311</v>
      </c>
      <c r="B186" t="s">
        <v>3212</v>
      </c>
      <c r="C186" t="s">
        <v>3229</v>
      </c>
      <c r="D186" t="s">
        <v>383</v>
      </c>
      <c r="E186">
        <v>1135</v>
      </c>
      <c r="F186">
        <v>0</v>
      </c>
      <c r="G186">
        <v>0</v>
      </c>
      <c r="H186">
        <v>9145</v>
      </c>
      <c r="I186">
        <v>890</v>
      </c>
      <c r="J186">
        <v>0</v>
      </c>
    </row>
    <row r="187" spans="1:10" x14ac:dyDescent="0.25">
      <c r="A187">
        <v>52151</v>
      </c>
      <c r="B187" t="s">
        <v>3214</v>
      </c>
      <c r="C187" t="s">
        <v>3221</v>
      </c>
      <c r="D187" t="s">
        <v>1036</v>
      </c>
      <c r="E187">
        <v>1134</v>
      </c>
      <c r="F187">
        <v>0</v>
      </c>
      <c r="G187">
        <v>0</v>
      </c>
      <c r="H187">
        <v>3014</v>
      </c>
      <c r="I187">
        <v>58</v>
      </c>
      <c r="J187">
        <v>0</v>
      </c>
    </row>
    <row r="188" spans="1:10" x14ac:dyDescent="0.25">
      <c r="A188">
        <v>25423</v>
      </c>
      <c r="B188" t="s">
        <v>3212</v>
      </c>
      <c r="C188" t="s">
        <v>3229</v>
      </c>
      <c r="D188" t="s">
        <v>420</v>
      </c>
      <c r="E188">
        <v>1131</v>
      </c>
      <c r="F188">
        <v>0</v>
      </c>
      <c r="G188">
        <v>0</v>
      </c>
      <c r="H188">
        <v>5406</v>
      </c>
      <c r="I188">
        <v>178</v>
      </c>
      <c r="J188">
        <v>0</v>
      </c>
    </row>
    <row r="189" spans="1:10" x14ac:dyDescent="0.25">
      <c r="A189">
        <v>35233</v>
      </c>
      <c r="B189" t="s">
        <v>3217</v>
      </c>
      <c r="C189" t="s">
        <v>3217</v>
      </c>
      <c r="D189" t="s">
        <v>780</v>
      </c>
      <c r="E189">
        <v>1109</v>
      </c>
      <c r="F189">
        <v>0</v>
      </c>
      <c r="G189">
        <v>0</v>
      </c>
      <c r="H189">
        <v>1272</v>
      </c>
      <c r="I189">
        <v>12</v>
      </c>
      <c r="J189">
        <v>0</v>
      </c>
    </row>
    <row r="190" spans="1:10" x14ac:dyDescent="0.25">
      <c r="A190">
        <v>24343</v>
      </c>
      <c r="B190" t="s">
        <v>3212</v>
      </c>
      <c r="C190" t="s">
        <v>1808</v>
      </c>
      <c r="D190" t="s">
        <v>318</v>
      </c>
      <c r="E190">
        <v>1109</v>
      </c>
      <c r="F190">
        <v>0</v>
      </c>
      <c r="G190">
        <v>0</v>
      </c>
      <c r="H190">
        <v>8303</v>
      </c>
      <c r="I190">
        <v>104</v>
      </c>
      <c r="J190">
        <v>0</v>
      </c>
    </row>
    <row r="191" spans="1:10" x14ac:dyDescent="0.25">
      <c r="A191">
        <v>35219</v>
      </c>
      <c r="B191" t="s">
        <v>3217</v>
      </c>
      <c r="C191" t="s">
        <v>3217</v>
      </c>
      <c r="D191" t="s">
        <v>772</v>
      </c>
      <c r="E191">
        <v>1102</v>
      </c>
      <c r="F191">
        <v>0</v>
      </c>
      <c r="G191">
        <v>0</v>
      </c>
      <c r="H191">
        <v>1105</v>
      </c>
      <c r="J191">
        <v>0</v>
      </c>
    </row>
    <row r="192" spans="1:10" x14ac:dyDescent="0.25">
      <c r="A192">
        <v>61183</v>
      </c>
      <c r="B192" t="s">
        <v>3213</v>
      </c>
      <c r="C192" t="s">
        <v>3039</v>
      </c>
      <c r="D192" t="s">
        <v>2963</v>
      </c>
      <c r="E192">
        <v>1079</v>
      </c>
      <c r="F192">
        <v>7799</v>
      </c>
      <c r="G192">
        <v>261</v>
      </c>
      <c r="H192">
        <v>21548</v>
      </c>
      <c r="I192">
        <v>21</v>
      </c>
      <c r="J192">
        <v>0.3740486356042324</v>
      </c>
    </row>
    <row r="193" spans="1:10" x14ac:dyDescent="0.25">
      <c r="A193">
        <v>71334</v>
      </c>
      <c r="B193" t="s">
        <v>3218</v>
      </c>
      <c r="C193" t="s">
        <v>3218</v>
      </c>
      <c r="D193" t="s">
        <v>1449</v>
      </c>
      <c r="E193">
        <v>1073</v>
      </c>
      <c r="F193">
        <v>0</v>
      </c>
      <c r="G193">
        <v>0</v>
      </c>
      <c r="H193">
        <v>10174</v>
      </c>
      <c r="I193">
        <v>138</v>
      </c>
      <c r="J193">
        <v>0</v>
      </c>
    </row>
    <row r="194" spans="1:10" x14ac:dyDescent="0.25">
      <c r="A194">
        <v>61436</v>
      </c>
      <c r="B194" t="s">
        <v>3213</v>
      </c>
      <c r="C194" t="s">
        <v>3039</v>
      </c>
      <c r="D194" t="s">
        <v>2970</v>
      </c>
      <c r="E194">
        <v>1072</v>
      </c>
      <c r="F194">
        <v>141</v>
      </c>
      <c r="G194">
        <v>0</v>
      </c>
      <c r="H194">
        <v>3105</v>
      </c>
      <c r="I194">
        <v>35</v>
      </c>
      <c r="J194">
        <v>4.5410628019323669E-2</v>
      </c>
    </row>
    <row r="195" spans="1:10" x14ac:dyDescent="0.25">
      <c r="A195">
        <v>25475</v>
      </c>
      <c r="B195" t="s">
        <v>3212</v>
      </c>
      <c r="C195" t="s">
        <v>3229</v>
      </c>
      <c r="D195" t="s">
        <v>433</v>
      </c>
      <c r="E195">
        <v>1057</v>
      </c>
      <c r="F195">
        <v>0</v>
      </c>
      <c r="G195">
        <v>0</v>
      </c>
      <c r="H195">
        <v>3467</v>
      </c>
      <c r="I195">
        <v>53</v>
      </c>
      <c r="J195">
        <v>0</v>
      </c>
    </row>
    <row r="196" spans="1:10" x14ac:dyDescent="0.25">
      <c r="A196">
        <v>22754</v>
      </c>
      <c r="B196" t="s">
        <v>3212</v>
      </c>
      <c r="C196" t="s">
        <v>3224</v>
      </c>
      <c r="D196" t="s">
        <v>173</v>
      </c>
      <c r="E196">
        <v>1052</v>
      </c>
      <c r="F196">
        <v>0</v>
      </c>
      <c r="G196">
        <v>0</v>
      </c>
      <c r="H196">
        <v>2180</v>
      </c>
      <c r="I196">
        <v>127</v>
      </c>
      <c r="J196">
        <v>0</v>
      </c>
    </row>
    <row r="197" spans="1:10" x14ac:dyDescent="0.25">
      <c r="A197">
        <v>73111</v>
      </c>
      <c r="B197" t="s">
        <v>3218</v>
      </c>
      <c r="C197" t="s">
        <v>1508</v>
      </c>
      <c r="D197" t="s">
        <v>1508</v>
      </c>
      <c r="E197">
        <v>1047</v>
      </c>
      <c r="F197">
        <v>124</v>
      </c>
      <c r="G197">
        <v>24</v>
      </c>
      <c r="H197">
        <v>1931</v>
      </c>
      <c r="I197">
        <v>11</v>
      </c>
      <c r="J197">
        <v>7.6644225789746251E-2</v>
      </c>
    </row>
    <row r="198" spans="1:10" x14ac:dyDescent="0.25">
      <c r="A198">
        <v>53211</v>
      </c>
      <c r="B198" t="s">
        <v>3216</v>
      </c>
      <c r="C198" t="s">
        <v>1069</v>
      </c>
      <c r="D198" t="s">
        <v>1087</v>
      </c>
      <c r="E198">
        <v>1044</v>
      </c>
      <c r="F198">
        <v>0</v>
      </c>
      <c r="G198">
        <v>0</v>
      </c>
      <c r="H198">
        <v>3545</v>
      </c>
      <c r="I198">
        <v>121</v>
      </c>
      <c r="J198">
        <v>0</v>
      </c>
    </row>
    <row r="199" spans="1:10" x14ac:dyDescent="0.25">
      <c r="A199">
        <v>25116</v>
      </c>
      <c r="B199" t="s">
        <v>3212</v>
      </c>
      <c r="C199" t="s">
        <v>3229</v>
      </c>
      <c r="D199" t="s">
        <v>361</v>
      </c>
      <c r="E199">
        <v>1034</v>
      </c>
      <c r="F199">
        <v>0</v>
      </c>
      <c r="G199">
        <v>0</v>
      </c>
      <c r="H199">
        <v>26858</v>
      </c>
      <c r="I199">
        <v>1120</v>
      </c>
      <c r="J199">
        <v>0</v>
      </c>
    </row>
    <row r="200" spans="1:10" x14ac:dyDescent="0.25">
      <c r="A200">
        <v>71113</v>
      </c>
      <c r="B200" t="s">
        <v>3218</v>
      </c>
      <c r="C200" t="s">
        <v>3218</v>
      </c>
      <c r="D200" t="s">
        <v>1419</v>
      </c>
      <c r="E200">
        <v>1019</v>
      </c>
      <c r="F200">
        <v>0</v>
      </c>
      <c r="G200">
        <v>0</v>
      </c>
      <c r="H200">
        <v>7142</v>
      </c>
      <c r="J200">
        <v>0</v>
      </c>
    </row>
    <row r="201" spans="1:10" x14ac:dyDescent="0.25">
      <c r="A201">
        <v>35486</v>
      </c>
      <c r="B201" t="s">
        <v>3217</v>
      </c>
      <c r="C201" t="s">
        <v>3217</v>
      </c>
      <c r="D201" t="s">
        <v>2904</v>
      </c>
      <c r="E201">
        <v>1003</v>
      </c>
      <c r="F201">
        <v>0</v>
      </c>
      <c r="G201">
        <v>0</v>
      </c>
      <c r="H201">
        <v>2309</v>
      </c>
      <c r="J201">
        <v>0</v>
      </c>
    </row>
    <row r="202" spans="1:10" x14ac:dyDescent="0.25">
      <c r="A202">
        <v>22311</v>
      </c>
      <c r="B202" t="s">
        <v>3212</v>
      </c>
      <c r="C202" t="s">
        <v>3224</v>
      </c>
      <c r="D202" t="s">
        <v>95</v>
      </c>
      <c r="E202">
        <v>995</v>
      </c>
      <c r="F202">
        <v>0</v>
      </c>
      <c r="G202">
        <v>0</v>
      </c>
      <c r="H202">
        <v>12245</v>
      </c>
      <c r="I202">
        <v>1564</v>
      </c>
      <c r="J202">
        <v>0</v>
      </c>
    </row>
    <row r="203" spans="1:10" x14ac:dyDescent="0.25">
      <c r="A203">
        <v>22511</v>
      </c>
      <c r="B203" t="s">
        <v>3212</v>
      </c>
      <c r="C203" t="s">
        <v>3224</v>
      </c>
      <c r="D203" t="s">
        <v>126</v>
      </c>
      <c r="E203">
        <v>987</v>
      </c>
      <c r="F203">
        <v>0</v>
      </c>
      <c r="G203">
        <v>0</v>
      </c>
      <c r="H203">
        <v>2663</v>
      </c>
      <c r="I203">
        <v>295</v>
      </c>
      <c r="J203">
        <v>0</v>
      </c>
    </row>
    <row r="204" spans="1:10" x14ac:dyDescent="0.25">
      <c r="A204">
        <v>71311</v>
      </c>
      <c r="B204" t="s">
        <v>3218</v>
      </c>
      <c r="C204" t="s">
        <v>3218</v>
      </c>
      <c r="D204" t="s">
        <v>1443</v>
      </c>
      <c r="E204">
        <v>986</v>
      </c>
      <c r="F204">
        <v>0</v>
      </c>
      <c r="G204">
        <v>0</v>
      </c>
      <c r="H204">
        <v>7576</v>
      </c>
      <c r="I204">
        <v>128</v>
      </c>
      <c r="J204">
        <v>0</v>
      </c>
    </row>
    <row r="205" spans="1:10" x14ac:dyDescent="0.25">
      <c r="A205">
        <v>35217</v>
      </c>
      <c r="B205" t="s">
        <v>3217</v>
      </c>
      <c r="C205" t="s">
        <v>3217</v>
      </c>
      <c r="D205" t="s">
        <v>771</v>
      </c>
      <c r="E205">
        <v>980</v>
      </c>
      <c r="F205">
        <v>0</v>
      </c>
      <c r="G205">
        <v>0</v>
      </c>
      <c r="H205">
        <v>212</v>
      </c>
      <c r="J205">
        <v>0</v>
      </c>
    </row>
    <row r="206" spans="1:10" x14ac:dyDescent="0.25">
      <c r="A206">
        <v>22611</v>
      </c>
      <c r="B206" t="s">
        <v>3212</v>
      </c>
      <c r="C206" t="s">
        <v>3224</v>
      </c>
      <c r="D206" t="s">
        <v>148</v>
      </c>
      <c r="E206">
        <v>980</v>
      </c>
      <c r="F206">
        <v>0</v>
      </c>
      <c r="G206">
        <v>0</v>
      </c>
      <c r="H206">
        <v>7299</v>
      </c>
      <c r="I206">
        <v>483</v>
      </c>
      <c r="J206">
        <v>0</v>
      </c>
    </row>
    <row r="207" spans="1:10" x14ac:dyDescent="0.25">
      <c r="A207">
        <v>61244</v>
      </c>
      <c r="B207" t="s">
        <v>3213</v>
      </c>
      <c r="C207" t="s">
        <v>3039</v>
      </c>
      <c r="D207" t="s">
        <v>1201</v>
      </c>
      <c r="E207">
        <v>977</v>
      </c>
      <c r="F207">
        <v>539</v>
      </c>
      <c r="G207">
        <v>0</v>
      </c>
      <c r="H207">
        <v>8407</v>
      </c>
      <c r="I207">
        <v>311</v>
      </c>
      <c r="J207">
        <v>6.4113238967527061E-2</v>
      </c>
    </row>
    <row r="208" spans="1:10" x14ac:dyDescent="0.25">
      <c r="A208">
        <v>52111</v>
      </c>
      <c r="B208" t="s">
        <v>3214</v>
      </c>
      <c r="C208" t="s">
        <v>3221</v>
      </c>
      <c r="D208" t="s">
        <v>1028</v>
      </c>
      <c r="E208">
        <v>971</v>
      </c>
      <c r="F208">
        <v>0</v>
      </c>
      <c r="G208">
        <v>0</v>
      </c>
      <c r="H208">
        <v>7002</v>
      </c>
      <c r="I208">
        <v>200</v>
      </c>
      <c r="J208">
        <v>0</v>
      </c>
    </row>
    <row r="209" spans="1:10" x14ac:dyDescent="0.25">
      <c r="A209">
        <v>25471</v>
      </c>
      <c r="B209" t="s">
        <v>3212</v>
      </c>
      <c r="C209" t="s">
        <v>3229</v>
      </c>
      <c r="D209" t="s">
        <v>432</v>
      </c>
      <c r="E209">
        <v>958</v>
      </c>
      <c r="F209">
        <v>0</v>
      </c>
      <c r="G209">
        <v>0</v>
      </c>
      <c r="H209">
        <v>4052</v>
      </c>
      <c r="I209">
        <v>417</v>
      </c>
      <c r="J209">
        <v>0</v>
      </c>
    </row>
    <row r="210" spans="1:10" x14ac:dyDescent="0.25">
      <c r="A210">
        <v>74141</v>
      </c>
      <c r="B210" t="s">
        <v>3218</v>
      </c>
      <c r="C210" t="s">
        <v>2784</v>
      </c>
      <c r="D210" t="s">
        <v>1554</v>
      </c>
      <c r="E210">
        <v>947</v>
      </c>
      <c r="F210">
        <v>0</v>
      </c>
      <c r="G210">
        <v>0</v>
      </c>
      <c r="H210">
        <v>138</v>
      </c>
      <c r="J210">
        <v>0</v>
      </c>
    </row>
    <row r="211" spans="1:10" x14ac:dyDescent="0.25">
      <c r="A211">
        <v>61427</v>
      </c>
      <c r="B211" t="s">
        <v>3213</v>
      </c>
      <c r="C211" t="s">
        <v>3039</v>
      </c>
      <c r="D211" t="s">
        <v>2969</v>
      </c>
      <c r="E211">
        <v>939</v>
      </c>
      <c r="F211">
        <v>0</v>
      </c>
      <c r="G211">
        <v>0</v>
      </c>
      <c r="H211">
        <v>4634</v>
      </c>
      <c r="I211">
        <v>350</v>
      </c>
      <c r="J211">
        <v>0</v>
      </c>
    </row>
    <row r="212" spans="1:10" x14ac:dyDescent="0.25">
      <c r="A212">
        <v>21188</v>
      </c>
      <c r="B212" t="s">
        <v>3212</v>
      </c>
      <c r="C212" t="s">
        <v>36</v>
      </c>
      <c r="D212" t="s">
        <v>35</v>
      </c>
      <c r="E212">
        <v>936</v>
      </c>
      <c r="F212">
        <v>597</v>
      </c>
      <c r="G212">
        <v>0</v>
      </c>
      <c r="H212">
        <v>6089</v>
      </c>
      <c r="I212">
        <v>85</v>
      </c>
      <c r="J212">
        <v>9.8045656101166043E-2</v>
      </c>
    </row>
    <row r="213" spans="1:10" x14ac:dyDescent="0.25">
      <c r="A213">
        <v>72111</v>
      </c>
      <c r="B213" t="s">
        <v>3218</v>
      </c>
      <c r="C213" t="s">
        <v>3230</v>
      </c>
      <c r="D213" t="s">
        <v>1470</v>
      </c>
      <c r="E213">
        <v>936</v>
      </c>
      <c r="F213">
        <v>184</v>
      </c>
      <c r="G213">
        <v>48</v>
      </c>
      <c r="H213">
        <v>8138</v>
      </c>
      <c r="I213">
        <v>69</v>
      </c>
      <c r="J213">
        <v>2.850823298107643E-2</v>
      </c>
    </row>
    <row r="214" spans="1:10" x14ac:dyDescent="0.25">
      <c r="A214">
        <v>24427</v>
      </c>
      <c r="B214" t="s">
        <v>3212</v>
      </c>
      <c r="C214" t="s">
        <v>1808</v>
      </c>
      <c r="D214" t="s">
        <v>341</v>
      </c>
      <c r="E214">
        <v>934</v>
      </c>
      <c r="F214">
        <v>0</v>
      </c>
      <c r="G214">
        <v>0</v>
      </c>
      <c r="H214">
        <v>1848</v>
      </c>
      <c r="I214">
        <v>13</v>
      </c>
      <c r="J214">
        <v>0</v>
      </c>
    </row>
    <row r="215" spans="1:10" x14ac:dyDescent="0.25">
      <c r="A215">
        <v>34155</v>
      </c>
      <c r="B215" t="s">
        <v>3215</v>
      </c>
      <c r="C215" t="s">
        <v>3226</v>
      </c>
      <c r="D215" t="s">
        <v>653</v>
      </c>
      <c r="E215">
        <v>931</v>
      </c>
      <c r="F215">
        <v>0</v>
      </c>
      <c r="G215">
        <v>0</v>
      </c>
      <c r="H215">
        <v>982</v>
      </c>
      <c r="I215">
        <v>10</v>
      </c>
      <c r="J215">
        <v>0</v>
      </c>
    </row>
    <row r="216" spans="1:10" x14ac:dyDescent="0.25">
      <c r="A216">
        <v>32111</v>
      </c>
      <c r="B216" t="s">
        <v>3215</v>
      </c>
      <c r="C216" t="s">
        <v>3223</v>
      </c>
      <c r="D216" t="s">
        <v>554</v>
      </c>
      <c r="E216">
        <v>925</v>
      </c>
      <c r="F216">
        <v>0</v>
      </c>
      <c r="G216">
        <v>0</v>
      </c>
      <c r="H216">
        <v>6176</v>
      </c>
      <c r="I216">
        <v>71</v>
      </c>
      <c r="J216">
        <v>0</v>
      </c>
    </row>
    <row r="217" spans="1:10" x14ac:dyDescent="0.25">
      <c r="A217">
        <v>24414</v>
      </c>
      <c r="B217" t="s">
        <v>3212</v>
      </c>
      <c r="C217" t="s">
        <v>1808</v>
      </c>
      <c r="D217" t="s">
        <v>337</v>
      </c>
      <c r="E217">
        <v>905</v>
      </c>
      <c r="F217">
        <v>0</v>
      </c>
      <c r="G217">
        <v>0</v>
      </c>
      <c r="H217">
        <v>587</v>
      </c>
      <c r="I217">
        <v>110</v>
      </c>
      <c r="J217">
        <v>0</v>
      </c>
    </row>
    <row r="218" spans="1:10" x14ac:dyDescent="0.25">
      <c r="A218">
        <v>61119</v>
      </c>
      <c r="B218" t="s">
        <v>3213</v>
      </c>
      <c r="C218" t="s">
        <v>3039</v>
      </c>
      <c r="D218" t="s">
        <v>1193</v>
      </c>
      <c r="E218">
        <v>897</v>
      </c>
      <c r="F218">
        <v>29329</v>
      </c>
      <c r="G218">
        <v>3557</v>
      </c>
      <c r="H218">
        <v>56168</v>
      </c>
      <c r="I218">
        <v>384</v>
      </c>
      <c r="J218">
        <v>0.58549351944167494</v>
      </c>
    </row>
    <row r="219" spans="1:10" x14ac:dyDescent="0.25">
      <c r="A219">
        <v>22659</v>
      </c>
      <c r="B219" t="s">
        <v>3212</v>
      </c>
      <c r="C219" t="s">
        <v>3224</v>
      </c>
      <c r="D219" t="s">
        <v>154</v>
      </c>
      <c r="E219">
        <v>894</v>
      </c>
      <c r="F219">
        <v>0</v>
      </c>
      <c r="G219">
        <v>0</v>
      </c>
      <c r="H219">
        <v>4901</v>
      </c>
      <c r="I219">
        <v>474</v>
      </c>
      <c r="J219">
        <v>0</v>
      </c>
    </row>
    <row r="220" spans="1:10" x14ac:dyDescent="0.25">
      <c r="A220">
        <v>35487</v>
      </c>
      <c r="B220" t="s">
        <v>3217</v>
      </c>
      <c r="C220" t="s">
        <v>3217</v>
      </c>
      <c r="D220" t="s">
        <v>879</v>
      </c>
      <c r="E220">
        <v>892</v>
      </c>
      <c r="F220">
        <v>0</v>
      </c>
      <c r="G220">
        <v>0</v>
      </c>
      <c r="H220">
        <v>7524</v>
      </c>
      <c r="I220">
        <v>64</v>
      </c>
      <c r="J220">
        <v>0</v>
      </c>
    </row>
    <row r="221" spans="1:10" x14ac:dyDescent="0.25">
      <c r="A221">
        <v>52267</v>
      </c>
      <c r="B221" t="s">
        <v>3214</v>
      </c>
      <c r="C221" t="s">
        <v>3221</v>
      </c>
      <c r="D221" t="s">
        <v>1060</v>
      </c>
      <c r="E221">
        <v>890</v>
      </c>
      <c r="F221">
        <v>0</v>
      </c>
      <c r="G221">
        <v>0</v>
      </c>
      <c r="H221">
        <v>4117</v>
      </c>
      <c r="I221">
        <v>90</v>
      </c>
      <c r="J221">
        <v>0</v>
      </c>
    </row>
    <row r="222" spans="1:10" x14ac:dyDescent="0.25">
      <c r="A222">
        <v>35215</v>
      </c>
      <c r="B222" t="s">
        <v>3217</v>
      </c>
      <c r="C222" t="s">
        <v>3217</v>
      </c>
      <c r="D222" t="s">
        <v>769</v>
      </c>
      <c r="E222">
        <v>882</v>
      </c>
      <c r="F222">
        <v>0</v>
      </c>
      <c r="G222">
        <v>0</v>
      </c>
      <c r="H222">
        <v>1083</v>
      </c>
      <c r="I222">
        <v>20</v>
      </c>
      <c r="J222">
        <v>0</v>
      </c>
    </row>
    <row r="223" spans="1:10" x14ac:dyDescent="0.25">
      <c r="A223">
        <v>35357</v>
      </c>
      <c r="B223" t="s">
        <v>3217</v>
      </c>
      <c r="C223" t="s">
        <v>3217</v>
      </c>
      <c r="D223" t="s">
        <v>2895</v>
      </c>
      <c r="E223">
        <v>876</v>
      </c>
      <c r="F223">
        <v>0</v>
      </c>
      <c r="G223">
        <v>0</v>
      </c>
      <c r="H223">
        <v>7168</v>
      </c>
      <c r="I223">
        <v>176</v>
      </c>
      <c r="J223">
        <v>0</v>
      </c>
    </row>
    <row r="224" spans="1:10" x14ac:dyDescent="0.25">
      <c r="A224">
        <v>53139</v>
      </c>
      <c r="B224" t="s">
        <v>3216</v>
      </c>
      <c r="C224" t="s">
        <v>1069</v>
      </c>
      <c r="D224" t="s">
        <v>1076</v>
      </c>
      <c r="E224">
        <v>873</v>
      </c>
      <c r="F224">
        <v>0</v>
      </c>
      <c r="G224">
        <v>0</v>
      </c>
      <c r="H224">
        <v>600</v>
      </c>
      <c r="J224">
        <v>0</v>
      </c>
    </row>
    <row r="225" spans="1:10" x14ac:dyDescent="0.25">
      <c r="A225">
        <v>21251</v>
      </c>
      <c r="B225" t="s">
        <v>3212</v>
      </c>
      <c r="C225" t="s">
        <v>36</v>
      </c>
      <c r="D225" t="s">
        <v>41</v>
      </c>
      <c r="E225">
        <v>870</v>
      </c>
      <c r="F225">
        <v>0</v>
      </c>
      <c r="G225">
        <v>0</v>
      </c>
      <c r="H225">
        <v>5126</v>
      </c>
      <c r="I225">
        <v>240</v>
      </c>
      <c r="J225">
        <v>0</v>
      </c>
    </row>
    <row r="226" spans="1:10" x14ac:dyDescent="0.25">
      <c r="A226">
        <v>37381</v>
      </c>
      <c r="B226" t="s">
        <v>3215</v>
      </c>
      <c r="C226" t="s">
        <v>3228</v>
      </c>
      <c r="D226" t="s">
        <v>959</v>
      </c>
      <c r="E226">
        <v>860</v>
      </c>
      <c r="F226">
        <v>0</v>
      </c>
      <c r="G226">
        <v>0</v>
      </c>
      <c r="H226">
        <v>1674</v>
      </c>
      <c r="J226">
        <v>0</v>
      </c>
    </row>
    <row r="227" spans="1:10" x14ac:dyDescent="0.25">
      <c r="A227">
        <v>26129</v>
      </c>
      <c r="B227" t="s">
        <v>3212</v>
      </c>
      <c r="C227" t="s">
        <v>3227</v>
      </c>
      <c r="D227" t="s">
        <v>441</v>
      </c>
      <c r="E227">
        <v>859</v>
      </c>
      <c r="F227">
        <v>0</v>
      </c>
      <c r="G227">
        <v>0</v>
      </c>
      <c r="H227">
        <v>12571</v>
      </c>
      <c r="I227">
        <v>302</v>
      </c>
      <c r="J227">
        <v>0</v>
      </c>
    </row>
    <row r="228" spans="1:10" x14ac:dyDescent="0.25">
      <c r="A228">
        <v>23259</v>
      </c>
      <c r="B228" t="s">
        <v>3212</v>
      </c>
      <c r="C228" t="s">
        <v>3220</v>
      </c>
      <c r="D228" t="s">
        <v>2829</v>
      </c>
      <c r="E228">
        <v>853</v>
      </c>
      <c r="F228">
        <v>0</v>
      </c>
      <c r="G228">
        <v>0</v>
      </c>
      <c r="H228">
        <v>608</v>
      </c>
      <c r="I228">
        <v>325</v>
      </c>
      <c r="J228">
        <v>0</v>
      </c>
    </row>
    <row r="229" spans="1:10" x14ac:dyDescent="0.25">
      <c r="A229">
        <v>32113</v>
      </c>
      <c r="B229" t="s">
        <v>3215</v>
      </c>
      <c r="C229" t="s">
        <v>3223</v>
      </c>
      <c r="D229" t="s">
        <v>555</v>
      </c>
      <c r="E229">
        <v>846</v>
      </c>
      <c r="F229">
        <v>0</v>
      </c>
      <c r="G229">
        <v>0</v>
      </c>
      <c r="H229">
        <v>4275</v>
      </c>
      <c r="I229">
        <v>40</v>
      </c>
      <c r="J229">
        <v>0</v>
      </c>
    </row>
    <row r="230" spans="1:10" x14ac:dyDescent="0.25">
      <c r="A230">
        <v>24411</v>
      </c>
      <c r="B230" t="s">
        <v>3212</v>
      </c>
      <c r="C230" t="s">
        <v>1808</v>
      </c>
      <c r="D230" t="s">
        <v>336</v>
      </c>
      <c r="E230">
        <v>844</v>
      </c>
      <c r="F230">
        <v>0</v>
      </c>
      <c r="G230">
        <v>0</v>
      </c>
      <c r="H230">
        <v>733</v>
      </c>
      <c r="I230">
        <v>6</v>
      </c>
      <c r="J230">
        <v>0</v>
      </c>
    </row>
    <row r="231" spans="1:10" x14ac:dyDescent="0.25">
      <c r="A231">
        <v>32191</v>
      </c>
      <c r="B231" t="s">
        <v>3215</v>
      </c>
      <c r="C231" t="s">
        <v>3223</v>
      </c>
      <c r="D231" t="s">
        <v>2881</v>
      </c>
      <c r="E231">
        <v>844</v>
      </c>
      <c r="F231">
        <v>0</v>
      </c>
      <c r="G231">
        <v>0</v>
      </c>
      <c r="H231">
        <v>2148</v>
      </c>
      <c r="I231">
        <v>162</v>
      </c>
      <c r="J231">
        <v>0</v>
      </c>
    </row>
    <row r="232" spans="1:10" x14ac:dyDescent="0.25">
      <c r="A232">
        <v>35498</v>
      </c>
      <c r="B232" t="s">
        <v>3217</v>
      </c>
      <c r="C232" t="s">
        <v>3217</v>
      </c>
      <c r="D232" t="s">
        <v>880</v>
      </c>
      <c r="E232">
        <v>843</v>
      </c>
      <c r="F232">
        <v>0</v>
      </c>
      <c r="G232">
        <v>0</v>
      </c>
      <c r="H232">
        <v>3557</v>
      </c>
      <c r="I232">
        <v>12</v>
      </c>
      <c r="J232">
        <v>0</v>
      </c>
    </row>
    <row r="233" spans="1:10" x14ac:dyDescent="0.25">
      <c r="A233">
        <v>10410</v>
      </c>
      <c r="B233" t="s">
        <v>3177</v>
      </c>
      <c r="C233" t="s">
        <v>3177</v>
      </c>
      <c r="D233" t="s">
        <v>23</v>
      </c>
      <c r="E233">
        <v>842</v>
      </c>
      <c r="F233">
        <v>0</v>
      </c>
      <c r="G233">
        <v>0</v>
      </c>
      <c r="H233">
        <v>9160</v>
      </c>
      <c r="I233">
        <v>656</v>
      </c>
      <c r="J233">
        <v>0</v>
      </c>
    </row>
    <row r="234" spans="1:10" x14ac:dyDescent="0.25">
      <c r="A234">
        <v>32137</v>
      </c>
      <c r="B234" t="s">
        <v>3215</v>
      </c>
      <c r="C234" t="s">
        <v>3223</v>
      </c>
      <c r="D234" t="s">
        <v>567</v>
      </c>
      <c r="E234">
        <v>840</v>
      </c>
      <c r="F234">
        <v>0</v>
      </c>
      <c r="G234">
        <v>0</v>
      </c>
      <c r="H234">
        <v>5515</v>
      </c>
      <c r="I234">
        <v>67</v>
      </c>
      <c r="J234">
        <v>0</v>
      </c>
    </row>
    <row r="235" spans="1:10" x14ac:dyDescent="0.25">
      <c r="A235">
        <v>22757</v>
      </c>
      <c r="B235" t="s">
        <v>3212</v>
      </c>
      <c r="C235" t="s">
        <v>3224</v>
      </c>
      <c r="D235" t="s">
        <v>174</v>
      </c>
      <c r="E235">
        <v>834</v>
      </c>
      <c r="F235">
        <v>0</v>
      </c>
      <c r="G235">
        <v>0</v>
      </c>
      <c r="H235">
        <v>2410</v>
      </c>
      <c r="I235">
        <v>172</v>
      </c>
      <c r="J235">
        <v>0</v>
      </c>
    </row>
    <row r="236" spans="1:10" x14ac:dyDescent="0.25">
      <c r="A236">
        <v>35351</v>
      </c>
      <c r="B236" t="s">
        <v>3217</v>
      </c>
      <c r="C236" t="s">
        <v>3217</v>
      </c>
      <c r="D236" t="s">
        <v>825</v>
      </c>
      <c r="E236">
        <v>830</v>
      </c>
      <c r="F236">
        <v>0</v>
      </c>
      <c r="G236">
        <v>0</v>
      </c>
      <c r="H236">
        <v>5776</v>
      </c>
      <c r="I236">
        <v>16</v>
      </c>
      <c r="J236">
        <v>0</v>
      </c>
    </row>
    <row r="237" spans="1:10" x14ac:dyDescent="0.25">
      <c r="A237">
        <v>62231</v>
      </c>
      <c r="B237" t="s">
        <v>3213</v>
      </c>
      <c r="C237" t="s">
        <v>1267</v>
      </c>
      <c r="D237" t="s">
        <v>2985</v>
      </c>
      <c r="E237">
        <v>824</v>
      </c>
      <c r="F237">
        <v>261</v>
      </c>
      <c r="G237">
        <v>17</v>
      </c>
      <c r="H237">
        <v>6409</v>
      </c>
      <c r="I237">
        <v>974</v>
      </c>
      <c r="J237">
        <v>4.3376501794351693E-2</v>
      </c>
    </row>
    <row r="238" spans="1:10" x14ac:dyDescent="0.25">
      <c r="A238">
        <v>53417</v>
      </c>
      <c r="B238" t="s">
        <v>3216</v>
      </c>
      <c r="C238" t="s">
        <v>1069</v>
      </c>
      <c r="D238" t="s">
        <v>1122</v>
      </c>
      <c r="E238">
        <v>823</v>
      </c>
      <c r="F238">
        <v>0</v>
      </c>
      <c r="G238">
        <v>0</v>
      </c>
      <c r="H238">
        <v>1794</v>
      </c>
      <c r="I238">
        <v>28</v>
      </c>
      <c r="J238">
        <v>0</v>
      </c>
    </row>
    <row r="239" spans="1:10" x14ac:dyDescent="0.25">
      <c r="A239">
        <v>61147</v>
      </c>
      <c r="B239" t="s">
        <v>3213</v>
      </c>
      <c r="C239" t="s">
        <v>3039</v>
      </c>
      <c r="D239" t="s">
        <v>2962</v>
      </c>
      <c r="E239">
        <v>818</v>
      </c>
      <c r="F239">
        <v>539</v>
      </c>
      <c r="G239">
        <v>0</v>
      </c>
      <c r="H239">
        <v>11073</v>
      </c>
      <c r="I239">
        <v>367</v>
      </c>
      <c r="J239">
        <v>4.867696197958999E-2</v>
      </c>
    </row>
    <row r="240" spans="1:10" x14ac:dyDescent="0.25">
      <c r="A240">
        <v>61466</v>
      </c>
      <c r="B240" t="s">
        <v>3213</v>
      </c>
      <c r="C240" t="s">
        <v>3039</v>
      </c>
      <c r="D240" t="s">
        <v>2979</v>
      </c>
      <c r="E240">
        <v>817</v>
      </c>
      <c r="F240">
        <v>0</v>
      </c>
      <c r="G240">
        <v>0</v>
      </c>
      <c r="H240">
        <v>662</v>
      </c>
      <c r="I240">
        <v>2</v>
      </c>
      <c r="J240">
        <v>0</v>
      </c>
    </row>
    <row r="241" spans="1:10" x14ac:dyDescent="0.25">
      <c r="A241">
        <v>23215</v>
      </c>
      <c r="B241" t="s">
        <v>3212</v>
      </c>
      <c r="C241" t="s">
        <v>3220</v>
      </c>
      <c r="D241" t="s">
        <v>192</v>
      </c>
      <c r="E241">
        <v>806</v>
      </c>
      <c r="F241">
        <v>513</v>
      </c>
      <c r="G241">
        <v>0</v>
      </c>
      <c r="H241">
        <v>3591</v>
      </c>
      <c r="I241">
        <v>98</v>
      </c>
      <c r="J241">
        <v>0.14285714285714285</v>
      </c>
    </row>
    <row r="242" spans="1:10" x14ac:dyDescent="0.25">
      <c r="A242">
        <v>62266</v>
      </c>
      <c r="B242" t="s">
        <v>3213</v>
      </c>
      <c r="C242" t="s">
        <v>1267</v>
      </c>
      <c r="D242" t="s">
        <v>1307</v>
      </c>
      <c r="E242">
        <v>806</v>
      </c>
      <c r="F242">
        <v>0</v>
      </c>
      <c r="G242">
        <v>0</v>
      </c>
      <c r="H242">
        <v>3107</v>
      </c>
      <c r="I242">
        <v>45</v>
      </c>
      <c r="J242">
        <v>0</v>
      </c>
    </row>
    <row r="243" spans="1:10" x14ac:dyDescent="0.25">
      <c r="A243">
        <v>25439</v>
      </c>
      <c r="B243" t="s">
        <v>3212</v>
      </c>
      <c r="C243" t="s">
        <v>3229</v>
      </c>
      <c r="D243" t="s">
        <v>424</v>
      </c>
      <c r="E243">
        <v>801</v>
      </c>
      <c r="F243">
        <v>0</v>
      </c>
      <c r="G243">
        <v>0</v>
      </c>
      <c r="H243">
        <v>10939</v>
      </c>
      <c r="I243">
        <v>269</v>
      </c>
      <c r="J243">
        <v>0</v>
      </c>
    </row>
    <row r="244" spans="1:10" x14ac:dyDescent="0.25">
      <c r="A244">
        <v>51359</v>
      </c>
      <c r="B244" t="s">
        <v>3214</v>
      </c>
      <c r="C244" t="s">
        <v>3045</v>
      </c>
      <c r="D244" t="s">
        <v>1022</v>
      </c>
      <c r="E244">
        <v>796</v>
      </c>
      <c r="F244">
        <v>0</v>
      </c>
      <c r="G244">
        <v>0</v>
      </c>
      <c r="H244">
        <v>3086</v>
      </c>
      <c r="I244">
        <v>15</v>
      </c>
      <c r="J244">
        <v>0</v>
      </c>
    </row>
    <row r="245" spans="1:10" x14ac:dyDescent="0.25">
      <c r="A245">
        <v>35253</v>
      </c>
      <c r="B245" t="s">
        <v>3217</v>
      </c>
      <c r="C245" t="s">
        <v>3217</v>
      </c>
      <c r="D245" t="s">
        <v>791</v>
      </c>
      <c r="E245">
        <v>795</v>
      </c>
      <c r="F245">
        <v>0</v>
      </c>
      <c r="G245">
        <v>0</v>
      </c>
      <c r="H245">
        <v>401</v>
      </c>
      <c r="J245">
        <v>0</v>
      </c>
    </row>
    <row r="246" spans="1:10" x14ac:dyDescent="0.25">
      <c r="A246">
        <v>53467</v>
      </c>
      <c r="B246" t="s">
        <v>3216</v>
      </c>
      <c r="C246" t="s">
        <v>1069</v>
      </c>
      <c r="D246" t="s">
        <v>1147</v>
      </c>
      <c r="E246">
        <v>785</v>
      </c>
      <c r="F246">
        <v>0</v>
      </c>
      <c r="G246">
        <v>0</v>
      </c>
      <c r="H246">
        <v>1005</v>
      </c>
      <c r="I246">
        <v>17</v>
      </c>
      <c r="J246">
        <v>0</v>
      </c>
    </row>
    <row r="247" spans="1:10" x14ac:dyDescent="0.25">
      <c r="A247">
        <v>35449</v>
      </c>
      <c r="B247" t="s">
        <v>3217</v>
      </c>
      <c r="C247" t="s">
        <v>3217</v>
      </c>
      <c r="D247" t="s">
        <v>863</v>
      </c>
      <c r="E247">
        <v>770</v>
      </c>
      <c r="F247">
        <v>0</v>
      </c>
      <c r="G247">
        <v>0</v>
      </c>
      <c r="H247">
        <v>795</v>
      </c>
      <c r="J247">
        <v>0</v>
      </c>
    </row>
    <row r="248" spans="1:10" x14ac:dyDescent="0.25">
      <c r="A248">
        <v>37365</v>
      </c>
      <c r="B248" t="s">
        <v>3215</v>
      </c>
      <c r="C248" t="s">
        <v>3228</v>
      </c>
      <c r="D248" t="s">
        <v>951</v>
      </c>
      <c r="E248">
        <v>763</v>
      </c>
      <c r="F248">
        <v>0</v>
      </c>
      <c r="G248">
        <v>0</v>
      </c>
      <c r="H248">
        <v>2472</v>
      </c>
      <c r="I248">
        <v>18</v>
      </c>
      <c r="J248">
        <v>0</v>
      </c>
    </row>
    <row r="249" spans="1:10" x14ac:dyDescent="0.25">
      <c r="A249">
        <v>35225</v>
      </c>
      <c r="B249" t="s">
        <v>3217</v>
      </c>
      <c r="C249" t="s">
        <v>3217</v>
      </c>
      <c r="D249" t="s">
        <v>776</v>
      </c>
      <c r="E249">
        <v>760</v>
      </c>
      <c r="F249">
        <v>0</v>
      </c>
      <c r="G249">
        <v>0</v>
      </c>
      <c r="H249">
        <v>355</v>
      </c>
      <c r="I249">
        <v>1</v>
      </c>
      <c r="J249">
        <v>0</v>
      </c>
    </row>
    <row r="250" spans="1:10" x14ac:dyDescent="0.25">
      <c r="A250">
        <v>22375</v>
      </c>
      <c r="B250" t="s">
        <v>3212</v>
      </c>
      <c r="C250" t="s">
        <v>3224</v>
      </c>
      <c r="D250" t="s">
        <v>2816</v>
      </c>
      <c r="E250">
        <v>760</v>
      </c>
      <c r="F250">
        <v>0</v>
      </c>
      <c r="G250">
        <v>0</v>
      </c>
      <c r="H250">
        <v>2306</v>
      </c>
      <c r="I250">
        <v>1930</v>
      </c>
      <c r="J250">
        <v>0</v>
      </c>
    </row>
    <row r="251" spans="1:10" x14ac:dyDescent="0.25">
      <c r="A251">
        <v>61266</v>
      </c>
      <c r="B251" t="s">
        <v>3213</v>
      </c>
      <c r="C251" t="s">
        <v>3039</v>
      </c>
      <c r="D251" t="s">
        <v>1203</v>
      </c>
      <c r="E251">
        <v>760</v>
      </c>
      <c r="F251">
        <v>539</v>
      </c>
      <c r="G251">
        <v>0</v>
      </c>
      <c r="H251">
        <v>100</v>
      </c>
      <c r="I251">
        <v>95</v>
      </c>
      <c r="J251">
        <v>5.39</v>
      </c>
    </row>
    <row r="252" spans="1:10" x14ac:dyDescent="0.25">
      <c r="A252">
        <v>24367</v>
      </c>
      <c r="B252" t="s">
        <v>3212</v>
      </c>
      <c r="C252" t="s">
        <v>1808</v>
      </c>
      <c r="D252" t="s">
        <v>330</v>
      </c>
      <c r="E252">
        <v>755</v>
      </c>
      <c r="F252">
        <v>0</v>
      </c>
      <c r="G252">
        <v>0</v>
      </c>
      <c r="H252">
        <v>1540</v>
      </c>
      <c r="I252">
        <v>238</v>
      </c>
      <c r="J252">
        <v>0</v>
      </c>
    </row>
    <row r="253" spans="1:10" x14ac:dyDescent="0.25">
      <c r="A253">
        <v>23331</v>
      </c>
      <c r="B253" t="s">
        <v>3212</v>
      </c>
      <c r="C253" t="s">
        <v>3220</v>
      </c>
      <c r="D253" t="s">
        <v>2832</v>
      </c>
      <c r="E253">
        <v>754</v>
      </c>
      <c r="F253">
        <v>513</v>
      </c>
      <c r="G253">
        <v>0</v>
      </c>
      <c r="H253">
        <v>3054</v>
      </c>
      <c r="I253">
        <v>92</v>
      </c>
      <c r="J253">
        <v>0.16797642436149313</v>
      </c>
    </row>
    <row r="254" spans="1:10" x14ac:dyDescent="0.25">
      <c r="A254">
        <v>53183</v>
      </c>
      <c r="B254" t="s">
        <v>3216</v>
      </c>
      <c r="C254" t="s">
        <v>1069</v>
      </c>
      <c r="D254" t="s">
        <v>1086</v>
      </c>
      <c r="E254">
        <v>753</v>
      </c>
      <c r="F254">
        <v>0</v>
      </c>
      <c r="G254">
        <v>0</v>
      </c>
      <c r="H254">
        <v>2466</v>
      </c>
      <c r="I254">
        <v>22</v>
      </c>
      <c r="J254">
        <v>0</v>
      </c>
    </row>
    <row r="255" spans="1:10" x14ac:dyDescent="0.25">
      <c r="A255">
        <v>31186</v>
      </c>
      <c r="B255" t="s">
        <v>3215</v>
      </c>
      <c r="C255" t="s">
        <v>3225</v>
      </c>
      <c r="D255" t="s">
        <v>552</v>
      </c>
      <c r="E255">
        <v>752</v>
      </c>
      <c r="F255">
        <v>207</v>
      </c>
      <c r="G255">
        <v>0</v>
      </c>
      <c r="H255">
        <v>11786</v>
      </c>
      <c r="I255">
        <v>61</v>
      </c>
      <c r="J255">
        <v>1.756321058883421E-2</v>
      </c>
    </row>
    <row r="256" spans="1:10" x14ac:dyDescent="0.25">
      <c r="A256">
        <v>51127</v>
      </c>
      <c r="B256" t="s">
        <v>3214</v>
      </c>
      <c r="C256" t="s">
        <v>3045</v>
      </c>
      <c r="D256" t="s">
        <v>2927</v>
      </c>
      <c r="E256">
        <v>750</v>
      </c>
      <c r="F256">
        <v>0</v>
      </c>
      <c r="G256">
        <v>0</v>
      </c>
      <c r="H256">
        <v>3376</v>
      </c>
      <c r="I256">
        <v>39</v>
      </c>
      <c r="J256">
        <v>0</v>
      </c>
    </row>
    <row r="257" spans="1:10" x14ac:dyDescent="0.25">
      <c r="A257">
        <v>24259</v>
      </c>
      <c r="B257" t="s">
        <v>3212</v>
      </c>
      <c r="C257" t="s">
        <v>1808</v>
      </c>
      <c r="D257" t="s">
        <v>297</v>
      </c>
      <c r="E257">
        <v>746</v>
      </c>
      <c r="F257">
        <v>298</v>
      </c>
      <c r="G257">
        <v>0</v>
      </c>
      <c r="H257">
        <v>2789</v>
      </c>
      <c r="I257">
        <v>51</v>
      </c>
      <c r="J257">
        <v>0.10684833273574758</v>
      </c>
    </row>
    <row r="258" spans="1:10" x14ac:dyDescent="0.25">
      <c r="A258">
        <v>35353</v>
      </c>
      <c r="B258" t="s">
        <v>3217</v>
      </c>
      <c r="C258" t="s">
        <v>3217</v>
      </c>
      <c r="D258" t="s">
        <v>827</v>
      </c>
      <c r="E258">
        <v>742</v>
      </c>
      <c r="F258">
        <v>0</v>
      </c>
      <c r="G258">
        <v>0</v>
      </c>
      <c r="H258">
        <v>11378</v>
      </c>
      <c r="I258">
        <v>52</v>
      </c>
      <c r="J258">
        <v>0</v>
      </c>
    </row>
    <row r="259" spans="1:10" x14ac:dyDescent="0.25">
      <c r="A259">
        <v>34336</v>
      </c>
      <c r="B259" t="s">
        <v>3215</v>
      </c>
      <c r="C259" t="s">
        <v>3226</v>
      </c>
      <c r="D259" t="s">
        <v>710</v>
      </c>
      <c r="E259">
        <v>736</v>
      </c>
      <c r="F259">
        <v>0</v>
      </c>
      <c r="G259">
        <v>0</v>
      </c>
      <c r="H259">
        <v>586</v>
      </c>
      <c r="I259">
        <v>10</v>
      </c>
      <c r="J259">
        <v>0</v>
      </c>
    </row>
    <row r="260" spans="1:10" x14ac:dyDescent="0.25">
      <c r="A260">
        <v>53388</v>
      </c>
      <c r="B260" t="s">
        <v>3216</v>
      </c>
      <c r="C260" t="s">
        <v>1069</v>
      </c>
      <c r="D260" t="s">
        <v>2955</v>
      </c>
      <c r="E260">
        <v>716</v>
      </c>
      <c r="F260">
        <v>0</v>
      </c>
      <c r="G260">
        <v>0</v>
      </c>
      <c r="H260">
        <v>961</v>
      </c>
      <c r="I260">
        <v>15</v>
      </c>
      <c r="J260">
        <v>0</v>
      </c>
    </row>
    <row r="261" spans="1:10" x14ac:dyDescent="0.25">
      <c r="A261">
        <v>74111</v>
      </c>
      <c r="B261" t="s">
        <v>3218</v>
      </c>
      <c r="C261" t="s">
        <v>2784</v>
      </c>
      <c r="D261" t="s">
        <v>1541</v>
      </c>
      <c r="E261">
        <v>715</v>
      </c>
      <c r="F261">
        <v>0</v>
      </c>
      <c r="G261">
        <v>0</v>
      </c>
      <c r="H261">
        <v>6250</v>
      </c>
      <c r="I261">
        <v>36</v>
      </c>
      <c r="J261">
        <v>0</v>
      </c>
    </row>
    <row r="262" spans="1:10" x14ac:dyDescent="0.25">
      <c r="A262">
        <v>72229</v>
      </c>
      <c r="B262" t="s">
        <v>3218</v>
      </c>
      <c r="C262" t="s">
        <v>3230</v>
      </c>
      <c r="D262" t="s">
        <v>1487</v>
      </c>
      <c r="E262">
        <v>711</v>
      </c>
      <c r="F262">
        <v>0</v>
      </c>
      <c r="G262">
        <v>0</v>
      </c>
      <c r="H262">
        <v>3600</v>
      </c>
      <c r="I262">
        <v>79</v>
      </c>
      <c r="J262">
        <v>0</v>
      </c>
    </row>
    <row r="263" spans="1:10" x14ac:dyDescent="0.25">
      <c r="A263">
        <v>22327</v>
      </c>
      <c r="B263" t="s">
        <v>3212</v>
      </c>
      <c r="C263" t="s">
        <v>3224</v>
      </c>
      <c r="D263" t="s">
        <v>97</v>
      </c>
      <c r="E263">
        <v>711</v>
      </c>
      <c r="F263">
        <v>0</v>
      </c>
      <c r="G263">
        <v>0</v>
      </c>
      <c r="H263">
        <v>8638</v>
      </c>
      <c r="I263">
        <v>1158</v>
      </c>
      <c r="J263">
        <v>0</v>
      </c>
    </row>
    <row r="264" spans="1:10" x14ac:dyDescent="0.25">
      <c r="A264">
        <v>23243</v>
      </c>
      <c r="B264" t="s">
        <v>3212</v>
      </c>
      <c r="C264" t="s">
        <v>3220</v>
      </c>
      <c r="D264" t="s">
        <v>200</v>
      </c>
      <c r="E264">
        <v>695</v>
      </c>
      <c r="F264">
        <v>514</v>
      </c>
      <c r="G264">
        <v>0</v>
      </c>
      <c r="H264">
        <v>7102</v>
      </c>
      <c r="I264">
        <v>155</v>
      </c>
      <c r="J264">
        <v>7.2373979160799781E-2</v>
      </c>
    </row>
    <row r="265" spans="1:10" x14ac:dyDescent="0.25">
      <c r="A265">
        <v>71144</v>
      </c>
      <c r="B265" t="s">
        <v>3218</v>
      </c>
      <c r="C265" t="s">
        <v>3218</v>
      </c>
      <c r="D265" t="s">
        <v>1424</v>
      </c>
      <c r="E265">
        <v>689</v>
      </c>
      <c r="F265">
        <v>0</v>
      </c>
      <c r="G265">
        <v>0</v>
      </c>
      <c r="H265">
        <v>895</v>
      </c>
      <c r="I265">
        <v>50</v>
      </c>
      <c r="J265">
        <v>0</v>
      </c>
    </row>
    <row r="266" spans="1:10" x14ac:dyDescent="0.25">
      <c r="A266">
        <v>21456</v>
      </c>
      <c r="B266" t="s">
        <v>3212</v>
      </c>
      <c r="C266" t="s">
        <v>36</v>
      </c>
      <c r="D266" t="s">
        <v>80</v>
      </c>
      <c r="E266">
        <v>688</v>
      </c>
      <c r="F266">
        <v>0</v>
      </c>
      <c r="G266">
        <v>0</v>
      </c>
      <c r="H266">
        <v>2106</v>
      </c>
      <c r="I266">
        <v>115</v>
      </c>
      <c r="J266">
        <v>0</v>
      </c>
    </row>
    <row r="267" spans="1:10" x14ac:dyDescent="0.25">
      <c r="A267">
        <v>61496</v>
      </c>
      <c r="B267" t="s">
        <v>3213</v>
      </c>
      <c r="C267" t="s">
        <v>3039</v>
      </c>
      <c r="D267" t="s">
        <v>1265</v>
      </c>
      <c r="E267">
        <v>687</v>
      </c>
      <c r="F267">
        <v>0</v>
      </c>
      <c r="G267">
        <v>0</v>
      </c>
      <c r="H267">
        <v>1381</v>
      </c>
      <c r="I267">
        <v>10</v>
      </c>
      <c r="J267">
        <v>0</v>
      </c>
    </row>
    <row r="268" spans="1:10" x14ac:dyDescent="0.25">
      <c r="A268">
        <v>62234</v>
      </c>
      <c r="B268" t="s">
        <v>3213</v>
      </c>
      <c r="C268" t="s">
        <v>1267</v>
      </c>
      <c r="D268" t="s">
        <v>1286</v>
      </c>
      <c r="E268">
        <v>686</v>
      </c>
      <c r="F268">
        <v>0</v>
      </c>
      <c r="G268">
        <v>0</v>
      </c>
      <c r="H268">
        <v>1632</v>
      </c>
      <c r="I268">
        <v>30</v>
      </c>
      <c r="J268">
        <v>0</v>
      </c>
    </row>
    <row r="269" spans="1:10" x14ac:dyDescent="0.25">
      <c r="A269">
        <v>33117</v>
      </c>
      <c r="B269" t="s">
        <v>3215</v>
      </c>
      <c r="C269" t="s">
        <v>597</v>
      </c>
      <c r="D269" t="s">
        <v>600</v>
      </c>
      <c r="E269">
        <v>686</v>
      </c>
      <c r="F269">
        <v>0</v>
      </c>
      <c r="G269">
        <v>0</v>
      </c>
      <c r="H269">
        <v>4759</v>
      </c>
      <c r="I269">
        <v>50</v>
      </c>
      <c r="J269">
        <v>0</v>
      </c>
    </row>
    <row r="270" spans="1:10" x14ac:dyDescent="0.25">
      <c r="A270">
        <v>71281</v>
      </c>
      <c r="B270" t="s">
        <v>3218</v>
      </c>
      <c r="C270" t="s">
        <v>3218</v>
      </c>
      <c r="D270" t="s">
        <v>1442</v>
      </c>
      <c r="E270">
        <v>673</v>
      </c>
      <c r="F270">
        <v>0</v>
      </c>
      <c r="G270">
        <v>0</v>
      </c>
      <c r="H270">
        <v>3693</v>
      </c>
      <c r="I270">
        <v>46</v>
      </c>
      <c r="J270">
        <v>0</v>
      </c>
    </row>
    <row r="271" spans="1:10" x14ac:dyDescent="0.25">
      <c r="A271">
        <v>25166</v>
      </c>
      <c r="B271" t="s">
        <v>3212</v>
      </c>
      <c r="C271" t="s">
        <v>3229</v>
      </c>
      <c r="D271" t="s">
        <v>371</v>
      </c>
      <c r="E271">
        <v>673</v>
      </c>
      <c r="F271">
        <v>0</v>
      </c>
      <c r="G271">
        <v>0</v>
      </c>
      <c r="H271">
        <v>3525</v>
      </c>
      <c r="I271">
        <v>277</v>
      </c>
      <c r="J271">
        <v>0</v>
      </c>
    </row>
    <row r="272" spans="1:10" x14ac:dyDescent="0.25">
      <c r="A272">
        <v>33133</v>
      </c>
      <c r="B272" t="s">
        <v>3215</v>
      </c>
      <c r="C272" t="s">
        <v>597</v>
      </c>
      <c r="D272" t="s">
        <v>608</v>
      </c>
      <c r="E272">
        <v>666</v>
      </c>
      <c r="F272">
        <v>0</v>
      </c>
      <c r="G272">
        <v>0</v>
      </c>
      <c r="H272">
        <v>1891</v>
      </c>
      <c r="J272">
        <v>0</v>
      </c>
    </row>
    <row r="273" spans="1:10" x14ac:dyDescent="0.25">
      <c r="A273">
        <v>25161</v>
      </c>
      <c r="B273" t="s">
        <v>3212</v>
      </c>
      <c r="C273" t="s">
        <v>3229</v>
      </c>
      <c r="D273" t="s">
        <v>370</v>
      </c>
      <c r="E273">
        <v>665</v>
      </c>
      <c r="F273">
        <v>0</v>
      </c>
      <c r="G273">
        <v>0</v>
      </c>
      <c r="H273">
        <v>4127</v>
      </c>
      <c r="I273">
        <v>193</v>
      </c>
      <c r="J273">
        <v>0</v>
      </c>
    </row>
    <row r="274" spans="1:10" x14ac:dyDescent="0.25">
      <c r="A274">
        <v>21351</v>
      </c>
      <c r="B274" t="s">
        <v>3212</v>
      </c>
      <c r="C274" t="s">
        <v>36</v>
      </c>
      <c r="D274" t="s">
        <v>58</v>
      </c>
      <c r="E274">
        <v>658</v>
      </c>
      <c r="F274">
        <v>0</v>
      </c>
      <c r="G274">
        <v>0</v>
      </c>
      <c r="H274">
        <v>3380</v>
      </c>
      <c r="I274">
        <v>183</v>
      </c>
      <c r="J274">
        <v>0</v>
      </c>
    </row>
    <row r="275" spans="1:10" x14ac:dyDescent="0.25">
      <c r="A275">
        <v>37377</v>
      </c>
      <c r="B275" t="s">
        <v>3215</v>
      </c>
      <c r="C275" t="s">
        <v>3228</v>
      </c>
      <c r="D275" t="s">
        <v>957</v>
      </c>
      <c r="E275">
        <v>655</v>
      </c>
      <c r="F275">
        <v>0</v>
      </c>
      <c r="G275">
        <v>0</v>
      </c>
      <c r="H275">
        <v>1046</v>
      </c>
      <c r="I275">
        <v>3</v>
      </c>
      <c r="J275">
        <v>0</v>
      </c>
    </row>
    <row r="276" spans="1:10" x14ac:dyDescent="0.25">
      <c r="A276">
        <v>35113</v>
      </c>
      <c r="B276" t="s">
        <v>3217</v>
      </c>
      <c r="C276" t="s">
        <v>3217</v>
      </c>
      <c r="D276" t="s">
        <v>723</v>
      </c>
      <c r="E276">
        <v>654</v>
      </c>
      <c r="F276">
        <v>0</v>
      </c>
      <c r="G276">
        <v>0</v>
      </c>
      <c r="H276">
        <v>2484</v>
      </c>
      <c r="I276">
        <v>4</v>
      </c>
      <c r="J276">
        <v>0</v>
      </c>
    </row>
    <row r="277" spans="1:10" x14ac:dyDescent="0.25">
      <c r="A277">
        <v>35475</v>
      </c>
      <c r="B277" t="s">
        <v>3217</v>
      </c>
      <c r="C277" t="s">
        <v>3217</v>
      </c>
      <c r="D277" t="s">
        <v>2902</v>
      </c>
      <c r="E277">
        <v>652</v>
      </c>
      <c r="F277">
        <v>0</v>
      </c>
      <c r="G277">
        <v>0</v>
      </c>
      <c r="H277">
        <v>311</v>
      </c>
      <c r="J277">
        <v>0</v>
      </c>
    </row>
    <row r="278" spans="1:10" x14ac:dyDescent="0.25">
      <c r="A278">
        <v>71122</v>
      </c>
      <c r="B278" t="s">
        <v>3218</v>
      </c>
      <c r="C278" t="s">
        <v>3218</v>
      </c>
      <c r="D278" t="s">
        <v>1422</v>
      </c>
      <c r="E278">
        <v>651</v>
      </c>
      <c r="F278">
        <v>0</v>
      </c>
      <c r="G278">
        <v>0</v>
      </c>
      <c r="H278">
        <v>5956</v>
      </c>
      <c r="I278">
        <v>81</v>
      </c>
      <c r="J278">
        <v>0</v>
      </c>
    </row>
    <row r="279" spans="1:10" x14ac:dyDescent="0.25">
      <c r="A279">
        <v>55111</v>
      </c>
      <c r="B279" t="s">
        <v>3214</v>
      </c>
      <c r="C279" t="s">
        <v>3222</v>
      </c>
      <c r="D279" t="s">
        <v>1163</v>
      </c>
      <c r="E279">
        <v>650</v>
      </c>
      <c r="F279">
        <v>0</v>
      </c>
      <c r="G279">
        <v>0</v>
      </c>
      <c r="H279">
        <v>5144</v>
      </c>
      <c r="I279">
        <v>23</v>
      </c>
      <c r="J279">
        <v>0</v>
      </c>
    </row>
    <row r="280" spans="1:10" x14ac:dyDescent="0.25">
      <c r="A280">
        <v>62229</v>
      </c>
      <c r="B280" t="s">
        <v>3213</v>
      </c>
      <c r="C280" t="s">
        <v>1267</v>
      </c>
      <c r="D280" t="s">
        <v>1283</v>
      </c>
      <c r="E280">
        <v>648</v>
      </c>
      <c r="F280">
        <v>261</v>
      </c>
      <c r="G280">
        <v>86</v>
      </c>
      <c r="H280">
        <v>4482</v>
      </c>
      <c r="I280">
        <v>110</v>
      </c>
      <c r="J280">
        <v>7.7420794288264164E-2</v>
      </c>
    </row>
    <row r="281" spans="1:10" x14ac:dyDescent="0.25">
      <c r="A281">
        <v>23336</v>
      </c>
      <c r="B281" t="s">
        <v>3212</v>
      </c>
      <c r="C281" t="s">
        <v>3220</v>
      </c>
      <c r="D281" t="s">
        <v>216</v>
      </c>
      <c r="E281">
        <v>647</v>
      </c>
      <c r="F281">
        <v>0</v>
      </c>
      <c r="G281">
        <v>0</v>
      </c>
      <c r="H281">
        <v>3172</v>
      </c>
      <c r="I281">
        <v>179</v>
      </c>
      <c r="J281">
        <v>0</v>
      </c>
    </row>
    <row r="282" spans="1:10" x14ac:dyDescent="0.25">
      <c r="A282">
        <v>52214</v>
      </c>
      <c r="B282" t="s">
        <v>3214</v>
      </c>
      <c r="C282" t="s">
        <v>3221</v>
      </c>
      <c r="D282" t="s">
        <v>1044</v>
      </c>
      <c r="E282">
        <v>632</v>
      </c>
      <c r="F282">
        <v>0</v>
      </c>
      <c r="G282">
        <v>0</v>
      </c>
      <c r="H282">
        <v>2419</v>
      </c>
      <c r="I282">
        <v>113</v>
      </c>
      <c r="J282">
        <v>0</v>
      </c>
    </row>
    <row r="283" spans="1:10" x14ac:dyDescent="0.25">
      <c r="A283">
        <v>62253</v>
      </c>
      <c r="B283" t="s">
        <v>3213</v>
      </c>
      <c r="C283" t="s">
        <v>1267</v>
      </c>
      <c r="D283" t="s">
        <v>2989</v>
      </c>
      <c r="E283">
        <v>627</v>
      </c>
      <c r="F283">
        <v>261</v>
      </c>
      <c r="G283">
        <v>0</v>
      </c>
      <c r="H283">
        <v>3275</v>
      </c>
      <c r="I283">
        <v>41</v>
      </c>
      <c r="J283">
        <v>7.969465648854962E-2</v>
      </c>
    </row>
    <row r="284" spans="1:10" x14ac:dyDescent="0.25">
      <c r="A284">
        <v>61233</v>
      </c>
      <c r="B284" t="s">
        <v>3213</v>
      </c>
      <c r="C284" t="s">
        <v>3039</v>
      </c>
      <c r="D284" t="s">
        <v>1200</v>
      </c>
      <c r="E284">
        <v>623</v>
      </c>
      <c r="F284">
        <v>539</v>
      </c>
      <c r="G284">
        <v>0</v>
      </c>
      <c r="H284">
        <v>1460</v>
      </c>
      <c r="I284">
        <v>66</v>
      </c>
      <c r="J284">
        <v>0.36917808219178083</v>
      </c>
    </row>
    <row r="285" spans="1:10" x14ac:dyDescent="0.25">
      <c r="A285">
        <v>22351</v>
      </c>
      <c r="B285" t="s">
        <v>3212</v>
      </c>
      <c r="C285" t="s">
        <v>3224</v>
      </c>
      <c r="D285" t="s">
        <v>100</v>
      </c>
      <c r="E285">
        <v>615</v>
      </c>
      <c r="F285">
        <v>0</v>
      </c>
      <c r="G285">
        <v>0</v>
      </c>
      <c r="H285">
        <v>12272</v>
      </c>
      <c r="I285">
        <v>1190</v>
      </c>
      <c r="J285">
        <v>0</v>
      </c>
    </row>
    <row r="286" spans="1:10" x14ac:dyDescent="0.25">
      <c r="A286">
        <v>22475</v>
      </c>
      <c r="B286" t="s">
        <v>3212</v>
      </c>
      <c r="C286" t="s">
        <v>3224</v>
      </c>
      <c r="D286" t="s">
        <v>122</v>
      </c>
      <c r="E286">
        <v>614</v>
      </c>
      <c r="F286">
        <v>0</v>
      </c>
      <c r="G286">
        <v>0</v>
      </c>
      <c r="H286">
        <v>4912</v>
      </c>
      <c r="I286">
        <v>889</v>
      </c>
      <c r="J286">
        <v>0</v>
      </c>
    </row>
    <row r="287" spans="1:10" x14ac:dyDescent="0.25">
      <c r="A287">
        <v>62254</v>
      </c>
      <c r="B287" t="s">
        <v>3213</v>
      </c>
      <c r="C287" t="s">
        <v>1267</v>
      </c>
      <c r="D287" t="s">
        <v>2990</v>
      </c>
      <c r="E287">
        <v>612</v>
      </c>
      <c r="F287">
        <v>0</v>
      </c>
      <c r="G287">
        <v>0</v>
      </c>
      <c r="H287">
        <v>4755</v>
      </c>
      <c r="I287">
        <v>65</v>
      </c>
      <c r="J287">
        <v>0</v>
      </c>
    </row>
    <row r="288" spans="1:10" x14ac:dyDescent="0.25">
      <c r="A288">
        <v>53465</v>
      </c>
      <c r="B288" t="s">
        <v>3216</v>
      </c>
      <c r="C288" t="s">
        <v>1069</v>
      </c>
      <c r="D288" t="s">
        <v>1146</v>
      </c>
      <c r="E288">
        <v>611</v>
      </c>
      <c r="F288">
        <v>0</v>
      </c>
      <c r="G288">
        <v>0</v>
      </c>
      <c r="H288">
        <v>0</v>
      </c>
      <c r="J288">
        <v>0</v>
      </c>
    </row>
    <row r="289" spans="1:10" x14ac:dyDescent="0.25">
      <c r="A289">
        <v>53143</v>
      </c>
      <c r="B289" t="s">
        <v>3216</v>
      </c>
      <c r="C289" t="s">
        <v>1069</v>
      </c>
      <c r="D289" t="s">
        <v>2950</v>
      </c>
      <c r="E289">
        <v>610</v>
      </c>
      <c r="F289">
        <v>0</v>
      </c>
      <c r="G289">
        <v>0</v>
      </c>
      <c r="H289">
        <v>2333</v>
      </c>
      <c r="I289">
        <v>8</v>
      </c>
      <c r="J289">
        <v>0</v>
      </c>
    </row>
    <row r="290" spans="1:10" x14ac:dyDescent="0.25">
      <c r="A290">
        <v>52295</v>
      </c>
      <c r="B290" t="s">
        <v>3214</v>
      </c>
      <c r="C290" t="s">
        <v>3221</v>
      </c>
      <c r="D290" t="s">
        <v>1068</v>
      </c>
      <c r="E290">
        <v>608</v>
      </c>
      <c r="F290">
        <v>0</v>
      </c>
      <c r="G290">
        <v>0</v>
      </c>
      <c r="H290">
        <v>704</v>
      </c>
      <c r="I290">
        <v>5</v>
      </c>
      <c r="J290">
        <v>0</v>
      </c>
    </row>
    <row r="291" spans="1:10" x14ac:dyDescent="0.25">
      <c r="A291">
        <v>61417</v>
      </c>
      <c r="B291" t="s">
        <v>3213</v>
      </c>
      <c r="C291" t="s">
        <v>3039</v>
      </c>
      <c r="D291" t="s">
        <v>1216</v>
      </c>
      <c r="E291">
        <v>604</v>
      </c>
      <c r="F291">
        <v>0</v>
      </c>
      <c r="G291">
        <v>0</v>
      </c>
      <c r="H291">
        <v>1682</v>
      </c>
      <c r="I291">
        <v>47</v>
      </c>
      <c r="J291">
        <v>0</v>
      </c>
    </row>
    <row r="292" spans="1:10" x14ac:dyDescent="0.25">
      <c r="A292">
        <v>55157</v>
      </c>
      <c r="B292" t="s">
        <v>3214</v>
      </c>
      <c r="C292" t="s">
        <v>3222</v>
      </c>
      <c r="D292" t="s">
        <v>1177</v>
      </c>
      <c r="E292">
        <v>603</v>
      </c>
      <c r="F292">
        <v>0</v>
      </c>
      <c r="G292">
        <v>0</v>
      </c>
      <c r="H292">
        <v>2095</v>
      </c>
      <c r="I292">
        <v>85</v>
      </c>
      <c r="J292">
        <v>0</v>
      </c>
    </row>
    <row r="293" spans="1:10" x14ac:dyDescent="0.25">
      <c r="A293">
        <v>34386</v>
      </c>
      <c r="B293" t="s">
        <v>3215</v>
      </c>
      <c r="C293" t="s">
        <v>3226</v>
      </c>
      <c r="D293" t="s">
        <v>721</v>
      </c>
      <c r="E293">
        <v>598</v>
      </c>
      <c r="F293">
        <v>0</v>
      </c>
      <c r="G293">
        <v>0</v>
      </c>
      <c r="H293">
        <v>1891</v>
      </c>
      <c r="I293">
        <v>40</v>
      </c>
      <c r="J293">
        <v>0</v>
      </c>
    </row>
    <row r="294" spans="1:10" x14ac:dyDescent="0.25">
      <c r="A294">
        <v>71256</v>
      </c>
      <c r="B294" t="s">
        <v>3218</v>
      </c>
      <c r="C294" t="s">
        <v>3218</v>
      </c>
      <c r="D294" t="s">
        <v>1437</v>
      </c>
      <c r="E294">
        <v>597</v>
      </c>
      <c r="F294">
        <v>0</v>
      </c>
      <c r="G294">
        <v>0</v>
      </c>
      <c r="H294">
        <v>6624</v>
      </c>
      <c r="I294">
        <v>208</v>
      </c>
      <c r="J294">
        <v>0</v>
      </c>
    </row>
    <row r="295" spans="1:10" x14ac:dyDescent="0.25">
      <c r="A295">
        <v>24377</v>
      </c>
      <c r="B295" t="s">
        <v>3212</v>
      </c>
      <c r="C295" t="s">
        <v>1808</v>
      </c>
      <c r="D295" t="s">
        <v>335</v>
      </c>
      <c r="E295">
        <v>589</v>
      </c>
      <c r="F295">
        <v>0</v>
      </c>
      <c r="G295">
        <v>0</v>
      </c>
      <c r="H295">
        <v>2617</v>
      </c>
      <c r="J295">
        <v>0</v>
      </c>
    </row>
    <row r="296" spans="1:10" x14ac:dyDescent="0.25">
      <c r="A296">
        <v>53151</v>
      </c>
      <c r="B296" t="s">
        <v>3216</v>
      </c>
      <c r="C296" t="s">
        <v>1069</v>
      </c>
      <c r="D296" t="s">
        <v>1079</v>
      </c>
      <c r="E296">
        <v>588</v>
      </c>
      <c r="F296">
        <v>0</v>
      </c>
      <c r="G296">
        <v>0</v>
      </c>
      <c r="H296">
        <v>223</v>
      </c>
      <c r="I296">
        <v>1</v>
      </c>
      <c r="J296">
        <v>0</v>
      </c>
    </row>
    <row r="297" spans="1:10" x14ac:dyDescent="0.25">
      <c r="A297">
        <v>25151</v>
      </c>
      <c r="B297" t="s">
        <v>3212</v>
      </c>
      <c r="C297" t="s">
        <v>3229</v>
      </c>
      <c r="D297" t="s">
        <v>368</v>
      </c>
      <c r="E297">
        <v>587</v>
      </c>
      <c r="F297">
        <v>0</v>
      </c>
      <c r="G297">
        <v>0</v>
      </c>
      <c r="H297">
        <v>695</v>
      </c>
      <c r="I297">
        <v>88</v>
      </c>
      <c r="J297">
        <v>0</v>
      </c>
    </row>
    <row r="298" spans="1:10" x14ac:dyDescent="0.25">
      <c r="A298">
        <v>53155</v>
      </c>
      <c r="B298" t="s">
        <v>3216</v>
      </c>
      <c r="C298" t="s">
        <v>1069</v>
      </c>
      <c r="D298" t="s">
        <v>2951</v>
      </c>
      <c r="E298">
        <v>586</v>
      </c>
      <c r="F298">
        <v>0</v>
      </c>
      <c r="G298">
        <v>0</v>
      </c>
      <c r="H298">
        <v>1733</v>
      </c>
      <c r="I298">
        <v>29</v>
      </c>
      <c r="J298">
        <v>0</v>
      </c>
    </row>
    <row r="299" spans="1:10" x14ac:dyDescent="0.25">
      <c r="A299">
        <v>62179</v>
      </c>
      <c r="B299" t="s">
        <v>3213</v>
      </c>
      <c r="C299" t="s">
        <v>1267</v>
      </c>
      <c r="D299" t="s">
        <v>1270</v>
      </c>
      <c r="E299">
        <v>580</v>
      </c>
      <c r="F299">
        <v>261</v>
      </c>
      <c r="G299">
        <v>0</v>
      </c>
      <c r="H299">
        <v>3628</v>
      </c>
      <c r="I299">
        <v>72</v>
      </c>
      <c r="J299">
        <v>7.1940463065049615E-2</v>
      </c>
    </row>
    <row r="300" spans="1:10" x14ac:dyDescent="0.25">
      <c r="A300">
        <v>31171</v>
      </c>
      <c r="B300" t="s">
        <v>3215</v>
      </c>
      <c r="C300" t="s">
        <v>3225</v>
      </c>
      <c r="D300" t="s">
        <v>2876</v>
      </c>
      <c r="E300">
        <v>580</v>
      </c>
      <c r="F300">
        <v>207</v>
      </c>
      <c r="G300">
        <v>0</v>
      </c>
      <c r="H300">
        <v>7664</v>
      </c>
      <c r="I300">
        <v>68</v>
      </c>
      <c r="J300">
        <v>2.7009394572025051E-2</v>
      </c>
    </row>
    <row r="301" spans="1:10" x14ac:dyDescent="0.25">
      <c r="A301">
        <v>55124</v>
      </c>
      <c r="B301" t="s">
        <v>3214</v>
      </c>
      <c r="C301" t="s">
        <v>3222</v>
      </c>
      <c r="D301" t="s">
        <v>1167</v>
      </c>
      <c r="E301">
        <v>577</v>
      </c>
      <c r="F301">
        <v>0</v>
      </c>
      <c r="G301">
        <v>0</v>
      </c>
      <c r="H301">
        <v>1329</v>
      </c>
      <c r="I301">
        <v>11</v>
      </c>
      <c r="J301">
        <v>0</v>
      </c>
    </row>
    <row r="302" spans="1:10" x14ac:dyDescent="0.25">
      <c r="A302">
        <v>32123</v>
      </c>
      <c r="B302" t="s">
        <v>3215</v>
      </c>
      <c r="C302" t="s">
        <v>3223</v>
      </c>
      <c r="D302" t="s">
        <v>560</v>
      </c>
      <c r="E302">
        <v>574</v>
      </c>
      <c r="F302">
        <v>0</v>
      </c>
      <c r="G302">
        <v>0</v>
      </c>
      <c r="H302">
        <v>2550</v>
      </c>
      <c r="I302">
        <v>50</v>
      </c>
      <c r="J302">
        <v>0</v>
      </c>
    </row>
    <row r="303" spans="1:10" x14ac:dyDescent="0.25">
      <c r="A303">
        <v>53451</v>
      </c>
      <c r="B303" t="s">
        <v>3216</v>
      </c>
      <c r="C303" t="s">
        <v>1069</v>
      </c>
      <c r="D303" t="s">
        <v>1139</v>
      </c>
      <c r="E303">
        <v>573</v>
      </c>
      <c r="F303">
        <v>0</v>
      </c>
      <c r="G303">
        <v>0</v>
      </c>
      <c r="H303">
        <v>2900</v>
      </c>
      <c r="I303">
        <v>31</v>
      </c>
      <c r="J303">
        <v>0</v>
      </c>
    </row>
    <row r="304" spans="1:10" x14ac:dyDescent="0.25">
      <c r="A304">
        <v>36111</v>
      </c>
      <c r="B304" t="s">
        <v>3215</v>
      </c>
      <c r="C304" t="s">
        <v>2906</v>
      </c>
      <c r="D304" t="s">
        <v>2906</v>
      </c>
      <c r="E304">
        <v>569</v>
      </c>
      <c r="F304">
        <v>0</v>
      </c>
      <c r="G304">
        <v>0</v>
      </c>
      <c r="H304">
        <v>366</v>
      </c>
      <c r="I304">
        <v>107</v>
      </c>
      <c r="J304">
        <v>0</v>
      </c>
    </row>
    <row r="305" spans="1:10" x14ac:dyDescent="0.25">
      <c r="A305">
        <v>37317</v>
      </c>
      <c r="B305" t="s">
        <v>3215</v>
      </c>
      <c r="C305" t="s">
        <v>3228</v>
      </c>
      <c r="D305" t="s">
        <v>922</v>
      </c>
      <c r="E305">
        <v>569</v>
      </c>
      <c r="F305">
        <v>0</v>
      </c>
      <c r="G305">
        <v>0</v>
      </c>
      <c r="H305">
        <v>2098</v>
      </c>
      <c r="I305">
        <v>3</v>
      </c>
      <c r="J305">
        <v>0</v>
      </c>
    </row>
    <row r="306" spans="1:10" x14ac:dyDescent="0.25">
      <c r="A306">
        <v>22667</v>
      </c>
      <c r="B306" t="s">
        <v>3212</v>
      </c>
      <c r="C306" t="s">
        <v>3224</v>
      </c>
      <c r="D306" t="s">
        <v>155</v>
      </c>
      <c r="E306">
        <v>562</v>
      </c>
      <c r="F306">
        <v>0</v>
      </c>
      <c r="G306">
        <v>0</v>
      </c>
      <c r="H306">
        <v>7991</v>
      </c>
      <c r="I306">
        <v>1933</v>
      </c>
      <c r="J306">
        <v>0</v>
      </c>
    </row>
    <row r="307" spans="1:10" x14ac:dyDescent="0.25">
      <c r="A307">
        <v>35328</v>
      </c>
      <c r="B307" t="s">
        <v>3217</v>
      </c>
      <c r="C307" t="s">
        <v>3217</v>
      </c>
      <c r="D307" t="s">
        <v>817</v>
      </c>
      <c r="E307">
        <v>558</v>
      </c>
      <c r="F307">
        <v>0</v>
      </c>
      <c r="G307">
        <v>0</v>
      </c>
      <c r="H307">
        <v>3596</v>
      </c>
      <c r="I307">
        <v>18</v>
      </c>
      <c r="J307">
        <v>0</v>
      </c>
    </row>
    <row r="308" spans="1:10" x14ac:dyDescent="0.25">
      <c r="A308">
        <v>32187</v>
      </c>
      <c r="B308" t="s">
        <v>3215</v>
      </c>
      <c r="C308" t="s">
        <v>3223</v>
      </c>
      <c r="D308" t="s">
        <v>592</v>
      </c>
      <c r="E308">
        <v>558</v>
      </c>
      <c r="F308">
        <v>0</v>
      </c>
      <c r="G308">
        <v>0</v>
      </c>
      <c r="H308">
        <v>2606</v>
      </c>
      <c r="I308">
        <v>30</v>
      </c>
      <c r="J308">
        <v>0</v>
      </c>
    </row>
    <row r="309" spans="1:10" x14ac:dyDescent="0.25">
      <c r="A309">
        <v>51184</v>
      </c>
      <c r="B309" t="s">
        <v>3214</v>
      </c>
      <c r="C309" t="s">
        <v>3045</v>
      </c>
      <c r="D309" t="s">
        <v>987</v>
      </c>
      <c r="E309">
        <v>557</v>
      </c>
      <c r="F309">
        <v>0</v>
      </c>
      <c r="G309">
        <v>0</v>
      </c>
      <c r="H309">
        <v>791</v>
      </c>
      <c r="I309">
        <v>269</v>
      </c>
      <c r="J309">
        <v>0</v>
      </c>
    </row>
    <row r="310" spans="1:10" x14ac:dyDescent="0.25">
      <c r="A310">
        <v>61489</v>
      </c>
      <c r="B310" t="s">
        <v>3213</v>
      </c>
      <c r="C310" t="s">
        <v>3039</v>
      </c>
      <c r="D310" t="s">
        <v>1261</v>
      </c>
      <c r="E310">
        <v>555</v>
      </c>
      <c r="F310">
        <v>1221</v>
      </c>
      <c r="G310">
        <v>0</v>
      </c>
      <c r="H310">
        <v>4412</v>
      </c>
      <c r="I310">
        <v>149</v>
      </c>
      <c r="J310">
        <v>0.27674524025385311</v>
      </c>
    </row>
    <row r="311" spans="1:10" x14ac:dyDescent="0.25">
      <c r="A311">
        <v>22797</v>
      </c>
      <c r="B311" t="s">
        <v>3212</v>
      </c>
      <c r="C311" t="s">
        <v>3224</v>
      </c>
      <c r="D311" t="s">
        <v>186</v>
      </c>
      <c r="E311">
        <v>553</v>
      </c>
      <c r="F311">
        <v>0</v>
      </c>
      <c r="G311">
        <v>0</v>
      </c>
      <c r="H311">
        <v>3746</v>
      </c>
      <c r="I311">
        <v>97</v>
      </c>
      <c r="J311">
        <v>0</v>
      </c>
    </row>
    <row r="312" spans="1:10" x14ac:dyDescent="0.25">
      <c r="A312">
        <v>33123</v>
      </c>
      <c r="B312" t="s">
        <v>3215</v>
      </c>
      <c r="C312" t="s">
        <v>597</v>
      </c>
      <c r="D312" t="s">
        <v>603</v>
      </c>
      <c r="E312">
        <v>553</v>
      </c>
      <c r="F312">
        <v>0</v>
      </c>
      <c r="G312">
        <v>0</v>
      </c>
      <c r="H312">
        <v>5398</v>
      </c>
      <c r="I312">
        <v>18</v>
      </c>
      <c r="J312">
        <v>0</v>
      </c>
    </row>
    <row r="313" spans="1:10" x14ac:dyDescent="0.25">
      <c r="A313">
        <v>61461</v>
      </c>
      <c r="B313" t="s">
        <v>3213</v>
      </c>
      <c r="C313" t="s">
        <v>3039</v>
      </c>
      <c r="D313" t="s">
        <v>2976</v>
      </c>
      <c r="E313">
        <v>550</v>
      </c>
      <c r="F313">
        <v>0</v>
      </c>
      <c r="G313">
        <v>0</v>
      </c>
      <c r="H313">
        <v>4894</v>
      </c>
      <c r="I313">
        <v>105</v>
      </c>
      <c r="J313">
        <v>0</v>
      </c>
    </row>
    <row r="314" spans="1:10" x14ac:dyDescent="0.25">
      <c r="A314">
        <v>26117</v>
      </c>
      <c r="B314" t="s">
        <v>3212</v>
      </c>
      <c r="C314" t="s">
        <v>3227</v>
      </c>
      <c r="D314" t="s">
        <v>439</v>
      </c>
      <c r="E314">
        <v>549</v>
      </c>
      <c r="F314">
        <v>0</v>
      </c>
      <c r="G314">
        <v>0</v>
      </c>
      <c r="H314">
        <v>351</v>
      </c>
      <c r="I314">
        <v>218</v>
      </c>
      <c r="J314">
        <v>0</v>
      </c>
    </row>
    <row r="315" spans="1:10" x14ac:dyDescent="0.25">
      <c r="A315">
        <v>24315</v>
      </c>
      <c r="B315" t="s">
        <v>3212</v>
      </c>
      <c r="C315" t="s">
        <v>1808</v>
      </c>
      <c r="D315" t="s">
        <v>2846</v>
      </c>
      <c r="E315">
        <v>547</v>
      </c>
      <c r="F315">
        <v>0</v>
      </c>
      <c r="G315">
        <v>0</v>
      </c>
      <c r="H315">
        <v>4756</v>
      </c>
      <c r="I315">
        <v>55</v>
      </c>
      <c r="J315">
        <v>0</v>
      </c>
    </row>
    <row r="316" spans="1:10" x14ac:dyDescent="0.25">
      <c r="A316">
        <v>23439</v>
      </c>
      <c r="B316" t="s">
        <v>3212</v>
      </c>
      <c r="C316" t="s">
        <v>3220</v>
      </c>
      <c r="D316" t="s">
        <v>243</v>
      </c>
      <c r="E316">
        <v>543</v>
      </c>
      <c r="F316">
        <v>0</v>
      </c>
      <c r="G316">
        <v>0</v>
      </c>
      <c r="H316">
        <v>2826</v>
      </c>
      <c r="I316">
        <v>92</v>
      </c>
      <c r="J316">
        <v>0</v>
      </c>
    </row>
    <row r="317" spans="1:10" x14ac:dyDescent="0.25">
      <c r="A317">
        <v>37363</v>
      </c>
      <c r="B317" t="s">
        <v>3215</v>
      </c>
      <c r="C317" t="s">
        <v>3228</v>
      </c>
      <c r="D317" t="s">
        <v>950</v>
      </c>
      <c r="E317">
        <v>543</v>
      </c>
      <c r="F317">
        <v>0</v>
      </c>
      <c r="G317">
        <v>0</v>
      </c>
      <c r="H317">
        <v>1381</v>
      </c>
      <c r="I317">
        <v>5</v>
      </c>
      <c r="J317">
        <v>0</v>
      </c>
    </row>
    <row r="318" spans="1:10" x14ac:dyDescent="0.25">
      <c r="A318">
        <v>73282</v>
      </c>
      <c r="B318" t="s">
        <v>3218</v>
      </c>
      <c r="C318" t="s">
        <v>1508</v>
      </c>
      <c r="D318" t="s">
        <v>1538</v>
      </c>
      <c r="E318">
        <v>543</v>
      </c>
      <c r="F318">
        <v>0</v>
      </c>
      <c r="G318">
        <v>0</v>
      </c>
      <c r="H318">
        <v>1087</v>
      </c>
      <c r="I318">
        <v>13</v>
      </c>
      <c r="J318">
        <v>0</v>
      </c>
    </row>
    <row r="319" spans="1:10" x14ac:dyDescent="0.25">
      <c r="A319">
        <v>32131</v>
      </c>
      <c r="B319" t="s">
        <v>3215</v>
      </c>
      <c r="C319" t="s">
        <v>3223</v>
      </c>
      <c r="D319" t="s">
        <v>564</v>
      </c>
      <c r="E319">
        <v>536</v>
      </c>
      <c r="F319">
        <v>0</v>
      </c>
      <c r="G319">
        <v>0</v>
      </c>
      <c r="H319">
        <v>2416</v>
      </c>
      <c r="I319">
        <v>25</v>
      </c>
      <c r="J319">
        <v>0</v>
      </c>
    </row>
    <row r="320" spans="1:10" x14ac:dyDescent="0.25">
      <c r="A320">
        <v>61463</v>
      </c>
      <c r="B320" t="s">
        <v>3213</v>
      </c>
      <c r="C320" t="s">
        <v>3039</v>
      </c>
      <c r="D320" t="s">
        <v>2977</v>
      </c>
      <c r="E320">
        <v>535</v>
      </c>
      <c r="F320">
        <v>0</v>
      </c>
      <c r="G320">
        <v>0</v>
      </c>
      <c r="H320">
        <v>2920</v>
      </c>
      <c r="I320">
        <v>58</v>
      </c>
      <c r="J320">
        <v>0</v>
      </c>
    </row>
    <row r="321" spans="1:10" x14ac:dyDescent="0.25">
      <c r="A321">
        <v>33211</v>
      </c>
      <c r="B321" t="s">
        <v>3215</v>
      </c>
      <c r="C321" t="s">
        <v>597</v>
      </c>
      <c r="D321" t="s">
        <v>629</v>
      </c>
      <c r="E321">
        <v>535</v>
      </c>
      <c r="F321">
        <v>0</v>
      </c>
      <c r="G321">
        <v>0</v>
      </c>
      <c r="H321">
        <v>20</v>
      </c>
      <c r="I321">
        <v>13</v>
      </c>
      <c r="J321">
        <v>0</v>
      </c>
    </row>
    <row r="322" spans="1:10" x14ac:dyDescent="0.25">
      <c r="A322">
        <v>71397</v>
      </c>
      <c r="B322" t="s">
        <v>3218</v>
      </c>
      <c r="C322" t="s">
        <v>3218</v>
      </c>
      <c r="D322" t="s">
        <v>3022</v>
      </c>
      <c r="E322">
        <v>534</v>
      </c>
      <c r="F322">
        <v>0</v>
      </c>
      <c r="G322">
        <v>0</v>
      </c>
      <c r="H322">
        <v>3936</v>
      </c>
      <c r="I322">
        <v>28</v>
      </c>
      <c r="J322">
        <v>0</v>
      </c>
    </row>
    <row r="323" spans="1:10" x14ac:dyDescent="0.25">
      <c r="A323">
        <v>52224</v>
      </c>
      <c r="B323" t="s">
        <v>3214</v>
      </c>
      <c r="C323" t="s">
        <v>3221</v>
      </c>
      <c r="D323" t="s">
        <v>1047</v>
      </c>
      <c r="E323">
        <v>529</v>
      </c>
      <c r="F323">
        <v>0</v>
      </c>
      <c r="G323">
        <v>0</v>
      </c>
      <c r="H323">
        <v>1258</v>
      </c>
      <c r="I323">
        <v>71</v>
      </c>
      <c r="J323">
        <v>0</v>
      </c>
    </row>
    <row r="324" spans="1:10" x14ac:dyDescent="0.25">
      <c r="A324">
        <v>35465</v>
      </c>
      <c r="B324" t="s">
        <v>3217</v>
      </c>
      <c r="C324" t="s">
        <v>3217</v>
      </c>
      <c r="D324" t="s">
        <v>2901</v>
      </c>
      <c r="E324">
        <v>528</v>
      </c>
      <c r="F324">
        <v>0</v>
      </c>
      <c r="G324">
        <v>0</v>
      </c>
      <c r="H324">
        <v>8</v>
      </c>
      <c r="J324">
        <v>0</v>
      </c>
    </row>
    <row r="325" spans="1:10" x14ac:dyDescent="0.25">
      <c r="A325">
        <v>23311</v>
      </c>
      <c r="B325" t="s">
        <v>3212</v>
      </c>
      <c r="C325" t="s">
        <v>3220</v>
      </c>
      <c r="D325" t="s">
        <v>211</v>
      </c>
      <c r="E325">
        <v>526</v>
      </c>
      <c r="F325">
        <v>0</v>
      </c>
      <c r="G325">
        <v>0</v>
      </c>
      <c r="H325">
        <v>706</v>
      </c>
      <c r="I325">
        <v>32</v>
      </c>
      <c r="J325">
        <v>0</v>
      </c>
    </row>
    <row r="326" spans="1:10" x14ac:dyDescent="0.25">
      <c r="A326">
        <v>71117</v>
      </c>
      <c r="B326" t="s">
        <v>3218</v>
      </c>
      <c r="C326" t="s">
        <v>3218</v>
      </c>
      <c r="D326" t="s">
        <v>1421</v>
      </c>
      <c r="E326">
        <v>522</v>
      </c>
      <c r="F326">
        <v>0</v>
      </c>
      <c r="G326">
        <v>0</v>
      </c>
      <c r="H326">
        <v>1467</v>
      </c>
      <c r="I326">
        <v>59</v>
      </c>
      <c r="J326">
        <v>0</v>
      </c>
    </row>
    <row r="327" spans="1:10" x14ac:dyDescent="0.25">
      <c r="A327">
        <v>35147</v>
      </c>
      <c r="B327" t="s">
        <v>3217</v>
      </c>
      <c r="C327" t="s">
        <v>3217</v>
      </c>
      <c r="D327" t="s">
        <v>743</v>
      </c>
      <c r="E327">
        <v>518</v>
      </c>
      <c r="F327">
        <v>0</v>
      </c>
      <c r="G327">
        <v>0</v>
      </c>
      <c r="H327">
        <v>2089</v>
      </c>
      <c r="I327">
        <v>15</v>
      </c>
      <c r="J327">
        <v>0</v>
      </c>
    </row>
    <row r="328" spans="1:10" x14ac:dyDescent="0.25">
      <c r="A328">
        <v>35427</v>
      </c>
      <c r="B328" t="s">
        <v>3217</v>
      </c>
      <c r="C328" t="s">
        <v>3217</v>
      </c>
      <c r="D328" t="s">
        <v>850</v>
      </c>
      <c r="E328">
        <v>514</v>
      </c>
      <c r="F328">
        <v>0</v>
      </c>
      <c r="G328">
        <v>0</v>
      </c>
      <c r="H328">
        <v>1340</v>
      </c>
      <c r="J328">
        <v>0</v>
      </c>
    </row>
    <row r="329" spans="1:10" x14ac:dyDescent="0.25">
      <c r="A329">
        <v>53433</v>
      </c>
      <c r="B329" t="s">
        <v>3216</v>
      </c>
      <c r="C329" t="s">
        <v>1069</v>
      </c>
      <c r="D329" t="s">
        <v>1130</v>
      </c>
      <c r="E329">
        <v>510</v>
      </c>
      <c r="F329">
        <v>0</v>
      </c>
      <c r="G329">
        <v>0</v>
      </c>
      <c r="H329">
        <v>400</v>
      </c>
      <c r="I329">
        <v>20</v>
      </c>
      <c r="J329">
        <v>0</v>
      </c>
    </row>
    <row r="330" spans="1:10" x14ac:dyDescent="0.25">
      <c r="A330">
        <v>25211</v>
      </c>
      <c r="B330" t="s">
        <v>3212</v>
      </c>
      <c r="C330" t="s">
        <v>3229</v>
      </c>
      <c r="D330" t="s">
        <v>375</v>
      </c>
      <c r="E330">
        <v>506</v>
      </c>
      <c r="F330">
        <v>0</v>
      </c>
      <c r="G330">
        <v>0</v>
      </c>
      <c r="H330">
        <v>5920</v>
      </c>
      <c r="I330">
        <v>444</v>
      </c>
      <c r="J330">
        <v>0</v>
      </c>
    </row>
    <row r="331" spans="1:10" x14ac:dyDescent="0.25">
      <c r="A331">
        <v>51177</v>
      </c>
      <c r="B331" t="s">
        <v>3214</v>
      </c>
      <c r="C331" t="s">
        <v>3045</v>
      </c>
      <c r="D331" t="s">
        <v>2933</v>
      </c>
      <c r="E331">
        <v>500</v>
      </c>
      <c r="F331">
        <v>0</v>
      </c>
      <c r="G331">
        <v>0</v>
      </c>
      <c r="H331">
        <v>857</v>
      </c>
      <c r="I331">
        <v>3</v>
      </c>
      <c r="J331">
        <v>0</v>
      </c>
    </row>
    <row r="332" spans="1:10" x14ac:dyDescent="0.25">
      <c r="A332">
        <v>23341</v>
      </c>
      <c r="B332" t="s">
        <v>3212</v>
      </c>
      <c r="C332" t="s">
        <v>3220</v>
      </c>
      <c r="D332" t="s">
        <v>2833</v>
      </c>
      <c r="E332">
        <v>499</v>
      </c>
      <c r="F332">
        <v>513</v>
      </c>
      <c r="G332">
        <v>0</v>
      </c>
      <c r="H332">
        <v>2898</v>
      </c>
      <c r="I332">
        <v>2</v>
      </c>
      <c r="J332">
        <v>0.17701863354037267</v>
      </c>
    </row>
    <row r="333" spans="1:10" x14ac:dyDescent="0.25">
      <c r="A333">
        <v>32125</v>
      </c>
      <c r="B333" t="s">
        <v>3215</v>
      </c>
      <c r="C333" t="s">
        <v>3223</v>
      </c>
      <c r="D333" t="s">
        <v>561</v>
      </c>
      <c r="E333">
        <v>493</v>
      </c>
      <c r="F333">
        <v>0</v>
      </c>
      <c r="G333">
        <v>0</v>
      </c>
      <c r="H333">
        <v>1620</v>
      </c>
      <c r="I333">
        <v>15</v>
      </c>
      <c r="J333">
        <v>0</v>
      </c>
    </row>
    <row r="334" spans="1:10" x14ac:dyDescent="0.25">
      <c r="A334">
        <v>25221</v>
      </c>
      <c r="B334" t="s">
        <v>3212</v>
      </c>
      <c r="C334" t="s">
        <v>3229</v>
      </c>
      <c r="D334" t="s">
        <v>376</v>
      </c>
      <c r="E334">
        <v>490</v>
      </c>
      <c r="F334">
        <v>0</v>
      </c>
      <c r="G334">
        <v>0</v>
      </c>
      <c r="H334">
        <v>5743</v>
      </c>
      <c r="I334">
        <v>286</v>
      </c>
      <c r="J334">
        <v>0</v>
      </c>
    </row>
    <row r="335" spans="1:10" x14ac:dyDescent="0.25">
      <c r="A335">
        <v>63111</v>
      </c>
      <c r="B335" t="s">
        <v>3213</v>
      </c>
      <c r="C335" t="s">
        <v>1342</v>
      </c>
      <c r="D335" t="s">
        <v>1342</v>
      </c>
      <c r="E335">
        <v>484</v>
      </c>
      <c r="F335">
        <v>0</v>
      </c>
      <c r="G335">
        <v>0</v>
      </c>
      <c r="H335">
        <v>7053</v>
      </c>
      <c r="I335">
        <v>60</v>
      </c>
      <c r="J335">
        <v>0</v>
      </c>
    </row>
    <row r="336" spans="1:10" x14ac:dyDescent="0.25">
      <c r="A336">
        <v>23413</v>
      </c>
      <c r="B336" t="s">
        <v>3212</v>
      </c>
      <c r="C336" t="s">
        <v>3220</v>
      </c>
      <c r="D336" t="s">
        <v>229</v>
      </c>
      <c r="E336">
        <v>483</v>
      </c>
      <c r="F336">
        <v>0</v>
      </c>
      <c r="G336">
        <v>0</v>
      </c>
      <c r="H336">
        <v>5333</v>
      </c>
      <c r="I336">
        <v>77</v>
      </c>
      <c r="J336">
        <v>0</v>
      </c>
    </row>
    <row r="337" spans="1:10" x14ac:dyDescent="0.25">
      <c r="A337">
        <v>23417</v>
      </c>
      <c r="B337" t="s">
        <v>3212</v>
      </c>
      <c r="C337" t="s">
        <v>3220</v>
      </c>
      <c r="D337" t="s">
        <v>2837</v>
      </c>
      <c r="E337">
        <v>483</v>
      </c>
      <c r="F337">
        <v>0</v>
      </c>
      <c r="G337">
        <v>0</v>
      </c>
      <c r="H337">
        <v>4347</v>
      </c>
      <c r="I337">
        <v>75</v>
      </c>
      <c r="J337">
        <v>0</v>
      </c>
    </row>
    <row r="338" spans="1:10" x14ac:dyDescent="0.25">
      <c r="A338">
        <v>24331</v>
      </c>
      <c r="B338" t="s">
        <v>3212</v>
      </c>
      <c r="C338" t="s">
        <v>1808</v>
      </c>
      <c r="D338" t="s">
        <v>312</v>
      </c>
      <c r="E338">
        <v>482</v>
      </c>
      <c r="F338">
        <v>0</v>
      </c>
      <c r="G338">
        <v>0</v>
      </c>
      <c r="H338">
        <v>723</v>
      </c>
      <c r="I338">
        <v>85</v>
      </c>
      <c r="J338">
        <v>0</v>
      </c>
    </row>
    <row r="339" spans="1:10" x14ac:dyDescent="0.25">
      <c r="A339">
        <v>53431</v>
      </c>
      <c r="B339" t="s">
        <v>3216</v>
      </c>
      <c r="C339" t="s">
        <v>1069</v>
      </c>
      <c r="D339" t="s">
        <v>1129</v>
      </c>
      <c r="E339">
        <v>481</v>
      </c>
      <c r="F339">
        <v>0</v>
      </c>
      <c r="G339">
        <v>0</v>
      </c>
      <c r="H339">
        <v>783</v>
      </c>
      <c r="I339">
        <v>13</v>
      </c>
      <c r="J339">
        <v>0</v>
      </c>
    </row>
    <row r="340" spans="1:10" x14ac:dyDescent="0.25">
      <c r="A340">
        <v>25411</v>
      </c>
      <c r="B340" t="s">
        <v>3212</v>
      </c>
      <c r="C340" t="s">
        <v>3229</v>
      </c>
      <c r="D340" t="s">
        <v>417</v>
      </c>
      <c r="E340">
        <v>480</v>
      </c>
      <c r="F340">
        <v>0</v>
      </c>
      <c r="G340">
        <v>0</v>
      </c>
      <c r="H340">
        <v>1408</v>
      </c>
      <c r="I340">
        <v>85</v>
      </c>
      <c r="J340">
        <v>0</v>
      </c>
    </row>
    <row r="341" spans="1:10" x14ac:dyDescent="0.25">
      <c r="A341">
        <v>62245</v>
      </c>
      <c r="B341" t="s">
        <v>3213</v>
      </c>
      <c r="C341" t="s">
        <v>1267</v>
      </c>
      <c r="D341" t="s">
        <v>1294</v>
      </c>
      <c r="E341">
        <v>479</v>
      </c>
      <c r="F341">
        <v>1832</v>
      </c>
      <c r="G341">
        <v>12</v>
      </c>
      <c r="H341">
        <v>2333</v>
      </c>
      <c r="I341">
        <v>40</v>
      </c>
      <c r="J341">
        <v>0.79039862837548225</v>
      </c>
    </row>
    <row r="342" spans="1:10" x14ac:dyDescent="0.25">
      <c r="A342">
        <v>21311</v>
      </c>
      <c r="B342" t="s">
        <v>3212</v>
      </c>
      <c r="C342" t="s">
        <v>36</v>
      </c>
      <c r="D342" t="s">
        <v>46</v>
      </c>
      <c r="E342">
        <v>476</v>
      </c>
      <c r="F342">
        <v>0</v>
      </c>
      <c r="G342">
        <v>0</v>
      </c>
      <c r="H342">
        <v>1872</v>
      </c>
      <c r="I342">
        <v>10</v>
      </c>
      <c r="J342">
        <v>0</v>
      </c>
    </row>
    <row r="343" spans="1:10" x14ac:dyDescent="0.25">
      <c r="A343">
        <v>33115</v>
      </c>
      <c r="B343" t="s">
        <v>3215</v>
      </c>
      <c r="C343" t="s">
        <v>597</v>
      </c>
      <c r="D343" t="s">
        <v>599</v>
      </c>
      <c r="E343">
        <v>474</v>
      </c>
      <c r="F343">
        <v>0</v>
      </c>
      <c r="G343">
        <v>0</v>
      </c>
      <c r="H343">
        <v>3572</v>
      </c>
      <c r="I343">
        <v>38</v>
      </c>
      <c r="J343">
        <v>0</v>
      </c>
    </row>
    <row r="344" spans="1:10" x14ac:dyDescent="0.25">
      <c r="A344">
        <v>53224</v>
      </c>
      <c r="B344" t="s">
        <v>3216</v>
      </c>
      <c r="C344" t="s">
        <v>1069</v>
      </c>
      <c r="D344" t="s">
        <v>1091</v>
      </c>
      <c r="E344">
        <v>472</v>
      </c>
      <c r="F344">
        <v>0</v>
      </c>
      <c r="G344">
        <v>0</v>
      </c>
      <c r="H344">
        <v>2227</v>
      </c>
      <c r="I344">
        <v>16</v>
      </c>
      <c r="J344">
        <v>0</v>
      </c>
    </row>
    <row r="345" spans="1:10" x14ac:dyDescent="0.25">
      <c r="A345">
        <v>24317</v>
      </c>
      <c r="B345" t="s">
        <v>3212</v>
      </c>
      <c r="C345" t="s">
        <v>1808</v>
      </c>
      <c r="D345" t="s">
        <v>2847</v>
      </c>
      <c r="E345">
        <v>468</v>
      </c>
      <c r="F345">
        <v>0</v>
      </c>
      <c r="G345">
        <v>0</v>
      </c>
      <c r="H345">
        <v>142</v>
      </c>
      <c r="I345">
        <v>12</v>
      </c>
      <c r="J345">
        <v>0</v>
      </c>
    </row>
    <row r="346" spans="1:10" x14ac:dyDescent="0.25">
      <c r="A346">
        <v>62211</v>
      </c>
      <c r="B346" t="s">
        <v>3213</v>
      </c>
      <c r="C346" t="s">
        <v>1267</v>
      </c>
      <c r="D346" t="s">
        <v>1271</v>
      </c>
      <c r="E346">
        <v>468</v>
      </c>
      <c r="F346">
        <v>261</v>
      </c>
      <c r="G346">
        <v>0</v>
      </c>
      <c r="H346">
        <v>6236</v>
      </c>
      <c r="I346">
        <v>60</v>
      </c>
      <c r="J346">
        <v>4.1853752405388071E-2</v>
      </c>
    </row>
    <row r="347" spans="1:10" x14ac:dyDescent="0.25">
      <c r="A347">
        <v>74130</v>
      </c>
      <c r="B347" t="s">
        <v>3218</v>
      </c>
      <c r="C347" t="s">
        <v>2784</v>
      </c>
      <c r="D347" t="s">
        <v>1551</v>
      </c>
      <c r="E347">
        <v>467</v>
      </c>
      <c r="F347">
        <v>0</v>
      </c>
      <c r="G347">
        <v>0</v>
      </c>
      <c r="H347">
        <v>4467</v>
      </c>
      <c r="I347">
        <v>25</v>
      </c>
      <c r="J347">
        <v>0</v>
      </c>
    </row>
    <row r="348" spans="1:10" x14ac:dyDescent="0.25">
      <c r="A348">
        <v>25427</v>
      </c>
      <c r="B348" t="s">
        <v>3212</v>
      </c>
      <c r="C348" t="s">
        <v>3229</v>
      </c>
      <c r="D348" t="s">
        <v>421</v>
      </c>
      <c r="E348">
        <v>467</v>
      </c>
      <c r="F348">
        <v>0</v>
      </c>
      <c r="G348">
        <v>0</v>
      </c>
      <c r="H348">
        <v>1681</v>
      </c>
      <c r="I348">
        <v>22</v>
      </c>
      <c r="J348">
        <v>0</v>
      </c>
    </row>
    <row r="349" spans="1:10" x14ac:dyDescent="0.25">
      <c r="A349">
        <v>23239</v>
      </c>
      <c r="B349" t="s">
        <v>3212</v>
      </c>
      <c r="C349" t="s">
        <v>3220</v>
      </c>
      <c r="D349" t="s">
        <v>199</v>
      </c>
      <c r="E349">
        <v>464</v>
      </c>
      <c r="F349">
        <v>513</v>
      </c>
      <c r="G349">
        <v>0</v>
      </c>
      <c r="H349">
        <v>5070</v>
      </c>
      <c r="I349">
        <v>68</v>
      </c>
      <c r="J349">
        <v>0.10118343195266272</v>
      </c>
    </row>
    <row r="350" spans="1:10" x14ac:dyDescent="0.25">
      <c r="A350">
        <v>53455</v>
      </c>
      <c r="B350" t="s">
        <v>3216</v>
      </c>
      <c r="C350" t="s">
        <v>1069</v>
      </c>
      <c r="D350" t="s">
        <v>1141</v>
      </c>
      <c r="E350">
        <v>463</v>
      </c>
      <c r="F350">
        <v>0</v>
      </c>
      <c r="G350">
        <v>0</v>
      </c>
      <c r="H350">
        <v>989</v>
      </c>
      <c r="J350">
        <v>0</v>
      </c>
    </row>
    <row r="351" spans="1:10" x14ac:dyDescent="0.25">
      <c r="A351">
        <v>61493</v>
      </c>
      <c r="B351" t="s">
        <v>3213</v>
      </c>
      <c r="C351" t="s">
        <v>3039</v>
      </c>
      <c r="D351" t="s">
        <v>1263</v>
      </c>
      <c r="E351">
        <v>463</v>
      </c>
      <c r="F351">
        <v>0</v>
      </c>
      <c r="G351">
        <v>0</v>
      </c>
      <c r="H351">
        <v>2576</v>
      </c>
      <c r="I351">
        <v>134</v>
      </c>
      <c r="J351">
        <v>0</v>
      </c>
    </row>
    <row r="352" spans="1:10" x14ac:dyDescent="0.25">
      <c r="A352">
        <v>61451</v>
      </c>
      <c r="B352" t="s">
        <v>3213</v>
      </c>
      <c r="C352" t="s">
        <v>3039</v>
      </c>
      <c r="D352" t="s">
        <v>1237</v>
      </c>
      <c r="E352">
        <v>463</v>
      </c>
      <c r="F352">
        <v>0</v>
      </c>
      <c r="G352">
        <v>0</v>
      </c>
      <c r="H352">
        <v>1127</v>
      </c>
      <c r="I352">
        <v>20</v>
      </c>
      <c r="J352">
        <v>0</v>
      </c>
    </row>
    <row r="353" spans="1:10" x14ac:dyDescent="0.25">
      <c r="A353">
        <v>53257</v>
      </c>
      <c r="B353" t="s">
        <v>3216</v>
      </c>
      <c r="C353" t="s">
        <v>1069</v>
      </c>
      <c r="D353" t="s">
        <v>1101</v>
      </c>
      <c r="E353">
        <v>462</v>
      </c>
      <c r="F353">
        <v>0</v>
      </c>
      <c r="G353">
        <v>0</v>
      </c>
      <c r="H353">
        <v>378</v>
      </c>
      <c r="I353">
        <v>12</v>
      </c>
      <c r="J353">
        <v>0</v>
      </c>
    </row>
    <row r="354" spans="1:10" x14ac:dyDescent="0.25">
      <c r="A354">
        <v>53135</v>
      </c>
      <c r="B354" t="s">
        <v>3216</v>
      </c>
      <c r="C354" t="s">
        <v>1069</v>
      </c>
      <c r="D354" t="s">
        <v>2949</v>
      </c>
      <c r="E354">
        <v>456</v>
      </c>
      <c r="F354">
        <v>0</v>
      </c>
      <c r="G354">
        <v>0</v>
      </c>
      <c r="H354">
        <v>805</v>
      </c>
      <c r="I354">
        <v>10</v>
      </c>
      <c r="J354">
        <v>0</v>
      </c>
    </row>
    <row r="355" spans="1:10" x14ac:dyDescent="0.25">
      <c r="A355">
        <v>71331</v>
      </c>
      <c r="B355" t="s">
        <v>3218</v>
      </c>
      <c r="C355" t="s">
        <v>3218</v>
      </c>
      <c r="D355" t="s">
        <v>1448</v>
      </c>
      <c r="E355">
        <v>454</v>
      </c>
      <c r="F355">
        <v>783</v>
      </c>
      <c r="G355">
        <v>0</v>
      </c>
      <c r="H355">
        <v>9132</v>
      </c>
      <c r="I355">
        <v>150</v>
      </c>
      <c r="J355">
        <v>8.5742444152431013E-2</v>
      </c>
    </row>
    <row r="356" spans="1:10" x14ac:dyDescent="0.25">
      <c r="A356">
        <v>72211</v>
      </c>
      <c r="B356" t="s">
        <v>3218</v>
      </c>
      <c r="C356" t="s">
        <v>3230</v>
      </c>
      <c r="D356" t="s">
        <v>1481</v>
      </c>
      <c r="E356">
        <v>452</v>
      </c>
      <c r="F356">
        <v>0</v>
      </c>
      <c r="G356">
        <v>0</v>
      </c>
      <c r="H356">
        <v>2536</v>
      </c>
      <c r="I356">
        <v>352</v>
      </c>
      <c r="J356">
        <v>0</v>
      </c>
    </row>
    <row r="357" spans="1:10" x14ac:dyDescent="0.25">
      <c r="A357">
        <v>22359</v>
      </c>
      <c r="B357" t="s">
        <v>3212</v>
      </c>
      <c r="C357" t="s">
        <v>3224</v>
      </c>
      <c r="D357" t="s">
        <v>101</v>
      </c>
      <c r="E357">
        <v>452</v>
      </c>
      <c r="F357">
        <v>0</v>
      </c>
      <c r="G357">
        <v>0</v>
      </c>
      <c r="H357">
        <v>3162</v>
      </c>
      <c r="I357">
        <v>160</v>
      </c>
      <c r="J357">
        <v>0</v>
      </c>
    </row>
    <row r="358" spans="1:10" x14ac:dyDescent="0.25">
      <c r="A358">
        <v>35267</v>
      </c>
      <c r="B358" t="s">
        <v>3217</v>
      </c>
      <c r="C358" t="s">
        <v>3217</v>
      </c>
      <c r="D358" t="s">
        <v>798</v>
      </c>
      <c r="E358">
        <v>450</v>
      </c>
      <c r="F358">
        <v>0</v>
      </c>
      <c r="G358">
        <v>0</v>
      </c>
      <c r="H358">
        <v>1127</v>
      </c>
      <c r="J358">
        <v>0</v>
      </c>
    </row>
    <row r="359" spans="1:10" x14ac:dyDescent="0.25">
      <c r="A359">
        <v>51133</v>
      </c>
      <c r="B359" t="s">
        <v>3214</v>
      </c>
      <c r="C359" t="s">
        <v>3045</v>
      </c>
      <c r="D359" t="s">
        <v>2930</v>
      </c>
      <c r="E359">
        <v>450</v>
      </c>
      <c r="F359">
        <v>0</v>
      </c>
      <c r="G359">
        <v>0</v>
      </c>
      <c r="H359">
        <v>3878</v>
      </c>
      <c r="J359">
        <v>0</v>
      </c>
    </row>
    <row r="360" spans="1:10" x14ac:dyDescent="0.25">
      <c r="A360">
        <v>51371</v>
      </c>
      <c r="B360" t="s">
        <v>3214</v>
      </c>
      <c r="C360" t="s">
        <v>3045</v>
      </c>
      <c r="D360" t="s">
        <v>1024</v>
      </c>
      <c r="E360">
        <v>448</v>
      </c>
      <c r="F360">
        <v>0</v>
      </c>
      <c r="G360">
        <v>0</v>
      </c>
      <c r="H360">
        <v>633</v>
      </c>
      <c r="I360">
        <v>41</v>
      </c>
      <c r="J360">
        <v>0</v>
      </c>
    </row>
    <row r="361" spans="1:10" x14ac:dyDescent="0.25">
      <c r="A361">
        <v>53179</v>
      </c>
      <c r="B361" t="s">
        <v>3216</v>
      </c>
      <c r="C361" t="s">
        <v>1069</v>
      </c>
      <c r="D361" t="s">
        <v>1085</v>
      </c>
      <c r="E361">
        <v>446</v>
      </c>
      <c r="F361">
        <v>0</v>
      </c>
      <c r="G361">
        <v>0</v>
      </c>
      <c r="H361">
        <v>1111</v>
      </c>
      <c r="I361">
        <v>14</v>
      </c>
      <c r="J361">
        <v>0</v>
      </c>
    </row>
    <row r="362" spans="1:10" x14ac:dyDescent="0.25">
      <c r="A362">
        <v>61335</v>
      </c>
      <c r="B362" t="s">
        <v>3213</v>
      </c>
      <c r="C362" t="s">
        <v>3039</v>
      </c>
      <c r="D362" t="s">
        <v>1207</v>
      </c>
      <c r="E362">
        <v>446</v>
      </c>
      <c r="F362">
        <v>4479</v>
      </c>
      <c r="G362">
        <v>0</v>
      </c>
      <c r="H362">
        <v>5623</v>
      </c>
      <c r="I362">
        <v>31</v>
      </c>
      <c r="J362">
        <v>0.7965498844033434</v>
      </c>
    </row>
    <row r="363" spans="1:10" x14ac:dyDescent="0.25">
      <c r="A363">
        <v>35259</v>
      </c>
      <c r="B363" t="s">
        <v>3217</v>
      </c>
      <c r="C363" t="s">
        <v>3217</v>
      </c>
      <c r="D363" t="s">
        <v>794</v>
      </c>
      <c r="E363">
        <v>445</v>
      </c>
      <c r="F363">
        <v>0</v>
      </c>
      <c r="G363">
        <v>0</v>
      </c>
      <c r="H363">
        <v>90</v>
      </c>
      <c r="J363">
        <v>0</v>
      </c>
    </row>
    <row r="364" spans="1:10" x14ac:dyDescent="0.25">
      <c r="A364">
        <v>22733</v>
      </c>
      <c r="B364" t="s">
        <v>3212</v>
      </c>
      <c r="C364" t="s">
        <v>3224</v>
      </c>
      <c r="D364" t="s">
        <v>166</v>
      </c>
      <c r="E364">
        <v>445</v>
      </c>
      <c r="F364">
        <v>0</v>
      </c>
      <c r="G364">
        <v>0</v>
      </c>
      <c r="H364">
        <v>1167</v>
      </c>
      <c r="I364">
        <v>24</v>
      </c>
      <c r="J364">
        <v>0</v>
      </c>
    </row>
    <row r="365" spans="1:10" x14ac:dyDescent="0.25">
      <c r="A365">
        <v>22427</v>
      </c>
      <c r="B365" t="s">
        <v>3212</v>
      </c>
      <c r="C365" t="s">
        <v>3224</v>
      </c>
      <c r="D365" t="s">
        <v>2819</v>
      </c>
      <c r="E365">
        <v>445</v>
      </c>
      <c r="F365">
        <v>0</v>
      </c>
      <c r="G365">
        <v>0</v>
      </c>
      <c r="H365">
        <v>2366</v>
      </c>
      <c r="I365">
        <v>216</v>
      </c>
      <c r="J365">
        <v>0</v>
      </c>
    </row>
    <row r="366" spans="1:10" x14ac:dyDescent="0.25">
      <c r="A366">
        <v>52136</v>
      </c>
      <c r="B366" t="s">
        <v>3214</v>
      </c>
      <c r="C366" t="s">
        <v>3221</v>
      </c>
      <c r="D366" t="s">
        <v>1033</v>
      </c>
      <c r="E366">
        <v>443</v>
      </c>
      <c r="F366">
        <v>0</v>
      </c>
      <c r="G366">
        <v>0</v>
      </c>
      <c r="H366">
        <v>1703</v>
      </c>
      <c r="I366">
        <v>40</v>
      </c>
      <c r="J366">
        <v>0</v>
      </c>
    </row>
    <row r="367" spans="1:10" x14ac:dyDescent="0.25">
      <c r="A367">
        <v>61447</v>
      </c>
      <c r="B367" t="s">
        <v>3213</v>
      </c>
      <c r="C367" t="s">
        <v>3039</v>
      </c>
      <c r="D367" t="s">
        <v>2974</v>
      </c>
      <c r="E367">
        <v>441</v>
      </c>
      <c r="F367">
        <v>0</v>
      </c>
      <c r="G367">
        <v>0</v>
      </c>
      <c r="H367">
        <v>1466</v>
      </c>
      <c r="I367">
        <v>58</v>
      </c>
      <c r="J367">
        <v>0</v>
      </c>
    </row>
    <row r="368" spans="1:10" x14ac:dyDescent="0.25">
      <c r="A368">
        <v>71391</v>
      </c>
      <c r="B368" t="s">
        <v>3218</v>
      </c>
      <c r="C368" t="s">
        <v>3218</v>
      </c>
      <c r="D368" t="s">
        <v>1467</v>
      </c>
      <c r="E368">
        <v>439</v>
      </c>
      <c r="F368">
        <v>0</v>
      </c>
      <c r="G368">
        <v>0</v>
      </c>
      <c r="H368">
        <v>7122</v>
      </c>
      <c r="I368">
        <v>30</v>
      </c>
      <c r="J368">
        <v>0</v>
      </c>
    </row>
    <row r="369" spans="1:10" x14ac:dyDescent="0.25">
      <c r="A369">
        <v>21341</v>
      </c>
      <c r="B369" t="s">
        <v>3212</v>
      </c>
      <c r="C369" t="s">
        <v>36</v>
      </c>
      <c r="D369" t="s">
        <v>2809</v>
      </c>
      <c r="E369">
        <v>436</v>
      </c>
      <c r="F369">
        <v>0</v>
      </c>
      <c r="G369">
        <v>0</v>
      </c>
      <c r="H369">
        <v>3112</v>
      </c>
      <c r="I369">
        <v>43</v>
      </c>
      <c r="J369">
        <v>0</v>
      </c>
    </row>
    <row r="370" spans="1:10" x14ac:dyDescent="0.25">
      <c r="A370">
        <v>55181</v>
      </c>
      <c r="B370" t="s">
        <v>3214</v>
      </c>
      <c r="C370" t="s">
        <v>3222</v>
      </c>
      <c r="D370" t="s">
        <v>1184</v>
      </c>
      <c r="E370">
        <v>435</v>
      </c>
      <c r="F370">
        <v>0</v>
      </c>
      <c r="G370">
        <v>0</v>
      </c>
      <c r="H370">
        <v>738</v>
      </c>
      <c r="I370">
        <v>7</v>
      </c>
      <c r="J370">
        <v>0</v>
      </c>
    </row>
    <row r="371" spans="1:10" x14ac:dyDescent="0.25">
      <c r="A371">
        <v>23255</v>
      </c>
      <c r="B371" t="s">
        <v>3212</v>
      </c>
      <c r="C371" t="s">
        <v>3220</v>
      </c>
      <c r="D371" t="s">
        <v>204</v>
      </c>
      <c r="E371">
        <v>434</v>
      </c>
      <c r="F371">
        <v>513</v>
      </c>
      <c r="G371">
        <v>0</v>
      </c>
      <c r="H371">
        <v>3936</v>
      </c>
      <c r="I371">
        <v>37</v>
      </c>
      <c r="J371">
        <v>0.13033536585365854</v>
      </c>
    </row>
    <row r="372" spans="1:10" x14ac:dyDescent="0.25">
      <c r="A372">
        <v>37319</v>
      </c>
      <c r="B372" t="s">
        <v>3215</v>
      </c>
      <c r="C372" t="s">
        <v>3228</v>
      </c>
      <c r="D372" t="s">
        <v>923</v>
      </c>
      <c r="E372">
        <v>431</v>
      </c>
      <c r="F372">
        <v>0</v>
      </c>
      <c r="G372">
        <v>0</v>
      </c>
      <c r="H372">
        <v>2909</v>
      </c>
      <c r="J372">
        <v>0</v>
      </c>
    </row>
    <row r="373" spans="1:10" x14ac:dyDescent="0.25">
      <c r="A373">
        <v>62291</v>
      </c>
      <c r="B373" t="s">
        <v>3213</v>
      </c>
      <c r="C373" t="s">
        <v>1267</v>
      </c>
      <c r="D373" t="s">
        <v>1322</v>
      </c>
      <c r="E373">
        <v>430</v>
      </c>
      <c r="F373">
        <v>1832</v>
      </c>
      <c r="G373">
        <v>115</v>
      </c>
      <c r="H373">
        <v>2375</v>
      </c>
      <c r="I373">
        <v>3</v>
      </c>
      <c r="J373">
        <v>0.81978947368421051</v>
      </c>
    </row>
    <row r="374" spans="1:10" x14ac:dyDescent="0.25">
      <c r="A374">
        <v>35171</v>
      </c>
      <c r="B374" t="s">
        <v>3217</v>
      </c>
      <c r="C374" t="s">
        <v>3217</v>
      </c>
      <c r="D374" t="s">
        <v>755</v>
      </c>
      <c r="E374">
        <v>429</v>
      </c>
      <c r="F374">
        <v>0</v>
      </c>
      <c r="G374">
        <v>0</v>
      </c>
      <c r="H374">
        <v>5283</v>
      </c>
      <c r="I374">
        <v>14</v>
      </c>
      <c r="J374">
        <v>0</v>
      </c>
    </row>
    <row r="375" spans="1:10" x14ac:dyDescent="0.25">
      <c r="A375">
        <v>32127</v>
      </c>
      <c r="B375" t="s">
        <v>3215</v>
      </c>
      <c r="C375" t="s">
        <v>3223</v>
      </c>
      <c r="D375" t="s">
        <v>562</v>
      </c>
      <c r="E375">
        <v>428</v>
      </c>
      <c r="F375">
        <v>0</v>
      </c>
      <c r="G375">
        <v>0</v>
      </c>
      <c r="H375">
        <v>929</v>
      </c>
      <c r="I375">
        <v>25</v>
      </c>
      <c r="J375">
        <v>0</v>
      </c>
    </row>
    <row r="376" spans="1:10" x14ac:dyDescent="0.25">
      <c r="A376">
        <v>21259</v>
      </c>
      <c r="B376" t="s">
        <v>3212</v>
      </c>
      <c r="C376" t="s">
        <v>36</v>
      </c>
      <c r="D376" t="s">
        <v>42</v>
      </c>
      <c r="E376">
        <v>419</v>
      </c>
      <c r="F376">
        <v>0</v>
      </c>
      <c r="G376">
        <v>0</v>
      </c>
      <c r="H376">
        <v>1634</v>
      </c>
      <c r="I376">
        <v>161</v>
      </c>
      <c r="J376">
        <v>0</v>
      </c>
    </row>
    <row r="377" spans="1:10" x14ac:dyDescent="0.25">
      <c r="A377">
        <v>71246</v>
      </c>
      <c r="B377" t="s">
        <v>3218</v>
      </c>
      <c r="C377" t="s">
        <v>3218</v>
      </c>
      <c r="D377" t="s">
        <v>1435</v>
      </c>
      <c r="E377">
        <v>419</v>
      </c>
      <c r="F377">
        <v>0</v>
      </c>
      <c r="G377">
        <v>0</v>
      </c>
      <c r="H377">
        <v>3882</v>
      </c>
      <c r="I377">
        <v>17</v>
      </c>
      <c r="J377">
        <v>0</v>
      </c>
    </row>
    <row r="378" spans="1:10" x14ac:dyDescent="0.25">
      <c r="A378">
        <v>35419</v>
      </c>
      <c r="B378" t="s">
        <v>3217</v>
      </c>
      <c r="C378" t="s">
        <v>3217</v>
      </c>
      <c r="D378" t="s">
        <v>2897</v>
      </c>
      <c r="E378">
        <v>417</v>
      </c>
      <c r="F378">
        <v>0</v>
      </c>
      <c r="G378">
        <v>0</v>
      </c>
      <c r="H378">
        <v>303</v>
      </c>
      <c r="J378">
        <v>0</v>
      </c>
    </row>
    <row r="379" spans="1:10" x14ac:dyDescent="0.25">
      <c r="A379">
        <v>61464</v>
      </c>
      <c r="B379" t="s">
        <v>3213</v>
      </c>
      <c r="C379" t="s">
        <v>3039</v>
      </c>
      <c r="D379" t="s">
        <v>2978</v>
      </c>
      <c r="E379">
        <v>415</v>
      </c>
      <c r="F379">
        <v>0</v>
      </c>
      <c r="G379">
        <v>0</v>
      </c>
      <c r="H379">
        <v>1534</v>
      </c>
      <c r="I379">
        <v>4</v>
      </c>
      <c r="J379">
        <v>0</v>
      </c>
    </row>
    <row r="380" spans="1:10" x14ac:dyDescent="0.25">
      <c r="A380">
        <v>35463</v>
      </c>
      <c r="B380" t="s">
        <v>3217</v>
      </c>
      <c r="C380" t="s">
        <v>3217</v>
      </c>
      <c r="D380" t="s">
        <v>870</v>
      </c>
      <c r="E380">
        <v>412</v>
      </c>
      <c r="F380">
        <v>0</v>
      </c>
      <c r="G380">
        <v>0</v>
      </c>
      <c r="H380">
        <v>560</v>
      </c>
      <c r="I380">
        <v>2</v>
      </c>
      <c r="J380">
        <v>0</v>
      </c>
    </row>
    <row r="381" spans="1:10" x14ac:dyDescent="0.25">
      <c r="A381">
        <v>35414</v>
      </c>
      <c r="B381" t="s">
        <v>3217</v>
      </c>
      <c r="C381" t="s">
        <v>3217</v>
      </c>
      <c r="D381" t="s">
        <v>841</v>
      </c>
      <c r="E381">
        <v>412</v>
      </c>
      <c r="F381">
        <v>0</v>
      </c>
      <c r="G381">
        <v>0</v>
      </c>
      <c r="H381">
        <v>817</v>
      </c>
      <c r="I381">
        <v>2</v>
      </c>
      <c r="J381">
        <v>0</v>
      </c>
    </row>
    <row r="382" spans="1:10" x14ac:dyDescent="0.25">
      <c r="A382">
        <v>72217</v>
      </c>
      <c r="B382" t="s">
        <v>3218</v>
      </c>
      <c r="C382" t="s">
        <v>3230</v>
      </c>
      <c r="D382" t="s">
        <v>1483</v>
      </c>
      <c r="E382">
        <v>409</v>
      </c>
      <c r="F382">
        <v>0</v>
      </c>
      <c r="G382">
        <v>0</v>
      </c>
      <c r="H382">
        <v>489</v>
      </c>
      <c r="I382">
        <v>21</v>
      </c>
      <c r="J382">
        <v>0</v>
      </c>
    </row>
    <row r="383" spans="1:10" x14ac:dyDescent="0.25">
      <c r="A383">
        <v>22423</v>
      </c>
      <c r="B383" t="s">
        <v>3212</v>
      </c>
      <c r="C383" t="s">
        <v>3224</v>
      </c>
      <c r="D383" t="s">
        <v>2818</v>
      </c>
      <c r="E383">
        <v>408</v>
      </c>
      <c r="F383">
        <v>0</v>
      </c>
      <c r="G383">
        <v>0</v>
      </c>
      <c r="H383">
        <v>3452</v>
      </c>
      <c r="I383">
        <v>1681</v>
      </c>
      <c r="J383">
        <v>0</v>
      </c>
    </row>
    <row r="384" spans="1:10" x14ac:dyDescent="0.25">
      <c r="A384">
        <v>35126</v>
      </c>
      <c r="B384" t="s">
        <v>3217</v>
      </c>
      <c r="C384" t="s">
        <v>3217</v>
      </c>
      <c r="D384" t="s">
        <v>730</v>
      </c>
      <c r="E384">
        <v>407</v>
      </c>
      <c r="F384">
        <v>0</v>
      </c>
      <c r="G384">
        <v>0</v>
      </c>
      <c r="H384">
        <v>2134</v>
      </c>
      <c r="J384">
        <v>0</v>
      </c>
    </row>
    <row r="385" spans="1:10" x14ac:dyDescent="0.25">
      <c r="A385">
        <v>61459</v>
      </c>
      <c r="B385" t="s">
        <v>3213</v>
      </c>
      <c r="C385" t="s">
        <v>3039</v>
      </c>
      <c r="D385" t="s">
        <v>1242</v>
      </c>
      <c r="E385">
        <v>406</v>
      </c>
      <c r="F385">
        <v>0</v>
      </c>
      <c r="G385">
        <v>0</v>
      </c>
      <c r="H385">
        <v>2370</v>
      </c>
      <c r="I385">
        <v>120</v>
      </c>
      <c r="J385">
        <v>0</v>
      </c>
    </row>
    <row r="386" spans="1:10" x14ac:dyDescent="0.25">
      <c r="A386">
        <v>35128</v>
      </c>
      <c r="B386" t="s">
        <v>3217</v>
      </c>
      <c r="C386" t="s">
        <v>3217</v>
      </c>
      <c r="D386" t="s">
        <v>732</v>
      </c>
      <c r="E386">
        <v>403</v>
      </c>
      <c r="F386">
        <v>0</v>
      </c>
      <c r="G386">
        <v>0</v>
      </c>
      <c r="H386">
        <v>726</v>
      </c>
      <c r="J386">
        <v>0</v>
      </c>
    </row>
    <row r="387" spans="1:10" x14ac:dyDescent="0.25">
      <c r="A387">
        <v>35175</v>
      </c>
      <c r="B387" t="s">
        <v>3217</v>
      </c>
      <c r="C387" t="s">
        <v>3217</v>
      </c>
      <c r="D387" t="s">
        <v>758</v>
      </c>
      <c r="E387">
        <v>401</v>
      </c>
      <c r="F387">
        <v>0</v>
      </c>
      <c r="G387">
        <v>0</v>
      </c>
      <c r="H387">
        <v>1809</v>
      </c>
      <c r="I387">
        <v>10</v>
      </c>
      <c r="J387">
        <v>0</v>
      </c>
    </row>
    <row r="388" spans="1:10" x14ac:dyDescent="0.25">
      <c r="A388">
        <v>72277</v>
      </c>
      <c r="B388" t="s">
        <v>3218</v>
      </c>
      <c r="C388" t="s">
        <v>3230</v>
      </c>
      <c r="D388" t="s">
        <v>1503</v>
      </c>
      <c r="E388">
        <v>398</v>
      </c>
      <c r="F388">
        <v>0</v>
      </c>
      <c r="G388">
        <v>0</v>
      </c>
      <c r="H388">
        <v>1239</v>
      </c>
      <c r="I388">
        <v>50</v>
      </c>
      <c r="J388">
        <v>0</v>
      </c>
    </row>
    <row r="389" spans="1:10" x14ac:dyDescent="0.25">
      <c r="A389">
        <v>51354</v>
      </c>
      <c r="B389" t="s">
        <v>3214</v>
      </c>
      <c r="C389" t="s">
        <v>3045</v>
      </c>
      <c r="D389" t="s">
        <v>1021</v>
      </c>
      <c r="E389">
        <v>397</v>
      </c>
      <c r="F389">
        <v>0</v>
      </c>
      <c r="G389">
        <v>0</v>
      </c>
      <c r="H389">
        <v>747</v>
      </c>
      <c r="I389">
        <v>9</v>
      </c>
      <c r="J389">
        <v>0</v>
      </c>
    </row>
    <row r="390" spans="1:10" x14ac:dyDescent="0.25">
      <c r="A390">
        <v>71381</v>
      </c>
      <c r="B390" t="s">
        <v>3218</v>
      </c>
      <c r="C390" t="s">
        <v>3218</v>
      </c>
      <c r="D390" t="s">
        <v>1463</v>
      </c>
      <c r="E390">
        <v>396</v>
      </c>
      <c r="F390">
        <v>0</v>
      </c>
      <c r="G390">
        <v>0</v>
      </c>
      <c r="H390">
        <v>5911</v>
      </c>
      <c r="I390">
        <v>20</v>
      </c>
      <c r="J390">
        <v>0</v>
      </c>
    </row>
    <row r="391" spans="1:10" x14ac:dyDescent="0.25">
      <c r="A391">
        <v>62247</v>
      </c>
      <c r="B391" t="s">
        <v>3213</v>
      </c>
      <c r="C391" t="s">
        <v>1267</v>
      </c>
      <c r="D391" t="s">
        <v>1296</v>
      </c>
      <c r="E391">
        <v>395</v>
      </c>
      <c r="F391">
        <v>261</v>
      </c>
      <c r="G391">
        <v>0</v>
      </c>
      <c r="H391">
        <v>1875</v>
      </c>
      <c r="I391">
        <v>165</v>
      </c>
      <c r="J391">
        <v>0.13919999999999999</v>
      </c>
    </row>
    <row r="392" spans="1:10" x14ac:dyDescent="0.25">
      <c r="A392">
        <v>35341</v>
      </c>
      <c r="B392" t="s">
        <v>3217</v>
      </c>
      <c r="C392" t="s">
        <v>3217</v>
      </c>
      <c r="D392" t="s">
        <v>822</v>
      </c>
      <c r="E392">
        <v>394</v>
      </c>
      <c r="F392">
        <v>0</v>
      </c>
      <c r="G392">
        <v>0</v>
      </c>
      <c r="H392">
        <v>1833</v>
      </c>
      <c r="J392">
        <v>0</v>
      </c>
    </row>
    <row r="393" spans="1:10" x14ac:dyDescent="0.25">
      <c r="A393">
        <v>25415</v>
      </c>
      <c r="B393" t="s">
        <v>3212</v>
      </c>
      <c r="C393" t="s">
        <v>3229</v>
      </c>
      <c r="D393" t="s">
        <v>418</v>
      </c>
      <c r="E393">
        <v>394</v>
      </c>
      <c r="F393">
        <v>0</v>
      </c>
      <c r="G393">
        <v>0</v>
      </c>
      <c r="H393">
        <v>3974</v>
      </c>
      <c r="I393">
        <v>175</v>
      </c>
      <c r="J393">
        <v>0</v>
      </c>
    </row>
    <row r="394" spans="1:10" x14ac:dyDescent="0.25">
      <c r="A394">
        <v>73279</v>
      </c>
      <c r="B394" t="s">
        <v>3218</v>
      </c>
      <c r="C394" t="s">
        <v>1508</v>
      </c>
      <c r="D394" t="s">
        <v>1536</v>
      </c>
      <c r="E394">
        <v>387</v>
      </c>
      <c r="F394">
        <v>0</v>
      </c>
      <c r="G394">
        <v>0</v>
      </c>
      <c r="H394">
        <v>1964</v>
      </c>
      <c r="I394">
        <v>5</v>
      </c>
      <c r="J394">
        <v>0</v>
      </c>
    </row>
    <row r="395" spans="1:10" x14ac:dyDescent="0.25">
      <c r="A395">
        <v>10110</v>
      </c>
      <c r="B395" t="s">
        <v>3177</v>
      </c>
      <c r="C395" t="s">
        <v>3177</v>
      </c>
      <c r="D395" t="s">
        <v>17</v>
      </c>
      <c r="E395">
        <v>381</v>
      </c>
      <c r="F395">
        <v>0</v>
      </c>
      <c r="G395">
        <v>0</v>
      </c>
      <c r="H395">
        <v>3969</v>
      </c>
      <c r="I395">
        <v>200</v>
      </c>
      <c r="J395">
        <v>0</v>
      </c>
    </row>
    <row r="396" spans="1:10" x14ac:dyDescent="0.25">
      <c r="A396">
        <v>21267</v>
      </c>
      <c r="B396" t="s">
        <v>3212</v>
      </c>
      <c r="C396" t="s">
        <v>36</v>
      </c>
      <c r="D396" t="s">
        <v>43</v>
      </c>
      <c r="E396">
        <v>380</v>
      </c>
      <c r="F396">
        <v>0</v>
      </c>
      <c r="G396">
        <v>0</v>
      </c>
      <c r="H396">
        <v>1769</v>
      </c>
      <c r="I396">
        <v>109</v>
      </c>
      <c r="J396">
        <v>0</v>
      </c>
    </row>
    <row r="397" spans="1:10" x14ac:dyDescent="0.25">
      <c r="A397">
        <v>37313</v>
      </c>
      <c r="B397" t="s">
        <v>3215</v>
      </c>
      <c r="C397" t="s">
        <v>3228</v>
      </c>
      <c r="D397" t="s">
        <v>919</v>
      </c>
      <c r="E397">
        <v>380</v>
      </c>
      <c r="F397">
        <v>0</v>
      </c>
      <c r="G397">
        <v>0</v>
      </c>
      <c r="H397">
        <v>2053</v>
      </c>
      <c r="J397">
        <v>0</v>
      </c>
    </row>
    <row r="398" spans="1:10" x14ac:dyDescent="0.25">
      <c r="A398">
        <v>25131</v>
      </c>
      <c r="B398" t="s">
        <v>3212</v>
      </c>
      <c r="C398" t="s">
        <v>3229</v>
      </c>
      <c r="D398" t="s">
        <v>364</v>
      </c>
      <c r="E398">
        <v>378</v>
      </c>
      <c r="F398">
        <v>0</v>
      </c>
      <c r="G398">
        <v>0</v>
      </c>
      <c r="H398">
        <v>15237</v>
      </c>
      <c r="I398">
        <v>453</v>
      </c>
      <c r="J398">
        <v>0</v>
      </c>
    </row>
    <row r="399" spans="1:10" x14ac:dyDescent="0.25">
      <c r="A399">
        <v>24235</v>
      </c>
      <c r="B399" t="s">
        <v>3212</v>
      </c>
      <c r="C399" t="s">
        <v>1808</v>
      </c>
      <c r="D399" t="s">
        <v>294</v>
      </c>
      <c r="E399">
        <v>373</v>
      </c>
      <c r="F399">
        <v>0</v>
      </c>
      <c r="G399">
        <v>0</v>
      </c>
      <c r="H399">
        <v>550</v>
      </c>
      <c r="I399">
        <v>55</v>
      </c>
      <c r="J399">
        <v>0</v>
      </c>
    </row>
    <row r="400" spans="1:10" x14ac:dyDescent="0.25">
      <c r="A400">
        <v>21446</v>
      </c>
      <c r="B400" t="s">
        <v>3212</v>
      </c>
      <c r="C400" t="s">
        <v>36</v>
      </c>
      <c r="D400" t="s">
        <v>78</v>
      </c>
      <c r="E400">
        <v>373</v>
      </c>
      <c r="F400">
        <v>0</v>
      </c>
      <c r="G400">
        <v>0</v>
      </c>
      <c r="H400">
        <v>1413</v>
      </c>
      <c r="I400">
        <v>199</v>
      </c>
      <c r="J400">
        <v>0</v>
      </c>
    </row>
    <row r="401" spans="1:10" x14ac:dyDescent="0.25">
      <c r="A401">
        <v>72183</v>
      </c>
      <c r="B401" t="s">
        <v>3218</v>
      </c>
      <c r="C401" t="s">
        <v>3230</v>
      </c>
      <c r="D401" t="s">
        <v>1479</v>
      </c>
      <c r="E401">
        <v>372</v>
      </c>
      <c r="F401">
        <v>0</v>
      </c>
      <c r="G401">
        <v>0</v>
      </c>
      <c r="H401">
        <v>2476</v>
      </c>
      <c r="J401">
        <v>0</v>
      </c>
    </row>
    <row r="402" spans="1:10" x14ac:dyDescent="0.25">
      <c r="A402">
        <v>52251</v>
      </c>
      <c r="B402" t="s">
        <v>3214</v>
      </c>
      <c r="C402" t="s">
        <v>3221</v>
      </c>
      <c r="D402" t="s">
        <v>2947</v>
      </c>
      <c r="E402">
        <v>368</v>
      </c>
      <c r="F402">
        <v>0</v>
      </c>
      <c r="G402">
        <v>0</v>
      </c>
      <c r="H402">
        <v>484</v>
      </c>
      <c r="I402">
        <v>5</v>
      </c>
      <c r="J402">
        <v>0</v>
      </c>
    </row>
    <row r="403" spans="1:10" x14ac:dyDescent="0.25">
      <c r="A403">
        <v>62287</v>
      </c>
      <c r="B403" t="s">
        <v>3213</v>
      </c>
      <c r="C403" t="s">
        <v>1267</v>
      </c>
      <c r="D403" t="s">
        <v>2994</v>
      </c>
      <c r="E403">
        <v>366</v>
      </c>
      <c r="F403">
        <v>0</v>
      </c>
      <c r="G403">
        <v>0</v>
      </c>
      <c r="H403">
        <v>3260</v>
      </c>
      <c r="I403">
        <v>52</v>
      </c>
      <c r="J403">
        <v>0</v>
      </c>
    </row>
    <row r="404" spans="1:10" x14ac:dyDescent="0.25">
      <c r="A404">
        <v>51329</v>
      </c>
      <c r="B404" t="s">
        <v>3214</v>
      </c>
      <c r="C404" t="s">
        <v>3045</v>
      </c>
      <c r="D404" t="s">
        <v>1016</v>
      </c>
      <c r="E404">
        <v>364</v>
      </c>
      <c r="F404">
        <v>0</v>
      </c>
      <c r="G404">
        <v>0</v>
      </c>
      <c r="H404">
        <v>339</v>
      </c>
      <c r="I404">
        <v>10</v>
      </c>
      <c r="J404">
        <v>0</v>
      </c>
    </row>
    <row r="405" spans="1:10" x14ac:dyDescent="0.25">
      <c r="A405">
        <v>71347</v>
      </c>
      <c r="B405" t="s">
        <v>3218</v>
      </c>
      <c r="C405" t="s">
        <v>3218</v>
      </c>
      <c r="D405" t="s">
        <v>1453</v>
      </c>
      <c r="E405">
        <v>363</v>
      </c>
      <c r="F405">
        <v>0</v>
      </c>
      <c r="G405">
        <v>0</v>
      </c>
      <c r="H405">
        <v>3313</v>
      </c>
      <c r="I405">
        <v>18</v>
      </c>
      <c r="J405">
        <v>0</v>
      </c>
    </row>
    <row r="406" spans="1:10" x14ac:dyDescent="0.25">
      <c r="A406">
        <v>61277</v>
      </c>
      <c r="B406" t="s">
        <v>3213</v>
      </c>
      <c r="C406" t="s">
        <v>3039</v>
      </c>
      <c r="D406" t="s">
        <v>1204</v>
      </c>
      <c r="E406">
        <v>362</v>
      </c>
      <c r="F406">
        <v>1221</v>
      </c>
      <c r="G406">
        <v>0</v>
      </c>
      <c r="H406">
        <v>1016</v>
      </c>
      <c r="I406">
        <v>30</v>
      </c>
      <c r="J406">
        <v>1.2017716535433072</v>
      </c>
    </row>
    <row r="407" spans="1:10" x14ac:dyDescent="0.25">
      <c r="A407">
        <v>74122</v>
      </c>
      <c r="B407" t="s">
        <v>3218</v>
      </c>
      <c r="C407" t="s">
        <v>2784</v>
      </c>
      <c r="D407" t="s">
        <v>3027</v>
      </c>
      <c r="E407">
        <v>360</v>
      </c>
      <c r="F407">
        <v>0</v>
      </c>
      <c r="G407">
        <v>0</v>
      </c>
      <c r="H407">
        <v>1377</v>
      </c>
      <c r="I407">
        <v>5</v>
      </c>
      <c r="J407">
        <v>0</v>
      </c>
    </row>
    <row r="408" spans="1:10" x14ac:dyDescent="0.25">
      <c r="A408">
        <v>35187</v>
      </c>
      <c r="B408" t="s">
        <v>3217</v>
      </c>
      <c r="C408" t="s">
        <v>3217</v>
      </c>
      <c r="D408" t="s">
        <v>764</v>
      </c>
      <c r="E408">
        <v>354</v>
      </c>
      <c r="F408">
        <v>0</v>
      </c>
      <c r="G408">
        <v>0</v>
      </c>
      <c r="H408">
        <v>1462</v>
      </c>
      <c r="I408">
        <v>4</v>
      </c>
      <c r="J408">
        <v>0</v>
      </c>
    </row>
    <row r="409" spans="1:10" x14ac:dyDescent="0.25">
      <c r="A409">
        <v>62263</v>
      </c>
      <c r="B409" t="s">
        <v>3213</v>
      </c>
      <c r="C409" t="s">
        <v>1267</v>
      </c>
      <c r="D409" t="s">
        <v>1305</v>
      </c>
      <c r="E409">
        <v>354</v>
      </c>
      <c r="F409">
        <v>261</v>
      </c>
      <c r="G409">
        <v>0</v>
      </c>
      <c r="H409">
        <v>2929</v>
      </c>
      <c r="I409">
        <v>100</v>
      </c>
      <c r="J409">
        <v>8.9108910891089105E-2</v>
      </c>
    </row>
    <row r="410" spans="1:10" x14ac:dyDescent="0.25">
      <c r="A410">
        <v>24177</v>
      </c>
      <c r="B410" t="s">
        <v>3212</v>
      </c>
      <c r="C410" t="s">
        <v>1808</v>
      </c>
      <c r="D410" t="s">
        <v>290</v>
      </c>
      <c r="E410">
        <v>353</v>
      </c>
      <c r="F410">
        <v>298</v>
      </c>
      <c r="G410">
        <v>0</v>
      </c>
      <c r="H410">
        <v>2387</v>
      </c>
      <c r="I410">
        <v>195</v>
      </c>
      <c r="J410">
        <v>0.12484289903644742</v>
      </c>
    </row>
    <row r="411" spans="1:10" x14ac:dyDescent="0.25">
      <c r="A411">
        <v>71374</v>
      </c>
      <c r="B411" t="s">
        <v>3218</v>
      </c>
      <c r="C411" t="s">
        <v>3218</v>
      </c>
      <c r="D411" t="s">
        <v>1461</v>
      </c>
      <c r="E411">
        <v>352</v>
      </c>
      <c r="F411">
        <v>0</v>
      </c>
      <c r="G411">
        <v>0</v>
      </c>
      <c r="H411">
        <v>5485</v>
      </c>
      <c r="I411">
        <v>18</v>
      </c>
      <c r="J411">
        <v>0</v>
      </c>
    </row>
    <row r="412" spans="1:10" x14ac:dyDescent="0.25">
      <c r="A412">
        <v>72241</v>
      </c>
      <c r="B412" t="s">
        <v>3218</v>
      </c>
      <c r="C412" t="s">
        <v>3230</v>
      </c>
      <c r="D412" t="s">
        <v>1491</v>
      </c>
      <c r="E412">
        <v>351</v>
      </c>
      <c r="F412">
        <v>0</v>
      </c>
      <c r="G412">
        <v>0</v>
      </c>
      <c r="H412">
        <v>3075</v>
      </c>
      <c r="I412">
        <v>112</v>
      </c>
      <c r="J412">
        <v>0</v>
      </c>
    </row>
    <row r="413" spans="1:10" x14ac:dyDescent="0.25">
      <c r="A413">
        <v>22531</v>
      </c>
      <c r="B413" t="s">
        <v>3212</v>
      </c>
      <c r="C413" t="s">
        <v>3224</v>
      </c>
      <c r="D413" t="s">
        <v>131</v>
      </c>
      <c r="E413">
        <v>351</v>
      </c>
      <c r="F413">
        <v>0</v>
      </c>
      <c r="G413">
        <v>0</v>
      </c>
      <c r="H413">
        <v>4409</v>
      </c>
      <c r="I413">
        <v>360</v>
      </c>
      <c r="J413">
        <v>0</v>
      </c>
    </row>
    <row r="414" spans="1:10" x14ac:dyDescent="0.25">
      <c r="A414">
        <v>34144</v>
      </c>
      <c r="B414" t="s">
        <v>3215</v>
      </c>
      <c r="C414" t="s">
        <v>3226</v>
      </c>
      <c r="D414" t="s">
        <v>652</v>
      </c>
      <c r="E414">
        <v>349</v>
      </c>
      <c r="F414">
        <v>0</v>
      </c>
      <c r="G414">
        <v>0</v>
      </c>
      <c r="H414">
        <v>10049</v>
      </c>
      <c r="I414">
        <v>24</v>
      </c>
      <c r="J414">
        <v>0</v>
      </c>
    </row>
    <row r="415" spans="1:10" x14ac:dyDescent="0.25">
      <c r="A415">
        <v>35119</v>
      </c>
      <c r="B415" t="s">
        <v>3217</v>
      </c>
      <c r="C415" t="s">
        <v>3217</v>
      </c>
      <c r="D415" t="s">
        <v>726</v>
      </c>
      <c r="E415">
        <v>348</v>
      </c>
      <c r="F415">
        <v>0</v>
      </c>
      <c r="G415">
        <v>0</v>
      </c>
      <c r="H415">
        <v>568</v>
      </c>
      <c r="I415">
        <v>5</v>
      </c>
      <c r="J415">
        <v>0</v>
      </c>
    </row>
    <row r="416" spans="1:10" x14ac:dyDescent="0.25">
      <c r="A416">
        <v>62217</v>
      </c>
      <c r="B416" t="s">
        <v>3213</v>
      </c>
      <c r="C416" t="s">
        <v>1267</v>
      </c>
      <c r="D416" t="s">
        <v>1275</v>
      </c>
      <c r="E416">
        <v>348</v>
      </c>
      <c r="F416">
        <v>261</v>
      </c>
      <c r="G416">
        <v>0</v>
      </c>
      <c r="H416">
        <v>2854</v>
      </c>
      <c r="I416">
        <v>56</v>
      </c>
      <c r="J416">
        <v>9.1450595655220748E-2</v>
      </c>
    </row>
    <row r="417" spans="1:10" x14ac:dyDescent="0.25">
      <c r="A417">
        <v>72247</v>
      </c>
      <c r="B417" t="s">
        <v>3218</v>
      </c>
      <c r="C417" t="s">
        <v>3230</v>
      </c>
      <c r="D417" t="s">
        <v>1493</v>
      </c>
      <c r="E417">
        <v>347</v>
      </c>
      <c r="F417">
        <v>0</v>
      </c>
      <c r="G417">
        <v>0</v>
      </c>
      <c r="H417">
        <v>2037</v>
      </c>
      <c r="I417">
        <v>32</v>
      </c>
      <c r="J417">
        <v>0</v>
      </c>
    </row>
    <row r="418" spans="1:10" x14ac:dyDescent="0.25">
      <c r="A418">
        <v>32169</v>
      </c>
      <c r="B418" t="s">
        <v>3215</v>
      </c>
      <c r="C418" t="s">
        <v>3223</v>
      </c>
      <c r="D418" t="s">
        <v>583</v>
      </c>
      <c r="E418">
        <v>345</v>
      </c>
      <c r="F418">
        <v>0</v>
      </c>
      <c r="G418">
        <v>0</v>
      </c>
      <c r="H418">
        <v>1607</v>
      </c>
      <c r="I418">
        <v>10</v>
      </c>
      <c r="J418">
        <v>0</v>
      </c>
    </row>
    <row r="419" spans="1:10" x14ac:dyDescent="0.25">
      <c r="A419">
        <v>32121</v>
      </c>
      <c r="B419" t="s">
        <v>3215</v>
      </c>
      <c r="C419" t="s">
        <v>3223</v>
      </c>
      <c r="D419" t="s">
        <v>559</v>
      </c>
      <c r="E419">
        <v>345</v>
      </c>
      <c r="F419">
        <v>0</v>
      </c>
      <c r="G419">
        <v>0</v>
      </c>
      <c r="H419">
        <v>1282</v>
      </c>
      <c r="I419">
        <v>10</v>
      </c>
      <c r="J419">
        <v>0</v>
      </c>
    </row>
    <row r="420" spans="1:10" x14ac:dyDescent="0.25">
      <c r="A420">
        <v>34269</v>
      </c>
      <c r="B420" t="s">
        <v>3215</v>
      </c>
      <c r="C420" t="s">
        <v>3226</v>
      </c>
      <c r="D420" t="s">
        <v>693</v>
      </c>
      <c r="E420">
        <v>344</v>
      </c>
      <c r="F420">
        <v>0</v>
      </c>
      <c r="G420">
        <v>0</v>
      </c>
      <c r="H420">
        <v>1506</v>
      </c>
      <c r="I420">
        <v>25</v>
      </c>
      <c r="J420">
        <v>0</v>
      </c>
    </row>
    <row r="421" spans="1:10" x14ac:dyDescent="0.25">
      <c r="A421">
        <v>61454</v>
      </c>
      <c r="B421" t="s">
        <v>3213</v>
      </c>
      <c r="C421" t="s">
        <v>3039</v>
      </c>
      <c r="D421" t="s">
        <v>1239</v>
      </c>
      <c r="E421">
        <v>341</v>
      </c>
      <c r="F421">
        <v>0</v>
      </c>
      <c r="G421">
        <v>0</v>
      </c>
      <c r="H421">
        <v>1761</v>
      </c>
      <c r="I421">
        <v>50</v>
      </c>
      <c r="J421">
        <v>0</v>
      </c>
    </row>
    <row r="422" spans="1:10" x14ac:dyDescent="0.25">
      <c r="A422">
        <v>31146</v>
      </c>
      <c r="B422" t="s">
        <v>3215</v>
      </c>
      <c r="C422" t="s">
        <v>3225</v>
      </c>
      <c r="D422" t="s">
        <v>544</v>
      </c>
      <c r="E422">
        <v>340</v>
      </c>
      <c r="F422">
        <v>207</v>
      </c>
      <c r="G422">
        <v>0</v>
      </c>
      <c r="H422">
        <v>254</v>
      </c>
      <c r="I422">
        <v>21</v>
      </c>
      <c r="J422">
        <v>0.81496062992125984</v>
      </c>
    </row>
    <row r="423" spans="1:10" x14ac:dyDescent="0.25">
      <c r="A423">
        <v>53441</v>
      </c>
      <c r="B423" t="s">
        <v>3216</v>
      </c>
      <c r="C423" t="s">
        <v>1069</v>
      </c>
      <c r="D423" t="s">
        <v>1134</v>
      </c>
      <c r="E423">
        <v>337</v>
      </c>
      <c r="F423">
        <v>0</v>
      </c>
      <c r="G423">
        <v>0</v>
      </c>
      <c r="H423">
        <v>1178</v>
      </c>
      <c r="I423">
        <v>10</v>
      </c>
      <c r="J423">
        <v>0</v>
      </c>
    </row>
    <row r="424" spans="1:10" x14ac:dyDescent="0.25">
      <c r="A424">
        <v>21426</v>
      </c>
      <c r="B424" t="s">
        <v>3212</v>
      </c>
      <c r="C424" t="s">
        <v>36</v>
      </c>
      <c r="D424" t="s">
        <v>2813</v>
      </c>
      <c r="E424">
        <v>336</v>
      </c>
      <c r="F424">
        <v>0</v>
      </c>
      <c r="G424">
        <v>0</v>
      </c>
      <c r="H424">
        <v>1006</v>
      </c>
      <c r="I424">
        <v>18</v>
      </c>
      <c r="J424">
        <v>0</v>
      </c>
    </row>
    <row r="425" spans="1:10" x14ac:dyDescent="0.25">
      <c r="A425">
        <v>72151</v>
      </c>
      <c r="B425" t="s">
        <v>3218</v>
      </c>
      <c r="C425" t="s">
        <v>3230</v>
      </c>
      <c r="D425" t="s">
        <v>1475</v>
      </c>
      <c r="E425">
        <v>333</v>
      </c>
      <c r="F425">
        <v>0</v>
      </c>
      <c r="G425">
        <v>0</v>
      </c>
      <c r="H425">
        <v>3736</v>
      </c>
      <c r="J425">
        <v>0</v>
      </c>
    </row>
    <row r="426" spans="1:10" x14ac:dyDescent="0.25">
      <c r="A426">
        <v>35123</v>
      </c>
      <c r="B426" t="s">
        <v>3217</v>
      </c>
      <c r="C426" t="s">
        <v>3217</v>
      </c>
      <c r="D426" t="s">
        <v>728</v>
      </c>
      <c r="E426">
        <v>330</v>
      </c>
      <c r="F426">
        <v>0</v>
      </c>
      <c r="G426">
        <v>0</v>
      </c>
      <c r="H426">
        <v>1998</v>
      </c>
      <c r="I426">
        <v>10</v>
      </c>
      <c r="J426">
        <v>0</v>
      </c>
    </row>
    <row r="427" spans="1:10" x14ac:dyDescent="0.25">
      <c r="A427">
        <v>54127</v>
      </c>
      <c r="B427" t="s">
        <v>3216</v>
      </c>
      <c r="C427" t="s">
        <v>6936</v>
      </c>
      <c r="D427" t="s">
        <v>1155</v>
      </c>
      <c r="E427">
        <v>328</v>
      </c>
      <c r="F427">
        <v>0</v>
      </c>
      <c r="G427">
        <v>0</v>
      </c>
      <c r="H427">
        <v>1680</v>
      </c>
      <c r="I427">
        <v>45</v>
      </c>
      <c r="J427">
        <v>0</v>
      </c>
    </row>
    <row r="428" spans="1:10" x14ac:dyDescent="0.25">
      <c r="A428">
        <v>25459</v>
      </c>
      <c r="B428" t="s">
        <v>3212</v>
      </c>
      <c r="C428" t="s">
        <v>3229</v>
      </c>
      <c r="D428" t="s">
        <v>429</v>
      </c>
      <c r="E428">
        <v>327</v>
      </c>
      <c r="F428">
        <v>0</v>
      </c>
      <c r="G428">
        <v>0</v>
      </c>
      <c r="H428">
        <v>1481</v>
      </c>
      <c r="I428">
        <v>17</v>
      </c>
      <c r="J428">
        <v>0</v>
      </c>
    </row>
    <row r="429" spans="1:10" x14ac:dyDescent="0.25">
      <c r="A429">
        <v>35189</v>
      </c>
      <c r="B429" t="s">
        <v>3217</v>
      </c>
      <c r="C429" t="s">
        <v>3217</v>
      </c>
      <c r="D429" t="s">
        <v>765</v>
      </c>
      <c r="E429">
        <v>326</v>
      </c>
      <c r="F429">
        <v>0</v>
      </c>
      <c r="G429">
        <v>0</v>
      </c>
      <c r="H429">
        <v>2574</v>
      </c>
      <c r="I429">
        <v>24</v>
      </c>
      <c r="J429">
        <v>0</v>
      </c>
    </row>
    <row r="430" spans="1:10" x14ac:dyDescent="0.25">
      <c r="A430">
        <v>23675</v>
      </c>
      <c r="B430" t="s">
        <v>3212</v>
      </c>
      <c r="C430" t="s">
        <v>3220</v>
      </c>
      <c r="D430" t="s">
        <v>284</v>
      </c>
      <c r="E430">
        <v>326</v>
      </c>
      <c r="F430">
        <v>0</v>
      </c>
      <c r="G430">
        <v>0</v>
      </c>
      <c r="H430">
        <v>2637</v>
      </c>
      <c r="I430">
        <v>80</v>
      </c>
      <c r="J430">
        <v>0</v>
      </c>
    </row>
    <row r="431" spans="1:10" x14ac:dyDescent="0.25">
      <c r="A431">
        <v>26311</v>
      </c>
      <c r="B431" t="s">
        <v>3212</v>
      </c>
      <c r="C431" t="s">
        <v>3227</v>
      </c>
      <c r="D431" t="s">
        <v>511</v>
      </c>
      <c r="E431">
        <v>325</v>
      </c>
      <c r="F431">
        <v>0</v>
      </c>
      <c r="G431">
        <v>0</v>
      </c>
      <c r="H431">
        <v>3137</v>
      </c>
      <c r="I431">
        <v>140</v>
      </c>
      <c r="J431">
        <v>0</v>
      </c>
    </row>
    <row r="432" spans="1:10" x14ac:dyDescent="0.25">
      <c r="A432">
        <v>24329</v>
      </c>
      <c r="B432" t="s">
        <v>3212</v>
      </c>
      <c r="C432" t="s">
        <v>1808</v>
      </c>
      <c r="D432" t="s">
        <v>311</v>
      </c>
      <c r="E432">
        <v>322</v>
      </c>
      <c r="F432">
        <v>0</v>
      </c>
      <c r="G432">
        <v>0</v>
      </c>
      <c r="H432">
        <v>1439</v>
      </c>
      <c r="I432">
        <v>15</v>
      </c>
      <c r="J432">
        <v>0</v>
      </c>
    </row>
    <row r="433" spans="1:10" x14ac:dyDescent="0.25">
      <c r="A433">
        <v>22675</v>
      </c>
      <c r="B433" t="s">
        <v>3212</v>
      </c>
      <c r="C433" t="s">
        <v>3224</v>
      </c>
      <c r="D433" t="s">
        <v>156</v>
      </c>
      <c r="E433">
        <v>319</v>
      </c>
      <c r="F433">
        <v>0</v>
      </c>
      <c r="G433">
        <v>0</v>
      </c>
      <c r="H433">
        <v>2076</v>
      </c>
      <c r="I433">
        <v>70</v>
      </c>
      <c r="J433">
        <v>0</v>
      </c>
    </row>
    <row r="434" spans="1:10" x14ac:dyDescent="0.25">
      <c r="A434">
        <v>71211</v>
      </c>
      <c r="B434" t="s">
        <v>3218</v>
      </c>
      <c r="C434" t="s">
        <v>3218</v>
      </c>
      <c r="D434" t="s">
        <v>1428</v>
      </c>
      <c r="E434">
        <v>318</v>
      </c>
      <c r="F434">
        <v>0</v>
      </c>
      <c r="G434">
        <v>0</v>
      </c>
      <c r="H434">
        <v>3413</v>
      </c>
      <c r="I434">
        <v>104</v>
      </c>
      <c r="J434">
        <v>0</v>
      </c>
    </row>
    <row r="435" spans="1:10" x14ac:dyDescent="0.25">
      <c r="A435">
        <v>22335</v>
      </c>
      <c r="B435" t="s">
        <v>3212</v>
      </c>
      <c r="C435" t="s">
        <v>3224</v>
      </c>
      <c r="D435" t="s">
        <v>98</v>
      </c>
      <c r="E435">
        <v>316</v>
      </c>
      <c r="F435">
        <v>0</v>
      </c>
      <c r="G435">
        <v>0</v>
      </c>
      <c r="H435">
        <v>9701</v>
      </c>
      <c r="I435">
        <v>930</v>
      </c>
      <c r="J435">
        <v>0</v>
      </c>
    </row>
    <row r="436" spans="1:10" x14ac:dyDescent="0.25">
      <c r="A436">
        <v>34177</v>
      </c>
      <c r="B436" t="s">
        <v>3215</v>
      </c>
      <c r="C436" t="s">
        <v>3226</v>
      </c>
      <c r="D436" t="s">
        <v>655</v>
      </c>
      <c r="E436">
        <v>313</v>
      </c>
      <c r="F436">
        <v>0</v>
      </c>
      <c r="G436">
        <v>0</v>
      </c>
      <c r="H436">
        <v>1047</v>
      </c>
      <c r="I436">
        <v>8</v>
      </c>
      <c r="J436">
        <v>0</v>
      </c>
    </row>
    <row r="437" spans="1:10" x14ac:dyDescent="0.25">
      <c r="A437">
        <v>21357</v>
      </c>
      <c r="B437" t="s">
        <v>3212</v>
      </c>
      <c r="C437" t="s">
        <v>36</v>
      </c>
      <c r="D437" t="s">
        <v>60</v>
      </c>
      <c r="E437">
        <v>311</v>
      </c>
      <c r="F437">
        <v>0</v>
      </c>
      <c r="G437">
        <v>0</v>
      </c>
      <c r="H437">
        <v>2038</v>
      </c>
      <c r="I437">
        <v>16</v>
      </c>
      <c r="J437">
        <v>0</v>
      </c>
    </row>
    <row r="438" spans="1:10" x14ac:dyDescent="0.25">
      <c r="A438">
        <v>33145</v>
      </c>
      <c r="B438" t="s">
        <v>3215</v>
      </c>
      <c r="C438" t="s">
        <v>597</v>
      </c>
      <c r="D438" t="s">
        <v>614</v>
      </c>
      <c r="E438">
        <v>311</v>
      </c>
      <c r="F438">
        <v>0</v>
      </c>
      <c r="G438">
        <v>0</v>
      </c>
      <c r="H438">
        <v>840</v>
      </c>
      <c r="I438">
        <v>18</v>
      </c>
      <c r="J438">
        <v>0</v>
      </c>
    </row>
    <row r="439" spans="1:10" x14ac:dyDescent="0.25">
      <c r="A439">
        <v>23625</v>
      </c>
      <c r="B439" t="s">
        <v>3212</v>
      </c>
      <c r="C439" t="s">
        <v>3220</v>
      </c>
      <c r="D439" t="s">
        <v>271</v>
      </c>
      <c r="E439">
        <v>310</v>
      </c>
      <c r="F439">
        <v>0</v>
      </c>
      <c r="G439">
        <v>0</v>
      </c>
      <c r="H439">
        <v>3655</v>
      </c>
      <c r="I439">
        <v>99</v>
      </c>
      <c r="J439">
        <v>0</v>
      </c>
    </row>
    <row r="440" spans="1:10" x14ac:dyDescent="0.25">
      <c r="A440">
        <v>73162</v>
      </c>
      <c r="B440" t="s">
        <v>3218</v>
      </c>
      <c r="C440" t="s">
        <v>1508</v>
      </c>
      <c r="D440" t="s">
        <v>1517</v>
      </c>
      <c r="E440">
        <v>309</v>
      </c>
      <c r="F440">
        <v>0</v>
      </c>
      <c r="G440">
        <v>0</v>
      </c>
      <c r="H440">
        <v>0</v>
      </c>
      <c r="J440">
        <v>0</v>
      </c>
    </row>
    <row r="441" spans="1:10" x14ac:dyDescent="0.25">
      <c r="A441">
        <v>53237</v>
      </c>
      <c r="B441" t="s">
        <v>3216</v>
      </c>
      <c r="C441" t="s">
        <v>1069</v>
      </c>
      <c r="D441" t="s">
        <v>1095</v>
      </c>
      <c r="E441">
        <v>307</v>
      </c>
      <c r="F441">
        <v>0</v>
      </c>
      <c r="G441">
        <v>0</v>
      </c>
      <c r="H441">
        <v>689</v>
      </c>
      <c r="I441">
        <v>16</v>
      </c>
      <c r="J441">
        <v>0</v>
      </c>
    </row>
    <row r="442" spans="1:10" x14ac:dyDescent="0.25">
      <c r="A442">
        <v>23447</v>
      </c>
      <c r="B442" t="s">
        <v>3212</v>
      </c>
      <c r="C442" t="s">
        <v>3220</v>
      </c>
      <c r="D442" t="s">
        <v>247</v>
      </c>
      <c r="E442">
        <v>306</v>
      </c>
      <c r="F442">
        <v>0</v>
      </c>
      <c r="G442">
        <v>0</v>
      </c>
      <c r="H442">
        <v>1970</v>
      </c>
      <c r="I442">
        <v>80</v>
      </c>
      <c r="J442">
        <v>0</v>
      </c>
    </row>
    <row r="443" spans="1:10" x14ac:dyDescent="0.25">
      <c r="A443">
        <v>32171</v>
      </c>
      <c r="B443" t="s">
        <v>3215</v>
      </c>
      <c r="C443" t="s">
        <v>3223</v>
      </c>
      <c r="D443" t="s">
        <v>584</v>
      </c>
      <c r="E443">
        <v>302</v>
      </c>
      <c r="F443">
        <v>0</v>
      </c>
      <c r="G443">
        <v>0</v>
      </c>
      <c r="H443">
        <v>1105</v>
      </c>
      <c r="I443">
        <v>65</v>
      </c>
      <c r="J443">
        <v>0</v>
      </c>
    </row>
    <row r="444" spans="1:10" x14ac:dyDescent="0.25">
      <c r="A444">
        <v>55151</v>
      </c>
      <c r="B444" t="s">
        <v>3214</v>
      </c>
      <c r="C444" t="s">
        <v>3222</v>
      </c>
      <c r="D444" t="s">
        <v>1175</v>
      </c>
      <c r="E444">
        <v>300</v>
      </c>
      <c r="F444">
        <v>0</v>
      </c>
      <c r="G444">
        <v>0</v>
      </c>
      <c r="H444">
        <v>1732</v>
      </c>
      <c r="I444">
        <v>20</v>
      </c>
      <c r="J444">
        <v>0</v>
      </c>
    </row>
    <row r="445" spans="1:10" x14ac:dyDescent="0.25">
      <c r="A445">
        <v>35325</v>
      </c>
      <c r="B445" t="s">
        <v>3217</v>
      </c>
      <c r="C445" t="s">
        <v>3217</v>
      </c>
      <c r="D445" t="s">
        <v>814</v>
      </c>
      <c r="E445">
        <v>298</v>
      </c>
      <c r="F445">
        <v>0</v>
      </c>
      <c r="G445">
        <v>0</v>
      </c>
      <c r="H445">
        <v>3028</v>
      </c>
      <c r="I445">
        <v>20</v>
      </c>
      <c r="J445">
        <v>0</v>
      </c>
    </row>
    <row r="446" spans="1:10" x14ac:dyDescent="0.25">
      <c r="A446">
        <v>32155</v>
      </c>
      <c r="B446" t="s">
        <v>3215</v>
      </c>
      <c r="C446" t="s">
        <v>3223</v>
      </c>
      <c r="D446" t="s">
        <v>576</v>
      </c>
      <c r="E446">
        <v>298</v>
      </c>
      <c r="F446">
        <v>0</v>
      </c>
      <c r="G446">
        <v>0</v>
      </c>
      <c r="H446">
        <v>1324</v>
      </c>
      <c r="I446">
        <v>52</v>
      </c>
      <c r="J446">
        <v>0</v>
      </c>
    </row>
    <row r="447" spans="1:10" x14ac:dyDescent="0.25">
      <c r="A447">
        <v>51157</v>
      </c>
      <c r="B447" t="s">
        <v>3214</v>
      </c>
      <c r="C447" t="s">
        <v>3045</v>
      </c>
      <c r="D447" t="s">
        <v>983</v>
      </c>
      <c r="E447">
        <v>298</v>
      </c>
      <c r="F447">
        <v>0</v>
      </c>
      <c r="G447">
        <v>0</v>
      </c>
      <c r="H447">
        <v>1661</v>
      </c>
      <c r="I447">
        <v>10</v>
      </c>
      <c r="J447">
        <v>0</v>
      </c>
    </row>
    <row r="448" spans="1:10" x14ac:dyDescent="0.25">
      <c r="A448">
        <v>73250</v>
      </c>
      <c r="B448" t="s">
        <v>3218</v>
      </c>
      <c r="C448" t="s">
        <v>1508</v>
      </c>
      <c r="D448" t="s">
        <v>1531</v>
      </c>
      <c r="E448">
        <v>295</v>
      </c>
      <c r="F448">
        <v>0</v>
      </c>
      <c r="G448">
        <v>0</v>
      </c>
      <c r="H448">
        <v>1485</v>
      </c>
      <c r="I448">
        <v>2</v>
      </c>
      <c r="J448">
        <v>0</v>
      </c>
    </row>
    <row r="449" spans="1:10" x14ac:dyDescent="0.25">
      <c r="A449">
        <v>35344</v>
      </c>
      <c r="B449" t="s">
        <v>3217</v>
      </c>
      <c r="C449" t="s">
        <v>3217</v>
      </c>
      <c r="D449" t="s">
        <v>823</v>
      </c>
      <c r="E449">
        <v>294</v>
      </c>
      <c r="F449">
        <v>0</v>
      </c>
      <c r="G449">
        <v>0</v>
      </c>
      <c r="H449">
        <v>3020</v>
      </c>
      <c r="I449">
        <v>12</v>
      </c>
      <c r="J449">
        <v>0</v>
      </c>
    </row>
    <row r="450" spans="1:10" x14ac:dyDescent="0.25">
      <c r="A450">
        <v>22443</v>
      </c>
      <c r="B450" t="s">
        <v>3212</v>
      </c>
      <c r="C450" t="s">
        <v>3224</v>
      </c>
      <c r="D450" t="s">
        <v>114</v>
      </c>
      <c r="E450">
        <v>292</v>
      </c>
      <c r="F450">
        <v>0</v>
      </c>
      <c r="G450">
        <v>0</v>
      </c>
      <c r="H450">
        <v>2072</v>
      </c>
      <c r="I450">
        <v>85</v>
      </c>
      <c r="J450">
        <v>0</v>
      </c>
    </row>
    <row r="451" spans="1:10" x14ac:dyDescent="0.25">
      <c r="A451">
        <v>61469</v>
      </c>
      <c r="B451" t="s">
        <v>3213</v>
      </c>
      <c r="C451" t="s">
        <v>3039</v>
      </c>
      <c r="D451" t="s">
        <v>1248</v>
      </c>
      <c r="E451">
        <v>292</v>
      </c>
      <c r="F451">
        <v>0</v>
      </c>
      <c r="G451">
        <v>0</v>
      </c>
      <c r="H451">
        <v>354</v>
      </c>
      <c r="J451">
        <v>0</v>
      </c>
    </row>
    <row r="452" spans="1:10" x14ac:dyDescent="0.25">
      <c r="A452">
        <v>53115</v>
      </c>
      <c r="B452" t="s">
        <v>3216</v>
      </c>
      <c r="C452" t="s">
        <v>1069</v>
      </c>
      <c r="D452" t="s">
        <v>1070</v>
      </c>
      <c r="E452">
        <v>291</v>
      </c>
      <c r="F452">
        <v>0</v>
      </c>
      <c r="G452">
        <v>0</v>
      </c>
      <c r="H452">
        <v>578</v>
      </c>
      <c r="I452">
        <v>60</v>
      </c>
      <c r="J452">
        <v>0</v>
      </c>
    </row>
    <row r="453" spans="1:10" x14ac:dyDescent="0.25">
      <c r="A453">
        <v>35354</v>
      </c>
      <c r="B453" t="s">
        <v>3217</v>
      </c>
      <c r="C453" t="s">
        <v>3217</v>
      </c>
      <c r="D453" t="s">
        <v>828</v>
      </c>
      <c r="E453">
        <v>290</v>
      </c>
      <c r="F453">
        <v>0</v>
      </c>
      <c r="G453">
        <v>0</v>
      </c>
      <c r="H453">
        <v>1029</v>
      </c>
      <c r="J453">
        <v>0</v>
      </c>
    </row>
    <row r="454" spans="1:10" x14ac:dyDescent="0.25">
      <c r="A454">
        <v>35404</v>
      </c>
      <c r="B454" t="s">
        <v>3217</v>
      </c>
      <c r="C454" t="s">
        <v>3217</v>
      </c>
      <c r="D454" t="s">
        <v>835</v>
      </c>
      <c r="E454">
        <v>290</v>
      </c>
      <c r="F454">
        <v>0</v>
      </c>
      <c r="G454">
        <v>0</v>
      </c>
      <c r="H454">
        <v>461</v>
      </c>
      <c r="J454">
        <v>0</v>
      </c>
    </row>
    <row r="455" spans="1:10" x14ac:dyDescent="0.25">
      <c r="A455">
        <v>10610</v>
      </c>
      <c r="B455" t="s">
        <v>3177</v>
      </c>
      <c r="C455" t="s">
        <v>3177</v>
      </c>
      <c r="D455" t="s">
        <v>27</v>
      </c>
      <c r="E455">
        <v>290</v>
      </c>
      <c r="F455">
        <v>0</v>
      </c>
      <c r="G455">
        <v>0</v>
      </c>
      <c r="H455">
        <v>3819</v>
      </c>
      <c r="I455">
        <v>42</v>
      </c>
      <c r="J455">
        <v>0</v>
      </c>
    </row>
    <row r="456" spans="1:10" x14ac:dyDescent="0.25">
      <c r="A456">
        <v>71344</v>
      </c>
      <c r="B456" t="s">
        <v>3218</v>
      </c>
      <c r="C456" t="s">
        <v>3218</v>
      </c>
      <c r="D456" t="s">
        <v>1452</v>
      </c>
      <c r="E456">
        <v>288</v>
      </c>
      <c r="F456">
        <v>0</v>
      </c>
      <c r="G456">
        <v>0</v>
      </c>
      <c r="H456">
        <v>6291</v>
      </c>
      <c r="I456">
        <v>80</v>
      </c>
      <c r="J456">
        <v>0</v>
      </c>
    </row>
    <row r="457" spans="1:10" x14ac:dyDescent="0.25">
      <c r="A457">
        <v>72231</v>
      </c>
      <c r="B457" t="s">
        <v>3218</v>
      </c>
      <c r="C457" t="s">
        <v>3230</v>
      </c>
      <c r="D457" t="s">
        <v>1488</v>
      </c>
      <c r="E457">
        <v>286</v>
      </c>
      <c r="F457">
        <v>0</v>
      </c>
      <c r="G457">
        <v>0</v>
      </c>
      <c r="H457">
        <v>1847</v>
      </c>
      <c r="I457">
        <v>12</v>
      </c>
      <c r="J457">
        <v>0</v>
      </c>
    </row>
    <row r="458" spans="1:10" x14ac:dyDescent="0.25">
      <c r="A458">
        <v>34221</v>
      </c>
      <c r="B458" t="s">
        <v>3215</v>
      </c>
      <c r="C458" t="s">
        <v>3226</v>
      </c>
      <c r="D458" t="s">
        <v>664</v>
      </c>
      <c r="E458">
        <v>284</v>
      </c>
      <c r="F458">
        <v>0</v>
      </c>
      <c r="G458">
        <v>0</v>
      </c>
      <c r="H458">
        <v>575</v>
      </c>
      <c r="I458">
        <v>20</v>
      </c>
      <c r="J458">
        <v>0</v>
      </c>
    </row>
    <row r="459" spans="1:10" x14ac:dyDescent="0.25">
      <c r="A459">
        <v>35420</v>
      </c>
      <c r="B459" t="s">
        <v>3217</v>
      </c>
      <c r="C459" t="s">
        <v>3217</v>
      </c>
      <c r="D459" t="s">
        <v>846</v>
      </c>
      <c r="E459">
        <v>283</v>
      </c>
      <c r="F459">
        <v>0</v>
      </c>
      <c r="G459">
        <v>0</v>
      </c>
      <c r="H459">
        <v>651</v>
      </c>
      <c r="I459">
        <v>7</v>
      </c>
      <c r="J459">
        <v>0</v>
      </c>
    </row>
    <row r="460" spans="1:10" x14ac:dyDescent="0.25">
      <c r="A460">
        <v>35155</v>
      </c>
      <c r="B460" t="s">
        <v>3217</v>
      </c>
      <c r="C460" t="s">
        <v>3217</v>
      </c>
      <c r="D460" t="s">
        <v>747</v>
      </c>
      <c r="E460">
        <v>283</v>
      </c>
      <c r="F460">
        <v>0</v>
      </c>
      <c r="G460">
        <v>0</v>
      </c>
      <c r="H460">
        <v>326</v>
      </c>
      <c r="I460">
        <v>5</v>
      </c>
      <c r="J460">
        <v>0</v>
      </c>
    </row>
    <row r="461" spans="1:10" x14ac:dyDescent="0.25">
      <c r="A461">
        <v>72167</v>
      </c>
      <c r="B461" t="s">
        <v>3218</v>
      </c>
      <c r="C461" t="s">
        <v>3230</v>
      </c>
      <c r="D461" t="s">
        <v>1477</v>
      </c>
      <c r="E461">
        <v>282</v>
      </c>
      <c r="F461">
        <v>0</v>
      </c>
      <c r="G461">
        <v>0</v>
      </c>
      <c r="H461">
        <v>3964</v>
      </c>
      <c r="I461">
        <v>160</v>
      </c>
      <c r="J461">
        <v>0</v>
      </c>
    </row>
    <row r="462" spans="1:10" x14ac:dyDescent="0.25">
      <c r="A462">
        <v>52156</v>
      </c>
      <c r="B462" t="s">
        <v>3214</v>
      </c>
      <c r="C462" t="s">
        <v>3221</v>
      </c>
      <c r="D462" t="s">
        <v>1037</v>
      </c>
      <c r="E462">
        <v>280</v>
      </c>
      <c r="F462">
        <v>0</v>
      </c>
      <c r="G462">
        <v>0</v>
      </c>
      <c r="H462">
        <v>1170</v>
      </c>
      <c r="I462">
        <v>15</v>
      </c>
      <c r="J462">
        <v>0</v>
      </c>
    </row>
    <row r="463" spans="1:10" x14ac:dyDescent="0.25">
      <c r="A463">
        <v>34287</v>
      </c>
      <c r="B463" t="s">
        <v>3215</v>
      </c>
      <c r="C463" t="s">
        <v>3226</v>
      </c>
      <c r="D463" t="s">
        <v>704</v>
      </c>
      <c r="E463">
        <v>279</v>
      </c>
      <c r="F463">
        <v>0</v>
      </c>
      <c r="G463">
        <v>0</v>
      </c>
      <c r="H463">
        <v>2133</v>
      </c>
      <c r="I463">
        <v>34</v>
      </c>
      <c r="J463">
        <v>0</v>
      </c>
    </row>
    <row r="464" spans="1:10" x14ac:dyDescent="0.25">
      <c r="A464">
        <v>33169</v>
      </c>
      <c r="B464" t="s">
        <v>3215</v>
      </c>
      <c r="C464" t="s">
        <v>597</v>
      </c>
      <c r="D464" t="s">
        <v>2883</v>
      </c>
      <c r="E464">
        <v>279</v>
      </c>
      <c r="F464">
        <v>0</v>
      </c>
      <c r="G464">
        <v>0</v>
      </c>
      <c r="H464">
        <v>1167</v>
      </c>
      <c r="I464">
        <v>15</v>
      </c>
      <c r="J464">
        <v>0</v>
      </c>
    </row>
    <row r="465" spans="1:10" x14ac:dyDescent="0.25">
      <c r="A465">
        <v>72234</v>
      </c>
      <c r="B465" t="s">
        <v>3218</v>
      </c>
      <c r="C465" t="s">
        <v>3230</v>
      </c>
      <c r="D465" t="s">
        <v>1489</v>
      </c>
      <c r="E465">
        <v>278</v>
      </c>
      <c r="F465">
        <v>0</v>
      </c>
      <c r="G465">
        <v>0</v>
      </c>
      <c r="H465">
        <v>1448</v>
      </c>
      <c r="I465">
        <v>22</v>
      </c>
      <c r="J465">
        <v>0</v>
      </c>
    </row>
    <row r="466" spans="1:10" x14ac:dyDescent="0.25">
      <c r="A466">
        <v>35411</v>
      </c>
      <c r="B466" t="s">
        <v>3217</v>
      </c>
      <c r="C466" t="s">
        <v>3217</v>
      </c>
      <c r="D466" t="s">
        <v>839</v>
      </c>
      <c r="E466">
        <v>276</v>
      </c>
      <c r="F466">
        <v>0</v>
      </c>
      <c r="G466">
        <v>0</v>
      </c>
      <c r="H466">
        <v>1688</v>
      </c>
      <c r="J466">
        <v>0</v>
      </c>
    </row>
    <row r="467" spans="1:10" x14ac:dyDescent="0.25">
      <c r="A467">
        <v>25261</v>
      </c>
      <c r="B467" t="s">
        <v>3212</v>
      </c>
      <c r="C467" t="s">
        <v>3229</v>
      </c>
      <c r="D467" t="s">
        <v>380</v>
      </c>
      <c r="E467">
        <v>276</v>
      </c>
      <c r="F467">
        <v>0</v>
      </c>
      <c r="G467">
        <v>0</v>
      </c>
      <c r="H467">
        <v>2765</v>
      </c>
      <c r="I467">
        <v>170</v>
      </c>
      <c r="J467">
        <v>0</v>
      </c>
    </row>
    <row r="468" spans="1:10" x14ac:dyDescent="0.25">
      <c r="A468">
        <v>62296</v>
      </c>
      <c r="B468" t="s">
        <v>3213</v>
      </c>
      <c r="C468" t="s">
        <v>1267</v>
      </c>
      <c r="D468" t="s">
        <v>1327</v>
      </c>
      <c r="E468">
        <v>276</v>
      </c>
      <c r="F468">
        <v>0</v>
      </c>
      <c r="G468">
        <v>0</v>
      </c>
      <c r="H468">
        <v>2070</v>
      </c>
      <c r="I468">
        <v>336</v>
      </c>
      <c r="J468">
        <v>0</v>
      </c>
    </row>
    <row r="469" spans="1:10" x14ac:dyDescent="0.25">
      <c r="A469">
        <v>73127</v>
      </c>
      <c r="B469" t="s">
        <v>3218</v>
      </c>
      <c r="C469" t="s">
        <v>1508</v>
      </c>
      <c r="D469" t="s">
        <v>1511</v>
      </c>
      <c r="E469">
        <v>275</v>
      </c>
      <c r="F469">
        <v>0</v>
      </c>
      <c r="G469">
        <v>0</v>
      </c>
      <c r="H469">
        <v>846</v>
      </c>
      <c r="I469">
        <v>1233</v>
      </c>
      <c r="J469">
        <v>0</v>
      </c>
    </row>
    <row r="470" spans="1:10" x14ac:dyDescent="0.25">
      <c r="A470">
        <v>21394</v>
      </c>
      <c r="B470" t="s">
        <v>3212</v>
      </c>
      <c r="C470" t="s">
        <v>36</v>
      </c>
      <c r="D470" t="s">
        <v>69</v>
      </c>
      <c r="E470">
        <v>274</v>
      </c>
      <c r="F470">
        <v>0</v>
      </c>
      <c r="G470">
        <v>0</v>
      </c>
      <c r="H470">
        <v>1132</v>
      </c>
      <c r="I470">
        <v>24</v>
      </c>
      <c r="J470">
        <v>0</v>
      </c>
    </row>
    <row r="471" spans="1:10" x14ac:dyDescent="0.25">
      <c r="A471">
        <v>73232</v>
      </c>
      <c r="B471" t="s">
        <v>3218</v>
      </c>
      <c r="C471" t="s">
        <v>1508</v>
      </c>
      <c r="D471" t="s">
        <v>1526</v>
      </c>
      <c r="E471">
        <v>274</v>
      </c>
      <c r="F471">
        <v>0</v>
      </c>
      <c r="G471">
        <v>0</v>
      </c>
      <c r="H471">
        <v>1875</v>
      </c>
      <c r="J471">
        <v>0</v>
      </c>
    </row>
    <row r="472" spans="1:10" x14ac:dyDescent="0.25">
      <c r="A472">
        <v>62212</v>
      </c>
      <c r="B472" t="s">
        <v>3213</v>
      </c>
      <c r="C472" t="s">
        <v>1267</v>
      </c>
      <c r="D472" t="s">
        <v>1272</v>
      </c>
      <c r="E472">
        <v>274</v>
      </c>
      <c r="F472">
        <v>0</v>
      </c>
      <c r="G472">
        <v>0</v>
      </c>
      <c r="H472">
        <v>1143</v>
      </c>
      <c r="I472">
        <v>6</v>
      </c>
      <c r="J472">
        <v>0</v>
      </c>
    </row>
    <row r="473" spans="1:10" x14ac:dyDescent="0.25">
      <c r="A473">
        <v>22447</v>
      </c>
      <c r="B473" t="s">
        <v>3212</v>
      </c>
      <c r="C473" t="s">
        <v>3224</v>
      </c>
      <c r="D473" t="s">
        <v>115</v>
      </c>
      <c r="E473">
        <v>273</v>
      </c>
      <c r="F473">
        <v>0</v>
      </c>
      <c r="G473">
        <v>0</v>
      </c>
      <c r="H473">
        <v>3525</v>
      </c>
      <c r="I473">
        <v>1367</v>
      </c>
      <c r="J473">
        <v>0</v>
      </c>
    </row>
    <row r="474" spans="1:10" x14ac:dyDescent="0.25">
      <c r="A474">
        <v>61412</v>
      </c>
      <c r="B474" t="s">
        <v>3213</v>
      </c>
      <c r="C474" t="s">
        <v>3039</v>
      </c>
      <c r="D474" t="s">
        <v>2966</v>
      </c>
      <c r="E474">
        <v>273</v>
      </c>
      <c r="F474">
        <v>141</v>
      </c>
      <c r="G474">
        <v>0</v>
      </c>
      <c r="H474">
        <v>280</v>
      </c>
      <c r="J474">
        <v>0.50357142857142856</v>
      </c>
    </row>
    <row r="475" spans="1:10" x14ac:dyDescent="0.25">
      <c r="A475">
        <v>34284</v>
      </c>
      <c r="B475" t="s">
        <v>3215</v>
      </c>
      <c r="C475" t="s">
        <v>3226</v>
      </c>
      <c r="D475" t="s">
        <v>702</v>
      </c>
      <c r="E475">
        <v>272</v>
      </c>
      <c r="F475">
        <v>0</v>
      </c>
      <c r="G475">
        <v>0</v>
      </c>
      <c r="H475">
        <v>1351</v>
      </c>
      <c r="I475">
        <v>22</v>
      </c>
      <c r="J475">
        <v>0</v>
      </c>
    </row>
    <row r="476" spans="1:10" x14ac:dyDescent="0.25">
      <c r="A476">
        <v>62283</v>
      </c>
      <c r="B476" t="s">
        <v>3213</v>
      </c>
      <c r="C476" t="s">
        <v>1267</v>
      </c>
      <c r="D476" t="s">
        <v>1317</v>
      </c>
      <c r="E476">
        <v>272</v>
      </c>
      <c r="F476">
        <v>1832</v>
      </c>
      <c r="G476">
        <v>0</v>
      </c>
      <c r="H476">
        <v>2449</v>
      </c>
      <c r="I476">
        <v>104</v>
      </c>
      <c r="J476">
        <v>0.74806043282972645</v>
      </c>
    </row>
    <row r="477" spans="1:10" x14ac:dyDescent="0.25">
      <c r="A477">
        <v>10999</v>
      </c>
      <c r="B477" t="s">
        <v>3177</v>
      </c>
      <c r="C477" t="s">
        <v>3177</v>
      </c>
      <c r="D477" t="s">
        <v>29</v>
      </c>
      <c r="E477">
        <v>271</v>
      </c>
      <c r="F477">
        <v>0</v>
      </c>
      <c r="G477">
        <v>0</v>
      </c>
      <c r="H477">
        <v>1</v>
      </c>
      <c r="J477">
        <v>0</v>
      </c>
    </row>
    <row r="478" spans="1:10" x14ac:dyDescent="0.25">
      <c r="A478">
        <v>32159</v>
      </c>
      <c r="B478" t="s">
        <v>3215</v>
      </c>
      <c r="C478" t="s">
        <v>3223</v>
      </c>
      <c r="D478" t="s">
        <v>578</v>
      </c>
      <c r="E478">
        <v>270</v>
      </c>
      <c r="F478">
        <v>0</v>
      </c>
      <c r="G478">
        <v>0</v>
      </c>
      <c r="H478">
        <v>1339</v>
      </c>
      <c r="I478">
        <v>35</v>
      </c>
      <c r="J478">
        <v>0</v>
      </c>
    </row>
    <row r="479" spans="1:10" x14ac:dyDescent="0.25">
      <c r="A479">
        <v>37341</v>
      </c>
      <c r="B479" t="s">
        <v>3215</v>
      </c>
      <c r="C479" t="s">
        <v>3228</v>
      </c>
      <c r="D479" t="s">
        <v>934</v>
      </c>
      <c r="E479">
        <v>268</v>
      </c>
      <c r="F479">
        <v>0</v>
      </c>
      <c r="G479">
        <v>0</v>
      </c>
      <c r="H479">
        <v>3125</v>
      </c>
      <c r="J479">
        <v>0</v>
      </c>
    </row>
    <row r="480" spans="1:10" x14ac:dyDescent="0.25">
      <c r="A480">
        <v>61255</v>
      </c>
      <c r="B480" t="s">
        <v>3213</v>
      </c>
      <c r="C480" t="s">
        <v>3039</v>
      </c>
      <c r="D480" t="s">
        <v>1202</v>
      </c>
      <c r="E480">
        <v>266</v>
      </c>
      <c r="F480">
        <v>1221</v>
      </c>
      <c r="G480">
        <v>0</v>
      </c>
      <c r="H480">
        <v>2100</v>
      </c>
      <c r="I480">
        <v>30</v>
      </c>
      <c r="J480">
        <v>0.58142857142857141</v>
      </c>
    </row>
    <row r="481" spans="1:10" x14ac:dyDescent="0.25">
      <c r="A481">
        <v>22547</v>
      </c>
      <c r="B481" t="s">
        <v>3212</v>
      </c>
      <c r="C481" t="s">
        <v>3224</v>
      </c>
      <c r="D481" t="s">
        <v>135</v>
      </c>
      <c r="E481">
        <v>265</v>
      </c>
      <c r="F481">
        <v>0</v>
      </c>
      <c r="G481">
        <v>0</v>
      </c>
      <c r="H481">
        <v>1150</v>
      </c>
      <c r="I481">
        <v>4</v>
      </c>
      <c r="J481">
        <v>0</v>
      </c>
    </row>
    <row r="482" spans="1:10" x14ac:dyDescent="0.25">
      <c r="A482">
        <v>71327</v>
      </c>
      <c r="B482" t="s">
        <v>3218</v>
      </c>
      <c r="C482" t="s">
        <v>3218</v>
      </c>
      <c r="D482" t="s">
        <v>3019</v>
      </c>
      <c r="E482">
        <v>264</v>
      </c>
      <c r="F482">
        <v>0</v>
      </c>
      <c r="G482">
        <v>0</v>
      </c>
      <c r="H482">
        <v>3990</v>
      </c>
      <c r="I482">
        <v>10</v>
      </c>
      <c r="J482">
        <v>0</v>
      </c>
    </row>
    <row r="483" spans="1:10" x14ac:dyDescent="0.25">
      <c r="A483">
        <v>55114</v>
      </c>
      <c r="B483" t="s">
        <v>3214</v>
      </c>
      <c r="C483" t="s">
        <v>3222</v>
      </c>
      <c r="D483" t="s">
        <v>1164</v>
      </c>
      <c r="E483">
        <v>264</v>
      </c>
      <c r="F483">
        <v>0</v>
      </c>
      <c r="G483">
        <v>0</v>
      </c>
      <c r="H483">
        <v>1574</v>
      </c>
      <c r="I483">
        <v>8</v>
      </c>
      <c r="J483">
        <v>0</v>
      </c>
    </row>
    <row r="484" spans="1:10" x14ac:dyDescent="0.25">
      <c r="A484">
        <v>73228</v>
      </c>
      <c r="B484" t="s">
        <v>3218</v>
      </c>
      <c r="C484" t="s">
        <v>1508</v>
      </c>
      <c r="D484" t="s">
        <v>1524</v>
      </c>
      <c r="E484">
        <v>262</v>
      </c>
      <c r="F484">
        <v>0</v>
      </c>
      <c r="G484">
        <v>0</v>
      </c>
      <c r="H484">
        <v>2187</v>
      </c>
      <c r="J484">
        <v>0</v>
      </c>
    </row>
    <row r="485" spans="1:10" x14ac:dyDescent="0.25">
      <c r="A485">
        <v>34311</v>
      </c>
      <c r="B485" t="s">
        <v>3215</v>
      </c>
      <c r="C485" t="s">
        <v>3226</v>
      </c>
      <c r="D485" t="s">
        <v>705</v>
      </c>
      <c r="E485">
        <v>261</v>
      </c>
      <c r="F485">
        <v>0</v>
      </c>
      <c r="G485">
        <v>0</v>
      </c>
      <c r="H485">
        <v>1528</v>
      </c>
      <c r="I485">
        <v>50</v>
      </c>
      <c r="J485">
        <v>0</v>
      </c>
    </row>
    <row r="486" spans="1:10" x14ac:dyDescent="0.25">
      <c r="A486">
        <v>32167</v>
      </c>
      <c r="B486" t="s">
        <v>3215</v>
      </c>
      <c r="C486" t="s">
        <v>3223</v>
      </c>
      <c r="D486" t="s">
        <v>582</v>
      </c>
      <c r="E486">
        <v>261</v>
      </c>
      <c r="F486">
        <v>0</v>
      </c>
      <c r="G486">
        <v>0</v>
      </c>
      <c r="H486">
        <v>543</v>
      </c>
      <c r="I486">
        <v>10</v>
      </c>
      <c r="J486">
        <v>0</v>
      </c>
    </row>
    <row r="487" spans="1:10" x14ac:dyDescent="0.25">
      <c r="A487">
        <v>62261</v>
      </c>
      <c r="B487" t="s">
        <v>3213</v>
      </c>
      <c r="C487" t="s">
        <v>1267</v>
      </c>
      <c r="D487" t="s">
        <v>1304</v>
      </c>
      <c r="E487">
        <v>258</v>
      </c>
      <c r="F487">
        <v>261</v>
      </c>
      <c r="G487">
        <v>0</v>
      </c>
      <c r="H487">
        <v>1938</v>
      </c>
      <c r="I487">
        <v>140</v>
      </c>
      <c r="J487">
        <v>0.1346749226006192</v>
      </c>
    </row>
    <row r="488" spans="1:10" x14ac:dyDescent="0.25">
      <c r="A488">
        <v>33121</v>
      </c>
      <c r="B488" t="s">
        <v>3215</v>
      </c>
      <c r="C488" t="s">
        <v>597</v>
      </c>
      <c r="D488" t="s">
        <v>602</v>
      </c>
      <c r="E488">
        <v>257</v>
      </c>
      <c r="F488">
        <v>0</v>
      </c>
      <c r="G488">
        <v>0</v>
      </c>
      <c r="H488">
        <v>1394</v>
      </c>
      <c r="I488">
        <v>97</v>
      </c>
      <c r="J488">
        <v>0</v>
      </c>
    </row>
    <row r="489" spans="1:10" x14ac:dyDescent="0.25">
      <c r="A489">
        <v>71177</v>
      </c>
      <c r="B489" t="s">
        <v>3218</v>
      </c>
      <c r="C489" t="s">
        <v>3218</v>
      </c>
      <c r="D489" t="s">
        <v>1427</v>
      </c>
      <c r="E489">
        <v>255</v>
      </c>
      <c r="F489">
        <v>0</v>
      </c>
      <c r="G489">
        <v>0</v>
      </c>
      <c r="H489">
        <v>2697</v>
      </c>
      <c r="I489">
        <v>10</v>
      </c>
      <c r="J489">
        <v>0</v>
      </c>
    </row>
    <row r="490" spans="1:10" x14ac:dyDescent="0.25">
      <c r="A490">
        <v>71367</v>
      </c>
      <c r="B490" t="s">
        <v>3218</v>
      </c>
      <c r="C490" t="s">
        <v>3218</v>
      </c>
      <c r="D490" t="s">
        <v>3021</v>
      </c>
      <c r="E490">
        <v>254</v>
      </c>
      <c r="F490">
        <v>0</v>
      </c>
      <c r="G490">
        <v>0</v>
      </c>
      <c r="H490">
        <v>2661</v>
      </c>
      <c r="I490">
        <v>16</v>
      </c>
      <c r="J490">
        <v>0</v>
      </c>
    </row>
    <row r="491" spans="1:10" x14ac:dyDescent="0.25">
      <c r="A491">
        <v>23445</v>
      </c>
      <c r="B491" t="s">
        <v>3212</v>
      </c>
      <c r="C491" t="s">
        <v>3220</v>
      </c>
      <c r="D491" t="s">
        <v>246</v>
      </c>
      <c r="E491">
        <v>252</v>
      </c>
      <c r="F491">
        <v>0</v>
      </c>
      <c r="G491">
        <v>0</v>
      </c>
      <c r="H491">
        <v>2109</v>
      </c>
      <c r="I491">
        <v>18</v>
      </c>
      <c r="J491">
        <v>0</v>
      </c>
    </row>
    <row r="492" spans="1:10" x14ac:dyDescent="0.25">
      <c r="A492">
        <v>52141</v>
      </c>
      <c r="B492" t="s">
        <v>3214</v>
      </c>
      <c r="C492" t="s">
        <v>3221</v>
      </c>
      <c r="D492" t="s">
        <v>1034</v>
      </c>
      <c r="E492">
        <v>252</v>
      </c>
      <c r="F492">
        <v>0</v>
      </c>
      <c r="G492">
        <v>0</v>
      </c>
      <c r="H492">
        <v>1</v>
      </c>
      <c r="J492">
        <v>0</v>
      </c>
    </row>
    <row r="493" spans="1:10" x14ac:dyDescent="0.25">
      <c r="A493">
        <v>32117</v>
      </c>
      <c r="B493" t="s">
        <v>3215</v>
      </c>
      <c r="C493" t="s">
        <v>3223</v>
      </c>
      <c r="D493" t="s">
        <v>557</v>
      </c>
      <c r="E493">
        <v>251</v>
      </c>
      <c r="F493">
        <v>0</v>
      </c>
      <c r="G493">
        <v>0</v>
      </c>
      <c r="H493">
        <v>2304</v>
      </c>
      <c r="I493">
        <v>40</v>
      </c>
      <c r="J493">
        <v>0</v>
      </c>
    </row>
    <row r="494" spans="1:10" x14ac:dyDescent="0.25">
      <c r="A494">
        <v>22483</v>
      </c>
      <c r="B494" t="s">
        <v>3212</v>
      </c>
      <c r="C494" t="s">
        <v>3224</v>
      </c>
      <c r="D494" t="s">
        <v>124</v>
      </c>
      <c r="E494">
        <v>250</v>
      </c>
      <c r="F494">
        <v>0</v>
      </c>
      <c r="G494">
        <v>0</v>
      </c>
      <c r="H494">
        <v>616</v>
      </c>
      <c r="I494">
        <v>90</v>
      </c>
      <c r="J494">
        <v>0</v>
      </c>
    </row>
    <row r="495" spans="1:10" x14ac:dyDescent="0.25">
      <c r="A495">
        <v>25231</v>
      </c>
      <c r="B495" t="s">
        <v>3212</v>
      </c>
      <c r="C495" t="s">
        <v>3229</v>
      </c>
      <c r="D495" t="s">
        <v>2858</v>
      </c>
      <c r="E495">
        <v>247</v>
      </c>
      <c r="F495">
        <v>0</v>
      </c>
      <c r="G495">
        <v>0</v>
      </c>
      <c r="H495">
        <v>4952</v>
      </c>
      <c r="I495">
        <v>88</v>
      </c>
      <c r="J495">
        <v>0</v>
      </c>
    </row>
    <row r="496" spans="1:10" x14ac:dyDescent="0.25">
      <c r="A496">
        <v>24365</v>
      </c>
      <c r="B496" t="s">
        <v>3212</v>
      </c>
      <c r="C496" t="s">
        <v>1808</v>
      </c>
      <c r="D496" t="s">
        <v>329</v>
      </c>
      <c r="E496">
        <v>246</v>
      </c>
      <c r="F496">
        <v>0</v>
      </c>
      <c r="G496">
        <v>0</v>
      </c>
      <c r="H496">
        <v>1474</v>
      </c>
      <c r="I496">
        <v>42</v>
      </c>
      <c r="J496">
        <v>0</v>
      </c>
    </row>
    <row r="497" spans="1:10" x14ac:dyDescent="0.25">
      <c r="A497">
        <v>23386</v>
      </c>
      <c r="B497" t="s">
        <v>3212</v>
      </c>
      <c r="C497" t="s">
        <v>3220</v>
      </c>
      <c r="D497" t="s">
        <v>227</v>
      </c>
      <c r="E497">
        <v>246</v>
      </c>
      <c r="F497">
        <v>0</v>
      </c>
      <c r="G497">
        <v>0</v>
      </c>
      <c r="H497">
        <v>1573</v>
      </c>
      <c r="I497">
        <v>7</v>
      </c>
      <c r="J497">
        <v>0</v>
      </c>
    </row>
    <row r="498" spans="1:10" x14ac:dyDescent="0.25">
      <c r="A498">
        <v>71337</v>
      </c>
      <c r="B498" t="s">
        <v>3218</v>
      </c>
      <c r="C498" t="s">
        <v>3218</v>
      </c>
      <c r="D498" t="s">
        <v>1450</v>
      </c>
      <c r="E498">
        <v>246</v>
      </c>
      <c r="F498">
        <v>0</v>
      </c>
      <c r="G498">
        <v>0</v>
      </c>
      <c r="H498">
        <v>10055</v>
      </c>
      <c r="I498">
        <v>155</v>
      </c>
      <c r="J498">
        <v>0</v>
      </c>
    </row>
    <row r="499" spans="1:10" x14ac:dyDescent="0.25">
      <c r="A499">
        <v>62214</v>
      </c>
      <c r="B499" t="s">
        <v>3213</v>
      </c>
      <c r="C499" t="s">
        <v>1267</v>
      </c>
      <c r="D499" t="s">
        <v>1273</v>
      </c>
      <c r="E499">
        <v>244</v>
      </c>
      <c r="F499">
        <v>0</v>
      </c>
      <c r="G499">
        <v>0</v>
      </c>
      <c r="H499">
        <v>1743</v>
      </c>
      <c r="I499">
        <v>100</v>
      </c>
      <c r="J499">
        <v>0</v>
      </c>
    </row>
    <row r="500" spans="1:10" x14ac:dyDescent="0.25">
      <c r="A500">
        <v>33161</v>
      </c>
      <c r="B500" t="s">
        <v>3215</v>
      </c>
      <c r="C500" t="s">
        <v>597</v>
      </c>
      <c r="D500" t="s">
        <v>623</v>
      </c>
      <c r="E500">
        <v>244</v>
      </c>
      <c r="F500">
        <v>0</v>
      </c>
      <c r="G500">
        <v>0</v>
      </c>
      <c r="H500">
        <v>691</v>
      </c>
      <c r="I500">
        <v>15</v>
      </c>
      <c r="J500">
        <v>0</v>
      </c>
    </row>
    <row r="501" spans="1:10" x14ac:dyDescent="0.25">
      <c r="A501">
        <v>74158</v>
      </c>
      <c r="B501" t="s">
        <v>3218</v>
      </c>
      <c r="C501" t="s">
        <v>2784</v>
      </c>
      <c r="D501" t="s">
        <v>1556</v>
      </c>
      <c r="E501">
        <v>243</v>
      </c>
      <c r="F501">
        <v>0</v>
      </c>
      <c r="G501">
        <v>0</v>
      </c>
      <c r="H501">
        <v>828</v>
      </c>
      <c r="I501">
        <v>3</v>
      </c>
      <c r="J501">
        <v>0</v>
      </c>
    </row>
    <row r="502" spans="1:10" x14ac:dyDescent="0.25">
      <c r="A502">
        <v>21371</v>
      </c>
      <c r="B502" t="s">
        <v>3212</v>
      </c>
      <c r="C502" t="s">
        <v>36</v>
      </c>
      <c r="D502" t="s">
        <v>64</v>
      </c>
      <c r="E502">
        <v>237</v>
      </c>
      <c r="F502">
        <v>0</v>
      </c>
      <c r="G502">
        <v>0</v>
      </c>
      <c r="H502">
        <v>1891</v>
      </c>
      <c r="I502">
        <v>139</v>
      </c>
      <c r="J502">
        <v>0</v>
      </c>
    </row>
    <row r="503" spans="1:10" x14ac:dyDescent="0.25">
      <c r="A503">
        <v>32115</v>
      </c>
      <c r="B503" t="s">
        <v>3215</v>
      </c>
      <c r="C503" t="s">
        <v>3223</v>
      </c>
      <c r="D503" t="s">
        <v>556</v>
      </c>
      <c r="E503">
        <v>237</v>
      </c>
      <c r="F503">
        <v>0</v>
      </c>
      <c r="G503">
        <v>0</v>
      </c>
      <c r="H503">
        <v>1113</v>
      </c>
      <c r="I503">
        <v>70</v>
      </c>
      <c r="J503">
        <v>0</v>
      </c>
    </row>
    <row r="504" spans="1:10" x14ac:dyDescent="0.25">
      <c r="A504">
        <v>22455</v>
      </c>
      <c r="B504" t="s">
        <v>3212</v>
      </c>
      <c r="C504" t="s">
        <v>3224</v>
      </c>
      <c r="D504" t="s">
        <v>117</v>
      </c>
      <c r="E504">
        <v>236</v>
      </c>
      <c r="F504">
        <v>0</v>
      </c>
      <c r="G504">
        <v>0</v>
      </c>
      <c r="H504">
        <v>7082</v>
      </c>
      <c r="I504">
        <v>1629</v>
      </c>
      <c r="J504">
        <v>0</v>
      </c>
    </row>
    <row r="505" spans="1:10" x14ac:dyDescent="0.25">
      <c r="A505">
        <v>23655</v>
      </c>
      <c r="B505" t="s">
        <v>3212</v>
      </c>
      <c r="C505" t="s">
        <v>3220</v>
      </c>
      <c r="D505" t="s">
        <v>279</v>
      </c>
      <c r="E505">
        <v>235</v>
      </c>
      <c r="F505">
        <v>0</v>
      </c>
      <c r="G505">
        <v>0</v>
      </c>
      <c r="H505">
        <v>4412</v>
      </c>
      <c r="I505">
        <v>92</v>
      </c>
      <c r="J505">
        <v>0</v>
      </c>
    </row>
    <row r="506" spans="1:10" x14ac:dyDescent="0.25">
      <c r="A506">
        <v>22619</v>
      </c>
      <c r="B506" t="s">
        <v>3212</v>
      </c>
      <c r="C506" t="s">
        <v>3224</v>
      </c>
      <c r="D506" t="s">
        <v>149</v>
      </c>
      <c r="E506">
        <v>235</v>
      </c>
      <c r="F506">
        <v>0</v>
      </c>
      <c r="G506">
        <v>0</v>
      </c>
      <c r="H506">
        <v>1235</v>
      </c>
      <c r="I506">
        <v>130</v>
      </c>
      <c r="J506">
        <v>0</v>
      </c>
    </row>
    <row r="507" spans="1:10" x14ac:dyDescent="0.25">
      <c r="A507">
        <v>22711</v>
      </c>
      <c r="B507" t="s">
        <v>3212</v>
      </c>
      <c r="C507" t="s">
        <v>3224</v>
      </c>
      <c r="D507" t="s">
        <v>159</v>
      </c>
      <c r="E507">
        <v>235</v>
      </c>
      <c r="F507">
        <v>0</v>
      </c>
      <c r="G507">
        <v>0</v>
      </c>
      <c r="H507">
        <v>1379</v>
      </c>
      <c r="I507">
        <v>28</v>
      </c>
      <c r="J507">
        <v>0</v>
      </c>
    </row>
    <row r="508" spans="1:10" x14ac:dyDescent="0.25">
      <c r="A508">
        <v>35185</v>
      </c>
      <c r="B508" t="s">
        <v>3217</v>
      </c>
      <c r="C508" t="s">
        <v>3217</v>
      </c>
      <c r="D508" t="s">
        <v>763</v>
      </c>
      <c r="E508">
        <v>234</v>
      </c>
      <c r="F508">
        <v>0</v>
      </c>
      <c r="G508">
        <v>0</v>
      </c>
      <c r="H508">
        <v>1651</v>
      </c>
      <c r="J508">
        <v>0</v>
      </c>
    </row>
    <row r="509" spans="1:10" x14ac:dyDescent="0.25">
      <c r="A509">
        <v>52231</v>
      </c>
      <c r="B509" t="s">
        <v>3214</v>
      </c>
      <c r="C509" t="s">
        <v>3221</v>
      </c>
      <c r="D509" t="s">
        <v>1049</v>
      </c>
      <c r="E509">
        <v>234</v>
      </c>
      <c r="F509">
        <v>0</v>
      </c>
      <c r="G509">
        <v>0</v>
      </c>
      <c r="H509">
        <v>1998</v>
      </c>
      <c r="I509">
        <v>57</v>
      </c>
      <c r="J509">
        <v>0</v>
      </c>
    </row>
    <row r="510" spans="1:10" x14ac:dyDescent="0.25">
      <c r="A510">
        <v>55154</v>
      </c>
      <c r="B510" t="s">
        <v>3214</v>
      </c>
      <c r="C510" t="s">
        <v>3222</v>
      </c>
      <c r="D510" t="s">
        <v>1176</v>
      </c>
      <c r="E510">
        <v>232</v>
      </c>
      <c r="F510">
        <v>0</v>
      </c>
      <c r="G510">
        <v>0</v>
      </c>
      <c r="H510">
        <v>641</v>
      </c>
      <c r="I510">
        <v>7</v>
      </c>
      <c r="J510">
        <v>0</v>
      </c>
    </row>
    <row r="511" spans="1:10" x14ac:dyDescent="0.25">
      <c r="A511">
        <v>24351</v>
      </c>
      <c r="B511" t="s">
        <v>3212</v>
      </c>
      <c r="C511" t="s">
        <v>1808</v>
      </c>
      <c r="D511" t="s">
        <v>322</v>
      </c>
      <c r="E511">
        <v>228</v>
      </c>
      <c r="F511">
        <v>0</v>
      </c>
      <c r="G511">
        <v>0</v>
      </c>
      <c r="H511">
        <v>1072</v>
      </c>
      <c r="I511">
        <v>10</v>
      </c>
      <c r="J511">
        <v>0</v>
      </c>
    </row>
    <row r="512" spans="1:10" x14ac:dyDescent="0.25">
      <c r="A512">
        <v>24313</v>
      </c>
      <c r="B512" t="s">
        <v>3212</v>
      </c>
      <c r="C512" t="s">
        <v>1808</v>
      </c>
      <c r="D512" t="s">
        <v>2845</v>
      </c>
      <c r="E512">
        <v>227</v>
      </c>
      <c r="F512">
        <v>0</v>
      </c>
      <c r="G512">
        <v>0</v>
      </c>
      <c r="H512">
        <v>2766</v>
      </c>
      <c r="I512">
        <v>245</v>
      </c>
      <c r="J512">
        <v>0</v>
      </c>
    </row>
    <row r="513" spans="1:10" x14ac:dyDescent="0.25">
      <c r="A513">
        <v>61481</v>
      </c>
      <c r="B513" t="s">
        <v>3213</v>
      </c>
      <c r="C513" t="s">
        <v>3039</v>
      </c>
      <c r="D513" t="s">
        <v>1255</v>
      </c>
      <c r="E513">
        <v>227</v>
      </c>
      <c r="F513">
        <v>0</v>
      </c>
      <c r="G513">
        <v>0</v>
      </c>
      <c r="H513">
        <v>1672</v>
      </c>
      <c r="I513">
        <v>35</v>
      </c>
      <c r="J513">
        <v>0</v>
      </c>
    </row>
    <row r="514" spans="1:10" x14ac:dyDescent="0.25">
      <c r="A514">
        <v>23566</v>
      </c>
      <c r="B514" t="s">
        <v>3212</v>
      </c>
      <c r="C514" t="s">
        <v>3220</v>
      </c>
      <c r="D514" t="s">
        <v>2840</v>
      </c>
      <c r="E514">
        <v>223</v>
      </c>
      <c r="F514">
        <v>0</v>
      </c>
      <c r="G514">
        <v>0</v>
      </c>
      <c r="H514">
        <v>3394</v>
      </c>
      <c r="I514">
        <v>70</v>
      </c>
      <c r="J514">
        <v>0</v>
      </c>
    </row>
    <row r="515" spans="1:10" x14ac:dyDescent="0.25">
      <c r="A515">
        <v>63227</v>
      </c>
      <c r="B515" t="s">
        <v>3213</v>
      </c>
      <c r="C515" t="s">
        <v>1342</v>
      </c>
      <c r="D515" t="s">
        <v>1373</v>
      </c>
      <c r="E515">
        <v>223</v>
      </c>
      <c r="F515">
        <v>0</v>
      </c>
      <c r="G515">
        <v>0</v>
      </c>
      <c r="H515">
        <v>594</v>
      </c>
      <c r="I515">
        <v>72</v>
      </c>
      <c r="J515">
        <v>0</v>
      </c>
    </row>
    <row r="516" spans="1:10" x14ac:dyDescent="0.25">
      <c r="A516">
        <v>33163</v>
      </c>
      <c r="B516" t="s">
        <v>3215</v>
      </c>
      <c r="C516" t="s">
        <v>597</v>
      </c>
      <c r="D516" t="s">
        <v>624</v>
      </c>
      <c r="E516">
        <v>223</v>
      </c>
      <c r="F516">
        <v>0</v>
      </c>
      <c r="G516">
        <v>0</v>
      </c>
      <c r="H516">
        <v>717</v>
      </c>
      <c r="I516">
        <v>10</v>
      </c>
      <c r="J516">
        <v>0</v>
      </c>
    </row>
    <row r="517" spans="1:10" x14ac:dyDescent="0.25">
      <c r="A517">
        <v>51353</v>
      </c>
      <c r="B517" t="s">
        <v>3214</v>
      </c>
      <c r="C517" t="s">
        <v>3045</v>
      </c>
      <c r="D517" t="s">
        <v>1020</v>
      </c>
      <c r="E517">
        <v>221</v>
      </c>
      <c r="F517">
        <v>0</v>
      </c>
      <c r="G517">
        <v>0</v>
      </c>
      <c r="H517">
        <v>435</v>
      </c>
      <c r="I517">
        <v>2</v>
      </c>
      <c r="J517">
        <v>0</v>
      </c>
    </row>
    <row r="518" spans="1:10" x14ac:dyDescent="0.25">
      <c r="A518">
        <v>25347</v>
      </c>
      <c r="B518" t="s">
        <v>3212</v>
      </c>
      <c r="C518" t="s">
        <v>3229</v>
      </c>
      <c r="D518" t="s">
        <v>401</v>
      </c>
      <c r="E518">
        <v>220</v>
      </c>
      <c r="F518">
        <v>0</v>
      </c>
      <c r="G518">
        <v>0</v>
      </c>
      <c r="H518">
        <v>2729</v>
      </c>
      <c r="I518">
        <v>49</v>
      </c>
      <c r="J518">
        <v>0</v>
      </c>
    </row>
    <row r="519" spans="1:10" x14ac:dyDescent="0.25">
      <c r="A519">
        <v>73175</v>
      </c>
      <c r="B519" t="s">
        <v>3218</v>
      </c>
      <c r="C519" t="s">
        <v>1508</v>
      </c>
      <c r="D519" t="s">
        <v>1519</v>
      </c>
      <c r="E519">
        <v>218</v>
      </c>
      <c r="F519">
        <v>0</v>
      </c>
      <c r="G519">
        <v>0</v>
      </c>
      <c r="H519">
        <v>10</v>
      </c>
      <c r="J519">
        <v>0</v>
      </c>
    </row>
    <row r="520" spans="1:10" x14ac:dyDescent="0.25">
      <c r="A520">
        <v>35163</v>
      </c>
      <c r="B520" t="s">
        <v>3217</v>
      </c>
      <c r="C520" t="s">
        <v>3217</v>
      </c>
      <c r="D520" t="s">
        <v>752</v>
      </c>
      <c r="E520">
        <v>214</v>
      </c>
      <c r="F520">
        <v>0</v>
      </c>
      <c r="G520">
        <v>0</v>
      </c>
      <c r="H520">
        <v>1052</v>
      </c>
      <c r="I520">
        <v>18</v>
      </c>
      <c r="J520">
        <v>0</v>
      </c>
    </row>
    <row r="521" spans="1:10" x14ac:dyDescent="0.25">
      <c r="A521">
        <v>23433</v>
      </c>
      <c r="B521" t="s">
        <v>3212</v>
      </c>
      <c r="C521" t="s">
        <v>3220</v>
      </c>
      <c r="D521" t="s">
        <v>239</v>
      </c>
      <c r="E521">
        <v>214</v>
      </c>
      <c r="F521">
        <v>0</v>
      </c>
      <c r="G521">
        <v>0</v>
      </c>
      <c r="H521">
        <v>2624</v>
      </c>
      <c r="I521">
        <v>1</v>
      </c>
      <c r="J521">
        <v>0</v>
      </c>
    </row>
    <row r="522" spans="1:10" x14ac:dyDescent="0.25">
      <c r="A522">
        <v>36171</v>
      </c>
      <c r="B522" t="s">
        <v>3215</v>
      </c>
      <c r="C522" t="s">
        <v>2906</v>
      </c>
      <c r="D522" t="s">
        <v>905</v>
      </c>
      <c r="E522">
        <v>213</v>
      </c>
      <c r="F522">
        <v>0</v>
      </c>
      <c r="G522">
        <v>0</v>
      </c>
      <c r="H522">
        <v>2213</v>
      </c>
      <c r="I522">
        <v>204</v>
      </c>
      <c r="J522">
        <v>0</v>
      </c>
    </row>
    <row r="523" spans="1:10" x14ac:dyDescent="0.25">
      <c r="A523">
        <v>53271</v>
      </c>
      <c r="B523" t="s">
        <v>3216</v>
      </c>
      <c r="C523" t="s">
        <v>1069</v>
      </c>
      <c r="D523" t="s">
        <v>1105</v>
      </c>
      <c r="E523">
        <v>212</v>
      </c>
      <c r="F523">
        <v>0</v>
      </c>
      <c r="G523">
        <v>0</v>
      </c>
      <c r="H523">
        <v>1745</v>
      </c>
      <c r="I523">
        <v>75</v>
      </c>
      <c r="J523">
        <v>0</v>
      </c>
    </row>
    <row r="524" spans="1:10" x14ac:dyDescent="0.25">
      <c r="A524">
        <v>22467</v>
      </c>
      <c r="B524" t="s">
        <v>3212</v>
      </c>
      <c r="C524" t="s">
        <v>3224</v>
      </c>
      <c r="D524" t="s">
        <v>120</v>
      </c>
      <c r="E524">
        <v>212</v>
      </c>
      <c r="F524">
        <v>798</v>
      </c>
      <c r="G524">
        <v>23</v>
      </c>
      <c r="H524">
        <v>6610</v>
      </c>
      <c r="I524">
        <v>535</v>
      </c>
      <c r="J524">
        <v>0.12420574886535553</v>
      </c>
    </row>
    <row r="525" spans="1:10" x14ac:dyDescent="0.25">
      <c r="A525">
        <v>61439</v>
      </c>
      <c r="B525" t="s">
        <v>3213</v>
      </c>
      <c r="C525" t="s">
        <v>3039</v>
      </c>
      <c r="D525" t="s">
        <v>2971</v>
      </c>
      <c r="E525">
        <v>212</v>
      </c>
      <c r="F525">
        <v>0</v>
      </c>
      <c r="G525">
        <v>0</v>
      </c>
      <c r="H525">
        <v>1089</v>
      </c>
      <c r="I525">
        <v>7</v>
      </c>
      <c r="J525">
        <v>0</v>
      </c>
    </row>
    <row r="526" spans="1:10" x14ac:dyDescent="0.25">
      <c r="A526">
        <v>71351</v>
      </c>
      <c r="B526" t="s">
        <v>3218</v>
      </c>
      <c r="C526" t="s">
        <v>3218</v>
      </c>
      <c r="D526" t="s">
        <v>1454</v>
      </c>
      <c r="E526">
        <v>211</v>
      </c>
      <c r="F526">
        <v>0</v>
      </c>
      <c r="G526">
        <v>0</v>
      </c>
      <c r="H526">
        <v>5982</v>
      </c>
      <c r="I526">
        <v>90</v>
      </c>
      <c r="J526">
        <v>0</v>
      </c>
    </row>
    <row r="527" spans="1:10" x14ac:dyDescent="0.25">
      <c r="A527">
        <v>62259</v>
      </c>
      <c r="B527" t="s">
        <v>3213</v>
      </c>
      <c r="C527" t="s">
        <v>1267</v>
      </c>
      <c r="D527" t="s">
        <v>2991</v>
      </c>
      <c r="E527">
        <v>211</v>
      </c>
      <c r="F527">
        <v>261</v>
      </c>
      <c r="G527">
        <v>0</v>
      </c>
      <c r="H527">
        <v>1295</v>
      </c>
      <c r="I527">
        <v>66</v>
      </c>
      <c r="J527">
        <v>0.20154440154440154</v>
      </c>
    </row>
    <row r="528" spans="1:10" x14ac:dyDescent="0.25">
      <c r="A528">
        <v>23651</v>
      </c>
      <c r="B528" t="s">
        <v>3212</v>
      </c>
      <c r="C528" t="s">
        <v>3220</v>
      </c>
      <c r="D528" t="s">
        <v>278</v>
      </c>
      <c r="E528">
        <v>208</v>
      </c>
      <c r="F528">
        <v>0</v>
      </c>
      <c r="G528">
        <v>0</v>
      </c>
      <c r="H528">
        <v>2918</v>
      </c>
      <c r="I528">
        <v>13</v>
      </c>
      <c r="J528">
        <v>0</v>
      </c>
    </row>
    <row r="529" spans="1:10" x14ac:dyDescent="0.25">
      <c r="A529">
        <v>71321</v>
      </c>
      <c r="B529" t="s">
        <v>3218</v>
      </c>
      <c r="C529" t="s">
        <v>3218</v>
      </c>
      <c r="D529" t="s">
        <v>3018</v>
      </c>
      <c r="E529">
        <v>207</v>
      </c>
      <c r="F529">
        <v>0</v>
      </c>
      <c r="G529">
        <v>0</v>
      </c>
      <c r="H529">
        <v>3403</v>
      </c>
      <c r="J529">
        <v>0</v>
      </c>
    </row>
    <row r="530" spans="1:10" x14ac:dyDescent="0.25">
      <c r="A530">
        <v>35445</v>
      </c>
      <c r="B530" t="s">
        <v>3217</v>
      </c>
      <c r="C530" t="s">
        <v>3217</v>
      </c>
      <c r="D530" t="s">
        <v>861</v>
      </c>
      <c r="E530">
        <v>206</v>
      </c>
      <c r="F530">
        <v>0</v>
      </c>
      <c r="G530">
        <v>0</v>
      </c>
      <c r="H530">
        <v>568</v>
      </c>
      <c r="J530">
        <v>0</v>
      </c>
    </row>
    <row r="531" spans="1:10" x14ac:dyDescent="0.25">
      <c r="A531">
        <v>32147</v>
      </c>
      <c r="B531" t="s">
        <v>3215</v>
      </c>
      <c r="C531" t="s">
        <v>3223</v>
      </c>
      <c r="D531" t="s">
        <v>572</v>
      </c>
      <c r="E531">
        <v>205</v>
      </c>
      <c r="F531">
        <v>0</v>
      </c>
      <c r="G531">
        <v>0</v>
      </c>
      <c r="H531">
        <v>1634</v>
      </c>
      <c r="I531">
        <v>105</v>
      </c>
      <c r="J531">
        <v>0</v>
      </c>
    </row>
    <row r="532" spans="1:10" x14ac:dyDescent="0.25">
      <c r="A532">
        <v>23463</v>
      </c>
      <c r="B532" t="s">
        <v>3212</v>
      </c>
      <c r="C532" t="s">
        <v>3220</v>
      </c>
      <c r="D532" t="s">
        <v>2839</v>
      </c>
      <c r="E532">
        <v>204</v>
      </c>
      <c r="F532">
        <v>0</v>
      </c>
      <c r="G532">
        <v>0</v>
      </c>
      <c r="H532">
        <v>1553</v>
      </c>
      <c r="I532">
        <v>50</v>
      </c>
      <c r="J532">
        <v>0</v>
      </c>
    </row>
    <row r="533" spans="1:10" x14ac:dyDescent="0.25">
      <c r="A533">
        <v>71261</v>
      </c>
      <c r="B533" t="s">
        <v>3218</v>
      </c>
      <c r="C533" t="s">
        <v>3218</v>
      </c>
      <c r="D533" t="s">
        <v>1438</v>
      </c>
      <c r="E533">
        <v>204</v>
      </c>
      <c r="F533">
        <v>0</v>
      </c>
      <c r="G533">
        <v>0</v>
      </c>
      <c r="H533">
        <v>2318</v>
      </c>
      <c r="I533">
        <v>15</v>
      </c>
      <c r="J533">
        <v>0</v>
      </c>
    </row>
    <row r="534" spans="1:10" x14ac:dyDescent="0.25">
      <c r="A534">
        <v>52244</v>
      </c>
      <c r="B534" t="s">
        <v>3214</v>
      </c>
      <c r="C534" t="s">
        <v>3221</v>
      </c>
      <c r="D534" t="s">
        <v>1053</v>
      </c>
      <c r="E534">
        <v>204</v>
      </c>
      <c r="F534">
        <v>0</v>
      </c>
      <c r="G534">
        <v>0</v>
      </c>
      <c r="H534">
        <v>3491</v>
      </c>
      <c r="I534">
        <v>7</v>
      </c>
      <c r="J534">
        <v>0</v>
      </c>
    </row>
    <row r="535" spans="1:10" x14ac:dyDescent="0.25">
      <c r="A535">
        <v>23459</v>
      </c>
      <c r="B535" t="s">
        <v>3212</v>
      </c>
      <c r="C535" t="s">
        <v>3220</v>
      </c>
      <c r="D535" t="s">
        <v>254</v>
      </c>
      <c r="E535">
        <v>201</v>
      </c>
      <c r="F535">
        <v>0</v>
      </c>
      <c r="G535">
        <v>0</v>
      </c>
      <c r="H535">
        <v>1541</v>
      </c>
      <c r="I535">
        <v>30</v>
      </c>
      <c r="J535">
        <v>0</v>
      </c>
    </row>
    <row r="536" spans="1:10" x14ac:dyDescent="0.25">
      <c r="A536">
        <v>25136</v>
      </c>
      <c r="B536" t="s">
        <v>3212</v>
      </c>
      <c r="C536" t="s">
        <v>3229</v>
      </c>
      <c r="D536" t="s">
        <v>365</v>
      </c>
      <c r="E536">
        <v>201</v>
      </c>
      <c r="F536">
        <v>0</v>
      </c>
      <c r="G536">
        <v>0</v>
      </c>
      <c r="H536">
        <v>7070</v>
      </c>
      <c r="I536">
        <v>629</v>
      </c>
      <c r="J536">
        <v>0</v>
      </c>
    </row>
    <row r="537" spans="1:10" x14ac:dyDescent="0.25">
      <c r="A537">
        <v>21466</v>
      </c>
      <c r="B537" t="s">
        <v>3212</v>
      </c>
      <c r="C537" t="s">
        <v>36</v>
      </c>
      <c r="D537" t="s">
        <v>82</v>
      </c>
      <c r="E537">
        <v>200</v>
      </c>
      <c r="F537">
        <v>0</v>
      </c>
      <c r="G537">
        <v>0</v>
      </c>
      <c r="H537">
        <v>698</v>
      </c>
      <c r="I537">
        <v>81</v>
      </c>
      <c r="J537">
        <v>0</v>
      </c>
    </row>
    <row r="538" spans="1:10" x14ac:dyDescent="0.25">
      <c r="A538">
        <v>23381</v>
      </c>
      <c r="B538" t="s">
        <v>3212</v>
      </c>
      <c r="C538" t="s">
        <v>3220</v>
      </c>
      <c r="D538" t="s">
        <v>2836</v>
      </c>
      <c r="E538">
        <v>200</v>
      </c>
      <c r="F538">
        <v>0</v>
      </c>
      <c r="G538">
        <v>0</v>
      </c>
      <c r="H538">
        <v>1220</v>
      </c>
      <c r="I538">
        <v>20</v>
      </c>
      <c r="J538">
        <v>0</v>
      </c>
    </row>
    <row r="539" spans="1:10" x14ac:dyDescent="0.25">
      <c r="A539">
        <v>72119</v>
      </c>
      <c r="B539" t="s">
        <v>3218</v>
      </c>
      <c r="C539" t="s">
        <v>3230</v>
      </c>
      <c r="D539" t="s">
        <v>1471</v>
      </c>
      <c r="E539">
        <v>199</v>
      </c>
      <c r="F539">
        <v>0</v>
      </c>
      <c r="G539">
        <v>0</v>
      </c>
      <c r="H539">
        <v>3120</v>
      </c>
      <c r="I539">
        <v>37</v>
      </c>
      <c r="J539">
        <v>0</v>
      </c>
    </row>
    <row r="540" spans="1:10" x14ac:dyDescent="0.25">
      <c r="A540">
        <v>24375</v>
      </c>
      <c r="B540" t="s">
        <v>3212</v>
      </c>
      <c r="C540" t="s">
        <v>1808</v>
      </c>
      <c r="D540" t="s">
        <v>334</v>
      </c>
      <c r="E540">
        <v>198</v>
      </c>
      <c r="F540">
        <v>0</v>
      </c>
      <c r="G540">
        <v>0</v>
      </c>
      <c r="H540">
        <v>2180</v>
      </c>
      <c r="I540">
        <v>45</v>
      </c>
      <c r="J540">
        <v>0</v>
      </c>
    </row>
    <row r="541" spans="1:10" x14ac:dyDescent="0.25">
      <c r="A541">
        <v>51377</v>
      </c>
      <c r="B541" t="s">
        <v>3214</v>
      </c>
      <c r="C541" t="s">
        <v>3045</v>
      </c>
      <c r="D541" t="s">
        <v>1025</v>
      </c>
      <c r="E541">
        <v>197</v>
      </c>
      <c r="F541">
        <v>0</v>
      </c>
      <c r="G541">
        <v>0</v>
      </c>
      <c r="H541">
        <v>1200</v>
      </c>
      <c r="I541">
        <v>35</v>
      </c>
      <c r="J541">
        <v>0</v>
      </c>
    </row>
    <row r="542" spans="1:10" x14ac:dyDescent="0.25">
      <c r="A542">
        <v>22439</v>
      </c>
      <c r="B542" t="s">
        <v>3212</v>
      </c>
      <c r="C542" t="s">
        <v>3224</v>
      </c>
      <c r="D542" t="s">
        <v>113</v>
      </c>
      <c r="E542">
        <v>196</v>
      </c>
      <c r="F542">
        <v>0</v>
      </c>
      <c r="G542">
        <v>0</v>
      </c>
      <c r="H542">
        <v>1811</v>
      </c>
      <c r="I542">
        <v>215</v>
      </c>
      <c r="J542">
        <v>0</v>
      </c>
    </row>
    <row r="543" spans="1:10" x14ac:dyDescent="0.25">
      <c r="A543">
        <v>61347</v>
      </c>
      <c r="B543" t="s">
        <v>3213</v>
      </c>
      <c r="C543" t="s">
        <v>3039</v>
      </c>
      <c r="D543" t="s">
        <v>1208</v>
      </c>
      <c r="E543">
        <v>195</v>
      </c>
      <c r="F543">
        <v>1221</v>
      </c>
      <c r="G543">
        <v>0</v>
      </c>
      <c r="H543">
        <v>2497</v>
      </c>
      <c r="I543">
        <v>55</v>
      </c>
      <c r="J543">
        <v>0.48898678414096919</v>
      </c>
    </row>
    <row r="544" spans="1:10" x14ac:dyDescent="0.25">
      <c r="A544">
        <v>22731</v>
      </c>
      <c r="B544" t="s">
        <v>3212</v>
      </c>
      <c r="C544" t="s">
        <v>3224</v>
      </c>
      <c r="D544" t="s">
        <v>165</v>
      </c>
      <c r="E544">
        <v>194</v>
      </c>
      <c r="F544">
        <v>0</v>
      </c>
      <c r="G544">
        <v>0</v>
      </c>
      <c r="H544">
        <v>1042</v>
      </c>
      <c r="I544">
        <v>11</v>
      </c>
      <c r="J544">
        <v>0</v>
      </c>
    </row>
    <row r="545" spans="1:10" x14ac:dyDescent="0.25">
      <c r="A545">
        <v>26153</v>
      </c>
      <c r="B545" t="s">
        <v>3212</v>
      </c>
      <c r="C545" t="s">
        <v>3227</v>
      </c>
      <c r="D545" t="s">
        <v>445</v>
      </c>
      <c r="E545">
        <v>194</v>
      </c>
      <c r="F545">
        <v>0</v>
      </c>
      <c r="G545">
        <v>0</v>
      </c>
      <c r="H545">
        <v>1148</v>
      </c>
      <c r="I545">
        <v>66</v>
      </c>
      <c r="J545">
        <v>0</v>
      </c>
    </row>
    <row r="546" spans="1:10" x14ac:dyDescent="0.25">
      <c r="A546">
        <v>24417</v>
      </c>
      <c r="B546" t="s">
        <v>3212</v>
      </c>
      <c r="C546" t="s">
        <v>1808</v>
      </c>
      <c r="D546" t="s">
        <v>338</v>
      </c>
      <c r="E546">
        <v>193</v>
      </c>
      <c r="F546">
        <v>0</v>
      </c>
      <c r="G546">
        <v>0</v>
      </c>
      <c r="H546">
        <v>1646</v>
      </c>
      <c r="I546">
        <v>10</v>
      </c>
      <c r="J546">
        <v>0</v>
      </c>
    </row>
    <row r="547" spans="1:10" x14ac:dyDescent="0.25">
      <c r="A547">
        <v>32175</v>
      </c>
      <c r="B547" t="s">
        <v>3215</v>
      </c>
      <c r="C547" t="s">
        <v>3223</v>
      </c>
      <c r="D547" t="s">
        <v>586</v>
      </c>
      <c r="E547">
        <v>193</v>
      </c>
      <c r="F547">
        <v>0</v>
      </c>
      <c r="G547">
        <v>0</v>
      </c>
      <c r="H547">
        <v>283</v>
      </c>
      <c r="I547">
        <v>2</v>
      </c>
      <c r="J547">
        <v>0</v>
      </c>
    </row>
    <row r="548" spans="1:10" x14ac:dyDescent="0.25">
      <c r="A548">
        <v>25319</v>
      </c>
      <c r="B548" t="s">
        <v>3212</v>
      </c>
      <c r="C548" t="s">
        <v>3229</v>
      </c>
      <c r="D548" t="s">
        <v>387</v>
      </c>
      <c r="E548">
        <v>192</v>
      </c>
      <c r="F548">
        <v>0</v>
      </c>
      <c r="G548">
        <v>0</v>
      </c>
      <c r="H548">
        <v>2984</v>
      </c>
      <c r="I548">
        <v>73</v>
      </c>
      <c r="J548">
        <v>0</v>
      </c>
    </row>
    <row r="549" spans="1:10" x14ac:dyDescent="0.25">
      <c r="A549">
        <v>62293</v>
      </c>
      <c r="B549" t="s">
        <v>3213</v>
      </c>
      <c r="C549" t="s">
        <v>1267</v>
      </c>
      <c r="D549" t="s">
        <v>2995</v>
      </c>
      <c r="E549">
        <v>192</v>
      </c>
      <c r="F549">
        <v>0</v>
      </c>
      <c r="G549">
        <v>0</v>
      </c>
      <c r="H549">
        <v>701</v>
      </c>
      <c r="I549">
        <v>10</v>
      </c>
      <c r="J549">
        <v>0</v>
      </c>
    </row>
    <row r="550" spans="1:10" x14ac:dyDescent="0.25">
      <c r="A550">
        <v>33167</v>
      </c>
      <c r="B550" t="s">
        <v>3215</v>
      </c>
      <c r="C550" t="s">
        <v>597</v>
      </c>
      <c r="D550" t="s">
        <v>626</v>
      </c>
      <c r="E550">
        <v>192</v>
      </c>
      <c r="F550">
        <v>0</v>
      </c>
      <c r="G550">
        <v>0</v>
      </c>
      <c r="H550">
        <v>417</v>
      </c>
      <c r="I550">
        <v>14</v>
      </c>
      <c r="J550">
        <v>0</v>
      </c>
    </row>
    <row r="551" spans="1:10" x14ac:dyDescent="0.25">
      <c r="A551">
        <v>22279</v>
      </c>
      <c r="B551" t="s">
        <v>3212</v>
      </c>
      <c r="C551" t="s">
        <v>3224</v>
      </c>
      <c r="D551" t="s">
        <v>94</v>
      </c>
      <c r="E551">
        <v>191</v>
      </c>
      <c r="F551">
        <v>0</v>
      </c>
      <c r="G551">
        <v>0</v>
      </c>
      <c r="H551">
        <v>748</v>
      </c>
      <c r="I551">
        <v>276</v>
      </c>
      <c r="J551">
        <v>0</v>
      </c>
    </row>
    <row r="552" spans="1:10" x14ac:dyDescent="0.25">
      <c r="A552">
        <v>37337</v>
      </c>
      <c r="B552" t="s">
        <v>3215</v>
      </c>
      <c r="C552" t="s">
        <v>3228</v>
      </c>
      <c r="D552" t="s">
        <v>2916</v>
      </c>
      <c r="E552">
        <v>191</v>
      </c>
      <c r="F552">
        <v>0</v>
      </c>
      <c r="G552">
        <v>0</v>
      </c>
      <c r="H552">
        <v>1971</v>
      </c>
      <c r="I552">
        <v>28</v>
      </c>
      <c r="J552">
        <v>0</v>
      </c>
    </row>
    <row r="553" spans="1:10" x14ac:dyDescent="0.25">
      <c r="A553">
        <v>52116</v>
      </c>
      <c r="B553" t="s">
        <v>3214</v>
      </c>
      <c r="C553" t="s">
        <v>3221</v>
      </c>
      <c r="D553" t="s">
        <v>2943</v>
      </c>
      <c r="E553">
        <v>190</v>
      </c>
      <c r="F553">
        <v>0</v>
      </c>
      <c r="G553">
        <v>0</v>
      </c>
      <c r="H553">
        <v>1287</v>
      </c>
      <c r="I553">
        <v>15</v>
      </c>
      <c r="J553">
        <v>0</v>
      </c>
    </row>
    <row r="554" spans="1:10" x14ac:dyDescent="0.25">
      <c r="A554">
        <v>32129</v>
      </c>
      <c r="B554" t="s">
        <v>3215</v>
      </c>
      <c r="C554" t="s">
        <v>3223</v>
      </c>
      <c r="D554" t="s">
        <v>563</v>
      </c>
      <c r="E554">
        <v>189</v>
      </c>
      <c r="F554">
        <v>0</v>
      </c>
      <c r="G554">
        <v>0</v>
      </c>
      <c r="H554">
        <v>416</v>
      </c>
      <c r="I554">
        <v>8</v>
      </c>
      <c r="J554">
        <v>0</v>
      </c>
    </row>
    <row r="555" spans="1:10" x14ac:dyDescent="0.25">
      <c r="A555">
        <v>55164</v>
      </c>
      <c r="B555" t="s">
        <v>3214</v>
      </c>
      <c r="C555" t="s">
        <v>3222</v>
      </c>
      <c r="D555" t="s">
        <v>1179</v>
      </c>
      <c r="E555">
        <v>189</v>
      </c>
      <c r="F555">
        <v>0</v>
      </c>
      <c r="G555">
        <v>0</v>
      </c>
      <c r="H555">
        <v>1385</v>
      </c>
      <c r="I555">
        <v>11</v>
      </c>
      <c r="J555">
        <v>0</v>
      </c>
    </row>
    <row r="556" spans="1:10" x14ac:dyDescent="0.25">
      <c r="A556">
        <v>62162</v>
      </c>
      <c r="B556" t="s">
        <v>3213</v>
      </c>
      <c r="C556" t="s">
        <v>1267</v>
      </c>
      <c r="D556" t="s">
        <v>1269</v>
      </c>
      <c r="E556">
        <v>189</v>
      </c>
      <c r="F556">
        <v>261</v>
      </c>
      <c r="G556">
        <v>0</v>
      </c>
      <c r="H556">
        <v>2680</v>
      </c>
      <c r="I556">
        <v>102</v>
      </c>
      <c r="J556">
        <v>9.7388059701492544E-2</v>
      </c>
    </row>
    <row r="557" spans="1:10" x14ac:dyDescent="0.25">
      <c r="A557">
        <v>61111</v>
      </c>
      <c r="B557" t="s">
        <v>3213</v>
      </c>
      <c r="C557" t="s">
        <v>3039</v>
      </c>
      <c r="D557" t="s">
        <v>1191</v>
      </c>
      <c r="E557">
        <v>187</v>
      </c>
      <c r="F557">
        <v>539</v>
      </c>
      <c r="G557">
        <v>1530</v>
      </c>
      <c r="H557">
        <v>8354</v>
      </c>
      <c r="I557">
        <v>139</v>
      </c>
      <c r="J557">
        <v>0.24766578884366772</v>
      </c>
    </row>
    <row r="558" spans="1:10" x14ac:dyDescent="0.25">
      <c r="A558">
        <v>53375</v>
      </c>
      <c r="B558" t="s">
        <v>3216</v>
      </c>
      <c r="C558" t="s">
        <v>1069</v>
      </c>
      <c r="D558" t="s">
        <v>1116</v>
      </c>
      <c r="E558">
        <v>186</v>
      </c>
      <c r="F558">
        <v>0</v>
      </c>
      <c r="G558">
        <v>0</v>
      </c>
      <c r="H558">
        <v>795</v>
      </c>
      <c r="I558">
        <v>12</v>
      </c>
      <c r="J558">
        <v>0</v>
      </c>
    </row>
    <row r="559" spans="1:10" x14ac:dyDescent="0.25">
      <c r="A559">
        <v>62271</v>
      </c>
      <c r="B559" t="s">
        <v>3213</v>
      </c>
      <c r="C559" t="s">
        <v>1267</v>
      </c>
      <c r="D559" t="s">
        <v>1310</v>
      </c>
      <c r="E559">
        <v>186</v>
      </c>
      <c r="F559">
        <v>0</v>
      </c>
      <c r="G559">
        <v>0</v>
      </c>
      <c r="H559">
        <v>1764</v>
      </c>
      <c r="I559">
        <v>18</v>
      </c>
      <c r="J559">
        <v>0</v>
      </c>
    </row>
    <row r="560" spans="1:10" x14ac:dyDescent="0.25">
      <c r="A560">
        <v>35324</v>
      </c>
      <c r="B560" t="s">
        <v>3217</v>
      </c>
      <c r="C560" t="s">
        <v>3217</v>
      </c>
      <c r="D560" t="s">
        <v>813</v>
      </c>
      <c r="E560">
        <v>185</v>
      </c>
      <c r="F560">
        <v>0</v>
      </c>
      <c r="G560">
        <v>0</v>
      </c>
      <c r="H560">
        <v>1370</v>
      </c>
      <c r="J560">
        <v>0</v>
      </c>
    </row>
    <row r="561" spans="1:10" x14ac:dyDescent="0.25">
      <c r="A561">
        <v>23219</v>
      </c>
      <c r="B561" t="s">
        <v>3212</v>
      </c>
      <c r="C561" t="s">
        <v>3220</v>
      </c>
      <c r="D561" t="s">
        <v>193</v>
      </c>
      <c r="E561">
        <v>185</v>
      </c>
      <c r="F561">
        <v>0</v>
      </c>
      <c r="G561">
        <v>0</v>
      </c>
      <c r="H561">
        <v>2467</v>
      </c>
      <c r="I561">
        <v>60</v>
      </c>
      <c r="J561">
        <v>0</v>
      </c>
    </row>
    <row r="562" spans="1:10" x14ac:dyDescent="0.25">
      <c r="A562">
        <v>32163</v>
      </c>
      <c r="B562" t="s">
        <v>3215</v>
      </c>
      <c r="C562" t="s">
        <v>3223</v>
      </c>
      <c r="D562" t="s">
        <v>580</v>
      </c>
      <c r="E562">
        <v>185</v>
      </c>
      <c r="F562">
        <v>0</v>
      </c>
      <c r="G562">
        <v>0</v>
      </c>
      <c r="H562">
        <v>295</v>
      </c>
      <c r="J562">
        <v>0</v>
      </c>
    </row>
    <row r="563" spans="1:10" x14ac:dyDescent="0.25">
      <c r="A563">
        <v>53247</v>
      </c>
      <c r="B563" t="s">
        <v>3216</v>
      </c>
      <c r="C563" t="s">
        <v>1069</v>
      </c>
      <c r="D563" t="s">
        <v>1098</v>
      </c>
      <c r="E563">
        <v>184</v>
      </c>
      <c r="F563">
        <v>0</v>
      </c>
      <c r="G563">
        <v>0</v>
      </c>
      <c r="H563">
        <v>550</v>
      </c>
      <c r="I563">
        <v>5</v>
      </c>
      <c r="J563">
        <v>0</v>
      </c>
    </row>
    <row r="564" spans="1:10" x14ac:dyDescent="0.25">
      <c r="A564">
        <v>71266</v>
      </c>
      <c r="B564" t="s">
        <v>3218</v>
      </c>
      <c r="C564" t="s">
        <v>3218</v>
      </c>
      <c r="D564" t="s">
        <v>1439</v>
      </c>
      <c r="E564">
        <v>183</v>
      </c>
      <c r="F564">
        <v>0</v>
      </c>
      <c r="G564">
        <v>0</v>
      </c>
      <c r="H564">
        <v>2072</v>
      </c>
      <c r="I564">
        <v>65</v>
      </c>
      <c r="J564">
        <v>0</v>
      </c>
    </row>
    <row r="565" spans="1:10" x14ac:dyDescent="0.25">
      <c r="A565">
        <v>25435</v>
      </c>
      <c r="B565" t="s">
        <v>3212</v>
      </c>
      <c r="C565" t="s">
        <v>3229</v>
      </c>
      <c r="D565" t="s">
        <v>423</v>
      </c>
      <c r="E565">
        <v>183</v>
      </c>
      <c r="F565">
        <v>0</v>
      </c>
      <c r="G565">
        <v>0</v>
      </c>
      <c r="H565">
        <v>1498</v>
      </c>
      <c r="I565">
        <v>66</v>
      </c>
      <c r="J565">
        <v>0</v>
      </c>
    </row>
    <row r="566" spans="1:10" x14ac:dyDescent="0.25">
      <c r="A566">
        <v>51244</v>
      </c>
      <c r="B566" t="s">
        <v>3214</v>
      </c>
      <c r="C566" t="s">
        <v>3045</v>
      </c>
      <c r="D566" t="s">
        <v>1000</v>
      </c>
      <c r="E566">
        <v>183</v>
      </c>
      <c r="F566">
        <v>0</v>
      </c>
      <c r="G566">
        <v>0</v>
      </c>
      <c r="H566">
        <v>1086</v>
      </c>
      <c r="I566">
        <v>10</v>
      </c>
      <c r="J566">
        <v>0</v>
      </c>
    </row>
    <row r="567" spans="1:10" x14ac:dyDescent="0.25">
      <c r="A567">
        <v>35139</v>
      </c>
      <c r="B567" t="s">
        <v>3217</v>
      </c>
      <c r="C567" t="s">
        <v>3217</v>
      </c>
      <c r="D567" t="s">
        <v>739</v>
      </c>
      <c r="E567">
        <v>181</v>
      </c>
      <c r="F567">
        <v>0</v>
      </c>
      <c r="G567">
        <v>0</v>
      </c>
      <c r="H567">
        <v>1301</v>
      </c>
      <c r="I567">
        <v>5</v>
      </c>
      <c r="J567">
        <v>0</v>
      </c>
    </row>
    <row r="568" spans="1:10" x14ac:dyDescent="0.25">
      <c r="A568">
        <v>25363</v>
      </c>
      <c r="B568" t="s">
        <v>3212</v>
      </c>
      <c r="C568" t="s">
        <v>3229</v>
      </c>
      <c r="D568" t="s">
        <v>2861</v>
      </c>
      <c r="E568">
        <v>181</v>
      </c>
      <c r="F568">
        <v>0</v>
      </c>
      <c r="G568">
        <v>0</v>
      </c>
      <c r="H568">
        <v>1451</v>
      </c>
      <c r="J568">
        <v>0</v>
      </c>
    </row>
    <row r="569" spans="1:10" x14ac:dyDescent="0.25">
      <c r="A569">
        <v>23469</v>
      </c>
      <c r="B569" t="s">
        <v>3212</v>
      </c>
      <c r="C569" t="s">
        <v>3220</v>
      </c>
      <c r="D569" t="s">
        <v>258</v>
      </c>
      <c r="E569">
        <v>180</v>
      </c>
      <c r="F569">
        <v>0</v>
      </c>
      <c r="G569">
        <v>0</v>
      </c>
      <c r="H569">
        <v>2377</v>
      </c>
      <c r="I569">
        <v>20</v>
      </c>
      <c r="J569">
        <v>0</v>
      </c>
    </row>
    <row r="570" spans="1:10" x14ac:dyDescent="0.25">
      <c r="A570">
        <v>10510</v>
      </c>
      <c r="B570" t="s">
        <v>3177</v>
      </c>
      <c r="C570" t="s">
        <v>3177</v>
      </c>
      <c r="D570" t="s">
        <v>25</v>
      </c>
      <c r="E570">
        <v>178</v>
      </c>
      <c r="F570">
        <v>0</v>
      </c>
      <c r="G570">
        <v>0</v>
      </c>
      <c r="H570">
        <v>1862</v>
      </c>
      <c r="I570">
        <v>112</v>
      </c>
      <c r="J570">
        <v>0</v>
      </c>
    </row>
    <row r="571" spans="1:10" x14ac:dyDescent="0.25">
      <c r="A571">
        <v>51173</v>
      </c>
      <c r="B571" t="s">
        <v>3214</v>
      </c>
      <c r="C571" t="s">
        <v>3045</v>
      </c>
      <c r="D571" t="s">
        <v>985</v>
      </c>
      <c r="E571">
        <v>177</v>
      </c>
      <c r="F571">
        <v>0</v>
      </c>
      <c r="G571">
        <v>0</v>
      </c>
      <c r="H571">
        <v>1350</v>
      </c>
      <c r="I571">
        <v>25</v>
      </c>
      <c r="J571">
        <v>0</v>
      </c>
    </row>
    <row r="572" spans="1:10" x14ac:dyDescent="0.25">
      <c r="A572">
        <v>71387</v>
      </c>
      <c r="B572" t="s">
        <v>3218</v>
      </c>
      <c r="C572" t="s">
        <v>3218</v>
      </c>
      <c r="D572" t="s">
        <v>1466</v>
      </c>
      <c r="E572">
        <v>176</v>
      </c>
      <c r="F572">
        <v>0</v>
      </c>
      <c r="G572">
        <v>0</v>
      </c>
      <c r="H572">
        <v>2091</v>
      </c>
      <c r="I572">
        <v>34</v>
      </c>
      <c r="J572">
        <v>0</v>
      </c>
    </row>
    <row r="573" spans="1:10" x14ac:dyDescent="0.25">
      <c r="A573">
        <v>23461</v>
      </c>
      <c r="B573" t="s">
        <v>3212</v>
      </c>
      <c r="C573" t="s">
        <v>3220</v>
      </c>
      <c r="D573" t="s">
        <v>255</v>
      </c>
      <c r="E573">
        <v>175</v>
      </c>
      <c r="F573">
        <v>0</v>
      </c>
      <c r="G573">
        <v>0</v>
      </c>
      <c r="H573">
        <v>1</v>
      </c>
      <c r="I573">
        <v>26</v>
      </c>
      <c r="J573">
        <v>0</v>
      </c>
    </row>
    <row r="574" spans="1:10" x14ac:dyDescent="0.25">
      <c r="A574">
        <v>51241</v>
      </c>
      <c r="B574" t="s">
        <v>3214</v>
      </c>
      <c r="C574" t="s">
        <v>3045</v>
      </c>
      <c r="D574" t="s">
        <v>2936</v>
      </c>
      <c r="E574">
        <v>175</v>
      </c>
      <c r="F574">
        <v>0</v>
      </c>
      <c r="G574">
        <v>0</v>
      </c>
      <c r="H574">
        <v>1094</v>
      </c>
      <c r="I574">
        <v>25</v>
      </c>
      <c r="J574">
        <v>0</v>
      </c>
    </row>
    <row r="575" spans="1:10" x14ac:dyDescent="0.25">
      <c r="A575">
        <v>33141</v>
      </c>
      <c r="B575" t="s">
        <v>3215</v>
      </c>
      <c r="C575" t="s">
        <v>597</v>
      </c>
      <c r="D575" t="s">
        <v>612</v>
      </c>
      <c r="E575">
        <v>175</v>
      </c>
      <c r="F575">
        <v>0</v>
      </c>
      <c r="G575">
        <v>0</v>
      </c>
      <c r="H575">
        <v>874</v>
      </c>
      <c r="I575">
        <v>5</v>
      </c>
      <c r="J575">
        <v>0</v>
      </c>
    </row>
    <row r="576" spans="1:10" x14ac:dyDescent="0.25">
      <c r="A576">
        <v>22343</v>
      </c>
      <c r="B576" t="s">
        <v>3212</v>
      </c>
      <c r="C576" t="s">
        <v>3224</v>
      </c>
      <c r="D576" t="s">
        <v>99</v>
      </c>
      <c r="E576">
        <v>174</v>
      </c>
      <c r="F576">
        <v>0</v>
      </c>
      <c r="G576">
        <v>0</v>
      </c>
      <c r="H576">
        <v>3033</v>
      </c>
      <c r="I576">
        <v>471</v>
      </c>
      <c r="J576">
        <v>0</v>
      </c>
    </row>
    <row r="577" spans="1:10" x14ac:dyDescent="0.25">
      <c r="A577">
        <v>72221</v>
      </c>
      <c r="B577" t="s">
        <v>3218</v>
      </c>
      <c r="C577" t="s">
        <v>3230</v>
      </c>
      <c r="D577" t="s">
        <v>3023</v>
      </c>
      <c r="E577">
        <v>173</v>
      </c>
      <c r="F577">
        <v>0</v>
      </c>
      <c r="G577">
        <v>0</v>
      </c>
      <c r="H577">
        <v>1263</v>
      </c>
      <c r="I577">
        <v>20</v>
      </c>
      <c r="J577">
        <v>0</v>
      </c>
    </row>
    <row r="578" spans="1:10" x14ac:dyDescent="0.25">
      <c r="A578">
        <v>35158</v>
      </c>
      <c r="B578" t="s">
        <v>3217</v>
      </c>
      <c r="C578" t="s">
        <v>3217</v>
      </c>
      <c r="D578" t="s">
        <v>2887</v>
      </c>
      <c r="E578">
        <v>171</v>
      </c>
      <c r="F578">
        <v>0</v>
      </c>
      <c r="G578">
        <v>0</v>
      </c>
      <c r="H578">
        <v>984</v>
      </c>
      <c r="I578">
        <v>10</v>
      </c>
      <c r="J578">
        <v>0</v>
      </c>
    </row>
    <row r="579" spans="1:10" x14ac:dyDescent="0.25">
      <c r="A579">
        <v>34263</v>
      </c>
      <c r="B579" t="s">
        <v>3215</v>
      </c>
      <c r="C579" t="s">
        <v>3226</v>
      </c>
      <c r="D579" t="s">
        <v>689</v>
      </c>
      <c r="E579">
        <v>171</v>
      </c>
      <c r="F579">
        <v>0</v>
      </c>
      <c r="G579">
        <v>0</v>
      </c>
      <c r="H579">
        <v>856</v>
      </c>
      <c r="I579">
        <v>5</v>
      </c>
      <c r="J579">
        <v>0</v>
      </c>
    </row>
    <row r="580" spans="1:10" x14ac:dyDescent="0.25">
      <c r="A580">
        <v>23423</v>
      </c>
      <c r="B580" t="s">
        <v>3212</v>
      </c>
      <c r="C580" t="s">
        <v>3220</v>
      </c>
      <c r="D580" t="s">
        <v>234</v>
      </c>
      <c r="E580">
        <v>169</v>
      </c>
      <c r="F580">
        <v>0</v>
      </c>
      <c r="G580">
        <v>0</v>
      </c>
      <c r="H580">
        <v>2259</v>
      </c>
      <c r="I580">
        <v>19</v>
      </c>
      <c r="J580">
        <v>0</v>
      </c>
    </row>
    <row r="581" spans="1:10" x14ac:dyDescent="0.25">
      <c r="A581">
        <v>22551</v>
      </c>
      <c r="B581" t="s">
        <v>3212</v>
      </c>
      <c r="C581" t="s">
        <v>3224</v>
      </c>
      <c r="D581" t="s">
        <v>136</v>
      </c>
      <c r="E581">
        <v>168</v>
      </c>
      <c r="F581">
        <v>0</v>
      </c>
      <c r="G581">
        <v>0</v>
      </c>
      <c r="H581">
        <v>1071</v>
      </c>
      <c r="I581">
        <v>42</v>
      </c>
      <c r="J581">
        <v>0</v>
      </c>
    </row>
    <row r="582" spans="1:10" x14ac:dyDescent="0.25">
      <c r="A582">
        <v>53264</v>
      </c>
      <c r="B582" t="s">
        <v>3216</v>
      </c>
      <c r="C582" t="s">
        <v>1069</v>
      </c>
      <c r="D582" t="s">
        <v>1103</v>
      </c>
      <c r="E582">
        <v>167</v>
      </c>
      <c r="F582">
        <v>0</v>
      </c>
      <c r="G582">
        <v>0</v>
      </c>
      <c r="H582">
        <v>1339</v>
      </c>
      <c r="I582">
        <v>4</v>
      </c>
      <c r="J582">
        <v>0</v>
      </c>
    </row>
    <row r="583" spans="1:10" x14ac:dyDescent="0.25">
      <c r="A583">
        <v>23588</v>
      </c>
      <c r="B583" t="s">
        <v>3212</v>
      </c>
      <c r="C583" t="s">
        <v>3220</v>
      </c>
      <c r="D583" t="s">
        <v>266</v>
      </c>
      <c r="E583">
        <v>167</v>
      </c>
      <c r="F583">
        <v>0</v>
      </c>
      <c r="G583">
        <v>0</v>
      </c>
      <c r="H583">
        <v>1051</v>
      </c>
      <c r="J583">
        <v>0</v>
      </c>
    </row>
    <row r="584" spans="1:10" x14ac:dyDescent="0.25">
      <c r="A584">
        <v>21243</v>
      </c>
      <c r="B584" t="s">
        <v>3212</v>
      </c>
      <c r="C584" t="s">
        <v>36</v>
      </c>
      <c r="D584" t="s">
        <v>2805</v>
      </c>
      <c r="E584">
        <v>166</v>
      </c>
      <c r="F584">
        <v>0</v>
      </c>
      <c r="G584">
        <v>0</v>
      </c>
      <c r="H584">
        <v>1511</v>
      </c>
      <c r="I584">
        <v>330</v>
      </c>
      <c r="J584">
        <v>0</v>
      </c>
    </row>
    <row r="585" spans="1:10" x14ac:dyDescent="0.25">
      <c r="A585">
        <v>37261</v>
      </c>
      <c r="B585" t="s">
        <v>3215</v>
      </c>
      <c r="C585" t="s">
        <v>3228</v>
      </c>
      <c r="D585" t="s">
        <v>914</v>
      </c>
      <c r="E585">
        <v>165</v>
      </c>
      <c r="F585">
        <v>0</v>
      </c>
      <c r="G585">
        <v>0</v>
      </c>
      <c r="H585">
        <v>2003</v>
      </c>
      <c r="I585">
        <v>10</v>
      </c>
      <c r="J585">
        <v>0</v>
      </c>
    </row>
    <row r="586" spans="1:10" x14ac:dyDescent="0.25">
      <c r="A586">
        <v>72251</v>
      </c>
      <c r="B586" t="s">
        <v>3218</v>
      </c>
      <c r="C586" t="s">
        <v>3230</v>
      </c>
      <c r="D586" t="s">
        <v>1494</v>
      </c>
      <c r="E586">
        <v>164</v>
      </c>
      <c r="F586">
        <v>0</v>
      </c>
      <c r="G586">
        <v>0</v>
      </c>
      <c r="H586">
        <v>255</v>
      </c>
      <c r="I586">
        <v>15</v>
      </c>
      <c r="J586">
        <v>0</v>
      </c>
    </row>
    <row r="587" spans="1:10" x14ac:dyDescent="0.25">
      <c r="A587">
        <v>71226</v>
      </c>
      <c r="B587" t="s">
        <v>3218</v>
      </c>
      <c r="C587" t="s">
        <v>3218</v>
      </c>
      <c r="D587" t="s">
        <v>1431</v>
      </c>
      <c r="E587">
        <v>164</v>
      </c>
      <c r="F587">
        <v>0</v>
      </c>
      <c r="G587">
        <v>0</v>
      </c>
      <c r="H587">
        <v>2895</v>
      </c>
      <c r="I587">
        <v>10</v>
      </c>
      <c r="J587">
        <v>0</v>
      </c>
    </row>
    <row r="588" spans="1:10" x14ac:dyDescent="0.25">
      <c r="A588">
        <v>35223</v>
      </c>
      <c r="B588" t="s">
        <v>3217</v>
      </c>
      <c r="C588" t="s">
        <v>3217</v>
      </c>
      <c r="D588" t="s">
        <v>774</v>
      </c>
      <c r="E588">
        <v>163</v>
      </c>
      <c r="F588">
        <v>0</v>
      </c>
      <c r="G588">
        <v>0</v>
      </c>
      <c r="H588">
        <v>311</v>
      </c>
      <c r="I588">
        <v>26</v>
      </c>
      <c r="J588">
        <v>0</v>
      </c>
    </row>
    <row r="589" spans="1:10" x14ac:dyDescent="0.25">
      <c r="A589">
        <v>35518</v>
      </c>
      <c r="B589" t="s">
        <v>3217</v>
      </c>
      <c r="C589" t="s">
        <v>3217</v>
      </c>
      <c r="D589" t="s">
        <v>886</v>
      </c>
      <c r="E589">
        <v>162</v>
      </c>
      <c r="F589">
        <v>0</v>
      </c>
      <c r="G589">
        <v>0</v>
      </c>
      <c r="H589">
        <v>666</v>
      </c>
      <c r="J589">
        <v>0</v>
      </c>
    </row>
    <row r="590" spans="1:10" x14ac:dyDescent="0.25">
      <c r="A590">
        <v>23577</v>
      </c>
      <c r="B590" t="s">
        <v>3212</v>
      </c>
      <c r="C590" t="s">
        <v>3220</v>
      </c>
      <c r="D590" t="s">
        <v>2841</v>
      </c>
      <c r="E590">
        <v>162</v>
      </c>
      <c r="F590">
        <v>0</v>
      </c>
      <c r="G590">
        <v>0</v>
      </c>
      <c r="H590">
        <v>3420</v>
      </c>
      <c r="I590">
        <v>20</v>
      </c>
      <c r="J590">
        <v>0</v>
      </c>
    </row>
    <row r="591" spans="1:10" x14ac:dyDescent="0.25">
      <c r="A591">
        <v>24323</v>
      </c>
      <c r="B591" t="s">
        <v>3212</v>
      </c>
      <c r="C591" t="s">
        <v>1808</v>
      </c>
      <c r="D591" t="s">
        <v>308</v>
      </c>
      <c r="E591">
        <v>160</v>
      </c>
      <c r="F591">
        <v>0</v>
      </c>
      <c r="G591">
        <v>0</v>
      </c>
      <c r="H591">
        <v>1226</v>
      </c>
      <c r="I591">
        <v>22</v>
      </c>
      <c r="J591">
        <v>0</v>
      </c>
    </row>
    <row r="592" spans="1:10" x14ac:dyDescent="0.25">
      <c r="A592">
        <v>51151</v>
      </c>
      <c r="B592" t="s">
        <v>3214</v>
      </c>
      <c r="C592" t="s">
        <v>3045</v>
      </c>
      <c r="D592" t="s">
        <v>982</v>
      </c>
      <c r="E592">
        <v>160</v>
      </c>
      <c r="F592">
        <v>0</v>
      </c>
      <c r="G592">
        <v>0</v>
      </c>
      <c r="H592">
        <v>537</v>
      </c>
      <c r="I592">
        <v>20</v>
      </c>
      <c r="J592">
        <v>0</v>
      </c>
    </row>
    <row r="593" spans="1:10" x14ac:dyDescent="0.25">
      <c r="A593">
        <v>35245</v>
      </c>
      <c r="B593" t="s">
        <v>3217</v>
      </c>
      <c r="C593" t="s">
        <v>3217</v>
      </c>
      <c r="D593" t="s">
        <v>787</v>
      </c>
      <c r="E593">
        <v>159</v>
      </c>
      <c r="F593">
        <v>0</v>
      </c>
      <c r="G593">
        <v>0</v>
      </c>
      <c r="H593">
        <v>697</v>
      </c>
      <c r="I593">
        <v>4</v>
      </c>
      <c r="J593">
        <v>0</v>
      </c>
    </row>
    <row r="594" spans="1:10" x14ac:dyDescent="0.25">
      <c r="A594">
        <v>61477</v>
      </c>
      <c r="B594" t="s">
        <v>3213</v>
      </c>
      <c r="C594" t="s">
        <v>3039</v>
      </c>
      <c r="D594" t="s">
        <v>1253</v>
      </c>
      <c r="E594">
        <v>158</v>
      </c>
      <c r="F594">
        <v>0</v>
      </c>
      <c r="G594">
        <v>0</v>
      </c>
      <c r="H594">
        <v>794</v>
      </c>
      <c r="I594">
        <v>61</v>
      </c>
      <c r="J594">
        <v>0</v>
      </c>
    </row>
    <row r="595" spans="1:10" x14ac:dyDescent="0.25">
      <c r="A595">
        <v>62297</v>
      </c>
      <c r="B595" t="s">
        <v>3213</v>
      </c>
      <c r="C595" t="s">
        <v>1267</v>
      </c>
      <c r="D595" t="s">
        <v>1328</v>
      </c>
      <c r="E595">
        <v>158</v>
      </c>
      <c r="F595">
        <v>0</v>
      </c>
      <c r="G595">
        <v>0</v>
      </c>
      <c r="H595">
        <v>927</v>
      </c>
      <c r="J595">
        <v>0</v>
      </c>
    </row>
    <row r="596" spans="1:10" x14ac:dyDescent="0.25">
      <c r="A596">
        <v>26284</v>
      </c>
      <c r="B596" t="s">
        <v>3212</v>
      </c>
      <c r="C596" t="s">
        <v>3227</v>
      </c>
      <c r="D596" t="s">
        <v>499</v>
      </c>
      <c r="E596">
        <v>157</v>
      </c>
      <c r="F596">
        <v>0</v>
      </c>
      <c r="G596">
        <v>0</v>
      </c>
      <c r="H596">
        <v>1442</v>
      </c>
      <c r="I596">
        <v>128</v>
      </c>
      <c r="J596">
        <v>0</v>
      </c>
    </row>
    <row r="597" spans="1:10" x14ac:dyDescent="0.25">
      <c r="A597">
        <v>63274</v>
      </c>
      <c r="B597" t="s">
        <v>3213</v>
      </c>
      <c r="C597" t="s">
        <v>1342</v>
      </c>
      <c r="D597" t="s">
        <v>1387</v>
      </c>
      <c r="E597">
        <v>156</v>
      </c>
      <c r="F597">
        <v>0</v>
      </c>
      <c r="G597">
        <v>0</v>
      </c>
      <c r="H597">
        <v>594</v>
      </c>
      <c r="I597">
        <v>6</v>
      </c>
      <c r="J597">
        <v>0</v>
      </c>
    </row>
    <row r="598" spans="1:10" x14ac:dyDescent="0.25">
      <c r="A598">
        <v>33259</v>
      </c>
      <c r="B598" t="s">
        <v>3215</v>
      </c>
      <c r="C598" t="s">
        <v>597</v>
      </c>
      <c r="D598" t="s">
        <v>640</v>
      </c>
      <c r="E598">
        <v>156</v>
      </c>
      <c r="F598">
        <v>0</v>
      </c>
      <c r="G598">
        <v>0</v>
      </c>
      <c r="H598">
        <v>1227</v>
      </c>
      <c r="J598">
        <v>0</v>
      </c>
    </row>
    <row r="599" spans="1:10" x14ac:dyDescent="0.25">
      <c r="A599">
        <v>23615</v>
      </c>
      <c r="B599" t="s">
        <v>3212</v>
      </c>
      <c r="C599" t="s">
        <v>3220</v>
      </c>
      <c r="D599" t="s">
        <v>2842</v>
      </c>
      <c r="E599">
        <v>152</v>
      </c>
      <c r="F599">
        <v>0</v>
      </c>
      <c r="G599">
        <v>0</v>
      </c>
      <c r="H599">
        <v>1534</v>
      </c>
      <c r="I599">
        <v>8</v>
      </c>
      <c r="J599">
        <v>0</v>
      </c>
    </row>
    <row r="600" spans="1:10" x14ac:dyDescent="0.25">
      <c r="A600">
        <v>23679</v>
      </c>
      <c r="B600" t="s">
        <v>3212</v>
      </c>
      <c r="C600" t="s">
        <v>3220</v>
      </c>
      <c r="D600" t="s">
        <v>285</v>
      </c>
      <c r="E600">
        <v>151</v>
      </c>
      <c r="F600">
        <v>0</v>
      </c>
      <c r="G600">
        <v>0</v>
      </c>
      <c r="H600">
        <v>3591</v>
      </c>
      <c r="I600">
        <v>45</v>
      </c>
      <c r="J600">
        <v>0</v>
      </c>
    </row>
    <row r="601" spans="1:10" x14ac:dyDescent="0.25">
      <c r="A601">
        <v>61415</v>
      </c>
      <c r="B601" t="s">
        <v>3213</v>
      </c>
      <c r="C601" t="s">
        <v>3039</v>
      </c>
      <c r="D601" t="s">
        <v>1215</v>
      </c>
      <c r="E601">
        <v>151</v>
      </c>
      <c r="F601">
        <v>0</v>
      </c>
      <c r="G601">
        <v>0</v>
      </c>
      <c r="H601">
        <v>354</v>
      </c>
      <c r="I601">
        <v>25</v>
      </c>
      <c r="J601">
        <v>0</v>
      </c>
    </row>
    <row r="602" spans="1:10" x14ac:dyDescent="0.25">
      <c r="A602">
        <v>37333</v>
      </c>
      <c r="B602" t="s">
        <v>3215</v>
      </c>
      <c r="C602" t="s">
        <v>3228</v>
      </c>
      <c r="D602" t="s">
        <v>2914</v>
      </c>
      <c r="E602">
        <v>150</v>
      </c>
      <c r="F602">
        <v>0</v>
      </c>
      <c r="G602">
        <v>0</v>
      </c>
      <c r="H602">
        <v>799</v>
      </c>
      <c r="J602">
        <v>0</v>
      </c>
    </row>
    <row r="603" spans="1:10" x14ac:dyDescent="0.25">
      <c r="A603">
        <v>63167</v>
      </c>
      <c r="B603" t="s">
        <v>3213</v>
      </c>
      <c r="C603" t="s">
        <v>1342</v>
      </c>
      <c r="D603" t="s">
        <v>3002</v>
      </c>
      <c r="E603">
        <v>150</v>
      </c>
      <c r="F603">
        <v>0</v>
      </c>
      <c r="G603">
        <v>0</v>
      </c>
      <c r="H603">
        <v>1821</v>
      </c>
      <c r="I603">
        <v>10</v>
      </c>
      <c r="J603">
        <v>0</v>
      </c>
    </row>
    <row r="604" spans="1:10" x14ac:dyDescent="0.25">
      <c r="A604">
        <v>24321</v>
      </c>
      <c r="B604" t="s">
        <v>3212</v>
      </c>
      <c r="C604" t="s">
        <v>1808</v>
      </c>
      <c r="D604" t="s">
        <v>307</v>
      </c>
      <c r="E604">
        <v>149</v>
      </c>
      <c r="F604">
        <v>0</v>
      </c>
      <c r="G604">
        <v>0</v>
      </c>
      <c r="H604">
        <v>587</v>
      </c>
      <c r="I604">
        <v>100</v>
      </c>
      <c r="J604">
        <v>0</v>
      </c>
    </row>
    <row r="605" spans="1:10" x14ac:dyDescent="0.25">
      <c r="A605">
        <v>54119</v>
      </c>
      <c r="B605" t="s">
        <v>3216</v>
      </c>
      <c r="C605" t="s">
        <v>6936</v>
      </c>
      <c r="D605" t="s">
        <v>1154</v>
      </c>
      <c r="E605">
        <v>149</v>
      </c>
      <c r="F605">
        <v>0</v>
      </c>
      <c r="G605">
        <v>0</v>
      </c>
      <c r="H605">
        <v>864</v>
      </c>
      <c r="J605">
        <v>0</v>
      </c>
    </row>
    <row r="606" spans="1:10" x14ac:dyDescent="0.25">
      <c r="A606">
        <v>74160</v>
      </c>
      <c r="B606" t="s">
        <v>3218</v>
      </c>
      <c r="C606" t="s">
        <v>2784</v>
      </c>
      <c r="D606" t="s">
        <v>1557</v>
      </c>
      <c r="E606">
        <v>148</v>
      </c>
      <c r="F606">
        <v>0</v>
      </c>
      <c r="G606">
        <v>0</v>
      </c>
      <c r="H606">
        <v>1417</v>
      </c>
      <c r="J606">
        <v>0</v>
      </c>
    </row>
    <row r="607" spans="1:10" x14ac:dyDescent="0.25">
      <c r="A607">
        <v>34276</v>
      </c>
      <c r="B607" t="s">
        <v>3215</v>
      </c>
      <c r="C607" t="s">
        <v>3226</v>
      </c>
      <c r="D607" t="s">
        <v>697</v>
      </c>
      <c r="E607">
        <v>147</v>
      </c>
      <c r="F607">
        <v>0</v>
      </c>
      <c r="G607">
        <v>0</v>
      </c>
      <c r="H607">
        <v>390</v>
      </c>
      <c r="I607">
        <v>1</v>
      </c>
      <c r="J607">
        <v>0</v>
      </c>
    </row>
    <row r="608" spans="1:10" x14ac:dyDescent="0.25">
      <c r="A608">
        <v>26239</v>
      </c>
      <c r="B608" t="s">
        <v>3212</v>
      </c>
      <c r="C608" t="s">
        <v>3227</v>
      </c>
      <c r="D608" t="s">
        <v>472</v>
      </c>
      <c r="E608">
        <v>147</v>
      </c>
      <c r="F608">
        <v>0</v>
      </c>
      <c r="G608">
        <v>0</v>
      </c>
      <c r="H608">
        <v>778</v>
      </c>
      <c r="I608">
        <v>3</v>
      </c>
      <c r="J608">
        <v>0</v>
      </c>
    </row>
    <row r="609" spans="1:10" x14ac:dyDescent="0.25">
      <c r="A609">
        <v>63267</v>
      </c>
      <c r="B609" t="s">
        <v>3213</v>
      </c>
      <c r="C609" t="s">
        <v>1342</v>
      </c>
      <c r="D609" t="s">
        <v>1385</v>
      </c>
      <c r="E609">
        <v>147</v>
      </c>
      <c r="F609">
        <v>0</v>
      </c>
      <c r="G609">
        <v>0</v>
      </c>
      <c r="H609">
        <v>260</v>
      </c>
      <c r="I609">
        <v>40</v>
      </c>
      <c r="J609">
        <v>0</v>
      </c>
    </row>
    <row r="610" spans="1:10" x14ac:dyDescent="0.25">
      <c r="A610">
        <v>61323</v>
      </c>
      <c r="B610" t="s">
        <v>3213</v>
      </c>
      <c r="C610" t="s">
        <v>3039</v>
      </c>
      <c r="D610" t="s">
        <v>2965</v>
      </c>
      <c r="E610">
        <v>147</v>
      </c>
      <c r="F610">
        <v>1221</v>
      </c>
      <c r="G610">
        <v>0</v>
      </c>
      <c r="H610">
        <v>3196</v>
      </c>
      <c r="J610">
        <v>0.38204005006257824</v>
      </c>
    </row>
    <row r="611" spans="1:10" x14ac:dyDescent="0.25">
      <c r="A611">
        <v>24371</v>
      </c>
      <c r="B611" t="s">
        <v>3212</v>
      </c>
      <c r="C611" t="s">
        <v>1808</v>
      </c>
      <c r="D611" t="s">
        <v>332</v>
      </c>
      <c r="E611">
        <v>146</v>
      </c>
      <c r="F611">
        <v>0</v>
      </c>
      <c r="G611">
        <v>0</v>
      </c>
      <c r="H611">
        <v>515</v>
      </c>
      <c r="I611">
        <v>18</v>
      </c>
      <c r="J611">
        <v>0</v>
      </c>
    </row>
    <row r="612" spans="1:10" x14ac:dyDescent="0.25">
      <c r="A612">
        <v>23663</v>
      </c>
      <c r="B612" t="s">
        <v>3212</v>
      </c>
      <c r="C612" t="s">
        <v>3220</v>
      </c>
      <c r="D612" t="s">
        <v>281</v>
      </c>
      <c r="E612">
        <v>146</v>
      </c>
      <c r="F612">
        <v>0</v>
      </c>
      <c r="G612">
        <v>0</v>
      </c>
      <c r="H612">
        <v>2767</v>
      </c>
      <c r="I612">
        <v>29</v>
      </c>
      <c r="J612">
        <v>0</v>
      </c>
    </row>
    <row r="613" spans="1:10" x14ac:dyDescent="0.25">
      <c r="A613">
        <v>62218</v>
      </c>
      <c r="B613" t="s">
        <v>3213</v>
      </c>
      <c r="C613" t="s">
        <v>1267</v>
      </c>
      <c r="D613" t="s">
        <v>1276</v>
      </c>
      <c r="E613">
        <v>146</v>
      </c>
      <c r="F613">
        <v>261</v>
      </c>
      <c r="G613">
        <v>0</v>
      </c>
      <c r="H613">
        <v>1017</v>
      </c>
      <c r="I613">
        <v>51</v>
      </c>
      <c r="J613">
        <v>0.25663716814159293</v>
      </c>
    </row>
    <row r="614" spans="1:10" x14ac:dyDescent="0.25">
      <c r="A614">
        <v>63319</v>
      </c>
      <c r="B614" t="s">
        <v>3213</v>
      </c>
      <c r="C614" t="s">
        <v>1342</v>
      </c>
      <c r="D614" t="s">
        <v>1398</v>
      </c>
      <c r="E614">
        <v>145</v>
      </c>
      <c r="F614">
        <v>0</v>
      </c>
      <c r="G614">
        <v>0</v>
      </c>
      <c r="H614">
        <v>1059</v>
      </c>
      <c r="I614">
        <v>11</v>
      </c>
      <c r="J614">
        <v>0</v>
      </c>
    </row>
    <row r="615" spans="1:10" x14ac:dyDescent="0.25">
      <c r="A615">
        <v>72244</v>
      </c>
      <c r="B615" t="s">
        <v>3218</v>
      </c>
      <c r="C615" t="s">
        <v>3230</v>
      </c>
      <c r="D615" t="s">
        <v>1492</v>
      </c>
      <c r="E615">
        <v>144</v>
      </c>
      <c r="F615">
        <v>0</v>
      </c>
      <c r="G615">
        <v>0</v>
      </c>
      <c r="H615">
        <v>1857</v>
      </c>
      <c r="I615">
        <v>52</v>
      </c>
      <c r="J615">
        <v>0</v>
      </c>
    </row>
    <row r="616" spans="1:10" x14ac:dyDescent="0.25">
      <c r="A616">
        <v>25339</v>
      </c>
      <c r="B616" t="s">
        <v>3212</v>
      </c>
      <c r="C616" t="s">
        <v>3229</v>
      </c>
      <c r="D616" t="s">
        <v>397</v>
      </c>
      <c r="E616">
        <v>144</v>
      </c>
      <c r="F616">
        <v>0</v>
      </c>
      <c r="G616">
        <v>0</v>
      </c>
      <c r="H616">
        <v>625</v>
      </c>
      <c r="I616">
        <v>57</v>
      </c>
      <c r="J616">
        <v>0</v>
      </c>
    </row>
    <row r="617" spans="1:10" x14ac:dyDescent="0.25">
      <c r="A617">
        <v>35316</v>
      </c>
      <c r="B617" t="s">
        <v>3217</v>
      </c>
      <c r="C617" t="s">
        <v>3217</v>
      </c>
      <c r="D617" t="s">
        <v>807</v>
      </c>
      <c r="E617">
        <v>143</v>
      </c>
      <c r="F617">
        <v>0</v>
      </c>
      <c r="G617">
        <v>0</v>
      </c>
      <c r="H617">
        <v>2792</v>
      </c>
      <c r="J617">
        <v>0</v>
      </c>
    </row>
    <row r="618" spans="1:10" x14ac:dyDescent="0.25">
      <c r="A618">
        <v>21481</v>
      </c>
      <c r="B618" t="s">
        <v>3212</v>
      </c>
      <c r="C618" t="s">
        <v>36</v>
      </c>
      <c r="D618" t="s">
        <v>85</v>
      </c>
      <c r="E618">
        <v>142</v>
      </c>
      <c r="F618">
        <v>0</v>
      </c>
      <c r="G618">
        <v>0</v>
      </c>
      <c r="H618">
        <v>19</v>
      </c>
      <c r="I618">
        <v>11</v>
      </c>
      <c r="J618">
        <v>0</v>
      </c>
    </row>
    <row r="619" spans="1:10" x14ac:dyDescent="0.25">
      <c r="A619">
        <v>62279</v>
      </c>
      <c r="B619" t="s">
        <v>3213</v>
      </c>
      <c r="C619" t="s">
        <v>1267</v>
      </c>
      <c r="D619" t="s">
        <v>1315</v>
      </c>
      <c r="E619">
        <v>142</v>
      </c>
      <c r="F619">
        <v>0</v>
      </c>
      <c r="G619">
        <v>0</v>
      </c>
      <c r="H619">
        <v>1069</v>
      </c>
      <c r="I619">
        <v>15</v>
      </c>
      <c r="J619">
        <v>0</v>
      </c>
    </row>
    <row r="620" spans="1:10" x14ac:dyDescent="0.25">
      <c r="A620">
        <v>24275</v>
      </c>
      <c r="B620" t="s">
        <v>3212</v>
      </c>
      <c r="C620" t="s">
        <v>1808</v>
      </c>
      <c r="D620" t="s">
        <v>299</v>
      </c>
      <c r="E620">
        <v>141</v>
      </c>
      <c r="F620">
        <v>0</v>
      </c>
      <c r="G620">
        <v>0</v>
      </c>
      <c r="H620">
        <v>1504</v>
      </c>
      <c r="I620">
        <v>50</v>
      </c>
      <c r="J620">
        <v>0</v>
      </c>
    </row>
    <row r="621" spans="1:10" x14ac:dyDescent="0.25">
      <c r="A621">
        <v>35145</v>
      </c>
      <c r="B621" t="s">
        <v>3217</v>
      </c>
      <c r="C621" t="s">
        <v>3217</v>
      </c>
      <c r="D621" t="s">
        <v>742</v>
      </c>
      <c r="E621">
        <v>139</v>
      </c>
      <c r="F621">
        <v>0</v>
      </c>
      <c r="G621">
        <v>0</v>
      </c>
      <c r="H621">
        <v>908</v>
      </c>
      <c r="I621">
        <v>2</v>
      </c>
      <c r="J621">
        <v>0</v>
      </c>
    </row>
    <row r="622" spans="1:10" x14ac:dyDescent="0.25">
      <c r="A622">
        <v>35433</v>
      </c>
      <c r="B622" t="s">
        <v>3217</v>
      </c>
      <c r="C622" t="s">
        <v>3217</v>
      </c>
      <c r="D622" t="s">
        <v>855</v>
      </c>
      <c r="E622">
        <v>137</v>
      </c>
      <c r="F622">
        <v>0</v>
      </c>
      <c r="G622">
        <v>0</v>
      </c>
      <c r="H622">
        <v>386</v>
      </c>
      <c r="J622">
        <v>0</v>
      </c>
    </row>
    <row r="623" spans="1:10" x14ac:dyDescent="0.25">
      <c r="A623">
        <v>71394</v>
      </c>
      <c r="B623" t="s">
        <v>3218</v>
      </c>
      <c r="C623" t="s">
        <v>3218</v>
      </c>
      <c r="D623" t="s">
        <v>1468</v>
      </c>
      <c r="E623">
        <v>137</v>
      </c>
      <c r="F623">
        <v>0</v>
      </c>
      <c r="G623">
        <v>0</v>
      </c>
      <c r="H623">
        <v>2426</v>
      </c>
      <c r="J623">
        <v>0</v>
      </c>
    </row>
    <row r="624" spans="1:10" x14ac:dyDescent="0.25">
      <c r="A624">
        <v>72254</v>
      </c>
      <c r="B624" t="s">
        <v>3218</v>
      </c>
      <c r="C624" t="s">
        <v>3230</v>
      </c>
      <c r="D624" t="s">
        <v>1495</v>
      </c>
      <c r="E624">
        <v>136</v>
      </c>
      <c r="F624">
        <v>0</v>
      </c>
      <c r="G624">
        <v>0</v>
      </c>
      <c r="H624">
        <v>314</v>
      </c>
      <c r="J624">
        <v>0</v>
      </c>
    </row>
    <row r="625" spans="1:10" x14ac:dyDescent="0.25">
      <c r="A625">
        <v>22741</v>
      </c>
      <c r="B625" t="s">
        <v>3212</v>
      </c>
      <c r="C625" t="s">
        <v>3224</v>
      </c>
      <c r="D625" t="s">
        <v>169</v>
      </c>
      <c r="E625">
        <v>136</v>
      </c>
      <c r="F625">
        <v>0</v>
      </c>
      <c r="G625">
        <v>0</v>
      </c>
      <c r="H625">
        <v>463</v>
      </c>
      <c r="I625">
        <v>10</v>
      </c>
      <c r="J625">
        <v>0</v>
      </c>
    </row>
    <row r="626" spans="1:10" x14ac:dyDescent="0.25">
      <c r="A626">
        <v>51287</v>
      </c>
      <c r="B626" t="s">
        <v>3214</v>
      </c>
      <c r="C626" t="s">
        <v>3045</v>
      </c>
      <c r="D626" t="s">
        <v>2940</v>
      </c>
      <c r="E626">
        <v>135</v>
      </c>
      <c r="F626">
        <v>0</v>
      </c>
      <c r="G626">
        <v>0</v>
      </c>
      <c r="H626">
        <v>22</v>
      </c>
      <c r="J626">
        <v>0</v>
      </c>
    </row>
    <row r="627" spans="1:10" x14ac:dyDescent="0.25">
      <c r="A627">
        <v>23171</v>
      </c>
      <c r="B627" t="s">
        <v>3212</v>
      </c>
      <c r="C627" t="s">
        <v>3220</v>
      </c>
      <c r="D627" t="s">
        <v>190</v>
      </c>
      <c r="E627">
        <v>134</v>
      </c>
      <c r="F627">
        <v>0</v>
      </c>
      <c r="G627">
        <v>0</v>
      </c>
      <c r="H627">
        <v>744</v>
      </c>
      <c r="I627">
        <v>54</v>
      </c>
      <c r="J627">
        <v>0</v>
      </c>
    </row>
    <row r="628" spans="1:10" x14ac:dyDescent="0.25">
      <c r="A628">
        <v>24349</v>
      </c>
      <c r="B628" t="s">
        <v>3212</v>
      </c>
      <c r="C628" t="s">
        <v>1808</v>
      </c>
      <c r="D628" t="s">
        <v>321</v>
      </c>
      <c r="E628">
        <v>133</v>
      </c>
      <c r="F628">
        <v>0</v>
      </c>
      <c r="G628">
        <v>0</v>
      </c>
      <c r="H628">
        <v>2180</v>
      </c>
      <c r="I628">
        <v>10</v>
      </c>
      <c r="J628">
        <v>0</v>
      </c>
    </row>
    <row r="629" spans="1:10" x14ac:dyDescent="0.25">
      <c r="A629">
        <v>34217</v>
      </c>
      <c r="B629" t="s">
        <v>3215</v>
      </c>
      <c r="C629" t="s">
        <v>3226</v>
      </c>
      <c r="D629" t="s">
        <v>661</v>
      </c>
      <c r="E629">
        <v>133</v>
      </c>
      <c r="F629">
        <v>0</v>
      </c>
      <c r="G629">
        <v>0</v>
      </c>
      <c r="H629">
        <v>598</v>
      </c>
      <c r="I629">
        <v>5</v>
      </c>
      <c r="J629">
        <v>0</v>
      </c>
    </row>
    <row r="630" spans="1:10" x14ac:dyDescent="0.25">
      <c r="A630">
        <v>32177</v>
      </c>
      <c r="B630" t="s">
        <v>3215</v>
      </c>
      <c r="C630" t="s">
        <v>3223</v>
      </c>
      <c r="D630" t="s">
        <v>587</v>
      </c>
      <c r="E630">
        <v>133</v>
      </c>
      <c r="F630">
        <v>0</v>
      </c>
      <c r="G630">
        <v>0</v>
      </c>
      <c r="H630">
        <v>1548</v>
      </c>
      <c r="I630">
        <v>33</v>
      </c>
      <c r="J630">
        <v>0</v>
      </c>
    </row>
    <row r="631" spans="1:10" x14ac:dyDescent="0.25">
      <c r="A631">
        <v>33275</v>
      </c>
      <c r="B631" t="s">
        <v>3215</v>
      </c>
      <c r="C631" t="s">
        <v>597</v>
      </c>
      <c r="D631" t="s">
        <v>644</v>
      </c>
      <c r="E631">
        <v>133</v>
      </c>
      <c r="F631">
        <v>0</v>
      </c>
      <c r="G631">
        <v>0</v>
      </c>
      <c r="H631">
        <v>815</v>
      </c>
      <c r="I631">
        <v>10</v>
      </c>
      <c r="J631">
        <v>0</v>
      </c>
    </row>
    <row r="632" spans="1:10" x14ac:dyDescent="0.25">
      <c r="A632">
        <v>55161</v>
      </c>
      <c r="B632" t="s">
        <v>3214</v>
      </c>
      <c r="C632" t="s">
        <v>3222</v>
      </c>
      <c r="D632" t="s">
        <v>2960</v>
      </c>
      <c r="E632">
        <v>132</v>
      </c>
      <c r="F632">
        <v>0</v>
      </c>
      <c r="G632">
        <v>0</v>
      </c>
      <c r="H632">
        <v>432</v>
      </c>
      <c r="J632">
        <v>0</v>
      </c>
    </row>
    <row r="633" spans="1:10" x14ac:dyDescent="0.25">
      <c r="A633">
        <v>72257</v>
      </c>
      <c r="B633" t="s">
        <v>3218</v>
      </c>
      <c r="C633" t="s">
        <v>3230</v>
      </c>
      <c r="D633" t="s">
        <v>1496</v>
      </c>
      <c r="E633">
        <v>131</v>
      </c>
      <c r="F633">
        <v>0</v>
      </c>
      <c r="G633">
        <v>0</v>
      </c>
      <c r="H633">
        <v>1293</v>
      </c>
      <c r="I633">
        <v>42</v>
      </c>
      <c r="J633">
        <v>0</v>
      </c>
    </row>
    <row r="634" spans="1:10" x14ac:dyDescent="0.25">
      <c r="A634">
        <v>35402</v>
      </c>
      <c r="B634" t="s">
        <v>3217</v>
      </c>
      <c r="C634" t="s">
        <v>3217</v>
      </c>
      <c r="D634" t="s">
        <v>834</v>
      </c>
      <c r="E634">
        <v>130</v>
      </c>
      <c r="F634">
        <v>0</v>
      </c>
      <c r="G634">
        <v>0</v>
      </c>
      <c r="H634">
        <v>651</v>
      </c>
      <c r="I634">
        <v>3</v>
      </c>
      <c r="J634">
        <v>0</v>
      </c>
    </row>
    <row r="635" spans="1:10" x14ac:dyDescent="0.25">
      <c r="A635">
        <v>71377</v>
      </c>
      <c r="B635" t="s">
        <v>3218</v>
      </c>
      <c r="C635" t="s">
        <v>3218</v>
      </c>
      <c r="D635" t="s">
        <v>1462</v>
      </c>
      <c r="E635">
        <v>130</v>
      </c>
      <c r="F635">
        <v>0</v>
      </c>
      <c r="G635">
        <v>0</v>
      </c>
      <c r="H635">
        <v>840</v>
      </c>
      <c r="I635">
        <v>7</v>
      </c>
      <c r="J635">
        <v>0</v>
      </c>
    </row>
    <row r="636" spans="1:10" x14ac:dyDescent="0.25">
      <c r="A636">
        <v>33223</v>
      </c>
      <c r="B636" t="s">
        <v>3215</v>
      </c>
      <c r="C636" t="s">
        <v>597</v>
      </c>
      <c r="D636" t="s">
        <v>632</v>
      </c>
      <c r="E636">
        <v>130</v>
      </c>
      <c r="F636">
        <v>0</v>
      </c>
      <c r="G636">
        <v>0</v>
      </c>
      <c r="H636">
        <v>13</v>
      </c>
      <c r="J636">
        <v>0</v>
      </c>
    </row>
    <row r="637" spans="1:10" x14ac:dyDescent="0.25">
      <c r="A637">
        <v>24339</v>
      </c>
      <c r="B637" t="s">
        <v>3212</v>
      </c>
      <c r="C637" t="s">
        <v>1808</v>
      </c>
      <c r="D637" t="s">
        <v>316</v>
      </c>
      <c r="E637">
        <v>129</v>
      </c>
      <c r="F637">
        <v>0</v>
      </c>
      <c r="G637">
        <v>0</v>
      </c>
      <c r="H637">
        <v>373</v>
      </c>
      <c r="I637">
        <v>14</v>
      </c>
      <c r="J637">
        <v>0</v>
      </c>
    </row>
    <row r="638" spans="1:10" x14ac:dyDescent="0.25">
      <c r="A638">
        <v>61476</v>
      </c>
      <c r="B638" t="s">
        <v>3213</v>
      </c>
      <c r="C638" t="s">
        <v>3039</v>
      </c>
      <c r="D638" t="s">
        <v>2982</v>
      </c>
      <c r="E638">
        <v>128</v>
      </c>
      <c r="F638">
        <v>0</v>
      </c>
      <c r="G638">
        <v>0</v>
      </c>
      <c r="H638">
        <v>656</v>
      </c>
      <c r="I638">
        <v>8</v>
      </c>
      <c r="J638">
        <v>0</v>
      </c>
    </row>
    <row r="639" spans="1:10" x14ac:dyDescent="0.25">
      <c r="A639">
        <v>62311</v>
      </c>
      <c r="B639" t="s">
        <v>3213</v>
      </c>
      <c r="C639" t="s">
        <v>1267</v>
      </c>
      <c r="D639" t="s">
        <v>1332</v>
      </c>
      <c r="E639">
        <v>128</v>
      </c>
      <c r="F639">
        <v>0</v>
      </c>
      <c r="G639">
        <v>0</v>
      </c>
      <c r="H639">
        <v>1501</v>
      </c>
      <c r="J639">
        <v>0</v>
      </c>
    </row>
    <row r="640" spans="1:10" x14ac:dyDescent="0.25">
      <c r="A640">
        <v>33143</v>
      </c>
      <c r="B640" t="s">
        <v>3215</v>
      </c>
      <c r="C640" t="s">
        <v>597</v>
      </c>
      <c r="D640" t="s">
        <v>613</v>
      </c>
      <c r="E640">
        <v>127</v>
      </c>
      <c r="F640">
        <v>0</v>
      </c>
      <c r="G640">
        <v>0</v>
      </c>
      <c r="H640">
        <v>861</v>
      </c>
      <c r="I640">
        <v>7</v>
      </c>
      <c r="J640">
        <v>0</v>
      </c>
    </row>
    <row r="641" spans="1:10" x14ac:dyDescent="0.25">
      <c r="A641">
        <v>32153</v>
      </c>
      <c r="B641" t="s">
        <v>3215</v>
      </c>
      <c r="C641" t="s">
        <v>3223</v>
      </c>
      <c r="D641" t="s">
        <v>575</v>
      </c>
      <c r="E641">
        <v>126</v>
      </c>
      <c r="F641">
        <v>0</v>
      </c>
      <c r="G641">
        <v>0</v>
      </c>
      <c r="H641">
        <v>711</v>
      </c>
      <c r="I641">
        <v>4</v>
      </c>
      <c r="J641">
        <v>0</v>
      </c>
    </row>
    <row r="642" spans="1:10" x14ac:dyDescent="0.25">
      <c r="A642">
        <v>53427</v>
      </c>
      <c r="B642" t="s">
        <v>3216</v>
      </c>
      <c r="C642" t="s">
        <v>1069</v>
      </c>
      <c r="D642" t="s">
        <v>1127</v>
      </c>
      <c r="E642">
        <v>125</v>
      </c>
      <c r="F642">
        <v>0</v>
      </c>
      <c r="G642">
        <v>0</v>
      </c>
      <c r="H642">
        <v>466</v>
      </c>
      <c r="I642">
        <v>10</v>
      </c>
      <c r="J642">
        <v>0</v>
      </c>
    </row>
    <row r="643" spans="1:10" x14ac:dyDescent="0.25">
      <c r="A643">
        <v>34259</v>
      </c>
      <c r="B643" t="s">
        <v>3215</v>
      </c>
      <c r="C643" t="s">
        <v>3226</v>
      </c>
      <c r="D643" t="s">
        <v>687</v>
      </c>
      <c r="E643">
        <v>125</v>
      </c>
      <c r="F643">
        <v>0</v>
      </c>
      <c r="G643">
        <v>0</v>
      </c>
      <c r="H643">
        <v>684</v>
      </c>
      <c r="I643">
        <v>10</v>
      </c>
      <c r="J643">
        <v>0</v>
      </c>
    </row>
    <row r="644" spans="1:10" x14ac:dyDescent="0.25">
      <c r="A644">
        <v>24325</v>
      </c>
      <c r="B644" t="s">
        <v>3212</v>
      </c>
      <c r="C644" t="s">
        <v>1808</v>
      </c>
      <c r="D644" t="s">
        <v>2848</v>
      </c>
      <c r="E644">
        <v>124</v>
      </c>
      <c r="F644">
        <v>0</v>
      </c>
      <c r="G644">
        <v>0</v>
      </c>
      <c r="H644">
        <v>367</v>
      </c>
      <c r="I644">
        <v>37</v>
      </c>
      <c r="J644">
        <v>0</v>
      </c>
    </row>
    <row r="645" spans="1:10" x14ac:dyDescent="0.25">
      <c r="A645">
        <v>24267</v>
      </c>
      <c r="B645" t="s">
        <v>3212</v>
      </c>
      <c r="C645" t="s">
        <v>1808</v>
      </c>
      <c r="D645" t="s">
        <v>298</v>
      </c>
      <c r="E645">
        <v>124</v>
      </c>
      <c r="F645">
        <v>0</v>
      </c>
      <c r="G645">
        <v>0</v>
      </c>
      <c r="H645">
        <v>717</v>
      </c>
      <c r="I645">
        <v>85</v>
      </c>
      <c r="J645">
        <v>0</v>
      </c>
    </row>
    <row r="646" spans="1:10" x14ac:dyDescent="0.25">
      <c r="A646">
        <v>24227</v>
      </c>
      <c r="B646" t="s">
        <v>3212</v>
      </c>
      <c r="C646" t="s">
        <v>1808</v>
      </c>
      <c r="D646" t="s">
        <v>293</v>
      </c>
      <c r="E646">
        <v>124</v>
      </c>
      <c r="F646">
        <v>299</v>
      </c>
      <c r="G646">
        <v>0</v>
      </c>
      <c r="H646">
        <v>787</v>
      </c>
      <c r="I646">
        <v>8</v>
      </c>
      <c r="J646">
        <v>0.37992376111817028</v>
      </c>
    </row>
    <row r="647" spans="1:10" x14ac:dyDescent="0.25">
      <c r="A647">
        <v>72227</v>
      </c>
      <c r="B647" t="s">
        <v>3218</v>
      </c>
      <c r="C647" t="s">
        <v>3230</v>
      </c>
      <c r="D647" t="s">
        <v>1486</v>
      </c>
      <c r="E647">
        <v>124</v>
      </c>
      <c r="F647">
        <v>0</v>
      </c>
      <c r="G647">
        <v>0</v>
      </c>
      <c r="H647">
        <v>1318</v>
      </c>
      <c r="J647">
        <v>0</v>
      </c>
    </row>
    <row r="648" spans="1:10" x14ac:dyDescent="0.25">
      <c r="A648">
        <v>52281</v>
      </c>
      <c r="B648" t="s">
        <v>3214</v>
      </c>
      <c r="C648" t="s">
        <v>3221</v>
      </c>
      <c r="D648" t="s">
        <v>1064</v>
      </c>
      <c r="E648">
        <v>124</v>
      </c>
      <c r="F648">
        <v>0</v>
      </c>
      <c r="G648">
        <v>0</v>
      </c>
      <c r="H648">
        <v>1819</v>
      </c>
      <c r="J648">
        <v>0</v>
      </c>
    </row>
    <row r="649" spans="1:10" x14ac:dyDescent="0.25">
      <c r="A649">
        <v>54159</v>
      </c>
      <c r="B649" t="s">
        <v>3216</v>
      </c>
      <c r="C649" t="s">
        <v>6936</v>
      </c>
      <c r="D649" t="s">
        <v>1159</v>
      </c>
      <c r="E649">
        <v>123</v>
      </c>
      <c r="F649">
        <v>0</v>
      </c>
      <c r="G649">
        <v>0</v>
      </c>
      <c r="H649">
        <v>1</v>
      </c>
      <c r="I649">
        <v>2</v>
      </c>
      <c r="J649">
        <v>0</v>
      </c>
    </row>
    <row r="650" spans="1:10" x14ac:dyDescent="0.25">
      <c r="A650">
        <v>24477</v>
      </c>
      <c r="B650" t="s">
        <v>3212</v>
      </c>
      <c r="C650" t="s">
        <v>1808</v>
      </c>
      <c r="D650" t="s">
        <v>357</v>
      </c>
      <c r="E650">
        <v>122</v>
      </c>
      <c r="F650">
        <v>0</v>
      </c>
      <c r="G650">
        <v>0</v>
      </c>
      <c r="H650">
        <v>2552</v>
      </c>
      <c r="I650">
        <v>25</v>
      </c>
      <c r="J650">
        <v>0</v>
      </c>
    </row>
    <row r="651" spans="1:10" x14ac:dyDescent="0.25">
      <c r="A651">
        <v>55144</v>
      </c>
      <c r="B651" t="s">
        <v>3214</v>
      </c>
      <c r="C651" t="s">
        <v>3222</v>
      </c>
      <c r="D651" t="s">
        <v>1173</v>
      </c>
      <c r="E651">
        <v>122</v>
      </c>
      <c r="F651">
        <v>0</v>
      </c>
      <c r="G651">
        <v>0</v>
      </c>
      <c r="H651">
        <v>716</v>
      </c>
      <c r="I651">
        <v>2</v>
      </c>
      <c r="J651">
        <v>0</v>
      </c>
    </row>
    <row r="652" spans="1:10" x14ac:dyDescent="0.25">
      <c r="A652">
        <v>34321</v>
      </c>
      <c r="B652" t="s">
        <v>3215</v>
      </c>
      <c r="C652" t="s">
        <v>3226</v>
      </c>
      <c r="D652" t="s">
        <v>707</v>
      </c>
      <c r="E652">
        <v>121</v>
      </c>
      <c r="F652">
        <v>0</v>
      </c>
      <c r="G652">
        <v>0</v>
      </c>
      <c r="H652">
        <v>432</v>
      </c>
      <c r="I652">
        <v>3</v>
      </c>
      <c r="J652">
        <v>0</v>
      </c>
    </row>
    <row r="653" spans="1:10" x14ac:dyDescent="0.25">
      <c r="A653">
        <v>55174</v>
      </c>
      <c r="B653" t="s">
        <v>3214</v>
      </c>
      <c r="C653" t="s">
        <v>3222</v>
      </c>
      <c r="D653" t="s">
        <v>1182</v>
      </c>
      <c r="E653">
        <v>121</v>
      </c>
      <c r="F653">
        <v>0</v>
      </c>
      <c r="G653">
        <v>0</v>
      </c>
      <c r="H653">
        <v>1130</v>
      </c>
      <c r="I653">
        <v>1</v>
      </c>
      <c r="J653">
        <v>0</v>
      </c>
    </row>
    <row r="654" spans="1:10" x14ac:dyDescent="0.25">
      <c r="A654">
        <v>52146</v>
      </c>
      <c r="B654" t="s">
        <v>3214</v>
      </c>
      <c r="C654" t="s">
        <v>3221</v>
      </c>
      <c r="D654" t="s">
        <v>2945</v>
      </c>
      <c r="E654">
        <v>120</v>
      </c>
      <c r="F654">
        <v>0</v>
      </c>
      <c r="G654">
        <v>0</v>
      </c>
      <c r="H654">
        <v>968</v>
      </c>
      <c r="I654">
        <v>13</v>
      </c>
      <c r="J654">
        <v>0</v>
      </c>
    </row>
    <row r="655" spans="1:10" x14ac:dyDescent="0.25">
      <c r="A655">
        <v>51347</v>
      </c>
      <c r="B655" t="s">
        <v>3214</v>
      </c>
      <c r="C655" t="s">
        <v>3045</v>
      </c>
      <c r="D655" t="s">
        <v>1019</v>
      </c>
      <c r="E655">
        <v>120</v>
      </c>
      <c r="F655">
        <v>0</v>
      </c>
      <c r="G655">
        <v>0</v>
      </c>
      <c r="H655">
        <v>444</v>
      </c>
      <c r="I655">
        <v>7</v>
      </c>
      <c r="J655">
        <v>0</v>
      </c>
    </row>
    <row r="656" spans="1:10" x14ac:dyDescent="0.25">
      <c r="A656">
        <v>33251</v>
      </c>
      <c r="B656" t="s">
        <v>3215</v>
      </c>
      <c r="C656" t="s">
        <v>597</v>
      </c>
      <c r="D656" t="s">
        <v>638</v>
      </c>
      <c r="E656">
        <v>120</v>
      </c>
      <c r="F656">
        <v>0</v>
      </c>
      <c r="G656">
        <v>0</v>
      </c>
      <c r="H656">
        <v>3919</v>
      </c>
      <c r="I656">
        <v>225</v>
      </c>
      <c r="J656">
        <v>0</v>
      </c>
    </row>
    <row r="657" spans="1:10" x14ac:dyDescent="0.25">
      <c r="A657">
        <v>63214</v>
      </c>
      <c r="B657" t="s">
        <v>3213</v>
      </c>
      <c r="C657" t="s">
        <v>1342</v>
      </c>
      <c r="D657" t="s">
        <v>1369</v>
      </c>
      <c r="E657">
        <v>119</v>
      </c>
      <c r="F657">
        <v>0</v>
      </c>
      <c r="G657">
        <v>0</v>
      </c>
      <c r="H657">
        <v>497</v>
      </c>
      <c r="I657">
        <v>12</v>
      </c>
      <c r="J657">
        <v>0</v>
      </c>
    </row>
    <row r="658" spans="1:10" x14ac:dyDescent="0.25">
      <c r="A658">
        <v>55141</v>
      </c>
      <c r="B658" t="s">
        <v>3214</v>
      </c>
      <c r="C658" t="s">
        <v>3222</v>
      </c>
      <c r="D658" t="s">
        <v>2959</v>
      </c>
      <c r="E658">
        <v>119</v>
      </c>
      <c r="F658">
        <v>0</v>
      </c>
      <c r="G658">
        <v>0</v>
      </c>
      <c r="H658">
        <v>845</v>
      </c>
      <c r="I658">
        <v>16</v>
      </c>
      <c r="J658">
        <v>0</v>
      </c>
    </row>
    <row r="659" spans="1:10" x14ac:dyDescent="0.25">
      <c r="A659">
        <v>24471</v>
      </c>
      <c r="B659" t="s">
        <v>3212</v>
      </c>
      <c r="C659" t="s">
        <v>1808</v>
      </c>
      <c r="D659" t="s">
        <v>355</v>
      </c>
      <c r="E659">
        <v>118</v>
      </c>
      <c r="F659">
        <v>0</v>
      </c>
      <c r="G659">
        <v>0</v>
      </c>
      <c r="H659">
        <v>485</v>
      </c>
      <c r="I659">
        <v>6</v>
      </c>
      <c r="J659">
        <v>0</v>
      </c>
    </row>
    <row r="660" spans="1:10" x14ac:dyDescent="0.25">
      <c r="A660">
        <v>34277</v>
      </c>
      <c r="B660" t="s">
        <v>3215</v>
      </c>
      <c r="C660" t="s">
        <v>3226</v>
      </c>
      <c r="D660" t="s">
        <v>698</v>
      </c>
      <c r="E660">
        <v>118</v>
      </c>
      <c r="F660">
        <v>0</v>
      </c>
      <c r="G660">
        <v>0</v>
      </c>
      <c r="H660">
        <v>661</v>
      </c>
      <c r="I660">
        <v>12</v>
      </c>
      <c r="J660">
        <v>0</v>
      </c>
    </row>
    <row r="661" spans="1:10" x14ac:dyDescent="0.25">
      <c r="A661">
        <v>37323</v>
      </c>
      <c r="B661" t="s">
        <v>3215</v>
      </c>
      <c r="C661" t="s">
        <v>3228</v>
      </c>
      <c r="D661" t="s">
        <v>925</v>
      </c>
      <c r="E661">
        <v>118</v>
      </c>
      <c r="F661">
        <v>0</v>
      </c>
      <c r="G661">
        <v>0</v>
      </c>
      <c r="H661">
        <v>1750</v>
      </c>
      <c r="I661">
        <v>5</v>
      </c>
      <c r="J661">
        <v>0</v>
      </c>
    </row>
    <row r="662" spans="1:10" x14ac:dyDescent="0.25">
      <c r="A662">
        <v>61426</v>
      </c>
      <c r="B662" t="s">
        <v>3213</v>
      </c>
      <c r="C662" t="s">
        <v>3039</v>
      </c>
      <c r="D662" t="s">
        <v>1222</v>
      </c>
      <c r="E662">
        <v>118</v>
      </c>
      <c r="F662">
        <v>141</v>
      </c>
      <c r="G662">
        <v>0</v>
      </c>
      <c r="H662">
        <v>1285</v>
      </c>
      <c r="I662">
        <v>15</v>
      </c>
      <c r="J662">
        <v>0.10972762645914397</v>
      </c>
    </row>
    <row r="663" spans="1:10" x14ac:dyDescent="0.25">
      <c r="A663">
        <v>10450</v>
      </c>
      <c r="B663" t="s">
        <v>3177</v>
      </c>
      <c r="C663" t="s">
        <v>3177</v>
      </c>
      <c r="D663" t="s">
        <v>24</v>
      </c>
      <c r="E663">
        <v>117</v>
      </c>
      <c r="F663">
        <v>0</v>
      </c>
      <c r="G663">
        <v>0</v>
      </c>
      <c r="H663">
        <v>2</v>
      </c>
      <c r="I663">
        <v>32</v>
      </c>
      <c r="J663">
        <v>0</v>
      </c>
    </row>
    <row r="664" spans="1:10" x14ac:dyDescent="0.25">
      <c r="A664">
        <v>23247</v>
      </c>
      <c r="B664" t="s">
        <v>3212</v>
      </c>
      <c r="C664" t="s">
        <v>3220</v>
      </c>
      <c r="D664" t="s">
        <v>201</v>
      </c>
      <c r="E664">
        <v>117</v>
      </c>
      <c r="F664">
        <v>513</v>
      </c>
      <c r="G664">
        <v>0</v>
      </c>
      <c r="H664">
        <v>1881</v>
      </c>
      <c r="I664">
        <v>10</v>
      </c>
      <c r="J664">
        <v>0.27272727272727271</v>
      </c>
    </row>
    <row r="665" spans="1:10" x14ac:dyDescent="0.25">
      <c r="A665">
        <v>73288</v>
      </c>
      <c r="B665" t="s">
        <v>3218</v>
      </c>
      <c r="C665" t="s">
        <v>1508</v>
      </c>
      <c r="D665" t="s">
        <v>1539</v>
      </c>
      <c r="E665">
        <v>117</v>
      </c>
      <c r="F665">
        <v>0</v>
      </c>
      <c r="G665">
        <v>0</v>
      </c>
      <c r="H665">
        <v>738</v>
      </c>
      <c r="J665">
        <v>0</v>
      </c>
    </row>
    <row r="666" spans="1:10" x14ac:dyDescent="0.25">
      <c r="A666">
        <v>34224</v>
      </c>
      <c r="B666" t="s">
        <v>3215</v>
      </c>
      <c r="C666" t="s">
        <v>3226</v>
      </c>
      <c r="D666" t="s">
        <v>666</v>
      </c>
      <c r="E666">
        <v>116</v>
      </c>
      <c r="F666">
        <v>0</v>
      </c>
      <c r="G666">
        <v>0</v>
      </c>
      <c r="H666">
        <v>229</v>
      </c>
      <c r="I666">
        <v>3</v>
      </c>
      <c r="J666">
        <v>0</v>
      </c>
    </row>
    <row r="667" spans="1:10" x14ac:dyDescent="0.25">
      <c r="A667">
        <v>22784</v>
      </c>
      <c r="B667" t="s">
        <v>3212</v>
      </c>
      <c r="C667" t="s">
        <v>3224</v>
      </c>
      <c r="D667" t="s">
        <v>182</v>
      </c>
      <c r="E667">
        <v>116</v>
      </c>
      <c r="F667">
        <v>0</v>
      </c>
      <c r="G667">
        <v>0</v>
      </c>
      <c r="H667">
        <v>346</v>
      </c>
      <c r="I667">
        <v>70</v>
      </c>
      <c r="J667">
        <v>0</v>
      </c>
    </row>
    <row r="668" spans="1:10" x14ac:dyDescent="0.25">
      <c r="A668">
        <v>62286</v>
      </c>
      <c r="B668" t="s">
        <v>3213</v>
      </c>
      <c r="C668" t="s">
        <v>1267</v>
      </c>
      <c r="D668" t="s">
        <v>1320</v>
      </c>
      <c r="E668">
        <v>116</v>
      </c>
      <c r="F668">
        <v>0</v>
      </c>
      <c r="G668">
        <v>0</v>
      </c>
      <c r="H668">
        <v>1079</v>
      </c>
      <c r="I668">
        <v>20</v>
      </c>
      <c r="J668">
        <v>0</v>
      </c>
    </row>
    <row r="669" spans="1:10" x14ac:dyDescent="0.25">
      <c r="A669">
        <v>32189</v>
      </c>
      <c r="B669" t="s">
        <v>3215</v>
      </c>
      <c r="C669" t="s">
        <v>3223</v>
      </c>
      <c r="D669" t="s">
        <v>593</v>
      </c>
      <c r="E669">
        <v>115</v>
      </c>
      <c r="F669">
        <v>0</v>
      </c>
      <c r="G669">
        <v>0</v>
      </c>
      <c r="H669">
        <v>1204</v>
      </c>
      <c r="I669">
        <v>6</v>
      </c>
      <c r="J669">
        <v>0</v>
      </c>
    </row>
    <row r="670" spans="1:10" x14ac:dyDescent="0.25">
      <c r="A670">
        <v>26287</v>
      </c>
      <c r="B670" t="s">
        <v>3212</v>
      </c>
      <c r="C670" t="s">
        <v>3227</v>
      </c>
      <c r="D670" t="s">
        <v>501</v>
      </c>
      <c r="E670">
        <v>114</v>
      </c>
      <c r="F670">
        <v>0</v>
      </c>
      <c r="G670">
        <v>0</v>
      </c>
      <c r="H670">
        <v>622</v>
      </c>
      <c r="I670">
        <v>32</v>
      </c>
      <c r="J670">
        <v>0</v>
      </c>
    </row>
    <row r="671" spans="1:10" x14ac:dyDescent="0.25">
      <c r="A671">
        <v>62277</v>
      </c>
      <c r="B671" t="s">
        <v>3213</v>
      </c>
      <c r="C671" t="s">
        <v>1267</v>
      </c>
      <c r="D671" t="s">
        <v>2993</v>
      </c>
      <c r="E671">
        <v>114</v>
      </c>
      <c r="F671">
        <v>261</v>
      </c>
      <c r="G671">
        <v>0</v>
      </c>
      <c r="H671">
        <v>2085</v>
      </c>
      <c r="I671">
        <v>7</v>
      </c>
      <c r="J671">
        <v>0.1251798561151079</v>
      </c>
    </row>
    <row r="672" spans="1:10" x14ac:dyDescent="0.25">
      <c r="A672">
        <v>62264</v>
      </c>
      <c r="B672" t="s">
        <v>3213</v>
      </c>
      <c r="C672" t="s">
        <v>1267</v>
      </c>
      <c r="D672" t="s">
        <v>1306</v>
      </c>
      <c r="E672">
        <v>114</v>
      </c>
      <c r="F672">
        <v>0</v>
      </c>
      <c r="G672">
        <v>0</v>
      </c>
      <c r="H672">
        <v>1448</v>
      </c>
      <c r="I672">
        <v>32</v>
      </c>
      <c r="J672">
        <v>0</v>
      </c>
    </row>
    <row r="673" spans="1:10" x14ac:dyDescent="0.25">
      <c r="A673">
        <v>72237</v>
      </c>
      <c r="B673" t="s">
        <v>3218</v>
      </c>
      <c r="C673" t="s">
        <v>3230</v>
      </c>
      <c r="D673" t="s">
        <v>1490</v>
      </c>
      <c r="E673">
        <v>112</v>
      </c>
      <c r="F673">
        <v>0</v>
      </c>
      <c r="G673">
        <v>0</v>
      </c>
      <c r="H673">
        <v>196</v>
      </c>
      <c r="I673">
        <v>12</v>
      </c>
      <c r="J673">
        <v>0</v>
      </c>
    </row>
    <row r="674" spans="1:10" x14ac:dyDescent="0.25">
      <c r="A674">
        <v>26212</v>
      </c>
      <c r="B674" t="s">
        <v>3212</v>
      </c>
      <c r="C674" t="s">
        <v>3227</v>
      </c>
      <c r="D674" t="s">
        <v>2867</v>
      </c>
      <c r="E674">
        <v>112</v>
      </c>
      <c r="F674">
        <v>0</v>
      </c>
      <c r="G674">
        <v>0</v>
      </c>
      <c r="H674">
        <v>757</v>
      </c>
      <c r="I674">
        <v>18</v>
      </c>
      <c r="J674">
        <v>0</v>
      </c>
    </row>
    <row r="675" spans="1:10" x14ac:dyDescent="0.25">
      <c r="A675">
        <v>34356</v>
      </c>
      <c r="B675" t="s">
        <v>3215</v>
      </c>
      <c r="C675" t="s">
        <v>3226</v>
      </c>
      <c r="D675" t="s">
        <v>714</v>
      </c>
      <c r="E675">
        <v>111</v>
      </c>
      <c r="F675">
        <v>0</v>
      </c>
      <c r="G675">
        <v>0</v>
      </c>
      <c r="H675">
        <v>989</v>
      </c>
      <c r="I675">
        <v>25</v>
      </c>
      <c r="J675">
        <v>0</v>
      </c>
    </row>
    <row r="676" spans="1:10" x14ac:dyDescent="0.25">
      <c r="A676">
        <v>51117</v>
      </c>
      <c r="B676" t="s">
        <v>3214</v>
      </c>
      <c r="C676" t="s">
        <v>3045</v>
      </c>
      <c r="D676" t="s">
        <v>2922</v>
      </c>
      <c r="E676">
        <v>111</v>
      </c>
      <c r="F676">
        <v>0</v>
      </c>
      <c r="G676">
        <v>0</v>
      </c>
      <c r="H676">
        <v>3755</v>
      </c>
      <c r="I676">
        <v>265</v>
      </c>
      <c r="J676">
        <v>0</v>
      </c>
    </row>
    <row r="677" spans="1:10" x14ac:dyDescent="0.25">
      <c r="A677">
        <v>22459</v>
      </c>
      <c r="B677" t="s">
        <v>3212</v>
      </c>
      <c r="C677" t="s">
        <v>3224</v>
      </c>
      <c r="D677" t="s">
        <v>118</v>
      </c>
      <c r="E677">
        <v>110</v>
      </c>
      <c r="F677">
        <v>0</v>
      </c>
      <c r="G677">
        <v>0</v>
      </c>
      <c r="H677">
        <v>3344</v>
      </c>
      <c r="I677">
        <v>572</v>
      </c>
      <c r="J677">
        <v>0</v>
      </c>
    </row>
    <row r="678" spans="1:10" x14ac:dyDescent="0.25">
      <c r="A678">
        <v>61437</v>
      </c>
      <c r="B678" t="s">
        <v>3213</v>
      </c>
      <c r="C678" t="s">
        <v>3039</v>
      </c>
      <c r="D678" t="s">
        <v>1229</v>
      </c>
      <c r="E678">
        <v>110</v>
      </c>
      <c r="F678">
        <v>0</v>
      </c>
      <c r="G678">
        <v>0</v>
      </c>
      <c r="H678">
        <v>772</v>
      </c>
      <c r="I678">
        <v>17</v>
      </c>
      <c r="J678">
        <v>0</v>
      </c>
    </row>
    <row r="679" spans="1:10" x14ac:dyDescent="0.25">
      <c r="A679">
        <v>32143</v>
      </c>
      <c r="B679" t="s">
        <v>3215</v>
      </c>
      <c r="C679" t="s">
        <v>3223</v>
      </c>
      <c r="D679" t="s">
        <v>570</v>
      </c>
      <c r="E679">
        <v>109</v>
      </c>
      <c r="F679">
        <v>0</v>
      </c>
      <c r="G679">
        <v>0</v>
      </c>
      <c r="H679">
        <v>669</v>
      </c>
      <c r="J679">
        <v>0</v>
      </c>
    </row>
    <row r="680" spans="1:10" x14ac:dyDescent="0.25">
      <c r="A680">
        <v>33147</v>
      </c>
      <c r="B680" t="s">
        <v>3215</v>
      </c>
      <c r="C680" t="s">
        <v>597</v>
      </c>
      <c r="D680" t="s">
        <v>615</v>
      </c>
      <c r="E680">
        <v>109</v>
      </c>
      <c r="F680">
        <v>0</v>
      </c>
      <c r="G680">
        <v>0</v>
      </c>
      <c r="H680">
        <v>149</v>
      </c>
      <c r="I680">
        <v>5</v>
      </c>
      <c r="J680">
        <v>0</v>
      </c>
    </row>
    <row r="681" spans="1:10" x14ac:dyDescent="0.25">
      <c r="A681">
        <v>24369</v>
      </c>
      <c r="B681" t="s">
        <v>3212</v>
      </c>
      <c r="C681" t="s">
        <v>1808</v>
      </c>
      <c r="D681" t="s">
        <v>331</v>
      </c>
      <c r="E681">
        <v>108</v>
      </c>
      <c r="F681">
        <v>0</v>
      </c>
      <c r="G681">
        <v>0</v>
      </c>
      <c r="H681">
        <v>1599</v>
      </c>
      <c r="I681">
        <v>20</v>
      </c>
      <c r="J681">
        <v>0</v>
      </c>
    </row>
    <row r="682" spans="1:10" x14ac:dyDescent="0.25">
      <c r="A682">
        <v>53377</v>
      </c>
      <c r="B682" t="s">
        <v>3216</v>
      </c>
      <c r="C682" t="s">
        <v>1069</v>
      </c>
      <c r="D682" t="s">
        <v>1117</v>
      </c>
      <c r="E682">
        <v>108</v>
      </c>
      <c r="F682">
        <v>0</v>
      </c>
      <c r="G682">
        <v>0</v>
      </c>
      <c r="H682">
        <v>972</v>
      </c>
      <c r="I682">
        <v>20</v>
      </c>
      <c r="J682">
        <v>0</v>
      </c>
    </row>
    <row r="683" spans="1:10" x14ac:dyDescent="0.25">
      <c r="A683">
        <v>23631</v>
      </c>
      <c r="B683" t="s">
        <v>3212</v>
      </c>
      <c r="C683" t="s">
        <v>3220</v>
      </c>
      <c r="D683" t="s">
        <v>273</v>
      </c>
      <c r="E683">
        <v>108</v>
      </c>
      <c r="F683">
        <v>0</v>
      </c>
      <c r="G683">
        <v>0</v>
      </c>
      <c r="H683">
        <v>2135</v>
      </c>
      <c r="I683">
        <v>10</v>
      </c>
      <c r="J683">
        <v>0</v>
      </c>
    </row>
    <row r="684" spans="1:10" x14ac:dyDescent="0.25">
      <c r="A684">
        <v>25156</v>
      </c>
      <c r="B684" t="s">
        <v>3212</v>
      </c>
      <c r="C684" t="s">
        <v>3229</v>
      </c>
      <c r="D684" t="s">
        <v>369</v>
      </c>
      <c r="E684">
        <v>108</v>
      </c>
      <c r="F684">
        <v>0</v>
      </c>
      <c r="G684">
        <v>0</v>
      </c>
      <c r="H684">
        <v>2572</v>
      </c>
      <c r="I684">
        <v>186</v>
      </c>
      <c r="J684">
        <v>0</v>
      </c>
    </row>
    <row r="685" spans="1:10" x14ac:dyDescent="0.25">
      <c r="A685">
        <v>62223</v>
      </c>
      <c r="B685" t="s">
        <v>3213</v>
      </c>
      <c r="C685" t="s">
        <v>1267</v>
      </c>
      <c r="D685" t="s">
        <v>1279</v>
      </c>
      <c r="E685">
        <v>108</v>
      </c>
      <c r="F685">
        <v>0</v>
      </c>
      <c r="G685">
        <v>0</v>
      </c>
      <c r="H685">
        <v>1053</v>
      </c>
      <c r="I685">
        <v>5</v>
      </c>
      <c r="J685">
        <v>0</v>
      </c>
    </row>
    <row r="686" spans="1:10" x14ac:dyDescent="0.25">
      <c r="A686">
        <v>26135</v>
      </c>
      <c r="B686" t="s">
        <v>3212</v>
      </c>
      <c r="C686" t="s">
        <v>3227</v>
      </c>
      <c r="D686" t="s">
        <v>2865</v>
      </c>
      <c r="E686">
        <v>107</v>
      </c>
      <c r="F686">
        <v>0</v>
      </c>
      <c r="G686">
        <v>0</v>
      </c>
      <c r="H686">
        <v>1533</v>
      </c>
      <c r="I686">
        <v>116</v>
      </c>
      <c r="J686">
        <v>0</v>
      </c>
    </row>
    <row r="687" spans="1:10" x14ac:dyDescent="0.25">
      <c r="A687">
        <v>35183</v>
      </c>
      <c r="B687" t="s">
        <v>3217</v>
      </c>
      <c r="C687" t="s">
        <v>3217</v>
      </c>
      <c r="D687" t="s">
        <v>762</v>
      </c>
      <c r="E687">
        <v>106</v>
      </c>
      <c r="F687">
        <v>0</v>
      </c>
      <c r="G687">
        <v>0</v>
      </c>
      <c r="H687">
        <v>817</v>
      </c>
      <c r="I687">
        <v>4</v>
      </c>
      <c r="J687">
        <v>0</v>
      </c>
    </row>
    <row r="688" spans="1:10" x14ac:dyDescent="0.25">
      <c r="A688">
        <v>21227</v>
      </c>
      <c r="B688" t="s">
        <v>3212</v>
      </c>
      <c r="C688" t="s">
        <v>36</v>
      </c>
      <c r="D688" t="s">
        <v>38</v>
      </c>
      <c r="E688">
        <v>106</v>
      </c>
      <c r="F688">
        <v>0</v>
      </c>
      <c r="G688">
        <v>0</v>
      </c>
      <c r="H688">
        <v>910</v>
      </c>
      <c r="I688">
        <v>117</v>
      </c>
      <c r="J688">
        <v>0</v>
      </c>
    </row>
    <row r="689" spans="1:10" x14ac:dyDescent="0.25">
      <c r="A689">
        <v>25313</v>
      </c>
      <c r="B689" t="s">
        <v>3212</v>
      </c>
      <c r="C689" t="s">
        <v>3229</v>
      </c>
      <c r="D689" t="s">
        <v>384</v>
      </c>
      <c r="E689">
        <v>106</v>
      </c>
      <c r="F689">
        <v>0</v>
      </c>
      <c r="G689">
        <v>0</v>
      </c>
      <c r="H689">
        <v>1751</v>
      </c>
      <c r="I689">
        <v>119</v>
      </c>
      <c r="J689">
        <v>0</v>
      </c>
    </row>
    <row r="690" spans="1:10" x14ac:dyDescent="0.25">
      <c r="A690">
        <v>25241</v>
      </c>
      <c r="B690" t="s">
        <v>3212</v>
      </c>
      <c r="C690" t="s">
        <v>3229</v>
      </c>
      <c r="D690" t="s">
        <v>378</v>
      </c>
      <c r="E690">
        <v>106</v>
      </c>
      <c r="F690">
        <v>0</v>
      </c>
      <c r="G690">
        <v>0</v>
      </c>
      <c r="H690">
        <v>767</v>
      </c>
      <c r="I690">
        <v>20</v>
      </c>
      <c r="J690">
        <v>0</v>
      </c>
    </row>
    <row r="691" spans="1:10" x14ac:dyDescent="0.25">
      <c r="A691">
        <v>26218</v>
      </c>
      <c r="B691" t="s">
        <v>3212</v>
      </c>
      <c r="C691" t="s">
        <v>3227</v>
      </c>
      <c r="D691" t="s">
        <v>458</v>
      </c>
      <c r="E691">
        <v>105</v>
      </c>
      <c r="F691">
        <v>0</v>
      </c>
      <c r="G691">
        <v>0</v>
      </c>
      <c r="H691">
        <v>1885</v>
      </c>
      <c r="I691">
        <v>13</v>
      </c>
      <c r="J691">
        <v>0</v>
      </c>
    </row>
    <row r="692" spans="1:10" x14ac:dyDescent="0.25">
      <c r="A692">
        <v>25146</v>
      </c>
      <c r="B692" t="s">
        <v>3212</v>
      </c>
      <c r="C692" t="s">
        <v>3229</v>
      </c>
      <c r="D692" t="s">
        <v>367</v>
      </c>
      <c r="E692">
        <v>105</v>
      </c>
      <c r="F692">
        <v>0</v>
      </c>
      <c r="G692">
        <v>0</v>
      </c>
      <c r="H692">
        <v>2470</v>
      </c>
      <c r="I692">
        <v>247</v>
      </c>
      <c r="J692">
        <v>0</v>
      </c>
    </row>
    <row r="693" spans="1:10" x14ac:dyDescent="0.25">
      <c r="A693">
        <v>52176</v>
      </c>
      <c r="B693" t="s">
        <v>3214</v>
      </c>
      <c r="C693" t="s">
        <v>3221</v>
      </c>
      <c r="D693" t="s">
        <v>1041</v>
      </c>
      <c r="E693">
        <v>104</v>
      </c>
      <c r="F693">
        <v>0</v>
      </c>
      <c r="G693">
        <v>0</v>
      </c>
      <c r="H693">
        <v>625</v>
      </c>
      <c r="I693">
        <v>8</v>
      </c>
      <c r="J693">
        <v>0</v>
      </c>
    </row>
    <row r="694" spans="1:10" x14ac:dyDescent="0.25">
      <c r="A694">
        <v>35151</v>
      </c>
      <c r="B694" t="s">
        <v>3217</v>
      </c>
      <c r="C694" t="s">
        <v>3217</v>
      </c>
      <c r="D694" t="s">
        <v>2886</v>
      </c>
      <c r="E694">
        <v>103</v>
      </c>
      <c r="F694">
        <v>0</v>
      </c>
      <c r="G694">
        <v>0</v>
      </c>
      <c r="H694">
        <v>1605</v>
      </c>
      <c r="I694">
        <v>12</v>
      </c>
      <c r="J694">
        <v>0</v>
      </c>
    </row>
    <row r="695" spans="1:10" x14ac:dyDescent="0.25">
      <c r="A695">
        <v>73262</v>
      </c>
      <c r="B695" t="s">
        <v>3218</v>
      </c>
      <c r="C695" t="s">
        <v>1508</v>
      </c>
      <c r="D695" t="s">
        <v>1534</v>
      </c>
      <c r="E695">
        <v>103</v>
      </c>
      <c r="F695">
        <v>0</v>
      </c>
      <c r="G695">
        <v>0</v>
      </c>
      <c r="H695">
        <v>806</v>
      </c>
      <c r="I695">
        <v>200</v>
      </c>
      <c r="J695">
        <v>0</v>
      </c>
    </row>
    <row r="696" spans="1:10" x14ac:dyDescent="0.25">
      <c r="A696">
        <v>33165</v>
      </c>
      <c r="B696" t="s">
        <v>3215</v>
      </c>
      <c r="C696" t="s">
        <v>597</v>
      </c>
      <c r="D696" t="s">
        <v>625</v>
      </c>
      <c r="E696">
        <v>103</v>
      </c>
      <c r="F696">
        <v>0</v>
      </c>
      <c r="G696">
        <v>0</v>
      </c>
      <c r="H696">
        <v>561</v>
      </c>
      <c r="I696">
        <v>11</v>
      </c>
      <c r="J696">
        <v>0</v>
      </c>
    </row>
    <row r="697" spans="1:10" x14ac:dyDescent="0.25">
      <c r="A697">
        <v>25451</v>
      </c>
      <c r="B697" t="s">
        <v>3212</v>
      </c>
      <c r="C697" t="s">
        <v>3229</v>
      </c>
      <c r="D697" t="s">
        <v>427</v>
      </c>
      <c r="E697">
        <v>102</v>
      </c>
      <c r="F697">
        <v>0</v>
      </c>
      <c r="G697">
        <v>0</v>
      </c>
      <c r="H697">
        <v>867</v>
      </c>
      <c r="I697">
        <v>6</v>
      </c>
      <c r="J697">
        <v>0</v>
      </c>
    </row>
    <row r="698" spans="1:10" x14ac:dyDescent="0.25">
      <c r="A698">
        <v>62215</v>
      </c>
      <c r="B698" t="s">
        <v>3213</v>
      </c>
      <c r="C698" t="s">
        <v>1267</v>
      </c>
      <c r="D698" t="s">
        <v>1274</v>
      </c>
      <c r="E698">
        <v>102</v>
      </c>
      <c r="F698">
        <v>0</v>
      </c>
      <c r="G698">
        <v>0</v>
      </c>
      <c r="H698">
        <v>1517</v>
      </c>
      <c r="I698">
        <v>8</v>
      </c>
      <c r="J698">
        <v>0</v>
      </c>
    </row>
    <row r="699" spans="1:10" x14ac:dyDescent="0.25">
      <c r="A699">
        <v>62227</v>
      </c>
      <c r="B699" t="s">
        <v>3213</v>
      </c>
      <c r="C699" t="s">
        <v>1267</v>
      </c>
      <c r="D699" t="s">
        <v>1282</v>
      </c>
      <c r="E699">
        <v>102</v>
      </c>
      <c r="F699">
        <v>0</v>
      </c>
      <c r="G699">
        <v>0</v>
      </c>
      <c r="H699">
        <v>1543</v>
      </c>
      <c r="I699">
        <v>7</v>
      </c>
      <c r="J699">
        <v>0</v>
      </c>
    </row>
    <row r="700" spans="1:10" x14ac:dyDescent="0.25">
      <c r="A700">
        <v>24424</v>
      </c>
      <c r="B700" t="s">
        <v>3212</v>
      </c>
      <c r="C700" t="s">
        <v>1808</v>
      </c>
      <c r="D700" t="s">
        <v>340</v>
      </c>
      <c r="E700">
        <v>101</v>
      </c>
      <c r="F700">
        <v>0</v>
      </c>
      <c r="G700">
        <v>0</v>
      </c>
      <c r="H700">
        <v>3269</v>
      </c>
      <c r="I700">
        <v>70</v>
      </c>
      <c r="J700">
        <v>0</v>
      </c>
    </row>
    <row r="701" spans="1:10" x14ac:dyDescent="0.25">
      <c r="A701">
        <v>73151</v>
      </c>
      <c r="B701" t="s">
        <v>3218</v>
      </c>
      <c r="C701" t="s">
        <v>1508</v>
      </c>
      <c r="D701" t="s">
        <v>1515</v>
      </c>
      <c r="E701">
        <v>101</v>
      </c>
      <c r="F701">
        <v>0</v>
      </c>
      <c r="G701">
        <v>0</v>
      </c>
      <c r="H701">
        <v>1847</v>
      </c>
      <c r="I701">
        <v>22</v>
      </c>
      <c r="J701">
        <v>0</v>
      </c>
    </row>
    <row r="702" spans="1:10" x14ac:dyDescent="0.25">
      <c r="A702">
        <v>35125</v>
      </c>
      <c r="B702" t="s">
        <v>3217</v>
      </c>
      <c r="C702" t="s">
        <v>3217</v>
      </c>
      <c r="D702" t="s">
        <v>729</v>
      </c>
      <c r="E702">
        <v>100</v>
      </c>
      <c r="F702">
        <v>0</v>
      </c>
      <c r="G702">
        <v>0</v>
      </c>
      <c r="H702">
        <v>2467</v>
      </c>
      <c r="I702">
        <v>40</v>
      </c>
      <c r="J702">
        <v>0</v>
      </c>
    </row>
    <row r="703" spans="1:10" x14ac:dyDescent="0.25">
      <c r="A703">
        <v>34266</v>
      </c>
      <c r="B703" t="s">
        <v>3215</v>
      </c>
      <c r="C703" t="s">
        <v>3226</v>
      </c>
      <c r="D703" t="s">
        <v>691</v>
      </c>
      <c r="E703">
        <v>100</v>
      </c>
      <c r="F703">
        <v>0</v>
      </c>
      <c r="G703">
        <v>0</v>
      </c>
      <c r="H703">
        <v>534</v>
      </c>
      <c r="I703">
        <v>10</v>
      </c>
      <c r="J703">
        <v>0</v>
      </c>
    </row>
    <row r="704" spans="1:10" x14ac:dyDescent="0.25">
      <c r="A704">
        <v>22571</v>
      </c>
      <c r="B704" t="s">
        <v>3212</v>
      </c>
      <c r="C704" t="s">
        <v>3224</v>
      </c>
      <c r="D704" t="s">
        <v>2824</v>
      </c>
      <c r="E704">
        <v>100</v>
      </c>
      <c r="F704">
        <v>0</v>
      </c>
      <c r="G704">
        <v>0</v>
      </c>
      <c r="H704">
        <v>616</v>
      </c>
      <c r="I704">
        <v>6</v>
      </c>
      <c r="J704">
        <v>0</v>
      </c>
    </row>
    <row r="705" spans="1:10" x14ac:dyDescent="0.25">
      <c r="A705">
        <v>72159</v>
      </c>
      <c r="B705" t="s">
        <v>3218</v>
      </c>
      <c r="C705" t="s">
        <v>3230</v>
      </c>
      <c r="D705" t="s">
        <v>1476</v>
      </c>
      <c r="E705">
        <v>99</v>
      </c>
      <c r="F705">
        <v>0</v>
      </c>
      <c r="G705">
        <v>0</v>
      </c>
      <c r="H705">
        <v>2247</v>
      </c>
      <c r="J705">
        <v>0</v>
      </c>
    </row>
    <row r="706" spans="1:10" x14ac:dyDescent="0.25">
      <c r="A706">
        <v>63355</v>
      </c>
      <c r="B706" t="s">
        <v>3213</v>
      </c>
      <c r="C706" t="s">
        <v>1342</v>
      </c>
      <c r="D706" t="s">
        <v>3010</v>
      </c>
      <c r="E706">
        <v>99</v>
      </c>
      <c r="F706">
        <v>0</v>
      </c>
      <c r="G706">
        <v>0</v>
      </c>
      <c r="H706">
        <v>486</v>
      </c>
      <c r="I706">
        <v>3</v>
      </c>
      <c r="J706">
        <v>0</v>
      </c>
    </row>
    <row r="707" spans="1:10" x14ac:dyDescent="0.25">
      <c r="A707">
        <v>61123</v>
      </c>
      <c r="B707" t="s">
        <v>3213</v>
      </c>
      <c r="C707" t="s">
        <v>3039</v>
      </c>
      <c r="D707" t="s">
        <v>2961</v>
      </c>
      <c r="E707">
        <v>99</v>
      </c>
      <c r="F707">
        <v>539</v>
      </c>
      <c r="G707">
        <v>0</v>
      </c>
      <c r="H707">
        <v>740</v>
      </c>
      <c r="I707">
        <v>21</v>
      </c>
      <c r="J707">
        <v>0.72837837837837838</v>
      </c>
    </row>
    <row r="708" spans="1:10" x14ac:dyDescent="0.25">
      <c r="A708">
        <v>26331</v>
      </c>
      <c r="B708" t="s">
        <v>3212</v>
      </c>
      <c r="C708" t="s">
        <v>3227</v>
      </c>
      <c r="D708" t="s">
        <v>517</v>
      </c>
      <c r="E708">
        <v>98</v>
      </c>
      <c r="F708">
        <v>0</v>
      </c>
      <c r="G708">
        <v>0</v>
      </c>
      <c r="H708">
        <v>231</v>
      </c>
      <c r="I708">
        <v>5</v>
      </c>
      <c r="J708">
        <v>0</v>
      </c>
    </row>
    <row r="709" spans="1:10" x14ac:dyDescent="0.25">
      <c r="A709">
        <v>61211</v>
      </c>
      <c r="B709" t="s">
        <v>3213</v>
      </c>
      <c r="C709" t="s">
        <v>3039</v>
      </c>
      <c r="D709" t="s">
        <v>1198</v>
      </c>
      <c r="E709">
        <v>98</v>
      </c>
      <c r="F709">
        <v>539</v>
      </c>
      <c r="G709">
        <v>0</v>
      </c>
      <c r="H709">
        <v>440</v>
      </c>
      <c r="I709">
        <v>12</v>
      </c>
      <c r="J709">
        <v>1.2250000000000001</v>
      </c>
    </row>
    <row r="710" spans="1:10" x14ac:dyDescent="0.25">
      <c r="A710">
        <v>23326</v>
      </c>
      <c r="B710" t="s">
        <v>3212</v>
      </c>
      <c r="C710" t="s">
        <v>3220</v>
      </c>
      <c r="D710" t="s">
        <v>214</v>
      </c>
      <c r="E710">
        <v>97</v>
      </c>
      <c r="F710">
        <v>0</v>
      </c>
      <c r="G710">
        <v>0</v>
      </c>
      <c r="H710">
        <v>1</v>
      </c>
      <c r="J710">
        <v>0</v>
      </c>
    </row>
    <row r="711" spans="1:10" x14ac:dyDescent="0.25">
      <c r="A711">
        <v>34133</v>
      </c>
      <c r="B711" t="s">
        <v>3215</v>
      </c>
      <c r="C711" t="s">
        <v>3226</v>
      </c>
      <c r="D711" t="s">
        <v>651</v>
      </c>
      <c r="E711">
        <v>97</v>
      </c>
      <c r="F711">
        <v>0</v>
      </c>
      <c r="G711">
        <v>0</v>
      </c>
      <c r="H711">
        <v>517</v>
      </c>
      <c r="I711">
        <v>21</v>
      </c>
      <c r="J711">
        <v>0</v>
      </c>
    </row>
    <row r="712" spans="1:10" x14ac:dyDescent="0.25">
      <c r="A712">
        <v>34212</v>
      </c>
      <c r="B712" t="s">
        <v>3215</v>
      </c>
      <c r="C712" t="s">
        <v>3226</v>
      </c>
      <c r="D712" t="s">
        <v>658</v>
      </c>
      <c r="E712">
        <v>97</v>
      </c>
      <c r="F712">
        <v>0</v>
      </c>
      <c r="G712">
        <v>0</v>
      </c>
      <c r="H712">
        <v>408</v>
      </c>
      <c r="J712">
        <v>0</v>
      </c>
    </row>
    <row r="713" spans="1:10" x14ac:dyDescent="0.25">
      <c r="A713">
        <v>62308</v>
      </c>
      <c r="B713" t="s">
        <v>3213</v>
      </c>
      <c r="C713" t="s">
        <v>1267</v>
      </c>
      <c r="D713" t="s">
        <v>1331</v>
      </c>
      <c r="E713">
        <v>97</v>
      </c>
      <c r="F713">
        <v>0</v>
      </c>
      <c r="G713">
        <v>0</v>
      </c>
      <c r="H713">
        <v>1233</v>
      </c>
      <c r="J713">
        <v>0</v>
      </c>
    </row>
    <row r="714" spans="1:10" x14ac:dyDescent="0.25">
      <c r="A714">
        <v>25431</v>
      </c>
      <c r="B714" t="s">
        <v>3212</v>
      </c>
      <c r="C714" t="s">
        <v>3229</v>
      </c>
      <c r="D714" t="s">
        <v>422</v>
      </c>
      <c r="E714">
        <v>96</v>
      </c>
      <c r="F714">
        <v>0</v>
      </c>
      <c r="G714">
        <v>0</v>
      </c>
      <c r="H714">
        <v>878</v>
      </c>
      <c r="I714">
        <v>6</v>
      </c>
      <c r="J714">
        <v>0</v>
      </c>
    </row>
    <row r="715" spans="1:10" x14ac:dyDescent="0.25">
      <c r="A715">
        <v>35265</v>
      </c>
      <c r="B715" t="s">
        <v>3217</v>
      </c>
      <c r="C715" t="s">
        <v>3217</v>
      </c>
      <c r="D715" t="s">
        <v>797</v>
      </c>
      <c r="E715">
        <v>95</v>
      </c>
      <c r="F715">
        <v>0</v>
      </c>
      <c r="G715">
        <v>0</v>
      </c>
      <c r="H715">
        <v>1211</v>
      </c>
      <c r="J715">
        <v>0</v>
      </c>
    </row>
    <row r="716" spans="1:10" x14ac:dyDescent="0.25">
      <c r="A716">
        <v>21317</v>
      </c>
      <c r="B716" t="s">
        <v>3212</v>
      </c>
      <c r="C716" t="s">
        <v>36</v>
      </c>
      <c r="D716" t="s">
        <v>48</v>
      </c>
      <c r="E716">
        <v>95</v>
      </c>
      <c r="F716">
        <v>0</v>
      </c>
      <c r="G716">
        <v>0</v>
      </c>
      <c r="H716">
        <v>671</v>
      </c>
      <c r="I716">
        <v>56</v>
      </c>
      <c r="J716">
        <v>0</v>
      </c>
    </row>
    <row r="717" spans="1:10" x14ac:dyDescent="0.25">
      <c r="A717">
        <v>25271</v>
      </c>
      <c r="B717" t="s">
        <v>3212</v>
      </c>
      <c r="C717" t="s">
        <v>3229</v>
      </c>
      <c r="D717" t="s">
        <v>381</v>
      </c>
      <c r="E717">
        <v>95</v>
      </c>
      <c r="F717">
        <v>0</v>
      </c>
      <c r="G717">
        <v>0</v>
      </c>
      <c r="H717">
        <v>2530</v>
      </c>
      <c r="I717">
        <v>40</v>
      </c>
      <c r="J717">
        <v>0</v>
      </c>
    </row>
    <row r="718" spans="1:10" x14ac:dyDescent="0.25">
      <c r="A718">
        <v>35443</v>
      </c>
      <c r="B718" t="s">
        <v>3217</v>
      </c>
      <c r="C718" t="s">
        <v>3217</v>
      </c>
      <c r="D718" t="s">
        <v>2899</v>
      </c>
      <c r="E718">
        <v>94</v>
      </c>
      <c r="F718">
        <v>0</v>
      </c>
      <c r="G718">
        <v>0</v>
      </c>
      <c r="H718">
        <v>454</v>
      </c>
      <c r="J718">
        <v>0</v>
      </c>
    </row>
    <row r="719" spans="1:10" x14ac:dyDescent="0.25">
      <c r="A719">
        <v>23533</v>
      </c>
      <c r="B719" t="s">
        <v>3212</v>
      </c>
      <c r="C719" t="s">
        <v>3220</v>
      </c>
      <c r="D719" t="s">
        <v>261</v>
      </c>
      <c r="E719">
        <v>94</v>
      </c>
      <c r="F719">
        <v>0</v>
      </c>
      <c r="G719">
        <v>0</v>
      </c>
      <c r="H719">
        <v>1110</v>
      </c>
      <c r="I719">
        <v>16</v>
      </c>
      <c r="J719">
        <v>0</v>
      </c>
    </row>
    <row r="720" spans="1:10" x14ac:dyDescent="0.25">
      <c r="A720">
        <v>34366</v>
      </c>
      <c r="B720" t="s">
        <v>3215</v>
      </c>
      <c r="C720" t="s">
        <v>3226</v>
      </c>
      <c r="D720" t="s">
        <v>716</v>
      </c>
      <c r="E720">
        <v>94</v>
      </c>
      <c r="F720">
        <v>0</v>
      </c>
      <c r="G720">
        <v>0</v>
      </c>
      <c r="H720">
        <v>17</v>
      </c>
      <c r="J720">
        <v>0</v>
      </c>
    </row>
    <row r="721" spans="1:10" x14ac:dyDescent="0.25">
      <c r="A721">
        <v>32149</v>
      </c>
      <c r="B721" t="s">
        <v>3215</v>
      </c>
      <c r="C721" t="s">
        <v>3223</v>
      </c>
      <c r="D721" t="s">
        <v>573</v>
      </c>
      <c r="E721">
        <v>94</v>
      </c>
      <c r="F721">
        <v>0</v>
      </c>
      <c r="G721">
        <v>0</v>
      </c>
      <c r="H721">
        <v>522</v>
      </c>
      <c r="I721">
        <v>4</v>
      </c>
      <c r="J721">
        <v>0</v>
      </c>
    </row>
    <row r="722" spans="1:10" x14ac:dyDescent="0.25">
      <c r="A722">
        <v>74133</v>
      </c>
      <c r="B722" t="s">
        <v>3218</v>
      </c>
      <c r="C722" t="s">
        <v>2784</v>
      </c>
      <c r="D722" t="s">
        <v>1553</v>
      </c>
      <c r="E722">
        <v>94</v>
      </c>
      <c r="F722">
        <v>0</v>
      </c>
      <c r="G722">
        <v>0</v>
      </c>
      <c r="H722">
        <v>637</v>
      </c>
      <c r="I722">
        <v>2</v>
      </c>
      <c r="J722">
        <v>0</v>
      </c>
    </row>
    <row r="723" spans="1:10" x14ac:dyDescent="0.25">
      <c r="A723">
        <v>26371</v>
      </c>
      <c r="B723" t="s">
        <v>3212</v>
      </c>
      <c r="C723" t="s">
        <v>3227</v>
      </c>
      <c r="D723" t="s">
        <v>529</v>
      </c>
      <c r="E723">
        <v>94</v>
      </c>
      <c r="F723">
        <v>0</v>
      </c>
      <c r="G723">
        <v>0</v>
      </c>
      <c r="H723">
        <v>687</v>
      </c>
      <c r="I723">
        <v>64</v>
      </c>
      <c r="J723">
        <v>0</v>
      </c>
    </row>
    <row r="724" spans="1:10" x14ac:dyDescent="0.25">
      <c r="A724">
        <v>35117</v>
      </c>
      <c r="B724" t="s">
        <v>3217</v>
      </c>
      <c r="C724" t="s">
        <v>3217</v>
      </c>
      <c r="D724" t="s">
        <v>725</v>
      </c>
      <c r="E724">
        <v>93</v>
      </c>
      <c r="F724">
        <v>0</v>
      </c>
      <c r="G724">
        <v>0</v>
      </c>
      <c r="H724">
        <v>1665</v>
      </c>
      <c r="I724">
        <v>11</v>
      </c>
      <c r="J724">
        <v>0</v>
      </c>
    </row>
    <row r="725" spans="1:10" x14ac:dyDescent="0.25">
      <c r="A725">
        <v>53171</v>
      </c>
      <c r="B725" t="s">
        <v>3216</v>
      </c>
      <c r="C725" t="s">
        <v>1069</v>
      </c>
      <c r="D725" t="s">
        <v>1084</v>
      </c>
      <c r="E725">
        <v>93</v>
      </c>
      <c r="F725">
        <v>0</v>
      </c>
      <c r="G725">
        <v>0</v>
      </c>
      <c r="H725">
        <v>66</v>
      </c>
      <c r="I725">
        <v>4</v>
      </c>
      <c r="J725">
        <v>0</v>
      </c>
    </row>
    <row r="726" spans="1:10" x14ac:dyDescent="0.25">
      <c r="A726">
        <v>62239</v>
      </c>
      <c r="B726" t="s">
        <v>3213</v>
      </c>
      <c r="C726" t="s">
        <v>1267</v>
      </c>
      <c r="D726" t="s">
        <v>1289</v>
      </c>
      <c r="E726">
        <v>93</v>
      </c>
      <c r="F726">
        <v>0</v>
      </c>
      <c r="G726">
        <v>0</v>
      </c>
      <c r="H726">
        <v>521</v>
      </c>
      <c r="I726">
        <v>50</v>
      </c>
      <c r="J726">
        <v>0</v>
      </c>
    </row>
    <row r="727" spans="1:10" x14ac:dyDescent="0.25">
      <c r="A727">
        <v>23544</v>
      </c>
      <c r="B727" t="s">
        <v>3212</v>
      </c>
      <c r="C727" t="s">
        <v>3220</v>
      </c>
      <c r="D727" t="s">
        <v>262</v>
      </c>
      <c r="E727">
        <v>92</v>
      </c>
      <c r="F727">
        <v>0</v>
      </c>
      <c r="G727">
        <v>0</v>
      </c>
      <c r="H727">
        <v>723</v>
      </c>
      <c r="J727">
        <v>0</v>
      </c>
    </row>
    <row r="728" spans="1:10" x14ac:dyDescent="0.25">
      <c r="A728">
        <v>61414</v>
      </c>
      <c r="B728" t="s">
        <v>3213</v>
      </c>
      <c r="C728" t="s">
        <v>3039</v>
      </c>
      <c r="D728" t="s">
        <v>1214</v>
      </c>
      <c r="E728">
        <v>92</v>
      </c>
      <c r="F728">
        <v>141</v>
      </c>
      <c r="G728">
        <v>0</v>
      </c>
      <c r="H728">
        <v>1111</v>
      </c>
      <c r="J728">
        <v>0.12691269126912691</v>
      </c>
    </row>
    <row r="729" spans="1:10" x14ac:dyDescent="0.25">
      <c r="A729">
        <v>53344</v>
      </c>
      <c r="B729" t="s">
        <v>3216</v>
      </c>
      <c r="C729" t="s">
        <v>1069</v>
      </c>
      <c r="D729" t="s">
        <v>1113</v>
      </c>
      <c r="E729">
        <v>91</v>
      </c>
      <c r="F729">
        <v>0</v>
      </c>
      <c r="G729">
        <v>0</v>
      </c>
      <c r="H729">
        <v>783</v>
      </c>
      <c r="I729">
        <v>24</v>
      </c>
      <c r="J729">
        <v>0</v>
      </c>
    </row>
    <row r="730" spans="1:10" x14ac:dyDescent="0.25">
      <c r="A730">
        <v>34233</v>
      </c>
      <c r="B730" t="s">
        <v>3215</v>
      </c>
      <c r="C730" t="s">
        <v>3226</v>
      </c>
      <c r="D730" t="s">
        <v>671</v>
      </c>
      <c r="E730">
        <v>91</v>
      </c>
      <c r="F730">
        <v>0</v>
      </c>
      <c r="G730">
        <v>0</v>
      </c>
      <c r="H730">
        <v>460</v>
      </c>
      <c r="I730">
        <v>15</v>
      </c>
      <c r="J730">
        <v>0</v>
      </c>
    </row>
    <row r="731" spans="1:10" x14ac:dyDescent="0.25">
      <c r="A731">
        <v>62274</v>
      </c>
      <c r="B731" t="s">
        <v>3213</v>
      </c>
      <c r="C731" t="s">
        <v>1267</v>
      </c>
      <c r="D731" t="s">
        <v>1312</v>
      </c>
      <c r="E731">
        <v>91</v>
      </c>
      <c r="F731">
        <v>261</v>
      </c>
      <c r="G731">
        <v>0</v>
      </c>
      <c r="H731">
        <v>1053</v>
      </c>
      <c r="I731">
        <v>31</v>
      </c>
      <c r="J731">
        <v>0.24786324786324787</v>
      </c>
    </row>
    <row r="732" spans="1:10" x14ac:dyDescent="0.25">
      <c r="A732">
        <v>35247</v>
      </c>
      <c r="B732" t="s">
        <v>3217</v>
      </c>
      <c r="C732" t="s">
        <v>3217</v>
      </c>
      <c r="D732" t="s">
        <v>788</v>
      </c>
      <c r="E732">
        <v>90</v>
      </c>
      <c r="F732">
        <v>0</v>
      </c>
      <c r="G732">
        <v>0</v>
      </c>
      <c r="H732">
        <v>90</v>
      </c>
      <c r="J732">
        <v>0</v>
      </c>
    </row>
    <row r="733" spans="1:10" x14ac:dyDescent="0.25">
      <c r="A733">
        <v>37382</v>
      </c>
      <c r="B733" t="s">
        <v>3215</v>
      </c>
      <c r="C733" t="s">
        <v>3228</v>
      </c>
      <c r="D733" t="s">
        <v>960</v>
      </c>
      <c r="E733">
        <v>90</v>
      </c>
      <c r="F733">
        <v>0</v>
      </c>
      <c r="G733">
        <v>0</v>
      </c>
      <c r="H733">
        <v>628</v>
      </c>
      <c r="I733">
        <v>2</v>
      </c>
      <c r="J733">
        <v>0</v>
      </c>
    </row>
    <row r="734" spans="1:10" x14ac:dyDescent="0.25">
      <c r="A734">
        <v>35181</v>
      </c>
      <c r="B734" t="s">
        <v>3217</v>
      </c>
      <c r="C734" t="s">
        <v>3217</v>
      </c>
      <c r="D734" t="s">
        <v>761</v>
      </c>
      <c r="E734">
        <v>89</v>
      </c>
      <c r="F734">
        <v>0</v>
      </c>
      <c r="G734">
        <v>0</v>
      </c>
      <c r="H734">
        <v>326</v>
      </c>
      <c r="I734">
        <v>3</v>
      </c>
      <c r="J734">
        <v>0</v>
      </c>
    </row>
    <row r="735" spans="1:10" x14ac:dyDescent="0.25">
      <c r="A735">
        <v>21471</v>
      </c>
      <c r="B735" t="s">
        <v>3212</v>
      </c>
      <c r="C735" t="s">
        <v>36</v>
      </c>
      <c r="D735" t="s">
        <v>83</v>
      </c>
      <c r="E735">
        <v>89</v>
      </c>
      <c r="F735">
        <v>0</v>
      </c>
      <c r="G735">
        <v>0</v>
      </c>
      <c r="H735">
        <v>173</v>
      </c>
      <c r="I735">
        <v>9</v>
      </c>
      <c r="J735">
        <v>0</v>
      </c>
    </row>
    <row r="736" spans="1:10" x14ac:dyDescent="0.25">
      <c r="A736">
        <v>23366</v>
      </c>
      <c r="B736" t="s">
        <v>3212</v>
      </c>
      <c r="C736" t="s">
        <v>3220</v>
      </c>
      <c r="D736" t="s">
        <v>223</v>
      </c>
      <c r="E736">
        <v>89</v>
      </c>
      <c r="F736">
        <v>0</v>
      </c>
      <c r="G736">
        <v>0</v>
      </c>
      <c r="H736">
        <v>340</v>
      </c>
      <c r="I736">
        <v>10</v>
      </c>
      <c r="J736">
        <v>0</v>
      </c>
    </row>
    <row r="737" spans="1:10" x14ac:dyDescent="0.25">
      <c r="A737">
        <v>37369</v>
      </c>
      <c r="B737" t="s">
        <v>3215</v>
      </c>
      <c r="C737" t="s">
        <v>3228</v>
      </c>
      <c r="D737" t="s">
        <v>953</v>
      </c>
      <c r="E737">
        <v>89</v>
      </c>
      <c r="F737">
        <v>0</v>
      </c>
      <c r="G737">
        <v>0</v>
      </c>
      <c r="H737">
        <v>748</v>
      </c>
      <c r="I737">
        <v>8</v>
      </c>
      <c r="J737">
        <v>0</v>
      </c>
    </row>
    <row r="738" spans="1:10" x14ac:dyDescent="0.25">
      <c r="A738">
        <v>63277</v>
      </c>
      <c r="B738" t="s">
        <v>3213</v>
      </c>
      <c r="C738" t="s">
        <v>1342</v>
      </c>
      <c r="D738" t="s">
        <v>1388</v>
      </c>
      <c r="E738">
        <v>89</v>
      </c>
      <c r="F738">
        <v>0</v>
      </c>
      <c r="G738">
        <v>0</v>
      </c>
      <c r="H738">
        <v>1611</v>
      </c>
      <c r="I738">
        <v>23</v>
      </c>
      <c r="J738">
        <v>0</v>
      </c>
    </row>
    <row r="739" spans="1:10" x14ac:dyDescent="0.25">
      <c r="A739">
        <v>25317</v>
      </c>
      <c r="B739" t="s">
        <v>3212</v>
      </c>
      <c r="C739" t="s">
        <v>3229</v>
      </c>
      <c r="D739" t="s">
        <v>386</v>
      </c>
      <c r="E739">
        <v>88</v>
      </c>
      <c r="F739">
        <v>0</v>
      </c>
      <c r="G739">
        <v>0</v>
      </c>
      <c r="H739">
        <v>1380</v>
      </c>
      <c r="I739">
        <v>40</v>
      </c>
      <c r="J739">
        <v>0</v>
      </c>
    </row>
    <row r="740" spans="1:10" x14ac:dyDescent="0.25">
      <c r="A740">
        <v>73119</v>
      </c>
      <c r="B740" t="s">
        <v>3218</v>
      </c>
      <c r="C740" t="s">
        <v>1508</v>
      </c>
      <c r="D740" t="s">
        <v>1510</v>
      </c>
      <c r="E740">
        <v>88</v>
      </c>
      <c r="F740">
        <v>0</v>
      </c>
      <c r="G740">
        <v>0</v>
      </c>
      <c r="H740">
        <v>583</v>
      </c>
      <c r="I740">
        <v>15</v>
      </c>
      <c r="J740">
        <v>0</v>
      </c>
    </row>
    <row r="741" spans="1:10" x14ac:dyDescent="0.25">
      <c r="A741">
        <v>61359</v>
      </c>
      <c r="B741" t="s">
        <v>3213</v>
      </c>
      <c r="C741" t="s">
        <v>3039</v>
      </c>
      <c r="D741" t="s">
        <v>1209</v>
      </c>
      <c r="E741">
        <v>88</v>
      </c>
      <c r="F741">
        <v>0</v>
      </c>
      <c r="G741">
        <v>0</v>
      </c>
      <c r="H741">
        <v>550</v>
      </c>
      <c r="I741">
        <v>4</v>
      </c>
      <c r="J741">
        <v>0</v>
      </c>
    </row>
    <row r="742" spans="1:10" x14ac:dyDescent="0.25">
      <c r="A742">
        <v>35455</v>
      </c>
      <c r="B742" t="s">
        <v>3217</v>
      </c>
      <c r="C742" t="s">
        <v>3217</v>
      </c>
      <c r="D742" t="s">
        <v>866</v>
      </c>
      <c r="E742">
        <v>87</v>
      </c>
      <c r="F742">
        <v>0</v>
      </c>
      <c r="G742">
        <v>0</v>
      </c>
      <c r="H742">
        <v>355</v>
      </c>
      <c r="J742">
        <v>0</v>
      </c>
    </row>
    <row r="743" spans="1:10" x14ac:dyDescent="0.25">
      <c r="A743">
        <v>22761</v>
      </c>
      <c r="B743" t="s">
        <v>3212</v>
      </c>
      <c r="C743" t="s">
        <v>3224</v>
      </c>
      <c r="D743" t="s">
        <v>175</v>
      </c>
      <c r="E743">
        <v>87</v>
      </c>
      <c r="F743">
        <v>0</v>
      </c>
      <c r="G743">
        <v>0</v>
      </c>
      <c r="H743">
        <v>1035</v>
      </c>
      <c r="I743">
        <v>20</v>
      </c>
      <c r="J743">
        <v>0</v>
      </c>
    </row>
    <row r="744" spans="1:10" x14ac:dyDescent="0.25">
      <c r="A744">
        <v>74126</v>
      </c>
      <c r="B744" t="s">
        <v>3218</v>
      </c>
      <c r="C744" t="s">
        <v>2784</v>
      </c>
      <c r="D744" t="s">
        <v>1549</v>
      </c>
      <c r="E744">
        <v>87</v>
      </c>
      <c r="F744">
        <v>0</v>
      </c>
      <c r="G744">
        <v>0</v>
      </c>
      <c r="H744">
        <v>1767</v>
      </c>
      <c r="I744">
        <v>2</v>
      </c>
      <c r="J744">
        <v>0</v>
      </c>
    </row>
    <row r="745" spans="1:10" x14ac:dyDescent="0.25">
      <c r="A745">
        <v>63181</v>
      </c>
      <c r="B745" t="s">
        <v>3213</v>
      </c>
      <c r="C745" t="s">
        <v>1342</v>
      </c>
      <c r="D745" t="s">
        <v>1363</v>
      </c>
      <c r="E745">
        <v>87</v>
      </c>
      <c r="F745">
        <v>0</v>
      </c>
      <c r="G745">
        <v>0</v>
      </c>
      <c r="H745">
        <v>80</v>
      </c>
      <c r="J745">
        <v>0</v>
      </c>
    </row>
    <row r="746" spans="1:10" x14ac:dyDescent="0.25">
      <c r="A746">
        <v>63327</v>
      </c>
      <c r="B746" t="s">
        <v>3213</v>
      </c>
      <c r="C746" t="s">
        <v>1342</v>
      </c>
      <c r="D746" t="s">
        <v>1400</v>
      </c>
      <c r="E746">
        <v>87</v>
      </c>
      <c r="F746">
        <v>0</v>
      </c>
      <c r="G746">
        <v>0</v>
      </c>
      <c r="H746">
        <v>309</v>
      </c>
      <c r="J746">
        <v>0</v>
      </c>
    </row>
    <row r="747" spans="1:10" x14ac:dyDescent="0.25">
      <c r="A747">
        <v>72214</v>
      </c>
      <c r="B747" t="s">
        <v>3218</v>
      </c>
      <c r="C747" t="s">
        <v>3230</v>
      </c>
      <c r="D747" t="s">
        <v>1482</v>
      </c>
      <c r="E747">
        <v>86</v>
      </c>
      <c r="F747">
        <v>0</v>
      </c>
      <c r="G747">
        <v>0</v>
      </c>
      <c r="H747">
        <v>664</v>
      </c>
      <c r="J747">
        <v>0</v>
      </c>
    </row>
    <row r="748" spans="1:10" x14ac:dyDescent="0.25">
      <c r="A748">
        <v>62221</v>
      </c>
      <c r="B748" t="s">
        <v>3213</v>
      </c>
      <c r="C748" t="s">
        <v>1267</v>
      </c>
      <c r="D748" t="s">
        <v>2984</v>
      </c>
      <c r="E748">
        <v>86</v>
      </c>
      <c r="F748">
        <v>0</v>
      </c>
      <c r="G748">
        <v>0</v>
      </c>
      <c r="H748">
        <v>947</v>
      </c>
      <c r="I748">
        <v>2</v>
      </c>
      <c r="J748">
        <v>0</v>
      </c>
    </row>
    <row r="749" spans="1:10" x14ac:dyDescent="0.25">
      <c r="A749">
        <v>73135</v>
      </c>
      <c r="B749" t="s">
        <v>3218</v>
      </c>
      <c r="C749" t="s">
        <v>1508</v>
      </c>
      <c r="D749" t="s">
        <v>1512</v>
      </c>
      <c r="E749">
        <v>85</v>
      </c>
      <c r="F749">
        <v>0</v>
      </c>
      <c r="G749">
        <v>0</v>
      </c>
      <c r="H749">
        <v>357</v>
      </c>
      <c r="I749">
        <v>13</v>
      </c>
      <c r="J749">
        <v>0</v>
      </c>
    </row>
    <row r="750" spans="1:10" x14ac:dyDescent="0.25">
      <c r="A750">
        <v>62251</v>
      </c>
      <c r="B750" t="s">
        <v>3213</v>
      </c>
      <c r="C750" t="s">
        <v>1267</v>
      </c>
      <c r="D750" t="s">
        <v>1298</v>
      </c>
      <c r="E750">
        <v>85</v>
      </c>
      <c r="F750">
        <v>0</v>
      </c>
      <c r="G750">
        <v>0</v>
      </c>
      <c r="H750">
        <v>1053</v>
      </c>
      <c r="I750">
        <v>817</v>
      </c>
      <c r="J750">
        <v>0</v>
      </c>
    </row>
    <row r="751" spans="1:10" x14ac:dyDescent="0.25">
      <c r="A751">
        <v>23627</v>
      </c>
      <c r="B751" t="s">
        <v>3212</v>
      </c>
      <c r="C751" t="s">
        <v>3220</v>
      </c>
      <c r="D751" t="s">
        <v>272</v>
      </c>
      <c r="E751">
        <v>84</v>
      </c>
      <c r="F751">
        <v>0</v>
      </c>
      <c r="G751">
        <v>0</v>
      </c>
      <c r="H751">
        <v>1716</v>
      </c>
      <c r="I751">
        <v>50</v>
      </c>
      <c r="J751">
        <v>0</v>
      </c>
    </row>
    <row r="752" spans="1:10" x14ac:dyDescent="0.25">
      <c r="A752">
        <v>37351</v>
      </c>
      <c r="B752" t="s">
        <v>3215</v>
      </c>
      <c r="C752" t="s">
        <v>3228</v>
      </c>
      <c r="D752" t="s">
        <v>940</v>
      </c>
      <c r="E752">
        <v>84</v>
      </c>
      <c r="F752">
        <v>0</v>
      </c>
      <c r="G752">
        <v>0</v>
      </c>
      <c r="H752">
        <v>1287</v>
      </c>
      <c r="I752">
        <v>16</v>
      </c>
      <c r="J752">
        <v>0</v>
      </c>
    </row>
    <row r="753" spans="1:10" x14ac:dyDescent="0.25">
      <c r="A753">
        <v>24441</v>
      </c>
      <c r="B753" t="s">
        <v>3212</v>
      </c>
      <c r="C753" t="s">
        <v>1808</v>
      </c>
      <c r="D753" t="s">
        <v>345</v>
      </c>
      <c r="E753">
        <v>82</v>
      </c>
      <c r="F753">
        <v>0</v>
      </c>
      <c r="G753">
        <v>0</v>
      </c>
      <c r="H753">
        <v>248</v>
      </c>
      <c r="I753">
        <v>16</v>
      </c>
      <c r="J753">
        <v>0</v>
      </c>
    </row>
    <row r="754" spans="1:10" x14ac:dyDescent="0.25">
      <c r="A754">
        <v>31141</v>
      </c>
      <c r="B754" t="s">
        <v>3215</v>
      </c>
      <c r="C754" t="s">
        <v>3225</v>
      </c>
      <c r="D754" t="s">
        <v>543</v>
      </c>
      <c r="E754">
        <v>82</v>
      </c>
      <c r="F754">
        <v>207</v>
      </c>
      <c r="G754">
        <v>0</v>
      </c>
      <c r="H754">
        <v>7369</v>
      </c>
      <c r="J754">
        <v>2.8090650020355542E-2</v>
      </c>
    </row>
    <row r="755" spans="1:10" x14ac:dyDescent="0.25">
      <c r="A755">
        <v>53281</v>
      </c>
      <c r="B755" t="s">
        <v>3216</v>
      </c>
      <c r="C755" t="s">
        <v>1069</v>
      </c>
      <c r="D755" t="s">
        <v>1108</v>
      </c>
      <c r="E755">
        <v>81</v>
      </c>
      <c r="F755">
        <v>0</v>
      </c>
      <c r="G755">
        <v>0</v>
      </c>
      <c r="H755">
        <v>383</v>
      </c>
      <c r="J755">
        <v>0</v>
      </c>
    </row>
    <row r="756" spans="1:10" x14ac:dyDescent="0.25">
      <c r="A756">
        <v>37361</v>
      </c>
      <c r="B756" t="s">
        <v>3215</v>
      </c>
      <c r="C756" t="s">
        <v>3228</v>
      </c>
      <c r="D756" t="s">
        <v>948</v>
      </c>
      <c r="E756">
        <v>81</v>
      </c>
      <c r="F756">
        <v>0</v>
      </c>
      <c r="G756">
        <v>0</v>
      </c>
      <c r="H756">
        <v>1103</v>
      </c>
      <c r="J756">
        <v>0</v>
      </c>
    </row>
    <row r="757" spans="1:10" x14ac:dyDescent="0.25">
      <c r="A757">
        <v>62312</v>
      </c>
      <c r="B757" t="s">
        <v>3213</v>
      </c>
      <c r="C757" t="s">
        <v>1267</v>
      </c>
      <c r="D757" t="s">
        <v>1333</v>
      </c>
      <c r="E757">
        <v>81</v>
      </c>
      <c r="F757">
        <v>0</v>
      </c>
      <c r="G757">
        <v>0</v>
      </c>
      <c r="H757">
        <v>1707</v>
      </c>
      <c r="J757">
        <v>0</v>
      </c>
    </row>
    <row r="758" spans="1:10" x14ac:dyDescent="0.25">
      <c r="A758">
        <v>21431</v>
      </c>
      <c r="B758" t="s">
        <v>3212</v>
      </c>
      <c r="C758" t="s">
        <v>36</v>
      </c>
      <c r="D758" t="s">
        <v>75</v>
      </c>
      <c r="E758">
        <v>80</v>
      </c>
      <c r="F758">
        <v>0</v>
      </c>
      <c r="G758">
        <v>0</v>
      </c>
      <c r="H758">
        <v>506</v>
      </c>
      <c r="I758">
        <v>33</v>
      </c>
      <c r="J758">
        <v>0</v>
      </c>
    </row>
    <row r="759" spans="1:10" x14ac:dyDescent="0.25">
      <c r="A759">
        <v>34234</v>
      </c>
      <c r="B759" t="s">
        <v>3215</v>
      </c>
      <c r="C759" t="s">
        <v>3226</v>
      </c>
      <c r="D759" t="s">
        <v>672</v>
      </c>
      <c r="E759">
        <v>80</v>
      </c>
      <c r="F759">
        <v>0</v>
      </c>
      <c r="G759">
        <v>0</v>
      </c>
      <c r="H759">
        <v>517</v>
      </c>
      <c r="I759">
        <v>10</v>
      </c>
      <c r="J759">
        <v>0</v>
      </c>
    </row>
    <row r="760" spans="1:10" x14ac:dyDescent="0.25">
      <c r="A760">
        <v>71276</v>
      </c>
      <c r="B760" t="s">
        <v>3218</v>
      </c>
      <c r="C760" t="s">
        <v>3218</v>
      </c>
      <c r="D760" t="s">
        <v>3017</v>
      </c>
      <c r="E760">
        <v>80</v>
      </c>
      <c r="F760">
        <v>0</v>
      </c>
      <c r="G760">
        <v>0</v>
      </c>
      <c r="H760">
        <v>1865</v>
      </c>
      <c r="I760">
        <v>1</v>
      </c>
      <c r="J760">
        <v>0</v>
      </c>
    </row>
    <row r="761" spans="1:10" x14ac:dyDescent="0.25">
      <c r="A761">
        <v>51237</v>
      </c>
      <c r="B761" t="s">
        <v>3214</v>
      </c>
      <c r="C761" t="s">
        <v>3045</v>
      </c>
      <c r="D761" t="s">
        <v>998</v>
      </c>
      <c r="E761">
        <v>80</v>
      </c>
      <c r="F761">
        <v>0</v>
      </c>
      <c r="G761">
        <v>0</v>
      </c>
      <c r="H761">
        <v>5</v>
      </c>
      <c r="J761">
        <v>0</v>
      </c>
    </row>
    <row r="762" spans="1:10" x14ac:dyDescent="0.25">
      <c r="A762">
        <v>71231</v>
      </c>
      <c r="B762" t="s">
        <v>3218</v>
      </c>
      <c r="C762" t="s">
        <v>3218</v>
      </c>
      <c r="D762" t="s">
        <v>1432</v>
      </c>
      <c r="E762">
        <v>79</v>
      </c>
      <c r="F762">
        <v>0</v>
      </c>
      <c r="G762">
        <v>0</v>
      </c>
      <c r="H762">
        <v>2362</v>
      </c>
      <c r="I762">
        <v>44</v>
      </c>
      <c r="J762">
        <v>0</v>
      </c>
    </row>
    <row r="763" spans="1:10" x14ac:dyDescent="0.25">
      <c r="A763">
        <v>63191</v>
      </c>
      <c r="B763" t="s">
        <v>3213</v>
      </c>
      <c r="C763" t="s">
        <v>1342</v>
      </c>
      <c r="D763" t="s">
        <v>1366</v>
      </c>
      <c r="E763">
        <v>79</v>
      </c>
      <c r="F763">
        <v>0</v>
      </c>
      <c r="G763">
        <v>0</v>
      </c>
      <c r="H763">
        <v>130</v>
      </c>
      <c r="I763">
        <v>3</v>
      </c>
      <c r="J763">
        <v>0</v>
      </c>
    </row>
    <row r="764" spans="1:10" x14ac:dyDescent="0.25">
      <c r="A764">
        <v>33151</v>
      </c>
      <c r="B764" t="s">
        <v>3215</v>
      </c>
      <c r="C764" t="s">
        <v>597</v>
      </c>
      <c r="D764" t="s">
        <v>617</v>
      </c>
      <c r="E764">
        <v>79</v>
      </c>
      <c r="F764">
        <v>0</v>
      </c>
      <c r="G764">
        <v>0</v>
      </c>
      <c r="H764">
        <v>273</v>
      </c>
      <c r="J764">
        <v>0</v>
      </c>
    </row>
    <row r="765" spans="1:10" x14ac:dyDescent="0.25">
      <c r="A765">
        <v>51113</v>
      </c>
      <c r="B765" t="s">
        <v>3214</v>
      </c>
      <c r="C765" t="s">
        <v>3045</v>
      </c>
      <c r="D765" t="s">
        <v>2920</v>
      </c>
      <c r="E765">
        <v>78</v>
      </c>
      <c r="F765">
        <v>0</v>
      </c>
      <c r="G765">
        <v>0</v>
      </c>
      <c r="H765">
        <v>1213</v>
      </c>
      <c r="I765">
        <v>50</v>
      </c>
      <c r="J765">
        <v>0</v>
      </c>
    </row>
    <row r="766" spans="1:10" x14ac:dyDescent="0.25">
      <c r="A766">
        <v>35441</v>
      </c>
      <c r="B766" t="s">
        <v>3217</v>
      </c>
      <c r="C766" t="s">
        <v>3217</v>
      </c>
      <c r="D766" t="s">
        <v>859</v>
      </c>
      <c r="E766">
        <v>77</v>
      </c>
      <c r="F766">
        <v>0</v>
      </c>
      <c r="G766">
        <v>0</v>
      </c>
      <c r="H766">
        <v>772</v>
      </c>
      <c r="I766">
        <v>3</v>
      </c>
      <c r="J766">
        <v>0</v>
      </c>
    </row>
    <row r="767" spans="1:10" x14ac:dyDescent="0.25">
      <c r="A767">
        <v>72276</v>
      </c>
      <c r="B767" t="s">
        <v>3218</v>
      </c>
      <c r="C767" t="s">
        <v>3230</v>
      </c>
      <c r="D767" t="s">
        <v>1502</v>
      </c>
      <c r="E767">
        <v>77</v>
      </c>
      <c r="F767">
        <v>0</v>
      </c>
      <c r="G767">
        <v>0</v>
      </c>
      <c r="H767">
        <v>723</v>
      </c>
      <c r="I767">
        <v>20</v>
      </c>
      <c r="J767">
        <v>0</v>
      </c>
    </row>
    <row r="768" spans="1:10" x14ac:dyDescent="0.25">
      <c r="A768">
        <v>22747</v>
      </c>
      <c r="B768" t="s">
        <v>3212</v>
      </c>
      <c r="C768" t="s">
        <v>3224</v>
      </c>
      <c r="D768" t="s">
        <v>171</v>
      </c>
      <c r="E768">
        <v>77</v>
      </c>
      <c r="F768">
        <v>0</v>
      </c>
      <c r="G768">
        <v>0</v>
      </c>
      <c r="H768">
        <v>1914</v>
      </c>
      <c r="I768">
        <v>278</v>
      </c>
      <c r="J768">
        <v>0</v>
      </c>
    </row>
    <row r="769" spans="1:10" x14ac:dyDescent="0.25">
      <c r="A769">
        <v>26361</v>
      </c>
      <c r="B769" t="s">
        <v>3212</v>
      </c>
      <c r="C769" t="s">
        <v>3227</v>
      </c>
      <c r="D769" t="s">
        <v>526</v>
      </c>
      <c r="E769">
        <v>77</v>
      </c>
      <c r="F769">
        <v>0</v>
      </c>
      <c r="G769">
        <v>0</v>
      </c>
      <c r="H769">
        <v>196</v>
      </c>
      <c r="I769">
        <v>4</v>
      </c>
      <c r="J769">
        <v>0</v>
      </c>
    </row>
    <row r="770" spans="1:10" x14ac:dyDescent="0.25">
      <c r="A770">
        <v>61371</v>
      </c>
      <c r="B770" t="s">
        <v>3213</v>
      </c>
      <c r="C770" t="s">
        <v>3039</v>
      </c>
      <c r="D770" t="s">
        <v>1210</v>
      </c>
      <c r="E770">
        <v>77</v>
      </c>
      <c r="F770">
        <v>1221</v>
      </c>
      <c r="G770">
        <v>0</v>
      </c>
      <c r="H770">
        <v>407</v>
      </c>
      <c r="I770">
        <v>10</v>
      </c>
      <c r="J770">
        <v>3</v>
      </c>
    </row>
    <row r="771" spans="1:10" x14ac:dyDescent="0.25">
      <c r="A771">
        <v>25337</v>
      </c>
      <c r="B771" t="s">
        <v>3212</v>
      </c>
      <c r="C771" t="s">
        <v>3229</v>
      </c>
      <c r="D771" t="s">
        <v>396</v>
      </c>
      <c r="E771">
        <v>76</v>
      </c>
      <c r="F771">
        <v>0</v>
      </c>
      <c r="G771">
        <v>0</v>
      </c>
      <c r="H771">
        <v>638</v>
      </c>
      <c r="I771">
        <v>22</v>
      </c>
      <c r="J771">
        <v>0</v>
      </c>
    </row>
    <row r="772" spans="1:10" x14ac:dyDescent="0.25">
      <c r="A772">
        <v>21441</v>
      </c>
      <c r="B772" t="s">
        <v>3212</v>
      </c>
      <c r="C772" t="s">
        <v>36</v>
      </c>
      <c r="D772" t="s">
        <v>77</v>
      </c>
      <c r="E772">
        <v>75</v>
      </c>
      <c r="F772">
        <v>0</v>
      </c>
      <c r="G772">
        <v>0</v>
      </c>
      <c r="H772">
        <v>568</v>
      </c>
      <c r="I772">
        <v>58</v>
      </c>
      <c r="J772">
        <v>0</v>
      </c>
    </row>
    <row r="773" spans="1:10" x14ac:dyDescent="0.25">
      <c r="A773">
        <v>23427</v>
      </c>
      <c r="B773" t="s">
        <v>3212</v>
      </c>
      <c r="C773" t="s">
        <v>3220</v>
      </c>
      <c r="D773" t="s">
        <v>236</v>
      </c>
      <c r="E773">
        <v>75</v>
      </c>
      <c r="F773">
        <v>0</v>
      </c>
      <c r="G773">
        <v>0</v>
      </c>
      <c r="H773">
        <v>20</v>
      </c>
      <c r="I773">
        <v>5</v>
      </c>
      <c r="J773">
        <v>0</v>
      </c>
    </row>
    <row r="774" spans="1:10" x14ac:dyDescent="0.25">
      <c r="A774">
        <v>33157</v>
      </c>
      <c r="B774" t="s">
        <v>3215</v>
      </c>
      <c r="C774" t="s">
        <v>597</v>
      </c>
      <c r="D774" t="s">
        <v>621</v>
      </c>
      <c r="E774">
        <v>75</v>
      </c>
      <c r="F774">
        <v>0</v>
      </c>
      <c r="G774">
        <v>0</v>
      </c>
      <c r="H774">
        <v>176</v>
      </c>
      <c r="J774">
        <v>0</v>
      </c>
    </row>
    <row r="775" spans="1:10" x14ac:dyDescent="0.25">
      <c r="A775">
        <v>35177</v>
      </c>
      <c r="B775" t="s">
        <v>3217</v>
      </c>
      <c r="C775" t="s">
        <v>3217</v>
      </c>
      <c r="D775" t="s">
        <v>759</v>
      </c>
      <c r="E775">
        <v>74</v>
      </c>
      <c r="F775">
        <v>0</v>
      </c>
      <c r="G775">
        <v>0</v>
      </c>
      <c r="H775">
        <v>1076</v>
      </c>
      <c r="I775">
        <v>7</v>
      </c>
      <c r="J775">
        <v>0</v>
      </c>
    </row>
    <row r="776" spans="1:10" x14ac:dyDescent="0.25">
      <c r="A776">
        <v>72274</v>
      </c>
      <c r="B776" t="s">
        <v>3218</v>
      </c>
      <c r="C776" t="s">
        <v>3230</v>
      </c>
      <c r="D776" t="s">
        <v>1501</v>
      </c>
      <c r="E776">
        <v>74</v>
      </c>
      <c r="F776">
        <v>0</v>
      </c>
      <c r="G776">
        <v>0</v>
      </c>
      <c r="H776">
        <v>524</v>
      </c>
      <c r="I776">
        <v>52</v>
      </c>
      <c r="J776">
        <v>0</v>
      </c>
    </row>
    <row r="777" spans="1:10" x14ac:dyDescent="0.25">
      <c r="A777">
        <v>74177</v>
      </c>
      <c r="B777" t="s">
        <v>3218</v>
      </c>
      <c r="C777" t="s">
        <v>2784</v>
      </c>
      <c r="D777" t="s">
        <v>3029</v>
      </c>
      <c r="E777">
        <v>74</v>
      </c>
      <c r="F777">
        <v>0</v>
      </c>
      <c r="G777">
        <v>0</v>
      </c>
      <c r="H777">
        <v>0</v>
      </c>
      <c r="J777">
        <v>0</v>
      </c>
    </row>
    <row r="778" spans="1:10" x14ac:dyDescent="0.25">
      <c r="A778">
        <v>74128</v>
      </c>
      <c r="B778" t="s">
        <v>3218</v>
      </c>
      <c r="C778" t="s">
        <v>2784</v>
      </c>
      <c r="D778" t="s">
        <v>1550</v>
      </c>
      <c r="E778">
        <v>74</v>
      </c>
      <c r="F778">
        <v>0</v>
      </c>
      <c r="G778">
        <v>0</v>
      </c>
      <c r="H778">
        <v>1065</v>
      </c>
      <c r="I778">
        <v>5</v>
      </c>
      <c r="J778">
        <v>0</v>
      </c>
    </row>
    <row r="779" spans="1:10" x14ac:dyDescent="0.25">
      <c r="A779">
        <v>62237</v>
      </c>
      <c r="B779" t="s">
        <v>3213</v>
      </c>
      <c r="C779" t="s">
        <v>1267</v>
      </c>
      <c r="D779" t="s">
        <v>1288</v>
      </c>
      <c r="E779">
        <v>74</v>
      </c>
      <c r="F779">
        <v>261</v>
      </c>
      <c r="G779">
        <v>0</v>
      </c>
      <c r="H779">
        <v>474</v>
      </c>
      <c r="I779">
        <v>80</v>
      </c>
      <c r="J779">
        <v>0.55063291139240511</v>
      </c>
    </row>
    <row r="780" spans="1:10" x14ac:dyDescent="0.25">
      <c r="A780">
        <v>24454</v>
      </c>
      <c r="B780" t="s">
        <v>3212</v>
      </c>
      <c r="C780" t="s">
        <v>1808</v>
      </c>
      <c r="D780" t="s">
        <v>2853</v>
      </c>
      <c r="E780">
        <v>73</v>
      </c>
      <c r="F780">
        <v>0</v>
      </c>
      <c r="G780">
        <v>0</v>
      </c>
      <c r="H780">
        <v>1148</v>
      </c>
      <c r="I780">
        <v>9</v>
      </c>
      <c r="J780">
        <v>0</v>
      </c>
    </row>
    <row r="781" spans="1:10" x14ac:dyDescent="0.25">
      <c r="A781">
        <v>37343</v>
      </c>
      <c r="B781" t="s">
        <v>3215</v>
      </c>
      <c r="C781" t="s">
        <v>3228</v>
      </c>
      <c r="D781" t="s">
        <v>935</v>
      </c>
      <c r="E781">
        <v>73</v>
      </c>
      <c r="F781">
        <v>0</v>
      </c>
      <c r="G781">
        <v>0</v>
      </c>
      <c r="H781">
        <v>1876</v>
      </c>
      <c r="I781">
        <v>3</v>
      </c>
      <c r="J781">
        <v>0</v>
      </c>
    </row>
    <row r="782" spans="1:10" x14ac:dyDescent="0.25">
      <c r="A782">
        <v>26233</v>
      </c>
      <c r="B782" t="s">
        <v>3212</v>
      </c>
      <c r="C782" t="s">
        <v>3227</v>
      </c>
      <c r="D782" t="s">
        <v>468</v>
      </c>
      <c r="E782">
        <v>73</v>
      </c>
      <c r="F782">
        <v>0</v>
      </c>
      <c r="G782">
        <v>0</v>
      </c>
      <c r="H782">
        <v>1752</v>
      </c>
      <c r="I782">
        <v>19</v>
      </c>
      <c r="J782">
        <v>0</v>
      </c>
    </row>
    <row r="783" spans="1:10" x14ac:dyDescent="0.25">
      <c r="A783">
        <v>25455</v>
      </c>
      <c r="B783" t="s">
        <v>3212</v>
      </c>
      <c r="C783" t="s">
        <v>3229</v>
      </c>
      <c r="D783" t="s">
        <v>428</v>
      </c>
      <c r="E783">
        <v>73</v>
      </c>
      <c r="F783">
        <v>0</v>
      </c>
      <c r="G783">
        <v>0</v>
      </c>
      <c r="H783">
        <v>860</v>
      </c>
      <c r="J783">
        <v>0</v>
      </c>
    </row>
    <row r="784" spans="1:10" x14ac:dyDescent="0.25">
      <c r="A784">
        <v>35431</v>
      </c>
      <c r="B784" t="s">
        <v>3217</v>
      </c>
      <c r="C784" t="s">
        <v>3217</v>
      </c>
      <c r="D784" t="s">
        <v>853</v>
      </c>
      <c r="E784">
        <v>71</v>
      </c>
      <c r="F784">
        <v>0</v>
      </c>
      <c r="G784">
        <v>0</v>
      </c>
      <c r="H784">
        <v>915</v>
      </c>
      <c r="J784">
        <v>0</v>
      </c>
    </row>
    <row r="785" spans="1:10" x14ac:dyDescent="0.25">
      <c r="A785">
        <v>21283</v>
      </c>
      <c r="B785" t="s">
        <v>3212</v>
      </c>
      <c r="C785" t="s">
        <v>36</v>
      </c>
      <c r="D785" t="s">
        <v>45</v>
      </c>
      <c r="E785">
        <v>71</v>
      </c>
      <c r="F785">
        <v>0</v>
      </c>
      <c r="G785">
        <v>0</v>
      </c>
      <c r="H785">
        <v>829</v>
      </c>
      <c r="I785">
        <v>60</v>
      </c>
      <c r="J785">
        <v>0</v>
      </c>
    </row>
    <row r="786" spans="1:10" x14ac:dyDescent="0.25">
      <c r="A786">
        <v>53227</v>
      </c>
      <c r="B786" t="s">
        <v>3216</v>
      </c>
      <c r="C786" t="s">
        <v>1069</v>
      </c>
      <c r="D786" t="s">
        <v>1092</v>
      </c>
      <c r="E786">
        <v>71</v>
      </c>
      <c r="F786">
        <v>0</v>
      </c>
      <c r="G786">
        <v>0</v>
      </c>
      <c r="H786">
        <v>1</v>
      </c>
      <c r="J786">
        <v>0</v>
      </c>
    </row>
    <row r="787" spans="1:10" x14ac:dyDescent="0.25">
      <c r="A787">
        <v>33139</v>
      </c>
      <c r="B787" t="s">
        <v>3215</v>
      </c>
      <c r="C787" t="s">
        <v>597</v>
      </c>
      <c r="D787" t="s">
        <v>2882</v>
      </c>
      <c r="E787">
        <v>71</v>
      </c>
      <c r="F787">
        <v>0</v>
      </c>
      <c r="G787">
        <v>0</v>
      </c>
      <c r="H787">
        <v>209</v>
      </c>
      <c r="J787">
        <v>0</v>
      </c>
    </row>
    <row r="788" spans="1:10" x14ac:dyDescent="0.25">
      <c r="A788">
        <v>35432</v>
      </c>
      <c r="B788" t="s">
        <v>3217</v>
      </c>
      <c r="C788" t="s">
        <v>3217</v>
      </c>
      <c r="D788" t="s">
        <v>2898</v>
      </c>
      <c r="E788">
        <v>70</v>
      </c>
      <c r="F788">
        <v>0</v>
      </c>
      <c r="G788">
        <v>0</v>
      </c>
      <c r="H788">
        <v>734</v>
      </c>
      <c r="I788">
        <v>1</v>
      </c>
      <c r="J788">
        <v>0</v>
      </c>
    </row>
    <row r="789" spans="1:10" x14ac:dyDescent="0.25">
      <c r="A789">
        <v>32157</v>
      </c>
      <c r="B789" t="s">
        <v>3215</v>
      </c>
      <c r="C789" t="s">
        <v>3223</v>
      </c>
      <c r="D789" t="s">
        <v>577</v>
      </c>
      <c r="E789">
        <v>70</v>
      </c>
      <c r="F789">
        <v>0</v>
      </c>
      <c r="G789">
        <v>0</v>
      </c>
      <c r="H789">
        <v>640</v>
      </c>
      <c r="I789">
        <v>9</v>
      </c>
      <c r="J789">
        <v>0</v>
      </c>
    </row>
    <row r="790" spans="1:10" x14ac:dyDescent="0.25">
      <c r="A790">
        <v>33155</v>
      </c>
      <c r="B790" t="s">
        <v>3215</v>
      </c>
      <c r="C790" t="s">
        <v>597</v>
      </c>
      <c r="D790" t="s">
        <v>620</v>
      </c>
      <c r="E790">
        <v>70</v>
      </c>
      <c r="F790">
        <v>0</v>
      </c>
      <c r="G790">
        <v>0</v>
      </c>
      <c r="H790">
        <v>1389</v>
      </c>
      <c r="I790">
        <v>6</v>
      </c>
      <c r="J790">
        <v>0</v>
      </c>
    </row>
    <row r="791" spans="1:10" x14ac:dyDescent="0.25">
      <c r="A791">
        <v>74118</v>
      </c>
      <c r="B791" t="s">
        <v>3218</v>
      </c>
      <c r="C791" t="s">
        <v>2784</v>
      </c>
      <c r="D791" t="s">
        <v>1545</v>
      </c>
      <c r="E791">
        <v>69</v>
      </c>
      <c r="F791">
        <v>0</v>
      </c>
      <c r="G791">
        <v>0</v>
      </c>
      <c r="H791">
        <v>528</v>
      </c>
      <c r="I791">
        <v>5</v>
      </c>
      <c r="J791">
        <v>0</v>
      </c>
    </row>
    <row r="792" spans="1:10" x14ac:dyDescent="0.25">
      <c r="A792">
        <v>36131</v>
      </c>
      <c r="B792" t="s">
        <v>3215</v>
      </c>
      <c r="C792" t="s">
        <v>2906</v>
      </c>
      <c r="D792" t="s">
        <v>2907</v>
      </c>
      <c r="E792">
        <v>68</v>
      </c>
      <c r="F792">
        <v>0</v>
      </c>
      <c r="G792">
        <v>0</v>
      </c>
      <c r="H792">
        <v>936</v>
      </c>
      <c r="J792">
        <v>0</v>
      </c>
    </row>
    <row r="793" spans="1:10" x14ac:dyDescent="0.25">
      <c r="A793">
        <v>23411</v>
      </c>
      <c r="B793" t="s">
        <v>3212</v>
      </c>
      <c r="C793" t="s">
        <v>3220</v>
      </c>
      <c r="D793" t="s">
        <v>228</v>
      </c>
      <c r="E793">
        <v>68</v>
      </c>
      <c r="F793">
        <v>0</v>
      </c>
      <c r="G793">
        <v>0</v>
      </c>
      <c r="H793">
        <v>242</v>
      </c>
      <c r="J793">
        <v>0</v>
      </c>
    </row>
    <row r="794" spans="1:10" x14ac:dyDescent="0.25">
      <c r="A794">
        <v>54151</v>
      </c>
      <c r="B794" t="s">
        <v>3216</v>
      </c>
      <c r="C794" t="s">
        <v>6936</v>
      </c>
      <c r="D794" t="s">
        <v>1158</v>
      </c>
      <c r="E794">
        <v>68</v>
      </c>
      <c r="F794">
        <v>0</v>
      </c>
      <c r="G794">
        <v>0</v>
      </c>
      <c r="H794">
        <v>177</v>
      </c>
      <c r="J794">
        <v>0</v>
      </c>
    </row>
    <row r="795" spans="1:10" x14ac:dyDescent="0.25">
      <c r="A795">
        <v>74155</v>
      </c>
      <c r="B795" t="s">
        <v>3218</v>
      </c>
      <c r="C795" t="s">
        <v>2784</v>
      </c>
      <c r="D795" t="s">
        <v>1555</v>
      </c>
      <c r="E795">
        <v>68</v>
      </c>
      <c r="F795">
        <v>0</v>
      </c>
      <c r="G795">
        <v>0</v>
      </c>
      <c r="H795">
        <v>44</v>
      </c>
      <c r="J795">
        <v>0</v>
      </c>
    </row>
    <row r="796" spans="1:10" x14ac:dyDescent="0.25">
      <c r="A796">
        <v>72224</v>
      </c>
      <c r="B796" t="s">
        <v>3218</v>
      </c>
      <c r="C796" t="s">
        <v>3230</v>
      </c>
      <c r="D796" t="s">
        <v>1485</v>
      </c>
      <c r="E796">
        <v>67</v>
      </c>
      <c r="F796">
        <v>0</v>
      </c>
      <c r="G796">
        <v>0</v>
      </c>
      <c r="H796">
        <v>809</v>
      </c>
      <c r="I796">
        <v>12</v>
      </c>
      <c r="J796">
        <v>0</v>
      </c>
    </row>
    <row r="797" spans="1:10" x14ac:dyDescent="0.25">
      <c r="A797">
        <v>23611</v>
      </c>
      <c r="B797" t="s">
        <v>3212</v>
      </c>
      <c r="C797" t="s">
        <v>3220</v>
      </c>
      <c r="D797" t="s">
        <v>267</v>
      </c>
      <c r="E797">
        <v>67</v>
      </c>
      <c r="F797">
        <v>0</v>
      </c>
      <c r="G797">
        <v>0</v>
      </c>
      <c r="H797">
        <v>1031</v>
      </c>
      <c r="I797">
        <v>33</v>
      </c>
      <c r="J797">
        <v>0</v>
      </c>
    </row>
    <row r="798" spans="1:10" x14ac:dyDescent="0.25">
      <c r="A798">
        <v>34264</v>
      </c>
      <c r="B798" t="s">
        <v>3215</v>
      </c>
      <c r="C798" t="s">
        <v>3226</v>
      </c>
      <c r="D798" t="s">
        <v>690</v>
      </c>
      <c r="E798">
        <v>67</v>
      </c>
      <c r="F798">
        <v>0</v>
      </c>
      <c r="G798">
        <v>0</v>
      </c>
      <c r="H798">
        <v>1087</v>
      </c>
      <c r="I798">
        <v>3</v>
      </c>
      <c r="J798">
        <v>0</v>
      </c>
    </row>
    <row r="799" spans="1:10" x14ac:dyDescent="0.25">
      <c r="A799">
        <v>34219</v>
      </c>
      <c r="B799" t="s">
        <v>3215</v>
      </c>
      <c r="C799" t="s">
        <v>3226</v>
      </c>
      <c r="D799" t="s">
        <v>663</v>
      </c>
      <c r="E799">
        <v>67</v>
      </c>
      <c r="F799">
        <v>0</v>
      </c>
      <c r="G799">
        <v>0</v>
      </c>
      <c r="H799">
        <v>131</v>
      </c>
      <c r="J799">
        <v>0</v>
      </c>
    </row>
    <row r="800" spans="1:10" x14ac:dyDescent="0.25">
      <c r="A800">
        <v>26217</v>
      </c>
      <c r="B800" t="s">
        <v>3212</v>
      </c>
      <c r="C800" t="s">
        <v>3227</v>
      </c>
      <c r="D800" t="s">
        <v>457</v>
      </c>
      <c r="E800">
        <v>67</v>
      </c>
      <c r="F800">
        <v>0</v>
      </c>
      <c r="G800">
        <v>0</v>
      </c>
      <c r="H800">
        <v>414</v>
      </c>
      <c r="J800">
        <v>0</v>
      </c>
    </row>
    <row r="801" spans="1:10" x14ac:dyDescent="0.25">
      <c r="A801">
        <v>24447</v>
      </c>
      <c r="B801" t="s">
        <v>3212</v>
      </c>
      <c r="C801" t="s">
        <v>1808</v>
      </c>
      <c r="D801" t="s">
        <v>348</v>
      </c>
      <c r="E801">
        <v>66</v>
      </c>
      <c r="F801">
        <v>0</v>
      </c>
      <c r="G801">
        <v>0</v>
      </c>
      <c r="H801">
        <v>2494</v>
      </c>
      <c r="I801">
        <v>10</v>
      </c>
      <c r="J801">
        <v>0</v>
      </c>
    </row>
    <row r="802" spans="1:10" x14ac:dyDescent="0.25">
      <c r="A802">
        <v>23671</v>
      </c>
      <c r="B802" t="s">
        <v>3212</v>
      </c>
      <c r="C802" t="s">
        <v>3220</v>
      </c>
      <c r="D802" t="s">
        <v>283</v>
      </c>
      <c r="E802">
        <v>66</v>
      </c>
      <c r="F802">
        <v>0</v>
      </c>
      <c r="G802">
        <v>0</v>
      </c>
      <c r="H802">
        <v>1182</v>
      </c>
      <c r="I802">
        <v>10</v>
      </c>
      <c r="J802">
        <v>0</v>
      </c>
    </row>
    <row r="803" spans="1:10" x14ac:dyDescent="0.25">
      <c r="A803">
        <v>34283</v>
      </c>
      <c r="B803" t="s">
        <v>3215</v>
      </c>
      <c r="C803" t="s">
        <v>3226</v>
      </c>
      <c r="D803" t="s">
        <v>701</v>
      </c>
      <c r="E803">
        <v>66</v>
      </c>
      <c r="F803">
        <v>0</v>
      </c>
      <c r="G803">
        <v>0</v>
      </c>
      <c r="H803">
        <v>0</v>
      </c>
      <c r="J803">
        <v>0</v>
      </c>
    </row>
    <row r="804" spans="1:10" x14ac:dyDescent="0.25">
      <c r="A804">
        <v>22415</v>
      </c>
      <c r="B804" t="s">
        <v>3212</v>
      </c>
      <c r="C804" t="s">
        <v>3224</v>
      </c>
      <c r="D804" t="s">
        <v>2817</v>
      </c>
      <c r="E804">
        <v>66</v>
      </c>
      <c r="F804">
        <v>0</v>
      </c>
      <c r="G804">
        <v>0</v>
      </c>
      <c r="H804">
        <v>330</v>
      </c>
      <c r="I804">
        <v>289</v>
      </c>
      <c r="J804">
        <v>0</v>
      </c>
    </row>
    <row r="805" spans="1:10" x14ac:dyDescent="0.25">
      <c r="A805">
        <v>35457</v>
      </c>
      <c r="B805" t="s">
        <v>3217</v>
      </c>
      <c r="C805" t="s">
        <v>3217</v>
      </c>
      <c r="D805" t="s">
        <v>867</v>
      </c>
      <c r="E805">
        <v>65</v>
      </c>
      <c r="F805">
        <v>0</v>
      </c>
      <c r="G805">
        <v>0</v>
      </c>
      <c r="H805">
        <v>454</v>
      </c>
      <c r="J805">
        <v>0</v>
      </c>
    </row>
    <row r="806" spans="1:10" x14ac:dyDescent="0.25">
      <c r="A806">
        <v>23522</v>
      </c>
      <c r="B806" t="s">
        <v>3212</v>
      </c>
      <c r="C806" t="s">
        <v>3220</v>
      </c>
      <c r="D806" t="s">
        <v>260</v>
      </c>
      <c r="E806">
        <v>65</v>
      </c>
      <c r="F806">
        <v>0</v>
      </c>
      <c r="G806">
        <v>0</v>
      </c>
      <c r="H806">
        <v>33</v>
      </c>
      <c r="J806">
        <v>0</v>
      </c>
    </row>
    <row r="807" spans="1:10" x14ac:dyDescent="0.25">
      <c r="A807">
        <v>32135</v>
      </c>
      <c r="B807" t="s">
        <v>3215</v>
      </c>
      <c r="C807" t="s">
        <v>3223</v>
      </c>
      <c r="D807" t="s">
        <v>566</v>
      </c>
      <c r="E807">
        <v>65</v>
      </c>
      <c r="F807">
        <v>0</v>
      </c>
      <c r="G807">
        <v>0</v>
      </c>
      <c r="H807">
        <v>127</v>
      </c>
      <c r="I807">
        <v>6</v>
      </c>
      <c r="J807">
        <v>0</v>
      </c>
    </row>
    <row r="808" spans="1:10" x14ac:dyDescent="0.25">
      <c r="A808">
        <v>71221</v>
      </c>
      <c r="B808" t="s">
        <v>3218</v>
      </c>
      <c r="C808" t="s">
        <v>3218</v>
      </c>
      <c r="D808" t="s">
        <v>1430</v>
      </c>
      <c r="E808">
        <v>65</v>
      </c>
      <c r="F808">
        <v>0</v>
      </c>
      <c r="G808">
        <v>0</v>
      </c>
      <c r="H808">
        <v>1972</v>
      </c>
      <c r="I808">
        <v>6</v>
      </c>
      <c r="J808">
        <v>0</v>
      </c>
    </row>
    <row r="809" spans="1:10" x14ac:dyDescent="0.25">
      <c r="A809">
        <v>62269</v>
      </c>
      <c r="B809" t="s">
        <v>3213</v>
      </c>
      <c r="C809" t="s">
        <v>1267</v>
      </c>
      <c r="D809" t="s">
        <v>2992</v>
      </c>
      <c r="E809">
        <v>65</v>
      </c>
      <c r="F809">
        <v>0</v>
      </c>
      <c r="G809">
        <v>0</v>
      </c>
      <c r="H809">
        <v>1175</v>
      </c>
      <c r="I809">
        <v>4</v>
      </c>
      <c r="J809">
        <v>0</v>
      </c>
    </row>
    <row r="810" spans="1:10" x14ac:dyDescent="0.25">
      <c r="A810">
        <v>21344</v>
      </c>
      <c r="B810" t="s">
        <v>3212</v>
      </c>
      <c r="C810" t="s">
        <v>36</v>
      </c>
      <c r="D810" t="s">
        <v>56</v>
      </c>
      <c r="E810">
        <v>64</v>
      </c>
      <c r="F810">
        <v>0</v>
      </c>
      <c r="G810">
        <v>0</v>
      </c>
      <c r="H810">
        <v>617</v>
      </c>
      <c r="I810">
        <v>6</v>
      </c>
      <c r="J810">
        <v>0</v>
      </c>
    </row>
    <row r="811" spans="1:10" x14ac:dyDescent="0.25">
      <c r="A811">
        <v>36137</v>
      </c>
      <c r="B811" t="s">
        <v>3215</v>
      </c>
      <c r="C811" t="s">
        <v>2906</v>
      </c>
      <c r="D811" t="s">
        <v>896</v>
      </c>
      <c r="E811">
        <v>64</v>
      </c>
      <c r="F811">
        <v>0</v>
      </c>
      <c r="G811">
        <v>0</v>
      </c>
      <c r="H811">
        <v>673</v>
      </c>
      <c r="I811">
        <v>8</v>
      </c>
      <c r="J811">
        <v>0</v>
      </c>
    </row>
    <row r="812" spans="1:10" x14ac:dyDescent="0.25">
      <c r="A812">
        <v>34166</v>
      </c>
      <c r="B812" t="s">
        <v>3215</v>
      </c>
      <c r="C812" t="s">
        <v>3226</v>
      </c>
      <c r="D812" t="s">
        <v>654</v>
      </c>
      <c r="E812">
        <v>64</v>
      </c>
      <c r="F812">
        <v>0</v>
      </c>
      <c r="G812">
        <v>0</v>
      </c>
      <c r="H812">
        <v>448</v>
      </c>
      <c r="I812">
        <v>11</v>
      </c>
      <c r="J812">
        <v>0</v>
      </c>
    </row>
    <row r="813" spans="1:10" x14ac:dyDescent="0.25">
      <c r="A813">
        <v>22431</v>
      </c>
      <c r="B813" t="s">
        <v>3212</v>
      </c>
      <c r="C813" t="s">
        <v>3224</v>
      </c>
      <c r="D813" t="s">
        <v>111</v>
      </c>
      <c r="E813">
        <v>64</v>
      </c>
      <c r="F813">
        <v>0</v>
      </c>
      <c r="G813">
        <v>0</v>
      </c>
      <c r="H813">
        <v>2410</v>
      </c>
      <c r="I813">
        <v>112</v>
      </c>
      <c r="J813">
        <v>0</v>
      </c>
    </row>
    <row r="814" spans="1:10" x14ac:dyDescent="0.25">
      <c r="A814">
        <v>26276</v>
      </c>
      <c r="B814" t="s">
        <v>3212</v>
      </c>
      <c r="C814" t="s">
        <v>3227</v>
      </c>
      <c r="D814" t="s">
        <v>2872</v>
      </c>
      <c r="E814">
        <v>64</v>
      </c>
      <c r="F814">
        <v>0</v>
      </c>
      <c r="G814">
        <v>0</v>
      </c>
      <c r="H814">
        <v>778</v>
      </c>
      <c r="I814">
        <v>40</v>
      </c>
      <c r="J814">
        <v>0</v>
      </c>
    </row>
    <row r="815" spans="1:10" x14ac:dyDescent="0.25">
      <c r="A815">
        <v>63144</v>
      </c>
      <c r="B815" t="s">
        <v>3213</v>
      </c>
      <c r="C815" t="s">
        <v>1342</v>
      </c>
      <c r="D815" t="s">
        <v>1352</v>
      </c>
      <c r="E815">
        <v>64</v>
      </c>
      <c r="F815">
        <v>0</v>
      </c>
      <c r="G815">
        <v>0</v>
      </c>
      <c r="H815">
        <v>675</v>
      </c>
      <c r="I815">
        <v>5</v>
      </c>
      <c r="J815">
        <v>0</v>
      </c>
    </row>
    <row r="816" spans="1:10" x14ac:dyDescent="0.25">
      <c r="A816">
        <v>25373</v>
      </c>
      <c r="B816" t="s">
        <v>3212</v>
      </c>
      <c r="C816" t="s">
        <v>3229</v>
      </c>
      <c r="D816" t="s">
        <v>414</v>
      </c>
      <c r="E816">
        <v>64</v>
      </c>
      <c r="F816">
        <v>0</v>
      </c>
      <c r="G816">
        <v>0</v>
      </c>
      <c r="H816">
        <v>1817</v>
      </c>
      <c r="I816">
        <v>14</v>
      </c>
      <c r="J816">
        <v>0</v>
      </c>
    </row>
    <row r="817" spans="1:10" x14ac:dyDescent="0.25">
      <c r="A817">
        <v>73211</v>
      </c>
      <c r="B817" t="s">
        <v>3218</v>
      </c>
      <c r="C817" t="s">
        <v>1508</v>
      </c>
      <c r="D817" t="s">
        <v>3026</v>
      </c>
      <c r="E817">
        <v>64</v>
      </c>
      <c r="F817">
        <v>0</v>
      </c>
      <c r="G817">
        <v>0</v>
      </c>
      <c r="H817">
        <v>915</v>
      </c>
      <c r="I817">
        <v>150</v>
      </c>
      <c r="J817">
        <v>0</v>
      </c>
    </row>
    <row r="818" spans="1:10" x14ac:dyDescent="0.25">
      <c r="A818">
        <v>53333</v>
      </c>
      <c r="B818" t="s">
        <v>3216</v>
      </c>
      <c r="C818" t="s">
        <v>1069</v>
      </c>
      <c r="D818" t="s">
        <v>1112</v>
      </c>
      <c r="E818">
        <v>63</v>
      </c>
      <c r="F818">
        <v>0</v>
      </c>
      <c r="G818">
        <v>0</v>
      </c>
      <c r="H818">
        <v>767</v>
      </c>
      <c r="I818">
        <v>14</v>
      </c>
      <c r="J818">
        <v>0</v>
      </c>
    </row>
    <row r="819" spans="1:10" x14ac:dyDescent="0.25">
      <c r="A819">
        <v>34316</v>
      </c>
      <c r="B819" t="s">
        <v>3215</v>
      </c>
      <c r="C819" t="s">
        <v>3226</v>
      </c>
      <c r="D819" t="s">
        <v>706</v>
      </c>
      <c r="E819">
        <v>63</v>
      </c>
      <c r="F819">
        <v>0</v>
      </c>
      <c r="G819">
        <v>0</v>
      </c>
      <c r="H819">
        <v>432</v>
      </c>
      <c r="I819">
        <v>21</v>
      </c>
      <c r="J819">
        <v>0</v>
      </c>
    </row>
    <row r="820" spans="1:10" x14ac:dyDescent="0.25">
      <c r="A820">
        <v>73234</v>
      </c>
      <c r="B820" t="s">
        <v>3218</v>
      </c>
      <c r="C820" t="s">
        <v>1508</v>
      </c>
      <c r="D820" t="s">
        <v>1527</v>
      </c>
      <c r="E820">
        <v>63</v>
      </c>
      <c r="F820">
        <v>0</v>
      </c>
      <c r="G820">
        <v>0</v>
      </c>
      <c r="H820">
        <v>1670</v>
      </c>
      <c r="J820">
        <v>0</v>
      </c>
    </row>
    <row r="821" spans="1:10" x14ac:dyDescent="0.25">
      <c r="A821">
        <v>62224</v>
      </c>
      <c r="B821" t="s">
        <v>3213</v>
      </c>
      <c r="C821" t="s">
        <v>1267</v>
      </c>
      <c r="D821" t="s">
        <v>1280</v>
      </c>
      <c r="E821">
        <v>63</v>
      </c>
      <c r="F821">
        <v>0</v>
      </c>
      <c r="G821">
        <v>0</v>
      </c>
      <c r="H821">
        <v>1476</v>
      </c>
      <c r="I821">
        <v>6</v>
      </c>
      <c r="J821">
        <v>0</v>
      </c>
    </row>
    <row r="822" spans="1:10" x14ac:dyDescent="0.25">
      <c r="A822">
        <v>24359</v>
      </c>
      <c r="B822" t="s">
        <v>3212</v>
      </c>
      <c r="C822" t="s">
        <v>1808</v>
      </c>
      <c r="D822" t="s">
        <v>326</v>
      </c>
      <c r="E822">
        <v>62</v>
      </c>
      <c r="F822">
        <v>0</v>
      </c>
      <c r="G822">
        <v>0</v>
      </c>
      <c r="H822">
        <v>390</v>
      </c>
      <c r="I822">
        <v>19</v>
      </c>
      <c r="J822">
        <v>0</v>
      </c>
    </row>
    <row r="823" spans="1:10" x14ac:dyDescent="0.25">
      <c r="A823">
        <v>72143</v>
      </c>
      <c r="B823" t="s">
        <v>3218</v>
      </c>
      <c r="C823" t="s">
        <v>3230</v>
      </c>
      <c r="D823" t="s">
        <v>1474</v>
      </c>
      <c r="E823">
        <v>62</v>
      </c>
      <c r="F823">
        <v>0</v>
      </c>
      <c r="G823">
        <v>0</v>
      </c>
      <c r="H823">
        <v>2276</v>
      </c>
      <c r="I823">
        <v>55</v>
      </c>
      <c r="J823">
        <v>0</v>
      </c>
    </row>
    <row r="824" spans="1:10" x14ac:dyDescent="0.25">
      <c r="A824">
        <v>22744</v>
      </c>
      <c r="B824" t="s">
        <v>3212</v>
      </c>
      <c r="C824" t="s">
        <v>3224</v>
      </c>
      <c r="D824" t="s">
        <v>170</v>
      </c>
      <c r="E824">
        <v>62</v>
      </c>
      <c r="F824">
        <v>0</v>
      </c>
      <c r="G824">
        <v>0</v>
      </c>
      <c r="H824">
        <v>1022</v>
      </c>
      <c r="I824">
        <v>8</v>
      </c>
      <c r="J824">
        <v>0</v>
      </c>
    </row>
    <row r="825" spans="1:10" x14ac:dyDescent="0.25">
      <c r="A825">
        <v>22771</v>
      </c>
      <c r="B825" t="s">
        <v>3212</v>
      </c>
      <c r="C825" t="s">
        <v>3224</v>
      </c>
      <c r="D825" t="s">
        <v>178</v>
      </c>
      <c r="E825">
        <v>62</v>
      </c>
      <c r="F825">
        <v>0</v>
      </c>
      <c r="G825">
        <v>0</v>
      </c>
      <c r="H825">
        <v>334</v>
      </c>
      <c r="I825">
        <v>20</v>
      </c>
      <c r="J825">
        <v>0</v>
      </c>
    </row>
    <row r="826" spans="1:10" x14ac:dyDescent="0.25">
      <c r="A826">
        <v>73257</v>
      </c>
      <c r="B826" t="s">
        <v>3218</v>
      </c>
      <c r="C826" t="s">
        <v>1508</v>
      </c>
      <c r="D826" t="s">
        <v>1533</v>
      </c>
      <c r="E826">
        <v>62</v>
      </c>
      <c r="F826">
        <v>0</v>
      </c>
      <c r="G826">
        <v>0</v>
      </c>
      <c r="H826">
        <v>231</v>
      </c>
      <c r="J826">
        <v>0</v>
      </c>
    </row>
    <row r="827" spans="1:10" x14ac:dyDescent="0.25">
      <c r="A827">
        <v>36177</v>
      </c>
      <c r="B827" t="s">
        <v>3215</v>
      </c>
      <c r="C827" t="s">
        <v>2906</v>
      </c>
      <c r="D827" t="s">
        <v>906</v>
      </c>
      <c r="E827">
        <v>61</v>
      </c>
      <c r="F827">
        <v>0</v>
      </c>
      <c r="G827">
        <v>0</v>
      </c>
      <c r="H827">
        <v>3509</v>
      </c>
      <c r="I827">
        <v>20</v>
      </c>
      <c r="J827">
        <v>0</v>
      </c>
    </row>
    <row r="828" spans="1:10" x14ac:dyDescent="0.25">
      <c r="A828">
        <v>23635</v>
      </c>
      <c r="B828" t="s">
        <v>3212</v>
      </c>
      <c r="C828" t="s">
        <v>3220</v>
      </c>
      <c r="D828" t="s">
        <v>274</v>
      </c>
      <c r="E828">
        <v>61</v>
      </c>
      <c r="F828">
        <v>0</v>
      </c>
      <c r="G828">
        <v>0</v>
      </c>
      <c r="H828">
        <v>1855</v>
      </c>
      <c r="I828">
        <v>10</v>
      </c>
      <c r="J828">
        <v>0</v>
      </c>
    </row>
    <row r="829" spans="1:10" x14ac:dyDescent="0.25">
      <c r="A829">
        <v>54167</v>
      </c>
      <c r="B829" t="s">
        <v>3216</v>
      </c>
      <c r="C829" t="s">
        <v>6936</v>
      </c>
      <c r="D829" t="s">
        <v>1160</v>
      </c>
      <c r="E829">
        <v>61</v>
      </c>
      <c r="F829">
        <v>0</v>
      </c>
      <c r="G829">
        <v>0</v>
      </c>
      <c r="H829">
        <v>41</v>
      </c>
      <c r="J829">
        <v>0</v>
      </c>
    </row>
    <row r="830" spans="1:10" x14ac:dyDescent="0.25">
      <c r="A830">
        <v>32145</v>
      </c>
      <c r="B830" t="s">
        <v>3215</v>
      </c>
      <c r="C830" t="s">
        <v>3223</v>
      </c>
      <c r="D830" t="s">
        <v>571</v>
      </c>
      <c r="E830">
        <v>61</v>
      </c>
      <c r="F830">
        <v>0</v>
      </c>
      <c r="G830">
        <v>0</v>
      </c>
      <c r="H830">
        <v>669</v>
      </c>
      <c r="I830">
        <v>15</v>
      </c>
      <c r="J830">
        <v>0</v>
      </c>
    </row>
    <row r="831" spans="1:10" x14ac:dyDescent="0.25">
      <c r="A831">
        <v>25171</v>
      </c>
      <c r="B831" t="s">
        <v>3212</v>
      </c>
      <c r="C831" t="s">
        <v>3229</v>
      </c>
      <c r="D831" t="s">
        <v>2857</v>
      </c>
      <c r="E831">
        <v>61</v>
      </c>
      <c r="F831">
        <v>0</v>
      </c>
      <c r="G831">
        <v>0</v>
      </c>
      <c r="H831">
        <v>1132</v>
      </c>
      <c r="I831">
        <v>84</v>
      </c>
      <c r="J831">
        <v>0</v>
      </c>
    </row>
    <row r="832" spans="1:10" x14ac:dyDescent="0.25">
      <c r="A832">
        <v>26224</v>
      </c>
      <c r="B832" t="s">
        <v>3212</v>
      </c>
      <c r="C832" t="s">
        <v>3227</v>
      </c>
      <c r="D832" t="s">
        <v>463</v>
      </c>
      <c r="E832">
        <v>59</v>
      </c>
      <c r="F832">
        <v>0</v>
      </c>
      <c r="G832">
        <v>0</v>
      </c>
      <c r="H832">
        <v>301</v>
      </c>
      <c r="I832">
        <v>4</v>
      </c>
      <c r="J832">
        <v>0</v>
      </c>
    </row>
    <row r="833" spans="1:10" x14ac:dyDescent="0.25">
      <c r="A833">
        <v>61487</v>
      </c>
      <c r="B833" t="s">
        <v>3213</v>
      </c>
      <c r="C833" t="s">
        <v>3039</v>
      </c>
      <c r="D833" t="s">
        <v>1259</v>
      </c>
      <c r="E833">
        <v>59</v>
      </c>
      <c r="F833">
        <v>0</v>
      </c>
      <c r="G833">
        <v>0</v>
      </c>
      <c r="H833">
        <v>365</v>
      </c>
      <c r="J833">
        <v>0</v>
      </c>
    </row>
    <row r="834" spans="1:10" x14ac:dyDescent="0.25">
      <c r="A834">
        <v>52221</v>
      </c>
      <c r="B834" t="s">
        <v>3214</v>
      </c>
      <c r="C834" t="s">
        <v>3221</v>
      </c>
      <c r="D834" t="s">
        <v>1046</v>
      </c>
      <c r="E834">
        <v>59</v>
      </c>
      <c r="F834">
        <v>0</v>
      </c>
      <c r="G834">
        <v>0</v>
      </c>
      <c r="H834">
        <v>288</v>
      </c>
      <c r="I834">
        <v>1</v>
      </c>
      <c r="J834">
        <v>0</v>
      </c>
    </row>
    <row r="835" spans="1:10" x14ac:dyDescent="0.25">
      <c r="A835">
        <v>35263</v>
      </c>
      <c r="B835" t="s">
        <v>3217</v>
      </c>
      <c r="C835" t="s">
        <v>3217</v>
      </c>
      <c r="D835" t="s">
        <v>796</v>
      </c>
      <c r="E835">
        <v>58</v>
      </c>
      <c r="F835">
        <v>0</v>
      </c>
      <c r="G835">
        <v>0</v>
      </c>
      <c r="H835">
        <v>122</v>
      </c>
      <c r="J835">
        <v>0</v>
      </c>
    </row>
    <row r="836" spans="1:10" x14ac:dyDescent="0.25">
      <c r="A836">
        <v>32165</v>
      </c>
      <c r="B836" t="s">
        <v>3215</v>
      </c>
      <c r="C836" t="s">
        <v>3223</v>
      </c>
      <c r="D836" t="s">
        <v>581</v>
      </c>
      <c r="E836">
        <v>58</v>
      </c>
      <c r="F836">
        <v>0</v>
      </c>
      <c r="G836">
        <v>0</v>
      </c>
      <c r="H836">
        <v>492</v>
      </c>
      <c r="J836">
        <v>0</v>
      </c>
    </row>
    <row r="837" spans="1:10" x14ac:dyDescent="0.25">
      <c r="A837">
        <v>22535</v>
      </c>
      <c r="B837" t="s">
        <v>3212</v>
      </c>
      <c r="C837" t="s">
        <v>3224</v>
      </c>
      <c r="D837" t="s">
        <v>132</v>
      </c>
      <c r="E837">
        <v>58</v>
      </c>
      <c r="F837">
        <v>0</v>
      </c>
      <c r="G837">
        <v>0</v>
      </c>
      <c r="H837">
        <v>1642</v>
      </c>
      <c r="I837">
        <v>152</v>
      </c>
      <c r="J837">
        <v>0</v>
      </c>
    </row>
    <row r="838" spans="1:10" x14ac:dyDescent="0.25">
      <c r="A838">
        <v>24451</v>
      </c>
      <c r="B838" t="s">
        <v>3212</v>
      </c>
      <c r="C838" t="s">
        <v>1808</v>
      </c>
      <c r="D838" t="s">
        <v>349</v>
      </c>
      <c r="E838">
        <v>57</v>
      </c>
      <c r="F838">
        <v>0</v>
      </c>
      <c r="G838">
        <v>0</v>
      </c>
      <c r="H838">
        <v>1628</v>
      </c>
      <c r="I838">
        <v>10</v>
      </c>
      <c r="J838">
        <v>0</v>
      </c>
    </row>
    <row r="839" spans="1:10" x14ac:dyDescent="0.25">
      <c r="A839">
        <v>23279</v>
      </c>
      <c r="B839" t="s">
        <v>3212</v>
      </c>
      <c r="C839" t="s">
        <v>3220</v>
      </c>
      <c r="D839" t="s">
        <v>210</v>
      </c>
      <c r="E839">
        <v>57</v>
      </c>
      <c r="F839">
        <v>0</v>
      </c>
      <c r="G839">
        <v>0</v>
      </c>
      <c r="H839">
        <v>247</v>
      </c>
      <c r="I839">
        <v>65</v>
      </c>
      <c r="J839">
        <v>0</v>
      </c>
    </row>
    <row r="840" spans="1:10" x14ac:dyDescent="0.25">
      <c r="A840">
        <v>26244</v>
      </c>
      <c r="B840" t="s">
        <v>3212</v>
      </c>
      <c r="C840" t="s">
        <v>3227</v>
      </c>
      <c r="D840" t="s">
        <v>475</v>
      </c>
      <c r="E840">
        <v>57</v>
      </c>
      <c r="F840">
        <v>0</v>
      </c>
      <c r="G840">
        <v>0</v>
      </c>
      <c r="H840">
        <v>567</v>
      </c>
      <c r="I840">
        <v>5</v>
      </c>
      <c r="J840">
        <v>0</v>
      </c>
    </row>
    <row r="841" spans="1:10" x14ac:dyDescent="0.25">
      <c r="A841">
        <v>73245</v>
      </c>
      <c r="B841" t="s">
        <v>3218</v>
      </c>
      <c r="C841" t="s">
        <v>1508</v>
      </c>
      <c r="D841" t="s">
        <v>1529</v>
      </c>
      <c r="E841">
        <v>57</v>
      </c>
      <c r="F841">
        <v>0</v>
      </c>
      <c r="G841">
        <v>0</v>
      </c>
      <c r="H841">
        <v>786</v>
      </c>
      <c r="J841">
        <v>0</v>
      </c>
    </row>
    <row r="842" spans="1:10" x14ac:dyDescent="0.25">
      <c r="A842">
        <v>53159</v>
      </c>
      <c r="B842" t="s">
        <v>3216</v>
      </c>
      <c r="C842" t="s">
        <v>1069</v>
      </c>
      <c r="D842" t="s">
        <v>1081</v>
      </c>
      <c r="E842">
        <v>56</v>
      </c>
      <c r="F842">
        <v>0</v>
      </c>
      <c r="G842">
        <v>0</v>
      </c>
      <c r="H842">
        <v>17</v>
      </c>
      <c r="J842">
        <v>0</v>
      </c>
    </row>
    <row r="843" spans="1:10" x14ac:dyDescent="0.25">
      <c r="A843">
        <v>23437</v>
      </c>
      <c r="B843" t="s">
        <v>3212</v>
      </c>
      <c r="C843" t="s">
        <v>3220</v>
      </c>
      <c r="D843" t="s">
        <v>241</v>
      </c>
      <c r="E843">
        <v>56</v>
      </c>
      <c r="F843">
        <v>0</v>
      </c>
      <c r="G843">
        <v>0</v>
      </c>
      <c r="H843">
        <v>1116</v>
      </c>
      <c r="I843">
        <v>38</v>
      </c>
      <c r="J843">
        <v>0</v>
      </c>
    </row>
    <row r="844" spans="1:10" x14ac:dyDescent="0.25">
      <c r="A844">
        <v>34374</v>
      </c>
      <c r="B844" t="s">
        <v>3215</v>
      </c>
      <c r="C844" t="s">
        <v>3226</v>
      </c>
      <c r="D844" t="s">
        <v>718</v>
      </c>
      <c r="E844">
        <v>56</v>
      </c>
      <c r="F844">
        <v>0</v>
      </c>
      <c r="G844">
        <v>0</v>
      </c>
      <c r="H844">
        <v>701</v>
      </c>
      <c r="I844">
        <v>10</v>
      </c>
      <c r="J844">
        <v>0</v>
      </c>
    </row>
    <row r="845" spans="1:10" x14ac:dyDescent="0.25">
      <c r="A845">
        <v>34246</v>
      </c>
      <c r="B845" t="s">
        <v>3215</v>
      </c>
      <c r="C845" t="s">
        <v>3226</v>
      </c>
      <c r="D845" t="s">
        <v>679</v>
      </c>
      <c r="E845">
        <v>56</v>
      </c>
      <c r="F845">
        <v>0</v>
      </c>
      <c r="G845">
        <v>0</v>
      </c>
      <c r="H845">
        <v>719</v>
      </c>
      <c r="I845">
        <v>9</v>
      </c>
      <c r="J845">
        <v>0</v>
      </c>
    </row>
    <row r="846" spans="1:10" x14ac:dyDescent="0.25">
      <c r="A846">
        <v>34239</v>
      </c>
      <c r="B846" t="s">
        <v>3215</v>
      </c>
      <c r="C846" t="s">
        <v>3226</v>
      </c>
      <c r="D846" t="s">
        <v>675</v>
      </c>
      <c r="E846">
        <v>56</v>
      </c>
      <c r="F846">
        <v>0</v>
      </c>
      <c r="G846">
        <v>0</v>
      </c>
      <c r="H846">
        <v>346</v>
      </c>
      <c r="I846">
        <v>12</v>
      </c>
      <c r="J846">
        <v>0</v>
      </c>
    </row>
    <row r="847" spans="1:10" x14ac:dyDescent="0.25">
      <c r="A847">
        <v>22595</v>
      </c>
      <c r="B847" t="s">
        <v>3212</v>
      </c>
      <c r="C847" t="s">
        <v>3224</v>
      </c>
      <c r="D847" t="s">
        <v>147</v>
      </c>
      <c r="E847">
        <v>56</v>
      </c>
      <c r="F847">
        <v>0</v>
      </c>
      <c r="G847">
        <v>0</v>
      </c>
      <c r="H847">
        <v>2124</v>
      </c>
      <c r="I847">
        <v>112</v>
      </c>
      <c r="J847">
        <v>0</v>
      </c>
    </row>
    <row r="848" spans="1:10" x14ac:dyDescent="0.25">
      <c r="A848">
        <v>73276</v>
      </c>
      <c r="B848" t="s">
        <v>3218</v>
      </c>
      <c r="C848" t="s">
        <v>1508</v>
      </c>
      <c r="D848" t="s">
        <v>1535</v>
      </c>
      <c r="E848">
        <v>56</v>
      </c>
      <c r="F848">
        <v>0</v>
      </c>
      <c r="G848">
        <v>0</v>
      </c>
      <c r="H848">
        <v>12</v>
      </c>
      <c r="J848">
        <v>0</v>
      </c>
    </row>
    <row r="849" spans="1:10" x14ac:dyDescent="0.25">
      <c r="A849">
        <v>62256</v>
      </c>
      <c r="B849" t="s">
        <v>3213</v>
      </c>
      <c r="C849" t="s">
        <v>1267</v>
      </c>
      <c r="D849" t="s">
        <v>1301</v>
      </c>
      <c r="E849">
        <v>56</v>
      </c>
      <c r="F849">
        <v>0</v>
      </c>
      <c r="G849">
        <v>0</v>
      </c>
      <c r="H849">
        <v>543</v>
      </c>
      <c r="I849">
        <v>6</v>
      </c>
      <c r="J849">
        <v>0</v>
      </c>
    </row>
    <row r="850" spans="1:10" x14ac:dyDescent="0.25">
      <c r="A850">
        <v>55127</v>
      </c>
      <c r="B850" t="s">
        <v>3214</v>
      </c>
      <c r="C850" t="s">
        <v>3222</v>
      </c>
      <c r="D850" t="s">
        <v>1168</v>
      </c>
      <c r="E850">
        <v>54</v>
      </c>
      <c r="F850">
        <v>0</v>
      </c>
      <c r="G850">
        <v>0</v>
      </c>
      <c r="H850">
        <v>353</v>
      </c>
      <c r="I850">
        <v>8</v>
      </c>
      <c r="J850">
        <v>0</v>
      </c>
    </row>
    <row r="851" spans="1:10" x14ac:dyDescent="0.25">
      <c r="A851">
        <v>61479</v>
      </c>
      <c r="B851" t="s">
        <v>3213</v>
      </c>
      <c r="C851" t="s">
        <v>3039</v>
      </c>
      <c r="D851" t="s">
        <v>1254</v>
      </c>
      <c r="E851">
        <v>54</v>
      </c>
      <c r="F851">
        <v>0</v>
      </c>
      <c r="G851">
        <v>0</v>
      </c>
      <c r="H851">
        <v>709</v>
      </c>
      <c r="J851">
        <v>0</v>
      </c>
    </row>
    <row r="852" spans="1:10" x14ac:dyDescent="0.25">
      <c r="A852">
        <v>35421</v>
      </c>
      <c r="B852" t="s">
        <v>3217</v>
      </c>
      <c r="C852" t="s">
        <v>3217</v>
      </c>
      <c r="D852" t="s">
        <v>847</v>
      </c>
      <c r="E852">
        <v>53</v>
      </c>
      <c r="F852">
        <v>0</v>
      </c>
      <c r="G852">
        <v>0</v>
      </c>
      <c r="H852">
        <v>212</v>
      </c>
      <c r="J852">
        <v>0</v>
      </c>
    </row>
    <row r="853" spans="1:10" x14ac:dyDescent="0.25">
      <c r="A853">
        <v>53461</v>
      </c>
      <c r="B853" t="s">
        <v>3216</v>
      </c>
      <c r="C853" t="s">
        <v>1069</v>
      </c>
      <c r="D853" t="s">
        <v>1144</v>
      </c>
      <c r="E853">
        <v>53</v>
      </c>
      <c r="F853">
        <v>0</v>
      </c>
      <c r="G853">
        <v>0</v>
      </c>
      <c r="H853">
        <v>1011</v>
      </c>
      <c r="J853">
        <v>0</v>
      </c>
    </row>
    <row r="854" spans="1:10" x14ac:dyDescent="0.25">
      <c r="A854">
        <v>34274</v>
      </c>
      <c r="B854" t="s">
        <v>3215</v>
      </c>
      <c r="C854" t="s">
        <v>3226</v>
      </c>
      <c r="D854" t="s">
        <v>696</v>
      </c>
      <c r="E854">
        <v>53</v>
      </c>
      <c r="F854">
        <v>0</v>
      </c>
      <c r="G854">
        <v>0</v>
      </c>
      <c r="H854">
        <v>229</v>
      </c>
      <c r="I854">
        <v>5</v>
      </c>
      <c r="J854">
        <v>0</v>
      </c>
    </row>
    <row r="855" spans="1:10" x14ac:dyDescent="0.25">
      <c r="A855">
        <v>26341</v>
      </c>
      <c r="B855" t="s">
        <v>3212</v>
      </c>
      <c r="C855" t="s">
        <v>3227</v>
      </c>
      <c r="D855" t="s">
        <v>2875</v>
      </c>
      <c r="E855">
        <v>53</v>
      </c>
      <c r="F855">
        <v>0</v>
      </c>
      <c r="G855">
        <v>0</v>
      </c>
      <c r="H855">
        <v>945</v>
      </c>
      <c r="J855">
        <v>0</v>
      </c>
    </row>
    <row r="856" spans="1:10" x14ac:dyDescent="0.25">
      <c r="A856">
        <v>26246</v>
      </c>
      <c r="B856" t="s">
        <v>3212</v>
      </c>
      <c r="C856" t="s">
        <v>3227</v>
      </c>
      <c r="D856" t="s">
        <v>476</v>
      </c>
      <c r="E856">
        <v>53</v>
      </c>
      <c r="F856">
        <v>0</v>
      </c>
      <c r="G856">
        <v>0</v>
      </c>
      <c r="H856">
        <v>778</v>
      </c>
      <c r="I856">
        <v>12</v>
      </c>
      <c r="J856">
        <v>0</v>
      </c>
    </row>
    <row r="857" spans="1:10" x14ac:dyDescent="0.25">
      <c r="A857">
        <v>35143</v>
      </c>
      <c r="B857" t="s">
        <v>3217</v>
      </c>
      <c r="C857" t="s">
        <v>3217</v>
      </c>
      <c r="D857" t="s">
        <v>741</v>
      </c>
      <c r="E857">
        <v>52</v>
      </c>
      <c r="F857">
        <v>0</v>
      </c>
      <c r="G857">
        <v>0</v>
      </c>
      <c r="H857">
        <v>1234</v>
      </c>
      <c r="I857">
        <v>5</v>
      </c>
      <c r="J857">
        <v>0</v>
      </c>
    </row>
    <row r="858" spans="1:10" x14ac:dyDescent="0.25">
      <c r="A858">
        <v>34331</v>
      </c>
      <c r="B858" t="s">
        <v>3215</v>
      </c>
      <c r="C858" t="s">
        <v>3226</v>
      </c>
      <c r="D858" t="s">
        <v>709</v>
      </c>
      <c r="E858">
        <v>52</v>
      </c>
      <c r="F858">
        <v>0</v>
      </c>
      <c r="G858">
        <v>0</v>
      </c>
      <c r="H858">
        <v>465</v>
      </c>
      <c r="J858">
        <v>0</v>
      </c>
    </row>
    <row r="859" spans="1:10" x14ac:dyDescent="0.25">
      <c r="A859">
        <v>34243</v>
      </c>
      <c r="B859" t="s">
        <v>3215</v>
      </c>
      <c r="C859" t="s">
        <v>3226</v>
      </c>
      <c r="D859" t="s">
        <v>2104</v>
      </c>
      <c r="E859">
        <v>52</v>
      </c>
      <c r="F859">
        <v>0</v>
      </c>
      <c r="G859">
        <v>0</v>
      </c>
      <c r="H859">
        <v>736</v>
      </c>
      <c r="I859">
        <v>8</v>
      </c>
      <c r="J859">
        <v>0</v>
      </c>
    </row>
    <row r="860" spans="1:10" x14ac:dyDescent="0.25">
      <c r="A860">
        <v>71364</v>
      </c>
      <c r="B860" t="s">
        <v>3218</v>
      </c>
      <c r="C860" t="s">
        <v>3218</v>
      </c>
      <c r="D860" t="s">
        <v>3020</v>
      </c>
      <c r="E860">
        <v>52</v>
      </c>
      <c r="F860">
        <v>0</v>
      </c>
      <c r="G860">
        <v>0</v>
      </c>
      <c r="H860">
        <v>1439</v>
      </c>
      <c r="I860">
        <v>6</v>
      </c>
      <c r="J860">
        <v>0</v>
      </c>
    </row>
    <row r="861" spans="1:10" x14ac:dyDescent="0.25">
      <c r="A861">
        <v>61431</v>
      </c>
      <c r="B861" t="s">
        <v>3213</v>
      </c>
      <c r="C861" t="s">
        <v>3039</v>
      </c>
      <c r="D861" t="s">
        <v>1225</v>
      </c>
      <c r="E861">
        <v>52</v>
      </c>
      <c r="F861">
        <v>0</v>
      </c>
      <c r="G861">
        <v>0</v>
      </c>
      <c r="H861">
        <v>21</v>
      </c>
      <c r="J861">
        <v>0</v>
      </c>
    </row>
    <row r="862" spans="1:10" x14ac:dyDescent="0.25">
      <c r="A862">
        <v>63124</v>
      </c>
      <c r="B862" t="s">
        <v>3213</v>
      </c>
      <c r="C862" t="s">
        <v>1342</v>
      </c>
      <c r="D862" t="s">
        <v>1346</v>
      </c>
      <c r="E862">
        <v>51</v>
      </c>
      <c r="F862">
        <v>0</v>
      </c>
      <c r="G862">
        <v>0</v>
      </c>
      <c r="H862">
        <v>1054</v>
      </c>
      <c r="I862">
        <v>7</v>
      </c>
      <c r="J862">
        <v>0</v>
      </c>
    </row>
    <row r="863" spans="1:10" x14ac:dyDescent="0.25">
      <c r="A863">
        <v>63261</v>
      </c>
      <c r="B863" t="s">
        <v>3213</v>
      </c>
      <c r="C863" t="s">
        <v>1342</v>
      </c>
      <c r="D863" t="s">
        <v>1383</v>
      </c>
      <c r="E863">
        <v>51</v>
      </c>
      <c r="F863">
        <v>0</v>
      </c>
      <c r="G863">
        <v>0</v>
      </c>
      <c r="H863">
        <v>341</v>
      </c>
      <c r="I863">
        <v>33</v>
      </c>
      <c r="J863">
        <v>0</v>
      </c>
    </row>
    <row r="864" spans="1:10" x14ac:dyDescent="0.25">
      <c r="A864">
        <v>52287</v>
      </c>
      <c r="B864" t="s">
        <v>3214</v>
      </c>
      <c r="C864" t="s">
        <v>3221</v>
      </c>
      <c r="D864" t="s">
        <v>1066</v>
      </c>
      <c r="E864">
        <v>51</v>
      </c>
      <c r="F864">
        <v>0</v>
      </c>
      <c r="G864">
        <v>0</v>
      </c>
      <c r="H864">
        <v>0</v>
      </c>
      <c r="J864">
        <v>0</v>
      </c>
    </row>
    <row r="865" spans="1:10" x14ac:dyDescent="0.25">
      <c r="A865">
        <v>53475</v>
      </c>
      <c r="B865" t="s">
        <v>3216</v>
      </c>
      <c r="C865" t="s">
        <v>1069</v>
      </c>
      <c r="D865" t="s">
        <v>1151</v>
      </c>
      <c r="E865">
        <v>50</v>
      </c>
      <c r="F865">
        <v>0</v>
      </c>
      <c r="G865">
        <v>0</v>
      </c>
      <c r="H865">
        <v>194</v>
      </c>
      <c r="J865">
        <v>0</v>
      </c>
    </row>
    <row r="866" spans="1:10" x14ac:dyDescent="0.25">
      <c r="A866">
        <v>23451</v>
      </c>
      <c r="B866" t="s">
        <v>3212</v>
      </c>
      <c r="C866" t="s">
        <v>3220</v>
      </c>
      <c r="D866" t="s">
        <v>249</v>
      </c>
      <c r="E866">
        <v>50</v>
      </c>
      <c r="F866">
        <v>0</v>
      </c>
      <c r="G866">
        <v>0</v>
      </c>
      <c r="H866">
        <v>1633</v>
      </c>
      <c r="I866">
        <v>4</v>
      </c>
      <c r="J866">
        <v>0</v>
      </c>
    </row>
    <row r="867" spans="1:10" x14ac:dyDescent="0.25">
      <c r="A867">
        <v>37359</v>
      </c>
      <c r="B867" t="s">
        <v>3215</v>
      </c>
      <c r="C867" t="s">
        <v>3228</v>
      </c>
      <c r="D867" t="s">
        <v>946</v>
      </c>
      <c r="E867">
        <v>50</v>
      </c>
      <c r="F867">
        <v>0</v>
      </c>
      <c r="G867">
        <v>0</v>
      </c>
      <c r="H867">
        <v>1</v>
      </c>
      <c r="J867">
        <v>0</v>
      </c>
    </row>
    <row r="868" spans="1:10" x14ac:dyDescent="0.25">
      <c r="A868">
        <v>26226</v>
      </c>
      <c r="B868" t="s">
        <v>3212</v>
      </c>
      <c r="C868" t="s">
        <v>3227</v>
      </c>
      <c r="D868" t="s">
        <v>464</v>
      </c>
      <c r="E868">
        <v>50</v>
      </c>
      <c r="F868">
        <v>0</v>
      </c>
      <c r="G868">
        <v>0</v>
      </c>
      <c r="H868">
        <v>253</v>
      </c>
      <c r="I868">
        <v>7</v>
      </c>
      <c r="J868">
        <v>0</v>
      </c>
    </row>
    <row r="869" spans="1:10" x14ac:dyDescent="0.25">
      <c r="A869">
        <v>26123</v>
      </c>
      <c r="B869" t="s">
        <v>3212</v>
      </c>
      <c r="C869" t="s">
        <v>3227</v>
      </c>
      <c r="D869" t="s">
        <v>440</v>
      </c>
      <c r="E869">
        <v>50</v>
      </c>
      <c r="F869">
        <v>0</v>
      </c>
      <c r="G869">
        <v>0</v>
      </c>
      <c r="H869">
        <v>3439</v>
      </c>
      <c r="I869">
        <v>386</v>
      </c>
      <c r="J869">
        <v>0</v>
      </c>
    </row>
    <row r="870" spans="1:10" x14ac:dyDescent="0.25">
      <c r="A870">
        <v>63131</v>
      </c>
      <c r="B870" t="s">
        <v>3213</v>
      </c>
      <c r="C870" t="s">
        <v>1342</v>
      </c>
      <c r="D870" t="s">
        <v>1348</v>
      </c>
      <c r="E870">
        <v>50</v>
      </c>
      <c r="F870">
        <v>0</v>
      </c>
      <c r="G870">
        <v>0</v>
      </c>
      <c r="H870">
        <v>605</v>
      </c>
      <c r="I870">
        <v>3</v>
      </c>
      <c r="J870">
        <v>0</v>
      </c>
    </row>
    <row r="871" spans="1:10" x14ac:dyDescent="0.25">
      <c r="A871">
        <v>25251</v>
      </c>
      <c r="B871" t="s">
        <v>3212</v>
      </c>
      <c r="C871" t="s">
        <v>3229</v>
      </c>
      <c r="D871" t="s">
        <v>379</v>
      </c>
      <c r="E871">
        <v>50</v>
      </c>
      <c r="F871">
        <v>0</v>
      </c>
      <c r="G871">
        <v>0</v>
      </c>
      <c r="H871">
        <v>1657</v>
      </c>
      <c r="I871">
        <v>210</v>
      </c>
      <c r="J871">
        <v>0</v>
      </c>
    </row>
    <row r="872" spans="1:10" x14ac:dyDescent="0.25">
      <c r="A872">
        <v>55137</v>
      </c>
      <c r="B872" t="s">
        <v>3214</v>
      </c>
      <c r="C872" t="s">
        <v>3222</v>
      </c>
      <c r="D872" t="s">
        <v>1171</v>
      </c>
      <c r="E872">
        <v>50</v>
      </c>
      <c r="F872">
        <v>0</v>
      </c>
      <c r="G872">
        <v>0</v>
      </c>
      <c r="H872">
        <v>845</v>
      </c>
      <c r="I872">
        <v>15</v>
      </c>
      <c r="J872">
        <v>0</v>
      </c>
    </row>
    <row r="873" spans="1:10" x14ac:dyDescent="0.25">
      <c r="A873">
        <v>51131</v>
      </c>
      <c r="B873" t="s">
        <v>3214</v>
      </c>
      <c r="C873" t="s">
        <v>3045</v>
      </c>
      <c r="D873" t="s">
        <v>2929</v>
      </c>
      <c r="E873">
        <v>50</v>
      </c>
      <c r="F873">
        <v>0</v>
      </c>
      <c r="G873">
        <v>0</v>
      </c>
      <c r="H873">
        <v>4516</v>
      </c>
      <c r="I873">
        <v>264</v>
      </c>
      <c r="J873">
        <v>0</v>
      </c>
    </row>
    <row r="874" spans="1:10" x14ac:dyDescent="0.25">
      <c r="A874">
        <v>33149</v>
      </c>
      <c r="B874" t="s">
        <v>3215</v>
      </c>
      <c r="C874" t="s">
        <v>597</v>
      </c>
      <c r="D874" t="s">
        <v>616</v>
      </c>
      <c r="E874">
        <v>50</v>
      </c>
      <c r="F874">
        <v>0</v>
      </c>
      <c r="G874">
        <v>0</v>
      </c>
      <c r="H874">
        <v>379</v>
      </c>
      <c r="I874">
        <v>30</v>
      </c>
      <c r="J874">
        <v>0</v>
      </c>
    </row>
    <row r="875" spans="1:10" x14ac:dyDescent="0.25">
      <c r="A875">
        <v>34271</v>
      </c>
      <c r="B875" t="s">
        <v>3215</v>
      </c>
      <c r="C875" t="s">
        <v>3226</v>
      </c>
      <c r="D875" t="s">
        <v>694</v>
      </c>
      <c r="E875">
        <v>49</v>
      </c>
      <c r="F875">
        <v>0</v>
      </c>
      <c r="G875">
        <v>0</v>
      </c>
      <c r="H875">
        <v>529</v>
      </c>
      <c r="J875">
        <v>0</v>
      </c>
    </row>
    <row r="876" spans="1:10" x14ac:dyDescent="0.25">
      <c r="A876">
        <v>34236</v>
      </c>
      <c r="B876" t="s">
        <v>3215</v>
      </c>
      <c r="C876" t="s">
        <v>3226</v>
      </c>
      <c r="D876" t="s">
        <v>673</v>
      </c>
      <c r="E876">
        <v>49</v>
      </c>
      <c r="F876">
        <v>0</v>
      </c>
      <c r="G876">
        <v>0</v>
      </c>
      <c r="H876">
        <v>374</v>
      </c>
      <c r="I876">
        <v>22</v>
      </c>
      <c r="J876">
        <v>0</v>
      </c>
    </row>
    <row r="877" spans="1:10" x14ac:dyDescent="0.25">
      <c r="A877">
        <v>54135</v>
      </c>
      <c r="B877" t="s">
        <v>3216</v>
      </c>
      <c r="C877" t="s">
        <v>6936</v>
      </c>
      <c r="D877" t="s">
        <v>1156</v>
      </c>
      <c r="E877">
        <v>49</v>
      </c>
      <c r="F877">
        <v>0</v>
      </c>
      <c r="G877">
        <v>0</v>
      </c>
      <c r="H877">
        <v>79</v>
      </c>
      <c r="J877">
        <v>0</v>
      </c>
    </row>
    <row r="878" spans="1:10" x14ac:dyDescent="0.25">
      <c r="A878">
        <v>73280</v>
      </c>
      <c r="B878" t="s">
        <v>3218</v>
      </c>
      <c r="C878" t="s">
        <v>1508</v>
      </c>
      <c r="D878" t="s">
        <v>1537</v>
      </c>
      <c r="E878">
        <v>49</v>
      </c>
      <c r="F878">
        <v>0</v>
      </c>
      <c r="G878">
        <v>0</v>
      </c>
      <c r="H878">
        <v>836</v>
      </c>
      <c r="J878">
        <v>0</v>
      </c>
    </row>
    <row r="879" spans="1:10" x14ac:dyDescent="0.25">
      <c r="A879">
        <v>61483</v>
      </c>
      <c r="B879" t="s">
        <v>3213</v>
      </c>
      <c r="C879" t="s">
        <v>3039</v>
      </c>
      <c r="D879" t="s">
        <v>1256</v>
      </c>
      <c r="E879">
        <v>49</v>
      </c>
      <c r="F879">
        <v>0</v>
      </c>
      <c r="G879">
        <v>0</v>
      </c>
      <c r="H879">
        <v>672</v>
      </c>
      <c r="I879">
        <v>3</v>
      </c>
      <c r="J879">
        <v>0</v>
      </c>
    </row>
    <row r="880" spans="1:10" x14ac:dyDescent="0.25">
      <c r="A880">
        <v>51335</v>
      </c>
      <c r="B880" t="s">
        <v>3214</v>
      </c>
      <c r="C880" t="s">
        <v>3045</v>
      </c>
      <c r="D880" t="s">
        <v>1017</v>
      </c>
      <c r="E880">
        <v>49</v>
      </c>
      <c r="F880">
        <v>0</v>
      </c>
      <c r="G880">
        <v>0</v>
      </c>
      <c r="H880">
        <v>1</v>
      </c>
      <c r="J880">
        <v>0</v>
      </c>
    </row>
    <row r="881" spans="1:10" x14ac:dyDescent="0.25">
      <c r="A881">
        <v>35322</v>
      </c>
      <c r="B881" t="s">
        <v>3217</v>
      </c>
      <c r="C881" t="s">
        <v>3217</v>
      </c>
      <c r="D881" t="s">
        <v>812</v>
      </c>
      <c r="E881">
        <v>48</v>
      </c>
      <c r="F881">
        <v>0</v>
      </c>
      <c r="G881">
        <v>0</v>
      </c>
      <c r="H881">
        <v>1779</v>
      </c>
      <c r="J881">
        <v>0</v>
      </c>
    </row>
    <row r="882" spans="1:10" x14ac:dyDescent="0.25">
      <c r="A882">
        <v>24283</v>
      </c>
      <c r="B882" t="s">
        <v>3212</v>
      </c>
      <c r="C882" t="s">
        <v>1808</v>
      </c>
      <c r="D882" t="s">
        <v>300</v>
      </c>
      <c r="E882">
        <v>48</v>
      </c>
      <c r="F882">
        <v>0</v>
      </c>
      <c r="G882">
        <v>0</v>
      </c>
      <c r="H882">
        <v>1866</v>
      </c>
      <c r="I882">
        <v>28</v>
      </c>
      <c r="J882">
        <v>0</v>
      </c>
    </row>
    <row r="883" spans="1:10" x14ac:dyDescent="0.25">
      <c r="A883">
        <v>36154</v>
      </c>
      <c r="B883" t="s">
        <v>3215</v>
      </c>
      <c r="C883" t="s">
        <v>2906</v>
      </c>
      <c r="D883" t="s">
        <v>901</v>
      </c>
      <c r="E883">
        <v>48</v>
      </c>
      <c r="F883">
        <v>0</v>
      </c>
      <c r="G883">
        <v>0</v>
      </c>
      <c r="H883">
        <v>139</v>
      </c>
      <c r="I883">
        <v>3</v>
      </c>
      <c r="J883">
        <v>0</v>
      </c>
    </row>
    <row r="884" spans="1:10" x14ac:dyDescent="0.25">
      <c r="A884">
        <v>37251</v>
      </c>
      <c r="B884" t="s">
        <v>3215</v>
      </c>
      <c r="C884" t="s">
        <v>3228</v>
      </c>
      <c r="D884" t="s">
        <v>2908</v>
      </c>
      <c r="E884">
        <v>48</v>
      </c>
      <c r="F884">
        <v>0</v>
      </c>
      <c r="G884">
        <v>0</v>
      </c>
      <c r="H884">
        <v>570</v>
      </c>
      <c r="I884">
        <v>6</v>
      </c>
      <c r="J884">
        <v>0</v>
      </c>
    </row>
    <row r="885" spans="1:10" x14ac:dyDescent="0.25">
      <c r="A885">
        <v>25323</v>
      </c>
      <c r="B885" t="s">
        <v>3212</v>
      </c>
      <c r="C885" t="s">
        <v>3229</v>
      </c>
      <c r="D885" t="s">
        <v>389</v>
      </c>
      <c r="E885">
        <v>48</v>
      </c>
      <c r="F885">
        <v>0</v>
      </c>
      <c r="G885">
        <v>0</v>
      </c>
      <c r="H885">
        <v>1233</v>
      </c>
      <c r="I885">
        <v>38</v>
      </c>
      <c r="J885">
        <v>0</v>
      </c>
    </row>
    <row r="886" spans="1:10" x14ac:dyDescent="0.25">
      <c r="A886">
        <v>55177</v>
      </c>
      <c r="B886" t="s">
        <v>3214</v>
      </c>
      <c r="C886" t="s">
        <v>3222</v>
      </c>
      <c r="D886" t="s">
        <v>1183</v>
      </c>
      <c r="E886">
        <v>48</v>
      </c>
      <c r="F886">
        <v>0</v>
      </c>
      <c r="G886">
        <v>0</v>
      </c>
      <c r="H886">
        <v>460</v>
      </c>
      <c r="J886">
        <v>0</v>
      </c>
    </row>
    <row r="887" spans="1:10" x14ac:dyDescent="0.25">
      <c r="A887">
        <v>24291</v>
      </c>
      <c r="B887" t="s">
        <v>3212</v>
      </c>
      <c r="C887" t="s">
        <v>1808</v>
      </c>
      <c r="D887" t="s">
        <v>301</v>
      </c>
      <c r="E887">
        <v>47</v>
      </c>
      <c r="F887">
        <v>0</v>
      </c>
      <c r="G887">
        <v>0</v>
      </c>
      <c r="H887">
        <v>1504</v>
      </c>
      <c r="I887">
        <v>35</v>
      </c>
      <c r="J887">
        <v>0</v>
      </c>
    </row>
    <row r="888" spans="1:10" x14ac:dyDescent="0.25">
      <c r="A888">
        <v>53221</v>
      </c>
      <c r="B888" t="s">
        <v>3216</v>
      </c>
      <c r="C888" t="s">
        <v>1069</v>
      </c>
      <c r="D888" t="s">
        <v>1090</v>
      </c>
      <c r="E888">
        <v>47</v>
      </c>
      <c r="F888">
        <v>0</v>
      </c>
      <c r="G888">
        <v>0</v>
      </c>
      <c r="H888">
        <v>439</v>
      </c>
      <c r="I888">
        <v>4</v>
      </c>
      <c r="J888">
        <v>0</v>
      </c>
    </row>
    <row r="889" spans="1:10" x14ac:dyDescent="0.25">
      <c r="A889">
        <v>37339</v>
      </c>
      <c r="B889" t="s">
        <v>3215</v>
      </c>
      <c r="C889" t="s">
        <v>3228</v>
      </c>
      <c r="D889" t="s">
        <v>933</v>
      </c>
      <c r="E889">
        <v>47</v>
      </c>
      <c r="F889">
        <v>0</v>
      </c>
      <c r="G889">
        <v>0</v>
      </c>
      <c r="H889">
        <v>2295</v>
      </c>
      <c r="J889">
        <v>0</v>
      </c>
    </row>
    <row r="890" spans="1:10" x14ac:dyDescent="0.25">
      <c r="A890">
        <v>25349</v>
      </c>
      <c r="B890" t="s">
        <v>3212</v>
      </c>
      <c r="C890" t="s">
        <v>3229</v>
      </c>
      <c r="D890" t="s">
        <v>402</v>
      </c>
      <c r="E890">
        <v>47</v>
      </c>
      <c r="F890">
        <v>0</v>
      </c>
      <c r="G890">
        <v>0</v>
      </c>
      <c r="H890">
        <v>554</v>
      </c>
      <c r="I890">
        <v>17</v>
      </c>
      <c r="J890">
        <v>0</v>
      </c>
    </row>
    <row r="891" spans="1:10" x14ac:dyDescent="0.25">
      <c r="A891">
        <v>24434</v>
      </c>
      <c r="B891" t="s">
        <v>3212</v>
      </c>
      <c r="C891" t="s">
        <v>1808</v>
      </c>
      <c r="D891" t="s">
        <v>343</v>
      </c>
      <c r="E891">
        <v>46</v>
      </c>
      <c r="F891">
        <v>0</v>
      </c>
      <c r="G891">
        <v>0</v>
      </c>
      <c r="H891">
        <v>1096</v>
      </c>
      <c r="I891">
        <v>5</v>
      </c>
      <c r="J891">
        <v>0</v>
      </c>
    </row>
    <row r="892" spans="1:10" x14ac:dyDescent="0.25">
      <c r="A892">
        <v>23316</v>
      </c>
      <c r="B892" t="s">
        <v>3212</v>
      </c>
      <c r="C892" t="s">
        <v>3220</v>
      </c>
      <c r="D892" t="s">
        <v>2831</v>
      </c>
      <c r="E892">
        <v>46</v>
      </c>
      <c r="F892">
        <v>0</v>
      </c>
      <c r="G892">
        <v>0</v>
      </c>
      <c r="H892">
        <v>111</v>
      </c>
      <c r="I892">
        <v>4</v>
      </c>
      <c r="J892">
        <v>0</v>
      </c>
    </row>
    <row r="893" spans="1:10" x14ac:dyDescent="0.25">
      <c r="A893">
        <v>71236</v>
      </c>
      <c r="B893" t="s">
        <v>3218</v>
      </c>
      <c r="C893" t="s">
        <v>3218</v>
      </c>
      <c r="D893" t="s">
        <v>1433</v>
      </c>
      <c r="E893">
        <v>46</v>
      </c>
      <c r="F893">
        <v>0</v>
      </c>
      <c r="G893">
        <v>0</v>
      </c>
      <c r="H893">
        <v>1204</v>
      </c>
      <c r="I893">
        <v>10</v>
      </c>
      <c r="J893">
        <v>0</v>
      </c>
    </row>
    <row r="894" spans="1:10" x14ac:dyDescent="0.25">
      <c r="A894">
        <v>26337</v>
      </c>
      <c r="B894" t="s">
        <v>3212</v>
      </c>
      <c r="C894" t="s">
        <v>3227</v>
      </c>
      <c r="D894" t="s">
        <v>519</v>
      </c>
      <c r="E894">
        <v>46</v>
      </c>
      <c r="F894">
        <v>0</v>
      </c>
      <c r="G894">
        <v>0</v>
      </c>
      <c r="H894">
        <v>154</v>
      </c>
      <c r="I894">
        <v>12</v>
      </c>
      <c r="J894">
        <v>0</v>
      </c>
    </row>
    <row r="895" spans="1:10" x14ac:dyDescent="0.25">
      <c r="A895">
        <v>26384</v>
      </c>
      <c r="B895" t="s">
        <v>3212</v>
      </c>
      <c r="C895" t="s">
        <v>3227</v>
      </c>
      <c r="D895" t="s">
        <v>533</v>
      </c>
      <c r="E895">
        <v>46</v>
      </c>
      <c r="F895">
        <v>0</v>
      </c>
      <c r="G895">
        <v>0</v>
      </c>
      <c r="H895">
        <v>1413</v>
      </c>
      <c r="I895">
        <v>12</v>
      </c>
      <c r="J895">
        <v>0</v>
      </c>
    </row>
    <row r="896" spans="1:10" x14ac:dyDescent="0.25">
      <c r="A896">
        <v>63244</v>
      </c>
      <c r="B896" t="s">
        <v>3213</v>
      </c>
      <c r="C896" t="s">
        <v>1342</v>
      </c>
      <c r="D896" t="s">
        <v>1378</v>
      </c>
      <c r="E896">
        <v>46</v>
      </c>
      <c r="F896">
        <v>0</v>
      </c>
      <c r="G896">
        <v>0</v>
      </c>
      <c r="H896">
        <v>178</v>
      </c>
      <c r="I896">
        <v>7</v>
      </c>
      <c r="J896">
        <v>0</v>
      </c>
    </row>
    <row r="897" spans="1:10" x14ac:dyDescent="0.25">
      <c r="A897">
        <v>53131</v>
      </c>
      <c r="B897" t="s">
        <v>3216</v>
      </c>
      <c r="C897" t="s">
        <v>1069</v>
      </c>
      <c r="D897" t="s">
        <v>1074</v>
      </c>
      <c r="E897">
        <v>45</v>
      </c>
      <c r="F897">
        <v>0</v>
      </c>
      <c r="G897">
        <v>0</v>
      </c>
      <c r="H897">
        <v>1</v>
      </c>
      <c r="J897">
        <v>0</v>
      </c>
    </row>
    <row r="898" spans="1:10" x14ac:dyDescent="0.25">
      <c r="A898">
        <v>26253</v>
      </c>
      <c r="B898" t="s">
        <v>3212</v>
      </c>
      <c r="C898" t="s">
        <v>3227</v>
      </c>
      <c r="D898" t="s">
        <v>480</v>
      </c>
      <c r="E898">
        <v>45</v>
      </c>
      <c r="F898">
        <v>0</v>
      </c>
      <c r="G898">
        <v>0</v>
      </c>
      <c r="H898">
        <v>518</v>
      </c>
      <c r="I898">
        <v>44</v>
      </c>
      <c r="J898">
        <v>0</v>
      </c>
    </row>
    <row r="899" spans="1:10" x14ac:dyDescent="0.25">
      <c r="A899">
        <v>73256</v>
      </c>
      <c r="B899" t="s">
        <v>3218</v>
      </c>
      <c r="C899" t="s">
        <v>1508</v>
      </c>
      <c r="D899" t="s">
        <v>1532</v>
      </c>
      <c r="E899">
        <v>45</v>
      </c>
      <c r="F899">
        <v>0</v>
      </c>
      <c r="G899">
        <v>0</v>
      </c>
      <c r="H899">
        <v>213</v>
      </c>
      <c r="J899">
        <v>0</v>
      </c>
    </row>
    <row r="900" spans="1:10" x14ac:dyDescent="0.25">
      <c r="A900">
        <v>23365</v>
      </c>
      <c r="B900" t="s">
        <v>3212</v>
      </c>
      <c r="C900" t="s">
        <v>3220</v>
      </c>
      <c r="D900" t="s">
        <v>2834</v>
      </c>
      <c r="E900">
        <v>44</v>
      </c>
      <c r="F900">
        <v>0</v>
      </c>
      <c r="G900">
        <v>0</v>
      </c>
      <c r="H900">
        <v>12</v>
      </c>
      <c r="J900">
        <v>0</v>
      </c>
    </row>
    <row r="901" spans="1:10" x14ac:dyDescent="0.25">
      <c r="A901">
        <v>22539</v>
      </c>
      <c r="B901" t="s">
        <v>3212</v>
      </c>
      <c r="C901" t="s">
        <v>3224</v>
      </c>
      <c r="D901" t="s">
        <v>2820</v>
      </c>
      <c r="E901">
        <v>44</v>
      </c>
      <c r="F901">
        <v>0</v>
      </c>
      <c r="G901">
        <v>0</v>
      </c>
      <c r="H901">
        <v>547</v>
      </c>
      <c r="I901">
        <v>31</v>
      </c>
      <c r="J901">
        <v>0</v>
      </c>
    </row>
    <row r="902" spans="1:10" x14ac:dyDescent="0.25">
      <c r="A902">
        <v>63247</v>
      </c>
      <c r="B902" t="s">
        <v>3213</v>
      </c>
      <c r="C902" t="s">
        <v>1342</v>
      </c>
      <c r="D902" t="s">
        <v>1379</v>
      </c>
      <c r="E902">
        <v>44</v>
      </c>
      <c r="F902">
        <v>0</v>
      </c>
      <c r="G902">
        <v>0</v>
      </c>
      <c r="H902">
        <v>254</v>
      </c>
      <c r="I902">
        <v>17</v>
      </c>
      <c r="J902">
        <v>0</v>
      </c>
    </row>
    <row r="903" spans="1:10" x14ac:dyDescent="0.25">
      <c r="A903">
        <v>52126</v>
      </c>
      <c r="B903" t="s">
        <v>3214</v>
      </c>
      <c r="C903" t="s">
        <v>3221</v>
      </c>
      <c r="D903" t="s">
        <v>1031</v>
      </c>
      <c r="E903">
        <v>44</v>
      </c>
      <c r="F903">
        <v>0</v>
      </c>
      <c r="G903">
        <v>0</v>
      </c>
      <c r="H903">
        <v>429</v>
      </c>
      <c r="I903">
        <v>2</v>
      </c>
      <c r="J903">
        <v>0</v>
      </c>
    </row>
    <row r="904" spans="1:10" x14ac:dyDescent="0.25">
      <c r="A904">
        <v>35320</v>
      </c>
      <c r="B904" t="s">
        <v>3217</v>
      </c>
      <c r="C904" t="s">
        <v>3217</v>
      </c>
      <c r="D904" t="s">
        <v>810</v>
      </c>
      <c r="E904">
        <v>43</v>
      </c>
      <c r="F904">
        <v>0</v>
      </c>
      <c r="G904">
        <v>0</v>
      </c>
      <c r="H904">
        <v>1635</v>
      </c>
      <c r="J904">
        <v>0</v>
      </c>
    </row>
    <row r="905" spans="1:10" x14ac:dyDescent="0.25">
      <c r="A905">
        <v>23647</v>
      </c>
      <c r="B905" t="s">
        <v>3212</v>
      </c>
      <c r="C905" t="s">
        <v>3220</v>
      </c>
      <c r="D905" t="s">
        <v>277</v>
      </c>
      <c r="E905">
        <v>43</v>
      </c>
      <c r="F905">
        <v>0</v>
      </c>
      <c r="G905">
        <v>0</v>
      </c>
      <c r="H905">
        <v>541</v>
      </c>
      <c r="I905">
        <v>1</v>
      </c>
      <c r="J905">
        <v>0</v>
      </c>
    </row>
    <row r="906" spans="1:10" x14ac:dyDescent="0.25">
      <c r="A906">
        <v>23443</v>
      </c>
      <c r="B906" t="s">
        <v>3212</v>
      </c>
      <c r="C906" t="s">
        <v>3220</v>
      </c>
      <c r="D906" t="s">
        <v>245</v>
      </c>
      <c r="E906">
        <v>43</v>
      </c>
      <c r="F906">
        <v>0</v>
      </c>
      <c r="G906">
        <v>0</v>
      </c>
      <c r="H906">
        <v>1149</v>
      </c>
      <c r="I906">
        <v>2</v>
      </c>
      <c r="J906">
        <v>0</v>
      </c>
    </row>
    <row r="907" spans="1:10" x14ac:dyDescent="0.25">
      <c r="A907">
        <v>63217</v>
      </c>
      <c r="B907" t="s">
        <v>3213</v>
      </c>
      <c r="C907" t="s">
        <v>1342</v>
      </c>
      <c r="D907" t="s">
        <v>1370</v>
      </c>
      <c r="E907">
        <v>43</v>
      </c>
      <c r="F907">
        <v>0</v>
      </c>
      <c r="G907">
        <v>0</v>
      </c>
      <c r="H907">
        <v>195</v>
      </c>
      <c r="I907">
        <v>11</v>
      </c>
      <c r="J907">
        <v>0</v>
      </c>
    </row>
    <row r="908" spans="1:10" x14ac:dyDescent="0.25">
      <c r="A908">
        <v>25351</v>
      </c>
      <c r="B908" t="s">
        <v>3212</v>
      </c>
      <c r="C908" t="s">
        <v>3229</v>
      </c>
      <c r="D908" t="s">
        <v>403</v>
      </c>
      <c r="E908">
        <v>43</v>
      </c>
      <c r="F908">
        <v>0</v>
      </c>
      <c r="G908">
        <v>0</v>
      </c>
      <c r="H908">
        <v>784</v>
      </c>
      <c r="I908">
        <v>63</v>
      </c>
      <c r="J908">
        <v>0</v>
      </c>
    </row>
    <row r="909" spans="1:10" x14ac:dyDescent="0.25">
      <c r="A909">
        <v>35447</v>
      </c>
      <c r="B909" t="s">
        <v>3217</v>
      </c>
      <c r="C909" t="s">
        <v>3217</v>
      </c>
      <c r="D909" t="s">
        <v>862</v>
      </c>
      <c r="E909">
        <v>42</v>
      </c>
      <c r="F909">
        <v>0</v>
      </c>
      <c r="G909">
        <v>0</v>
      </c>
      <c r="H909">
        <v>469</v>
      </c>
      <c r="J909">
        <v>0</v>
      </c>
    </row>
    <row r="910" spans="1:10" x14ac:dyDescent="0.25">
      <c r="A910">
        <v>24155</v>
      </c>
      <c r="B910" t="s">
        <v>3212</v>
      </c>
      <c r="C910" t="s">
        <v>1808</v>
      </c>
      <c r="D910" t="s">
        <v>289</v>
      </c>
      <c r="E910">
        <v>42</v>
      </c>
      <c r="F910">
        <v>298</v>
      </c>
      <c r="G910">
        <v>0</v>
      </c>
      <c r="H910">
        <v>6378</v>
      </c>
      <c r="I910">
        <v>639</v>
      </c>
      <c r="J910">
        <v>4.6723110693007212E-2</v>
      </c>
    </row>
    <row r="911" spans="1:10" x14ac:dyDescent="0.25">
      <c r="A911">
        <v>22575</v>
      </c>
      <c r="B911" t="s">
        <v>3212</v>
      </c>
      <c r="C911" t="s">
        <v>3224</v>
      </c>
      <c r="D911" t="s">
        <v>142</v>
      </c>
      <c r="E911">
        <v>42</v>
      </c>
      <c r="F911">
        <v>0</v>
      </c>
      <c r="G911">
        <v>0</v>
      </c>
      <c r="H911">
        <v>97</v>
      </c>
      <c r="I911">
        <v>2</v>
      </c>
      <c r="J911">
        <v>0</v>
      </c>
    </row>
    <row r="912" spans="1:10" x14ac:dyDescent="0.25">
      <c r="A912">
        <v>22463</v>
      </c>
      <c r="B912" t="s">
        <v>3212</v>
      </c>
      <c r="C912" t="s">
        <v>3224</v>
      </c>
      <c r="D912" t="s">
        <v>119</v>
      </c>
      <c r="E912">
        <v>42</v>
      </c>
      <c r="F912">
        <v>0</v>
      </c>
      <c r="G912">
        <v>0</v>
      </c>
      <c r="H912">
        <v>1532</v>
      </c>
      <c r="I912">
        <v>148</v>
      </c>
      <c r="J912">
        <v>0</v>
      </c>
    </row>
    <row r="913" spans="1:10" x14ac:dyDescent="0.25">
      <c r="A913">
        <v>61443</v>
      </c>
      <c r="B913" t="s">
        <v>3213</v>
      </c>
      <c r="C913" t="s">
        <v>3039</v>
      </c>
      <c r="D913" t="s">
        <v>1232</v>
      </c>
      <c r="E913">
        <v>42</v>
      </c>
      <c r="F913">
        <v>0</v>
      </c>
      <c r="G913">
        <v>0</v>
      </c>
      <c r="H913">
        <v>205</v>
      </c>
      <c r="I913">
        <v>29</v>
      </c>
      <c r="J913">
        <v>0</v>
      </c>
    </row>
    <row r="914" spans="1:10" x14ac:dyDescent="0.25">
      <c r="A914">
        <v>53322</v>
      </c>
      <c r="B914" t="s">
        <v>3216</v>
      </c>
      <c r="C914" t="s">
        <v>1069</v>
      </c>
      <c r="D914" t="s">
        <v>1111</v>
      </c>
      <c r="E914">
        <v>41</v>
      </c>
      <c r="F914">
        <v>0</v>
      </c>
      <c r="G914">
        <v>0</v>
      </c>
      <c r="H914">
        <v>1016</v>
      </c>
      <c r="I914">
        <v>20</v>
      </c>
      <c r="J914">
        <v>0</v>
      </c>
    </row>
    <row r="915" spans="1:10" x14ac:dyDescent="0.25">
      <c r="A915">
        <v>34249</v>
      </c>
      <c r="B915" t="s">
        <v>3215</v>
      </c>
      <c r="C915" t="s">
        <v>3226</v>
      </c>
      <c r="D915" t="s">
        <v>681</v>
      </c>
      <c r="E915">
        <v>41</v>
      </c>
      <c r="F915">
        <v>0</v>
      </c>
      <c r="G915">
        <v>0</v>
      </c>
      <c r="H915">
        <v>563</v>
      </c>
      <c r="I915">
        <v>10</v>
      </c>
      <c r="J915">
        <v>0</v>
      </c>
    </row>
    <row r="916" spans="1:10" x14ac:dyDescent="0.25">
      <c r="A916">
        <v>32151</v>
      </c>
      <c r="B916" t="s">
        <v>3215</v>
      </c>
      <c r="C916" t="s">
        <v>3223</v>
      </c>
      <c r="D916" t="s">
        <v>574</v>
      </c>
      <c r="E916">
        <v>41</v>
      </c>
      <c r="F916">
        <v>0</v>
      </c>
      <c r="G916">
        <v>0</v>
      </c>
      <c r="H916">
        <v>634</v>
      </c>
      <c r="I916">
        <v>10</v>
      </c>
      <c r="J916">
        <v>0</v>
      </c>
    </row>
    <row r="917" spans="1:10" x14ac:dyDescent="0.25">
      <c r="A917">
        <v>63184</v>
      </c>
      <c r="B917" t="s">
        <v>3213</v>
      </c>
      <c r="C917" t="s">
        <v>1342</v>
      </c>
      <c r="D917" t="s">
        <v>1364</v>
      </c>
      <c r="E917">
        <v>41</v>
      </c>
      <c r="F917">
        <v>0</v>
      </c>
      <c r="G917">
        <v>0</v>
      </c>
      <c r="H917">
        <v>378</v>
      </c>
      <c r="I917">
        <v>10</v>
      </c>
      <c r="J917">
        <v>0</v>
      </c>
    </row>
    <row r="918" spans="1:10" x14ac:dyDescent="0.25">
      <c r="A918">
        <v>24481</v>
      </c>
      <c r="B918" t="s">
        <v>3212</v>
      </c>
      <c r="C918" t="s">
        <v>1808</v>
      </c>
      <c r="D918" t="s">
        <v>358</v>
      </c>
      <c r="E918">
        <v>40</v>
      </c>
      <c r="F918">
        <v>0</v>
      </c>
      <c r="G918">
        <v>0</v>
      </c>
      <c r="H918">
        <v>59</v>
      </c>
      <c r="J918">
        <v>0</v>
      </c>
    </row>
    <row r="919" spans="1:10" x14ac:dyDescent="0.25">
      <c r="A919">
        <v>23687</v>
      </c>
      <c r="B919" t="s">
        <v>3212</v>
      </c>
      <c r="C919" t="s">
        <v>3220</v>
      </c>
      <c r="D919" t="s">
        <v>286</v>
      </c>
      <c r="E919">
        <v>40</v>
      </c>
      <c r="F919">
        <v>0</v>
      </c>
      <c r="G919">
        <v>0</v>
      </c>
      <c r="H919">
        <v>184</v>
      </c>
      <c r="I919">
        <v>20</v>
      </c>
      <c r="J919">
        <v>0</v>
      </c>
    </row>
    <row r="920" spans="1:10" x14ac:dyDescent="0.25">
      <c r="A920">
        <v>32183</v>
      </c>
      <c r="B920" t="s">
        <v>3215</v>
      </c>
      <c r="C920" t="s">
        <v>3223</v>
      </c>
      <c r="D920" t="s">
        <v>590</v>
      </c>
      <c r="E920">
        <v>40</v>
      </c>
      <c r="F920">
        <v>0</v>
      </c>
      <c r="G920">
        <v>0</v>
      </c>
      <c r="H920">
        <v>156</v>
      </c>
      <c r="J920">
        <v>0</v>
      </c>
    </row>
    <row r="921" spans="1:10" x14ac:dyDescent="0.25">
      <c r="A921">
        <v>63237</v>
      </c>
      <c r="B921" t="s">
        <v>3213</v>
      </c>
      <c r="C921" t="s">
        <v>1342</v>
      </c>
      <c r="D921" t="s">
        <v>1376</v>
      </c>
      <c r="E921">
        <v>40</v>
      </c>
      <c r="F921">
        <v>0</v>
      </c>
      <c r="G921">
        <v>0</v>
      </c>
      <c r="H921">
        <v>497</v>
      </c>
      <c r="I921">
        <v>3</v>
      </c>
      <c r="J921">
        <v>0</v>
      </c>
    </row>
    <row r="922" spans="1:10" x14ac:dyDescent="0.25">
      <c r="A922">
        <v>55117</v>
      </c>
      <c r="B922" t="s">
        <v>3214</v>
      </c>
      <c r="C922" t="s">
        <v>3222</v>
      </c>
      <c r="D922" t="s">
        <v>1165</v>
      </c>
      <c r="E922">
        <v>40</v>
      </c>
      <c r="F922">
        <v>0</v>
      </c>
      <c r="G922">
        <v>0</v>
      </c>
      <c r="H922">
        <v>2164</v>
      </c>
      <c r="I922">
        <v>30</v>
      </c>
      <c r="J922">
        <v>0</v>
      </c>
    </row>
    <row r="923" spans="1:10" x14ac:dyDescent="0.25">
      <c r="A923">
        <v>33125</v>
      </c>
      <c r="B923" t="s">
        <v>3215</v>
      </c>
      <c r="C923" t="s">
        <v>597</v>
      </c>
      <c r="D923" t="s">
        <v>604</v>
      </c>
      <c r="E923">
        <v>40</v>
      </c>
      <c r="F923">
        <v>0</v>
      </c>
      <c r="G923">
        <v>0</v>
      </c>
      <c r="H923">
        <v>358</v>
      </c>
      <c r="I923">
        <v>5</v>
      </c>
      <c r="J923">
        <v>0</v>
      </c>
    </row>
    <row r="924" spans="1:10" x14ac:dyDescent="0.25">
      <c r="A924">
        <v>24353</v>
      </c>
      <c r="B924" t="s">
        <v>3212</v>
      </c>
      <c r="C924" t="s">
        <v>1808</v>
      </c>
      <c r="D924" t="s">
        <v>323</v>
      </c>
      <c r="E924">
        <v>39</v>
      </c>
      <c r="F924">
        <v>0</v>
      </c>
      <c r="G924">
        <v>0</v>
      </c>
      <c r="H924">
        <v>24</v>
      </c>
      <c r="I924">
        <v>8</v>
      </c>
      <c r="J924">
        <v>0</v>
      </c>
    </row>
    <row r="925" spans="1:10" x14ac:dyDescent="0.25">
      <c r="A925">
        <v>21334</v>
      </c>
      <c r="B925" t="s">
        <v>3212</v>
      </c>
      <c r="C925" t="s">
        <v>36</v>
      </c>
      <c r="D925" t="s">
        <v>53</v>
      </c>
      <c r="E925">
        <v>39</v>
      </c>
      <c r="F925">
        <v>0</v>
      </c>
      <c r="G925">
        <v>0</v>
      </c>
      <c r="H925">
        <v>19</v>
      </c>
      <c r="I925">
        <v>10</v>
      </c>
      <c r="J925">
        <v>0</v>
      </c>
    </row>
    <row r="926" spans="1:10" x14ac:dyDescent="0.25">
      <c r="A926">
        <v>23356</v>
      </c>
      <c r="B926" t="s">
        <v>3212</v>
      </c>
      <c r="C926" t="s">
        <v>3220</v>
      </c>
      <c r="D926" t="s">
        <v>220</v>
      </c>
      <c r="E926">
        <v>39</v>
      </c>
      <c r="F926">
        <v>0</v>
      </c>
      <c r="G926">
        <v>0</v>
      </c>
      <c r="H926">
        <v>53</v>
      </c>
      <c r="I926">
        <v>9</v>
      </c>
      <c r="J926">
        <v>0</v>
      </c>
    </row>
    <row r="927" spans="1:10" x14ac:dyDescent="0.25">
      <c r="A927">
        <v>23419</v>
      </c>
      <c r="B927" t="s">
        <v>3212</v>
      </c>
      <c r="C927" t="s">
        <v>3220</v>
      </c>
      <c r="D927" t="s">
        <v>232</v>
      </c>
      <c r="E927">
        <v>39</v>
      </c>
      <c r="F927">
        <v>0</v>
      </c>
      <c r="G927">
        <v>0</v>
      </c>
      <c r="H927">
        <v>933</v>
      </c>
      <c r="I927">
        <v>32</v>
      </c>
      <c r="J927">
        <v>0</v>
      </c>
    </row>
    <row r="928" spans="1:10" x14ac:dyDescent="0.25">
      <c r="A928">
        <v>34211</v>
      </c>
      <c r="B928" t="s">
        <v>3215</v>
      </c>
      <c r="C928" t="s">
        <v>3226</v>
      </c>
      <c r="D928" t="s">
        <v>657</v>
      </c>
      <c r="E928">
        <v>39</v>
      </c>
      <c r="F928">
        <v>0</v>
      </c>
      <c r="G928">
        <v>0</v>
      </c>
      <c r="H928">
        <v>92</v>
      </c>
      <c r="I928">
        <v>7</v>
      </c>
      <c r="J928">
        <v>0</v>
      </c>
    </row>
    <row r="929" spans="1:10" x14ac:dyDescent="0.25">
      <c r="A929">
        <v>37315</v>
      </c>
      <c r="B929" t="s">
        <v>3215</v>
      </c>
      <c r="C929" t="s">
        <v>3228</v>
      </c>
      <c r="D929" t="s">
        <v>2911</v>
      </c>
      <c r="E929">
        <v>39</v>
      </c>
      <c r="F929">
        <v>0</v>
      </c>
      <c r="G929">
        <v>0</v>
      </c>
      <c r="H929">
        <v>1154</v>
      </c>
      <c r="I929">
        <v>3</v>
      </c>
      <c r="J929">
        <v>0</v>
      </c>
    </row>
    <row r="930" spans="1:10" x14ac:dyDescent="0.25">
      <c r="A930">
        <v>25375</v>
      </c>
      <c r="B930" t="s">
        <v>3212</v>
      </c>
      <c r="C930" t="s">
        <v>3229</v>
      </c>
      <c r="D930" t="s">
        <v>415</v>
      </c>
      <c r="E930">
        <v>39</v>
      </c>
      <c r="F930">
        <v>0</v>
      </c>
      <c r="G930">
        <v>0</v>
      </c>
      <c r="H930">
        <v>501</v>
      </c>
      <c r="I930">
        <v>9</v>
      </c>
      <c r="J930">
        <v>0</v>
      </c>
    </row>
    <row r="931" spans="1:10" x14ac:dyDescent="0.25">
      <c r="A931">
        <v>73146</v>
      </c>
      <c r="B931" t="s">
        <v>3218</v>
      </c>
      <c r="C931" t="s">
        <v>1508</v>
      </c>
      <c r="D931" t="s">
        <v>1514</v>
      </c>
      <c r="E931">
        <v>39</v>
      </c>
      <c r="F931">
        <v>0</v>
      </c>
      <c r="G931">
        <v>0</v>
      </c>
      <c r="H931">
        <v>352</v>
      </c>
      <c r="I931">
        <v>32</v>
      </c>
      <c r="J931">
        <v>0</v>
      </c>
    </row>
    <row r="932" spans="1:10" x14ac:dyDescent="0.25">
      <c r="A932">
        <v>73167</v>
      </c>
      <c r="B932" t="s">
        <v>3218</v>
      </c>
      <c r="C932" t="s">
        <v>1508</v>
      </c>
      <c r="D932" t="s">
        <v>1518</v>
      </c>
      <c r="E932">
        <v>39</v>
      </c>
      <c r="F932">
        <v>0</v>
      </c>
      <c r="G932">
        <v>0</v>
      </c>
      <c r="H932">
        <v>553</v>
      </c>
      <c r="I932">
        <v>5</v>
      </c>
      <c r="J932">
        <v>0</v>
      </c>
    </row>
    <row r="933" spans="1:10" x14ac:dyDescent="0.25">
      <c r="A933">
        <v>35318</v>
      </c>
      <c r="B933" t="s">
        <v>3217</v>
      </c>
      <c r="C933" t="s">
        <v>3217</v>
      </c>
      <c r="D933" t="s">
        <v>809</v>
      </c>
      <c r="E933">
        <v>38</v>
      </c>
      <c r="F933">
        <v>0</v>
      </c>
      <c r="G933">
        <v>0</v>
      </c>
      <c r="H933">
        <v>5927</v>
      </c>
      <c r="J933">
        <v>0</v>
      </c>
    </row>
    <row r="934" spans="1:10" x14ac:dyDescent="0.25">
      <c r="A934">
        <v>35471</v>
      </c>
      <c r="B934" t="s">
        <v>3217</v>
      </c>
      <c r="C934" t="s">
        <v>3217</v>
      </c>
      <c r="D934" t="s">
        <v>875</v>
      </c>
      <c r="E934">
        <v>38</v>
      </c>
      <c r="F934">
        <v>0</v>
      </c>
      <c r="G934">
        <v>0</v>
      </c>
      <c r="H934">
        <v>46</v>
      </c>
      <c r="J934">
        <v>0</v>
      </c>
    </row>
    <row r="935" spans="1:10" x14ac:dyDescent="0.25">
      <c r="A935">
        <v>21374</v>
      </c>
      <c r="B935" t="s">
        <v>3212</v>
      </c>
      <c r="C935" t="s">
        <v>36</v>
      </c>
      <c r="D935" t="s">
        <v>65</v>
      </c>
      <c r="E935">
        <v>38</v>
      </c>
      <c r="F935">
        <v>0</v>
      </c>
      <c r="G935">
        <v>0</v>
      </c>
      <c r="H935">
        <v>12</v>
      </c>
      <c r="I935">
        <v>9</v>
      </c>
      <c r="J935">
        <v>0</v>
      </c>
    </row>
    <row r="936" spans="1:10" x14ac:dyDescent="0.25">
      <c r="A936">
        <v>72271</v>
      </c>
      <c r="B936" t="s">
        <v>3218</v>
      </c>
      <c r="C936" t="s">
        <v>3230</v>
      </c>
      <c r="D936" t="s">
        <v>1500</v>
      </c>
      <c r="E936">
        <v>38</v>
      </c>
      <c r="F936">
        <v>0</v>
      </c>
      <c r="G936">
        <v>0</v>
      </c>
      <c r="H936">
        <v>1</v>
      </c>
      <c r="I936">
        <v>2</v>
      </c>
      <c r="J936">
        <v>0</v>
      </c>
    </row>
    <row r="937" spans="1:10" x14ac:dyDescent="0.25">
      <c r="A937">
        <v>22579</v>
      </c>
      <c r="B937" t="s">
        <v>3212</v>
      </c>
      <c r="C937" t="s">
        <v>3224</v>
      </c>
      <c r="D937" t="s">
        <v>143</v>
      </c>
      <c r="E937">
        <v>38</v>
      </c>
      <c r="F937">
        <v>0</v>
      </c>
      <c r="G937">
        <v>0</v>
      </c>
      <c r="H937">
        <v>108</v>
      </c>
      <c r="I937">
        <v>21</v>
      </c>
      <c r="J937">
        <v>0</v>
      </c>
    </row>
    <row r="938" spans="1:10" x14ac:dyDescent="0.25">
      <c r="A938">
        <v>25327</v>
      </c>
      <c r="B938" t="s">
        <v>3212</v>
      </c>
      <c r="C938" t="s">
        <v>3229</v>
      </c>
      <c r="D938" t="s">
        <v>391</v>
      </c>
      <c r="E938">
        <v>38</v>
      </c>
      <c r="F938">
        <v>0</v>
      </c>
      <c r="G938">
        <v>0</v>
      </c>
      <c r="H938">
        <v>955</v>
      </c>
      <c r="I938">
        <v>41</v>
      </c>
      <c r="J938">
        <v>0</v>
      </c>
    </row>
    <row r="939" spans="1:10" x14ac:dyDescent="0.25">
      <c r="A939">
        <v>25357</v>
      </c>
      <c r="B939" t="s">
        <v>3212</v>
      </c>
      <c r="C939" t="s">
        <v>3229</v>
      </c>
      <c r="D939" t="s">
        <v>406</v>
      </c>
      <c r="E939">
        <v>38</v>
      </c>
      <c r="F939">
        <v>0</v>
      </c>
      <c r="G939">
        <v>0</v>
      </c>
      <c r="H939">
        <v>530</v>
      </c>
      <c r="I939">
        <v>12</v>
      </c>
      <c r="J939">
        <v>0</v>
      </c>
    </row>
    <row r="940" spans="1:10" x14ac:dyDescent="0.25">
      <c r="A940">
        <v>52161</v>
      </c>
      <c r="B940" t="s">
        <v>3214</v>
      </c>
      <c r="C940" t="s">
        <v>3221</v>
      </c>
      <c r="D940" t="s">
        <v>1038</v>
      </c>
      <c r="E940">
        <v>38</v>
      </c>
      <c r="F940">
        <v>0</v>
      </c>
      <c r="G940">
        <v>0</v>
      </c>
      <c r="H940">
        <v>1078</v>
      </c>
      <c r="I940">
        <v>4</v>
      </c>
      <c r="J940">
        <v>0</v>
      </c>
    </row>
    <row r="941" spans="1:10" x14ac:dyDescent="0.25">
      <c r="A941">
        <v>35133</v>
      </c>
      <c r="B941" t="s">
        <v>3217</v>
      </c>
      <c r="C941" t="s">
        <v>3217</v>
      </c>
      <c r="D941" t="s">
        <v>735</v>
      </c>
      <c r="E941">
        <v>37</v>
      </c>
      <c r="F941">
        <v>0</v>
      </c>
      <c r="G941">
        <v>0</v>
      </c>
      <c r="H941">
        <v>711</v>
      </c>
      <c r="I941">
        <v>5</v>
      </c>
      <c r="J941">
        <v>0</v>
      </c>
    </row>
    <row r="942" spans="1:10" x14ac:dyDescent="0.25">
      <c r="A942">
        <v>21364</v>
      </c>
      <c r="B942" t="s">
        <v>3212</v>
      </c>
      <c r="C942" t="s">
        <v>36</v>
      </c>
      <c r="D942" t="s">
        <v>2810</v>
      </c>
      <c r="E942">
        <v>37</v>
      </c>
      <c r="F942">
        <v>0</v>
      </c>
      <c r="G942">
        <v>0</v>
      </c>
      <c r="H942">
        <v>414</v>
      </c>
      <c r="I942">
        <v>51</v>
      </c>
      <c r="J942">
        <v>0</v>
      </c>
    </row>
    <row r="943" spans="1:10" x14ac:dyDescent="0.25">
      <c r="A943">
        <v>53267</v>
      </c>
      <c r="B943" t="s">
        <v>3216</v>
      </c>
      <c r="C943" t="s">
        <v>1069</v>
      </c>
      <c r="D943" t="s">
        <v>2954</v>
      </c>
      <c r="E943">
        <v>37</v>
      </c>
      <c r="F943">
        <v>0</v>
      </c>
      <c r="G943">
        <v>0</v>
      </c>
      <c r="H943">
        <v>661</v>
      </c>
      <c r="I943">
        <v>15</v>
      </c>
      <c r="J943">
        <v>0</v>
      </c>
    </row>
    <row r="944" spans="1:10" x14ac:dyDescent="0.25">
      <c r="A944">
        <v>23457</v>
      </c>
      <c r="B944" t="s">
        <v>3212</v>
      </c>
      <c r="C944" t="s">
        <v>3220</v>
      </c>
      <c r="D944" t="s">
        <v>253</v>
      </c>
      <c r="E944">
        <v>37</v>
      </c>
      <c r="F944">
        <v>0</v>
      </c>
      <c r="G944">
        <v>0</v>
      </c>
      <c r="H944">
        <v>1</v>
      </c>
      <c r="J944">
        <v>0</v>
      </c>
    </row>
    <row r="945" spans="1:10" x14ac:dyDescent="0.25">
      <c r="A945">
        <v>74116</v>
      </c>
      <c r="B945" t="s">
        <v>3218</v>
      </c>
      <c r="C945" t="s">
        <v>2784</v>
      </c>
      <c r="D945" t="s">
        <v>1544</v>
      </c>
      <c r="E945">
        <v>37</v>
      </c>
      <c r="F945">
        <v>0</v>
      </c>
      <c r="G945">
        <v>0</v>
      </c>
      <c r="H945">
        <v>581</v>
      </c>
      <c r="I945">
        <v>55</v>
      </c>
      <c r="J945">
        <v>0</v>
      </c>
    </row>
    <row r="946" spans="1:10" x14ac:dyDescent="0.25">
      <c r="A946">
        <v>35347</v>
      </c>
      <c r="B946" t="s">
        <v>3217</v>
      </c>
      <c r="C946" t="s">
        <v>3217</v>
      </c>
      <c r="D946" t="s">
        <v>824</v>
      </c>
      <c r="E946">
        <v>36</v>
      </c>
      <c r="F946">
        <v>0</v>
      </c>
      <c r="G946">
        <v>0</v>
      </c>
      <c r="H946">
        <v>204</v>
      </c>
      <c r="I946">
        <v>2</v>
      </c>
      <c r="J946">
        <v>0</v>
      </c>
    </row>
    <row r="947" spans="1:10" x14ac:dyDescent="0.25">
      <c r="A947">
        <v>35255</v>
      </c>
      <c r="B947" t="s">
        <v>3217</v>
      </c>
      <c r="C947" t="s">
        <v>3217</v>
      </c>
      <c r="D947" t="s">
        <v>792</v>
      </c>
      <c r="E947">
        <v>36</v>
      </c>
      <c r="F947">
        <v>0</v>
      </c>
      <c r="G947">
        <v>0</v>
      </c>
      <c r="H947">
        <v>272</v>
      </c>
      <c r="J947">
        <v>0</v>
      </c>
    </row>
    <row r="948" spans="1:10" x14ac:dyDescent="0.25">
      <c r="A948">
        <v>24444</v>
      </c>
      <c r="B948" t="s">
        <v>3212</v>
      </c>
      <c r="C948" t="s">
        <v>1808</v>
      </c>
      <c r="D948" t="s">
        <v>347</v>
      </c>
      <c r="E948">
        <v>36</v>
      </c>
      <c r="F948">
        <v>0</v>
      </c>
      <c r="G948">
        <v>0</v>
      </c>
      <c r="H948">
        <v>3576</v>
      </c>
      <c r="I948">
        <v>76</v>
      </c>
      <c r="J948">
        <v>0</v>
      </c>
    </row>
    <row r="949" spans="1:10" x14ac:dyDescent="0.25">
      <c r="A949">
        <v>34341</v>
      </c>
      <c r="B949" t="s">
        <v>3215</v>
      </c>
      <c r="C949" t="s">
        <v>3226</v>
      </c>
      <c r="D949" t="s">
        <v>711</v>
      </c>
      <c r="E949">
        <v>36</v>
      </c>
      <c r="F949">
        <v>0</v>
      </c>
      <c r="G949">
        <v>0</v>
      </c>
      <c r="H949">
        <v>379</v>
      </c>
      <c r="I949">
        <v>10</v>
      </c>
      <c r="J949">
        <v>0</v>
      </c>
    </row>
    <row r="950" spans="1:10" x14ac:dyDescent="0.25">
      <c r="A950">
        <v>32141</v>
      </c>
      <c r="B950" t="s">
        <v>3215</v>
      </c>
      <c r="C950" t="s">
        <v>3223</v>
      </c>
      <c r="D950" t="s">
        <v>569</v>
      </c>
      <c r="E950">
        <v>36</v>
      </c>
      <c r="F950">
        <v>0</v>
      </c>
      <c r="G950">
        <v>0</v>
      </c>
      <c r="H950">
        <v>260</v>
      </c>
      <c r="J950">
        <v>0</v>
      </c>
    </row>
    <row r="951" spans="1:10" x14ac:dyDescent="0.25">
      <c r="A951">
        <v>22555</v>
      </c>
      <c r="B951" t="s">
        <v>3212</v>
      </c>
      <c r="C951" t="s">
        <v>3224</v>
      </c>
      <c r="D951" t="s">
        <v>2822</v>
      </c>
      <c r="E951">
        <v>36</v>
      </c>
      <c r="F951">
        <v>0</v>
      </c>
      <c r="G951">
        <v>0</v>
      </c>
      <c r="H951">
        <v>832</v>
      </c>
      <c r="I951">
        <v>21</v>
      </c>
      <c r="J951">
        <v>0</v>
      </c>
    </row>
    <row r="952" spans="1:10" x14ac:dyDescent="0.25">
      <c r="A952">
        <v>71271</v>
      </c>
      <c r="B952" t="s">
        <v>3218</v>
      </c>
      <c r="C952" t="s">
        <v>3218</v>
      </c>
      <c r="D952" t="s">
        <v>1440</v>
      </c>
      <c r="E952">
        <v>36</v>
      </c>
      <c r="F952">
        <v>0</v>
      </c>
      <c r="G952">
        <v>0</v>
      </c>
      <c r="H952">
        <v>671</v>
      </c>
      <c r="I952">
        <v>10</v>
      </c>
      <c r="J952">
        <v>0</v>
      </c>
    </row>
    <row r="953" spans="1:10" x14ac:dyDescent="0.25">
      <c r="A953">
        <v>26277</v>
      </c>
      <c r="B953" t="s">
        <v>3212</v>
      </c>
      <c r="C953" t="s">
        <v>3227</v>
      </c>
      <c r="D953" t="s">
        <v>495</v>
      </c>
      <c r="E953">
        <v>36</v>
      </c>
      <c r="F953">
        <v>0</v>
      </c>
      <c r="G953">
        <v>0</v>
      </c>
      <c r="H953">
        <v>595</v>
      </c>
      <c r="I953">
        <v>8</v>
      </c>
      <c r="J953">
        <v>0</v>
      </c>
    </row>
    <row r="954" spans="1:10" x14ac:dyDescent="0.25">
      <c r="A954">
        <v>63287</v>
      </c>
      <c r="B954" t="s">
        <v>3213</v>
      </c>
      <c r="C954" t="s">
        <v>1342</v>
      </c>
      <c r="D954" t="s">
        <v>1391</v>
      </c>
      <c r="E954">
        <v>36</v>
      </c>
      <c r="F954">
        <v>0</v>
      </c>
      <c r="G954">
        <v>0</v>
      </c>
      <c r="H954">
        <v>275</v>
      </c>
      <c r="I954">
        <v>12</v>
      </c>
      <c r="J954">
        <v>0</v>
      </c>
    </row>
    <row r="955" spans="1:10" x14ac:dyDescent="0.25">
      <c r="A955">
        <v>52291</v>
      </c>
      <c r="B955" t="s">
        <v>3214</v>
      </c>
      <c r="C955" t="s">
        <v>3221</v>
      </c>
      <c r="D955" t="s">
        <v>1067</v>
      </c>
      <c r="E955">
        <v>36</v>
      </c>
      <c r="F955">
        <v>0</v>
      </c>
      <c r="G955">
        <v>0</v>
      </c>
      <c r="H955">
        <v>674</v>
      </c>
      <c r="I955">
        <v>50</v>
      </c>
      <c r="J955">
        <v>0</v>
      </c>
    </row>
    <row r="956" spans="1:10" x14ac:dyDescent="0.25">
      <c r="A956">
        <v>35157</v>
      </c>
      <c r="B956" t="s">
        <v>3217</v>
      </c>
      <c r="C956" t="s">
        <v>3217</v>
      </c>
      <c r="D956" t="s">
        <v>748</v>
      </c>
      <c r="E956">
        <v>35</v>
      </c>
      <c r="F956">
        <v>0</v>
      </c>
      <c r="G956">
        <v>0</v>
      </c>
      <c r="H956">
        <v>287</v>
      </c>
      <c r="I956">
        <v>3</v>
      </c>
      <c r="J956">
        <v>0</v>
      </c>
    </row>
    <row r="957" spans="1:10" x14ac:dyDescent="0.25">
      <c r="A957">
        <v>36127</v>
      </c>
      <c r="B957" t="s">
        <v>3215</v>
      </c>
      <c r="C957" t="s">
        <v>2906</v>
      </c>
      <c r="D957" t="s">
        <v>893</v>
      </c>
      <c r="E957">
        <v>35</v>
      </c>
      <c r="F957">
        <v>0</v>
      </c>
      <c r="G957">
        <v>0</v>
      </c>
      <c r="H957">
        <v>692</v>
      </c>
      <c r="I957">
        <v>3</v>
      </c>
      <c r="J957">
        <v>0</v>
      </c>
    </row>
    <row r="958" spans="1:10" x14ac:dyDescent="0.25">
      <c r="A958">
        <v>72127</v>
      </c>
      <c r="B958" t="s">
        <v>3218</v>
      </c>
      <c r="C958" t="s">
        <v>3230</v>
      </c>
      <c r="D958" t="s">
        <v>1472</v>
      </c>
      <c r="E958">
        <v>35</v>
      </c>
      <c r="F958">
        <v>0</v>
      </c>
      <c r="G958">
        <v>0</v>
      </c>
      <c r="H958">
        <v>300</v>
      </c>
      <c r="J958">
        <v>0</v>
      </c>
    </row>
    <row r="959" spans="1:10" x14ac:dyDescent="0.25">
      <c r="A959">
        <v>22319</v>
      </c>
      <c r="B959" t="s">
        <v>3212</v>
      </c>
      <c r="C959" t="s">
        <v>3224</v>
      </c>
      <c r="D959" t="s">
        <v>96</v>
      </c>
      <c r="E959">
        <v>35</v>
      </c>
      <c r="F959">
        <v>0</v>
      </c>
      <c r="G959">
        <v>0</v>
      </c>
      <c r="H959">
        <v>1782</v>
      </c>
      <c r="I959">
        <v>120</v>
      </c>
      <c r="J959">
        <v>0</v>
      </c>
    </row>
    <row r="960" spans="1:10" x14ac:dyDescent="0.25">
      <c r="A960">
        <v>25343</v>
      </c>
      <c r="B960" t="s">
        <v>3212</v>
      </c>
      <c r="C960" t="s">
        <v>3229</v>
      </c>
      <c r="D960" t="s">
        <v>2859</v>
      </c>
      <c r="E960">
        <v>35</v>
      </c>
      <c r="F960">
        <v>0</v>
      </c>
      <c r="G960">
        <v>0</v>
      </c>
      <c r="H960">
        <v>2547</v>
      </c>
      <c r="I960">
        <v>30</v>
      </c>
      <c r="J960">
        <v>0</v>
      </c>
    </row>
    <row r="961" spans="1:10" x14ac:dyDescent="0.25">
      <c r="A961">
        <v>62298</v>
      </c>
      <c r="B961" t="s">
        <v>3213</v>
      </c>
      <c r="C961" t="s">
        <v>1267</v>
      </c>
      <c r="D961" t="s">
        <v>1329</v>
      </c>
      <c r="E961">
        <v>35</v>
      </c>
      <c r="F961">
        <v>0</v>
      </c>
      <c r="G961">
        <v>0</v>
      </c>
      <c r="H961">
        <v>195</v>
      </c>
      <c r="I961">
        <v>2</v>
      </c>
      <c r="J961">
        <v>0</v>
      </c>
    </row>
    <row r="962" spans="1:10" x14ac:dyDescent="0.25">
      <c r="A962">
        <v>52241</v>
      </c>
      <c r="B962" t="s">
        <v>3214</v>
      </c>
      <c r="C962" t="s">
        <v>3221</v>
      </c>
      <c r="D962" t="s">
        <v>1052</v>
      </c>
      <c r="E962">
        <v>35</v>
      </c>
      <c r="F962">
        <v>0</v>
      </c>
      <c r="G962">
        <v>0</v>
      </c>
      <c r="H962">
        <v>37</v>
      </c>
      <c r="J962">
        <v>0</v>
      </c>
    </row>
    <row r="963" spans="1:10" x14ac:dyDescent="0.25">
      <c r="A963">
        <v>33235</v>
      </c>
      <c r="B963" t="s">
        <v>3215</v>
      </c>
      <c r="C963" t="s">
        <v>597</v>
      </c>
      <c r="D963" t="s">
        <v>635</v>
      </c>
      <c r="E963">
        <v>35</v>
      </c>
      <c r="F963">
        <v>0</v>
      </c>
      <c r="G963">
        <v>0</v>
      </c>
      <c r="H963">
        <v>170</v>
      </c>
      <c r="I963">
        <v>10</v>
      </c>
      <c r="J963">
        <v>0</v>
      </c>
    </row>
    <row r="964" spans="1:10" x14ac:dyDescent="0.25">
      <c r="A964">
        <v>35121</v>
      </c>
      <c r="B964" t="s">
        <v>3217</v>
      </c>
      <c r="C964" t="s">
        <v>3217</v>
      </c>
      <c r="D964" t="s">
        <v>727</v>
      </c>
      <c r="E964">
        <v>34</v>
      </c>
      <c r="F964">
        <v>0</v>
      </c>
      <c r="G964">
        <v>0</v>
      </c>
      <c r="H964">
        <v>151</v>
      </c>
      <c r="J964">
        <v>0</v>
      </c>
    </row>
    <row r="965" spans="1:10" x14ac:dyDescent="0.25">
      <c r="A965">
        <v>53473</v>
      </c>
      <c r="B965" t="s">
        <v>3216</v>
      </c>
      <c r="C965" t="s">
        <v>1069</v>
      </c>
      <c r="D965" t="s">
        <v>1150</v>
      </c>
      <c r="E965">
        <v>34</v>
      </c>
      <c r="F965">
        <v>0</v>
      </c>
      <c r="G965">
        <v>0</v>
      </c>
      <c r="H965">
        <v>0</v>
      </c>
      <c r="I965">
        <v>3</v>
      </c>
      <c r="J965">
        <v>0</v>
      </c>
    </row>
    <row r="966" spans="1:10" x14ac:dyDescent="0.25">
      <c r="A966">
        <v>22767</v>
      </c>
      <c r="B966" t="s">
        <v>3212</v>
      </c>
      <c r="C966" t="s">
        <v>3224</v>
      </c>
      <c r="D966" t="s">
        <v>177</v>
      </c>
      <c r="E966">
        <v>34</v>
      </c>
      <c r="F966">
        <v>0</v>
      </c>
      <c r="G966">
        <v>0</v>
      </c>
      <c r="H966">
        <v>362</v>
      </c>
      <c r="I966">
        <v>7</v>
      </c>
      <c r="J966">
        <v>0</v>
      </c>
    </row>
    <row r="967" spans="1:10" x14ac:dyDescent="0.25">
      <c r="A967">
        <v>26211</v>
      </c>
      <c r="B967" t="s">
        <v>3212</v>
      </c>
      <c r="C967" t="s">
        <v>3227</v>
      </c>
      <c r="D967" t="s">
        <v>452</v>
      </c>
      <c r="E967">
        <v>34</v>
      </c>
      <c r="F967">
        <v>0</v>
      </c>
      <c r="G967">
        <v>0</v>
      </c>
      <c r="H967">
        <v>1856</v>
      </c>
      <c r="I967">
        <v>84</v>
      </c>
      <c r="J967">
        <v>0</v>
      </c>
    </row>
    <row r="968" spans="1:10" x14ac:dyDescent="0.25">
      <c r="A968">
        <v>62226</v>
      </c>
      <c r="B968" t="s">
        <v>3213</v>
      </c>
      <c r="C968" t="s">
        <v>1267</v>
      </c>
      <c r="D968" t="s">
        <v>1281</v>
      </c>
      <c r="E968">
        <v>34</v>
      </c>
      <c r="F968">
        <v>0</v>
      </c>
      <c r="G968">
        <v>0</v>
      </c>
      <c r="H968">
        <v>880</v>
      </c>
      <c r="I968">
        <v>10</v>
      </c>
      <c r="J968">
        <v>0</v>
      </c>
    </row>
    <row r="969" spans="1:10" x14ac:dyDescent="0.25">
      <c r="A969">
        <v>31126</v>
      </c>
      <c r="B969" t="s">
        <v>3215</v>
      </c>
      <c r="C969" t="s">
        <v>3225</v>
      </c>
      <c r="D969" t="s">
        <v>540</v>
      </c>
      <c r="E969">
        <v>34</v>
      </c>
      <c r="F969">
        <v>207</v>
      </c>
      <c r="G969">
        <v>0</v>
      </c>
      <c r="H969">
        <v>1943</v>
      </c>
      <c r="I969">
        <v>25</v>
      </c>
      <c r="J969">
        <v>0.1065362840967576</v>
      </c>
    </row>
    <row r="970" spans="1:10" x14ac:dyDescent="0.25">
      <c r="A970">
        <v>23429</v>
      </c>
      <c r="B970" t="s">
        <v>3212</v>
      </c>
      <c r="C970" t="s">
        <v>3220</v>
      </c>
      <c r="D970" t="s">
        <v>2838</v>
      </c>
      <c r="E970">
        <v>33</v>
      </c>
      <c r="F970">
        <v>0</v>
      </c>
      <c r="G970">
        <v>0</v>
      </c>
      <c r="H970">
        <v>972</v>
      </c>
      <c r="I970">
        <v>7</v>
      </c>
      <c r="J970">
        <v>0</v>
      </c>
    </row>
    <row r="971" spans="1:10" x14ac:dyDescent="0.25">
      <c r="A971">
        <v>23643</v>
      </c>
      <c r="B971" t="s">
        <v>3212</v>
      </c>
      <c r="C971" t="s">
        <v>3220</v>
      </c>
      <c r="D971" t="s">
        <v>276</v>
      </c>
      <c r="E971">
        <v>33</v>
      </c>
      <c r="F971">
        <v>0</v>
      </c>
      <c r="G971">
        <v>0</v>
      </c>
      <c r="H971">
        <v>1683</v>
      </c>
      <c r="I971">
        <v>26</v>
      </c>
      <c r="J971">
        <v>0</v>
      </c>
    </row>
    <row r="972" spans="1:10" x14ac:dyDescent="0.25">
      <c r="A972">
        <v>26256</v>
      </c>
      <c r="B972" t="s">
        <v>3212</v>
      </c>
      <c r="C972" t="s">
        <v>3227</v>
      </c>
      <c r="D972" t="s">
        <v>482</v>
      </c>
      <c r="E972">
        <v>33</v>
      </c>
      <c r="F972">
        <v>0</v>
      </c>
      <c r="G972">
        <v>0</v>
      </c>
      <c r="H972">
        <v>945</v>
      </c>
      <c r="I972">
        <v>8</v>
      </c>
      <c r="J972">
        <v>0</v>
      </c>
    </row>
    <row r="973" spans="1:10" x14ac:dyDescent="0.25">
      <c r="A973">
        <v>26317</v>
      </c>
      <c r="B973" t="s">
        <v>3212</v>
      </c>
      <c r="C973" t="s">
        <v>3227</v>
      </c>
      <c r="D973" t="s">
        <v>2873</v>
      </c>
      <c r="E973">
        <v>33</v>
      </c>
      <c r="F973">
        <v>0</v>
      </c>
      <c r="G973">
        <v>0</v>
      </c>
      <c r="H973">
        <v>13</v>
      </c>
      <c r="J973">
        <v>0</v>
      </c>
    </row>
    <row r="974" spans="1:10" x14ac:dyDescent="0.25">
      <c r="A974">
        <v>26291</v>
      </c>
      <c r="B974" t="s">
        <v>3212</v>
      </c>
      <c r="C974" t="s">
        <v>3227</v>
      </c>
      <c r="D974" t="s">
        <v>503</v>
      </c>
      <c r="E974">
        <v>33</v>
      </c>
      <c r="F974">
        <v>0</v>
      </c>
      <c r="G974">
        <v>0</v>
      </c>
      <c r="H974">
        <v>575</v>
      </c>
      <c r="I974">
        <v>103</v>
      </c>
      <c r="J974">
        <v>0</v>
      </c>
    </row>
    <row r="975" spans="1:10" x14ac:dyDescent="0.25">
      <c r="A975">
        <v>35408</v>
      </c>
      <c r="B975" t="s">
        <v>3217</v>
      </c>
      <c r="C975" t="s">
        <v>3217</v>
      </c>
      <c r="D975" t="s">
        <v>2896</v>
      </c>
      <c r="E975">
        <v>32</v>
      </c>
      <c r="F975">
        <v>0</v>
      </c>
      <c r="G975">
        <v>0</v>
      </c>
      <c r="H975">
        <v>122</v>
      </c>
      <c r="J975">
        <v>0</v>
      </c>
    </row>
    <row r="976" spans="1:10" x14ac:dyDescent="0.25">
      <c r="A976">
        <v>26183</v>
      </c>
      <c r="B976" t="s">
        <v>3212</v>
      </c>
      <c r="C976" t="s">
        <v>3227</v>
      </c>
      <c r="D976" t="s">
        <v>450</v>
      </c>
      <c r="E976">
        <v>32</v>
      </c>
      <c r="F976">
        <v>0</v>
      </c>
      <c r="G976">
        <v>0</v>
      </c>
      <c r="H976">
        <v>658</v>
      </c>
      <c r="I976">
        <v>19</v>
      </c>
      <c r="J976">
        <v>0</v>
      </c>
    </row>
    <row r="977" spans="1:10" x14ac:dyDescent="0.25">
      <c r="A977">
        <v>26293</v>
      </c>
      <c r="B977" t="s">
        <v>3212</v>
      </c>
      <c r="C977" t="s">
        <v>3227</v>
      </c>
      <c r="D977" t="s">
        <v>504</v>
      </c>
      <c r="E977">
        <v>32</v>
      </c>
      <c r="F977">
        <v>0</v>
      </c>
      <c r="G977">
        <v>0</v>
      </c>
      <c r="H977">
        <v>531</v>
      </c>
      <c r="I977">
        <v>29</v>
      </c>
      <c r="J977">
        <v>0</v>
      </c>
    </row>
    <row r="978" spans="1:10" x14ac:dyDescent="0.25">
      <c r="A978">
        <v>26177</v>
      </c>
      <c r="B978" t="s">
        <v>3212</v>
      </c>
      <c r="C978" t="s">
        <v>3227</v>
      </c>
      <c r="D978" t="s">
        <v>449</v>
      </c>
      <c r="E978">
        <v>32</v>
      </c>
      <c r="F978">
        <v>0</v>
      </c>
      <c r="G978">
        <v>0</v>
      </c>
      <c r="H978">
        <v>1897</v>
      </c>
      <c r="I978">
        <v>155</v>
      </c>
      <c r="J978">
        <v>0</v>
      </c>
    </row>
    <row r="979" spans="1:10" x14ac:dyDescent="0.25">
      <c r="A979">
        <v>63221</v>
      </c>
      <c r="B979" t="s">
        <v>3213</v>
      </c>
      <c r="C979" t="s">
        <v>1342</v>
      </c>
      <c r="D979" t="s">
        <v>1371</v>
      </c>
      <c r="E979">
        <v>32</v>
      </c>
      <c r="F979">
        <v>0</v>
      </c>
      <c r="G979">
        <v>0</v>
      </c>
      <c r="H979">
        <v>323</v>
      </c>
      <c r="I979">
        <v>9</v>
      </c>
      <c r="J979">
        <v>0</v>
      </c>
    </row>
    <row r="980" spans="1:10" x14ac:dyDescent="0.25">
      <c r="A980">
        <v>21391</v>
      </c>
      <c r="B980" t="s">
        <v>3212</v>
      </c>
      <c r="C980" t="s">
        <v>36</v>
      </c>
      <c r="D980" t="s">
        <v>2812</v>
      </c>
      <c r="E980">
        <v>31</v>
      </c>
      <c r="F980">
        <v>0</v>
      </c>
      <c r="G980">
        <v>0</v>
      </c>
      <c r="H980">
        <v>280</v>
      </c>
      <c r="I980">
        <v>6</v>
      </c>
      <c r="J980">
        <v>0</v>
      </c>
    </row>
    <row r="981" spans="1:10" x14ac:dyDescent="0.25">
      <c r="A981">
        <v>23223</v>
      </c>
      <c r="B981" t="s">
        <v>3212</v>
      </c>
      <c r="C981" t="s">
        <v>3220</v>
      </c>
      <c r="D981" t="s">
        <v>194</v>
      </c>
      <c r="E981">
        <v>31</v>
      </c>
      <c r="F981">
        <v>0</v>
      </c>
      <c r="G981">
        <v>0</v>
      </c>
      <c r="H981">
        <v>189</v>
      </c>
      <c r="I981">
        <v>5</v>
      </c>
      <c r="J981">
        <v>0</v>
      </c>
    </row>
    <row r="982" spans="1:10" x14ac:dyDescent="0.25">
      <c r="A982">
        <v>22559</v>
      </c>
      <c r="B982" t="s">
        <v>3212</v>
      </c>
      <c r="C982" t="s">
        <v>3224</v>
      </c>
      <c r="D982" t="s">
        <v>2823</v>
      </c>
      <c r="E982">
        <v>31</v>
      </c>
      <c r="F982">
        <v>0</v>
      </c>
      <c r="G982">
        <v>0</v>
      </c>
      <c r="H982">
        <v>511</v>
      </c>
      <c r="I982">
        <v>23</v>
      </c>
      <c r="J982">
        <v>0</v>
      </c>
    </row>
    <row r="983" spans="1:10" x14ac:dyDescent="0.25">
      <c r="A983">
        <v>22781</v>
      </c>
      <c r="B983" t="s">
        <v>3212</v>
      </c>
      <c r="C983" t="s">
        <v>3224</v>
      </c>
      <c r="D983" t="s">
        <v>181</v>
      </c>
      <c r="E983">
        <v>31</v>
      </c>
      <c r="F983">
        <v>0</v>
      </c>
      <c r="G983">
        <v>0</v>
      </c>
      <c r="H983">
        <v>451</v>
      </c>
      <c r="I983">
        <v>17</v>
      </c>
      <c r="J983">
        <v>0</v>
      </c>
    </row>
    <row r="984" spans="1:10" x14ac:dyDescent="0.25">
      <c r="A984">
        <v>26347</v>
      </c>
      <c r="B984" t="s">
        <v>3212</v>
      </c>
      <c r="C984" t="s">
        <v>3227</v>
      </c>
      <c r="D984" t="s">
        <v>522</v>
      </c>
      <c r="E984">
        <v>31</v>
      </c>
      <c r="F984">
        <v>0</v>
      </c>
      <c r="G984">
        <v>0</v>
      </c>
      <c r="H984">
        <v>29</v>
      </c>
      <c r="I984">
        <v>15</v>
      </c>
      <c r="J984">
        <v>0</v>
      </c>
    </row>
    <row r="985" spans="1:10" x14ac:dyDescent="0.25">
      <c r="A985">
        <v>73244</v>
      </c>
      <c r="B985" t="s">
        <v>3218</v>
      </c>
      <c r="C985" t="s">
        <v>1508</v>
      </c>
      <c r="D985" t="s">
        <v>1528</v>
      </c>
      <c r="E985">
        <v>31</v>
      </c>
      <c r="F985">
        <v>0</v>
      </c>
      <c r="G985">
        <v>0</v>
      </c>
      <c r="H985">
        <v>248</v>
      </c>
      <c r="I985">
        <v>4</v>
      </c>
      <c r="J985">
        <v>0</v>
      </c>
    </row>
    <row r="986" spans="1:10" x14ac:dyDescent="0.25">
      <c r="A986">
        <v>62295</v>
      </c>
      <c r="B986" t="s">
        <v>3213</v>
      </c>
      <c r="C986" t="s">
        <v>1267</v>
      </c>
      <c r="D986" t="s">
        <v>1326</v>
      </c>
      <c r="E986">
        <v>31</v>
      </c>
      <c r="F986">
        <v>0</v>
      </c>
      <c r="G986">
        <v>0</v>
      </c>
      <c r="H986">
        <v>600</v>
      </c>
      <c r="J986">
        <v>0</v>
      </c>
    </row>
    <row r="987" spans="1:10" x14ac:dyDescent="0.25">
      <c r="A987">
        <v>35430</v>
      </c>
      <c r="B987" t="s">
        <v>3217</v>
      </c>
      <c r="C987" t="s">
        <v>3217</v>
      </c>
      <c r="D987" t="s">
        <v>852</v>
      </c>
      <c r="E987">
        <v>30</v>
      </c>
      <c r="F987">
        <v>0</v>
      </c>
      <c r="G987">
        <v>0</v>
      </c>
      <c r="H987">
        <v>122</v>
      </c>
      <c r="J987">
        <v>0</v>
      </c>
    </row>
    <row r="988" spans="1:10" x14ac:dyDescent="0.25">
      <c r="A988">
        <v>34237</v>
      </c>
      <c r="B988" t="s">
        <v>3215</v>
      </c>
      <c r="C988" t="s">
        <v>3226</v>
      </c>
      <c r="D988" t="s">
        <v>674</v>
      </c>
      <c r="E988">
        <v>30</v>
      </c>
      <c r="F988">
        <v>0</v>
      </c>
      <c r="G988">
        <v>0</v>
      </c>
      <c r="H988">
        <v>150</v>
      </c>
      <c r="I988">
        <v>2</v>
      </c>
      <c r="J988">
        <v>0</v>
      </c>
    </row>
    <row r="989" spans="1:10" x14ac:dyDescent="0.25">
      <c r="A989">
        <v>34122</v>
      </c>
      <c r="B989" t="s">
        <v>3215</v>
      </c>
      <c r="C989" t="s">
        <v>3226</v>
      </c>
      <c r="D989" t="s">
        <v>650</v>
      </c>
      <c r="E989">
        <v>30</v>
      </c>
      <c r="F989">
        <v>0</v>
      </c>
      <c r="G989">
        <v>0</v>
      </c>
      <c r="H989">
        <v>248</v>
      </c>
      <c r="I989">
        <v>5</v>
      </c>
      <c r="J989">
        <v>0</v>
      </c>
    </row>
    <row r="990" spans="1:10" x14ac:dyDescent="0.25">
      <c r="A990">
        <v>22627</v>
      </c>
      <c r="B990" t="s">
        <v>3212</v>
      </c>
      <c r="C990" t="s">
        <v>3224</v>
      </c>
      <c r="D990" t="s">
        <v>150</v>
      </c>
      <c r="E990">
        <v>30</v>
      </c>
      <c r="F990">
        <v>0</v>
      </c>
      <c r="G990">
        <v>0</v>
      </c>
      <c r="H990">
        <v>1054</v>
      </c>
      <c r="I990">
        <v>45</v>
      </c>
      <c r="J990">
        <v>0</v>
      </c>
    </row>
    <row r="991" spans="1:10" x14ac:dyDescent="0.25">
      <c r="A991">
        <v>26165</v>
      </c>
      <c r="B991" t="s">
        <v>3212</v>
      </c>
      <c r="C991" t="s">
        <v>3227</v>
      </c>
      <c r="D991" t="s">
        <v>447</v>
      </c>
      <c r="E991">
        <v>30</v>
      </c>
      <c r="F991">
        <v>0</v>
      </c>
      <c r="G991">
        <v>0</v>
      </c>
      <c r="H991">
        <v>1065</v>
      </c>
      <c r="I991">
        <v>59</v>
      </c>
      <c r="J991">
        <v>0</v>
      </c>
    </row>
    <row r="992" spans="1:10" x14ac:dyDescent="0.25">
      <c r="A992">
        <v>25353</v>
      </c>
      <c r="B992" t="s">
        <v>3212</v>
      </c>
      <c r="C992" t="s">
        <v>3229</v>
      </c>
      <c r="D992" t="s">
        <v>2860</v>
      </c>
      <c r="E992">
        <v>30</v>
      </c>
      <c r="F992">
        <v>0</v>
      </c>
      <c r="G992">
        <v>0</v>
      </c>
      <c r="H992">
        <v>938</v>
      </c>
      <c r="I992">
        <v>16</v>
      </c>
      <c r="J992">
        <v>0</v>
      </c>
    </row>
    <row r="993" spans="1:10" x14ac:dyDescent="0.25">
      <c r="A993">
        <v>61441</v>
      </c>
      <c r="B993" t="s">
        <v>3213</v>
      </c>
      <c r="C993" t="s">
        <v>3039</v>
      </c>
      <c r="D993" t="s">
        <v>2972</v>
      </c>
      <c r="E993">
        <v>30</v>
      </c>
      <c r="F993">
        <v>0</v>
      </c>
      <c r="G993">
        <v>0</v>
      </c>
      <c r="H993">
        <v>86</v>
      </c>
      <c r="I993">
        <v>15</v>
      </c>
      <c r="J993">
        <v>0</v>
      </c>
    </row>
    <row r="994" spans="1:10" x14ac:dyDescent="0.25">
      <c r="A994">
        <v>62236</v>
      </c>
      <c r="B994" t="s">
        <v>3213</v>
      </c>
      <c r="C994" t="s">
        <v>1267</v>
      </c>
      <c r="D994" t="s">
        <v>1287</v>
      </c>
      <c r="E994">
        <v>30</v>
      </c>
      <c r="F994">
        <v>0</v>
      </c>
      <c r="G994">
        <v>0</v>
      </c>
      <c r="H994">
        <v>664</v>
      </c>
      <c r="I994">
        <v>4</v>
      </c>
      <c r="J994">
        <v>0</v>
      </c>
    </row>
    <row r="995" spans="1:10" x14ac:dyDescent="0.25">
      <c r="A995">
        <v>33227</v>
      </c>
      <c r="B995" t="s">
        <v>3215</v>
      </c>
      <c r="C995" t="s">
        <v>597</v>
      </c>
      <c r="D995" t="s">
        <v>633</v>
      </c>
      <c r="E995">
        <v>30</v>
      </c>
      <c r="F995">
        <v>0</v>
      </c>
      <c r="G995">
        <v>0</v>
      </c>
      <c r="H995">
        <v>1037</v>
      </c>
      <c r="I995">
        <v>4</v>
      </c>
      <c r="J995">
        <v>0</v>
      </c>
    </row>
    <row r="996" spans="1:10" x14ac:dyDescent="0.25">
      <c r="A996">
        <v>35453</v>
      </c>
      <c r="B996" t="s">
        <v>3217</v>
      </c>
      <c r="C996" t="s">
        <v>3217</v>
      </c>
      <c r="D996" t="s">
        <v>865</v>
      </c>
      <c r="E996">
        <v>29</v>
      </c>
      <c r="F996">
        <v>0</v>
      </c>
      <c r="G996">
        <v>0</v>
      </c>
      <c r="H996">
        <v>250</v>
      </c>
      <c r="J996">
        <v>0</v>
      </c>
    </row>
    <row r="997" spans="1:10" x14ac:dyDescent="0.25">
      <c r="A997">
        <v>24421</v>
      </c>
      <c r="B997" t="s">
        <v>3212</v>
      </c>
      <c r="C997" t="s">
        <v>1808</v>
      </c>
      <c r="D997" t="s">
        <v>339</v>
      </c>
      <c r="E997">
        <v>29</v>
      </c>
      <c r="F997">
        <v>0</v>
      </c>
      <c r="G997">
        <v>0</v>
      </c>
      <c r="H997">
        <v>118</v>
      </c>
      <c r="I997">
        <v>2</v>
      </c>
      <c r="J997">
        <v>0</v>
      </c>
    </row>
    <row r="998" spans="1:10" x14ac:dyDescent="0.25">
      <c r="A998">
        <v>24461</v>
      </c>
      <c r="B998" t="s">
        <v>3212</v>
      </c>
      <c r="C998" t="s">
        <v>1808</v>
      </c>
      <c r="D998" t="s">
        <v>352</v>
      </c>
      <c r="E998">
        <v>29</v>
      </c>
      <c r="F998">
        <v>0</v>
      </c>
      <c r="G998">
        <v>0</v>
      </c>
      <c r="H998">
        <v>0</v>
      </c>
      <c r="J998">
        <v>0</v>
      </c>
    </row>
    <row r="999" spans="1:10" x14ac:dyDescent="0.25">
      <c r="A999">
        <v>23421</v>
      </c>
      <c r="B999" t="s">
        <v>3212</v>
      </c>
      <c r="C999" t="s">
        <v>3220</v>
      </c>
      <c r="D999" t="s">
        <v>233</v>
      </c>
      <c r="E999">
        <v>29</v>
      </c>
      <c r="F999">
        <v>0</v>
      </c>
      <c r="G999">
        <v>0</v>
      </c>
      <c r="H999">
        <v>1228</v>
      </c>
      <c r="I999">
        <v>5</v>
      </c>
      <c r="J999">
        <v>0</v>
      </c>
    </row>
    <row r="1000" spans="1:10" x14ac:dyDescent="0.25">
      <c r="A1000">
        <v>34218</v>
      </c>
      <c r="B1000" t="s">
        <v>3215</v>
      </c>
      <c r="C1000" t="s">
        <v>3226</v>
      </c>
      <c r="D1000" t="s">
        <v>662</v>
      </c>
      <c r="E1000">
        <v>29</v>
      </c>
      <c r="F1000">
        <v>0</v>
      </c>
      <c r="G1000">
        <v>0</v>
      </c>
      <c r="H1000">
        <v>161</v>
      </c>
      <c r="I1000">
        <v>6</v>
      </c>
      <c r="J1000">
        <v>0</v>
      </c>
    </row>
    <row r="1001" spans="1:10" x14ac:dyDescent="0.25">
      <c r="A1001">
        <v>22751</v>
      </c>
      <c r="B1001" t="s">
        <v>3212</v>
      </c>
      <c r="C1001" t="s">
        <v>3224</v>
      </c>
      <c r="D1001" t="s">
        <v>172</v>
      </c>
      <c r="E1001">
        <v>29</v>
      </c>
      <c r="F1001">
        <v>0</v>
      </c>
      <c r="G1001">
        <v>0</v>
      </c>
      <c r="H1001">
        <v>1626</v>
      </c>
      <c r="I1001">
        <v>20</v>
      </c>
      <c r="J1001">
        <v>0</v>
      </c>
    </row>
    <row r="1002" spans="1:10" x14ac:dyDescent="0.25">
      <c r="A1002">
        <v>71216</v>
      </c>
      <c r="B1002" t="s">
        <v>3218</v>
      </c>
      <c r="C1002" t="s">
        <v>3218</v>
      </c>
      <c r="D1002" t="s">
        <v>1429</v>
      </c>
      <c r="E1002">
        <v>29</v>
      </c>
      <c r="F1002">
        <v>0</v>
      </c>
      <c r="G1002">
        <v>0</v>
      </c>
      <c r="H1002">
        <v>742</v>
      </c>
      <c r="J1002">
        <v>0</v>
      </c>
    </row>
    <row r="1003" spans="1:10" x14ac:dyDescent="0.25">
      <c r="A1003">
        <v>61488</v>
      </c>
      <c r="B1003" t="s">
        <v>3213</v>
      </c>
      <c r="C1003" t="s">
        <v>3039</v>
      </c>
      <c r="D1003" t="s">
        <v>1260</v>
      </c>
      <c r="E1003">
        <v>29</v>
      </c>
      <c r="F1003">
        <v>0</v>
      </c>
      <c r="G1003">
        <v>0</v>
      </c>
      <c r="H1003">
        <v>481</v>
      </c>
      <c r="I1003">
        <v>15</v>
      </c>
      <c r="J1003">
        <v>0</v>
      </c>
    </row>
    <row r="1004" spans="1:10" x14ac:dyDescent="0.25">
      <c r="A1004">
        <v>51123</v>
      </c>
      <c r="B1004" t="s">
        <v>3214</v>
      </c>
      <c r="C1004" t="s">
        <v>3045</v>
      </c>
      <c r="D1004" t="s">
        <v>2925</v>
      </c>
      <c r="E1004">
        <v>29</v>
      </c>
      <c r="F1004">
        <v>0</v>
      </c>
      <c r="G1004">
        <v>0</v>
      </c>
      <c r="H1004">
        <v>0</v>
      </c>
      <c r="I1004">
        <v>20</v>
      </c>
      <c r="J1004">
        <v>0</v>
      </c>
    </row>
    <row r="1005" spans="1:10" x14ac:dyDescent="0.25">
      <c r="A1005">
        <v>23449</v>
      </c>
      <c r="B1005" t="s">
        <v>3212</v>
      </c>
      <c r="C1005" t="s">
        <v>3220</v>
      </c>
      <c r="D1005" t="s">
        <v>248</v>
      </c>
      <c r="E1005">
        <v>28</v>
      </c>
      <c r="F1005">
        <v>0</v>
      </c>
      <c r="G1005">
        <v>0</v>
      </c>
      <c r="H1005">
        <v>764</v>
      </c>
      <c r="I1005">
        <v>4</v>
      </c>
      <c r="J1005">
        <v>0</v>
      </c>
    </row>
    <row r="1006" spans="1:10" x14ac:dyDescent="0.25">
      <c r="A1006">
        <v>34214</v>
      </c>
      <c r="B1006" t="s">
        <v>3215</v>
      </c>
      <c r="C1006" t="s">
        <v>3226</v>
      </c>
      <c r="D1006" t="s">
        <v>659</v>
      </c>
      <c r="E1006">
        <v>28</v>
      </c>
      <c r="F1006">
        <v>0</v>
      </c>
      <c r="G1006">
        <v>0</v>
      </c>
      <c r="H1006">
        <v>92</v>
      </c>
      <c r="I1006">
        <v>1</v>
      </c>
      <c r="J1006">
        <v>0</v>
      </c>
    </row>
    <row r="1007" spans="1:10" x14ac:dyDescent="0.25">
      <c r="A1007">
        <v>22724</v>
      </c>
      <c r="B1007" t="s">
        <v>3212</v>
      </c>
      <c r="C1007" t="s">
        <v>3224</v>
      </c>
      <c r="D1007" t="s">
        <v>163</v>
      </c>
      <c r="E1007">
        <v>28</v>
      </c>
      <c r="F1007">
        <v>0</v>
      </c>
      <c r="G1007">
        <v>0</v>
      </c>
      <c r="H1007">
        <v>149</v>
      </c>
      <c r="I1007">
        <v>5</v>
      </c>
      <c r="J1007">
        <v>0</v>
      </c>
    </row>
    <row r="1008" spans="1:10" x14ac:dyDescent="0.25">
      <c r="A1008">
        <v>37371</v>
      </c>
      <c r="B1008" t="s">
        <v>3215</v>
      </c>
      <c r="C1008" t="s">
        <v>3228</v>
      </c>
      <c r="D1008" t="s">
        <v>954</v>
      </c>
      <c r="E1008">
        <v>28</v>
      </c>
      <c r="F1008">
        <v>0</v>
      </c>
      <c r="G1008">
        <v>0</v>
      </c>
      <c r="H1008">
        <v>437</v>
      </c>
      <c r="I1008">
        <v>5</v>
      </c>
      <c r="J1008">
        <v>0</v>
      </c>
    </row>
    <row r="1009" spans="1:10" x14ac:dyDescent="0.25">
      <c r="A1009">
        <v>37331</v>
      </c>
      <c r="B1009" t="s">
        <v>3215</v>
      </c>
      <c r="C1009" t="s">
        <v>3228</v>
      </c>
      <c r="D1009" t="s">
        <v>929</v>
      </c>
      <c r="E1009">
        <v>28</v>
      </c>
      <c r="F1009">
        <v>0</v>
      </c>
      <c r="G1009">
        <v>0</v>
      </c>
      <c r="H1009">
        <v>291</v>
      </c>
      <c r="J1009">
        <v>0</v>
      </c>
    </row>
    <row r="1010" spans="1:10" x14ac:dyDescent="0.25">
      <c r="A1010">
        <v>26271</v>
      </c>
      <c r="B1010" t="s">
        <v>3212</v>
      </c>
      <c r="C1010" t="s">
        <v>3227</v>
      </c>
      <c r="D1010" t="s">
        <v>491</v>
      </c>
      <c r="E1010">
        <v>28</v>
      </c>
      <c r="F1010">
        <v>0</v>
      </c>
      <c r="G1010">
        <v>0</v>
      </c>
      <c r="H1010">
        <v>140</v>
      </c>
      <c r="I1010">
        <v>9</v>
      </c>
      <c r="J1010">
        <v>0</v>
      </c>
    </row>
    <row r="1011" spans="1:10" x14ac:dyDescent="0.25">
      <c r="A1011">
        <v>26243</v>
      </c>
      <c r="B1011" t="s">
        <v>3212</v>
      </c>
      <c r="C1011" t="s">
        <v>3227</v>
      </c>
      <c r="D1011" t="s">
        <v>474</v>
      </c>
      <c r="E1011">
        <v>28</v>
      </c>
      <c r="F1011">
        <v>0</v>
      </c>
      <c r="G1011">
        <v>0</v>
      </c>
      <c r="H1011">
        <v>484</v>
      </c>
      <c r="I1011">
        <v>39</v>
      </c>
      <c r="J1011">
        <v>0</v>
      </c>
    </row>
    <row r="1012" spans="1:10" x14ac:dyDescent="0.25">
      <c r="A1012">
        <v>26281</v>
      </c>
      <c r="B1012" t="s">
        <v>3212</v>
      </c>
      <c r="C1012" t="s">
        <v>3227</v>
      </c>
      <c r="D1012" t="s">
        <v>497</v>
      </c>
      <c r="E1012">
        <v>28</v>
      </c>
      <c r="F1012">
        <v>0</v>
      </c>
      <c r="G1012">
        <v>0</v>
      </c>
      <c r="H1012">
        <v>504</v>
      </c>
      <c r="I1012">
        <v>8</v>
      </c>
      <c r="J1012">
        <v>0</v>
      </c>
    </row>
    <row r="1013" spans="1:10" x14ac:dyDescent="0.25">
      <c r="A1013">
        <v>26229</v>
      </c>
      <c r="B1013" t="s">
        <v>3212</v>
      </c>
      <c r="C1013" t="s">
        <v>3227</v>
      </c>
      <c r="D1013" t="s">
        <v>466</v>
      </c>
      <c r="E1013">
        <v>28</v>
      </c>
      <c r="F1013">
        <v>0</v>
      </c>
      <c r="G1013">
        <v>0</v>
      </c>
      <c r="H1013">
        <v>938</v>
      </c>
      <c r="I1013">
        <v>24</v>
      </c>
      <c r="J1013">
        <v>0</v>
      </c>
    </row>
    <row r="1014" spans="1:10" x14ac:dyDescent="0.25">
      <c r="A1014">
        <v>55134</v>
      </c>
      <c r="B1014" t="s">
        <v>3214</v>
      </c>
      <c r="C1014" t="s">
        <v>3222</v>
      </c>
      <c r="D1014" t="s">
        <v>1170</v>
      </c>
      <c r="E1014">
        <v>28</v>
      </c>
      <c r="F1014">
        <v>0</v>
      </c>
      <c r="G1014">
        <v>0</v>
      </c>
      <c r="H1014">
        <v>2158</v>
      </c>
      <c r="I1014">
        <v>4</v>
      </c>
      <c r="J1014">
        <v>0</v>
      </c>
    </row>
    <row r="1015" spans="1:10" x14ac:dyDescent="0.25">
      <c r="A1015">
        <v>51135</v>
      </c>
      <c r="B1015" t="s">
        <v>3214</v>
      </c>
      <c r="C1015" t="s">
        <v>3045</v>
      </c>
      <c r="D1015" t="s">
        <v>2931</v>
      </c>
      <c r="E1015">
        <v>28</v>
      </c>
      <c r="F1015">
        <v>0</v>
      </c>
      <c r="G1015">
        <v>0</v>
      </c>
      <c r="H1015">
        <v>4116</v>
      </c>
      <c r="I1015">
        <v>30</v>
      </c>
      <c r="J1015">
        <v>0</v>
      </c>
    </row>
    <row r="1016" spans="1:10" x14ac:dyDescent="0.25">
      <c r="A1016">
        <v>34241</v>
      </c>
      <c r="B1016" t="s">
        <v>3215</v>
      </c>
      <c r="C1016" t="s">
        <v>3226</v>
      </c>
      <c r="D1016" t="s">
        <v>676</v>
      </c>
      <c r="E1016">
        <v>27</v>
      </c>
      <c r="F1016">
        <v>0</v>
      </c>
      <c r="G1016">
        <v>0</v>
      </c>
      <c r="H1016">
        <v>367</v>
      </c>
      <c r="I1016">
        <v>6</v>
      </c>
      <c r="J1016">
        <v>0</v>
      </c>
    </row>
    <row r="1017" spans="1:10" x14ac:dyDescent="0.25">
      <c r="A1017">
        <v>32133</v>
      </c>
      <c r="B1017" t="s">
        <v>3215</v>
      </c>
      <c r="C1017" t="s">
        <v>3223</v>
      </c>
      <c r="D1017" t="s">
        <v>565</v>
      </c>
      <c r="E1017">
        <v>27</v>
      </c>
      <c r="F1017">
        <v>0</v>
      </c>
      <c r="G1017">
        <v>0</v>
      </c>
      <c r="H1017">
        <v>556</v>
      </c>
      <c r="I1017">
        <v>3</v>
      </c>
      <c r="J1017">
        <v>0</v>
      </c>
    </row>
    <row r="1018" spans="1:10" x14ac:dyDescent="0.25">
      <c r="A1018">
        <v>22764</v>
      </c>
      <c r="B1018" t="s">
        <v>3212</v>
      </c>
      <c r="C1018" t="s">
        <v>3224</v>
      </c>
      <c r="D1018" t="s">
        <v>176</v>
      </c>
      <c r="E1018">
        <v>27</v>
      </c>
      <c r="F1018">
        <v>0</v>
      </c>
      <c r="G1018">
        <v>0</v>
      </c>
      <c r="H1018">
        <v>531</v>
      </c>
      <c r="I1018">
        <v>93</v>
      </c>
      <c r="J1018">
        <v>0</v>
      </c>
    </row>
    <row r="1019" spans="1:10" x14ac:dyDescent="0.25">
      <c r="A1019">
        <v>25315</v>
      </c>
      <c r="B1019" t="s">
        <v>3212</v>
      </c>
      <c r="C1019" t="s">
        <v>3229</v>
      </c>
      <c r="D1019" t="s">
        <v>385</v>
      </c>
      <c r="E1019">
        <v>27</v>
      </c>
      <c r="F1019">
        <v>0</v>
      </c>
      <c r="G1019">
        <v>0</v>
      </c>
      <c r="H1019">
        <v>725</v>
      </c>
      <c r="I1019">
        <v>35</v>
      </c>
      <c r="J1019">
        <v>0</v>
      </c>
    </row>
    <row r="1020" spans="1:10" x14ac:dyDescent="0.25">
      <c r="A1020">
        <v>25331</v>
      </c>
      <c r="B1020" t="s">
        <v>3212</v>
      </c>
      <c r="C1020" t="s">
        <v>3229</v>
      </c>
      <c r="D1020" t="s">
        <v>393</v>
      </c>
      <c r="E1020">
        <v>27</v>
      </c>
      <c r="F1020">
        <v>0</v>
      </c>
      <c r="G1020">
        <v>0</v>
      </c>
      <c r="H1020">
        <v>695</v>
      </c>
      <c r="I1020">
        <v>15</v>
      </c>
      <c r="J1020">
        <v>0</v>
      </c>
    </row>
    <row r="1021" spans="1:10" x14ac:dyDescent="0.25">
      <c r="A1021">
        <v>23435</v>
      </c>
      <c r="B1021" t="s">
        <v>3212</v>
      </c>
      <c r="C1021" t="s">
        <v>3220</v>
      </c>
      <c r="D1021" t="s">
        <v>240</v>
      </c>
      <c r="E1021">
        <v>26</v>
      </c>
      <c r="F1021">
        <v>0</v>
      </c>
      <c r="G1021">
        <v>0</v>
      </c>
      <c r="H1021">
        <v>940</v>
      </c>
      <c r="I1021">
        <v>10</v>
      </c>
      <c r="J1021">
        <v>0</v>
      </c>
    </row>
    <row r="1022" spans="1:10" x14ac:dyDescent="0.25">
      <c r="A1022">
        <v>23467</v>
      </c>
      <c r="B1022" t="s">
        <v>3212</v>
      </c>
      <c r="C1022" t="s">
        <v>3220</v>
      </c>
      <c r="D1022" t="s">
        <v>257</v>
      </c>
      <c r="E1022">
        <v>26</v>
      </c>
      <c r="F1022">
        <v>0</v>
      </c>
      <c r="G1022">
        <v>0</v>
      </c>
      <c r="H1022">
        <v>646</v>
      </c>
      <c r="I1022">
        <v>10</v>
      </c>
      <c r="J1022">
        <v>0</v>
      </c>
    </row>
    <row r="1023" spans="1:10" x14ac:dyDescent="0.25">
      <c r="A1023">
        <v>23455</v>
      </c>
      <c r="B1023" t="s">
        <v>3212</v>
      </c>
      <c r="C1023" t="s">
        <v>3220</v>
      </c>
      <c r="D1023" t="s">
        <v>252</v>
      </c>
      <c r="E1023">
        <v>26</v>
      </c>
      <c r="F1023">
        <v>0</v>
      </c>
      <c r="G1023">
        <v>0</v>
      </c>
      <c r="H1023">
        <v>1070</v>
      </c>
      <c r="J1023">
        <v>0</v>
      </c>
    </row>
    <row r="1024" spans="1:10" x14ac:dyDescent="0.25">
      <c r="A1024">
        <v>37387</v>
      </c>
      <c r="B1024" t="s">
        <v>3215</v>
      </c>
      <c r="C1024" t="s">
        <v>3228</v>
      </c>
      <c r="D1024" t="s">
        <v>2918</v>
      </c>
      <c r="E1024">
        <v>26</v>
      </c>
      <c r="F1024">
        <v>0</v>
      </c>
      <c r="G1024">
        <v>0</v>
      </c>
      <c r="H1024">
        <v>215</v>
      </c>
      <c r="I1024">
        <v>4</v>
      </c>
      <c r="J1024">
        <v>0</v>
      </c>
    </row>
    <row r="1025" spans="1:10" x14ac:dyDescent="0.25">
      <c r="A1025">
        <v>61491</v>
      </c>
      <c r="B1025" t="s">
        <v>3213</v>
      </c>
      <c r="C1025" t="s">
        <v>3039</v>
      </c>
      <c r="D1025" t="s">
        <v>1262</v>
      </c>
      <c r="E1025">
        <v>26</v>
      </c>
      <c r="F1025">
        <v>0</v>
      </c>
      <c r="G1025">
        <v>0</v>
      </c>
      <c r="H1025">
        <v>185</v>
      </c>
      <c r="I1025">
        <v>9</v>
      </c>
      <c r="J1025">
        <v>0</v>
      </c>
    </row>
    <row r="1026" spans="1:10" x14ac:dyDescent="0.25">
      <c r="A1026">
        <v>52121</v>
      </c>
      <c r="B1026" t="s">
        <v>3214</v>
      </c>
      <c r="C1026" t="s">
        <v>3221</v>
      </c>
      <c r="D1026" t="s">
        <v>1030</v>
      </c>
      <c r="E1026">
        <v>26</v>
      </c>
      <c r="F1026">
        <v>0</v>
      </c>
      <c r="G1026">
        <v>0</v>
      </c>
      <c r="H1026">
        <v>710</v>
      </c>
      <c r="I1026">
        <v>3</v>
      </c>
      <c r="J1026">
        <v>0</v>
      </c>
    </row>
    <row r="1027" spans="1:10" x14ac:dyDescent="0.25">
      <c r="A1027">
        <v>35135</v>
      </c>
      <c r="B1027" t="s">
        <v>3217</v>
      </c>
      <c r="C1027" t="s">
        <v>3217</v>
      </c>
      <c r="D1027" t="s">
        <v>737</v>
      </c>
      <c r="E1027">
        <v>25</v>
      </c>
      <c r="F1027">
        <v>0</v>
      </c>
      <c r="G1027">
        <v>0</v>
      </c>
      <c r="H1027">
        <v>734</v>
      </c>
      <c r="J1027">
        <v>0</v>
      </c>
    </row>
    <row r="1028" spans="1:10" x14ac:dyDescent="0.25">
      <c r="A1028">
        <v>35281</v>
      </c>
      <c r="B1028" t="s">
        <v>3217</v>
      </c>
      <c r="C1028" t="s">
        <v>3217</v>
      </c>
      <c r="D1028" t="s">
        <v>804</v>
      </c>
      <c r="E1028">
        <v>25</v>
      </c>
      <c r="F1028">
        <v>0</v>
      </c>
      <c r="G1028">
        <v>0</v>
      </c>
      <c r="H1028">
        <v>1105</v>
      </c>
      <c r="I1028">
        <v>4</v>
      </c>
      <c r="J1028">
        <v>0</v>
      </c>
    </row>
    <row r="1029" spans="1:10" x14ac:dyDescent="0.25">
      <c r="A1029">
        <v>24341</v>
      </c>
      <c r="B1029" t="s">
        <v>3212</v>
      </c>
      <c r="C1029" t="s">
        <v>1808</v>
      </c>
      <c r="D1029" t="s">
        <v>317</v>
      </c>
      <c r="E1029">
        <v>25</v>
      </c>
      <c r="F1029">
        <v>0</v>
      </c>
      <c r="G1029">
        <v>0</v>
      </c>
      <c r="H1029">
        <v>267</v>
      </c>
      <c r="I1029">
        <v>12</v>
      </c>
      <c r="J1029">
        <v>0</v>
      </c>
    </row>
    <row r="1030" spans="1:10" x14ac:dyDescent="0.25">
      <c r="A1030">
        <v>24467</v>
      </c>
      <c r="B1030" t="s">
        <v>3212</v>
      </c>
      <c r="C1030" t="s">
        <v>1808</v>
      </c>
      <c r="D1030" t="s">
        <v>2855</v>
      </c>
      <c r="E1030">
        <v>25</v>
      </c>
      <c r="F1030">
        <v>0</v>
      </c>
      <c r="G1030">
        <v>0</v>
      </c>
      <c r="H1030">
        <v>1077</v>
      </c>
      <c r="I1030">
        <v>12</v>
      </c>
      <c r="J1030">
        <v>0</v>
      </c>
    </row>
    <row r="1031" spans="1:10" x14ac:dyDescent="0.25">
      <c r="A1031">
        <v>24335</v>
      </c>
      <c r="B1031" t="s">
        <v>3212</v>
      </c>
      <c r="C1031" t="s">
        <v>1808</v>
      </c>
      <c r="D1031" t="s">
        <v>2850</v>
      </c>
      <c r="E1031">
        <v>25</v>
      </c>
      <c r="F1031">
        <v>0</v>
      </c>
      <c r="G1031">
        <v>0</v>
      </c>
      <c r="H1031">
        <v>24</v>
      </c>
      <c r="I1031">
        <v>10</v>
      </c>
      <c r="J1031">
        <v>0</v>
      </c>
    </row>
    <row r="1032" spans="1:10" x14ac:dyDescent="0.25">
      <c r="A1032">
        <v>72287</v>
      </c>
      <c r="B1032" t="s">
        <v>3218</v>
      </c>
      <c r="C1032" t="s">
        <v>3230</v>
      </c>
      <c r="D1032" t="s">
        <v>1506</v>
      </c>
      <c r="E1032">
        <v>25</v>
      </c>
      <c r="F1032">
        <v>0</v>
      </c>
      <c r="G1032">
        <v>0</v>
      </c>
      <c r="H1032">
        <v>1838</v>
      </c>
      <c r="I1032">
        <v>16</v>
      </c>
      <c r="J1032">
        <v>0</v>
      </c>
    </row>
    <row r="1033" spans="1:10" x14ac:dyDescent="0.25">
      <c r="A1033">
        <v>34267</v>
      </c>
      <c r="B1033" t="s">
        <v>3215</v>
      </c>
      <c r="C1033" t="s">
        <v>3226</v>
      </c>
      <c r="D1033" t="s">
        <v>692</v>
      </c>
      <c r="E1033">
        <v>25</v>
      </c>
      <c r="F1033">
        <v>0</v>
      </c>
      <c r="G1033">
        <v>0</v>
      </c>
      <c r="H1033">
        <v>241</v>
      </c>
      <c r="I1033">
        <v>5</v>
      </c>
      <c r="J1033">
        <v>0</v>
      </c>
    </row>
    <row r="1034" spans="1:10" x14ac:dyDescent="0.25">
      <c r="A1034">
        <v>32161</v>
      </c>
      <c r="B1034" t="s">
        <v>3215</v>
      </c>
      <c r="C1034" t="s">
        <v>3223</v>
      </c>
      <c r="D1034" t="s">
        <v>579</v>
      </c>
      <c r="E1034">
        <v>25</v>
      </c>
      <c r="F1034">
        <v>0</v>
      </c>
      <c r="G1034">
        <v>0</v>
      </c>
      <c r="H1034">
        <v>274</v>
      </c>
      <c r="J1034">
        <v>0</v>
      </c>
    </row>
    <row r="1035" spans="1:10" x14ac:dyDescent="0.25">
      <c r="A1035">
        <v>22635</v>
      </c>
      <c r="B1035" t="s">
        <v>3212</v>
      </c>
      <c r="C1035" t="s">
        <v>3224</v>
      </c>
      <c r="D1035" t="s">
        <v>151</v>
      </c>
      <c r="E1035">
        <v>25</v>
      </c>
      <c r="F1035">
        <v>0</v>
      </c>
      <c r="G1035">
        <v>0</v>
      </c>
      <c r="H1035">
        <v>591</v>
      </c>
      <c r="I1035">
        <v>36</v>
      </c>
      <c r="J1035">
        <v>0</v>
      </c>
    </row>
    <row r="1036" spans="1:10" x14ac:dyDescent="0.25">
      <c r="A1036">
        <v>37355</v>
      </c>
      <c r="B1036" t="s">
        <v>3215</v>
      </c>
      <c r="C1036" t="s">
        <v>3228</v>
      </c>
      <c r="D1036" t="s">
        <v>2917</v>
      </c>
      <c r="E1036">
        <v>25</v>
      </c>
      <c r="F1036">
        <v>0</v>
      </c>
      <c r="G1036">
        <v>0</v>
      </c>
      <c r="H1036">
        <v>444</v>
      </c>
      <c r="I1036">
        <v>15</v>
      </c>
      <c r="J1036">
        <v>0</v>
      </c>
    </row>
    <row r="1037" spans="1:10" x14ac:dyDescent="0.25">
      <c r="A1037">
        <v>63251</v>
      </c>
      <c r="B1037" t="s">
        <v>3213</v>
      </c>
      <c r="C1037" t="s">
        <v>1342</v>
      </c>
      <c r="D1037" t="s">
        <v>1380</v>
      </c>
      <c r="E1037">
        <v>25</v>
      </c>
      <c r="F1037">
        <v>0</v>
      </c>
      <c r="G1037">
        <v>0</v>
      </c>
      <c r="H1037">
        <v>497</v>
      </c>
      <c r="I1037">
        <v>16</v>
      </c>
      <c r="J1037">
        <v>0</v>
      </c>
    </row>
    <row r="1038" spans="1:10" x14ac:dyDescent="0.25">
      <c r="A1038">
        <v>63121</v>
      </c>
      <c r="B1038" t="s">
        <v>3213</v>
      </c>
      <c r="C1038" t="s">
        <v>1342</v>
      </c>
      <c r="D1038" t="s">
        <v>2998</v>
      </c>
      <c r="E1038">
        <v>25</v>
      </c>
      <c r="F1038">
        <v>0</v>
      </c>
      <c r="G1038">
        <v>0</v>
      </c>
      <c r="H1038">
        <v>281</v>
      </c>
      <c r="I1038">
        <v>3</v>
      </c>
      <c r="J1038">
        <v>0</v>
      </c>
    </row>
    <row r="1039" spans="1:10" x14ac:dyDescent="0.25">
      <c r="A1039">
        <v>33243</v>
      </c>
      <c r="B1039" t="s">
        <v>3215</v>
      </c>
      <c r="C1039" t="s">
        <v>597</v>
      </c>
      <c r="D1039" t="s">
        <v>637</v>
      </c>
      <c r="E1039">
        <v>25</v>
      </c>
      <c r="F1039">
        <v>0</v>
      </c>
      <c r="G1039">
        <v>0</v>
      </c>
      <c r="H1039">
        <v>1134</v>
      </c>
      <c r="I1039">
        <v>11</v>
      </c>
      <c r="J1039">
        <v>0</v>
      </c>
    </row>
    <row r="1040" spans="1:10" x14ac:dyDescent="0.25">
      <c r="A1040">
        <v>21367</v>
      </c>
      <c r="B1040" t="s">
        <v>3212</v>
      </c>
      <c r="C1040" t="s">
        <v>36</v>
      </c>
      <c r="D1040" t="s">
        <v>63</v>
      </c>
      <c r="E1040">
        <v>24</v>
      </c>
      <c r="F1040">
        <v>0</v>
      </c>
      <c r="G1040">
        <v>0</v>
      </c>
      <c r="H1040">
        <v>326</v>
      </c>
      <c r="I1040">
        <v>50</v>
      </c>
      <c r="J1040">
        <v>0</v>
      </c>
    </row>
    <row r="1041" spans="1:10" x14ac:dyDescent="0.25">
      <c r="A1041">
        <v>34376</v>
      </c>
      <c r="B1041" t="s">
        <v>3215</v>
      </c>
      <c r="C1041" t="s">
        <v>3226</v>
      </c>
      <c r="D1041" t="s">
        <v>719</v>
      </c>
      <c r="E1041">
        <v>24</v>
      </c>
      <c r="F1041">
        <v>0</v>
      </c>
      <c r="G1041">
        <v>0</v>
      </c>
      <c r="H1041">
        <v>200</v>
      </c>
      <c r="I1041">
        <v>1</v>
      </c>
      <c r="J1041">
        <v>0</v>
      </c>
    </row>
    <row r="1042" spans="1:10" x14ac:dyDescent="0.25">
      <c r="A1042">
        <v>32139</v>
      </c>
      <c r="B1042" t="s">
        <v>3215</v>
      </c>
      <c r="C1042" t="s">
        <v>3223</v>
      </c>
      <c r="D1042" t="s">
        <v>568</v>
      </c>
      <c r="E1042">
        <v>24</v>
      </c>
      <c r="F1042">
        <v>0</v>
      </c>
      <c r="G1042">
        <v>0</v>
      </c>
      <c r="H1042">
        <v>1373</v>
      </c>
      <c r="I1042">
        <v>12</v>
      </c>
      <c r="J1042">
        <v>0</v>
      </c>
    </row>
    <row r="1043" spans="1:10" x14ac:dyDescent="0.25">
      <c r="A1043">
        <v>22774</v>
      </c>
      <c r="B1043" t="s">
        <v>3212</v>
      </c>
      <c r="C1043" t="s">
        <v>3224</v>
      </c>
      <c r="D1043" t="s">
        <v>179</v>
      </c>
      <c r="E1043">
        <v>24</v>
      </c>
      <c r="F1043">
        <v>0</v>
      </c>
      <c r="G1043">
        <v>0</v>
      </c>
      <c r="H1043">
        <v>318</v>
      </c>
      <c r="I1043">
        <v>3</v>
      </c>
      <c r="J1043">
        <v>0</v>
      </c>
    </row>
    <row r="1044" spans="1:10" x14ac:dyDescent="0.25">
      <c r="A1044">
        <v>63311</v>
      </c>
      <c r="B1044" t="s">
        <v>3213</v>
      </c>
      <c r="C1044" t="s">
        <v>1342</v>
      </c>
      <c r="D1044" t="s">
        <v>1396</v>
      </c>
      <c r="E1044">
        <v>24</v>
      </c>
      <c r="F1044">
        <v>0</v>
      </c>
      <c r="G1044">
        <v>0</v>
      </c>
      <c r="H1044">
        <v>1309</v>
      </c>
      <c r="I1044">
        <v>2</v>
      </c>
      <c r="J1044">
        <v>0</v>
      </c>
    </row>
    <row r="1045" spans="1:10" x14ac:dyDescent="0.25">
      <c r="A1045">
        <v>51119</v>
      </c>
      <c r="B1045" t="s">
        <v>3214</v>
      </c>
      <c r="C1045" t="s">
        <v>3045</v>
      </c>
      <c r="D1045" t="s">
        <v>2923</v>
      </c>
      <c r="E1045">
        <v>24</v>
      </c>
      <c r="F1045">
        <v>0</v>
      </c>
      <c r="G1045">
        <v>0</v>
      </c>
      <c r="H1045">
        <v>1543</v>
      </c>
      <c r="I1045">
        <v>30</v>
      </c>
      <c r="J1045">
        <v>0</v>
      </c>
    </row>
    <row r="1046" spans="1:10" x14ac:dyDescent="0.25">
      <c r="A1046">
        <v>51115</v>
      </c>
      <c r="B1046" t="s">
        <v>3214</v>
      </c>
      <c r="C1046" t="s">
        <v>3045</v>
      </c>
      <c r="D1046" t="s">
        <v>2921</v>
      </c>
      <c r="E1046">
        <v>24</v>
      </c>
      <c r="F1046">
        <v>0</v>
      </c>
      <c r="G1046">
        <v>0</v>
      </c>
      <c r="H1046">
        <v>2519</v>
      </c>
      <c r="I1046">
        <v>10</v>
      </c>
      <c r="J1046">
        <v>0</v>
      </c>
    </row>
    <row r="1047" spans="1:10" x14ac:dyDescent="0.25">
      <c r="A1047">
        <v>21397</v>
      </c>
      <c r="B1047" t="s">
        <v>3212</v>
      </c>
      <c r="C1047" t="s">
        <v>36</v>
      </c>
      <c r="D1047" t="s">
        <v>70</v>
      </c>
      <c r="E1047">
        <v>23</v>
      </c>
      <c r="F1047">
        <v>0</v>
      </c>
      <c r="G1047">
        <v>0</v>
      </c>
      <c r="H1047">
        <v>253</v>
      </c>
      <c r="I1047">
        <v>5</v>
      </c>
      <c r="J1047">
        <v>0</v>
      </c>
    </row>
    <row r="1048" spans="1:10" x14ac:dyDescent="0.25">
      <c r="A1048">
        <v>21416</v>
      </c>
      <c r="B1048" t="s">
        <v>3212</v>
      </c>
      <c r="C1048" t="s">
        <v>36</v>
      </c>
      <c r="D1048" t="s">
        <v>72</v>
      </c>
      <c r="E1048">
        <v>23</v>
      </c>
      <c r="F1048">
        <v>0</v>
      </c>
      <c r="G1048">
        <v>0</v>
      </c>
      <c r="H1048">
        <v>859</v>
      </c>
      <c r="I1048">
        <v>64</v>
      </c>
      <c r="J1048">
        <v>0</v>
      </c>
    </row>
    <row r="1049" spans="1:10" x14ac:dyDescent="0.25">
      <c r="A1049">
        <v>36181</v>
      </c>
      <c r="B1049" t="s">
        <v>3215</v>
      </c>
      <c r="C1049" t="s">
        <v>2906</v>
      </c>
      <c r="D1049" t="s">
        <v>907</v>
      </c>
      <c r="E1049">
        <v>23</v>
      </c>
      <c r="F1049">
        <v>0</v>
      </c>
      <c r="G1049">
        <v>0</v>
      </c>
      <c r="H1049">
        <v>708</v>
      </c>
      <c r="J1049">
        <v>0</v>
      </c>
    </row>
    <row r="1050" spans="1:10" x14ac:dyDescent="0.25">
      <c r="A1050">
        <v>23371</v>
      </c>
      <c r="B1050" t="s">
        <v>3212</v>
      </c>
      <c r="C1050" t="s">
        <v>3220</v>
      </c>
      <c r="D1050" t="s">
        <v>224</v>
      </c>
      <c r="E1050">
        <v>23</v>
      </c>
      <c r="F1050">
        <v>0</v>
      </c>
      <c r="G1050">
        <v>0</v>
      </c>
      <c r="H1050">
        <v>53</v>
      </c>
      <c r="I1050">
        <v>3</v>
      </c>
      <c r="J1050">
        <v>0</v>
      </c>
    </row>
    <row r="1051" spans="1:10" x14ac:dyDescent="0.25">
      <c r="A1051">
        <v>22451</v>
      </c>
      <c r="B1051" t="s">
        <v>3212</v>
      </c>
      <c r="C1051" t="s">
        <v>3224</v>
      </c>
      <c r="D1051" t="s">
        <v>116</v>
      </c>
      <c r="E1051">
        <v>23</v>
      </c>
      <c r="F1051">
        <v>0</v>
      </c>
      <c r="G1051">
        <v>0</v>
      </c>
      <c r="H1051">
        <v>1115</v>
      </c>
      <c r="I1051">
        <v>380</v>
      </c>
      <c r="J1051">
        <v>0</v>
      </c>
    </row>
    <row r="1052" spans="1:10" x14ac:dyDescent="0.25">
      <c r="A1052">
        <v>37347</v>
      </c>
      <c r="B1052" t="s">
        <v>3215</v>
      </c>
      <c r="C1052" t="s">
        <v>3228</v>
      </c>
      <c r="D1052" t="s">
        <v>938</v>
      </c>
      <c r="E1052">
        <v>23</v>
      </c>
      <c r="F1052">
        <v>0</v>
      </c>
      <c r="G1052">
        <v>0</v>
      </c>
      <c r="H1052">
        <v>780</v>
      </c>
      <c r="J1052">
        <v>0</v>
      </c>
    </row>
    <row r="1053" spans="1:10" x14ac:dyDescent="0.25">
      <c r="A1053">
        <v>26298</v>
      </c>
      <c r="B1053" t="s">
        <v>3212</v>
      </c>
      <c r="C1053" t="s">
        <v>3227</v>
      </c>
      <c r="D1053" t="s">
        <v>509</v>
      </c>
      <c r="E1053">
        <v>23</v>
      </c>
      <c r="F1053">
        <v>0</v>
      </c>
      <c r="G1053">
        <v>0</v>
      </c>
      <c r="H1053">
        <v>630</v>
      </c>
      <c r="I1053">
        <v>26</v>
      </c>
      <c r="J1053">
        <v>0</v>
      </c>
    </row>
    <row r="1054" spans="1:10" x14ac:dyDescent="0.25">
      <c r="A1054">
        <v>61222</v>
      </c>
      <c r="B1054" t="s">
        <v>3213</v>
      </c>
      <c r="C1054" t="s">
        <v>3039</v>
      </c>
      <c r="D1054" t="s">
        <v>1199</v>
      </c>
      <c r="E1054">
        <v>23</v>
      </c>
      <c r="F1054">
        <v>1221</v>
      </c>
      <c r="G1054">
        <v>0</v>
      </c>
      <c r="H1054">
        <v>333</v>
      </c>
      <c r="I1054">
        <v>8</v>
      </c>
      <c r="J1054">
        <v>3.6666666666666665</v>
      </c>
    </row>
    <row r="1055" spans="1:10" x14ac:dyDescent="0.25">
      <c r="A1055">
        <v>31176</v>
      </c>
      <c r="B1055" t="s">
        <v>3215</v>
      </c>
      <c r="C1055" t="s">
        <v>3225</v>
      </c>
      <c r="D1055" t="s">
        <v>2877</v>
      </c>
      <c r="E1055">
        <v>23</v>
      </c>
      <c r="F1055">
        <v>207</v>
      </c>
      <c r="G1055">
        <v>0</v>
      </c>
      <c r="H1055">
        <v>10323</v>
      </c>
      <c r="I1055">
        <v>141</v>
      </c>
      <c r="J1055">
        <v>2.0052310374891021E-2</v>
      </c>
    </row>
    <row r="1056" spans="1:10" x14ac:dyDescent="0.25">
      <c r="A1056">
        <v>31131</v>
      </c>
      <c r="B1056" t="s">
        <v>3215</v>
      </c>
      <c r="C1056" t="s">
        <v>3225</v>
      </c>
      <c r="D1056" t="s">
        <v>541</v>
      </c>
      <c r="E1056">
        <v>23</v>
      </c>
      <c r="F1056">
        <v>207</v>
      </c>
      <c r="G1056">
        <v>0</v>
      </c>
      <c r="H1056">
        <v>1</v>
      </c>
      <c r="I1056">
        <v>2</v>
      </c>
      <c r="J1056">
        <v>207</v>
      </c>
    </row>
    <row r="1057" spans="1:10" x14ac:dyDescent="0.25">
      <c r="A1057">
        <v>33231</v>
      </c>
      <c r="B1057" t="s">
        <v>3215</v>
      </c>
      <c r="C1057" t="s">
        <v>597</v>
      </c>
      <c r="D1057" t="s">
        <v>634</v>
      </c>
      <c r="E1057">
        <v>23</v>
      </c>
      <c r="F1057">
        <v>0</v>
      </c>
      <c r="G1057">
        <v>0</v>
      </c>
      <c r="H1057">
        <v>38</v>
      </c>
      <c r="J1057">
        <v>0</v>
      </c>
    </row>
    <row r="1058" spans="1:10" x14ac:dyDescent="0.25">
      <c r="A1058">
        <v>35167</v>
      </c>
      <c r="B1058" t="s">
        <v>3217</v>
      </c>
      <c r="C1058" t="s">
        <v>3217</v>
      </c>
      <c r="D1058" t="s">
        <v>753</v>
      </c>
      <c r="E1058">
        <v>22</v>
      </c>
      <c r="F1058">
        <v>0</v>
      </c>
      <c r="G1058">
        <v>0</v>
      </c>
      <c r="H1058">
        <v>1029</v>
      </c>
      <c r="J1058">
        <v>0</v>
      </c>
    </row>
    <row r="1059" spans="1:10" x14ac:dyDescent="0.25">
      <c r="A1059">
        <v>35469</v>
      </c>
      <c r="B1059" t="s">
        <v>3217</v>
      </c>
      <c r="C1059" t="s">
        <v>3217</v>
      </c>
      <c r="D1059" t="s">
        <v>873</v>
      </c>
      <c r="E1059">
        <v>22</v>
      </c>
      <c r="F1059">
        <v>0</v>
      </c>
      <c r="G1059">
        <v>0</v>
      </c>
      <c r="H1059">
        <v>296</v>
      </c>
      <c r="J1059">
        <v>0</v>
      </c>
    </row>
    <row r="1060" spans="1:10" x14ac:dyDescent="0.25">
      <c r="A1060">
        <v>24373</v>
      </c>
      <c r="B1060" t="s">
        <v>3212</v>
      </c>
      <c r="C1060" t="s">
        <v>1808</v>
      </c>
      <c r="D1060" t="s">
        <v>333</v>
      </c>
      <c r="E1060">
        <v>22</v>
      </c>
      <c r="F1060">
        <v>0</v>
      </c>
      <c r="G1060">
        <v>0</v>
      </c>
      <c r="H1060">
        <v>18</v>
      </c>
      <c r="J1060">
        <v>0</v>
      </c>
    </row>
    <row r="1061" spans="1:10" x14ac:dyDescent="0.25">
      <c r="A1061">
        <v>36134</v>
      </c>
      <c r="B1061" t="s">
        <v>3215</v>
      </c>
      <c r="C1061" t="s">
        <v>2906</v>
      </c>
      <c r="D1061" t="s">
        <v>895</v>
      </c>
      <c r="E1061">
        <v>22</v>
      </c>
      <c r="F1061">
        <v>0</v>
      </c>
      <c r="G1061">
        <v>0</v>
      </c>
      <c r="H1061">
        <v>203</v>
      </c>
      <c r="I1061">
        <v>3</v>
      </c>
      <c r="J1061">
        <v>0</v>
      </c>
    </row>
    <row r="1062" spans="1:10" x14ac:dyDescent="0.25">
      <c r="A1062">
        <v>36164</v>
      </c>
      <c r="B1062" t="s">
        <v>3215</v>
      </c>
      <c r="C1062" t="s">
        <v>2906</v>
      </c>
      <c r="D1062" t="s">
        <v>904</v>
      </c>
      <c r="E1062">
        <v>22</v>
      </c>
      <c r="F1062">
        <v>0</v>
      </c>
      <c r="G1062">
        <v>0</v>
      </c>
      <c r="H1062">
        <v>208</v>
      </c>
      <c r="I1062">
        <v>2</v>
      </c>
      <c r="J1062">
        <v>0</v>
      </c>
    </row>
    <row r="1063" spans="1:10" x14ac:dyDescent="0.25">
      <c r="A1063">
        <v>72284</v>
      </c>
      <c r="B1063" t="s">
        <v>3218</v>
      </c>
      <c r="C1063" t="s">
        <v>3230</v>
      </c>
      <c r="D1063" t="s">
        <v>1505</v>
      </c>
      <c r="E1063">
        <v>22</v>
      </c>
      <c r="F1063">
        <v>0</v>
      </c>
      <c r="G1063">
        <v>0</v>
      </c>
      <c r="H1063">
        <v>19</v>
      </c>
      <c r="J1063">
        <v>0</v>
      </c>
    </row>
    <row r="1064" spans="1:10" x14ac:dyDescent="0.25">
      <c r="A1064">
        <v>23235</v>
      </c>
      <c r="B1064" t="s">
        <v>3212</v>
      </c>
      <c r="C1064" t="s">
        <v>3220</v>
      </c>
      <c r="D1064" t="s">
        <v>2828</v>
      </c>
      <c r="E1064">
        <v>22</v>
      </c>
      <c r="F1064">
        <v>0</v>
      </c>
      <c r="G1064">
        <v>0</v>
      </c>
      <c r="H1064">
        <v>79</v>
      </c>
      <c r="I1064">
        <v>3</v>
      </c>
      <c r="J1064">
        <v>0</v>
      </c>
    </row>
    <row r="1065" spans="1:10" x14ac:dyDescent="0.25">
      <c r="A1065">
        <v>34231</v>
      </c>
      <c r="B1065" t="s">
        <v>3215</v>
      </c>
      <c r="C1065" t="s">
        <v>3226</v>
      </c>
      <c r="D1065" t="s">
        <v>670</v>
      </c>
      <c r="E1065">
        <v>22</v>
      </c>
      <c r="F1065">
        <v>0</v>
      </c>
      <c r="G1065">
        <v>0</v>
      </c>
      <c r="H1065">
        <v>253</v>
      </c>
      <c r="I1065">
        <v>8</v>
      </c>
      <c r="J1065">
        <v>0</v>
      </c>
    </row>
    <row r="1066" spans="1:10" x14ac:dyDescent="0.25">
      <c r="A1066">
        <v>32173</v>
      </c>
      <c r="B1066" t="s">
        <v>3215</v>
      </c>
      <c r="C1066" t="s">
        <v>3223</v>
      </c>
      <c r="D1066" t="s">
        <v>585</v>
      </c>
      <c r="E1066">
        <v>22</v>
      </c>
      <c r="F1066">
        <v>0</v>
      </c>
      <c r="G1066">
        <v>0</v>
      </c>
      <c r="H1066">
        <v>6</v>
      </c>
      <c r="J1066">
        <v>0</v>
      </c>
    </row>
    <row r="1067" spans="1:10" x14ac:dyDescent="0.25">
      <c r="A1067">
        <v>22515</v>
      </c>
      <c r="B1067" t="s">
        <v>3212</v>
      </c>
      <c r="C1067" t="s">
        <v>3224</v>
      </c>
      <c r="D1067" t="s">
        <v>127</v>
      </c>
      <c r="E1067">
        <v>22</v>
      </c>
      <c r="F1067">
        <v>0</v>
      </c>
      <c r="G1067">
        <v>0</v>
      </c>
      <c r="H1067">
        <v>1054</v>
      </c>
      <c r="I1067">
        <v>152</v>
      </c>
      <c r="J1067">
        <v>0</v>
      </c>
    </row>
    <row r="1068" spans="1:10" x14ac:dyDescent="0.25">
      <c r="A1068">
        <v>37281</v>
      </c>
      <c r="B1068" t="s">
        <v>3215</v>
      </c>
      <c r="C1068" t="s">
        <v>3228</v>
      </c>
      <c r="D1068" t="s">
        <v>2909</v>
      </c>
      <c r="E1068">
        <v>22</v>
      </c>
      <c r="F1068">
        <v>71</v>
      </c>
      <c r="G1068">
        <v>0</v>
      </c>
      <c r="H1068">
        <v>127</v>
      </c>
      <c r="J1068">
        <v>0.55905511811023623</v>
      </c>
    </row>
    <row r="1069" spans="1:10" x14ac:dyDescent="0.25">
      <c r="A1069">
        <v>74131</v>
      </c>
      <c r="B1069" t="s">
        <v>3218</v>
      </c>
      <c r="C1069" t="s">
        <v>2784</v>
      </c>
      <c r="D1069" t="s">
        <v>3028</v>
      </c>
      <c r="E1069">
        <v>22</v>
      </c>
      <c r="F1069">
        <v>0</v>
      </c>
      <c r="G1069">
        <v>0</v>
      </c>
      <c r="H1069">
        <v>496</v>
      </c>
      <c r="I1069">
        <v>36</v>
      </c>
      <c r="J1069">
        <v>0</v>
      </c>
    </row>
    <row r="1070" spans="1:10" x14ac:dyDescent="0.25">
      <c r="A1070">
        <v>26266</v>
      </c>
      <c r="B1070" t="s">
        <v>3212</v>
      </c>
      <c r="C1070" t="s">
        <v>3227</v>
      </c>
      <c r="D1070" t="s">
        <v>488</v>
      </c>
      <c r="E1070">
        <v>22</v>
      </c>
      <c r="F1070">
        <v>0</v>
      </c>
      <c r="G1070">
        <v>0</v>
      </c>
      <c r="H1070">
        <v>812</v>
      </c>
      <c r="I1070">
        <v>10</v>
      </c>
      <c r="J1070">
        <v>0</v>
      </c>
    </row>
    <row r="1071" spans="1:10" x14ac:dyDescent="0.25">
      <c r="A1071">
        <v>63151</v>
      </c>
      <c r="B1071" t="s">
        <v>3213</v>
      </c>
      <c r="C1071" t="s">
        <v>1342</v>
      </c>
      <c r="D1071" t="s">
        <v>1354</v>
      </c>
      <c r="E1071">
        <v>22</v>
      </c>
      <c r="F1071">
        <v>0</v>
      </c>
      <c r="G1071">
        <v>0</v>
      </c>
      <c r="H1071">
        <v>362</v>
      </c>
      <c r="I1071">
        <v>1</v>
      </c>
      <c r="J1071">
        <v>0</v>
      </c>
    </row>
    <row r="1072" spans="1:10" x14ac:dyDescent="0.25">
      <c r="A1072">
        <v>35273</v>
      </c>
      <c r="B1072" t="s">
        <v>3217</v>
      </c>
      <c r="C1072" t="s">
        <v>3217</v>
      </c>
      <c r="D1072" t="s">
        <v>801</v>
      </c>
      <c r="E1072">
        <v>21</v>
      </c>
      <c r="F1072">
        <v>0</v>
      </c>
      <c r="G1072">
        <v>0</v>
      </c>
      <c r="H1072">
        <v>1029</v>
      </c>
      <c r="I1072">
        <v>5</v>
      </c>
      <c r="J1072">
        <v>0</v>
      </c>
    </row>
    <row r="1073" spans="1:10" x14ac:dyDescent="0.25">
      <c r="A1073">
        <v>35159</v>
      </c>
      <c r="B1073" t="s">
        <v>3217</v>
      </c>
      <c r="C1073" t="s">
        <v>3217</v>
      </c>
      <c r="D1073" t="s">
        <v>750</v>
      </c>
      <c r="E1073">
        <v>21</v>
      </c>
      <c r="F1073">
        <v>0</v>
      </c>
      <c r="G1073">
        <v>0</v>
      </c>
      <c r="H1073">
        <v>568</v>
      </c>
      <c r="I1073">
        <v>10</v>
      </c>
      <c r="J1073">
        <v>0</v>
      </c>
    </row>
    <row r="1074" spans="1:10" x14ac:dyDescent="0.25">
      <c r="A1074">
        <v>24431</v>
      </c>
      <c r="B1074" t="s">
        <v>3212</v>
      </c>
      <c r="C1074" t="s">
        <v>1808</v>
      </c>
      <c r="D1074" t="s">
        <v>342</v>
      </c>
      <c r="E1074">
        <v>21</v>
      </c>
      <c r="F1074">
        <v>0</v>
      </c>
      <c r="G1074">
        <v>0</v>
      </c>
      <c r="H1074">
        <v>1</v>
      </c>
      <c r="I1074">
        <v>24</v>
      </c>
      <c r="J1074">
        <v>0</v>
      </c>
    </row>
    <row r="1075" spans="1:10" x14ac:dyDescent="0.25">
      <c r="A1075">
        <v>53449</v>
      </c>
      <c r="B1075" t="s">
        <v>3216</v>
      </c>
      <c r="C1075" t="s">
        <v>1069</v>
      </c>
      <c r="D1075" t="s">
        <v>1138</v>
      </c>
      <c r="E1075">
        <v>21</v>
      </c>
      <c r="F1075">
        <v>0</v>
      </c>
      <c r="G1075">
        <v>0</v>
      </c>
      <c r="H1075">
        <v>228</v>
      </c>
      <c r="J1075">
        <v>0</v>
      </c>
    </row>
    <row r="1076" spans="1:10" x14ac:dyDescent="0.25">
      <c r="A1076">
        <v>37329</v>
      </c>
      <c r="B1076" t="s">
        <v>3215</v>
      </c>
      <c r="C1076" t="s">
        <v>3228</v>
      </c>
      <c r="D1076" t="s">
        <v>928</v>
      </c>
      <c r="E1076">
        <v>21</v>
      </c>
      <c r="F1076">
        <v>0</v>
      </c>
      <c r="G1076">
        <v>0</v>
      </c>
      <c r="H1076">
        <v>2193</v>
      </c>
      <c r="J1076">
        <v>0</v>
      </c>
    </row>
    <row r="1077" spans="1:10" x14ac:dyDescent="0.25">
      <c r="A1077">
        <v>26299</v>
      </c>
      <c r="B1077" t="s">
        <v>3212</v>
      </c>
      <c r="C1077" t="s">
        <v>3227</v>
      </c>
      <c r="D1077" t="s">
        <v>510</v>
      </c>
      <c r="E1077">
        <v>21</v>
      </c>
      <c r="F1077">
        <v>0</v>
      </c>
      <c r="G1077">
        <v>0</v>
      </c>
      <c r="H1077">
        <v>210</v>
      </c>
      <c r="I1077">
        <v>3</v>
      </c>
      <c r="J1077">
        <v>0</v>
      </c>
    </row>
    <row r="1078" spans="1:10" x14ac:dyDescent="0.25">
      <c r="A1078">
        <v>26267</v>
      </c>
      <c r="B1078" t="s">
        <v>3212</v>
      </c>
      <c r="C1078" t="s">
        <v>3227</v>
      </c>
      <c r="D1078" t="s">
        <v>489</v>
      </c>
      <c r="E1078">
        <v>21</v>
      </c>
      <c r="F1078">
        <v>0</v>
      </c>
      <c r="G1078">
        <v>0</v>
      </c>
      <c r="H1078">
        <v>861</v>
      </c>
      <c r="I1078">
        <v>6</v>
      </c>
      <c r="J1078">
        <v>0</v>
      </c>
    </row>
    <row r="1079" spans="1:10" x14ac:dyDescent="0.25">
      <c r="A1079">
        <v>63351</v>
      </c>
      <c r="B1079" t="s">
        <v>3213</v>
      </c>
      <c r="C1079" t="s">
        <v>1342</v>
      </c>
      <c r="D1079" t="s">
        <v>3009</v>
      </c>
      <c r="E1079">
        <v>21</v>
      </c>
      <c r="F1079">
        <v>0</v>
      </c>
      <c r="G1079">
        <v>0</v>
      </c>
      <c r="H1079">
        <v>291</v>
      </c>
      <c r="J1079">
        <v>0</v>
      </c>
    </row>
    <row r="1080" spans="1:10" x14ac:dyDescent="0.25">
      <c r="A1080">
        <v>62267</v>
      </c>
      <c r="B1080" t="s">
        <v>3213</v>
      </c>
      <c r="C1080" t="s">
        <v>1267</v>
      </c>
      <c r="D1080" t="s">
        <v>1308</v>
      </c>
      <c r="E1080">
        <v>21</v>
      </c>
      <c r="F1080">
        <v>261</v>
      </c>
      <c r="G1080">
        <v>0</v>
      </c>
      <c r="H1080">
        <v>569</v>
      </c>
      <c r="I1080">
        <v>10</v>
      </c>
      <c r="J1080">
        <v>0.45869947275922673</v>
      </c>
    </row>
    <row r="1081" spans="1:10" x14ac:dyDescent="0.25">
      <c r="A1081">
        <v>51257</v>
      </c>
      <c r="B1081" t="s">
        <v>3214</v>
      </c>
      <c r="C1081" t="s">
        <v>3045</v>
      </c>
      <c r="D1081" t="s">
        <v>1003</v>
      </c>
      <c r="E1081">
        <v>21</v>
      </c>
      <c r="F1081">
        <v>0</v>
      </c>
      <c r="G1081">
        <v>0</v>
      </c>
      <c r="H1081">
        <v>809</v>
      </c>
      <c r="J1081">
        <v>0</v>
      </c>
    </row>
    <row r="1082" spans="1:10" x14ac:dyDescent="0.25">
      <c r="A1082">
        <v>35321</v>
      </c>
      <c r="B1082" t="s">
        <v>3217</v>
      </c>
      <c r="C1082" t="s">
        <v>3217</v>
      </c>
      <c r="D1082" t="s">
        <v>811</v>
      </c>
      <c r="E1082">
        <v>20</v>
      </c>
      <c r="F1082">
        <v>0</v>
      </c>
      <c r="G1082">
        <v>0</v>
      </c>
      <c r="H1082">
        <v>946</v>
      </c>
      <c r="I1082">
        <v>7</v>
      </c>
      <c r="J1082">
        <v>0</v>
      </c>
    </row>
    <row r="1083" spans="1:10" x14ac:dyDescent="0.25">
      <c r="A1083">
        <v>24443</v>
      </c>
      <c r="B1083" t="s">
        <v>3212</v>
      </c>
      <c r="C1083" t="s">
        <v>1808</v>
      </c>
      <c r="D1083" t="s">
        <v>346</v>
      </c>
      <c r="E1083">
        <v>20</v>
      </c>
      <c r="F1083">
        <v>0</v>
      </c>
      <c r="G1083">
        <v>0</v>
      </c>
      <c r="H1083">
        <v>0</v>
      </c>
      <c r="I1083">
        <v>10</v>
      </c>
      <c r="J1083">
        <v>0</v>
      </c>
    </row>
    <row r="1084" spans="1:10" x14ac:dyDescent="0.25">
      <c r="A1084">
        <v>34229</v>
      </c>
      <c r="B1084" t="s">
        <v>3215</v>
      </c>
      <c r="C1084" t="s">
        <v>3226</v>
      </c>
      <c r="D1084" t="s">
        <v>669</v>
      </c>
      <c r="E1084">
        <v>20</v>
      </c>
      <c r="F1084">
        <v>0</v>
      </c>
      <c r="G1084">
        <v>0</v>
      </c>
      <c r="H1084">
        <v>144</v>
      </c>
      <c r="I1084">
        <v>2</v>
      </c>
      <c r="J1084">
        <v>0</v>
      </c>
    </row>
    <row r="1085" spans="1:10" x14ac:dyDescent="0.25">
      <c r="A1085">
        <v>22799</v>
      </c>
      <c r="B1085" t="s">
        <v>3212</v>
      </c>
      <c r="C1085" t="s">
        <v>3224</v>
      </c>
      <c r="D1085" t="s">
        <v>187</v>
      </c>
      <c r="E1085">
        <v>20</v>
      </c>
      <c r="F1085">
        <v>0</v>
      </c>
      <c r="G1085">
        <v>0</v>
      </c>
      <c r="H1085">
        <v>0</v>
      </c>
      <c r="I1085">
        <v>6</v>
      </c>
      <c r="J1085">
        <v>0</v>
      </c>
    </row>
    <row r="1086" spans="1:10" x14ac:dyDescent="0.25">
      <c r="A1086">
        <v>26279</v>
      </c>
      <c r="B1086" t="s">
        <v>3212</v>
      </c>
      <c r="C1086" t="s">
        <v>3227</v>
      </c>
      <c r="D1086" t="s">
        <v>496</v>
      </c>
      <c r="E1086">
        <v>20</v>
      </c>
      <c r="F1086">
        <v>0</v>
      </c>
      <c r="G1086">
        <v>0</v>
      </c>
      <c r="H1086">
        <v>708</v>
      </c>
      <c r="I1086">
        <v>50</v>
      </c>
      <c r="J1086">
        <v>0</v>
      </c>
    </row>
    <row r="1087" spans="1:10" x14ac:dyDescent="0.25">
      <c r="A1087">
        <v>63331</v>
      </c>
      <c r="B1087" t="s">
        <v>3213</v>
      </c>
      <c r="C1087" t="s">
        <v>1342</v>
      </c>
      <c r="D1087" t="s">
        <v>1401</v>
      </c>
      <c r="E1087">
        <v>20</v>
      </c>
      <c r="F1087">
        <v>0</v>
      </c>
      <c r="G1087">
        <v>0</v>
      </c>
      <c r="H1087">
        <v>48</v>
      </c>
      <c r="I1087">
        <v>5</v>
      </c>
      <c r="J1087">
        <v>0</v>
      </c>
    </row>
    <row r="1088" spans="1:10" x14ac:dyDescent="0.25">
      <c r="A1088">
        <v>55184</v>
      </c>
      <c r="B1088" t="s">
        <v>3214</v>
      </c>
      <c r="C1088" t="s">
        <v>3222</v>
      </c>
      <c r="D1088" t="s">
        <v>1185</v>
      </c>
      <c r="E1088">
        <v>20</v>
      </c>
      <c r="F1088">
        <v>0</v>
      </c>
      <c r="G1088">
        <v>0</v>
      </c>
      <c r="H1088">
        <v>1777</v>
      </c>
      <c r="I1088">
        <v>7</v>
      </c>
      <c r="J1088">
        <v>0</v>
      </c>
    </row>
    <row r="1089" spans="1:10" x14ac:dyDescent="0.25">
      <c r="A1089">
        <v>61471</v>
      </c>
      <c r="B1089" t="s">
        <v>3213</v>
      </c>
      <c r="C1089" t="s">
        <v>3039</v>
      </c>
      <c r="D1089" t="s">
        <v>2980</v>
      </c>
      <c r="E1089">
        <v>20</v>
      </c>
      <c r="F1089">
        <v>0</v>
      </c>
      <c r="G1089">
        <v>0</v>
      </c>
      <c r="H1089">
        <v>677</v>
      </c>
      <c r="I1089">
        <v>4</v>
      </c>
      <c r="J1089">
        <v>0</v>
      </c>
    </row>
    <row r="1090" spans="1:10" x14ac:dyDescent="0.25">
      <c r="A1090">
        <v>61474</v>
      </c>
      <c r="B1090" t="s">
        <v>3213</v>
      </c>
      <c r="C1090" t="s">
        <v>3039</v>
      </c>
      <c r="D1090" t="s">
        <v>1251</v>
      </c>
      <c r="E1090">
        <v>20</v>
      </c>
      <c r="F1090">
        <v>0</v>
      </c>
      <c r="G1090">
        <v>0</v>
      </c>
      <c r="H1090">
        <v>111</v>
      </c>
      <c r="I1090">
        <v>1</v>
      </c>
      <c r="J1090">
        <v>0</v>
      </c>
    </row>
    <row r="1091" spans="1:10" x14ac:dyDescent="0.25">
      <c r="A1091">
        <v>61418</v>
      </c>
      <c r="B1091" t="s">
        <v>3213</v>
      </c>
      <c r="C1091" t="s">
        <v>3039</v>
      </c>
      <c r="D1091" t="s">
        <v>1217</v>
      </c>
      <c r="E1091">
        <v>20</v>
      </c>
      <c r="F1091">
        <v>141</v>
      </c>
      <c r="G1091">
        <v>0</v>
      </c>
      <c r="H1091">
        <v>635</v>
      </c>
      <c r="J1091">
        <v>0.2220472440944882</v>
      </c>
    </row>
    <row r="1092" spans="1:10" x14ac:dyDescent="0.25">
      <c r="A1092">
        <v>62244</v>
      </c>
      <c r="B1092" t="s">
        <v>3213</v>
      </c>
      <c r="C1092" t="s">
        <v>1267</v>
      </c>
      <c r="D1092" t="s">
        <v>1293</v>
      </c>
      <c r="E1092">
        <v>20</v>
      </c>
      <c r="F1092">
        <v>0</v>
      </c>
      <c r="G1092">
        <v>0</v>
      </c>
      <c r="H1092">
        <v>526</v>
      </c>
      <c r="I1092">
        <v>17</v>
      </c>
      <c r="J1092">
        <v>0</v>
      </c>
    </row>
    <row r="1093" spans="1:10" x14ac:dyDescent="0.25">
      <c r="A1093">
        <v>35423</v>
      </c>
      <c r="B1093" t="s">
        <v>3217</v>
      </c>
      <c r="C1093" t="s">
        <v>3217</v>
      </c>
      <c r="D1093" t="s">
        <v>848</v>
      </c>
      <c r="E1093">
        <v>19</v>
      </c>
      <c r="F1093">
        <v>0</v>
      </c>
      <c r="G1093">
        <v>0</v>
      </c>
      <c r="H1093">
        <v>31</v>
      </c>
      <c r="J1093">
        <v>0</v>
      </c>
    </row>
    <row r="1094" spans="1:10" x14ac:dyDescent="0.25">
      <c r="A1094">
        <v>21324</v>
      </c>
      <c r="B1094" t="s">
        <v>3212</v>
      </c>
      <c r="C1094" t="s">
        <v>36</v>
      </c>
      <c r="D1094" t="s">
        <v>2806</v>
      </c>
      <c r="E1094">
        <v>19</v>
      </c>
      <c r="F1094">
        <v>0</v>
      </c>
      <c r="G1094">
        <v>0</v>
      </c>
      <c r="H1094">
        <v>354</v>
      </c>
      <c r="I1094">
        <v>2</v>
      </c>
      <c r="J1094">
        <v>0</v>
      </c>
    </row>
    <row r="1095" spans="1:10" x14ac:dyDescent="0.25">
      <c r="A1095">
        <v>53366</v>
      </c>
      <c r="B1095" t="s">
        <v>3216</v>
      </c>
      <c r="C1095" t="s">
        <v>1069</v>
      </c>
      <c r="D1095" t="s">
        <v>1115</v>
      </c>
      <c r="E1095">
        <v>19</v>
      </c>
      <c r="F1095">
        <v>0</v>
      </c>
      <c r="G1095">
        <v>0</v>
      </c>
      <c r="H1095">
        <v>94</v>
      </c>
      <c r="I1095">
        <v>3</v>
      </c>
      <c r="J1095">
        <v>0</v>
      </c>
    </row>
    <row r="1096" spans="1:10" x14ac:dyDescent="0.25">
      <c r="A1096">
        <v>36184</v>
      </c>
      <c r="B1096" t="s">
        <v>3215</v>
      </c>
      <c r="C1096" t="s">
        <v>2906</v>
      </c>
      <c r="D1096" t="s">
        <v>908</v>
      </c>
      <c r="E1096">
        <v>19</v>
      </c>
      <c r="F1096">
        <v>0</v>
      </c>
      <c r="G1096">
        <v>0</v>
      </c>
      <c r="H1096">
        <v>1025</v>
      </c>
      <c r="I1096">
        <v>4</v>
      </c>
      <c r="J1096">
        <v>0</v>
      </c>
    </row>
    <row r="1097" spans="1:10" x14ac:dyDescent="0.25">
      <c r="A1097">
        <v>10550</v>
      </c>
      <c r="B1097" t="s">
        <v>3177</v>
      </c>
      <c r="C1097" t="s">
        <v>3177</v>
      </c>
      <c r="D1097" t="s">
        <v>26</v>
      </c>
      <c r="E1097">
        <v>19</v>
      </c>
      <c r="F1097">
        <v>0</v>
      </c>
      <c r="G1097">
        <v>26</v>
      </c>
      <c r="H1097">
        <v>19546</v>
      </c>
      <c r="I1097">
        <v>2387</v>
      </c>
      <c r="J1097">
        <v>1.3301954364064259E-3</v>
      </c>
    </row>
    <row r="1098" spans="1:10" x14ac:dyDescent="0.25">
      <c r="A1098">
        <v>72267</v>
      </c>
      <c r="B1098" t="s">
        <v>3218</v>
      </c>
      <c r="C1098" t="s">
        <v>3230</v>
      </c>
      <c r="D1098" t="s">
        <v>1499</v>
      </c>
      <c r="E1098">
        <v>19</v>
      </c>
      <c r="F1098">
        <v>0</v>
      </c>
      <c r="G1098">
        <v>0</v>
      </c>
      <c r="H1098">
        <v>55</v>
      </c>
      <c r="I1098">
        <v>5</v>
      </c>
      <c r="J1098">
        <v>0</v>
      </c>
    </row>
    <row r="1099" spans="1:10" x14ac:dyDescent="0.25">
      <c r="A1099">
        <v>34351</v>
      </c>
      <c r="B1099" t="s">
        <v>3215</v>
      </c>
      <c r="C1099" t="s">
        <v>3226</v>
      </c>
      <c r="D1099" t="s">
        <v>713</v>
      </c>
      <c r="E1099">
        <v>19</v>
      </c>
      <c r="F1099">
        <v>0</v>
      </c>
      <c r="G1099">
        <v>0</v>
      </c>
      <c r="H1099">
        <v>443</v>
      </c>
      <c r="I1099">
        <v>5</v>
      </c>
      <c r="J1099">
        <v>0</v>
      </c>
    </row>
    <row r="1100" spans="1:10" x14ac:dyDescent="0.25">
      <c r="A1100">
        <v>22245</v>
      </c>
      <c r="B1100" t="s">
        <v>3212</v>
      </c>
      <c r="C1100" t="s">
        <v>3224</v>
      </c>
      <c r="D1100" t="s">
        <v>92</v>
      </c>
      <c r="E1100">
        <v>19</v>
      </c>
      <c r="F1100">
        <v>0</v>
      </c>
      <c r="G1100">
        <v>0</v>
      </c>
      <c r="H1100">
        <v>1163</v>
      </c>
      <c r="I1100">
        <v>274</v>
      </c>
      <c r="J1100">
        <v>0</v>
      </c>
    </row>
    <row r="1101" spans="1:10" x14ac:dyDescent="0.25">
      <c r="A1101">
        <v>63375</v>
      </c>
      <c r="B1101" t="s">
        <v>3213</v>
      </c>
      <c r="C1101" t="s">
        <v>1342</v>
      </c>
      <c r="D1101" t="s">
        <v>1413</v>
      </c>
      <c r="E1101">
        <v>19</v>
      </c>
      <c r="F1101">
        <v>0</v>
      </c>
      <c r="G1101">
        <v>0</v>
      </c>
      <c r="H1101">
        <v>21</v>
      </c>
      <c r="I1101">
        <v>1</v>
      </c>
      <c r="J1101">
        <v>0</v>
      </c>
    </row>
    <row r="1102" spans="1:10" x14ac:dyDescent="0.25">
      <c r="A1102">
        <v>25345</v>
      </c>
      <c r="B1102" t="s">
        <v>3212</v>
      </c>
      <c r="C1102" t="s">
        <v>3229</v>
      </c>
      <c r="D1102" t="s">
        <v>400</v>
      </c>
      <c r="E1102">
        <v>19</v>
      </c>
      <c r="F1102">
        <v>0</v>
      </c>
      <c r="G1102">
        <v>0</v>
      </c>
      <c r="H1102">
        <v>300</v>
      </c>
      <c r="J1102">
        <v>0</v>
      </c>
    </row>
    <row r="1103" spans="1:10" x14ac:dyDescent="0.25">
      <c r="A1103">
        <v>25482</v>
      </c>
      <c r="B1103" t="s">
        <v>3212</v>
      </c>
      <c r="C1103" t="s">
        <v>3229</v>
      </c>
      <c r="D1103" t="s">
        <v>435</v>
      </c>
      <c r="E1103">
        <v>19</v>
      </c>
      <c r="F1103">
        <v>0</v>
      </c>
      <c r="G1103">
        <v>0</v>
      </c>
      <c r="H1103">
        <v>0</v>
      </c>
      <c r="J1103">
        <v>0</v>
      </c>
    </row>
    <row r="1104" spans="1:10" x14ac:dyDescent="0.25">
      <c r="A1104">
        <v>35334</v>
      </c>
      <c r="B1104" t="s">
        <v>3217</v>
      </c>
      <c r="C1104" t="s">
        <v>3217</v>
      </c>
      <c r="D1104" t="s">
        <v>820</v>
      </c>
      <c r="E1104">
        <v>18</v>
      </c>
      <c r="F1104">
        <v>0</v>
      </c>
      <c r="G1104">
        <v>0</v>
      </c>
      <c r="H1104">
        <v>832</v>
      </c>
      <c r="J1104">
        <v>0</v>
      </c>
    </row>
    <row r="1105" spans="1:10" x14ac:dyDescent="0.25">
      <c r="A1105">
        <v>21487</v>
      </c>
      <c r="B1105" t="s">
        <v>3212</v>
      </c>
      <c r="C1105" t="s">
        <v>36</v>
      </c>
      <c r="D1105" t="s">
        <v>86</v>
      </c>
      <c r="E1105">
        <v>18</v>
      </c>
      <c r="F1105">
        <v>0</v>
      </c>
      <c r="G1105">
        <v>0</v>
      </c>
      <c r="H1105">
        <v>46</v>
      </c>
      <c r="J1105">
        <v>0</v>
      </c>
    </row>
    <row r="1106" spans="1:10" x14ac:dyDescent="0.25">
      <c r="A1106">
        <v>34254</v>
      </c>
      <c r="B1106" t="s">
        <v>3215</v>
      </c>
      <c r="C1106" t="s">
        <v>3226</v>
      </c>
      <c r="D1106" t="s">
        <v>684</v>
      </c>
      <c r="E1106">
        <v>18</v>
      </c>
      <c r="F1106">
        <v>0</v>
      </c>
      <c r="G1106">
        <v>0</v>
      </c>
      <c r="H1106">
        <v>75</v>
      </c>
      <c r="J1106">
        <v>0</v>
      </c>
    </row>
    <row r="1107" spans="1:10" x14ac:dyDescent="0.25">
      <c r="A1107">
        <v>22734</v>
      </c>
      <c r="B1107" t="s">
        <v>3212</v>
      </c>
      <c r="C1107" t="s">
        <v>3224</v>
      </c>
      <c r="D1107" t="s">
        <v>167</v>
      </c>
      <c r="E1107">
        <v>18</v>
      </c>
      <c r="F1107">
        <v>0</v>
      </c>
      <c r="G1107">
        <v>0</v>
      </c>
      <c r="H1107">
        <v>543</v>
      </c>
      <c r="I1107">
        <v>17</v>
      </c>
      <c r="J1107">
        <v>0</v>
      </c>
    </row>
    <row r="1108" spans="1:10" x14ac:dyDescent="0.25">
      <c r="A1108">
        <v>37349</v>
      </c>
      <c r="B1108" t="s">
        <v>3215</v>
      </c>
      <c r="C1108" t="s">
        <v>3228</v>
      </c>
      <c r="D1108" t="s">
        <v>939</v>
      </c>
      <c r="E1108">
        <v>18</v>
      </c>
      <c r="F1108">
        <v>0</v>
      </c>
      <c r="G1108">
        <v>0</v>
      </c>
      <c r="H1108">
        <v>501</v>
      </c>
      <c r="J1108">
        <v>0</v>
      </c>
    </row>
    <row r="1109" spans="1:10" x14ac:dyDescent="0.25">
      <c r="A1109">
        <v>26286</v>
      </c>
      <c r="B1109" t="s">
        <v>3212</v>
      </c>
      <c r="C1109" t="s">
        <v>3227</v>
      </c>
      <c r="D1109" t="s">
        <v>500</v>
      </c>
      <c r="E1109">
        <v>18</v>
      </c>
      <c r="F1109">
        <v>0</v>
      </c>
      <c r="G1109">
        <v>0</v>
      </c>
      <c r="H1109">
        <v>1442</v>
      </c>
      <c r="I1109">
        <v>15</v>
      </c>
      <c r="J1109">
        <v>0</v>
      </c>
    </row>
    <row r="1110" spans="1:10" x14ac:dyDescent="0.25">
      <c r="A1110">
        <v>61446</v>
      </c>
      <c r="B1110" t="s">
        <v>3213</v>
      </c>
      <c r="C1110" t="s">
        <v>3039</v>
      </c>
      <c r="D1110" t="s">
        <v>1234</v>
      </c>
      <c r="E1110">
        <v>18</v>
      </c>
      <c r="F1110">
        <v>0</v>
      </c>
      <c r="G1110">
        <v>0</v>
      </c>
      <c r="H1110">
        <v>523</v>
      </c>
      <c r="I1110">
        <v>10</v>
      </c>
      <c r="J1110">
        <v>0</v>
      </c>
    </row>
    <row r="1111" spans="1:10" x14ac:dyDescent="0.25">
      <c r="A1111">
        <v>35337</v>
      </c>
      <c r="B1111" t="s">
        <v>3217</v>
      </c>
      <c r="C1111" t="s">
        <v>3217</v>
      </c>
      <c r="D1111" t="s">
        <v>821</v>
      </c>
      <c r="E1111">
        <v>17</v>
      </c>
      <c r="F1111">
        <v>0</v>
      </c>
      <c r="G1111">
        <v>0</v>
      </c>
      <c r="H1111">
        <v>1007</v>
      </c>
      <c r="J1111">
        <v>0</v>
      </c>
    </row>
    <row r="1112" spans="1:10" x14ac:dyDescent="0.25">
      <c r="A1112">
        <v>24319</v>
      </c>
      <c r="B1112" t="s">
        <v>3212</v>
      </c>
      <c r="C1112" t="s">
        <v>1808</v>
      </c>
      <c r="D1112" t="s">
        <v>306</v>
      </c>
      <c r="E1112">
        <v>17</v>
      </c>
      <c r="F1112">
        <v>0</v>
      </c>
      <c r="G1112">
        <v>0</v>
      </c>
      <c r="H1112">
        <v>569</v>
      </c>
      <c r="J1112">
        <v>0</v>
      </c>
    </row>
    <row r="1113" spans="1:10" x14ac:dyDescent="0.25">
      <c r="A1113">
        <v>53244</v>
      </c>
      <c r="B1113" t="s">
        <v>3216</v>
      </c>
      <c r="C1113" t="s">
        <v>1069</v>
      </c>
      <c r="D1113" t="s">
        <v>1097</v>
      </c>
      <c r="E1113">
        <v>17</v>
      </c>
      <c r="F1113">
        <v>0</v>
      </c>
      <c r="G1113">
        <v>0</v>
      </c>
      <c r="H1113">
        <v>66</v>
      </c>
      <c r="J1113">
        <v>0</v>
      </c>
    </row>
    <row r="1114" spans="1:10" x14ac:dyDescent="0.25">
      <c r="A1114">
        <v>23376</v>
      </c>
      <c r="B1114" t="s">
        <v>3212</v>
      </c>
      <c r="C1114" t="s">
        <v>3220</v>
      </c>
      <c r="D1114" t="s">
        <v>2835</v>
      </c>
      <c r="E1114">
        <v>17</v>
      </c>
      <c r="F1114">
        <v>0</v>
      </c>
      <c r="G1114">
        <v>0</v>
      </c>
      <c r="H1114">
        <v>33</v>
      </c>
      <c r="J1114">
        <v>0</v>
      </c>
    </row>
    <row r="1115" spans="1:10" x14ac:dyDescent="0.25">
      <c r="A1115">
        <v>37373</v>
      </c>
      <c r="B1115" t="s">
        <v>3215</v>
      </c>
      <c r="C1115" t="s">
        <v>3228</v>
      </c>
      <c r="D1115" t="s">
        <v>955</v>
      </c>
      <c r="E1115">
        <v>17</v>
      </c>
      <c r="F1115">
        <v>0</v>
      </c>
      <c r="G1115">
        <v>0</v>
      </c>
      <c r="H1115">
        <v>501</v>
      </c>
      <c r="I1115">
        <v>10</v>
      </c>
      <c r="J1115">
        <v>0</v>
      </c>
    </row>
    <row r="1116" spans="1:10" x14ac:dyDescent="0.25">
      <c r="A1116">
        <v>74114</v>
      </c>
      <c r="B1116" t="s">
        <v>3218</v>
      </c>
      <c r="C1116" t="s">
        <v>2784</v>
      </c>
      <c r="D1116" t="s">
        <v>1543</v>
      </c>
      <c r="E1116">
        <v>17</v>
      </c>
      <c r="F1116">
        <v>0</v>
      </c>
      <c r="G1116">
        <v>0</v>
      </c>
      <c r="H1116">
        <v>885</v>
      </c>
      <c r="I1116">
        <v>2</v>
      </c>
      <c r="J1116">
        <v>0</v>
      </c>
    </row>
    <row r="1117" spans="1:10" x14ac:dyDescent="0.25">
      <c r="A1117">
        <v>26231</v>
      </c>
      <c r="B1117" t="s">
        <v>3212</v>
      </c>
      <c r="C1117" t="s">
        <v>3227</v>
      </c>
      <c r="D1117" t="s">
        <v>2870</v>
      </c>
      <c r="E1117">
        <v>17</v>
      </c>
      <c r="F1117">
        <v>0</v>
      </c>
      <c r="G1117">
        <v>0</v>
      </c>
      <c r="H1117">
        <v>952</v>
      </c>
      <c r="I1117">
        <v>10</v>
      </c>
      <c r="J1117">
        <v>0</v>
      </c>
    </row>
    <row r="1118" spans="1:10" x14ac:dyDescent="0.25">
      <c r="A1118">
        <v>62341</v>
      </c>
      <c r="B1118" t="s">
        <v>3213</v>
      </c>
      <c r="C1118" t="s">
        <v>1267</v>
      </c>
      <c r="D1118" t="s">
        <v>1340</v>
      </c>
      <c r="E1118">
        <v>17</v>
      </c>
      <c r="F1118">
        <v>0</v>
      </c>
      <c r="G1118">
        <v>0</v>
      </c>
      <c r="H1118">
        <v>569</v>
      </c>
      <c r="J1118">
        <v>0</v>
      </c>
    </row>
    <row r="1119" spans="1:10" x14ac:dyDescent="0.25">
      <c r="A1119">
        <v>35127</v>
      </c>
      <c r="B1119" t="s">
        <v>3217</v>
      </c>
      <c r="C1119" t="s">
        <v>3217</v>
      </c>
      <c r="D1119" t="s">
        <v>731</v>
      </c>
      <c r="E1119">
        <v>16</v>
      </c>
      <c r="F1119">
        <v>0</v>
      </c>
      <c r="G1119">
        <v>0</v>
      </c>
      <c r="H1119">
        <v>2112</v>
      </c>
      <c r="I1119">
        <v>6</v>
      </c>
      <c r="J1119">
        <v>0</v>
      </c>
    </row>
    <row r="1120" spans="1:10" x14ac:dyDescent="0.25">
      <c r="A1120">
        <v>24333</v>
      </c>
      <c r="B1120" t="s">
        <v>3212</v>
      </c>
      <c r="C1120" t="s">
        <v>1808</v>
      </c>
      <c r="D1120" t="s">
        <v>2849</v>
      </c>
      <c r="E1120">
        <v>16</v>
      </c>
      <c r="F1120">
        <v>0</v>
      </c>
      <c r="G1120">
        <v>0</v>
      </c>
      <c r="H1120">
        <v>78</v>
      </c>
      <c r="J1120">
        <v>0</v>
      </c>
    </row>
    <row r="1121" spans="1:10" x14ac:dyDescent="0.25">
      <c r="A1121">
        <v>34251</v>
      </c>
      <c r="B1121" t="s">
        <v>3215</v>
      </c>
      <c r="C1121" t="s">
        <v>3226</v>
      </c>
      <c r="D1121" t="s">
        <v>682</v>
      </c>
      <c r="E1121">
        <v>16</v>
      </c>
      <c r="F1121">
        <v>0</v>
      </c>
      <c r="G1121">
        <v>0</v>
      </c>
      <c r="H1121">
        <v>179</v>
      </c>
      <c r="I1121">
        <v>3</v>
      </c>
      <c r="J1121">
        <v>0</v>
      </c>
    </row>
    <row r="1122" spans="1:10" x14ac:dyDescent="0.25">
      <c r="A1122">
        <v>34215</v>
      </c>
      <c r="B1122" t="s">
        <v>3215</v>
      </c>
      <c r="C1122" t="s">
        <v>3226</v>
      </c>
      <c r="D1122" t="s">
        <v>660</v>
      </c>
      <c r="E1122">
        <v>16</v>
      </c>
      <c r="F1122">
        <v>0</v>
      </c>
      <c r="G1122">
        <v>0</v>
      </c>
      <c r="H1122">
        <v>298</v>
      </c>
      <c r="J1122">
        <v>0</v>
      </c>
    </row>
    <row r="1123" spans="1:10" x14ac:dyDescent="0.25">
      <c r="A1123">
        <v>26295</v>
      </c>
      <c r="B1123" t="s">
        <v>3212</v>
      </c>
      <c r="C1123" t="s">
        <v>3227</v>
      </c>
      <c r="D1123" t="s">
        <v>506</v>
      </c>
      <c r="E1123">
        <v>16</v>
      </c>
      <c r="F1123">
        <v>0</v>
      </c>
      <c r="G1123">
        <v>0</v>
      </c>
      <c r="H1123">
        <v>700</v>
      </c>
      <c r="I1123">
        <v>8</v>
      </c>
      <c r="J1123">
        <v>0</v>
      </c>
    </row>
    <row r="1124" spans="1:10" x14ac:dyDescent="0.25">
      <c r="A1124">
        <v>25355</v>
      </c>
      <c r="B1124" t="s">
        <v>3212</v>
      </c>
      <c r="C1124" t="s">
        <v>3229</v>
      </c>
      <c r="D1124" t="s">
        <v>405</v>
      </c>
      <c r="E1124">
        <v>16</v>
      </c>
      <c r="F1124">
        <v>0</v>
      </c>
      <c r="G1124">
        <v>0</v>
      </c>
      <c r="H1124">
        <v>708</v>
      </c>
      <c r="I1124">
        <v>10</v>
      </c>
      <c r="J1124">
        <v>0</v>
      </c>
    </row>
    <row r="1125" spans="1:10" x14ac:dyDescent="0.25">
      <c r="A1125">
        <v>73226</v>
      </c>
      <c r="B1125" t="s">
        <v>3218</v>
      </c>
      <c r="C1125" t="s">
        <v>1508</v>
      </c>
      <c r="D1125" t="s">
        <v>1523</v>
      </c>
      <c r="E1125">
        <v>16</v>
      </c>
      <c r="F1125">
        <v>0</v>
      </c>
      <c r="G1125">
        <v>0</v>
      </c>
      <c r="H1125">
        <v>104</v>
      </c>
      <c r="J1125">
        <v>0</v>
      </c>
    </row>
    <row r="1126" spans="1:10" x14ac:dyDescent="0.25">
      <c r="A1126">
        <v>62219</v>
      </c>
      <c r="B1126" t="s">
        <v>3213</v>
      </c>
      <c r="C1126" t="s">
        <v>1267</v>
      </c>
      <c r="D1126" t="s">
        <v>1277</v>
      </c>
      <c r="E1126">
        <v>16</v>
      </c>
      <c r="F1126">
        <v>261</v>
      </c>
      <c r="G1126">
        <v>0</v>
      </c>
      <c r="H1126">
        <v>827</v>
      </c>
      <c r="I1126">
        <v>25</v>
      </c>
      <c r="J1126">
        <v>0.31559854897218864</v>
      </c>
    </row>
    <row r="1127" spans="1:10" x14ac:dyDescent="0.25">
      <c r="A1127">
        <v>51129</v>
      </c>
      <c r="B1127" t="s">
        <v>3214</v>
      </c>
      <c r="C1127" t="s">
        <v>3045</v>
      </c>
      <c r="D1127" t="s">
        <v>2928</v>
      </c>
      <c r="E1127">
        <v>16</v>
      </c>
      <c r="F1127">
        <v>0</v>
      </c>
      <c r="G1127">
        <v>0</v>
      </c>
      <c r="H1127">
        <v>1</v>
      </c>
      <c r="I1127">
        <v>31</v>
      </c>
      <c r="J1127">
        <v>0</v>
      </c>
    </row>
    <row r="1128" spans="1:10" x14ac:dyDescent="0.25">
      <c r="A1128">
        <v>33119</v>
      </c>
      <c r="B1128" t="s">
        <v>3215</v>
      </c>
      <c r="C1128" t="s">
        <v>597</v>
      </c>
      <c r="D1128" t="s">
        <v>601</v>
      </c>
      <c r="E1128">
        <v>16</v>
      </c>
      <c r="F1128">
        <v>0</v>
      </c>
      <c r="G1128">
        <v>0</v>
      </c>
      <c r="H1128">
        <v>469</v>
      </c>
      <c r="I1128">
        <v>11</v>
      </c>
      <c r="J1128">
        <v>0</v>
      </c>
    </row>
    <row r="1129" spans="1:10" x14ac:dyDescent="0.25">
      <c r="A1129">
        <v>33255</v>
      </c>
      <c r="B1129" t="s">
        <v>3215</v>
      </c>
      <c r="C1129" t="s">
        <v>597</v>
      </c>
      <c r="D1129" t="s">
        <v>639</v>
      </c>
      <c r="E1129">
        <v>16</v>
      </c>
      <c r="F1129">
        <v>0</v>
      </c>
      <c r="G1129">
        <v>0</v>
      </c>
      <c r="H1129">
        <v>691</v>
      </c>
      <c r="I1129">
        <v>5</v>
      </c>
      <c r="J1129">
        <v>0</v>
      </c>
    </row>
    <row r="1130" spans="1:10" x14ac:dyDescent="0.25">
      <c r="A1130">
        <v>35174</v>
      </c>
      <c r="B1130" t="s">
        <v>3217</v>
      </c>
      <c r="C1130" t="s">
        <v>3217</v>
      </c>
      <c r="D1130" t="s">
        <v>757</v>
      </c>
      <c r="E1130">
        <v>15</v>
      </c>
      <c r="F1130">
        <v>0</v>
      </c>
      <c r="G1130">
        <v>0</v>
      </c>
      <c r="H1130">
        <v>1007</v>
      </c>
      <c r="I1130">
        <v>5</v>
      </c>
      <c r="J1130">
        <v>0</v>
      </c>
    </row>
    <row r="1131" spans="1:10" x14ac:dyDescent="0.25">
      <c r="A1131">
        <v>24219</v>
      </c>
      <c r="B1131" t="s">
        <v>3212</v>
      </c>
      <c r="C1131" t="s">
        <v>1808</v>
      </c>
      <c r="D1131" t="s">
        <v>292</v>
      </c>
      <c r="E1131">
        <v>15</v>
      </c>
      <c r="F1131">
        <v>0</v>
      </c>
      <c r="G1131">
        <v>0</v>
      </c>
      <c r="H1131">
        <v>0</v>
      </c>
      <c r="J1131">
        <v>0</v>
      </c>
    </row>
    <row r="1132" spans="1:10" x14ac:dyDescent="0.25">
      <c r="A1132">
        <v>24464</v>
      </c>
      <c r="B1132" t="s">
        <v>3212</v>
      </c>
      <c r="C1132" t="s">
        <v>1808</v>
      </c>
      <c r="D1132" t="s">
        <v>353</v>
      </c>
      <c r="E1132">
        <v>15</v>
      </c>
      <c r="F1132">
        <v>0</v>
      </c>
      <c r="G1132">
        <v>0</v>
      </c>
      <c r="H1132">
        <v>167</v>
      </c>
      <c r="J1132">
        <v>0</v>
      </c>
    </row>
    <row r="1133" spans="1:10" x14ac:dyDescent="0.25">
      <c r="A1133">
        <v>21451</v>
      </c>
      <c r="B1133" t="s">
        <v>3212</v>
      </c>
      <c r="C1133" t="s">
        <v>36</v>
      </c>
      <c r="D1133" t="s">
        <v>79</v>
      </c>
      <c r="E1133">
        <v>15</v>
      </c>
      <c r="F1133">
        <v>0</v>
      </c>
      <c r="G1133">
        <v>0</v>
      </c>
      <c r="H1133">
        <v>126</v>
      </c>
      <c r="I1133">
        <v>15</v>
      </c>
      <c r="J1133">
        <v>0</v>
      </c>
    </row>
    <row r="1134" spans="1:10" x14ac:dyDescent="0.25">
      <c r="A1134">
        <v>23639</v>
      </c>
      <c r="B1134" t="s">
        <v>3212</v>
      </c>
      <c r="C1134" t="s">
        <v>3220</v>
      </c>
      <c r="D1134" t="s">
        <v>275</v>
      </c>
      <c r="E1134">
        <v>15</v>
      </c>
      <c r="F1134">
        <v>0</v>
      </c>
      <c r="G1134">
        <v>0</v>
      </c>
      <c r="H1134">
        <v>2409</v>
      </c>
      <c r="I1134">
        <v>15</v>
      </c>
      <c r="J1134">
        <v>0</v>
      </c>
    </row>
    <row r="1135" spans="1:10" x14ac:dyDescent="0.25">
      <c r="A1135">
        <v>23425</v>
      </c>
      <c r="B1135" t="s">
        <v>3212</v>
      </c>
      <c r="C1135" t="s">
        <v>3220</v>
      </c>
      <c r="D1135" t="s">
        <v>235</v>
      </c>
      <c r="E1135">
        <v>15</v>
      </c>
      <c r="F1135">
        <v>0</v>
      </c>
      <c r="G1135">
        <v>0</v>
      </c>
      <c r="H1135">
        <v>156</v>
      </c>
      <c r="I1135">
        <v>2</v>
      </c>
      <c r="J1135">
        <v>0</v>
      </c>
    </row>
    <row r="1136" spans="1:10" x14ac:dyDescent="0.25">
      <c r="A1136">
        <v>23351</v>
      </c>
      <c r="B1136" t="s">
        <v>3212</v>
      </c>
      <c r="C1136" t="s">
        <v>3220</v>
      </c>
      <c r="D1136" t="s">
        <v>219</v>
      </c>
      <c r="E1136">
        <v>15</v>
      </c>
      <c r="F1136">
        <v>0</v>
      </c>
      <c r="G1136">
        <v>0</v>
      </c>
      <c r="H1136">
        <v>1</v>
      </c>
      <c r="J1136">
        <v>0</v>
      </c>
    </row>
    <row r="1137" spans="1:10" x14ac:dyDescent="0.25">
      <c r="A1137">
        <v>22737</v>
      </c>
      <c r="B1137" t="s">
        <v>3212</v>
      </c>
      <c r="C1137" t="s">
        <v>3224</v>
      </c>
      <c r="D1137" t="s">
        <v>168</v>
      </c>
      <c r="E1137">
        <v>15</v>
      </c>
      <c r="F1137">
        <v>0</v>
      </c>
      <c r="G1137">
        <v>0</v>
      </c>
      <c r="H1137">
        <v>266</v>
      </c>
      <c r="I1137">
        <v>17</v>
      </c>
      <c r="J1137">
        <v>0</v>
      </c>
    </row>
    <row r="1138" spans="1:10" x14ac:dyDescent="0.25">
      <c r="A1138">
        <v>22717</v>
      </c>
      <c r="B1138" t="s">
        <v>3212</v>
      </c>
      <c r="C1138" t="s">
        <v>3224</v>
      </c>
      <c r="D1138" t="s">
        <v>161</v>
      </c>
      <c r="E1138">
        <v>15</v>
      </c>
      <c r="F1138">
        <v>0</v>
      </c>
      <c r="G1138">
        <v>0</v>
      </c>
      <c r="H1138">
        <v>153</v>
      </c>
      <c r="I1138">
        <v>21</v>
      </c>
      <c r="J1138">
        <v>0</v>
      </c>
    </row>
    <row r="1139" spans="1:10" x14ac:dyDescent="0.25">
      <c r="A1139">
        <v>63141</v>
      </c>
      <c r="B1139" t="s">
        <v>3213</v>
      </c>
      <c r="C1139" t="s">
        <v>1342</v>
      </c>
      <c r="D1139" t="s">
        <v>3000</v>
      </c>
      <c r="E1139">
        <v>15</v>
      </c>
      <c r="F1139">
        <v>0</v>
      </c>
      <c r="G1139">
        <v>0</v>
      </c>
      <c r="H1139">
        <v>11</v>
      </c>
      <c r="J1139">
        <v>0</v>
      </c>
    </row>
    <row r="1140" spans="1:10" x14ac:dyDescent="0.25">
      <c r="A1140">
        <v>25361</v>
      </c>
      <c r="B1140" t="s">
        <v>3212</v>
      </c>
      <c r="C1140" t="s">
        <v>3229</v>
      </c>
      <c r="D1140" t="s">
        <v>408</v>
      </c>
      <c r="E1140">
        <v>15</v>
      </c>
      <c r="F1140">
        <v>0</v>
      </c>
      <c r="G1140">
        <v>0</v>
      </c>
      <c r="H1140">
        <v>665</v>
      </c>
      <c r="I1140">
        <v>10</v>
      </c>
      <c r="J1140">
        <v>0</v>
      </c>
    </row>
    <row r="1141" spans="1:10" x14ac:dyDescent="0.25">
      <c r="A1141">
        <v>55171</v>
      </c>
      <c r="B1141" t="s">
        <v>3214</v>
      </c>
      <c r="C1141" t="s">
        <v>3222</v>
      </c>
      <c r="D1141" t="s">
        <v>1181</v>
      </c>
      <c r="E1141">
        <v>15</v>
      </c>
      <c r="F1141">
        <v>0</v>
      </c>
      <c r="G1141">
        <v>0</v>
      </c>
      <c r="H1141">
        <v>1538</v>
      </c>
      <c r="I1141">
        <v>10</v>
      </c>
      <c r="J1141">
        <v>0</v>
      </c>
    </row>
    <row r="1142" spans="1:10" x14ac:dyDescent="0.25">
      <c r="A1142">
        <v>62316</v>
      </c>
      <c r="B1142" t="s">
        <v>3213</v>
      </c>
      <c r="C1142" t="s">
        <v>1267</v>
      </c>
      <c r="D1142" t="s">
        <v>1335</v>
      </c>
      <c r="E1142">
        <v>15</v>
      </c>
      <c r="F1142">
        <v>0</v>
      </c>
      <c r="G1142">
        <v>0</v>
      </c>
      <c r="H1142">
        <v>1290</v>
      </c>
      <c r="I1142">
        <v>7</v>
      </c>
      <c r="J1142">
        <v>0</v>
      </c>
    </row>
    <row r="1143" spans="1:10" x14ac:dyDescent="0.25">
      <c r="A1143">
        <v>21436</v>
      </c>
      <c r="B1143" t="s">
        <v>3212</v>
      </c>
      <c r="C1143" t="s">
        <v>36</v>
      </c>
      <c r="D1143" t="s">
        <v>76</v>
      </c>
      <c r="E1143">
        <v>14</v>
      </c>
      <c r="F1143">
        <v>0</v>
      </c>
      <c r="G1143">
        <v>0</v>
      </c>
      <c r="H1143">
        <v>379</v>
      </c>
      <c r="I1143">
        <v>12</v>
      </c>
      <c r="J1143">
        <v>0</v>
      </c>
    </row>
    <row r="1144" spans="1:10" x14ac:dyDescent="0.25">
      <c r="A1144">
        <v>21235</v>
      </c>
      <c r="B1144" t="s">
        <v>3212</v>
      </c>
      <c r="C1144" t="s">
        <v>36</v>
      </c>
      <c r="D1144" t="s">
        <v>39</v>
      </c>
      <c r="E1144">
        <v>14</v>
      </c>
      <c r="F1144">
        <v>0</v>
      </c>
      <c r="G1144">
        <v>0</v>
      </c>
      <c r="H1144">
        <v>257</v>
      </c>
      <c r="I1144">
        <v>10</v>
      </c>
      <c r="J1144">
        <v>0</v>
      </c>
    </row>
    <row r="1145" spans="1:10" x14ac:dyDescent="0.25">
      <c r="A1145">
        <v>36161</v>
      </c>
      <c r="B1145" t="s">
        <v>3215</v>
      </c>
      <c r="C1145" t="s">
        <v>2906</v>
      </c>
      <c r="D1145" t="s">
        <v>903</v>
      </c>
      <c r="E1145">
        <v>14</v>
      </c>
      <c r="F1145">
        <v>0</v>
      </c>
      <c r="G1145">
        <v>0</v>
      </c>
      <c r="H1145">
        <v>228</v>
      </c>
      <c r="I1145">
        <v>12</v>
      </c>
      <c r="J1145">
        <v>0</v>
      </c>
    </row>
    <row r="1146" spans="1:10" x14ac:dyDescent="0.25">
      <c r="A1146">
        <v>22391</v>
      </c>
      <c r="B1146" t="s">
        <v>3212</v>
      </c>
      <c r="C1146" t="s">
        <v>3224</v>
      </c>
      <c r="D1146" t="s">
        <v>105</v>
      </c>
      <c r="E1146">
        <v>14</v>
      </c>
      <c r="F1146">
        <v>0</v>
      </c>
      <c r="G1146">
        <v>0</v>
      </c>
      <c r="H1146">
        <v>765</v>
      </c>
      <c r="I1146">
        <v>273</v>
      </c>
      <c r="J1146">
        <v>0</v>
      </c>
    </row>
    <row r="1147" spans="1:10" x14ac:dyDescent="0.25">
      <c r="A1147">
        <v>22643</v>
      </c>
      <c r="B1147" t="s">
        <v>3212</v>
      </c>
      <c r="C1147" t="s">
        <v>3224</v>
      </c>
      <c r="D1147" t="s">
        <v>152</v>
      </c>
      <c r="E1147">
        <v>14</v>
      </c>
      <c r="F1147">
        <v>0</v>
      </c>
      <c r="G1147">
        <v>0</v>
      </c>
      <c r="H1147">
        <v>966</v>
      </c>
      <c r="I1147">
        <v>43</v>
      </c>
      <c r="J1147">
        <v>0</v>
      </c>
    </row>
    <row r="1148" spans="1:10" x14ac:dyDescent="0.25">
      <c r="A1148">
        <v>37395</v>
      </c>
      <c r="B1148" t="s">
        <v>3215</v>
      </c>
      <c r="C1148" t="s">
        <v>3228</v>
      </c>
      <c r="D1148" t="s">
        <v>966</v>
      </c>
      <c r="E1148">
        <v>14</v>
      </c>
      <c r="F1148">
        <v>0</v>
      </c>
      <c r="G1148">
        <v>0</v>
      </c>
      <c r="H1148">
        <v>773</v>
      </c>
      <c r="J1148">
        <v>0</v>
      </c>
    </row>
    <row r="1149" spans="1:10" x14ac:dyDescent="0.25">
      <c r="A1149">
        <v>74168</v>
      </c>
      <c r="B1149" t="s">
        <v>3218</v>
      </c>
      <c r="C1149" t="s">
        <v>2784</v>
      </c>
      <c r="D1149" t="s">
        <v>1558</v>
      </c>
      <c r="E1149">
        <v>14</v>
      </c>
      <c r="F1149">
        <v>0</v>
      </c>
      <c r="G1149">
        <v>0</v>
      </c>
      <c r="H1149">
        <v>869</v>
      </c>
      <c r="J1149">
        <v>0</v>
      </c>
    </row>
    <row r="1150" spans="1:10" x14ac:dyDescent="0.25">
      <c r="A1150">
        <v>63161</v>
      </c>
      <c r="B1150" t="s">
        <v>3213</v>
      </c>
      <c r="C1150" t="s">
        <v>1342</v>
      </c>
      <c r="D1150" t="s">
        <v>1357</v>
      </c>
      <c r="E1150">
        <v>14</v>
      </c>
      <c r="F1150">
        <v>0</v>
      </c>
      <c r="G1150">
        <v>0</v>
      </c>
      <c r="H1150">
        <v>184</v>
      </c>
      <c r="I1150">
        <v>4</v>
      </c>
      <c r="J1150">
        <v>0</v>
      </c>
    </row>
    <row r="1151" spans="1:10" x14ac:dyDescent="0.25">
      <c r="A1151">
        <v>62285</v>
      </c>
      <c r="B1151" t="s">
        <v>3213</v>
      </c>
      <c r="C1151" t="s">
        <v>1267</v>
      </c>
      <c r="D1151" t="s">
        <v>1319</v>
      </c>
      <c r="E1151">
        <v>14</v>
      </c>
      <c r="F1151">
        <v>0</v>
      </c>
      <c r="G1151">
        <v>0</v>
      </c>
      <c r="H1151">
        <v>480</v>
      </c>
      <c r="J1151">
        <v>0</v>
      </c>
    </row>
    <row r="1152" spans="1:10" x14ac:dyDescent="0.25">
      <c r="A1152">
        <v>35435</v>
      </c>
      <c r="B1152" t="s">
        <v>3217</v>
      </c>
      <c r="C1152" t="s">
        <v>3217</v>
      </c>
      <c r="D1152" t="s">
        <v>856</v>
      </c>
      <c r="E1152">
        <v>13</v>
      </c>
      <c r="F1152">
        <v>0</v>
      </c>
      <c r="G1152">
        <v>0</v>
      </c>
      <c r="H1152">
        <v>575</v>
      </c>
      <c r="J1152">
        <v>0</v>
      </c>
    </row>
    <row r="1153" spans="1:10" x14ac:dyDescent="0.25">
      <c r="A1153">
        <v>35367</v>
      </c>
      <c r="B1153" t="s">
        <v>3217</v>
      </c>
      <c r="C1153" t="s">
        <v>3217</v>
      </c>
      <c r="D1153" t="s">
        <v>832</v>
      </c>
      <c r="E1153">
        <v>13</v>
      </c>
      <c r="F1153">
        <v>0</v>
      </c>
      <c r="G1153">
        <v>0</v>
      </c>
      <c r="H1153">
        <v>167</v>
      </c>
      <c r="J1153">
        <v>0</v>
      </c>
    </row>
    <row r="1154" spans="1:10" x14ac:dyDescent="0.25">
      <c r="A1154">
        <v>35406</v>
      </c>
      <c r="B1154" t="s">
        <v>3217</v>
      </c>
      <c r="C1154" t="s">
        <v>3217</v>
      </c>
      <c r="D1154" t="s">
        <v>836</v>
      </c>
      <c r="E1154">
        <v>13</v>
      </c>
      <c r="F1154">
        <v>0</v>
      </c>
      <c r="G1154">
        <v>0</v>
      </c>
      <c r="H1154">
        <v>204</v>
      </c>
      <c r="J1154">
        <v>0</v>
      </c>
    </row>
    <row r="1155" spans="1:10" x14ac:dyDescent="0.25">
      <c r="A1155">
        <v>24484</v>
      </c>
      <c r="B1155" t="s">
        <v>3212</v>
      </c>
      <c r="C1155" t="s">
        <v>1808</v>
      </c>
      <c r="D1155" t="s">
        <v>359</v>
      </c>
      <c r="E1155">
        <v>13</v>
      </c>
      <c r="F1155">
        <v>0</v>
      </c>
      <c r="G1155">
        <v>0</v>
      </c>
      <c r="H1155">
        <v>41</v>
      </c>
      <c r="I1155">
        <v>20</v>
      </c>
      <c r="J1155">
        <v>0</v>
      </c>
    </row>
    <row r="1156" spans="1:10" x14ac:dyDescent="0.25">
      <c r="A1156">
        <v>21381</v>
      </c>
      <c r="B1156" t="s">
        <v>3212</v>
      </c>
      <c r="C1156" t="s">
        <v>36</v>
      </c>
      <c r="D1156" t="s">
        <v>2811</v>
      </c>
      <c r="E1156">
        <v>13</v>
      </c>
      <c r="F1156">
        <v>0</v>
      </c>
      <c r="G1156">
        <v>0</v>
      </c>
      <c r="H1156">
        <v>291</v>
      </c>
      <c r="I1156">
        <v>51</v>
      </c>
      <c r="J1156">
        <v>0</v>
      </c>
    </row>
    <row r="1157" spans="1:10" x14ac:dyDescent="0.25">
      <c r="A1157">
        <v>21354</v>
      </c>
      <c r="B1157" t="s">
        <v>3212</v>
      </c>
      <c r="C1157" t="s">
        <v>36</v>
      </c>
      <c r="D1157" t="s">
        <v>59</v>
      </c>
      <c r="E1157">
        <v>13</v>
      </c>
      <c r="F1157">
        <v>0</v>
      </c>
      <c r="G1157">
        <v>0</v>
      </c>
      <c r="H1157">
        <v>848</v>
      </c>
      <c r="I1157">
        <v>8</v>
      </c>
      <c r="J1157">
        <v>0</v>
      </c>
    </row>
    <row r="1158" spans="1:10" x14ac:dyDescent="0.25">
      <c r="A1158">
        <v>21327</v>
      </c>
      <c r="B1158" t="s">
        <v>3212</v>
      </c>
      <c r="C1158" t="s">
        <v>36</v>
      </c>
      <c r="D1158" t="s">
        <v>2807</v>
      </c>
      <c r="E1158">
        <v>13</v>
      </c>
      <c r="F1158">
        <v>0</v>
      </c>
      <c r="G1158">
        <v>0</v>
      </c>
      <c r="H1158">
        <v>12</v>
      </c>
      <c r="I1158">
        <v>2</v>
      </c>
      <c r="J1158">
        <v>0</v>
      </c>
    </row>
    <row r="1159" spans="1:10" x14ac:dyDescent="0.25">
      <c r="A1159">
        <v>21361</v>
      </c>
      <c r="B1159" t="s">
        <v>3212</v>
      </c>
      <c r="C1159" t="s">
        <v>36</v>
      </c>
      <c r="D1159" t="s">
        <v>61</v>
      </c>
      <c r="E1159">
        <v>13</v>
      </c>
      <c r="F1159">
        <v>0</v>
      </c>
      <c r="G1159">
        <v>0</v>
      </c>
      <c r="H1159">
        <v>108</v>
      </c>
      <c r="I1159">
        <v>2</v>
      </c>
      <c r="J1159">
        <v>0</v>
      </c>
    </row>
    <row r="1160" spans="1:10" x14ac:dyDescent="0.25">
      <c r="A1160">
        <v>54175</v>
      </c>
      <c r="B1160" t="s">
        <v>3216</v>
      </c>
      <c r="C1160" t="s">
        <v>1069</v>
      </c>
      <c r="D1160" t="s">
        <v>1161</v>
      </c>
      <c r="E1160">
        <v>13</v>
      </c>
      <c r="F1160">
        <v>0</v>
      </c>
      <c r="G1160">
        <v>0</v>
      </c>
      <c r="H1160">
        <v>159</v>
      </c>
      <c r="J1160">
        <v>0</v>
      </c>
    </row>
    <row r="1161" spans="1:10" x14ac:dyDescent="0.25">
      <c r="A1161">
        <v>34273</v>
      </c>
      <c r="B1161" t="s">
        <v>3215</v>
      </c>
      <c r="C1161" t="s">
        <v>3226</v>
      </c>
      <c r="D1161" t="s">
        <v>2884</v>
      </c>
      <c r="E1161">
        <v>13</v>
      </c>
      <c r="F1161">
        <v>0</v>
      </c>
      <c r="G1161">
        <v>0</v>
      </c>
      <c r="H1161">
        <v>62</v>
      </c>
      <c r="J1161">
        <v>0</v>
      </c>
    </row>
    <row r="1162" spans="1:10" x14ac:dyDescent="0.25">
      <c r="A1162">
        <v>54114</v>
      </c>
      <c r="B1162" t="s">
        <v>3216</v>
      </c>
      <c r="C1162" t="s">
        <v>6936</v>
      </c>
      <c r="D1162" t="s">
        <v>2958</v>
      </c>
      <c r="E1162">
        <v>13</v>
      </c>
      <c r="F1162">
        <v>0</v>
      </c>
      <c r="G1162">
        <v>0</v>
      </c>
      <c r="H1162">
        <v>4</v>
      </c>
      <c r="I1162">
        <v>10</v>
      </c>
      <c r="J1162">
        <v>0</v>
      </c>
    </row>
    <row r="1163" spans="1:10" x14ac:dyDescent="0.25">
      <c r="A1163">
        <v>22777</v>
      </c>
      <c r="B1163" t="s">
        <v>3212</v>
      </c>
      <c r="C1163" t="s">
        <v>3224</v>
      </c>
      <c r="D1163" t="s">
        <v>180</v>
      </c>
      <c r="E1163">
        <v>13</v>
      </c>
      <c r="F1163">
        <v>0</v>
      </c>
      <c r="G1163">
        <v>0</v>
      </c>
      <c r="H1163">
        <v>270</v>
      </c>
      <c r="I1163">
        <v>25</v>
      </c>
      <c r="J1163">
        <v>0</v>
      </c>
    </row>
    <row r="1164" spans="1:10" x14ac:dyDescent="0.25">
      <c r="A1164">
        <v>26289</v>
      </c>
      <c r="B1164" t="s">
        <v>3212</v>
      </c>
      <c r="C1164" t="s">
        <v>3227</v>
      </c>
      <c r="D1164" t="s">
        <v>502</v>
      </c>
      <c r="E1164">
        <v>13</v>
      </c>
      <c r="F1164">
        <v>0</v>
      </c>
      <c r="G1164">
        <v>0</v>
      </c>
      <c r="H1164">
        <v>174</v>
      </c>
      <c r="I1164">
        <v>1</v>
      </c>
      <c r="J1164">
        <v>0</v>
      </c>
    </row>
    <row r="1165" spans="1:10" x14ac:dyDescent="0.25">
      <c r="A1165">
        <v>26269</v>
      </c>
      <c r="B1165" t="s">
        <v>3212</v>
      </c>
      <c r="C1165" t="s">
        <v>3227</v>
      </c>
      <c r="D1165" t="s">
        <v>490</v>
      </c>
      <c r="E1165">
        <v>13</v>
      </c>
      <c r="F1165">
        <v>0</v>
      </c>
      <c r="G1165">
        <v>0</v>
      </c>
      <c r="H1165">
        <v>622</v>
      </c>
      <c r="I1165">
        <v>22</v>
      </c>
      <c r="J1165">
        <v>0</v>
      </c>
    </row>
    <row r="1166" spans="1:10" x14ac:dyDescent="0.25">
      <c r="A1166">
        <v>26381</v>
      </c>
      <c r="B1166" t="s">
        <v>3212</v>
      </c>
      <c r="C1166" t="s">
        <v>3227</v>
      </c>
      <c r="D1166" t="s">
        <v>532</v>
      </c>
      <c r="E1166">
        <v>13</v>
      </c>
      <c r="F1166">
        <v>0</v>
      </c>
      <c r="G1166">
        <v>0</v>
      </c>
      <c r="H1166">
        <v>477</v>
      </c>
      <c r="I1166">
        <v>8</v>
      </c>
      <c r="J1166">
        <v>0</v>
      </c>
    </row>
    <row r="1167" spans="1:10" x14ac:dyDescent="0.25">
      <c r="A1167">
        <v>26241</v>
      </c>
      <c r="B1167" t="s">
        <v>3212</v>
      </c>
      <c r="C1167" t="s">
        <v>3227</v>
      </c>
      <c r="D1167" t="s">
        <v>473</v>
      </c>
      <c r="E1167">
        <v>13</v>
      </c>
      <c r="F1167">
        <v>0</v>
      </c>
      <c r="G1167">
        <v>0</v>
      </c>
      <c r="H1167">
        <v>700</v>
      </c>
      <c r="I1167">
        <v>6</v>
      </c>
      <c r="J1167">
        <v>0</v>
      </c>
    </row>
    <row r="1168" spans="1:10" x14ac:dyDescent="0.25">
      <c r="A1168">
        <v>63127</v>
      </c>
      <c r="B1168" t="s">
        <v>3213</v>
      </c>
      <c r="C1168" t="s">
        <v>1342</v>
      </c>
      <c r="D1168" t="s">
        <v>2999</v>
      </c>
      <c r="E1168">
        <v>13</v>
      </c>
      <c r="F1168">
        <v>0</v>
      </c>
      <c r="G1168">
        <v>0</v>
      </c>
      <c r="H1168">
        <v>406</v>
      </c>
      <c r="J1168">
        <v>0</v>
      </c>
    </row>
    <row r="1169" spans="1:10" x14ac:dyDescent="0.25">
      <c r="A1169">
        <v>63231</v>
      </c>
      <c r="B1169" t="s">
        <v>3213</v>
      </c>
      <c r="C1169" t="s">
        <v>1342</v>
      </c>
      <c r="D1169" t="s">
        <v>3005</v>
      </c>
      <c r="E1169">
        <v>13</v>
      </c>
      <c r="F1169">
        <v>0</v>
      </c>
      <c r="G1169">
        <v>0</v>
      </c>
      <c r="H1169">
        <v>103</v>
      </c>
      <c r="I1169">
        <v>2</v>
      </c>
      <c r="J1169">
        <v>0</v>
      </c>
    </row>
    <row r="1170" spans="1:10" x14ac:dyDescent="0.25">
      <c r="A1170">
        <v>61383</v>
      </c>
      <c r="B1170" t="s">
        <v>3213</v>
      </c>
      <c r="C1170" t="s">
        <v>3039</v>
      </c>
      <c r="D1170" t="s">
        <v>1211</v>
      </c>
      <c r="E1170">
        <v>13</v>
      </c>
      <c r="F1170">
        <v>1221</v>
      </c>
      <c r="G1170">
        <v>0</v>
      </c>
      <c r="H1170">
        <v>672</v>
      </c>
      <c r="I1170">
        <v>7</v>
      </c>
      <c r="J1170">
        <v>1.8169642857142858</v>
      </c>
    </row>
    <row r="1171" spans="1:10" x14ac:dyDescent="0.25">
      <c r="A1171">
        <v>62233</v>
      </c>
      <c r="B1171" t="s">
        <v>3213</v>
      </c>
      <c r="C1171" t="s">
        <v>1267</v>
      </c>
      <c r="D1171" t="s">
        <v>2986</v>
      </c>
      <c r="E1171">
        <v>13</v>
      </c>
      <c r="F1171">
        <v>0</v>
      </c>
      <c r="G1171">
        <v>0</v>
      </c>
      <c r="H1171">
        <v>147</v>
      </c>
      <c r="I1171">
        <v>3</v>
      </c>
      <c r="J1171">
        <v>0</v>
      </c>
    </row>
    <row r="1172" spans="1:10" x14ac:dyDescent="0.25">
      <c r="A1172">
        <v>33153</v>
      </c>
      <c r="B1172" t="s">
        <v>3215</v>
      </c>
      <c r="C1172" t="s">
        <v>597</v>
      </c>
      <c r="D1172" t="s">
        <v>619</v>
      </c>
      <c r="E1172">
        <v>13</v>
      </c>
      <c r="F1172">
        <v>0</v>
      </c>
      <c r="G1172">
        <v>0</v>
      </c>
      <c r="H1172">
        <v>548</v>
      </c>
      <c r="I1172">
        <v>14</v>
      </c>
      <c r="J1172">
        <v>0</v>
      </c>
    </row>
    <row r="1173" spans="1:10" x14ac:dyDescent="0.25">
      <c r="A1173">
        <v>35251</v>
      </c>
      <c r="B1173" t="s">
        <v>3217</v>
      </c>
      <c r="C1173" t="s">
        <v>3217</v>
      </c>
      <c r="D1173" t="s">
        <v>790</v>
      </c>
      <c r="E1173">
        <v>12</v>
      </c>
      <c r="F1173">
        <v>0</v>
      </c>
      <c r="G1173">
        <v>0</v>
      </c>
      <c r="H1173">
        <v>257</v>
      </c>
      <c r="J1173">
        <v>0</v>
      </c>
    </row>
    <row r="1174" spans="1:10" x14ac:dyDescent="0.25">
      <c r="A1174">
        <v>24474</v>
      </c>
      <c r="B1174" t="s">
        <v>3212</v>
      </c>
      <c r="C1174" t="s">
        <v>1808</v>
      </c>
      <c r="D1174" t="s">
        <v>356</v>
      </c>
      <c r="E1174">
        <v>12</v>
      </c>
      <c r="F1174">
        <v>0</v>
      </c>
      <c r="G1174">
        <v>0</v>
      </c>
      <c r="H1174">
        <v>12</v>
      </c>
      <c r="J1174">
        <v>0</v>
      </c>
    </row>
    <row r="1175" spans="1:10" x14ac:dyDescent="0.25">
      <c r="A1175">
        <v>10250</v>
      </c>
      <c r="B1175" t="s">
        <v>3177</v>
      </c>
      <c r="C1175" t="s">
        <v>3177</v>
      </c>
      <c r="D1175" t="s">
        <v>20</v>
      </c>
      <c r="E1175">
        <v>12</v>
      </c>
      <c r="F1175">
        <v>0</v>
      </c>
      <c r="G1175">
        <v>0</v>
      </c>
      <c r="H1175">
        <v>890</v>
      </c>
      <c r="I1175">
        <v>622</v>
      </c>
      <c r="J1175">
        <v>0</v>
      </c>
    </row>
    <row r="1176" spans="1:10" x14ac:dyDescent="0.25">
      <c r="A1176">
        <v>23453</v>
      </c>
      <c r="B1176" t="s">
        <v>3212</v>
      </c>
      <c r="C1176" t="s">
        <v>3220</v>
      </c>
      <c r="D1176" t="s">
        <v>250</v>
      </c>
      <c r="E1176">
        <v>12</v>
      </c>
      <c r="F1176">
        <v>0</v>
      </c>
      <c r="G1176">
        <v>0</v>
      </c>
      <c r="H1176">
        <v>156</v>
      </c>
      <c r="J1176">
        <v>0</v>
      </c>
    </row>
    <row r="1177" spans="1:10" x14ac:dyDescent="0.25">
      <c r="A1177">
        <v>22479</v>
      </c>
      <c r="B1177" t="s">
        <v>3212</v>
      </c>
      <c r="C1177" t="s">
        <v>3224</v>
      </c>
      <c r="D1177" t="s">
        <v>123</v>
      </c>
      <c r="E1177">
        <v>12</v>
      </c>
      <c r="F1177">
        <v>0</v>
      </c>
      <c r="G1177">
        <v>0</v>
      </c>
      <c r="H1177">
        <v>966</v>
      </c>
      <c r="I1177">
        <v>245</v>
      </c>
      <c r="J1177">
        <v>0</v>
      </c>
    </row>
    <row r="1178" spans="1:10" x14ac:dyDescent="0.25">
      <c r="A1178">
        <v>22383</v>
      </c>
      <c r="B1178" t="s">
        <v>3212</v>
      </c>
      <c r="C1178" t="s">
        <v>3224</v>
      </c>
      <c r="D1178" t="s">
        <v>104</v>
      </c>
      <c r="E1178">
        <v>12</v>
      </c>
      <c r="F1178">
        <v>0</v>
      </c>
      <c r="G1178">
        <v>0</v>
      </c>
      <c r="H1178">
        <v>3142</v>
      </c>
      <c r="I1178">
        <v>457</v>
      </c>
      <c r="J1178">
        <v>0</v>
      </c>
    </row>
    <row r="1179" spans="1:10" x14ac:dyDescent="0.25">
      <c r="A1179">
        <v>63254</v>
      </c>
      <c r="B1179" t="s">
        <v>3213</v>
      </c>
      <c r="C1179" t="s">
        <v>1342</v>
      </c>
      <c r="D1179" t="s">
        <v>1381</v>
      </c>
      <c r="E1179">
        <v>12</v>
      </c>
      <c r="F1179">
        <v>0</v>
      </c>
      <c r="G1179">
        <v>0</v>
      </c>
      <c r="H1179">
        <v>395</v>
      </c>
      <c r="I1179">
        <v>6</v>
      </c>
      <c r="J1179">
        <v>0</v>
      </c>
    </row>
    <row r="1180" spans="1:10" x14ac:dyDescent="0.25">
      <c r="A1180">
        <v>25369</v>
      </c>
      <c r="B1180" t="s">
        <v>3212</v>
      </c>
      <c r="C1180" t="s">
        <v>3229</v>
      </c>
      <c r="D1180" t="s">
        <v>412</v>
      </c>
      <c r="E1180">
        <v>12</v>
      </c>
      <c r="F1180">
        <v>0</v>
      </c>
      <c r="G1180">
        <v>0</v>
      </c>
      <c r="H1180">
        <v>443</v>
      </c>
      <c r="I1180">
        <v>15</v>
      </c>
      <c r="J1180">
        <v>0</v>
      </c>
    </row>
    <row r="1181" spans="1:10" x14ac:dyDescent="0.25">
      <c r="A1181">
        <v>73293</v>
      </c>
      <c r="B1181" t="s">
        <v>3218</v>
      </c>
      <c r="C1181" t="s">
        <v>1508</v>
      </c>
      <c r="D1181" t="s">
        <v>1540</v>
      </c>
      <c r="E1181">
        <v>12</v>
      </c>
      <c r="F1181">
        <v>0</v>
      </c>
      <c r="G1181">
        <v>0</v>
      </c>
      <c r="H1181">
        <v>0</v>
      </c>
      <c r="J1181">
        <v>0</v>
      </c>
    </row>
    <row r="1182" spans="1:10" x14ac:dyDescent="0.25">
      <c r="A1182">
        <v>62249</v>
      </c>
      <c r="B1182" t="s">
        <v>3213</v>
      </c>
      <c r="C1182" t="s">
        <v>1267</v>
      </c>
      <c r="D1182" t="s">
        <v>1297</v>
      </c>
      <c r="E1182">
        <v>12</v>
      </c>
      <c r="F1182">
        <v>0</v>
      </c>
      <c r="G1182">
        <v>0</v>
      </c>
      <c r="H1182">
        <v>121</v>
      </c>
      <c r="I1182">
        <v>1</v>
      </c>
      <c r="J1182">
        <v>0</v>
      </c>
    </row>
    <row r="1183" spans="1:10" x14ac:dyDescent="0.25">
      <c r="A1183">
        <v>35371</v>
      </c>
      <c r="B1183" t="s">
        <v>3217</v>
      </c>
      <c r="C1183" t="s">
        <v>3217</v>
      </c>
      <c r="D1183" t="s">
        <v>833</v>
      </c>
      <c r="E1183">
        <v>11</v>
      </c>
      <c r="F1183">
        <v>0</v>
      </c>
      <c r="G1183">
        <v>0</v>
      </c>
      <c r="H1183">
        <v>242</v>
      </c>
      <c r="I1183">
        <v>3</v>
      </c>
      <c r="J1183">
        <v>0</v>
      </c>
    </row>
    <row r="1184" spans="1:10" x14ac:dyDescent="0.25">
      <c r="A1184">
        <v>21461</v>
      </c>
      <c r="B1184" t="s">
        <v>3212</v>
      </c>
      <c r="C1184" t="s">
        <v>36</v>
      </c>
      <c r="D1184" t="s">
        <v>81</v>
      </c>
      <c r="E1184">
        <v>11</v>
      </c>
      <c r="F1184">
        <v>0</v>
      </c>
      <c r="G1184">
        <v>0</v>
      </c>
      <c r="H1184">
        <v>161</v>
      </c>
      <c r="I1184">
        <v>14</v>
      </c>
      <c r="J1184">
        <v>0</v>
      </c>
    </row>
    <row r="1185" spans="1:10" x14ac:dyDescent="0.25">
      <c r="A1185">
        <v>53421</v>
      </c>
      <c r="B1185" t="s">
        <v>3216</v>
      </c>
      <c r="C1185" t="s">
        <v>1069</v>
      </c>
      <c r="D1185" t="s">
        <v>2956</v>
      </c>
      <c r="E1185">
        <v>11</v>
      </c>
      <c r="F1185">
        <v>0</v>
      </c>
      <c r="G1185">
        <v>0</v>
      </c>
      <c r="H1185">
        <v>228</v>
      </c>
      <c r="J1185">
        <v>0</v>
      </c>
    </row>
    <row r="1186" spans="1:10" x14ac:dyDescent="0.25">
      <c r="A1186">
        <v>22367</v>
      </c>
      <c r="B1186" t="s">
        <v>3212</v>
      </c>
      <c r="C1186" t="s">
        <v>3224</v>
      </c>
      <c r="D1186" t="s">
        <v>102</v>
      </c>
      <c r="E1186">
        <v>11</v>
      </c>
      <c r="F1186">
        <v>0</v>
      </c>
      <c r="G1186">
        <v>0</v>
      </c>
      <c r="H1186">
        <v>2015</v>
      </c>
      <c r="I1186">
        <v>198</v>
      </c>
      <c r="J1186">
        <v>0</v>
      </c>
    </row>
    <row r="1187" spans="1:10" x14ac:dyDescent="0.25">
      <c r="A1187">
        <v>37375</v>
      </c>
      <c r="B1187" t="s">
        <v>3215</v>
      </c>
      <c r="C1187" t="s">
        <v>3228</v>
      </c>
      <c r="D1187" t="s">
        <v>956</v>
      </c>
      <c r="E1187">
        <v>11</v>
      </c>
      <c r="F1187">
        <v>0</v>
      </c>
      <c r="G1187">
        <v>0</v>
      </c>
      <c r="H1187">
        <v>57</v>
      </c>
      <c r="I1187">
        <v>1</v>
      </c>
      <c r="J1187">
        <v>0</v>
      </c>
    </row>
    <row r="1188" spans="1:10" x14ac:dyDescent="0.25">
      <c r="A1188">
        <v>74179</v>
      </c>
      <c r="B1188" t="s">
        <v>3218</v>
      </c>
      <c r="C1188" t="s">
        <v>2784</v>
      </c>
      <c r="D1188" t="s">
        <v>3030</v>
      </c>
      <c r="E1188">
        <v>11</v>
      </c>
      <c r="F1188">
        <v>0</v>
      </c>
      <c r="G1188">
        <v>0</v>
      </c>
      <c r="H1188">
        <v>0</v>
      </c>
      <c r="J1188">
        <v>0</v>
      </c>
    </row>
    <row r="1189" spans="1:10" x14ac:dyDescent="0.25">
      <c r="A1189">
        <v>74181</v>
      </c>
      <c r="B1189" t="s">
        <v>3218</v>
      </c>
      <c r="C1189" t="s">
        <v>2784</v>
      </c>
      <c r="D1189" t="s">
        <v>1562</v>
      </c>
      <c r="E1189">
        <v>11</v>
      </c>
      <c r="F1189">
        <v>0</v>
      </c>
      <c r="G1189">
        <v>0</v>
      </c>
      <c r="H1189">
        <v>4</v>
      </c>
      <c r="J1189">
        <v>0</v>
      </c>
    </row>
    <row r="1190" spans="1:10" x14ac:dyDescent="0.25">
      <c r="A1190">
        <v>63234</v>
      </c>
      <c r="B1190" t="s">
        <v>3213</v>
      </c>
      <c r="C1190" t="s">
        <v>1342</v>
      </c>
      <c r="D1190" t="s">
        <v>1375</v>
      </c>
      <c r="E1190">
        <v>11</v>
      </c>
      <c r="F1190">
        <v>0</v>
      </c>
      <c r="G1190">
        <v>0</v>
      </c>
      <c r="H1190">
        <v>206</v>
      </c>
      <c r="I1190">
        <v>6</v>
      </c>
      <c r="J1190">
        <v>0</v>
      </c>
    </row>
    <row r="1191" spans="1:10" x14ac:dyDescent="0.25">
      <c r="A1191">
        <v>63114</v>
      </c>
      <c r="B1191" t="s">
        <v>3213</v>
      </c>
      <c r="C1191" t="s">
        <v>1342</v>
      </c>
      <c r="D1191" t="s">
        <v>1343</v>
      </c>
      <c r="E1191">
        <v>11</v>
      </c>
      <c r="F1191">
        <v>0</v>
      </c>
      <c r="G1191">
        <v>0</v>
      </c>
      <c r="H1191">
        <v>541</v>
      </c>
      <c r="I1191">
        <v>5</v>
      </c>
      <c r="J1191">
        <v>0</v>
      </c>
    </row>
    <row r="1192" spans="1:10" x14ac:dyDescent="0.25">
      <c r="A1192">
        <v>63177</v>
      </c>
      <c r="B1192" t="s">
        <v>3213</v>
      </c>
      <c r="C1192" t="s">
        <v>1342</v>
      </c>
      <c r="D1192" t="s">
        <v>1362</v>
      </c>
      <c r="E1192">
        <v>11</v>
      </c>
      <c r="F1192">
        <v>0</v>
      </c>
      <c r="G1192">
        <v>0</v>
      </c>
      <c r="H1192">
        <v>69</v>
      </c>
      <c r="J1192">
        <v>0</v>
      </c>
    </row>
    <row r="1193" spans="1:10" x14ac:dyDescent="0.25">
      <c r="A1193">
        <v>62318</v>
      </c>
      <c r="B1193" t="s">
        <v>3213</v>
      </c>
      <c r="C1193" t="s">
        <v>1267</v>
      </c>
      <c r="D1193" t="s">
        <v>1336</v>
      </c>
      <c r="E1193">
        <v>11</v>
      </c>
      <c r="F1193">
        <v>0</v>
      </c>
      <c r="G1193">
        <v>0</v>
      </c>
      <c r="H1193">
        <v>0</v>
      </c>
      <c r="J1193">
        <v>0</v>
      </c>
    </row>
    <row r="1194" spans="1:10" x14ac:dyDescent="0.25">
      <c r="A1194">
        <v>35153</v>
      </c>
      <c r="B1194" t="s">
        <v>3217</v>
      </c>
      <c r="C1194" t="s">
        <v>3217</v>
      </c>
      <c r="D1194" t="s">
        <v>746</v>
      </c>
      <c r="E1194">
        <v>10</v>
      </c>
      <c r="F1194">
        <v>0</v>
      </c>
      <c r="G1194">
        <v>0</v>
      </c>
      <c r="H1194">
        <v>621</v>
      </c>
      <c r="I1194">
        <v>5</v>
      </c>
      <c r="J1194">
        <v>0</v>
      </c>
    </row>
    <row r="1195" spans="1:10" x14ac:dyDescent="0.25">
      <c r="A1195">
        <v>36144</v>
      </c>
      <c r="B1195" t="s">
        <v>3215</v>
      </c>
      <c r="C1195" t="s">
        <v>2906</v>
      </c>
      <c r="D1195" t="s">
        <v>898</v>
      </c>
      <c r="E1195">
        <v>10</v>
      </c>
      <c r="F1195">
        <v>0</v>
      </c>
      <c r="G1195">
        <v>0</v>
      </c>
      <c r="H1195">
        <v>99</v>
      </c>
      <c r="J1195">
        <v>0</v>
      </c>
    </row>
    <row r="1196" spans="1:10" x14ac:dyDescent="0.25">
      <c r="A1196">
        <v>34257</v>
      </c>
      <c r="B1196" t="s">
        <v>3215</v>
      </c>
      <c r="C1196" t="s">
        <v>3226</v>
      </c>
      <c r="D1196" t="s">
        <v>686</v>
      </c>
      <c r="E1196">
        <v>10</v>
      </c>
      <c r="F1196">
        <v>0</v>
      </c>
      <c r="G1196">
        <v>0</v>
      </c>
      <c r="H1196">
        <v>86</v>
      </c>
      <c r="J1196">
        <v>0</v>
      </c>
    </row>
    <row r="1197" spans="1:10" x14ac:dyDescent="0.25">
      <c r="A1197">
        <v>34261</v>
      </c>
      <c r="B1197" t="s">
        <v>3215</v>
      </c>
      <c r="C1197" t="s">
        <v>3226</v>
      </c>
      <c r="D1197" t="s">
        <v>688</v>
      </c>
      <c r="E1197">
        <v>10</v>
      </c>
      <c r="F1197">
        <v>0</v>
      </c>
      <c r="G1197">
        <v>0</v>
      </c>
      <c r="H1197">
        <v>403</v>
      </c>
      <c r="I1197">
        <v>8</v>
      </c>
      <c r="J1197">
        <v>0</v>
      </c>
    </row>
    <row r="1198" spans="1:10" x14ac:dyDescent="0.25">
      <c r="A1198">
        <v>22527</v>
      </c>
      <c r="B1198" t="s">
        <v>3212</v>
      </c>
      <c r="C1198" t="s">
        <v>3224</v>
      </c>
      <c r="D1198" t="s">
        <v>130</v>
      </c>
      <c r="E1198">
        <v>10</v>
      </c>
      <c r="F1198">
        <v>0</v>
      </c>
      <c r="G1198">
        <v>0</v>
      </c>
      <c r="H1198">
        <v>595</v>
      </c>
      <c r="I1198">
        <v>30</v>
      </c>
      <c r="J1198">
        <v>0</v>
      </c>
    </row>
    <row r="1199" spans="1:10" x14ac:dyDescent="0.25">
      <c r="A1199">
        <v>22794</v>
      </c>
      <c r="B1199" t="s">
        <v>3212</v>
      </c>
      <c r="C1199" t="s">
        <v>3224</v>
      </c>
      <c r="D1199" t="s">
        <v>185</v>
      </c>
      <c r="E1199">
        <v>10</v>
      </c>
      <c r="F1199">
        <v>0</v>
      </c>
      <c r="G1199">
        <v>0</v>
      </c>
      <c r="H1199">
        <v>273</v>
      </c>
      <c r="I1199">
        <v>19</v>
      </c>
      <c r="J1199">
        <v>0</v>
      </c>
    </row>
    <row r="1200" spans="1:10" x14ac:dyDescent="0.25">
      <c r="A1200">
        <v>74175</v>
      </c>
      <c r="B1200" t="s">
        <v>3218</v>
      </c>
      <c r="C1200" t="s">
        <v>2784</v>
      </c>
      <c r="D1200" t="s">
        <v>1559</v>
      </c>
      <c r="E1200">
        <v>10</v>
      </c>
      <c r="F1200">
        <v>0</v>
      </c>
      <c r="G1200">
        <v>0</v>
      </c>
      <c r="H1200">
        <v>1266</v>
      </c>
      <c r="I1200">
        <v>25</v>
      </c>
      <c r="J1200">
        <v>0</v>
      </c>
    </row>
    <row r="1201" spans="1:10" x14ac:dyDescent="0.25">
      <c r="A1201">
        <v>26221</v>
      </c>
      <c r="B1201" t="s">
        <v>3212</v>
      </c>
      <c r="C1201" t="s">
        <v>3227</v>
      </c>
      <c r="D1201" t="s">
        <v>2869</v>
      </c>
      <c r="E1201">
        <v>10</v>
      </c>
      <c r="F1201">
        <v>0</v>
      </c>
      <c r="G1201">
        <v>0</v>
      </c>
      <c r="H1201">
        <v>316</v>
      </c>
      <c r="I1201">
        <v>2</v>
      </c>
      <c r="J1201">
        <v>0</v>
      </c>
    </row>
    <row r="1202" spans="1:10" x14ac:dyDescent="0.25">
      <c r="A1202">
        <v>25463</v>
      </c>
      <c r="B1202" t="s">
        <v>3212</v>
      </c>
      <c r="C1202" t="s">
        <v>3229</v>
      </c>
      <c r="D1202" t="s">
        <v>2864</v>
      </c>
      <c r="E1202">
        <v>10</v>
      </c>
      <c r="F1202">
        <v>0</v>
      </c>
      <c r="G1202">
        <v>0</v>
      </c>
      <c r="H1202">
        <v>530</v>
      </c>
      <c r="I1202">
        <v>2</v>
      </c>
      <c r="J1202">
        <v>0</v>
      </c>
    </row>
    <row r="1203" spans="1:10" x14ac:dyDescent="0.25">
      <c r="A1203">
        <v>25443</v>
      </c>
      <c r="B1203" t="s">
        <v>3212</v>
      </c>
      <c r="C1203" t="s">
        <v>3229</v>
      </c>
      <c r="D1203" t="s">
        <v>425</v>
      </c>
      <c r="E1203">
        <v>10</v>
      </c>
      <c r="F1203">
        <v>0</v>
      </c>
      <c r="G1203">
        <v>0</v>
      </c>
      <c r="H1203">
        <v>554</v>
      </c>
      <c r="I1203">
        <v>3</v>
      </c>
      <c r="J1203">
        <v>0</v>
      </c>
    </row>
    <row r="1204" spans="1:10" x14ac:dyDescent="0.25">
      <c r="A1204">
        <v>25176</v>
      </c>
      <c r="B1204" t="s">
        <v>3212</v>
      </c>
      <c r="C1204" t="s">
        <v>3229</v>
      </c>
      <c r="D1204" t="s">
        <v>373</v>
      </c>
      <c r="E1204">
        <v>10</v>
      </c>
      <c r="F1204">
        <v>0</v>
      </c>
      <c r="G1204">
        <v>0</v>
      </c>
      <c r="H1204">
        <v>3349</v>
      </c>
      <c r="I1204">
        <v>340</v>
      </c>
      <c r="J1204">
        <v>0</v>
      </c>
    </row>
    <row r="1205" spans="1:10" x14ac:dyDescent="0.25">
      <c r="A1205">
        <v>25181</v>
      </c>
      <c r="B1205" t="s">
        <v>3212</v>
      </c>
      <c r="C1205" t="s">
        <v>3229</v>
      </c>
      <c r="D1205" t="s">
        <v>374</v>
      </c>
      <c r="E1205">
        <v>10</v>
      </c>
      <c r="F1205">
        <v>0</v>
      </c>
      <c r="G1205">
        <v>0</v>
      </c>
      <c r="H1205">
        <v>219</v>
      </c>
      <c r="I1205">
        <v>70</v>
      </c>
      <c r="J1205">
        <v>0</v>
      </c>
    </row>
    <row r="1206" spans="1:10" x14ac:dyDescent="0.25">
      <c r="A1206">
        <v>25321</v>
      </c>
      <c r="B1206" t="s">
        <v>3212</v>
      </c>
      <c r="C1206" t="s">
        <v>3229</v>
      </c>
      <c r="D1206" t="s">
        <v>388</v>
      </c>
      <c r="E1206">
        <v>10</v>
      </c>
      <c r="F1206">
        <v>0</v>
      </c>
      <c r="G1206">
        <v>0</v>
      </c>
      <c r="H1206">
        <v>219</v>
      </c>
      <c r="I1206">
        <v>12</v>
      </c>
      <c r="J1206">
        <v>0</v>
      </c>
    </row>
    <row r="1207" spans="1:10" x14ac:dyDescent="0.25">
      <c r="A1207">
        <v>25367</v>
      </c>
      <c r="B1207" t="s">
        <v>3212</v>
      </c>
      <c r="C1207" t="s">
        <v>3229</v>
      </c>
      <c r="D1207" t="s">
        <v>2862</v>
      </c>
      <c r="E1207">
        <v>10</v>
      </c>
      <c r="F1207">
        <v>0</v>
      </c>
      <c r="G1207">
        <v>0</v>
      </c>
      <c r="H1207">
        <v>295</v>
      </c>
      <c r="I1207">
        <v>4</v>
      </c>
      <c r="J1207">
        <v>0</v>
      </c>
    </row>
    <row r="1208" spans="1:10" x14ac:dyDescent="0.25">
      <c r="A1208">
        <v>55147</v>
      </c>
      <c r="B1208" t="s">
        <v>3214</v>
      </c>
      <c r="C1208" t="s">
        <v>3222</v>
      </c>
      <c r="D1208" t="s">
        <v>1174</v>
      </c>
      <c r="E1208">
        <v>10</v>
      </c>
      <c r="F1208">
        <v>0</v>
      </c>
      <c r="G1208">
        <v>0</v>
      </c>
      <c r="H1208">
        <v>602</v>
      </c>
      <c r="I1208">
        <v>3</v>
      </c>
      <c r="J1208">
        <v>0</v>
      </c>
    </row>
    <row r="1209" spans="1:10" x14ac:dyDescent="0.25">
      <c r="A1209">
        <v>61421</v>
      </c>
      <c r="B1209" t="s">
        <v>3213</v>
      </c>
      <c r="C1209" t="s">
        <v>3039</v>
      </c>
      <c r="D1209" t="s">
        <v>1219</v>
      </c>
      <c r="E1209">
        <v>10</v>
      </c>
      <c r="F1209">
        <v>141</v>
      </c>
      <c r="G1209">
        <v>0</v>
      </c>
      <c r="H1209">
        <v>280</v>
      </c>
      <c r="J1209">
        <v>0.50357142857142856</v>
      </c>
    </row>
    <row r="1210" spans="1:10" x14ac:dyDescent="0.25">
      <c r="A1210">
        <v>62299</v>
      </c>
      <c r="B1210" t="s">
        <v>3213</v>
      </c>
      <c r="C1210" t="s">
        <v>1267</v>
      </c>
      <c r="D1210" t="s">
        <v>1330</v>
      </c>
      <c r="E1210">
        <v>10</v>
      </c>
      <c r="F1210">
        <v>0</v>
      </c>
      <c r="G1210">
        <v>0</v>
      </c>
      <c r="H1210">
        <v>11</v>
      </c>
      <c r="J1210">
        <v>0</v>
      </c>
    </row>
    <row r="1211" spans="1:10" x14ac:dyDescent="0.25">
      <c r="A1211">
        <v>33263</v>
      </c>
      <c r="B1211" t="s">
        <v>3215</v>
      </c>
      <c r="C1211" t="s">
        <v>597</v>
      </c>
      <c r="D1211" t="s">
        <v>641</v>
      </c>
      <c r="E1211">
        <v>10</v>
      </c>
      <c r="F1211">
        <v>0</v>
      </c>
      <c r="G1211">
        <v>0</v>
      </c>
      <c r="H1211">
        <v>0</v>
      </c>
      <c r="J1211">
        <v>0</v>
      </c>
    </row>
    <row r="1212" spans="1:10" x14ac:dyDescent="0.25">
      <c r="A1212">
        <v>35326</v>
      </c>
      <c r="B1212" t="s">
        <v>3217</v>
      </c>
      <c r="C1212" t="s">
        <v>3217</v>
      </c>
      <c r="D1212" t="s">
        <v>815</v>
      </c>
      <c r="E1212">
        <v>9</v>
      </c>
      <c r="F1212">
        <v>0</v>
      </c>
      <c r="G1212">
        <v>0</v>
      </c>
      <c r="H1212">
        <v>1462</v>
      </c>
      <c r="I1212">
        <v>4</v>
      </c>
      <c r="J1212">
        <v>0</v>
      </c>
    </row>
    <row r="1213" spans="1:10" x14ac:dyDescent="0.25">
      <c r="A1213">
        <v>35415</v>
      </c>
      <c r="B1213" t="s">
        <v>3217</v>
      </c>
      <c r="C1213" t="s">
        <v>3217</v>
      </c>
      <c r="D1213" t="s">
        <v>842</v>
      </c>
      <c r="E1213">
        <v>9</v>
      </c>
      <c r="F1213">
        <v>0</v>
      </c>
      <c r="G1213">
        <v>0</v>
      </c>
      <c r="H1213">
        <v>114</v>
      </c>
      <c r="J1213">
        <v>0</v>
      </c>
    </row>
    <row r="1214" spans="1:10" x14ac:dyDescent="0.25">
      <c r="A1214">
        <v>21314</v>
      </c>
      <c r="B1214" t="s">
        <v>3212</v>
      </c>
      <c r="C1214" t="s">
        <v>36</v>
      </c>
      <c r="D1214" t="s">
        <v>47</v>
      </c>
      <c r="E1214">
        <v>9</v>
      </c>
      <c r="F1214">
        <v>0</v>
      </c>
      <c r="G1214">
        <v>0</v>
      </c>
      <c r="H1214">
        <v>4</v>
      </c>
      <c r="I1214">
        <v>2</v>
      </c>
      <c r="J1214">
        <v>0</v>
      </c>
    </row>
    <row r="1215" spans="1:10" x14ac:dyDescent="0.25">
      <c r="A1215">
        <v>21421</v>
      </c>
      <c r="B1215" t="s">
        <v>3212</v>
      </c>
      <c r="C1215" t="s">
        <v>36</v>
      </c>
      <c r="D1215" t="s">
        <v>73</v>
      </c>
      <c r="E1215">
        <v>9</v>
      </c>
      <c r="F1215">
        <v>0</v>
      </c>
      <c r="G1215">
        <v>0</v>
      </c>
      <c r="H1215">
        <v>357</v>
      </c>
      <c r="I1215">
        <v>30</v>
      </c>
      <c r="J1215">
        <v>0</v>
      </c>
    </row>
    <row r="1216" spans="1:10" x14ac:dyDescent="0.25">
      <c r="A1216">
        <v>53254</v>
      </c>
      <c r="B1216" t="s">
        <v>3216</v>
      </c>
      <c r="C1216" t="s">
        <v>1069</v>
      </c>
      <c r="D1216" t="s">
        <v>1100</v>
      </c>
      <c r="E1216">
        <v>9</v>
      </c>
      <c r="F1216">
        <v>0</v>
      </c>
      <c r="G1216">
        <v>0</v>
      </c>
      <c r="H1216">
        <v>501</v>
      </c>
      <c r="I1216">
        <v>2</v>
      </c>
      <c r="J1216">
        <v>0</v>
      </c>
    </row>
    <row r="1217" spans="1:10" x14ac:dyDescent="0.25">
      <c r="A1217">
        <v>72264</v>
      </c>
      <c r="B1217" t="s">
        <v>3218</v>
      </c>
      <c r="C1217" t="s">
        <v>3230</v>
      </c>
      <c r="D1217" t="s">
        <v>3025</v>
      </c>
      <c r="E1217">
        <v>9</v>
      </c>
      <c r="F1217">
        <v>0</v>
      </c>
      <c r="G1217">
        <v>0</v>
      </c>
      <c r="H1217">
        <v>750</v>
      </c>
      <c r="I1217">
        <v>53</v>
      </c>
      <c r="J1217">
        <v>0</v>
      </c>
    </row>
    <row r="1218" spans="1:10" x14ac:dyDescent="0.25">
      <c r="A1218">
        <v>72261</v>
      </c>
      <c r="B1218" t="s">
        <v>3218</v>
      </c>
      <c r="C1218" t="s">
        <v>3230</v>
      </c>
      <c r="D1218" t="s">
        <v>3024</v>
      </c>
      <c r="E1218">
        <v>9</v>
      </c>
      <c r="F1218">
        <v>0</v>
      </c>
      <c r="G1218">
        <v>0</v>
      </c>
      <c r="H1218">
        <v>764</v>
      </c>
      <c r="I1218">
        <v>2</v>
      </c>
      <c r="J1218">
        <v>0</v>
      </c>
    </row>
    <row r="1219" spans="1:10" x14ac:dyDescent="0.25">
      <c r="A1219">
        <v>23346</v>
      </c>
      <c r="B1219" t="s">
        <v>3212</v>
      </c>
      <c r="C1219" t="s">
        <v>3220</v>
      </c>
      <c r="D1219" t="s">
        <v>218</v>
      </c>
      <c r="E1219">
        <v>9</v>
      </c>
      <c r="F1219">
        <v>0</v>
      </c>
      <c r="G1219">
        <v>0</v>
      </c>
      <c r="H1219">
        <v>91</v>
      </c>
      <c r="I1219">
        <v>7</v>
      </c>
      <c r="J1219">
        <v>0</v>
      </c>
    </row>
    <row r="1220" spans="1:10" x14ac:dyDescent="0.25">
      <c r="A1220">
        <v>23361</v>
      </c>
      <c r="B1220" t="s">
        <v>3212</v>
      </c>
      <c r="C1220" t="s">
        <v>3220</v>
      </c>
      <c r="D1220" t="s">
        <v>221</v>
      </c>
      <c r="E1220">
        <v>9</v>
      </c>
      <c r="F1220">
        <v>0</v>
      </c>
      <c r="G1220">
        <v>0</v>
      </c>
      <c r="H1220">
        <v>608</v>
      </c>
      <c r="I1220">
        <v>2</v>
      </c>
      <c r="J1220">
        <v>0</v>
      </c>
    </row>
    <row r="1221" spans="1:10" x14ac:dyDescent="0.25">
      <c r="A1221">
        <v>22727</v>
      </c>
      <c r="B1221" t="s">
        <v>3212</v>
      </c>
      <c r="C1221" t="s">
        <v>3224</v>
      </c>
      <c r="D1221" t="s">
        <v>164</v>
      </c>
      <c r="E1221">
        <v>9</v>
      </c>
      <c r="F1221">
        <v>0</v>
      </c>
      <c r="G1221">
        <v>0</v>
      </c>
      <c r="H1221">
        <v>511</v>
      </c>
      <c r="I1221">
        <v>10</v>
      </c>
      <c r="J1221">
        <v>0</v>
      </c>
    </row>
    <row r="1222" spans="1:10" x14ac:dyDescent="0.25">
      <c r="A1222">
        <v>26219</v>
      </c>
      <c r="B1222" t="s">
        <v>3212</v>
      </c>
      <c r="C1222" t="s">
        <v>3227</v>
      </c>
      <c r="D1222" t="s">
        <v>459</v>
      </c>
      <c r="E1222">
        <v>9</v>
      </c>
      <c r="F1222">
        <v>0</v>
      </c>
      <c r="G1222">
        <v>0</v>
      </c>
      <c r="H1222">
        <v>13</v>
      </c>
      <c r="I1222">
        <v>13</v>
      </c>
      <c r="J1222">
        <v>0</v>
      </c>
    </row>
    <row r="1223" spans="1:10" x14ac:dyDescent="0.25">
      <c r="A1223">
        <v>26189</v>
      </c>
      <c r="B1223" t="s">
        <v>3212</v>
      </c>
      <c r="C1223" t="s">
        <v>3227</v>
      </c>
      <c r="D1223" t="s">
        <v>2866</v>
      </c>
      <c r="E1223">
        <v>9</v>
      </c>
      <c r="F1223">
        <v>0</v>
      </c>
      <c r="G1223">
        <v>0</v>
      </c>
      <c r="H1223">
        <v>168</v>
      </c>
      <c r="I1223">
        <v>4</v>
      </c>
      <c r="J1223">
        <v>0</v>
      </c>
    </row>
    <row r="1224" spans="1:10" x14ac:dyDescent="0.25">
      <c r="A1224">
        <v>26321</v>
      </c>
      <c r="B1224" t="s">
        <v>3212</v>
      </c>
      <c r="C1224" t="s">
        <v>3227</v>
      </c>
      <c r="D1224" t="s">
        <v>514</v>
      </c>
      <c r="E1224">
        <v>9</v>
      </c>
      <c r="F1224">
        <v>0</v>
      </c>
      <c r="G1224">
        <v>0</v>
      </c>
      <c r="H1224">
        <v>1835</v>
      </c>
      <c r="I1224">
        <v>30</v>
      </c>
      <c r="J1224">
        <v>0</v>
      </c>
    </row>
    <row r="1225" spans="1:10" x14ac:dyDescent="0.25">
      <c r="A1225">
        <v>26215</v>
      </c>
      <c r="B1225" t="s">
        <v>3212</v>
      </c>
      <c r="C1225" t="s">
        <v>3227</v>
      </c>
      <c r="D1225" t="s">
        <v>456</v>
      </c>
      <c r="E1225">
        <v>9</v>
      </c>
      <c r="F1225">
        <v>0</v>
      </c>
      <c r="G1225">
        <v>0</v>
      </c>
      <c r="H1225">
        <v>959</v>
      </c>
      <c r="J1225">
        <v>0</v>
      </c>
    </row>
    <row r="1226" spans="1:10" x14ac:dyDescent="0.25">
      <c r="A1226">
        <v>25371</v>
      </c>
      <c r="B1226" t="s">
        <v>3212</v>
      </c>
      <c r="C1226" t="s">
        <v>3229</v>
      </c>
      <c r="D1226" t="s">
        <v>413</v>
      </c>
      <c r="E1226">
        <v>9</v>
      </c>
      <c r="F1226">
        <v>0</v>
      </c>
      <c r="G1226">
        <v>0</v>
      </c>
      <c r="H1226">
        <v>443</v>
      </c>
      <c r="I1226">
        <v>5</v>
      </c>
      <c r="J1226">
        <v>0</v>
      </c>
    </row>
    <row r="1227" spans="1:10" x14ac:dyDescent="0.25">
      <c r="A1227">
        <v>55194</v>
      </c>
      <c r="B1227" t="s">
        <v>3214</v>
      </c>
      <c r="C1227" t="s">
        <v>3222</v>
      </c>
      <c r="D1227" t="s">
        <v>1188</v>
      </c>
      <c r="E1227">
        <v>9</v>
      </c>
      <c r="F1227">
        <v>0</v>
      </c>
      <c r="G1227">
        <v>0</v>
      </c>
      <c r="H1227">
        <v>1420</v>
      </c>
      <c r="I1227">
        <v>5</v>
      </c>
      <c r="J1227">
        <v>0</v>
      </c>
    </row>
    <row r="1228" spans="1:10" x14ac:dyDescent="0.25">
      <c r="A1228">
        <v>24457</v>
      </c>
      <c r="B1228" t="s">
        <v>3212</v>
      </c>
      <c r="C1228" t="s">
        <v>1808</v>
      </c>
      <c r="D1228" t="s">
        <v>2854</v>
      </c>
      <c r="E1228">
        <v>8</v>
      </c>
      <c r="F1228">
        <v>0</v>
      </c>
      <c r="G1228">
        <v>0</v>
      </c>
      <c r="H1228">
        <v>1498</v>
      </c>
      <c r="I1228">
        <v>10</v>
      </c>
      <c r="J1228">
        <v>0</v>
      </c>
    </row>
    <row r="1229" spans="1:10" x14ac:dyDescent="0.25">
      <c r="A1229">
        <v>23659</v>
      </c>
      <c r="B1229" t="s">
        <v>3212</v>
      </c>
      <c r="C1229" t="s">
        <v>3220</v>
      </c>
      <c r="D1229" t="s">
        <v>280</v>
      </c>
      <c r="E1229">
        <v>8</v>
      </c>
      <c r="F1229">
        <v>0</v>
      </c>
      <c r="G1229">
        <v>0</v>
      </c>
      <c r="H1229">
        <v>1436</v>
      </c>
      <c r="I1229">
        <v>15</v>
      </c>
      <c r="J1229">
        <v>0</v>
      </c>
    </row>
    <row r="1230" spans="1:10" x14ac:dyDescent="0.25">
      <c r="A1230">
        <v>23555</v>
      </c>
      <c r="B1230" t="s">
        <v>3212</v>
      </c>
      <c r="C1230" t="s">
        <v>3220</v>
      </c>
      <c r="D1230" t="s">
        <v>263</v>
      </c>
      <c r="E1230">
        <v>8</v>
      </c>
      <c r="F1230">
        <v>0</v>
      </c>
      <c r="G1230">
        <v>0</v>
      </c>
      <c r="H1230">
        <v>209</v>
      </c>
      <c r="I1230">
        <v>10</v>
      </c>
      <c r="J1230">
        <v>0</v>
      </c>
    </row>
    <row r="1231" spans="1:10" x14ac:dyDescent="0.25">
      <c r="A1231">
        <v>34286</v>
      </c>
      <c r="B1231" t="s">
        <v>3215</v>
      </c>
      <c r="C1231" t="s">
        <v>3226</v>
      </c>
      <c r="D1231" t="s">
        <v>703</v>
      </c>
      <c r="E1231">
        <v>8</v>
      </c>
      <c r="F1231">
        <v>0</v>
      </c>
      <c r="G1231">
        <v>0</v>
      </c>
      <c r="H1231">
        <v>448</v>
      </c>
      <c r="I1231">
        <v>2</v>
      </c>
      <c r="J1231">
        <v>0</v>
      </c>
    </row>
    <row r="1232" spans="1:10" x14ac:dyDescent="0.25">
      <c r="A1232">
        <v>26247</v>
      </c>
      <c r="B1232" t="s">
        <v>3212</v>
      </c>
      <c r="C1232" t="s">
        <v>3227</v>
      </c>
      <c r="D1232" t="s">
        <v>477</v>
      </c>
      <c r="E1232">
        <v>8</v>
      </c>
      <c r="F1232">
        <v>0</v>
      </c>
      <c r="G1232">
        <v>0</v>
      </c>
      <c r="H1232">
        <v>351</v>
      </c>
      <c r="I1232">
        <v>3</v>
      </c>
      <c r="J1232">
        <v>0</v>
      </c>
    </row>
    <row r="1233" spans="1:10" x14ac:dyDescent="0.25">
      <c r="A1233">
        <v>63315</v>
      </c>
      <c r="B1233" t="s">
        <v>3213</v>
      </c>
      <c r="C1233" t="s">
        <v>1342</v>
      </c>
      <c r="D1233" t="s">
        <v>1397</v>
      </c>
      <c r="E1233">
        <v>8</v>
      </c>
      <c r="F1233">
        <v>0</v>
      </c>
      <c r="G1233">
        <v>0</v>
      </c>
      <c r="H1233">
        <v>1</v>
      </c>
      <c r="I1233">
        <v>2</v>
      </c>
      <c r="J1233">
        <v>0</v>
      </c>
    </row>
    <row r="1234" spans="1:10" x14ac:dyDescent="0.25">
      <c r="A1234">
        <v>25333</v>
      </c>
      <c r="B1234" t="s">
        <v>3212</v>
      </c>
      <c r="C1234" t="s">
        <v>3229</v>
      </c>
      <c r="D1234" t="s">
        <v>394</v>
      </c>
      <c r="E1234">
        <v>8</v>
      </c>
      <c r="F1234">
        <v>0</v>
      </c>
      <c r="G1234">
        <v>0</v>
      </c>
      <c r="H1234">
        <v>589</v>
      </c>
      <c r="I1234">
        <v>38</v>
      </c>
      <c r="J1234">
        <v>0</v>
      </c>
    </row>
    <row r="1235" spans="1:10" x14ac:dyDescent="0.25">
      <c r="A1235">
        <v>51341</v>
      </c>
      <c r="B1235" t="s">
        <v>3214</v>
      </c>
      <c r="C1235" t="s">
        <v>3045</v>
      </c>
      <c r="D1235" t="s">
        <v>1018</v>
      </c>
      <c r="E1235">
        <v>8</v>
      </c>
      <c r="F1235">
        <v>0</v>
      </c>
      <c r="G1235">
        <v>0</v>
      </c>
      <c r="H1235">
        <v>27</v>
      </c>
      <c r="J1235">
        <v>0</v>
      </c>
    </row>
    <row r="1236" spans="1:10" x14ac:dyDescent="0.25">
      <c r="A1236">
        <v>33159</v>
      </c>
      <c r="B1236" t="s">
        <v>3215</v>
      </c>
      <c r="C1236" t="s">
        <v>597</v>
      </c>
      <c r="D1236" t="s">
        <v>622</v>
      </c>
      <c r="E1236">
        <v>8</v>
      </c>
      <c r="F1236">
        <v>0</v>
      </c>
      <c r="G1236">
        <v>0</v>
      </c>
      <c r="H1236">
        <v>260</v>
      </c>
      <c r="I1236">
        <v>50</v>
      </c>
      <c r="J1236">
        <v>0</v>
      </c>
    </row>
    <row r="1237" spans="1:10" x14ac:dyDescent="0.25">
      <c r="A1237">
        <v>33291</v>
      </c>
      <c r="B1237" t="s">
        <v>3215</v>
      </c>
      <c r="C1237" t="s">
        <v>597</v>
      </c>
      <c r="D1237" t="s">
        <v>648</v>
      </c>
      <c r="E1237">
        <v>8</v>
      </c>
      <c r="F1237">
        <v>0</v>
      </c>
      <c r="G1237">
        <v>0</v>
      </c>
      <c r="H1237">
        <v>131</v>
      </c>
      <c r="I1237">
        <v>65</v>
      </c>
      <c r="J1237">
        <v>0</v>
      </c>
    </row>
    <row r="1238" spans="1:10" x14ac:dyDescent="0.25">
      <c r="A1238">
        <v>35451</v>
      </c>
      <c r="B1238" t="s">
        <v>3217</v>
      </c>
      <c r="C1238" t="s">
        <v>3217</v>
      </c>
      <c r="D1238" t="s">
        <v>864</v>
      </c>
      <c r="E1238">
        <v>7</v>
      </c>
      <c r="F1238">
        <v>0</v>
      </c>
      <c r="G1238">
        <v>0</v>
      </c>
      <c r="H1238">
        <v>60</v>
      </c>
      <c r="J1238">
        <v>0</v>
      </c>
    </row>
    <row r="1239" spans="1:10" x14ac:dyDescent="0.25">
      <c r="A1239">
        <v>24361</v>
      </c>
      <c r="B1239" t="s">
        <v>3212</v>
      </c>
      <c r="C1239" t="s">
        <v>1808</v>
      </c>
      <c r="D1239" t="s">
        <v>327</v>
      </c>
      <c r="E1239">
        <v>7</v>
      </c>
      <c r="F1239">
        <v>0</v>
      </c>
      <c r="G1239">
        <v>0</v>
      </c>
      <c r="H1239">
        <v>78</v>
      </c>
      <c r="I1239">
        <v>4</v>
      </c>
      <c r="J1239">
        <v>0</v>
      </c>
    </row>
    <row r="1240" spans="1:10" x14ac:dyDescent="0.25">
      <c r="A1240">
        <v>24345</v>
      </c>
      <c r="B1240" t="s">
        <v>3212</v>
      </c>
      <c r="C1240" t="s">
        <v>1808</v>
      </c>
      <c r="D1240" t="s">
        <v>2851</v>
      </c>
      <c r="E1240">
        <v>7</v>
      </c>
      <c r="F1240">
        <v>0</v>
      </c>
      <c r="G1240">
        <v>0</v>
      </c>
      <c r="H1240">
        <v>1</v>
      </c>
      <c r="I1240">
        <v>4</v>
      </c>
      <c r="J1240">
        <v>0</v>
      </c>
    </row>
    <row r="1241" spans="1:10" x14ac:dyDescent="0.25">
      <c r="A1241">
        <v>21476</v>
      </c>
      <c r="B1241" t="s">
        <v>3212</v>
      </c>
      <c r="C1241" t="s">
        <v>36</v>
      </c>
      <c r="D1241" t="s">
        <v>84</v>
      </c>
      <c r="E1241">
        <v>7</v>
      </c>
      <c r="F1241">
        <v>0</v>
      </c>
      <c r="G1241">
        <v>0</v>
      </c>
      <c r="H1241">
        <v>1435</v>
      </c>
      <c r="I1241">
        <v>25</v>
      </c>
      <c r="J1241">
        <v>0</v>
      </c>
    </row>
    <row r="1242" spans="1:10" x14ac:dyDescent="0.25">
      <c r="A1242">
        <v>34226</v>
      </c>
      <c r="B1242" t="s">
        <v>3215</v>
      </c>
      <c r="C1242" t="s">
        <v>3226</v>
      </c>
      <c r="D1242" t="s">
        <v>667</v>
      </c>
      <c r="E1242">
        <v>7</v>
      </c>
      <c r="F1242">
        <v>0</v>
      </c>
      <c r="G1242">
        <v>0</v>
      </c>
      <c r="H1242">
        <v>115</v>
      </c>
      <c r="I1242">
        <v>10</v>
      </c>
      <c r="J1242">
        <v>0</v>
      </c>
    </row>
    <row r="1243" spans="1:10" x14ac:dyDescent="0.25">
      <c r="A1243">
        <v>37357</v>
      </c>
      <c r="B1243" t="s">
        <v>3215</v>
      </c>
      <c r="C1243" t="s">
        <v>3228</v>
      </c>
      <c r="D1243" t="s">
        <v>944</v>
      </c>
      <c r="E1243">
        <v>7</v>
      </c>
      <c r="F1243">
        <v>0</v>
      </c>
      <c r="G1243">
        <v>0</v>
      </c>
      <c r="H1243">
        <v>457</v>
      </c>
      <c r="J1243">
        <v>0</v>
      </c>
    </row>
    <row r="1244" spans="1:10" x14ac:dyDescent="0.25">
      <c r="A1244">
        <v>26264</v>
      </c>
      <c r="B1244" t="s">
        <v>3212</v>
      </c>
      <c r="C1244" t="s">
        <v>3227</v>
      </c>
      <c r="D1244" t="s">
        <v>487</v>
      </c>
      <c r="E1244">
        <v>7</v>
      </c>
      <c r="F1244">
        <v>0</v>
      </c>
      <c r="G1244">
        <v>0</v>
      </c>
      <c r="H1244">
        <v>21</v>
      </c>
      <c r="I1244">
        <v>30</v>
      </c>
      <c r="J1244">
        <v>0</v>
      </c>
    </row>
    <row r="1245" spans="1:10" x14ac:dyDescent="0.25">
      <c r="A1245">
        <v>26357</v>
      </c>
      <c r="B1245" t="s">
        <v>3212</v>
      </c>
      <c r="C1245" t="s">
        <v>3227</v>
      </c>
      <c r="D1245" t="s">
        <v>525</v>
      </c>
      <c r="E1245">
        <v>7</v>
      </c>
      <c r="F1245">
        <v>0</v>
      </c>
      <c r="G1245">
        <v>0</v>
      </c>
      <c r="H1245">
        <v>554</v>
      </c>
      <c r="I1245">
        <v>5</v>
      </c>
      <c r="J1245">
        <v>0</v>
      </c>
    </row>
    <row r="1246" spans="1:10" x14ac:dyDescent="0.25">
      <c r="A1246">
        <v>26257</v>
      </c>
      <c r="B1246" t="s">
        <v>3212</v>
      </c>
      <c r="C1246" t="s">
        <v>3227</v>
      </c>
      <c r="D1246" t="s">
        <v>483</v>
      </c>
      <c r="E1246">
        <v>7</v>
      </c>
      <c r="F1246">
        <v>0</v>
      </c>
      <c r="G1246">
        <v>0</v>
      </c>
      <c r="H1246">
        <v>581</v>
      </c>
      <c r="I1246">
        <v>6</v>
      </c>
      <c r="J1246">
        <v>0</v>
      </c>
    </row>
    <row r="1247" spans="1:10" x14ac:dyDescent="0.25">
      <c r="A1247">
        <v>63224</v>
      </c>
      <c r="B1247" t="s">
        <v>3213</v>
      </c>
      <c r="C1247" t="s">
        <v>1342</v>
      </c>
      <c r="D1247" t="s">
        <v>3004</v>
      </c>
      <c r="E1247">
        <v>7</v>
      </c>
      <c r="F1247">
        <v>0</v>
      </c>
      <c r="G1247">
        <v>0</v>
      </c>
      <c r="H1247">
        <v>43</v>
      </c>
      <c r="I1247">
        <v>1</v>
      </c>
      <c r="J1247">
        <v>0</v>
      </c>
    </row>
    <row r="1248" spans="1:10" x14ac:dyDescent="0.25">
      <c r="A1248">
        <v>63359</v>
      </c>
      <c r="B1248" t="s">
        <v>3213</v>
      </c>
      <c r="C1248" t="s">
        <v>1342</v>
      </c>
      <c r="D1248" t="s">
        <v>3011</v>
      </c>
      <c r="E1248">
        <v>7</v>
      </c>
      <c r="F1248">
        <v>0</v>
      </c>
      <c r="G1248">
        <v>0</v>
      </c>
      <c r="H1248">
        <v>1</v>
      </c>
      <c r="J1248">
        <v>0</v>
      </c>
    </row>
    <row r="1249" spans="1:10" x14ac:dyDescent="0.25">
      <c r="A1249">
        <v>63335</v>
      </c>
      <c r="B1249" t="s">
        <v>3213</v>
      </c>
      <c r="C1249" t="s">
        <v>1342</v>
      </c>
      <c r="D1249" t="s">
        <v>1402</v>
      </c>
      <c r="E1249">
        <v>7</v>
      </c>
      <c r="F1249">
        <v>0</v>
      </c>
      <c r="G1249">
        <v>0</v>
      </c>
      <c r="H1249">
        <v>0</v>
      </c>
      <c r="J1249">
        <v>0</v>
      </c>
    </row>
    <row r="1250" spans="1:10" x14ac:dyDescent="0.25">
      <c r="A1250">
        <v>61411</v>
      </c>
      <c r="B1250" t="s">
        <v>3213</v>
      </c>
      <c r="C1250" t="s">
        <v>3039</v>
      </c>
      <c r="D1250" t="s">
        <v>1212</v>
      </c>
      <c r="E1250">
        <v>7</v>
      </c>
      <c r="F1250">
        <v>0</v>
      </c>
      <c r="G1250">
        <v>0</v>
      </c>
      <c r="H1250">
        <v>69</v>
      </c>
      <c r="I1250">
        <v>5</v>
      </c>
      <c r="J1250">
        <v>0</v>
      </c>
    </row>
    <row r="1251" spans="1:10" x14ac:dyDescent="0.25">
      <c r="A1251">
        <v>62292</v>
      </c>
      <c r="B1251" t="s">
        <v>3213</v>
      </c>
      <c r="C1251" t="s">
        <v>1267</v>
      </c>
      <c r="D1251" t="s">
        <v>1323</v>
      </c>
      <c r="E1251">
        <v>7</v>
      </c>
      <c r="F1251">
        <v>0</v>
      </c>
      <c r="G1251">
        <v>0</v>
      </c>
      <c r="H1251">
        <v>363</v>
      </c>
      <c r="J1251">
        <v>0</v>
      </c>
    </row>
    <row r="1252" spans="1:10" x14ac:dyDescent="0.25">
      <c r="A1252">
        <v>52284</v>
      </c>
      <c r="B1252" t="s">
        <v>3214</v>
      </c>
      <c r="C1252" t="s">
        <v>3221</v>
      </c>
      <c r="D1252" t="s">
        <v>1065</v>
      </c>
      <c r="E1252">
        <v>7</v>
      </c>
      <c r="F1252">
        <v>0</v>
      </c>
      <c r="G1252">
        <v>0</v>
      </c>
      <c r="H1252">
        <v>185</v>
      </c>
      <c r="J1252">
        <v>0</v>
      </c>
    </row>
    <row r="1253" spans="1:10" x14ac:dyDescent="0.25">
      <c r="A1253">
        <v>33267</v>
      </c>
      <c r="B1253" t="s">
        <v>3215</v>
      </c>
      <c r="C1253" t="s">
        <v>597</v>
      </c>
      <c r="D1253" t="s">
        <v>642</v>
      </c>
      <c r="E1253">
        <v>7</v>
      </c>
      <c r="F1253">
        <v>0</v>
      </c>
      <c r="G1253">
        <v>0</v>
      </c>
      <c r="H1253">
        <v>1214</v>
      </c>
      <c r="J1253">
        <v>0</v>
      </c>
    </row>
    <row r="1254" spans="1:10" x14ac:dyDescent="0.25">
      <c r="A1254">
        <v>33219</v>
      </c>
      <c r="B1254" t="s">
        <v>3215</v>
      </c>
      <c r="C1254" t="s">
        <v>597</v>
      </c>
      <c r="D1254" t="s">
        <v>631</v>
      </c>
      <c r="E1254">
        <v>7</v>
      </c>
      <c r="F1254">
        <v>0</v>
      </c>
      <c r="G1254">
        <v>0</v>
      </c>
      <c r="H1254">
        <v>78</v>
      </c>
      <c r="J1254">
        <v>0</v>
      </c>
    </row>
    <row r="1255" spans="1:10" x14ac:dyDescent="0.25">
      <c r="A1255">
        <v>33131</v>
      </c>
      <c r="B1255" t="s">
        <v>3215</v>
      </c>
      <c r="C1255" t="s">
        <v>597</v>
      </c>
      <c r="D1255" t="s">
        <v>607</v>
      </c>
      <c r="E1255">
        <v>7</v>
      </c>
      <c r="F1255">
        <v>0</v>
      </c>
      <c r="G1255">
        <v>0</v>
      </c>
      <c r="H1255">
        <v>46</v>
      </c>
      <c r="J1255">
        <v>0</v>
      </c>
    </row>
    <row r="1256" spans="1:10" x14ac:dyDescent="0.25">
      <c r="A1256">
        <v>23263</v>
      </c>
      <c r="B1256" t="s">
        <v>3212</v>
      </c>
      <c r="C1256" t="s">
        <v>3220</v>
      </c>
      <c r="D1256" t="s">
        <v>206</v>
      </c>
      <c r="E1256">
        <v>6</v>
      </c>
      <c r="F1256">
        <v>0</v>
      </c>
      <c r="G1256">
        <v>0</v>
      </c>
      <c r="H1256">
        <v>118</v>
      </c>
      <c r="I1256">
        <v>2</v>
      </c>
      <c r="J1256">
        <v>0</v>
      </c>
    </row>
    <row r="1257" spans="1:10" x14ac:dyDescent="0.25">
      <c r="A1257">
        <v>32193</v>
      </c>
      <c r="B1257" t="s">
        <v>3215</v>
      </c>
      <c r="C1257" t="s">
        <v>3223</v>
      </c>
      <c r="D1257" t="s">
        <v>595</v>
      </c>
      <c r="E1257">
        <v>6</v>
      </c>
      <c r="F1257">
        <v>0</v>
      </c>
      <c r="G1257">
        <v>0</v>
      </c>
      <c r="H1257">
        <v>6</v>
      </c>
      <c r="J1257">
        <v>0</v>
      </c>
    </row>
    <row r="1258" spans="1:10" x14ac:dyDescent="0.25">
      <c r="A1258">
        <v>22683</v>
      </c>
      <c r="B1258" t="s">
        <v>3212</v>
      </c>
      <c r="C1258" t="s">
        <v>3224</v>
      </c>
      <c r="D1258" t="s">
        <v>157</v>
      </c>
      <c r="E1258">
        <v>6</v>
      </c>
      <c r="F1258">
        <v>0</v>
      </c>
      <c r="G1258">
        <v>0</v>
      </c>
      <c r="H1258">
        <v>153</v>
      </c>
      <c r="I1258">
        <v>10</v>
      </c>
      <c r="J1258">
        <v>0</v>
      </c>
    </row>
    <row r="1259" spans="1:10" x14ac:dyDescent="0.25">
      <c r="A1259">
        <v>26227</v>
      </c>
      <c r="B1259" t="s">
        <v>3212</v>
      </c>
      <c r="C1259" t="s">
        <v>3227</v>
      </c>
      <c r="D1259" t="s">
        <v>465</v>
      </c>
      <c r="E1259">
        <v>6</v>
      </c>
      <c r="F1259">
        <v>0</v>
      </c>
      <c r="G1259">
        <v>0</v>
      </c>
      <c r="H1259">
        <v>231</v>
      </c>
      <c r="J1259">
        <v>0</v>
      </c>
    </row>
    <row r="1260" spans="1:10" x14ac:dyDescent="0.25">
      <c r="A1260">
        <v>26159</v>
      </c>
      <c r="B1260" t="s">
        <v>3212</v>
      </c>
      <c r="C1260" t="s">
        <v>3227</v>
      </c>
      <c r="D1260" t="s">
        <v>446</v>
      </c>
      <c r="E1260">
        <v>6</v>
      </c>
      <c r="F1260">
        <v>0</v>
      </c>
      <c r="G1260">
        <v>0</v>
      </c>
      <c r="H1260">
        <v>294</v>
      </c>
      <c r="I1260">
        <v>4</v>
      </c>
      <c r="J1260">
        <v>0</v>
      </c>
    </row>
    <row r="1261" spans="1:10" x14ac:dyDescent="0.25">
      <c r="A1261">
        <v>25325</v>
      </c>
      <c r="B1261" t="s">
        <v>3212</v>
      </c>
      <c r="C1261" t="s">
        <v>3229</v>
      </c>
      <c r="D1261" t="s">
        <v>390</v>
      </c>
      <c r="E1261">
        <v>6</v>
      </c>
      <c r="F1261">
        <v>0</v>
      </c>
      <c r="G1261">
        <v>0</v>
      </c>
      <c r="H1261">
        <v>961</v>
      </c>
      <c r="J1261">
        <v>0</v>
      </c>
    </row>
    <row r="1262" spans="1:10" x14ac:dyDescent="0.25">
      <c r="A1262">
        <v>55121</v>
      </c>
      <c r="B1262" t="s">
        <v>3214</v>
      </c>
      <c r="C1262" t="s">
        <v>3222</v>
      </c>
      <c r="D1262" t="s">
        <v>1166</v>
      </c>
      <c r="E1262">
        <v>6</v>
      </c>
      <c r="F1262">
        <v>0</v>
      </c>
      <c r="G1262">
        <v>0</v>
      </c>
      <c r="H1262">
        <v>930</v>
      </c>
      <c r="I1262">
        <v>27</v>
      </c>
      <c r="J1262">
        <v>0</v>
      </c>
    </row>
    <row r="1263" spans="1:10" x14ac:dyDescent="0.25">
      <c r="A1263">
        <v>61494</v>
      </c>
      <c r="B1263" t="s">
        <v>3213</v>
      </c>
      <c r="C1263" t="s">
        <v>3039</v>
      </c>
      <c r="D1263" t="s">
        <v>1264</v>
      </c>
      <c r="E1263">
        <v>6</v>
      </c>
      <c r="F1263">
        <v>0</v>
      </c>
      <c r="G1263">
        <v>0</v>
      </c>
      <c r="H1263">
        <v>127</v>
      </c>
      <c r="I1263">
        <v>5</v>
      </c>
      <c r="J1263">
        <v>0</v>
      </c>
    </row>
    <row r="1264" spans="1:10" x14ac:dyDescent="0.25">
      <c r="A1264">
        <v>61456</v>
      </c>
      <c r="B1264" t="s">
        <v>3213</v>
      </c>
      <c r="C1264" t="s">
        <v>3039</v>
      </c>
      <c r="D1264" t="s">
        <v>1240</v>
      </c>
      <c r="E1264">
        <v>6</v>
      </c>
      <c r="F1264">
        <v>0</v>
      </c>
      <c r="G1264">
        <v>0</v>
      </c>
      <c r="H1264">
        <v>0</v>
      </c>
      <c r="J1264">
        <v>0</v>
      </c>
    </row>
    <row r="1265" spans="1:10" x14ac:dyDescent="0.25">
      <c r="A1265">
        <v>62294</v>
      </c>
      <c r="B1265" t="s">
        <v>3213</v>
      </c>
      <c r="C1265" t="s">
        <v>1267</v>
      </c>
      <c r="D1265" t="s">
        <v>2996</v>
      </c>
      <c r="E1265">
        <v>6</v>
      </c>
      <c r="F1265">
        <v>1832</v>
      </c>
      <c r="G1265">
        <v>0</v>
      </c>
      <c r="H1265">
        <v>26</v>
      </c>
      <c r="I1265">
        <v>400</v>
      </c>
      <c r="J1265">
        <v>70.461538461538467</v>
      </c>
    </row>
    <row r="1266" spans="1:10" x14ac:dyDescent="0.25">
      <c r="A1266">
        <v>52166</v>
      </c>
      <c r="B1266" t="s">
        <v>3214</v>
      </c>
      <c r="C1266" t="s">
        <v>3221</v>
      </c>
      <c r="D1266" t="s">
        <v>1039</v>
      </c>
      <c r="E1266">
        <v>6</v>
      </c>
      <c r="F1266">
        <v>0</v>
      </c>
      <c r="G1266">
        <v>0</v>
      </c>
      <c r="H1266">
        <v>79</v>
      </c>
      <c r="J1266">
        <v>0</v>
      </c>
    </row>
    <row r="1267" spans="1:10" x14ac:dyDescent="0.25">
      <c r="A1267">
        <v>52271</v>
      </c>
      <c r="B1267" t="s">
        <v>3214</v>
      </c>
      <c r="C1267" t="s">
        <v>3221</v>
      </c>
      <c r="D1267" t="s">
        <v>2948</v>
      </c>
      <c r="E1267">
        <v>6</v>
      </c>
      <c r="F1267">
        <v>0</v>
      </c>
      <c r="G1267">
        <v>0</v>
      </c>
      <c r="H1267">
        <v>110</v>
      </c>
      <c r="J1267">
        <v>0</v>
      </c>
    </row>
    <row r="1268" spans="1:10" x14ac:dyDescent="0.25">
      <c r="A1268">
        <v>51317</v>
      </c>
      <c r="B1268" t="s">
        <v>3214</v>
      </c>
      <c r="C1268" t="s">
        <v>3045</v>
      </c>
      <c r="D1268" t="s">
        <v>1014</v>
      </c>
      <c r="E1268">
        <v>6</v>
      </c>
      <c r="F1268">
        <v>0</v>
      </c>
      <c r="G1268">
        <v>0</v>
      </c>
      <c r="H1268">
        <v>4610</v>
      </c>
      <c r="I1268">
        <v>50</v>
      </c>
      <c r="J1268">
        <v>0</v>
      </c>
    </row>
    <row r="1269" spans="1:10" x14ac:dyDescent="0.25">
      <c r="A1269">
        <v>35131</v>
      </c>
      <c r="B1269" t="s">
        <v>3217</v>
      </c>
      <c r="C1269" t="s">
        <v>3217</v>
      </c>
      <c r="D1269" t="s">
        <v>734</v>
      </c>
      <c r="E1269">
        <v>5</v>
      </c>
      <c r="F1269">
        <v>0</v>
      </c>
      <c r="G1269">
        <v>0</v>
      </c>
      <c r="H1269">
        <v>636</v>
      </c>
      <c r="J1269">
        <v>0</v>
      </c>
    </row>
    <row r="1270" spans="1:10" x14ac:dyDescent="0.25">
      <c r="A1270">
        <v>35169</v>
      </c>
      <c r="B1270" t="s">
        <v>3217</v>
      </c>
      <c r="C1270" t="s">
        <v>3217</v>
      </c>
      <c r="D1270" t="s">
        <v>754</v>
      </c>
      <c r="E1270">
        <v>5</v>
      </c>
      <c r="F1270">
        <v>0</v>
      </c>
      <c r="G1270">
        <v>0</v>
      </c>
      <c r="H1270">
        <v>219</v>
      </c>
      <c r="J1270">
        <v>0</v>
      </c>
    </row>
    <row r="1271" spans="1:10" x14ac:dyDescent="0.25">
      <c r="A1271">
        <v>35317</v>
      </c>
      <c r="B1271" t="s">
        <v>3217</v>
      </c>
      <c r="C1271" t="s">
        <v>3217</v>
      </c>
      <c r="D1271" t="s">
        <v>2893</v>
      </c>
      <c r="E1271">
        <v>5</v>
      </c>
      <c r="F1271">
        <v>0</v>
      </c>
      <c r="G1271">
        <v>0</v>
      </c>
      <c r="H1271">
        <v>182</v>
      </c>
      <c r="J1271">
        <v>0</v>
      </c>
    </row>
    <row r="1272" spans="1:10" x14ac:dyDescent="0.25">
      <c r="A1272">
        <v>21337</v>
      </c>
      <c r="B1272" t="s">
        <v>3212</v>
      </c>
      <c r="C1272" t="s">
        <v>36</v>
      </c>
      <c r="D1272" t="s">
        <v>54</v>
      </c>
      <c r="E1272">
        <v>5</v>
      </c>
      <c r="F1272">
        <v>0</v>
      </c>
      <c r="G1272">
        <v>0</v>
      </c>
      <c r="H1272">
        <v>7</v>
      </c>
      <c r="I1272">
        <v>5</v>
      </c>
      <c r="J1272">
        <v>0</v>
      </c>
    </row>
    <row r="1273" spans="1:10" x14ac:dyDescent="0.25">
      <c r="A1273">
        <v>53463</v>
      </c>
      <c r="B1273" t="s">
        <v>3216</v>
      </c>
      <c r="C1273" t="s">
        <v>1069</v>
      </c>
      <c r="D1273" t="s">
        <v>1145</v>
      </c>
      <c r="E1273">
        <v>5</v>
      </c>
      <c r="F1273">
        <v>0</v>
      </c>
      <c r="G1273">
        <v>0</v>
      </c>
      <c r="H1273">
        <v>338</v>
      </c>
      <c r="J1273">
        <v>0</v>
      </c>
    </row>
    <row r="1274" spans="1:10" x14ac:dyDescent="0.25">
      <c r="A1274">
        <v>36117</v>
      </c>
      <c r="B1274" t="s">
        <v>3215</v>
      </c>
      <c r="C1274" t="s">
        <v>2906</v>
      </c>
      <c r="D1274" t="s">
        <v>890</v>
      </c>
      <c r="E1274">
        <v>5</v>
      </c>
      <c r="F1274">
        <v>0</v>
      </c>
      <c r="G1274">
        <v>0</v>
      </c>
      <c r="H1274">
        <v>276</v>
      </c>
      <c r="I1274">
        <v>5</v>
      </c>
      <c r="J1274">
        <v>0</v>
      </c>
    </row>
    <row r="1275" spans="1:10" x14ac:dyDescent="0.25">
      <c r="A1275">
        <v>72191</v>
      </c>
      <c r="B1275" t="s">
        <v>3218</v>
      </c>
      <c r="C1275" t="s">
        <v>3230</v>
      </c>
      <c r="D1275" t="s">
        <v>1480</v>
      </c>
      <c r="E1275">
        <v>5</v>
      </c>
      <c r="F1275">
        <v>0</v>
      </c>
      <c r="G1275">
        <v>0</v>
      </c>
      <c r="H1275">
        <v>1064</v>
      </c>
      <c r="J1275">
        <v>0</v>
      </c>
    </row>
    <row r="1276" spans="1:10" x14ac:dyDescent="0.25">
      <c r="A1276">
        <v>34361</v>
      </c>
      <c r="B1276" t="s">
        <v>3215</v>
      </c>
      <c r="C1276" t="s">
        <v>3226</v>
      </c>
      <c r="D1276" t="s">
        <v>715</v>
      </c>
      <c r="E1276">
        <v>5</v>
      </c>
      <c r="F1276">
        <v>0</v>
      </c>
      <c r="G1276">
        <v>0</v>
      </c>
      <c r="H1276">
        <v>115</v>
      </c>
      <c r="I1276">
        <v>2</v>
      </c>
      <c r="J1276">
        <v>0</v>
      </c>
    </row>
    <row r="1277" spans="1:10" x14ac:dyDescent="0.25">
      <c r="A1277">
        <v>34346</v>
      </c>
      <c r="B1277" t="s">
        <v>3215</v>
      </c>
      <c r="C1277" t="s">
        <v>3226</v>
      </c>
      <c r="D1277" t="s">
        <v>712</v>
      </c>
      <c r="E1277">
        <v>5</v>
      </c>
      <c r="F1277">
        <v>0</v>
      </c>
      <c r="G1277">
        <v>0</v>
      </c>
      <c r="H1277">
        <v>12</v>
      </c>
      <c r="I1277">
        <v>1</v>
      </c>
      <c r="J1277">
        <v>0</v>
      </c>
    </row>
    <row r="1278" spans="1:10" x14ac:dyDescent="0.25">
      <c r="A1278">
        <v>22563</v>
      </c>
      <c r="B1278" t="s">
        <v>3212</v>
      </c>
      <c r="C1278" t="s">
        <v>3224</v>
      </c>
      <c r="D1278" t="s">
        <v>139</v>
      </c>
      <c r="E1278">
        <v>5</v>
      </c>
      <c r="F1278">
        <v>0</v>
      </c>
      <c r="G1278">
        <v>0</v>
      </c>
      <c r="H1278">
        <v>362</v>
      </c>
      <c r="I1278">
        <v>5</v>
      </c>
      <c r="J1278">
        <v>0</v>
      </c>
    </row>
    <row r="1279" spans="1:10" x14ac:dyDescent="0.25">
      <c r="A1279">
        <v>22583</v>
      </c>
      <c r="B1279" t="s">
        <v>3212</v>
      </c>
      <c r="C1279" t="s">
        <v>3224</v>
      </c>
      <c r="D1279" t="s">
        <v>144</v>
      </c>
      <c r="E1279">
        <v>5</v>
      </c>
      <c r="F1279">
        <v>0</v>
      </c>
      <c r="G1279">
        <v>0</v>
      </c>
      <c r="H1279">
        <v>217</v>
      </c>
      <c r="I1279">
        <v>142</v>
      </c>
      <c r="J1279">
        <v>0</v>
      </c>
    </row>
    <row r="1280" spans="1:10" x14ac:dyDescent="0.25">
      <c r="A1280">
        <v>22587</v>
      </c>
      <c r="B1280" t="s">
        <v>3212</v>
      </c>
      <c r="C1280" t="s">
        <v>3224</v>
      </c>
      <c r="D1280" t="s">
        <v>145</v>
      </c>
      <c r="E1280">
        <v>5</v>
      </c>
      <c r="F1280">
        <v>0</v>
      </c>
      <c r="G1280">
        <v>0</v>
      </c>
      <c r="H1280">
        <v>490</v>
      </c>
      <c r="I1280">
        <v>13</v>
      </c>
      <c r="J1280">
        <v>0</v>
      </c>
    </row>
    <row r="1281" spans="1:10" x14ac:dyDescent="0.25">
      <c r="A1281">
        <v>37379</v>
      </c>
      <c r="B1281" t="s">
        <v>3215</v>
      </c>
      <c r="C1281" t="s">
        <v>3228</v>
      </c>
      <c r="D1281" t="s">
        <v>958</v>
      </c>
      <c r="E1281">
        <v>5</v>
      </c>
      <c r="F1281">
        <v>0</v>
      </c>
      <c r="G1281">
        <v>0</v>
      </c>
      <c r="H1281">
        <v>7</v>
      </c>
      <c r="J1281">
        <v>0</v>
      </c>
    </row>
    <row r="1282" spans="1:10" x14ac:dyDescent="0.25">
      <c r="A1282">
        <v>37356</v>
      </c>
      <c r="B1282" t="s">
        <v>3215</v>
      </c>
      <c r="C1282" t="s">
        <v>3228</v>
      </c>
      <c r="D1282" t="s">
        <v>943</v>
      </c>
      <c r="E1282">
        <v>5</v>
      </c>
      <c r="F1282">
        <v>0</v>
      </c>
      <c r="G1282">
        <v>0</v>
      </c>
      <c r="H1282">
        <v>551</v>
      </c>
      <c r="J1282">
        <v>0</v>
      </c>
    </row>
    <row r="1283" spans="1:10" x14ac:dyDescent="0.25">
      <c r="A1283">
        <v>37358</v>
      </c>
      <c r="B1283" t="s">
        <v>3215</v>
      </c>
      <c r="C1283" t="s">
        <v>3228</v>
      </c>
      <c r="D1283" t="s">
        <v>945</v>
      </c>
      <c r="E1283">
        <v>5</v>
      </c>
      <c r="F1283">
        <v>0</v>
      </c>
      <c r="G1283">
        <v>0</v>
      </c>
      <c r="H1283">
        <v>551</v>
      </c>
      <c r="J1283">
        <v>0</v>
      </c>
    </row>
    <row r="1284" spans="1:10" x14ac:dyDescent="0.25">
      <c r="A1284">
        <v>74112</v>
      </c>
      <c r="B1284" t="s">
        <v>3218</v>
      </c>
      <c r="C1284" t="s">
        <v>2784</v>
      </c>
      <c r="D1284" t="s">
        <v>1542</v>
      </c>
      <c r="E1284">
        <v>5</v>
      </c>
      <c r="F1284">
        <v>0</v>
      </c>
      <c r="G1284">
        <v>0</v>
      </c>
      <c r="H1284">
        <v>61</v>
      </c>
      <c r="J1284">
        <v>0</v>
      </c>
    </row>
    <row r="1285" spans="1:10" x14ac:dyDescent="0.25">
      <c r="A1285">
        <v>74124</v>
      </c>
      <c r="B1285" t="s">
        <v>3218</v>
      </c>
      <c r="C1285" t="s">
        <v>2784</v>
      </c>
      <c r="D1285" t="s">
        <v>1548</v>
      </c>
      <c r="E1285">
        <v>5</v>
      </c>
      <c r="F1285">
        <v>0</v>
      </c>
      <c r="G1285">
        <v>0</v>
      </c>
      <c r="H1285">
        <v>1778</v>
      </c>
      <c r="I1285">
        <v>10</v>
      </c>
      <c r="J1285">
        <v>0</v>
      </c>
    </row>
    <row r="1286" spans="1:10" x14ac:dyDescent="0.25">
      <c r="A1286">
        <v>26364</v>
      </c>
      <c r="B1286" t="s">
        <v>3212</v>
      </c>
      <c r="C1286" t="s">
        <v>3227</v>
      </c>
      <c r="D1286" t="s">
        <v>527</v>
      </c>
      <c r="E1286">
        <v>5</v>
      </c>
      <c r="F1286">
        <v>0</v>
      </c>
      <c r="G1286">
        <v>0</v>
      </c>
      <c r="H1286">
        <v>41</v>
      </c>
      <c r="I1286">
        <v>5</v>
      </c>
      <c r="J1286">
        <v>0</v>
      </c>
    </row>
    <row r="1287" spans="1:10" x14ac:dyDescent="0.25">
      <c r="A1287">
        <v>26251</v>
      </c>
      <c r="B1287" t="s">
        <v>3212</v>
      </c>
      <c r="C1287" t="s">
        <v>3227</v>
      </c>
      <c r="D1287" t="s">
        <v>479</v>
      </c>
      <c r="E1287">
        <v>5</v>
      </c>
      <c r="F1287">
        <v>0</v>
      </c>
      <c r="G1287">
        <v>0</v>
      </c>
      <c r="H1287">
        <v>554</v>
      </c>
      <c r="I1287">
        <v>1</v>
      </c>
      <c r="J1287">
        <v>0</v>
      </c>
    </row>
    <row r="1288" spans="1:10" x14ac:dyDescent="0.25">
      <c r="A1288">
        <v>63211</v>
      </c>
      <c r="B1288" t="s">
        <v>3213</v>
      </c>
      <c r="C1288" t="s">
        <v>1342</v>
      </c>
      <c r="D1288" t="s">
        <v>1368</v>
      </c>
      <c r="E1288">
        <v>5</v>
      </c>
      <c r="F1288">
        <v>0</v>
      </c>
      <c r="G1288">
        <v>0</v>
      </c>
      <c r="H1288">
        <v>200</v>
      </c>
      <c r="I1288">
        <v>2</v>
      </c>
      <c r="J1288">
        <v>0</v>
      </c>
    </row>
    <row r="1289" spans="1:10" x14ac:dyDescent="0.25">
      <c r="A1289">
        <v>63378</v>
      </c>
      <c r="B1289" t="s">
        <v>3213</v>
      </c>
      <c r="C1289" t="s">
        <v>1342</v>
      </c>
      <c r="D1289" t="s">
        <v>1414</v>
      </c>
      <c r="E1289">
        <v>5</v>
      </c>
      <c r="F1289">
        <v>0</v>
      </c>
      <c r="G1289">
        <v>0</v>
      </c>
      <c r="H1289">
        <v>16</v>
      </c>
      <c r="J1289">
        <v>0</v>
      </c>
    </row>
    <row r="1290" spans="1:10" x14ac:dyDescent="0.25">
      <c r="A1290">
        <v>25365</v>
      </c>
      <c r="B1290" t="s">
        <v>3212</v>
      </c>
      <c r="C1290" t="s">
        <v>3229</v>
      </c>
      <c r="D1290" t="s">
        <v>410</v>
      </c>
      <c r="E1290">
        <v>5</v>
      </c>
      <c r="F1290">
        <v>0</v>
      </c>
      <c r="G1290">
        <v>0</v>
      </c>
      <c r="H1290">
        <v>884</v>
      </c>
      <c r="I1290">
        <v>3</v>
      </c>
      <c r="J1290">
        <v>0</v>
      </c>
    </row>
    <row r="1291" spans="1:10" x14ac:dyDescent="0.25">
      <c r="A1291">
        <v>25329</v>
      </c>
      <c r="B1291" t="s">
        <v>3212</v>
      </c>
      <c r="C1291" t="s">
        <v>3229</v>
      </c>
      <c r="D1291" t="s">
        <v>392</v>
      </c>
      <c r="E1291">
        <v>5</v>
      </c>
      <c r="F1291">
        <v>0</v>
      </c>
      <c r="G1291">
        <v>0</v>
      </c>
      <c r="H1291">
        <v>2193</v>
      </c>
      <c r="I1291">
        <v>43</v>
      </c>
      <c r="J1291">
        <v>0</v>
      </c>
    </row>
    <row r="1292" spans="1:10" x14ac:dyDescent="0.25">
      <c r="A1292">
        <v>73191</v>
      </c>
      <c r="B1292" t="s">
        <v>3218</v>
      </c>
      <c r="C1292" t="s">
        <v>1508</v>
      </c>
      <c r="D1292" t="s">
        <v>1521</v>
      </c>
      <c r="E1292">
        <v>5</v>
      </c>
      <c r="F1292">
        <v>0</v>
      </c>
      <c r="G1292">
        <v>0</v>
      </c>
      <c r="H1292">
        <v>0</v>
      </c>
      <c r="J1292">
        <v>0</v>
      </c>
    </row>
    <row r="1293" spans="1:10" x14ac:dyDescent="0.25">
      <c r="A1293">
        <v>51185</v>
      </c>
      <c r="B1293" t="s">
        <v>3214</v>
      </c>
      <c r="C1293" t="s">
        <v>3045</v>
      </c>
      <c r="D1293" t="s">
        <v>2934</v>
      </c>
      <c r="E1293">
        <v>5</v>
      </c>
      <c r="F1293">
        <v>0</v>
      </c>
      <c r="G1293">
        <v>0</v>
      </c>
      <c r="H1293">
        <v>5</v>
      </c>
      <c r="J1293">
        <v>0</v>
      </c>
    </row>
    <row r="1294" spans="1:10" x14ac:dyDescent="0.25">
      <c r="A1294">
        <v>51277</v>
      </c>
      <c r="B1294" t="s">
        <v>3214</v>
      </c>
      <c r="C1294" t="s">
        <v>3045</v>
      </c>
      <c r="D1294" t="s">
        <v>1009</v>
      </c>
      <c r="E1294">
        <v>5</v>
      </c>
      <c r="F1294">
        <v>0</v>
      </c>
      <c r="G1294">
        <v>0</v>
      </c>
      <c r="H1294">
        <v>48</v>
      </c>
      <c r="J1294">
        <v>0</v>
      </c>
    </row>
    <row r="1295" spans="1:10" x14ac:dyDescent="0.25">
      <c r="A1295">
        <v>35311</v>
      </c>
      <c r="B1295" t="s">
        <v>3217</v>
      </c>
      <c r="C1295" t="s">
        <v>3217</v>
      </c>
      <c r="D1295" t="s">
        <v>805</v>
      </c>
      <c r="E1295">
        <v>4</v>
      </c>
      <c r="F1295">
        <v>0</v>
      </c>
      <c r="G1295">
        <v>0</v>
      </c>
      <c r="H1295">
        <v>167</v>
      </c>
      <c r="I1295">
        <v>5</v>
      </c>
      <c r="J1295">
        <v>0</v>
      </c>
    </row>
    <row r="1296" spans="1:10" x14ac:dyDescent="0.25">
      <c r="A1296">
        <v>35161</v>
      </c>
      <c r="B1296" t="s">
        <v>3217</v>
      </c>
      <c r="C1296" t="s">
        <v>3217</v>
      </c>
      <c r="D1296" t="s">
        <v>751</v>
      </c>
      <c r="E1296">
        <v>4</v>
      </c>
      <c r="F1296">
        <v>0</v>
      </c>
      <c r="G1296">
        <v>0</v>
      </c>
      <c r="H1296">
        <v>454</v>
      </c>
      <c r="I1296">
        <v>5</v>
      </c>
      <c r="J1296">
        <v>0</v>
      </c>
    </row>
    <row r="1297" spans="1:10" x14ac:dyDescent="0.25">
      <c r="A1297">
        <v>24355</v>
      </c>
      <c r="B1297" t="s">
        <v>3212</v>
      </c>
      <c r="C1297" t="s">
        <v>1808</v>
      </c>
      <c r="D1297" t="s">
        <v>2852</v>
      </c>
      <c r="E1297">
        <v>4</v>
      </c>
      <c r="F1297">
        <v>0</v>
      </c>
      <c r="G1297">
        <v>0</v>
      </c>
      <c r="H1297">
        <v>5</v>
      </c>
      <c r="I1297">
        <v>1</v>
      </c>
      <c r="J1297">
        <v>0</v>
      </c>
    </row>
    <row r="1298" spans="1:10" x14ac:dyDescent="0.25">
      <c r="A1298">
        <v>21275</v>
      </c>
      <c r="B1298" t="s">
        <v>3212</v>
      </c>
      <c r="C1298" t="s">
        <v>36</v>
      </c>
      <c r="D1298" t="s">
        <v>44</v>
      </c>
      <c r="E1298">
        <v>4</v>
      </c>
      <c r="F1298">
        <v>0</v>
      </c>
      <c r="G1298">
        <v>0</v>
      </c>
      <c r="H1298">
        <v>871</v>
      </c>
      <c r="I1298">
        <v>160</v>
      </c>
      <c r="J1298">
        <v>0</v>
      </c>
    </row>
    <row r="1299" spans="1:10" x14ac:dyDescent="0.25">
      <c r="A1299">
        <v>53457</v>
      </c>
      <c r="B1299" t="s">
        <v>3216</v>
      </c>
      <c r="C1299" t="s">
        <v>1069</v>
      </c>
      <c r="D1299" t="s">
        <v>1142</v>
      </c>
      <c r="E1299">
        <v>4</v>
      </c>
      <c r="F1299">
        <v>0</v>
      </c>
      <c r="G1299">
        <v>0</v>
      </c>
      <c r="H1299">
        <v>0</v>
      </c>
      <c r="I1299">
        <v>7</v>
      </c>
      <c r="J1299">
        <v>0</v>
      </c>
    </row>
    <row r="1300" spans="1:10" x14ac:dyDescent="0.25">
      <c r="A1300">
        <v>36147</v>
      </c>
      <c r="B1300" t="s">
        <v>3215</v>
      </c>
      <c r="C1300" t="s">
        <v>2906</v>
      </c>
      <c r="D1300" t="s">
        <v>899</v>
      </c>
      <c r="E1300">
        <v>4</v>
      </c>
      <c r="F1300">
        <v>0</v>
      </c>
      <c r="G1300">
        <v>0</v>
      </c>
      <c r="H1300">
        <v>629</v>
      </c>
      <c r="I1300">
        <v>3</v>
      </c>
      <c r="J1300">
        <v>0</v>
      </c>
    </row>
    <row r="1301" spans="1:10" x14ac:dyDescent="0.25">
      <c r="A1301">
        <v>36157</v>
      </c>
      <c r="B1301" t="s">
        <v>3215</v>
      </c>
      <c r="C1301" t="s">
        <v>2906</v>
      </c>
      <c r="D1301" t="s">
        <v>902</v>
      </c>
      <c r="E1301">
        <v>4</v>
      </c>
      <c r="F1301">
        <v>0</v>
      </c>
      <c r="G1301">
        <v>0</v>
      </c>
      <c r="H1301">
        <v>50</v>
      </c>
      <c r="J1301">
        <v>0</v>
      </c>
    </row>
    <row r="1302" spans="1:10" x14ac:dyDescent="0.25">
      <c r="A1302">
        <v>23253</v>
      </c>
      <c r="B1302" t="s">
        <v>3212</v>
      </c>
      <c r="C1302" t="s">
        <v>3220</v>
      </c>
      <c r="D1302" t="s">
        <v>203</v>
      </c>
      <c r="E1302">
        <v>4</v>
      </c>
      <c r="F1302">
        <v>0</v>
      </c>
      <c r="G1302">
        <v>0</v>
      </c>
      <c r="H1302">
        <v>0</v>
      </c>
      <c r="I1302">
        <v>7</v>
      </c>
      <c r="J1302">
        <v>0</v>
      </c>
    </row>
    <row r="1303" spans="1:10" x14ac:dyDescent="0.25">
      <c r="A1303">
        <v>23667</v>
      </c>
      <c r="B1303" t="s">
        <v>3212</v>
      </c>
      <c r="C1303" t="s">
        <v>3220</v>
      </c>
      <c r="D1303" t="s">
        <v>282</v>
      </c>
      <c r="E1303">
        <v>4</v>
      </c>
      <c r="F1303">
        <v>0</v>
      </c>
      <c r="G1303">
        <v>0</v>
      </c>
      <c r="H1303">
        <v>2664</v>
      </c>
      <c r="I1303">
        <v>10</v>
      </c>
      <c r="J1303">
        <v>0</v>
      </c>
    </row>
    <row r="1304" spans="1:10" x14ac:dyDescent="0.25">
      <c r="A1304">
        <v>34223</v>
      </c>
      <c r="B1304" t="s">
        <v>3215</v>
      </c>
      <c r="C1304" t="s">
        <v>3226</v>
      </c>
      <c r="D1304" t="s">
        <v>665</v>
      </c>
      <c r="E1304">
        <v>4</v>
      </c>
      <c r="F1304">
        <v>0</v>
      </c>
      <c r="G1304">
        <v>0</v>
      </c>
      <c r="H1304">
        <v>12</v>
      </c>
      <c r="J1304">
        <v>0</v>
      </c>
    </row>
    <row r="1305" spans="1:10" x14ac:dyDescent="0.25">
      <c r="A1305">
        <v>34256</v>
      </c>
      <c r="B1305" t="s">
        <v>3215</v>
      </c>
      <c r="C1305" t="s">
        <v>3226</v>
      </c>
      <c r="D1305" t="s">
        <v>685</v>
      </c>
      <c r="E1305">
        <v>4</v>
      </c>
      <c r="F1305">
        <v>0</v>
      </c>
      <c r="G1305">
        <v>0</v>
      </c>
      <c r="H1305">
        <v>298</v>
      </c>
      <c r="I1305">
        <v>6</v>
      </c>
      <c r="J1305">
        <v>0</v>
      </c>
    </row>
    <row r="1306" spans="1:10" x14ac:dyDescent="0.25">
      <c r="A1306">
        <v>22567</v>
      </c>
      <c r="B1306" t="s">
        <v>3212</v>
      </c>
      <c r="C1306" t="s">
        <v>3224</v>
      </c>
      <c r="D1306" t="s">
        <v>140</v>
      </c>
      <c r="E1306">
        <v>4</v>
      </c>
      <c r="F1306">
        <v>0</v>
      </c>
      <c r="G1306">
        <v>0</v>
      </c>
      <c r="H1306">
        <v>487</v>
      </c>
      <c r="I1306">
        <v>5</v>
      </c>
      <c r="J1306">
        <v>0</v>
      </c>
    </row>
    <row r="1307" spans="1:10" x14ac:dyDescent="0.25">
      <c r="A1307">
        <v>37325</v>
      </c>
      <c r="B1307" t="s">
        <v>3215</v>
      </c>
      <c r="C1307" t="s">
        <v>3228</v>
      </c>
      <c r="D1307" t="s">
        <v>926</v>
      </c>
      <c r="E1307">
        <v>4</v>
      </c>
      <c r="F1307">
        <v>0</v>
      </c>
      <c r="G1307">
        <v>0</v>
      </c>
      <c r="H1307">
        <v>3220</v>
      </c>
      <c r="J1307">
        <v>0</v>
      </c>
    </row>
    <row r="1308" spans="1:10" x14ac:dyDescent="0.25">
      <c r="A1308">
        <v>26296</v>
      </c>
      <c r="B1308" t="s">
        <v>3212</v>
      </c>
      <c r="C1308" t="s">
        <v>3227</v>
      </c>
      <c r="D1308" t="s">
        <v>507</v>
      </c>
      <c r="E1308">
        <v>4</v>
      </c>
      <c r="F1308">
        <v>0</v>
      </c>
      <c r="G1308">
        <v>0</v>
      </c>
      <c r="H1308">
        <v>260</v>
      </c>
      <c r="I1308">
        <v>3</v>
      </c>
      <c r="J1308">
        <v>0</v>
      </c>
    </row>
    <row r="1309" spans="1:10" x14ac:dyDescent="0.25">
      <c r="A1309">
        <v>63294</v>
      </c>
      <c r="B1309" t="s">
        <v>3213</v>
      </c>
      <c r="C1309" t="s">
        <v>1342</v>
      </c>
      <c r="D1309" t="s">
        <v>1393</v>
      </c>
      <c r="E1309">
        <v>4</v>
      </c>
      <c r="F1309">
        <v>0</v>
      </c>
      <c r="G1309">
        <v>0</v>
      </c>
      <c r="H1309">
        <v>346</v>
      </c>
      <c r="I1309">
        <v>3</v>
      </c>
      <c r="J1309">
        <v>0</v>
      </c>
    </row>
    <row r="1310" spans="1:10" x14ac:dyDescent="0.25">
      <c r="A1310">
        <v>63147</v>
      </c>
      <c r="B1310" t="s">
        <v>3213</v>
      </c>
      <c r="C1310" t="s">
        <v>1342</v>
      </c>
      <c r="D1310" t="s">
        <v>1353</v>
      </c>
      <c r="E1310">
        <v>4</v>
      </c>
      <c r="F1310">
        <v>0</v>
      </c>
      <c r="G1310">
        <v>0</v>
      </c>
      <c r="H1310">
        <v>135</v>
      </c>
      <c r="I1310">
        <v>1</v>
      </c>
      <c r="J1310">
        <v>0</v>
      </c>
    </row>
    <row r="1311" spans="1:10" x14ac:dyDescent="0.25">
      <c r="A1311">
        <v>55167</v>
      </c>
      <c r="B1311" t="s">
        <v>3214</v>
      </c>
      <c r="C1311" t="s">
        <v>3222</v>
      </c>
      <c r="D1311" t="s">
        <v>1180</v>
      </c>
      <c r="E1311">
        <v>4</v>
      </c>
      <c r="F1311">
        <v>0</v>
      </c>
      <c r="G1311">
        <v>0</v>
      </c>
      <c r="H1311">
        <v>255</v>
      </c>
      <c r="I1311">
        <v>5</v>
      </c>
      <c r="J1311">
        <v>0</v>
      </c>
    </row>
    <row r="1312" spans="1:10" x14ac:dyDescent="0.25">
      <c r="A1312">
        <v>61486</v>
      </c>
      <c r="B1312" t="s">
        <v>3213</v>
      </c>
      <c r="C1312" t="s">
        <v>3039</v>
      </c>
      <c r="D1312" t="s">
        <v>1258</v>
      </c>
      <c r="E1312">
        <v>4</v>
      </c>
      <c r="F1312">
        <v>0</v>
      </c>
      <c r="G1312">
        <v>0</v>
      </c>
      <c r="H1312">
        <v>185</v>
      </c>
      <c r="J1312">
        <v>0</v>
      </c>
    </row>
    <row r="1313" spans="1:10" x14ac:dyDescent="0.25">
      <c r="A1313">
        <v>52247</v>
      </c>
      <c r="B1313" t="s">
        <v>3214</v>
      </c>
      <c r="C1313" t="s">
        <v>3221</v>
      </c>
      <c r="D1313" t="s">
        <v>1054</v>
      </c>
      <c r="E1313">
        <v>4</v>
      </c>
      <c r="F1313">
        <v>0</v>
      </c>
      <c r="G1313">
        <v>0</v>
      </c>
      <c r="H1313">
        <v>1</v>
      </c>
      <c r="J1313">
        <v>0</v>
      </c>
    </row>
    <row r="1314" spans="1:10" x14ac:dyDescent="0.25">
      <c r="A1314">
        <v>51251</v>
      </c>
      <c r="B1314" t="s">
        <v>3214</v>
      </c>
      <c r="C1314" t="s">
        <v>3045</v>
      </c>
      <c r="D1314" t="s">
        <v>2937</v>
      </c>
      <c r="E1314">
        <v>4</v>
      </c>
      <c r="F1314">
        <v>0</v>
      </c>
      <c r="G1314">
        <v>0</v>
      </c>
      <c r="H1314">
        <v>5</v>
      </c>
      <c r="J1314">
        <v>0</v>
      </c>
    </row>
    <row r="1315" spans="1:10" x14ac:dyDescent="0.25">
      <c r="A1315">
        <v>51264</v>
      </c>
      <c r="B1315" t="s">
        <v>3214</v>
      </c>
      <c r="C1315" t="s">
        <v>3045</v>
      </c>
      <c r="D1315" t="s">
        <v>1005</v>
      </c>
      <c r="E1315">
        <v>4</v>
      </c>
      <c r="F1315">
        <v>0</v>
      </c>
      <c r="G1315">
        <v>0</v>
      </c>
      <c r="H1315">
        <v>9</v>
      </c>
      <c r="J1315">
        <v>0</v>
      </c>
    </row>
    <row r="1316" spans="1:10" x14ac:dyDescent="0.25">
      <c r="A1316">
        <v>51145</v>
      </c>
      <c r="B1316" t="s">
        <v>3214</v>
      </c>
      <c r="C1316" t="s">
        <v>3045</v>
      </c>
      <c r="D1316" t="s">
        <v>2932</v>
      </c>
      <c r="E1316">
        <v>4</v>
      </c>
      <c r="F1316">
        <v>0</v>
      </c>
      <c r="G1316">
        <v>0</v>
      </c>
      <c r="H1316">
        <v>194</v>
      </c>
      <c r="J1316">
        <v>0</v>
      </c>
    </row>
    <row r="1317" spans="1:10" x14ac:dyDescent="0.25">
      <c r="A1317">
        <v>35412</v>
      </c>
      <c r="B1317" t="s">
        <v>3217</v>
      </c>
      <c r="C1317" t="s">
        <v>3217</v>
      </c>
      <c r="D1317" t="s">
        <v>840</v>
      </c>
      <c r="E1317">
        <v>3</v>
      </c>
      <c r="F1317">
        <v>0</v>
      </c>
      <c r="G1317">
        <v>0</v>
      </c>
      <c r="H1317">
        <v>303</v>
      </c>
      <c r="J1317">
        <v>0</v>
      </c>
    </row>
    <row r="1318" spans="1:10" x14ac:dyDescent="0.25">
      <c r="A1318">
        <v>35331</v>
      </c>
      <c r="B1318" t="s">
        <v>3217</v>
      </c>
      <c r="C1318" t="s">
        <v>3217</v>
      </c>
      <c r="D1318" t="s">
        <v>2894</v>
      </c>
      <c r="E1318">
        <v>3</v>
      </c>
      <c r="F1318">
        <v>0</v>
      </c>
      <c r="G1318">
        <v>0</v>
      </c>
      <c r="H1318">
        <v>553</v>
      </c>
      <c r="I1318">
        <v>6</v>
      </c>
      <c r="J1318">
        <v>0</v>
      </c>
    </row>
    <row r="1319" spans="1:10" x14ac:dyDescent="0.25">
      <c r="A1319">
        <v>35356</v>
      </c>
      <c r="B1319" t="s">
        <v>3217</v>
      </c>
      <c r="C1319" t="s">
        <v>3217</v>
      </c>
      <c r="D1319" t="s">
        <v>829</v>
      </c>
      <c r="E1319">
        <v>3</v>
      </c>
      <c r="F1319">
        <v>0</v>
      </c>
      <c r="G1319">
        <v>0</v>
      </c>
      <c r="H1319">
        <v>265</v>
      </c>
      <c r="J1319">
        <v>0</v>
      </c>
    </row>
    <row r="1320" spans="1:10" x14ac:dyDescent="0.25">
      <c r="A1320">
        <v>24357</v>
      </c>
      <c r="B1320" t="s">
        <v>3212</v>
      </c>
      <c r="C1320" t="s">
        <v>1808</v>
      </c>
      <c r="D1320" t="s">
        <v>325</v>
      </c>
      <c r="E1320">
        <v>3</v>
      </c>
      <c r="F1320">
        <v>0</v>
      </c>
      <c r="G1320">
        <v>0</v>
      </c>
      <c r="H1320">
        <v>177</v>
      </c>
      <c r="I1320">
        <v>4</v>
      </c>
      <c r="J1320">
        <v>0</v>
      </c>
    </row>
    <row r="1321" spans="1:10" x14ac:dyDescent="0.25">
      <c r="A1321">
        <v>24363</v>
      </c>
      <c r="B1321" t="s">
        <v>3212</v>
      </c>
      <c r="C1321" t="s">
        <v>1808</v>
      </c>
      <c r="D1321" t="s">
        <v>328</v>
      </c>
      <c r="E1321">
        <v>3</v>
      </c>
      <c r="F1321">
        <v>0</v>
      </c>
      <c r="G1321">
        <v>0</v>
      </c>
      <c r="H1321">
        <v>18</v>
      </c>
      <c r="I1321">
        <v>10</v>
      </c>
      <c r="J1321">
        <v>0</v>
      </c>
    </row>
    <row r="1322" spans="1:10" x14ac:dyDescent="0.25">
      <c r="A1322">
        <v>53163</v>
      </c>
      <c r="B1322" t="s">
        <v>3216</v>
      </c>
      <c r="C1322" t="s">
        <v>1069</v>
      </c>
      <c r="D1322" t="s">
        <v>1082</v>
      </c>
      <c r="E1322">
        <v>3</v>
      </c>
      <c r="F1322">
        <v>0</v>
      </c>
      <c r="G1322">
        <v>0</v>
      </c>
      <c r="H1322">
        <v>0</v>
      </c>
      <c r="J1322">
        <v>0</v>
      </c>
    </row>
    <row r="1323" spans="1:10" x14ac:dyDescent="0.25">
      <c r="A1323">
        <v>36121</v>
      </c>
      <c r="B1323" t="s">
        <v>3215</v>
      </c>
      <c r="C1323" t="s">
        <v>2906</v>
      </c>
      <c r="D1323" t="s">
        <v>891</v>
      </c>
      <c r="E1323">
        <v>3</v>
      </c>
      <c r="F1323">
        <v>0</v>
      </c>
      <c r="G1323">
        <v>0</v>
      </c>
      <c r="H1323">
        <v>782</v>
      </c>
      <c r="I1323">
        <v>16</v>
      </c>
      <c r="J1323">
        <v>0</v>
      </c>
    </row>
    <row r="1324" spans="1:10" x14ac:dyDescent="0.25">
      <c r="A1324">
        <v>36191</v>
      </c>
      <c r="B1324" t="s">
        <v>3215</v>
      </c>
      <c r="C1324" t="s">
        <v>2906</v>
      </c>
      <c r="D1324" t="s">
        <v>910</v>
      </c>
      <c r="E1324">
        <v>3</v>
      </c>
      <c r="F1324">
        <v>0</v>
      </c>
      <c r="G1324">
        <v>0</v>
      </c>
      <c r="H1324">
        <v>540</v>
      </c>
      <c r="J1324">
        <v>0</v>
      </c>
    </row>
    <row r="1325" spans="1:10" x14ac:dyDescent="0.25">
      <c r="A1325">
        <v>22471</v>
      </c>
      <c r="B1325" t="s">
        <v>3212</v>
      </c>
      <c r="C1325" t="s">
        <v>3224</v>
      </c>
      <c r="D1325" t="s">
        <v>121</v>
      </c>
      <c r="E1325">
        <v>3</v>
      </c>
      <c r="F1325">
        <v>0</v>
      </c>
      <c r="G1325">
        <v>0</v>
      </c>
      <c r="H1325">
        <v>1010</v>
      </c>
      <c r="I1325">
        <v>325</v>
      </c>
      <c r="J1325">
        <v>0</v>
      </c>
    </row>
    <row r="1326" spans="1:10" x14ac:dyDescent="0.25">
      <c r="A1326">
        <v>22487</v>
      </c>
      <c r="B1326" t="s">
        <v>3212</v>
      </c>
      <c r="C1326" t="s">
        <v>3224</v>
      </c>
      <c r="D1326" t="s">
        <v>125</v>
      </c>
      <c r="E1326">
        <v>3</v>
      </c>
      <c r="F1326">
        <v>0</v>
      </c>
      <c r="G1326">
        <v>0</v>
      </c>
      <c r="H1326">
        <v>0</v>
      </c>
      <c r="J1326">
        <v>0</v>
      </c>
    </row>
    <row r="1327" spans="1:10" x14ac:dyDescent="0.25">
      <c r="A1327">
        <v>71371</v>
      </c>
      <c r="B1327" t="s">
        <v>3218</v>
      </c>
      <c r="C1327" t="s">
        <v>3218</v>
      </c>
      <c r="D1327" t="s">
        <v>1460</v>
      </c>
      <c r="E1327">
        <v>3</v>
      </c>
      <c r="F1327">
        <v>0</v>
      </c>
      <c r="G1327">
        <v>0</v>
      </c>
      <c r="H1327">
        <v>0</v>
      </c>
      <c r="J1327">
        <v>0</v>
      </c>
    </row>
    <row r="1328" spans="1:10" x14ac:dyDescent="0.25">
      <c r="A1328">
        <v>26234</v>
      </c>
      <c r="B1328" t="s">
        <v>3212</v>
      </c>
      <c r="C1328" t="s">
        <v>3227</v>
      </c>
      <c r="D1328" t="s">
        <v>469</v>
      </c>
      <c r="E1328">
        <v>3</v>
      </c>
      <c r="F1328">
        <v>0</v>
      </c>
      <c r="G1328">
        <v>0</v>
      </c>
      <c r="H1328">
        <v>133</v>
      </c>
      <c r="I1328">
        <v>110</v>
      </c>
      <c r="J1328">
        <v>0</v>
      </c>
    </row>
    <row r="1329" spans="1:10" x14ac:dyDescent="0.25">
      <c r="A1329">
        <v>26334</v>
      </c>
      <c r="B1329" t="s">
        <v>3212</v>
      </c>
      <c r="C1329" t="s">
        <v>3227</v>
      </c>
      <c r="D1329" t="s">
        <v>518</v>
      </c>
      <c r="E1329">
        <v>3</v>
      </c>
      <c r="F1329">
        <v>0</v>
      </c>
      <c r="G1329">
        <v>0</v>
      </c>
      <c r="H1329">
        <v>0</v>
      </c>
      <c r="J1329">
        <v>0</v>
      </c>
    </row>
    <row r="1330" spans="1:10" x14ac:dyDescent="0.25">
      <c r="A1330">
        <v>63171</v>
      </c>
      <c r="B1330" t="s">
        <v>3213</v>
      </c>
      <c r="C1330" t="s">
        <v>1342</v>
      </c>
      <c r="D1330" t="s">
        <v>1360</v>
      </c>
      <c r="E1330">
        <v>3</v>
      </c>
      <c r="F1330">
        <v>0</v>
      </c>
      <c r="G1330">
        <v>0</v>
      </c>
      <c r="H1330">
        <v>188</v>
      </c>
      <c r="I1330">
        <v>3</v>
      </c>
      <c r="J1330">
        <v>0</v>
      </c>
    </row>
    <row r="1331" spans="1:10" x14ac:dyDescent="0.25">
      <c r="A1331">
        <v>63264</v>
      </c>
      <c r="B1331" t="s">
        <v>3213</v>
      </c>
      <c r="C1331" t="s">
        <v>1342</v>
      </c>
      <c r="D1331" t="s">
        <v>1384</v>
      </c>
      <c r="E1331">
        <v>3</v>
      </c>
      <c r="F1331">
        <v>0</v>
      </c>
      <c r="G1331">
        <v>0</v>
      </c>
      <c r="H1331">
        <v>80</v>
      </c>
      <c r="I1331">
        <v>2</v>
      </c>
      <c r="J1331">
        <v>0</v>
      </c>
    </row>
    <row r="1332" spans="1:10" x14ac:dyDescent="0.25">
      <c r="A1332">
        <v>63134</v>
      </c>
      <c r="B1332" t="s">
        <v>3213</v>
      </c>
      <c r="C1332" t="s">
        <v>1342</v>
      </c>
      <c r="D1332" t="s">
        <v>1349</v>
      </c>
      <c r="E1332">
        <v>3</v>
      </c>
      <c r="F1332">
        <v>0</v>
      </c>
      <c r="G1332">
        <v>0</v>
      </c>
      <c r="H1332">
        <v>146</v>
      </c>
      <c r="J1332">
        <v>0</v>
      </c>
    </row>
    <row r="1333" spans="1:10" x14ac:dyDescent="0.25">
      <c r="A1333">
        <v>51271</v>
      </c>
      <c r="B1333" t="s">
        <v>3214</v>
      </c>
      <c r="C1333" t="s">
        <v>3045</v>
      </c>
      <c r="D1333" t="s">
        <v>2938</v>
      </c>
      <c r="E1333">
        <v>3</v>
      </c>
      <c r="F1333">
        <v>0</v>
      </c>
      <c r="G1333">
        <v>0</v>
      </c>
      <c r="H1333">
        <v>343</v>
      </c>
      <c r="J1333">
        <v>0</v>
      </c>
    </row>
    <row r="1334" spans="1:10" x14ac:dyDescent="0.25">
      <c r="A1334">
        <v>24347</v>
      </c>
      <c r="B1334" t="s">
        <v>3212</v>
      </c>
      <c r="C1334" t="s">
        <v>1808</v>
      </c>
      <c r="D1334" t="s">
        <v>320</v>
      </c>
      <c r="E1334">
        <v>2</v>
      </c>
      <c r="F1334">
        <v>0</v>
      </c>
      <c r="G1334">
        <v>0</v>
      </c>
      <c r="H1334">
        <v>130</v>
      </c>
      <c r="J1334">
        <v>0</v>
      </c>
    </row>
    <row r="1335" spans="1:10" x14ac:dyDescent="0.25">
      <c r="A1335">
        <v>53469</v>
      </c>
      <c r="B1335" t="s">
        <v>3216</v>
      </c>
      <c r="C1335" t="s">
        <v>1069</v>
      </c>
      <c r="D1335" t="s">
        <v>2957</v>
      </c>
      <c r="E1335">
        <v>2</v>
      </c>
      <c r="F1335">
        <v>0</v>
      </c>
      <c r="G1335">
        <v>0</v>
      </c>
      <c r="H1335">
        <v>0</v>
      </c>
      <c r="J1335">
        <v>0</v>
      </c>
    </row>
    <row r="1336" spans="1:10" x14ac:dyDescent="0.25">
      <c r="A1336">
        <v>36187</v>
      </c>
      <c r="B1336" t="s">
        <v>3215</v>
      </c>
      <c r="C1336" t="s">
        <v>2906</v>
      </c>
      <c r="D1336" t="s">
        <v>909</v>
      </c>
      <c r="E1336">
        <v>2</v>
      </c>
      <c r="F1336">
        <v>0</v>
      </c>
      <c r="G1336">
        <v>0</v>
      </c>
      <c r="H1336">
        <v>6113</v>
      </c>
      <c r="I1336">
        <v>4</v>
      </c>
      <c r="J1336">
        <v>0</v>
      </c>
    </row>
    <row r="1337" spans="1:10" x14ac:dyDescent="0.25">
      <c r="A1337">
        <v>36124</v>
      </c>
      <c r="B1337" t="s">
        <v>3215</v>
      </c>
      <c r="C1337" t="s">
        <v>2906</v>
      </c>
      <c r="D1337" t="s">
        <v>892</v>
      </c>
      <c r="E1337">
        <v>2</v>
      </c>
      <c r="F1337">
        <v>0</v>
      </c>
      <c r="G1337">
        <v>0</v>
      </c>
      <c r="H1337">
        <v>589</v>
      </c>
      <c r="I1337">
        <v>10</v>
      </c>
      <c r="J1337">
        <v>0</v>
      </c>
    </row>
    <row r="1338" spans="1:10" x14ac:dyDescent="0.25">
      <c r="A1338">
        <v>34253</v>
      </c>
      <c r="B1338" t="s">
        <v>3215</v>
      </c>
      <c r="C1338" t="s">
        <v>3226</v>
      </c>
      <c r="D1338" t="s">
        <v>683</v>
      </c>
      <c r="E1338">
        <v>2</v>
      </c>
      <c r="F1338">
        <v>0</v>
      </c>
      <c r="G1338">
        <v>0</v>
      </c>
      <c r="H1338">
        <v>29</v>
      </c>
      <c r="I1338">
        <v>2</v>
      </c>
      <c r="J1338">
        <v>0</v>
      </c>
    </row>
    <row r="1339" spans="1:10" x14ac:dyDescent="0.25">
      <c r="A1339">
        <v>34247</v>
      </c>
      <c r="B1339" t="s">
        <v>3215</v>
      </c>
      <c r="C1339" t="s">
        <v>3226</v>
      </c>
      <c r="D1339" t="s">
        <v>680</v>
      </c>
      <c r="E1339">
        <v>2</v>
      </c>
      <c r="F1339">
        <v>0</v>
      </c>
      <c r="G1339">
        <v>0</v>
      </c>
      <c r="H1339">
        <v>248</v>
      </c>
      <c r="J1339">
        <v>0</v>
      </c>
    </row>
    <row r="1340" spans="1:10" x14ac:dyDescent="0.25">
      <c r="A1340">
        <v>54143</v>
      </c>
      <c r="B1340" t="s">
        <v>3216</v>
      </c>
      <c r="C1340" t="s">
        <v>6936</v>
      </c>
      <c r="D1340" t="s">
        <v>1157</v>
      </c>
      <c r="E1340">
        <v>2</v>
      </c>
      <c r="F1340">
        <v>0</v>
      </c>
      <c r="G1340">
        <v>0</v>
      </c>
      <c r="H1340">
        <v>19</v>
      </c>
      <c r="J1340">
        <v>0</v>
      </c>
    </row>
    <row r="1341" spans="1:10" x14ac:dyDescent="0.25">
      <c r="A1341">
        <v>22591</v>
      </c>
      <c r="B1341" t="s">
        <v>3212</v>
      </c>
      <c r="C1341" t="s">
        <v>3224</v>
      </c>
      <c r="D1341" t="s">
        <v>146</v>
      </c>
      <c r="E1341">
        <v>2</v>
      </c>
      <c r="F1341">
        <v>0</v>
      </c>
      <c r="G1341">
        <v>0</v>
      </c>
      <c r="H1341">
        <v>414</v>
      </c>
      <c r="I1341">
        <v>10</v>
      </c>
      <c r="J1341">
        <v>0</v>
      </c>
    </row>
    <row r="1342" spans="1:10" x14ac:dyDescent="0.25">
      <c r="A1342">
        <v>22722</v>
      </c>
      <c r="B1342" t="s">
        <v>3212</v>
      </c>
      <c r="C1342" t="s">
        <v>3224</v>
      </c>
      <c r="D1342" t="s">
        <v>162</v>
      </c>
      <c r="E1342">
        <v>2</v>
      </c>
      <c r="F1342">
        <v>0</v>
      </c>
      <c r="G1342">
        <v>0</v>
      </c>
      <c r="H1342">
        <v>44</v>
      </c>
      <c r="I1342">
        <v>1</v>
      </c>
      <c r="J1342">
        <v>0</v>
      </c>
    </row>
    <row r="1343" spans="1:10" x14ac:dyDescent="0.25">
      <c r="A1343">
        <v>26367</v>
      </c>
      <c r="B1343" t="s">
        <v>3212</v>
      </c>
      <c r="C1343" t="s">
        <v>3227</v>
      </c>
      <c r="D1343" t="s">
        <v>528</v>
      </c>
      <c r="E1343">
        <v>2</v>
      </c>
      <c r="F1343">
        <v>0</v>
      </c>
      <c r="G1343">
        <v>0</v>
      </c>
      <c r="H1343">
        <v>1331</v>
      </c>
      <c r="I1343">
        <v>6</v>
      </c>
      <c r="J1343">
        <v>0</v>
      </c>
    </row>
    <row r="1344" spans="1:10" x14ac:dyDescent="0.25">
      <c r="A1344">
        <v>25485</v>
      </c>
      <c r="B1344" t="s">
        <v>3212</v>
      </c>
      <c r="C1344" t="s">
        <v>3229</v>
      </c>
      <c r="D1344" t="s">
        <v>436</v>
      </c>
      <c r="E1344">
        <v>2</v>
      </c>
      <c r="F1344">
        <v>0</v>
      </c>
      <c r="G1344">
        <v>0</v>
      </c>
      <c r="H1344">
        <v>0</v>
      </c>
      <c r="J1344">
        <v>0</v>
      </c>
    </row>
    <row r="1345" spans="1:10" x14ac:dyDescent="0.25">
      <c r="A1345">
        <v>73230</v>
      </c>
      <c r="B1345" t="s">
        <v>3218</v>
      </c>
      <c r="C1345" t="s">
        <v>1508</v>
      </c>
      <c r="D1345" t="s">
        <v>1525</v>
      </c>
      <c r="E1345">
        <v>2</v>
      </c>
      <c r="F1345">
        <v>0</v>
      </c>
      <c r="G1345">
        <v>0</v>
      </c>
      <c r="H1345">
        <v>337</v>
      </c>
      <c r="J1345">
        <v>0</v>
      </c>
    </row>
    <row r="1346" spans="1:10" x14ac:dyDescent="0.25">
      <c r="A1346">
        <v>55187</v>
      </c>
      <c r="B1346" t="s">
        <v>3214</v>
      </c>
      <c r="C1346" t="s">
        <v>3222</v>
      </c>
      <c r="D1346" t="s">
        <v>1186</v>
      </c>
      <c r="E1346">
        <v>2</v>
      </c>
      <c r="F1346">
        <v>0</v>
      </c>
      <c r="G1346">
        <v>0</v>
      </c>
      <c r="H1346">
        <v>641</v>
      </c>
      <c r="I1346">
        <v>3</v>
      </c>
      <c r="J1346">
        <v>0</v>
      </c>
    </row>
    <row r="1347" spans="1:10" x14ac:dyDescent="0.25">
      <c r="A1347">
        <v>62321</v>
      </c>
      <c r="B1347" t="s">
        <v>3213</v>
      </c>
      <c r="C1347" t="s">
        <v>1267</v>
      </c>
      <c r="D1347" t="s">
        <v>1338</v>
      </c>
      <c r="E1347">
        <v>2</v>
      </c>
      <c r="F1347">
        <v>0</v>
      </c>
      <c r="G1347">
        <v>0</v>
      </c>
      <c r="H1347">
        <v>231</v>
      </c>
      <c r="I1347">
        <v>1</v>
      </c>
      <c r="J1347">
        <v>0</v>
      </c>
    </row>
    <row r="1348" spans="1:10" x14ac:dyDescent="0.25">
      <c r="A1348">
        <v>62351</v>
      </c>
      <c r="B1348" t="s">
        <v>3213</v>
      </c>
      <c r="C1348" t="s">
        <v>1267</v>
      </c>
      <c r="D1348" t="s">
        <v>1341</v>
      </c>
      <c r="E1348">
        <v>2</v>
      </c>
      <c r="F1348">
        <v>0</v>
      </c>
      <c r="G1348">
        <v>0</v>
      </c>
      <c r="H1348">
        <v>68</v>
      </c>
      <c r="J1348">
        <v>0</v>
      </c>
    </row>
    <row r="1349" spans="1:10" x14ac:dyDescent="0.25">
      <c r="A1349">
        <v>24327</v>
      </c>
      <c r="B1349" t="s">
        <v>3212</v>
      </c>
      <c r="C1349" t="s">
        <v>1808</v>
      </c>
      <c r="D1349" t="s">
        <v>310</v>
      </c>
      <c r="E1349">
        <v>1</v>
      </c>
      <c r="F1349">
        <v>0</v>
      </c>
      <c r="G1349">
        <v>0</v>
      </c>
      <c r="H1349">
        <v>5</v>
      </c>
      <c r="I1349">
        <v>12</v>
      </c>
      <c r="J1349">
        <v>0</v>
      </c>
    </row>
    <row r="1350" spans="1:10" x14ac:dyDescent="0.25">
      <c r="A1350">
        <v>72281</v>
      </c>
      <c r="B1350" t="s">
        <v>3218</v>
      </c>
      <c r="C1350" t="s">
        <v>3230</v>
      </c>
      <c r="D1350" t="s">
        <v>1504</v>
      </c>
      <c r="E1350">
        <v>1</v>
      </c>
      <c r="F1350">
        <v>0</v>
      </c>
      <c r="G1350">
        <v>0</v>
      </c>
      <c r="H1350">
        <v>1448</v>
      </c>
      <c r="I1350">
        <v>5</v>
      </c>
      <c r="J1350">
        <v>0</v>
      </c>
    </row>
    <row r="1351" spans="1:10" x14ac:dyDescent="0.25">
      <c r="A1351">
        <v>23619</v>
      </c>
      <c r="B1351" t="s">
        <v>3212</v>
      </c>
      <c r="C1351" t="s">
        <v>3220</v>
      </c>
      <c r="D1351" t="s">
        <v>269</v>
      </c>
      <c r="E1351">
        <v>1</v>
      </c>
      <c r="F1351">
        <v>0</v>
      </c>
      <c r="G1351">
        <v>0</v>
      </c>
      <c r="H1351">
        <v>1391</v>
      </c>
      <c r="I1351">
        <v>22</v>
      </c>
      <c r="J1351">
        <v>0</v>
      </c>
    </row>
    <row r="1352" spans="1:10" x14ac:dyDescent="0.25">
      <c r="A1352">
        <v>34279</v>
      </c>
      <c r="B1352" t="s">
        <v>3215</v>
      </c>
      <c r="C1352" t="s">
        <v>3226</v>
      </c>
      <c r="D1352" t="s">
        <v>699</v>
      </c>
      <c r="E1352">
        <v>1</v>
      </c>
      <c r="F1352">
        <v>0</v>
      </c>
      <c r="G1352">
        <v>0</v>
      </c>
      <c r="H1352">
        <v>69</v>
      </c>
      <c r="I1352">
        <v>15</v>
      </c>
      <c r="J1352">
        <v>0</v>
      </c>
    </row>
    <row r="1353" spans="1:10" x14ac:dyDescent="0.25">
      <c r="A1353">
        <v>22543</v>
      </c>
      <c r="B1353" t="s">
        <v>3212</v>
      </c>
      <c r="C1353" t="s">
        <v>3224</v>
      </c>
      <c r="D1353" t="s">
        <v>2821</v>
      </c>
      <c r="E1353">
        <v>1</v>
      </c>
      <c r="F1353">
        <v>0</v>
      </c>
      <c r="G1353">
        <v>0</v>
      </c>
      <c r="H1353">
        <v>917</v>
      </c>
      <c r="I1353">
        <v>91</v>
      </c>
      <c r="J1353">
        <v>0</v>
      </c>
    </row>
    <row r="1354" spans="1:10" x14ac:dyDescent="0.25">
      <c r="A1354">
        <v>37321</v>
      </c>
      <c r="B1354" t="s">
        <v>3215</v>
      </c>
      <c r="C1354" t="s">
        <v>3228</v>
      </c>
      <c r="D1354" t="s">
        <v>2912</v>
      </c>
      <c r="E1354">
        <v>1</v>
      </c>
      <c r="F1354">
        <v>0</v>
      </c>
      <c r="G1354">
        <v>0</v>
      </c>
      <c r="H1354">
        <v>253</v>
      </c>
      <c r="J1354">
        <v>0</v>
      </c>
    </row>
    <row r="1355" spans="1:10" x14ac:dyDescent="0.25">
      <c r="A1355">
        <v>37344</v>
      </c>
      <c r="B1355" t="s">
        <v>3215</v>
      </c>
      <c r="C1355" t="s">
        <v>3228</v>
      </c>
      <c r="D1355" t="s">
        <v>936</v>
      </c>
      <c r="E1355">
        <v>1</v>
      </c>
      <c r="F1355">
        <v>0</v>
      </c>
      <c r="G1355">
        <v>0</v>
      </c>
      <c r="H1355">
        <v>457</v>
      </c>
      <c r="J1355">
        <v>0</v>
      </c>
    </row>
    <row r="1356" spans="1:10" x14ac:dyDescent="0.25">
      <c r="A1356">
        <v>74120</v>
      </c>
      <c r="B1356" t="s">
        <v>3218</v>
      </c>
      <c r="C1356" t="s">
        <v>2784</v>
      </c>
      <c r="D1356" t="s">
        <v>1546</v>
      </c>
      <c r="E1356">
        <v>1</v>
      </c>
      <c r="F1356">
        <v>0</v>
      </c>
      <c r="G1356">
        <v>0</v>
      </c>
      <c r="H1356">
        <v>565</v>
      </c>
      <c r="I1356">
        <v>18</v>
      </c>
      <c r="J1356">
        <v>0</v>
      </c>
    </row>
    <row r="1357" spans="1:10" x14ac:dyDescent="0.25">
      <c r="A1357">
        <v>26294</v>
      </c>
      <c r="B1357" t="s">
        <v>3212</v>
      </c>
      <c r="C1357" t="s">
        <v>3227</v>
      </c>
      <c r="D1357" t="s">
        <v>505</v>
      </c>
      <c r="E1357">
        <v>1</v>
      </c>
      <c r="F1357">
        <v>0</v>
      </c>
      <c r="G1357">
        <v>0</v>
      </c>
      <c r="H1357">
        <v>441</v>
      </c>
      <c r="I1357">
        <v>6</v>
      </c>
      <c r="J1357">
        <v>0</v>
      </c>
    </row>
    <row r="1358" spans="1:10" x14ac:dyDescent="0.25">
      <c r="A1358">
        <v>25281</v>
      </c>
      <c r="B1358" t="s">
        <v>3212</v>
      </c>
      <c r="C1358" t="s">
        <v>3229</v>
      </c>
      <c r="D1358" t="s">
        <v>382</v>
      </c>
      <c r="E1358">
        <v>1</v>
      </c>
      <c r="F1358">
        <v>0</v>
      </c>
      <c r="G1358">
        <v>0</v>
      </c>
      <c r="H1358">
        <v>773</v>
      </c>
      <c r="I1358">
        <v>31</v>
      </c>
      <c r="J1358">
        <v>0</v>
      </c>
    </row>
    <row r="1359" spans="1:10" x14ac:dyDescent="0.25">
      <c r="A1359">
        <v>73116</v>
      </c>
      <c r="B1359" t="s">
        <v>3218</v>
      </c>
      <c r="C1359" t="s">
        <v>1508</v>
      </c>
      <c r="D1359" t="s">
        <v>1509</v>
      </c>
      <c r="E1359">
        <v>1</v>
      </c>
      <c r="F1359">
        <v>0</v>
      </c>
      <c r="G1359">
        <v>0</v>
      </c>
      <c r="H1359">
        <v>66</v>
      </c>
      <c r="J1359">
        <v>0</v>
      </c>
    </row>
    <row r="1360" spans="1:10" x14ac:dyDescent="0.25">
      <c r="A1360">
        <v>55131</v>
      </c>
      <c r="B1360" t="s">
        <v>3214</v>
      </c>
      <c r="C1360" t="s">
        <v>3222</v>
      </c>
      <c r="D1360" t="s">
        <v>1169</v>
      </c>
      <c r="E1360">
        <v>1</v>
      </c>
      <c r="F1360">
        <v>0</v>
      </c>
      <c r="G1360">
        <v>0</v>
      </c>
      <c r="H1360">
        <v>664</v>
      </c>
      <c r="J1360">
        <v>0</v>
      </c>
    </row>
    <row r="1361" spans="1:10" x14ac:dyDescent="0.25">
      <c r="A1361">
        <v>31136</v>
      </c>
      <c r="B1361" t="s">
        <v>3215</v>
      </c>
      <c r="C1361" t="s">
        <v>3225</v>
      </c>
      <c r="D1361" t="s">
        <v>542</v>
      </c>
      <c r="E1361">
        <v>1</v>
      </c>
      <c r="F1361">
        <v>207</v>
      </c>
      <c r="G1361">
        <v>0</v>
      </c>
      <c r="H1361">
        <v>1325</v>
      </c>
      <c r="J1361">
        <v>0.15622641509433963</v>
      </c>
    </row>
    <row r="1362" spans="1:10" x14ac:dyDescent="0.25">
      <c r="A1362">
        <v>33113</v>
      </c>
      <c r="B1362" t="s">
        <v>3215</v>
      </c>
      <c r="C1362" t="s">
        <v>597</v>
      </c>
      <c r="D1362" t="s">
        <v>598</v>
      </c>
      <c r="E1362">
        <v>1</v>
      </c>
      <c r="F1362">
        <v>0</v>
      </c>
      <c r="G1362">
        <v>0</v>
      </c>
      <c r="H1362">
        <v>3971</v>
      </c>
      <c r="I1362">
        <v>70</v>
      </c>
      <c r="J1362">
        <v>0</v>
      </c>
    </row>
    <row r="1363" spans="1:10" x14ac:dyDescent="0.25">
      <c r="A1363">
        <v>33215</v>
      </c>
      <c r="B1363" t="s">
        <v>3215</v>
      </c>
      <c r="C1363" t="s">
        <v>597</v>
      </c>
      <c r="D1363" t="s">
        <v>630</v>
      </c>
      <c r="E1363">
        <v>1</v>
      </c>
      <c r="F1363">
        <v>0</v>
      </c>
      <c r="G1363">
        <v>0</v>
      </c>
      <c r="H1363">
        <v>0</v>
      </c>
      <c r="J1363">
        <v>0</v>
      </c>
    </row>
    <row r="1364" spans="1:10" x14ac:dyDescent="0.25">
      <c r="A1364">
        <v>35484</v>
      </c>
      <c r="B1364" t="s">
        <v>3217</v>
      </c>
      <c r="C1364" t="s">
        <v>3217</v>
      </c>
      <c r="D1364" t="s">
        <v>2903</v>
      </c>
      <c r="E1364">
        <v>0</v>
      </c>
      <c r="F1364">
        <v>0</v>
      </c>
      <c r="G1364">
        <v>0</v>
      </c>
      <c r="H1364">
        <v>31</v>
      </c>
      <c r="J1364">
        <v>0</v>
      </c>
    </row>
    <row r="1365" spans="1:10" x14ac:dyDescent="0.25">
      <c r="A1365">
        <v>35241</v>
      </c>
      <c r="B1365" t="s">
        <v>3217</v>
      </c>
      <c r="C1365" t="s">
        <v>3217</v>
      </c>
      <c r="D1365" t="s">
        <v>785</v>
      </c>
      <c r="E1365">
        <v>0</v>
      </c>
      <c r="F1365">
        <v>0</v>
      </c>
      <c r="G1365">
        <v>0</v>
      </c>
      <c r="H1365">
        <v>242</v>
      </c>
      <c r="J1365">
        <v>0</v>
      </c>
    </row>
    <row r="1366" spans="1:10" x14ac:dyDescent="0.25">
      <c r="A1366">
        <v>35425</v>
      </c>
      <c r="B1366" t="s">
        <v>3217</v>
      </c>
      <c r="C1366" t="s">
        <v>3217</v>
      </c>
      <c r="D1366" t="s">
        <v>849</v>
      </c>
      <c r="E1366">
        <v>0</v>
      </c>
      <c r="F1366">
        <v>0</v>
      </c>
      <c r="G1366">
        <v>0</v>
      </c>
      <c r="H1366">
        <v>99</v>
      </c>
      <c r="J1366">
        <v>0</v>
      </c>
    </row>
    <row r="1367" spans="1:10" x14ac:dyDescent="0.25">
      <c r="A1367">
        <v>35001</v>
      </c>
      <c r="B1367" t="s">
        <v>3217</v>
      </c>
      <c r="C1367" t="s">
        <v>3217</v>
      </c>
      <c r="D1367" t="s">
        <v>1563</v>
      </c>
      <c r="E1367">
        <v>0</v>
      </c>
      <c r="F1367">
        <v>0</v>
      </c>
      <c r="G1367">
        <v>0</v>
      </c>
      <c r="H1367">
        <v>0</v>
      </c>
      <c r="J1367">
        <v>0</v>
      </c>
    </row>
    <row r="1368" spans="1:10" x14ac:dyDescent="0.25">
      <c r="A1368">
        <v>35002</v>
      </c>
      <c r="B1368" t="s">
        <v>3217</v>
      </c>
      <c r="C1368" t="s">
        <v>3217</v>
      </c>
      <c r="D1368" t="s">
        <v>1563</v>
      </c>
      <c r="E1368">
        <v>0</v>
      </c>
      <c r="F1368">
        <v>0</v>
      </c>
      <c r="G1368">
        <v>0</v>
      </c>
      <c r="H1368">
        <v>0</v>
      </c>
      <c r="J1368">
        <v>0</v>
      </c>
    </row>
    <row r="1369" spans="1:10" x14ac:dyDescent="0.25">
      <c r="A1369">
        <v>35003</v>
      </c>
      <c r="B1369" t="s">
        <v>3217</v>
      </c>
      <c r="C1369" t="s">
        <v>3217</v>
      </c>
      <c r="D1369" t="s">
        <v>1563</v>
      </c>
      <c r="E1369">
        <v>0</v>
      </c>
      <c r="F1369">
        <v>0</v>
      </c>
      <c r="G1369">
        <v>0</v>
      </c>
      <c r="H1369">
        <v>0</v>
      </c>
      <c r="J1369">
        <v>0</v>
      </c>
    </row>
    <row r="1370" spans="1:10" x14ac:dyDescent="0.25">
      <c r="A1370">
        <v>35470</v>
      </c>
      <c r="B1370" t="s">
        <v>3217</v>
      </c>
      <c r="C1370" t="s">
        <v>3217</v>
      </c>
      <c r="D1370" t="s">
        <v>874</v>
      </c>
      <c r="E1370">
        <v>0</v>
      </c>
      <c r="F1370">
        <v>0</v>
      </c>
      <c r="G1370">
        <v>0</v>
      </c>
      <c r="H1370">
        <v>15</v>
      </c>
      <c r="J1370">
        <v>0</v>
      </c>
    </row>
    <row r="1371" spans="1:10" x14ac:dyDescent="0.25">
      <c r="A1371">
        <v>35239</v>
      </c>
      <c r="B1371" t="s">
        <v>3217</v>
      </c>
      <c r="C1371" t="s">
        <v>3217</v>
      </c>
      <c r="D1371" t="s">
        <v>784</v>
      </c>
      <c r="E1371">
        <v>0</v>
      </c>
      <c r="F1371">
        <v>0</v>
      </c>
      <c r="G1371">
        <v>0</v>
      </c>
      <c r="H1371">
        <v>711</v>
      </c>
      <c r="I1371">
        <v>3</v>
      </c>
      <c r="J1371">
        <v>0</v>
      </c>
    </row>
    <row r="1372" spans="1:10" x14ac:dyDescent="0.25">
      <c r="A1372">
        <v>35257</v>
      </c>
      <c r="B1372" t="s">
        <v>3217</v>
      </c>
      <c r="C1372" t="s">
        <v>3217</v>
      </c>
      <c r="D1372" t="s">
        <v>793</v>
      </c>
      <c r="E1372">
        <v>0</v>
      </c>
      <c r="F1372">
        <v>0</v>
      </c>
      <c r="G1372">
        <v>0</v>
      </c>
      <c r="H1372">
        <v>939</v>
      </c>
      <c r="J1372">
        <v>0</v>
      </c>
    </row>
    <row r="1373" spans="1:10" x14ac:dyDescent="0.25">
      <c r="A1373">
        <v>35410</v>
      </c>
      <c r="B1373" t="s">
        <v>3217</v>
      </c>
      <c r="C1373" t="s">
        <v>3217</v>
      </c>
      <c r="D1373" t="s">
        <v>838</v>
      </c>
      <c r="E1373">
        <v>0</v>
      </c>
      <c r="F1373">
        <v>0</v>
      </c>
      <c r="G1373">
        <v>0</v>
      </c>
      <c r="H1373">
        <v>0</v>
      </c>
      <c r="J1373">
        <v>0</v>
      </c>
    </row>
    <row r="1374" spans="1:10" x14ac:dyDescent="0.25">
      <c r="A1374">
        <v>35330</v>
      </c>
      <c r="B1374" t="s">
        <v>3217</v>
      </c>
      <c r="C1374" t="s">
        <v>3217</v>
      </c>
      <c r="D1374" t="s">
        <v>818</v>
      </c>
      <c r="E1374">
        <v>0</v>
      </c>
      <c r="F1374">
        <v>0</v>
      </c>
      <c r="G1374">
        <v>0</v>
      </c>
      <c r="H1374">
        <v>371</v>
      </c>
      <c r="J1374">
        <v>0</v>
      </c>
    </row>
    <row r="1375" spans="1:10" x14ac:dyDescent="0.25">
      <c r="A1375">
        <v>35134</v>
      </c>
      <c r="B1375" t="s">
        <v>3217</v>
      </c>
      <c r="C1375" t="s">
        <v>3217</v>
      </c>
      <c r="D1375" t="s">
        <v>736</v>
      </c>
      <c r="E1375">
        <v>0</v>
      </c>
      <c r="F1375">
        <v>0</v>
      </c>
      <c r="G1375">
        <v>0</v>
      </c>
      <c r="H1375">
        <v>122</v>
      </c>
      <c r="J1375">
        <v>0</v>
      </c>
    </row>
    <row r="1376" spans="1:10" x14ac:dyDescent="0.25">
      <c r="A1376">
        <v>35461</v>
      </c>
      <c r="B1376" t="s">
        <v>3217</v>
      </c>
      <c r="C1376" t="s">
        <v>3217</v>
      </c>
      <c r="D1376" t="s">
        <v>2900</v>
      </c>
      <c r="E1376">
        <v>0</v>
      </c>
      <c r="F1376">
        <v>0</v>
      </c>
      <c r="G1376">
        <v>0</v>
      </c>
      <c r="H1376">
        <v>8</v>
      </c>
      <c r="J1376">
        <v>0</v>
      </c>
    </row>
    <row r="1377" spans="1:10" x14ac:dyDescent="0.25">
      <c r="A1377">
        <v>35115</v>
      </c>
      <c r="B1377" t="s">
        <v>3217</v>
      </c>
      <c r="C1377" t="s">
        <v>3217</v>
      </c>
      <c r="D1377" t="s">
        <v>2885</v>
      </c>
      <c r="E1377">
        <v>0</v>
      </c>
      <c r="F1377">
        <v>0</v>
      </c>
      <c r="G1377">
        <v>0</v>
      </c>
      <c r="H1377">
        <v>1014</v>
      </c>
      <c r="J1377">
        <v>0</v>
      </c>
    </row>
    <row r="1378" spans="1:10" x14ac:dyDescent="0.25">
      <c r="A1378">
        <v>35179</v>
      </c>
      <c r="B1378" t="s">
        <v>3217</v>
      </c>
      <c r="C1378" t="s">
        <v>3217</v>
      </c>
      <c r="D1378" t="s">
        <v>760</v>
      </c>
      <c r="E1378">
        <v>0</v>
      </c>
      <c r="F1378">
        <v>0</v>
      </c>
      <c r="G1378">
        <v>0</v>
      </c>
      <c r="H1378">
        <v>719</v>
      </c>
      <c r="I1378">
        <v>15</v>
      </c>
      <c r="J1378">
        <v>0</v>
      </c>
    </row>
    <row r="1379" spans="1:10" x14ac:dyDescent="0.25">
      <c r="A1379">
        <v>35352</v>
      </c>
      <c r="B1379" t="s">
        <v>3217</v>
      </c>
      <c r="C1379" t="s">
        <v>3217</v>
      </c>
      <c r="D1379" t="s">
        <v>826</v>
      </c>
      <c r="E1379">
        <v>0</v>
      </c>
      <c r="F1379">
        <v>0</v>
      </c>
      <c r="G1379">
        <v>0</v>
      </c>
      <c r="H1379">
        <v>2929</v>
      </c>
      <c r="J1379">
        <v>0</v>
      </c>
    </row>
    <row r="1380" spans="1:10" x14ac:dyDescent="0.25">
      <c r="A1380">
        <v>35327</v>
      </c>
      <c r="B1380" t="s">
        <v>3217</v>
      </c>
      <c r="C1380" t="s">
        <v>3217</v>
      </c>
      <c r="D1380" t="s">
        <v>816</v>
      </c>
      <c r="E1380">
        <v>0</v>
      </c>
      <c r="F1380">
        <v>0</v>
      </c>
      <c r="G1380">
        <v>0</v>
      </c>
      <c r="H1380">
        <v>46</v>
      </c>
      <c r="J1380">
        <v>0</v>
      </c>
    </row>
    <row r="1381" spans="1:10" x14ac:dyDescent="0.25">
      <c r="A1381">
        <v>35173</v>
      </c>
      <c r="B1381" t="s">
        <v>3217</v>
      </c>
      <c r="C1381" t="s">
        <v>3217</v>
      </c>
      <c r="D1381" t="s">
        <v>756</v>
      </c>
      <c r="E1381">
        <v>0</v>
      </c>
      <c r="F1381">
        <v>0</v>
      </c>
      <c r="G1381">
        <v>0</v>
      </c>
      <c r="H1381">
        <v>583</v>
      </c>
      <c r="I1381">
        <v>12</v>
      </c>
      <c r="J1381">
        <v>0</v>
      </c>
    </row>
    <row r="1382" spans="1:10" x14ac:dyDescent="0.25">
      <c r="A1382">
        <v>24001</v>
      </c>
      <c r="B1382" t="s">
        <v>3212</v>
      </c>
      <c r="C1382" t="s">
        <v>1808</v>
      </c>
      <c r="D1382" t="s">
        <v>1563</v>
      </c>
      <c r="E1382">
        <v>0</v>
      </c>
      <c r="F1382">
        <v>0</v>
      </c>
      <c r="G1382">
        <v>0</v>
      </c>
      <c r="H1382">
        <v>0</v>
      </c>
      <c r="J1382">
        <v>0</v>
      </c>
    </row>
    <row r="1383" spans="1:10" x14ac:dyDescent="0.25">
      <c r="A1383">
        <v>24002</v>
      </c>
      <c r="B1383" t="s">
        <v>3212</v>
      </c>
      <c r="C1383" t="s">
        <v>1808</v>
      </c>
      <c r="D1383" t="s">
        <v>1563</v>
      </c>
      <c r="E1383">
        <v>0</v>
      </c>
      <c r="F1383">
        <v>0</v>
      </c>
      <c r="G1383">
        <v>0</v>
      </c>
      <c r="H1383">
        <v>0</v>
      </c>
      <c r="J1383">
        <v>0</v>
      </c>
    </row>
    <row r="1384" spans="1:10" x14ac:dyDescent="0.25">
      <c r="A1384">
        <v>24003</v>
      </c>
      <c r="B1384" t="s">
        <v>3212</v>
      </c>
      <c r="C1384" t="s">
        <v>1808</v>
      </c>
      <c r="D1384" t="s">
        <v>1563</v>
      </c>
      <c r="E1384">
        <v>0</v>
      </c>
      <c r="F1384">
        <v>0</v>
      </c>
      <c r="G1384">
        <v>0</v>
      </c>
      <c r="H1384">
        <v>0</v>
      </c>
      <c r="J1384">
        <v>0</v>
      </c>
    </row>
    <row r="1385" spans="1:10" x14ac:dyDescent="0.25">
      <c r="A1385">
        <v>24004</v>
      </c>
      <c r="B1385" t="s">
        <v>3212</v>
      </c>
      <c r="C1385" t="s">
        <v>1808</v>
      </c>
      <c r="D1385" t="s">
        <v>1563</v>
      </c>
      <c r="E1385">
        <v>0</v>
      </c>
      <c r="F1385">
        <v>0</v>
      </c>
      <c r="G1385">
        <v>0</v>
      </c>
      <c r="H1385">
        <v>0</v>
      </c>
      <c r="J1385">
        <v>0</v>
      </c>
    </row>
    <row r="1386" spans="1:10" x14ac:dyDescent="0.25">
      <c r="A1386">
        <v>24005</v>
      </c>
      <c r="B1386" t="s">
        <v>3212</v>
      </c>
      <c r="C1386" t="s">
        <v>1808</v>
      </c>
      <c r="D1386" t="s">
        <v>1563</v>
      </c>
      <c r="E1386">
        <v>0</v>
      </c>
      <c r="F1386">
        <v>0</v>
      </c>
      <c r="G1386">
        <v>0</v>
      </c>
      <c r="H1386">
        <v>0</v>
      </c>
      <c r="J1386">
        <v>0</v>
      </c>
    </row>
    <row r="1387" spans="1:10" x14ac:dyDescent="0.25">
      <c r="A1387">
        <v>24006</v>
      </c>
      <c r="B1387" t="s">
        <v>3212</v>
      </c>
      <c r="C1387" t="s">
        <v>1808</v>
      </c>
      <c r="D1387" t="s">
        <v>1563</v>
      </c>
      <c r="E1387">
        <v>0</v>
      </c>
      <c r="F1387">
        <v>0</v>
      </c>
      <c r="G1387">
        <v>0</v>
      </c>
      <c r="H1387">
        <v>0</v>
      </c>
      <c r="J1387">
        <v>0</v>
      </c>
    </row>
    <row r="1388" spans="1:10" x14ac:dyDescent="0.25">
      <c r="A1388">
        <v>24007</v>
      </c>
      <c r="B1388" t="s">
        <v>3212</v>
      </c>
      <c r="C1388" t="s">
        <v>1808</v>
      </c>
      <c r="D1388" t="s">
        <v>1563</v>
      </c>
      <c r="E1388">
        <v>0</v>
      </c>
      <c r="F1388">
        <v>0</v>
      </c>
      <c r="G1388">
        <v>0</v>
      </c>
      <c r="H1388">
        <v>0</v>
      </c>
      <c r="J1388">
        <v>0</v>
      </c>
    </row>
    <row r="1389" spans="1:10" x14ac:dyDescent="0.25">
      <c r="A1389">
        <v>24008</v>
      </c>
      <c r="B1389" t="s">
        <v>3212</v>
      </c>
      <c r="C1389" t="s">
        <v>1808</v>
      </c>
      <c r="D1389" t="s">
        <v>1563</v>
      </c>
      <c r="E1389">
        <v>0</v>
      </c>
      <c r="F1389">
        <v>0</v>
      </c>
      <c r="G1389">
        <v>0</v>
      </c>
      <c r="H1389">
        <v>0</v>
      </c>
      <c r="J1389">
        <v>0</v>
      </c>
    </row>
    <row r="1390" spans="1:10" x14ac:dyDescent="0.25">
      <c r="A1390">
        <v>24009</v>
      </c>
      <c r="B1390" t="s">
        <v>3212</v>
      </c>
      <c r="C1390" t="s">
        <v>1808</v>
      </c>
      <c r="D1390" t="s">
        <v>1563</v>
      </c>
      <c r="E1390">
        <v>0</v>
      </c>
      <c r="F1390">
        <v>0</v>
      </c>
      <c r="G1390">
        <v>0</v>
      </c>
      <c r="H1390">
        <v>0</v>
      </c>
      <c r="J1390">
        <v>0</v>
      </c>
    </row>
    <row r="1391" spans="1:10" x14ac:dyDescent="0.25">
      <c r="A1391">
        <v>24251</v>
      </c>
      <c r="B1391" t="s">
        <v>3212</v>
      </c>
      <c r="C1391" t="s">
        <v>1808</v>
      </c>
      <c r="D1391" t="s">
        <v>296</v>
      </c>
      <c r="E1391">
        <v>0</v>
      </c>
      <c r="F1391">
        <v>0</v>
      </c>
      <c r="G1391">
        <v>0</v>
      </c>
      <c r="H1391">
        <v>236</v>
      </c>
      <c r="I1391">
        <v>6</v>
      </c>
      <c r="J1391">
        <v>0</v>
      </c>
    </row>
    <row r="1392" spans="1:10" x14ac:dyDescent="0.25">
      <c r="A1392">
        <v>24437</v>
      </c>
      <c r="B1392" t="s">
        <v>3212</v>
      </c>
      <c r="C1392" t="s">
        <v>1808</v>
      </c>
      <c r="D1392" t="s">
        <v>344</v>
      </c>
      <c r="E1392">
        <v>0</v>
      </c>
      <c r="F1392">
        <v>0</v>
      </c>
      <c r="G1392">
        <v>0</v>
      </c>
      <c r="H1392">
        <v>0</v>
      </c>
      <c r="J1392">
        <v>0</v>
      </c>
    </row>
    <row r="1393" spans="1:10" x14ac:dyDescent="0.25">
      <c r="A1393">
        <v>21347</v>
      </c>
      <c r="B1393" t="s">
        <v>3212</v>
      </c>
      <c r="C1393" t="s">
        <v>36</v>
      </c>
      <c r="D1393" t="s">
        <v>57</v>
      </c>
      <c r="E1393">
        <v>0</v>
      </c>
      <c r="F1393">
        <v>0</v>
      </c>
      <c r="G1393">
        <v>0</v>
      </c>
      <c r="H1393">
        <v>1</v>
      </c>
      <c r="J1393">
        <v>0</v>
      </c>
    </row>
    <row r="1394" spans="1:10" x14ac:dyDescent="0.25">
      <c r="A1394">
        <v>21377</v>
      </c>
      <c r="B1394" t="s">
        <v>3212</v>
      </c>
      <c r="C1394" t="s">
        <v>36</v>
      </c>
      <c r="D1394" t="s">
        <v>66</v>
      </c>
      <c r="E1394">
        <v>0</v>
      </c>
      <c r="F1394">
        <v>0</v>
      </c>
      <c r="G1394">
        <v>0</v>
      </c>
      <c r="H1394">
        <v>31</v>
      </c>
      <c r="I1394">
        <v>2</v>
      </c>
      <c r="J1394">
        <v>0</v>
      </c>
    </row>
    <row r="1395" spans="1:10" x14ac:dyDescent="0.25">
      <c r="A1395">
        <v>21321</v>
      </c>
      <c r="B1395" t="s">
        <v>3212</v>
      </c>
      <c r="C1395" t="s">
        <v>36</v>
      </c>
      <c r="D1395" t="s">
        <v>49</v>
      </c>
      <c r="E1395">
        <v>0</v>
      </c>
      <c r="F1395">
        <v>0</v>
      </c>
      <c r="G1395">
        <v>0</v>
      </c>
      <c r="H1395">
        <v>12</v>
      </c>
      <c r="J1395">
        <v>0</v>
      </c>
    </row>
    <row r="1396" spans="1:10" x14ac:dyDescent="0.25">
      <c r="A1396">
        <v>21331</v>
      </c>
      <c r="B1396" t="s">
        <v>3212</v>
      </c>
      <c r="C1396" t="s">
        <v>36</v>
      </c>
      <c r="D1396" t="s">
        <v>2808</v>
      </c>
      <c r="E1396">
        <v>0</v>
      </c>
      <c r="F1396">
        <v>0</v>
      </c>
      <c r="G1396">
        <v>0</v>
      </c>
      <c r="H1396">
        <v>0</v>
      </c>
      <c r="J1396">
        <v>0</v>
      </c>
    </row>
    <row r="1397" spans="1:10" x14ac:dyDescent="0.25">
      <c r="A1397">
        <v>53001</v>
      </c>
      <c r="B1397" t="s">
        <v>3216</v>
      </c>
      <c r="C1397" t="s">
        <v>1069</v>
      </c>
      <c r="D1397" t="s">
        <v>1563</v>
      </c>
      <c r="E1397">
        <v>0</v>
      </c>
      <c r="F1397">
        <v>0</v>
      </c>
      <c r="G1397">
        <v>0</v>
      </c>
      <c r="H1397">
        <v>0</v>
      </c>
      <c r="J1397">
        <v>0</v>
      </c>
    </row>
    <row r="1398" spans="1:10" x14ac:dyDescent="0.25">
      <c r="A1398">
        <v>53002</v>
      </c>
      <c r="B1398" t="s">
        <v>3216</v>
      </c>
      <c r="C1398" t="s">
        <v>1069</v>
      </c>
      <c r="D1398" t="s">
        <v>1563</v>
      </c>
      <c r="E1398">
        <v>0</v>
      </c>
      <c r="F1398">
        <v>0</v>
      </c>
      <c r="G1398">
        <v>0</v>
      </c>
      <c r="H1398">
        <v>0</v>
      </c>
      <c r="J1398">
        <v>0</v>
      </c>
    </row>
    <row r="1399" spans="1:10" x14ac:dyDescent="0.25">
      <c r="A1399">
        <v>53003</v>
      </c>
      <c r="B1399" t="s">
        <v>3216</v>
      </c>
      <c r="C1399" t="s">
        <v>1069</v>
      </c>
      <c r="D1399" t="s">
        <v>1563</v>
      </c>
      <c r="E1399">
        <v>0</v>
      </c>
      <c r="F1399">
        <v>0</v>
      </c>
      <c r="G1399">
        <v>0</v>
      </c>
      <c r="H1399">
        <v>0</v>
      </c>
      <c r="J1399">
        <v>0</v>
      </c>
    </row>
    <row r="1400" spans="1:10" x14ac:dyDescent="0.25">
      <c r="A1400">
        <v>54003</v>
      </c>
      <c r="B1400" t="s">
        <v>3216</v>
      </c>
      <c r="C1400" t="s">
        <v>1069</v>
      </c>
      <c r="D1400" t="s">
        <v>1563</v>
      </c>
      <c r="E1400">
        <v>0</v>
      </c>
      <c r="F1400">
        <v>0</v>
      </c>
      <c r="G1400">
        <v>0</v>
      </c>
      <c r="H1400">
        <v>0</v>
      </c>
      <c r="J1400">
        <v>0</v>
      </c>
    </row>
    <row r="1401" spans="1:10" x14ac:dyDescent="0.25">
      <c r="A1401" t="s">
        <v>1</v>
      </c>
      <c r="B1401" t="s">
        <v>3216</v>
      </c>
      <c r="C1401" t="s">
        <v>1069</v>
      </c>
      <c r="D1401" t="s">
        <v>1563</v>
      </c>
      <c r="E1401">
        <v>0</v>
      </c>
      <c r="F1401">
        <v>0</v>
      </c>
      <c r="G1401">
        <v>0</v>
      </c>
      <c r="H1401">
        <v>0</v>
      </c>
      <c r="J1401">
        <v>0</v>
      </c>
    </row>
    <row r="1402" spans="1:10" x14ac:dyDescent="0.25">
      <c r="A1402" t="s">
        <v>2</v>
      </c>
      <c r="B1402" t="s">
        <v>3216</v>
      </c>
      <c r="C1402" t="s">
        <v>1069</v>
      </c>
      <c r="D1402" t="s">
        <v>1563</v>
      </c>
      <c r="E1402">
        <v>0</v>
      </c>
      <c r="F1402">
        <v>0</v>
      </c>
      <c r="G1402">
        <v>0</v>
      </c>
      <c r="H1402">
        <v>0</v>
      </c>
      <c r="J1402">
        <v>0</v>
      </c>
    </row>
    <row r="1403" spans="1:10" x14ac:dyDescent="0.25">
      <c r="A1403" t="s">
        <v>9</v>
      </c>
      <c r="B1403" t="s">
        <v>3216</v>
      </c>
      <c r="C1403" t="s">
        <v>1069</v>
      </c>
      <c r="D1403" t="s">
        <v>1563</v>
      </c>
      <c r="E1403">
        <v>0</v>
      </c>
      <c r="F1403">
        <v>0</v>
      </c>
      <c r="G1403">
        <v>0</v>
      </c>
      <c r="H1403">
        <v>0</v>
      </c>
      <c r="J1403">
        <v>0</v>
      </c>
    </row>
    <row r="1404" spans="1:10" x14ac:dyDescent="0.25">
      <c r="A1404" t="s">
        <v>10</v>
      </c>
      <c r="B1404" t="s">
        <v>3216</v>
      </c>
      <c r="C1404" t="s">
        <v>1069</v>
      </c>
      <c r="D1404" t="s">
        <v>1563</v>
      </c>
      <c r="E1404">
        <v>0</v>
      </c>
      <c r="F1404">
        <v>0</v>
      </c>
      <c r="G1404">
        <v>0</v>
      </c>
      <c r="H1404">
        <v>0</v>
      </c>
      <c r="J1404">
        <v>0</v>
      </c>
    </row>
    <row r="1405" spans="1:10" x14ac:dyDescent="0.25">
      <c r="A1405" t="s">
        <v>11</v>
      </c>
      <c r="B1405" t="s">
        <v>3216</v>
      </c>
      <c r="C1405" t="s">
        <v>1069</v>
      </c>
      <c r="D1405" t="s">
        <v>1563</v>
      </c>
      <c r="E1405">
        <v>0</v>
      </c>
      <c r="F1405">
        <v>0</v>
      </c>
      <c r="G1405">
        <v>0</v>
      </c>
      <c r="H1405">
        <v>0</v>
      </c>
      <c r="J1405">
        <v>0</v>
      </c>
    </row>
    <row r="1406" spans="1:10" x14ac:dyDescent="0.25">
      <c r="A1406" t="s">
        <v>12</v>
      </c>
      <c r="B1406" t="s">
        <v>3216</v>
      </c>
      <c r="C1406" t="s">
        <v>1069</v>
      </c>
      <c r="D1406" t="s">
        <v>1563</v>
      </c>
      <c r="E1406">
        <v>0</v>
      </c>
      <c r="F1406">
        <v>0</v>
      </c>
      <c r="G1406">
        <v>0</v>
      </c>
      <c r="H1406">
        <v>0</v>
      </c>
      <c r="J1406">
        <v>0</v>
      </c>
    </row>
    <row r="1407" spans="1:10" x14ac:dyDescent="0.25">
      <c r="A1407" t="s">
        <v>13</v>
      </c>
      <c r="B1407" t="s">
        <v>3216</v>
      </c>
      <c r="C1407" t="s">
        <v>1069</v>
      </c>
      <c r="D1407" t="s">
        <v>1563</v>
      </c>
      <c r="E1407">
        <v>0</v>
      </c>
      <c r="F1407">
        <v>0</v>
      </c>
      <c r="G1407">
        <v>0</v>
      </c>
      <c r="H1407">
        <v>0</v>
      </c>
      <c r="J1407">
        <v>0</v>
      </c>
    </row>
    <row r="1408" spans="1:10" x14ac:dyDescent="0.25">
      <c r="A1408" t="s">
        <v>14</v>
      </c>
      <c r="B1408" t="s">
        <v>3216</v>
      </c>
      <c r="C1408" t="s">
        <v>1069</v>
      </c>
      <c r="D1408" t="s">
        <v>1563</v>
      </c>
      <c r="E1408">
        <v>0</v>
      </c>
      <c r="F1408">
        <v>0</v>
      </c>
      <c r="G1408">
        <v>0</v>
      </c>
      <c r="H1408">
        <v>0</v>
      </c>
      <c r="J1408">
        <v>0</v>
      </c>
    </row>
    <row r="1409" spans="1:10" x14ac:dyDescent="0.25">
      <c r="A1409" t="s">
        <v>15</v>
      </c>
      <c r="B1409" t="s">
        <v>3216</v>
      </c>
      <c r="C1409" t="s">
        <v>1069</v>
      </c>
      <c r="D1409" t="s">
        <v>1563</v>
      </c>
      <c r="E1409">
        <v>0</v>
      </c>
      <c r="F1409">
        <v>0</v>
      </c>
      <c r="G1409">
        <v>0</v>
      </c>
      <c r="H1409">
        <v>0</v>
      </c>
      <c r="J1409">
        <v>0</v>
      </c>
    </row>
    <row r="1410" spans="1:10" x14ac:dyDescent="0.25">
      <c r="A1410" t="s">
        <v>16</v>
      </c>
      <c r="B1410" t="s">
        <v>3216</v>
      </c>
      <c r="C1410" t="s">
        <v>1069</v>
      </c>
      <c r="D1410" t="s">
        <v>1563</v>
      </c>
      <c r="E1410">
        <v>0</v>
      </c>
      <c r="F1410">
        <v>0</v>
      </c>
      <c r="G1410">
        <v>0</v>
      </c>
      <c r="H1410">
        <v>0</v>
      </c>
      <c r="J1410">
        <v>0</v>
      </c>
    </row>
    <row r="1411" spans="1:10" x14ac:dyDescent="0.25">
      <c r="A1411">
        <v>53447</v>
      </c>
      <c r="B1411" t="s">
        <v>3216</v>
      </c>
      <c r="C1411" t="s">
        <v>1069</v>
      </c>
      <c r="D1411" t="s">
        <v>1137</v>
      </c>
      <c r="E1411">
        <v>0</v>
      </c>
      <c r="F1411">
        <v>0</v>
      </c>
      <c r="G1411">
        <v>0</v>
      </c>
      <c r="H1411">
        <v>383</v>
      </c>
      <c r="J1411">
        <v>0</v>
      </c>
    </row>
    <row r="1412" spans="1:10" x14ac:dyDescent="0.25">
      <c r="A1412">
        <v>53251</v>
      </c>
      <c r="B1412" t="s">
        <v>3216</v>
      </c>
      <c r="C1412" t="s">
        <v>1069</v>
      </c>
      <c r="D1412" t="s">
        <v>1099</v>
      </c>
      <c r="E1412">
        <v>0</v>
      </c>
      <c r="F1412">
        <v>0</v>
      </c>
      <c r="G1412">
        <v>0</v>
      </c>
      <c r="H1412">
        <v>745</v>
      </c>
      <c r="I1412">
        <v>4</v>
      </c>
      <c r="J1412">
        <v>0</v>
      </c>
    </row>
    <row r="1413" spans="1:10" x14ac:dyDescent="0.25">
      <c r="A1413">
        <v>53471</v>
      </c>
      <c r="B1413" t="s">
        <v>3216</v>
      </c>
      <c r="C1413" t="s">
        <v>1069</v>
      </c>
      <c r="D1413" t="s">
        <v>1149</v>
      </c>
      <c r="E1413">
        <v>0</v>
      </c>
      <c r="F1413">
        <v>0</v>
      </c>
      <c r="G1413">
        <v>0</v>
      </c>
      <c r="H1413">
        <v>5</v>
      </c>
      <c r="I1413">
        <v>20</v>
      </c>
      <c r="J1413">
        <v>0</v>
      </c>
    </row>
    <row r="1414" spans="1:10" x14ac:dyDescent="0.25">
      <c r="A1414">
        <v>54183</v>
      </c>
      <c r="B1414" t="s">
        <v>3216</v>
      </c>
      <c r="C1414" t="s">
        <v>1069</v>
      </c>
      <c r="D1414" t="s">
        <v>1162</v>
      </c>
      <c r="E1414">
        <v>0</v>
      </c>
      <c r="F1414">
        <v>0</v>
      </c>
      <c r="G1414">
        <v>0</v>
      </c>
      <c r="H1414">
        <v>0</v>
      </c>
      <c r="J1414">
        <v>0</v>
      </c>
    </row>
    <row r="1415" spans="1:10" x14ac:dyDescent="0.25">
      <c r="A1415">
        <v>53277</v>
      </c>
      <c r="B1415" t="s">
        <v>3216</v>
      </c>
      <c r="C1415" t="s">
        <v>1069</v>
      </c>
      <c r="D1415" t="s">
        <v>1107</v>
      </c>
      <c r="E1415">
        <v>0</v>
      </c>
      <c r="F1415">
        <v>0</v>
      </c>
      <c r="G1415">
        <v>0</v>
      </c>
      <c r="H1415">
        <v>461</v>
      </c>
      <c r="J1415">
        <v>0</v>
      </c>
    </row>
    <row r="1416" spans="1:10" x14ac:dyDescent="0.25">
      <c r="A1416">
        <v>53355</v>
      </c>
      <c r="B1416" t="s">
        <v>3216</v>
      </c>
      <c r="C1416" t="s">
        <v>1069</v>
      </c>
      <c r="D1416" t="s">
        <v>1114</v>
      </c>
      <c r="E1416">
        <v>0</v>
      </c>
      <c r="F1416">
        <v>0</v>
      </c>
      <c r="G1416">
        <v>0</v>
      </c>
      <c r="H1416">
        <v>461</v>
      </c>
      <c r="J1416">
        <v>0</v>
      </c>
    </row>
    <row r="1417" spans="1:10" x14ac:dyDescent="0.25">
      <c r="A1417">
        <v>53261</v>
      </c>
      <c r="B1417" t="s">
        <v>3216</v>
      </c>
      <c r="C1417" t="s">
        <v>1069</v>
      </c>
      <c r="D1417" t="s">
        <v>1102</v>
      </c>
      <c r="E1417">
        <v>0</v>
      </c>
      <c r="F1417">
        <v>0</v>
      </c>
      <c r="G1417">
        <v>0</v>
      </c>
      <c r="H1417">
        <v>234</v>
      </c>
      <c r="I1417">
        <v>1</v>
      </c>
      <c r="J1417">
        <v>0</v>
      </c>
    </row>
    <row r="1418" spans="1:10" x14ac:dyDescent="0.25">
      <c r="A1418">
        <v>53423</v>
      </c>
      <c r="B1418" t="s">
        <v>3216</v>
      </c>
      <c r="C1418" t="s">
        <v>1069</v>
      </c>
      <c r="D1418" t="s">
        <v>1125</v>
      </c>
      <c r="E1418">
        <v>0</v>
      </c>
      <c r="F1418">
        <v>0</v>
      </c>
      <c r="G1418">
        <v>0</v>
      </c>
      <c r="H1418">
        <v>17</v>
      </c>
      <c r="J1418">
        <v>0</v>
      </c>
    </row>
    <row r="1419" spans="1:10" x14ac:dyDescent="0.25">
      <c r="A1419">
        <v>36151</v>
      </c>
      <c r="B1419" t="s">
        <v>3215</v>
      </c>
      <c r="C1419" t="s">
        <v>2906</v>
      </c>
      <c r="D1419" t="s">
        <v>900</v>
      </c>
      <c r="E1419">
        <v>0</v>
      </c>
      <c r="F1419">
        <v>0</v>
      </c>
      <c r="G1419">
        <v>0</v>
      </c>
      <c r="H1419">
        <v>534</v>
      </c>
      <c r="I1419">
        <v>4</v>
      </c>
      <c r="J1419">
        <v>0</v>
      </c>
    </row>
    <row r="1420" spans="1:10" x14ac:dyDescent="0.25">
      <c r="A1420">
        <v>36110</v>
      </c>
      <c r="B1420" t="s">
        <v>3215</v>
      </c>
      <c r="C1420" t="s">
        <v>2906</v>
      </c>
      <c r="D1420" t="s">
        <v>2905</v>
      </c>
      <c r="E1420">
        <v>0</v>
      </c>
      <c r="F1420">
        <v>0</v>
      </c>
      <c r="G1420">
        <v>0</v>
      </c>
      <c r="H1420">
        <v>0</v>
      </c>
      <c r="J1420">
        <v>0</v>
      </c>
    </row>
    <row r="1421" spans="1:10" x14ac:dyDescent="0.25">
      <c r="A1421">
        <v>36141</v>
      </c>
      <c r="B1421" t="s">
        <v>3215</v>
      </c>
      <c r="C1421" t="s">
        <v>2906</v>
      </c>
      <c r="D1421" t="s">
        <v>897</v>
      </c>
      <c r="E1421">
        <v>0</v>
      </c>
      <c r="F1421">
        <v>0</v>
      </c>
      <c r="G1421">
        <v>0</v>
      </c>
      <c r="H1421">
        <v>105</v>
      </c>
      <c r="J1421">
        <v>0</v>
      </c>
    </row>
    <row r="1422" spans="1:10" x14ac:dyDescent="0.25">
      <c r="A1422">
        <v>36114</v>
      </c>
      <c r="B1422" t="s">
        <v>3215</v>
      </c>
      <c r="C1422" t="s">
        <v>2906</v>
      </c>
      <c r="D1422" t="s">
        <v>889</v>
      </c>
      <c r="E1422">
        <v>0</v>
      </c>
      <c r="F1422">
        <v>0</v>
      </c>
      <c r="G1422">
        <v>0</v>
      </c>
      <c r="H1422">
        <v>129</v>
      </c>
      <c r="I1422">
        <v>9</v>
      </c>
      <c r="J1422">
        <v>0</v>
      </c>
    </row>
    <row r="1423" spans="1:10" x14ac:dyDescent="0.25">
      <c r="A1423">
        <v>72291</v>
      </c>
      <c r="B1423" t="s">
        <v>3218</v>
      </c>
      <c r="C1423" t="s">
        <v>3230</v>
      </c>
      <c r="D1423" t="s">
        <v>1507</v>
      </c>
      <c r="E1423">
        <v>0</v>
      </c>
      <c r="F1423">
        <v>0</v>
      </c>
      <c r="G1423">
        <v>0</v>
      </c>
      <c r="H1423">
        <v>565</v>
      </c>
      <c r="J1423">
        <v>0</v>
      </c>
    </row>
    <row r="1424" spans="1:10" x14ac:dyDescent="0.25">
      <c r="A1424">
        <v>72175</v>
      </c>
      <c r="B1424" t="s">
        <v>3218</v>
      </c>
      <c r="C1424" t="s">
        <v>3230</v>
      </c>
      <c r="D1424" t="s">
        <v>1478</v>
      </c>
      <c r="E1424">
        <v>0</v>
      </c>
      <c r="F1424">
        <v>0</v>
      </c>
      <c r="G1424">
        <v>0</v>
      </c>
      <c r="H1424">
        <v>0</v>
      </c>
      <c r="J1424">
        <v>0</v>
      </c>
    </row>
    <row r="1425" spans="1:10" x14ac:dyDescent="0.25">
      <c r="A1425">
        <v>72135</v>
      </c>
      <c r="B1425" t="s">
        <v>3218</v>
      </c>
      <c r="C1425" t="s">
        <v>3230</v>
      </c>
      <c r="D1425" t="s">
        <v>1473</v>
      </c>
      <c r="E1425">
        <v>0</v>
      </c>
      <c r="F1425">
        <v>0</v>
      </c>
      <c r="G1425">
        <v>0</v>
      </c>
      <c r="H1425">
        <v>0</v>
      </c>
      <c r="J1425">
        <v>0</v>
      </c>
    </row>
    <row r="1426" spans="1:10" x14ac:dyDescent="0.25">
      <c r="A1426">
        <v>23275</v>
      </c>
      <c r="B1426" t="s">
        <v>3212</v>
      </c>
      <c r="C1426" t="s">
        <v>3220</v>
      </c>
      <c r="D1426" t="s">
        <v>209</v>
      </c>
      <c r="E1426">
        <v>0</v>
      </c>
      <c r="F1426">
        <v>0</v>
      </c>
      <c r="G1426">
        <v>0</v>
      </c>
      <c r="H1426">
        <v>0</v>
      </c>
      <c r="J1426">
        <v>0</v>
      </c>
    </row>
    <row r="1427" spans="1:10" x14ac:dyDescent="0.25">
      <c r="A1427">
        <v>23001</v>
      </c>
      <c r="B1427" t="s">
        <v>3212</v>
      </c>
      <c r="C1427" t="s">
        <v>3220</v>
      </c>
      <c r="D1427" t="s">
        <v>1563</v>
      </c>
      <c r="E1427">
        <v>0</v>
      </c>
      <c r="F1427">
        <v>0</v>
      </c>
      <c r="G1427">
        <v>0</v>
      </c>
      <c r="H1427">
        <v>0</v>
      </c>
      <c r="J1427">
        <v>0</v>
      </c>
    </row>
    <row r="1428" spans="1:10" x14ac:dyDescent="0.25">
      <c r="A1428">
        <v>23002</v>
      </c>
      <c r="B1428" t="s">
        <v>3212</v>
      </c>
      <c r="C1428" t="s">
        <v>3220</v>
      </c>
      <c r="D1428" t="s">
        <v>1563</v>
      </c>
      <c r="E1428">
        <v>0</v>
      </c>
      <c r="F1428">
        <v>0</v>
      </c>
      <c r="G1428">
        <v>0</v>
      </c>
      <c r="H1428">
        <v>0</v>
      </c>
      <c r="J1428">
        <v>0</v>
      </c>
    </row>
    <row r="1429" spans="1:10" x14ac:dyDescent="0.25">
      <c r="A1429">
        <v>23003</v>
      </c>
      <c r="B1429" t="s">
        <v>3212</v>
      </c>
      <c r="C1429" t="s">
        <v>3220</v>
      </c>
      <c r="D1429" t="s">
        <v>1563</v>
      </c>
      <c r="E1429">
        <v>0</v>
      </c>
      <c r="F1429">
        <v>0</v>
      </c>
      <c r="G1429">
        <v>0</v>
      </c>
      <c r="H1429">
        <v>0</v>
      </c>
      <c r="I1429">
        <v>0</v>
      </c>
      <c r="J1429">
        <v>0</v>
      </c>
    </row>
    <row r="1430" spans="1:10" x14ac:dyDescent="0.25">
      <c r="A1430">
        <v>23004</v>
      </c>
      <c r="B1430" t="s">
        <v>3212</v>
      </c>
      <c r="C1430" t="s">
        <v>3220</v>
      </c>
      <c r="D1430" t="s">
        <v>1563</v>
      </c>
      <c r="E1430">
        <v>0</v>
      </c>
      <c r="F1430">
        <v>0</v>
      </c>
      <c r="G1430">
        <v>0</v>
      </c>
      <c r="H1430">
        <v>0</v>
      </c>
      <c r="J1430">
        <v>0</v>
      </c>
    </row>
    <row r="1431" spans="1:10" x14ac:dyDescent="0.25">
      <c r="A1431">
        <v>23005</v>
      </c>
      <c r="B1431" t="s">
        <v>3212</v>
      </c>
      <c r="C1431" t="s">
        <v>3220</v>
      </c>
      <c r="D1431" t="s">
        <v>1563</v>
      </c>
      <c r="E1431">
        <v>0</v>
      </c>
      <c r="F1431">
        <v>0</v>
      </c>
      <c r="G1431">
        <v>0</v>
      </c>
      <c r="H1431">
        <v>0</v>
      </c>
      <c r="J1431">
        <v>0</v>
      </c>
    </row>
    <row r="1432" spans="1:10" x14ac:dyDescent="0.25">
      <c r="A1432">
        <v>23006</v>
      </c>
      <c r="B1432" t="s">
        <v>3212</v>
      </c>
      <c r="C1432" t="s">
        <v>3220</v>
      </c>
      <c r="D1432" t="s">
        <v>1563</v>
      </c>
      <c r="E1432">
        <v>0</v>
      </c>
      <c r="F1432">
        <v>0</v>
      </c>
      <c r="G1432">
        <v>0</v>
      </c>
      <c r="H1432">
        <v>0</v>
      </c>
      <c r="J1432">
        <v>0</v>
      </c>
    </row>
    <row r="1433" spans="1:10" x14ac:dyDescent="0.25">
      <c r="A1433">
        <v>23007</v>
      </c>
      <c r="B1433" t="s">
        <v>3212</v>
      </c>
      <c r="C1433" t="s">
        <v>3220</v>
      </c>
      <c r="D1433" t="s">
        <v>1563</v>
      </c>
      <c r="E1433">
        <v>0</v>
      </c>
      <c r="F1433">
        <v>0</v>
      </c>
      <c r="G1433">
        <v>0</v>
      </c>
      <c r="H1433">
        <v>0</v>
      </c>
      <c r="J1433">
        <v>0</v>
      </c>
    </row>
    <row r="1434" spans="1:10" x14ac:dyDescent="0.25">
      <c r="A1434">
        <v>23438</v>
      </c>
      <c r="B1434" t="s">
        <v>3212</v>
      </c>
      <c r="C1434" t="s">
        <v>3220</v>
      </c>
      <c r="D1434" t="s">
        <v>242</v>
      </c>
      <c r="E1434">
        <v>0</v>
      </c>
      <c r="F1434">
        <v>0</v>
      </c>
      <c r="G1434">
        <v>0</v>
      </c>
      <c r="H1434">
        <v>79</v>
      </c>
      <c r="J1434">
        <v>0</v>
      </c>
    </row>
    <row r="1435" spans="1:10" x14ac:dyDescent="0.25">
      <c r="A1435">
        <v>23415</v>
      </c>
      <c r="B1435" t="s">
        <v>3212</v>
      </c>
      <c r="C1435" t="s">
        <v>3220</v>
      </c>
      <c r="D1435" t="s">
        <v>230</v>
      </c>
      <c r="E1435">
        <v>0</v>
      </c>
      <c r="F1435">
        <v>0</v>
      </c>
      <c r="G1435">
        <v>0</v>
      </c>
      <c r="H1435">
        <v>0</v>
      </c>
      <c r="J1435">
        <v>0</v>
      </c>
    </row>
    <row r="1436" spans="1:10" x14ac:dyDescent="0.25">
      <c r="A1436">
        <v>23454</v>
      </c>
      <c r="B1436" t="s">
        <v>3212</v>
      </c>
      <c r="C1436" t="s">
        <v>3220</v>
      </c>
      <c r="D1436" t="s">
        <v>251</v>
      </c>
      <c r="E1436">
        <v>0</v>
      </c>
      <c r="F1436">
        <v>0</v>
      </c>
      <c r="G1436">
        <v>0</v>
      </c>
      <c r="H1436">
        <v>215</v>
      </c>
      <c r="I1436">
        <v>2</v>
      </c>
      <c r="J1436">
        <v>0</v>
      </c>
    </row>
    <row r="1437" spans="1:10" x14ac:dyDescent="0.25">
      <c r="A1437">
        <v>23431</v>
      </c>
      <c r="B1437" t="s">
        <v>3212</v>
      </c>
      <c r="C1437" t="s">
        <v>3220</v>
      </c>
      <c r="D1437" t="s">
        <v>238</v>
      </c>
      <c r="E1437">
        <v>0</v>
      </c>
      <c r="F1437">
        <v>0</v>
      </c>
      <c r="G1437">
        <v>0</v>
      </c>
      <c r="H1437">
        <v>0</v>
      </c>
      <c r="J1437">
        <v>0</v>
      </c>
    </row>
    <row r="1438" spans="1:10" x14ac:dyDescent="0.25">
      <c r="A1438">
        <v>23237</v>
      </c>
      <c r="B1438" t="s">
        <v>3212</v>
      </c>
      <c r="C1438" t="s">
        <v>3220</v>
      </c>
      <c r="D1438" t="s">
        <v>198</v>
      </c>
      <c r="E1438">
        <v>0</v>
      </c>
      <c r="F1438">
        <v>0</v>
      </c>
      <c r="G1438">
        <v>0</v>
      </c>
      <c r="H1438">
        <v>1</v>
      </c>
      <c r="J1438">
        <v>0</v>
      </c>
    </row>
    <row r="1439" spans="1:10" x14ac:dyDescent="0.25">
      <c r="A1439">
        <v>23441</v>
      </c>
      <c r="B1439" t="s">
        <v>3212</v>
      </c>
      <c r="C1439" t="s">
        <v>3220</v>
      </c>
      <c r="D1439" t="s">
        <v>244</v>
      </c>
      <c r="E1439">
        <v>0</v>
      </c>
      <c r="F1439">
        <v>0</v>
      </c>
      <c r="G1439">
        <v>0</v>
      </c>
      <c r="H1439">
        <v>562</v>
      </c>
      <c r="I1439">
        <v>1</v>
      </c>
      <c r="J1439">
        <v>0</v>
      </c>
    </row>
    <row r="1440" spans="1:10" x14ac:dyDescent="0.25">
      <c r="A1440">
        <v>34371</v>
      </c>
      <c r="B1440" t="s">
        <v>3215</v>
      </c>
      <c r="C1440" t="s">
        <v>3226</v>
      </c>
      <c r="D1440" t="s">
        <v>717</v>
      </c>
      <c r="E1440">
        <v>0</v>
      </c>
      <c r="F1440">
        <v>0</v>
      </c>
      <c r="G1440">
        <v>0</v>
      </c>
      <c r="H1440">
        <v>52</v>
      </c>
      <c r="J1440">
        <v>0</v>
      </c>
    </row>
    <row r="1441" spans="1:10" x14ac:dyDescent="0.25">
      <c r="A1441">
        <v>34001</v>
      </c>
      <c r="B1441" t="s">
        <v>3215</v>
      </c>
      <c r="C1441" t="s">
        <v>3226</v>
      </c>
      <c r="D1441" t="s">
        <v>1563</v>
      </c>
      <c r="E1441">
        <v>0</v>
      </c>
      <c r="F1441">
        <v>0</v>
      </c>
      <c r="G1441">
        <v>0</v>
      </c>
      <c r="H1441">
        <v>0</v>
      </c>
      <c r="J1441">
        <v>0</v>
      </c>
    </row>
    <row r="1442" spans="1:10" x14ac:dyDescent="0.25">
      <c r="A1442">
        <v>34002</v>
      </c>
      <c r="B1442" t="s">
        <v>3215</v>
      </c>
      <c r="C1442" t="s">
        <v>3226</v>
      </c>
      <c r="D1442" t="s">
        <v>1563</v>
      </c>
      <c r="E1442">
        <v>0</v>
      </c>
      <c r="F1442">
        <v>0</v>
      </c>
      <c r="G1442">
        <v>0</v>
      </c>
      <c r="H1442">
        <v>0</v>
      </c>
      <c r="J1442">
        <v>0</v>
      </c>
    </row>
    <row r="1443" spans="1:10" x14ac:dyDescent="0.25">
      <c r="A1443">
        <v>34326</v>
      </c>
      <c r="B1443" t="s">
        <v>3215</v>
      </c>
      <c r="C1443" t="s">
        <v>3226</v>
      </c>
      <c r="D1443" t="s">
        <v>708</v>
      </c>
      <c r="E1443">
        <v>0</v>
      </c>
      <c r="F1443">
        <v>0</v>
      </c>
      <c r="G1443">
        <v>0</v>
      </c>
      <c r="H1443">
        <v>0</v>
      </c>
      <c r="J1443">
        <v>0</v>
      </c>
    </row>
    <row r="1444" spans="1:10" x14ac:dyDescent="0.25">
      <c r="A1444">
        <v>34227</v>
      </c>
      <c r="B1444" t="s">
        <v>3215</v>
      </c>
      <c r="C1444" t="s">
        <v>3226</v>
      </c>
      <c r="D1444" t="s">
        <v>668</v>
      </c>
      <c r="E1444">
        <v>0</v>
      </c>
      <c r="F1444">
        <v>0</v>
      </c>
      <c r="G1444">
        <v>0</v>
      </c>
      <c r="H1444">
        <v>0</v>
      </c>
      <c r="J1444">
        <v>0</v>
      </c>
    </row>
    <row r="1445" spans="1:10" x14ac:dyDescent="0.25">
      <c r="A1445">
        <v>34244</v>
      </c>
      <c r="B1445" t="s">
        <v>3215</v>
      </c>
      <c r="C1445" t="s">
        <v>3226</v>
      </c>
      <c r="D1445" t="s">
        <v>678</v>
      </c>
      <c r="E1445">
        <v>0</v>
      </c>
      <c r="F1445">
        <v>0</v>
      </c>
      <c r="G1445">
        <v>0</v>
      </c>
      <c r="H1445">
        <v>86</v>
      </c>
      <c r="I1445">
        <v>2</v>
      </c>
      <c r="J1445">
        <v>0</v>
      </c>
    </row>
    <row r="1446" spans="1:10" x14ac:dyDescent="0.25">
      <c r="A1446">
        <v>34281</v>
      </c>
      <c r="B1446" t="s">
        <v>3215</v>
      </c>
      <c r="C1446" t="s">
        <v>3226</v>
      </c>
      <c r="D1446" t="s">
        <v>700</v>
      </c>
      <c r="E1446">
        <v>0</v>
      </c>
      <c r="F1446">
        <v>0</v>
      </c>
      <c r="G1446">
        <v>0</v>
      </c>
      <c r="H1446">
        <v>52</v>
      </c>
      <c r="I1446">
        <v>15</v>
      </c>
      <c r="J1446">
        <v>0</v>
      </c>
    </row>
    <row r="1447" spans="1:10" x14ac:dyDescent="0.25">
      <c r="A1447">
        <v>34381</v>
      </c>
      <c r="B1447" t="s">
        <v>3215</v>
      </c>
      <c r="C1447" t="s">
        <v>3226</v>
      </c>
      <c r="D1447" t="s">
        <v>720</v>
      </c>
      <c r="E1447">
        <v>0</v>
      </c>
      <c r="F1447">
        <v>0</v>
      </c>
      <c r="G1447">
        <v>0</v>
      </c>
      <c r="H1447">
        <v>794</v>
      </c>
      <c r="J1447">
        <v>0</v>
      </c>
    </row>
    <row r="1448" spans="1:10" x14ac:dyDescent="0.25">
      <c r="A1448">
        <v>54001</v>
      </c>
      <c r="B1448" t="s">
        <v>3216</v>
      </c>
      <c r="C1448" t="s">
        <v>6936</v>
      </c>
      <c r="D1448" t="s">
        <v>1563</v>
      </c>
      <c r="E1448">
        <v>0</v>
      </c>
      <c r="F1448">
        <v>0</v>
      </c>
      <c r="G1448">
        <v>0</v>
      </c>
      <c r="H1448">
        <v>0</v>
      </c>
      <c r="J1448">
        <v>0</v>
      </c>
    </row>
    <row r="1449" spans="1:10" x14ac:dyDescent="0.25">
      <c r="A1449">
        <v>54002</v>
      </c>
      <c r="B1449" t="s">
        <v>3216</v>
      </c>
      <c r="C1449" t="s">
        <v>6936</v>
      </c>
      <c r="D1449" t="s">
        <v>1563</v>
      </c>
      <c r="E1449">
        <v>0</v>
      </c>
      <c r="F1449">
        <v>0</v>
      </c>
      <c r="G1449">
        <v>0</v>
      </c>
      <c r="H1449">
        <v>0</v>
      </c>
      <c r="J1449">
        <v>0</v>
      </c>
    </row>
    <row r="1450" spans="1:10" x14ac:dyDescent="0.25">
      <c r="A1450" t="s">
        <v>0</v>
      </c>
      <c r="B1450" t="s">
        <v>3216</v>
      </c>
      <c r="C1450" t="s">
        <v>6936</v>
      </c>
      <c r="D1450" t="s">
        <v>1563</v>
      </c>
      <c r="E1450">
        <v>0</v>
      </c>
      <c r="F1450">
        <v>0</v>
      </c>
      <c r="G1450">
        <v>0</v>
      </c>
      <c r="H1450">
        <v>0</v>
      </c>
      <c r="J1450">
        <v>0</v>
      </c>
    </row>
    <row r="1451" spans="1:10" x14ac:dyDescent="0.25">
      <c r="A1451">
        <v>32195</v>
      </c>
      <c r="B1451" t="s">
        <v>3215</v>
      </c>
      <c r="C1451" t="s">
        <v>3223</v>
      </c>
      <c r="D1451" t="s">
        <v>596</v>
      </c>
      <c r="E1451">
        <v>0</v>
      </c>
      <c r="F1451">
        <v>0</v>
      </c>
      <c r="G1451">
        <v>0</v>
      </c>
      <c r="H1451">
        <v>36</v>
      </c>
      <c r="J1451">
        <v>0</v>
      </c>
    </row>
    <row r="1452" spans="1:10" x14ac:dyDescent="0.25">
      <c r="A1452">
        <v>22523</v>
      </c>
      <c r="B1452" t="s">
        <v>3212</v>
      </c>
      <c r="C1452" t="s">
        <v>3224</v>
      </c>
      <c r="D1452" t="s">
        <v>129</v>
      </c>
      <c r="E1452">
        <v>0</v>
      </c>
      <c r="F1452">
        <v>0</v>
      </c>
      <c r="G1452">
        <v>0</v>
      </c>
      <c r="H1452">
        <v>81</v>
      </c>
      <c r="I1452">
        <v>28</v>
      </c>
      <c r="J1452">
        <v>0</v>
      </c>
    </row>
    <row r="1453" spans="1:10" x14ac:dyDescent="0.25">
      <c r="A1453">
        <v>22714</v>
      </c>
      <c r="B1453" t="s">
        <v>3212</v>
      </c>
      <c r="C1453" t="s">
        <v>3224</v>
      </c>
      <c r="D1453" t="s">
        <v>2826</v>
      </c>
      <c r="E1453">
        <v>0</v>
      </c>
      <c r="F1453">
        <v>0</v>
      </c>
      <c r="G1453">
        <v>0</v>
      </c>
      <c r="H1453">
        <v>84</v>
      </c>
      <c r="I1453">
        <v>10</v>
      </c>
      <c r="J1453">
        <v>0</v>
      </c>
    </row>
    <row r="1454" spans="1:10" x14ac:dyDescent="0.25">
      <c r="A1454">
        <v>22691</v>
      </c>
      <c r="B1454" t="s">
        <v>3212</v>
      </c>
      <c r="C1454" t="s">
        <v>3224</v>
      </c>
      <c r="D1454" t="s">
        <v>158</v>
      </c>
      <c r="E1454">
        <v>0</v>
      </c>
      <c r="F1454">
        <v>0</v>
      </c>
      <c r="G1454">
        <v>0</v>
      </c>
      <c r="H1454">
        <v>172</v>
      </c>
      <c r="I1454">
        <v>5</v>
      </c>
      <c r="J1454">
        <v>0</v>
      </c>
    </row>
    <row r="1455" spans="1:10" x14ac:dyDescent="0.25">
      <c r="A1455">
        <v>22001</v>
      </c>
      <c r="B1455" t="s">
        <v>3212</v>
      </c>
      <c r="C1455" t="s">
        <v>3224</v>
      </c>
      <c r="D1455" t="s">
        <v>1563</v>
      </c>
      <c r="E1455">
        <v>0</v>
      </c>
      <c r="F1455">
        <v>0</v>
      </c>
      <c r="G1455">
        <v>0</v>
      </c>
      <c r="H1455">
        <v>0</v>
      </c>
      <c r="J1455">
        <v>0</v>
      </c>
    </row>
    <row r="1456" spans="1:10" x14ac:dyDescent="0.25">
      <c r="A1456">
        <v>22002</v>
      </c>
      <c r="B1456" t="s">
        <v>3212</v>
      </c>
      <c r="C1456" t="s">
        <v>3224</v>
      </c>
      <c r="D1456" t="s">
        <v>1563</v>
      </c>
      <c r="E1456">
        <v>0</v>
      </c>
      <c r="F1456">
        <v>0</v>
      </c>
      <c r="G1456">
        <v>0</v>
      </c>
      <c r="H1456">
        <v>0</v>
      </c>
      <c r="J1456">
        <v>0</v>
      </c>
    </row>
    <row r="1457" spans="1:10" x14ac:dyDescent="0.25">
      <c r="A1457">
        <v>22787</v>
      </c>
      <c r="B1457" t="s">
        <v>3212</v>
      </c>
      <c r="C1457" t="s">
        <v>3224</v>
      </c>
      <c r="D1457" t="s">
        <v>183</v>
      </c>
      <c r="E1457">
        <v>0</v>
      </c>
      <c r="F1457">
        <v>0</v>
      </c>
      <c r="G1457">
        <v>0</v>
      </c>
      <c r="H1457">
        <v>69</v>
      </c>
      <c r="I1457">
        <v>3</v>
      </c>
      <c r="J1457">
        <v>0</v>
      </c>
    </row>
    <row r="1458" spans="1:10" x14ac:dyDescent="0.25">
      <c r="A1458">
        <v>22435</v>
      </c>
      <c r="B1458" t="s">
        <v>3212</v>
      </c>
      <c r="C1458" t="s">
        <v>3224</v>
      </c>
      <c r="D1458" t="s">
        <v>112</v>
      </c>
      <c r="E1458">
        <v>0</v>
      </c>
      <c r="F1458">
        <v>0</v>
      </c>
      <c r="G1458">
        <v>0</v>
      </c>
      <c r="H1458">
        <v>1252</v>
      </c>
      <c r="I1458">
        <v>187</v>
      </c>
      <c r="J1458">
        <v>0</v>
      </c>
    </row>
    <row r="1459" spans="1:10" x14ac:dyDescent="0.25">
      <c r="A1459">
        <v>22651</v>
      </c>
      <c r="B1459" t="s">
        <v>3212</v>
      </c>
      <c r="C1459" t="s">
        <v>3224</v>
      </c>
      <c r="D1459" t="s">
        <v>2825</v>
      </c>
      <c r="E1459">
        <v>0</v>
      </c>
      <c r="F1459">
        <v>0</v>
      </c>
      <c r="G1459">
        <v>0</v>
      </c>
      <c r="H1459">
        <v>1468</v>
      </c>
      <c r="I1459">
        <v>100</v>
      </c>
      <c r="J1459">
        <v>0</v>
      </c>
    </row>
    <row r="1460" spans="1:10" x14ac:dyDescent="0.25">
      <c r="A1460">
        <v>22519</v>
      </c>
      <c r="B1460" t="s">
        <v>3212</v>
      </c>
      <c r="C1460" t="s">
        <v>3224</v>
      </c>
      <c r="D1460" t="s">
        <v>128</v>
      </c>
      <c r="E1460">
        <v>0</v>
      </c>
      <c r="F1460">
        <v>0</v>
      </c>
      <c r="G1460">
        <v>0</v>
      </c>
      <c r="H1460">
        <v>69</v>
      </c>
      <c r="I1460">
        <v>4</v>
      </c>
      <c r="J1460">
        <v>0</v>
      </c>
    </row>
    <row r="1461" spans="1:10" x14ac:dyDescent="0.25">
      <c r="A1461">
        <v>22791</v>
      </c>
      <c r="B1461" t="s">
        <v>3212</v>
      </c>
      <c r="C1461" t="s">
        <v>3224</v>
      </c>
      <c r="D1461" t="s">
        <v>184</v>
      </c>
      <c r="E1461">
        <v>0</v>
      </c>
      <c r="F1461">
        <v>0</v>
      </c>
      <c r="G1461">
        <v>0</v>
      </c>
      <c r="H1461">
        <v>258</v>
      </c>
      <c r="I1461">
        <v>6</v>
      </c>
      <c r="J1461">
        <v>0</v>
      </c>
    </row>
    <row r="1462" spans="1:10" x14ac:dyDescent="0.25">
      <c r="A1462">
        <v>37362</v>
      </c>
      <c r="B1462" t="s">
        <v>3215</v>
      </c>
      <c r="C1462" t="s">
        <v>3228</v>
      </c>
      <c r="D1462" t="s">
        <v>949</v>
      </c>
      <c r="E1462">
        <v>0</v>
      </c>
      <c r="F1462">
        <v>0</v>
      </c>
      <c r="G1462">
        <v>0</v>
      </c>
      <c r="H1462">
        <v>32</v>
      </c>
      <c r="J1462">
        <v>0</v>
      </c>
    </row>
    <row r="1463" spans="1:10" x14ac:dyDescent="0.25">
      <c r="A1463">
        <v>37367</v>
      </c>
      <c r="B1463" t="s">
        <v>3215</v>
      </c>
      <c r="C1463" t="s">
        <v>3228</v>
      </c>
      <c r="D1463" t="s">
        <v>952</v>
      </c>
      <c r="E1463">
        <v>0</v>
      </c>
      <c r="F1463">
        <v>0</v>
      </c>
      <c r="G1463">
        <v>0</v>
      </c>
      <c r="H1463">
        <v>374</v>
      </c>
      <c r="I1463">
        <v>20</v>
      </c>
      <c r="J1463">
        <v>0</v>
      </c>
    </row>
    <row r="1464" spans="1:10" x14ac:dyDescent="0.25">
      <c r="A1464">
        <v>37001</v>
      </c>
      <c r="B1464" t="s">
        <v>3215</v>
      </c>
      <c r="C1464" t="s">
        <v>3228</v>
      </c>
      <c r="D1464" t="s">
        <v>1563</v>
      </c>
      <c r="E1464">
        <v>0</v>
      </c>
      <c r="F1464">
        <v>0</v>
      </c>
      <c r="G1464">
        <v>0</v>
      </c>
      <c r="H1464">
        <v>0</v>
      </c>
      <c r="J1464">
        <v>0</v>
      </c>
    </row>
    <row r="1465" spans="1:10" x14ac:dyDescent="0.25">
      <c r="A1465">
        <v>37002</v>
      </c>
      <c r="B1465" t="s">
        <v>3215</v>
      </c>
      <c r="C1465" t="s">
        <v>3228</v>
      </c>
      <c r="D1465" t="s">
        <v>1563</v>
      </c>
      <c r="E1465">
        <v>0</v>
      </c>
      <c r="F1465">
        <v>0</v>
      </c>
      <c r="G1465">
        <v>0</v>
      </c>
      <c r="H1465">
        <v>0</v>
      </c>
      <c r="J1465">
        <v>0</v>
      </c>
    </row>
    <row r="1466" spans="1:10" x14ac:dyDescent="0.25">
      <c r="A1466">
        <v>37003</v>
      </c>
      <c r="B1466" t="s">
        <v>3215</v>
      </c>
      <c r="C1466" t="s">
        <v>3228</v>
      </c>
      <c r="D1466" t="s">
        <v>1563</v>
      </c>
      <c r="E1466">
        <v>0</v>
      </c>
      <c r="F1466">
        <v>0</v>
      </c>
      <c r="G1466">
        <v>0</v>
      </c>
      <c r="H1466">
        <v>0</v>
      </c>
      <c r="J1466">
        <v>0</v>
      </c>
    </row>
    <row r="1467" spans="1:10" x14ac:dyDescent="0.25">
      <c r="A1467">
        <v>37004</v>
      </c>
      <c r="B1467" t="s">
        <v>3215</v>
      </c>
      <c r="C1467" t="s">
        <v>3228</v>
      </c>
      <c r="D1467" t="s">
        <v>1563</v>
      </c>
      <c r="E1467">
        <v>0</v>
      </c>
      <c r="F1467">
        <v>0</v>
      </c>
      <c r="G1467">
        <v>0</v>
      </c>
      <c r="H1467">
        <v>0</v>
      </c>
      <c r="J1467">
        <v>0</v>
      </c>
    </row>
    <row r="1468" spans="1:10" x14ac:dyDescent="0.25">
      <c r="A1468">
        <v>37005</v>
      </c>
      <c r="B1468" t="s">
        <v>3215</v>
      </c>
      <c r="C1468" t="s">
        <v>3228</v>
      </c>
      <c r="D1468" t="s">
        <v>1563</v>
      </c>
      <c r="E1468">
        <v>0</v>
      </c>
      <c r="F1468">
        <v>0</v>
      </c>
      <c r="G1468">
        <v>0</v>
      </c>
      <c r="H1468">
        <v>0</v>
      </c>
      <c r="J1468">
        <v>0</v>
      </c>
    </row>
    <row r="1469" spans="1:10" x14ac:dyDescent="0.25">
      <c r="A1469">
        <v>37006</v>
      </c>
      <c r="B1469" t="s">
        <v>3215</v>
      </c>
      <c r="C1469" t="s">
        <v>3228</v>
      </c>
      <c r="D1469" t="s">
        <v>1563</v>
      </c>
      <c r="E1469">
        <v>0</v>
      </c>
      <c r="F1469">
        <v>0</v>
      </c>
      <c r="G1469">
        <v>0</v>
      </c>
      <c r="H1469">
        <v>0</v>
      </c>
      <c r="J1469">
        <v>0</v>
      </c>
    </row>
    <row r="1470" spans="1:10" x14ac:dyDescent="0.25">
      <c r="A1470">
        <v>37327</v>
      </c>
      <c r="B1470" t="s">
        <v>3215</v>
      </c>
      <c r="C1470" t="s">
        <v>3228</v>
      </c>
      <c r="D1470" t="s">
        <v>2913</v>
      </c>
      <c r="E1470">
        <v>0</v>
      </c>
      <c r="F1470">
        <v>0</v>
      </c>
      <c r="G1470">
        <v>0</v>
      </c>
      <c r="H1470">
        <v>1218</v>
      </c>
      <c r="I1470">
        <v>2</v>
      </c>
      <c r="J1470">
        <v>0</v>
      </c>
    </row>
    <row r="1471" spans="1:10" x14ac:dyDescent="0.25">
      <c r="A1471">
        <v>37345</v>
      </c>
      <c r="B1471" t="s">
        <v>3215</v>
      </c>
      <c r="C1471" t="s">
        <v>3228</v>
      </c>
      <c r="D1471" t="s">
        <v>937</v>
      </c>
      <c r="E1471">
        <v>0</v>
      </c>
      <c r="F1471">
        <v>0</v>
      </c>
      <c r="G1471">
        <v>0</v>
      </c>
      <c r="H1471">
        <v>970</v>
      </c>
      <c r="J1471">
        <v>0</v>
      </c>
    </row>
    <row r="1472" spans="1:10" x14ac:dyDescent="0.25">
      <c r="A1472">
        <v>37335</v>
      </c>
      <c r="B1472" t="s">
        <v>3215</v>
      </c>
      <c r="C1472" t="s">
        <v>3228</v>
      </c>
      <c r="D1472" t="s">
        <v>2915</v>
      </c>
      <c r="E1472">
        <v>0</v>
      </c>
      <c r="F1472">
        <v>0</v>
      </c>
      <c r="G1472">
        <v>0</v>
      </c>
      <c r="H1472">
        <v>419</v>
      </c>
      <c r="I1472">
        <v>2</v>
      </c>
      <c r="J1472">
        <v>0</v>
      </c>
    </row>
    <row r="1473" spans="1:10" x14ac:dyDescent="0.25">
      <c r="A1473">
        <v>37389</v>
      </c>
      <c r="B1473" t="s">
        <v>3215</v>
      </c>
      <c r="C1473" t="s">
        <v>3228</v>
      </c>
      <c r="D1473" t="s">
        <v>964</v>
      </c>
      <c r="E1473">
        <v>0</v>
      </c>
      <c r="F1473">
        <v>0</v>
      </c>
      <c r="G1473">
        <v>0</v>
      </c>
      <c r="H1473">
        <v>0</v>
      </c>
      <c r="J1473">
        <v>0</v>
      </c>
    </row>
    <row r="1474" spans="1:10" x14ac:dyDescent="0.25">
      <c r="A1474">
        <v>37314</v>
      </c>
      <c r="B1474" t="s">
        <v>3215</v>
      </c>
      <c r="C1474" t="s">
        <v>3228</v>
      </c>
      <c r="D1474" t="s">
        <v>920</v>
      </c>
      <c r="E1474">
        <v>0</v>
      </c>
      <c r="F1474">
        <v>0</v>
      </c>
      <c r="G1474">
        <v>0</v>
      </c>
      <c r="H1474">
        <v>127</v>
      </c>
      <c r="J1474">
        <v>0</v>
      </c>
    </row>
    <row r="1475" spans="1:10" x14ac:dyDescent="0.25">
      <c r="A1475">
        <v>37385</v>
      </c>
      <c r="B1475" t="s">
        <v>3215</v>
      </c>
      <c r="C1475" t="s">
        <v>3228</v>
      </c>
      <c r="D1475" t="s">
        <v>962</v>
      </c>
      <c r="E1475">
        <v>0</v>
      </c>
      <c r="F1475">
        <v>0</v>
      </c>
      <c r="G1475">
        <v>0</v>
      </c>
      <c r="H1475">
        <v>0</v>
      </c>
      <c r="J1475">
        <v>0</v>
      </c>
    </row>
    <row r="1476" spans="1:10" x14ac:dyDescent="0.25">
      <c r="A1476">
        <v>37360</v>
      </c>
      <c r="B1476" t="s">
        <v>3215</v>
      </c>
      <c r="C1476" t="s">
        <v>3228</v>
      </c>
      <c r="D1476" t="s">
        <v>947</v>
      </c>
      <c r="E1476">
        <v>0</v>
      </c>
      <c r="F1476">
        <v>0</v>
      </c>
      <c r="G1476">
        <v>0</v>
      </c>
      <c r="H1476">
        <v>495</v>
      </c>
      <c r="J1476">
        <v>0</v>
      </c>
    </row>
    <row r="1477" spans="1:10" x14ac:dyDescent="0.25">
      <c r="A1477">
        <v>37383</v>
      </c>
      <c r="B1477" t="s">
        <v>3215</v>
      </c>
      <c r="C1477" t="s">
        <v>3228</v>
      </c>
      <c r="D1477" t="s">
        <v>961</v>
      </c>
      <c r="E1477">
        <v>0</v>
      </c>
      <c r="F1477">
        <v>0</v>
      </c>
      <c r="G1477">
        <v>0</v>
      </c>
      <c r="H1477">
        <v>127</v>
      </c>
      <c r="J1477">
        <v>0</v>
      </c>
    </row>
    <row r="1478" spans="1:10" x14ac:dyDescent="0.25">
      <c r="A1478">
        <v>37353</v>
      </c>
      <c r="B1478" t="s">
        <v>3215</v>
      </c>
      <c r="C1478" t="s">
        <v>3228</v>
      </c>
      <c r="D1478" t="s">
        <v>941</v>
      </c>
      <c r="E1478">
        <v>0</v>
      </c>
      <c r="F1478">
        <v>0</v>
      </c>
      <c r="G1478">
        <v>0</v>
      </c>
      <c r="H1478">
        <v>95</v>
      </c>
      <c r="J1478">
        <v>0</v>
      </c>
    </row>
    <row r="1479" spans="1:10" x14ac:dyDescent="0.25">
      <c r="A1479">
        <v>71115</v>
      </c>
      <c r="B1479" t="s">
        <v>3218</v>
      </c>
      <c r="C1479" t="s">
        <v>3218</v>
      </c>
      <c r="D1479" t="s">
        <v>1420</v>
      </c>
      <c r="E1479">
        <v>0</v>
      </c>
      <c r="F1479">
        <v>0</v>
      </c>
      <c r="G1479">
        <v>0</v>
      </c>
      <c r="H1479">
        <v>0</v>
      </c>
      <c r="J1479">
        <v>0</v>
      </c>
    </row>
    <row r="1480" spans="1:10" x14ac:dyDescent="0.25">
      <c r="A1480">
        <v>71251</v>
      </c>
      <c r="B1480" t="s">
        <v>3218</v>
      </c>
      <c r="C1480" t="s">
        <v>3218</v>
      </c>
      <c r="D1480" t="s">
        <v>3016</v>
      </c>
      <c r="E1480">
        <v>0</v>
      </c>
      <c r="F1480">
        <v>0</v>
      </c>
      <c r="G1480">
        <v>0</v>
      </c>
      <c r="H1480">
        <v>18</v>
      </c>
      <c r="J1480">
        <v>0</v>
      </c>
    </row>
    <row r="1481" spans="1:10" x14ac:dyDescent="0.25">
      <c r="A1481">
        <v>71354</v>
      </c>
      <c r="B1481" t="s">
        <v>3218</v>
      </c>
      <c r="C1481" t="s">
        <v>3218</v>
      </c>
      <c r="D1481" t="s">
        <v>1455</v>
      </c>
      <c r="E1481">
        <v>0</v>
      </c>
      <c r="F1481">
        <v>0</v>
      </c>
      <c r="G1481">
        <v>0</v>
      </c>
      <c r="H1481">
        <v>0</v>
      </c>
      <c r="I1481">
        <v>48</v>
      </c>
      <c r="J1481">
        <v>0</v>
      </c>
    </row>
    <row r="1482" spans="1:10" x14ac:dyDescent="0.25">
      <c r="A1482">
        <v>71386</v>
      </c>
      <c r="B1482" t="s">
        <v>3218</v>
      </c>
      <c r="C1482" t="s">
        <v>3218</v>
      </c>
      <c r="D1482" t="s">
        <v>1465</v>
      </c>
      <c r="E1482">
        <v>0</v>
      </c>
      <c r="F1482">
        <v>0</v>
      </c>
      <c r="G1482">
        <v>0</v>
      </c>
      <c r="H1482">
        <v>26</v>
      </c>
      <c r="I1482">
        <v>1</v>
      </c>
      <c r="J1482">
        <v>0</v>
      </c>
    </row>
    <row r="1483" spans="1:10" x14ac:dyDescent="0.25">
      <c r="A1483">
        <v>71341</v>
      </c>
      <c r="B1483" t="s">
        <v>3218</v>
      </c>
      <c r="C1483" t="s">
        <v>3218</v>
      </c>
      <c r="D1483" t="s">
        <v>1451</v>
      </c>
      <c r="E1483">
        <v>0</v>
      </c>
      <c r="F1483">
        <v>0</v>
      </c>
      <c r="G1483">
        <v>0</v>
      </c>
      <c r="H1483">
        <v>10</v>
      </c>
      <c r="I1483">
        <v>25</v>
      </c>
      <c r="J1483">
        <v>0</v>
      </c>
    </row>
    <row r="1484" spans="1:10" x14ac:dyDescent="0.25">
      <c r="A1484">
        <v>71357</v>
      </c>
      <c r="B1484" t="s">
        <v>3218</v>
      </c>
      <c r="C1484" t="s">
        <v>3218</v>
      </c>
      <c r="D1484" t="s">
        <v>1456</v>
      </c>
      <c r="E1484">
        <v>0</v>
      </c>
      <c r="F1484">
        <v>0</v>
      </c>
      <c r="G1484">
        <v>0</v>
      </c>
      <c r="H1484">
        <v>26</v>
      </c>
      <c r="I1484">
        <v>20</v>
      </c>
      <c r="J1484">
        <v>0</v>
      </c>
    </row>
    <row r="1485" spans="1:10" x14ac:dyDescent="0.25">
      <c r="A1485">
        <v>71314</v>
      </c>
      <c r="B1485" t="s">
        <v>3218</v>
      </c>
      <c r="C1485" t="s">
        <v>3218</v>
      </c>
      <c r="D1485" t="s">
        <v>1444</v>
      </c>
      <c r="E1485">
        <v>0</v>
      </c>
      <c r="F1485">
        <v>0</v>
      </c>
      <c r="G1485">
        <v>0</v>
      </c>
      <c r="H1485">
        <v>0</v>
      </c>
      <c r="I1485">
        <v>160</v>
      </c>
      <c r="J1485">
        <v>0</v>
      </c>
    </row>
    <row r="1486" spans="1:10" x14ac:dyDescent="0.25">
      <c r="A1486">
        <v>71384</v>
      </c>
      <c r="B1486" t="s">
        <v>3218</v>
      </c>
      <c r="C1486" t="s">
        <v>3218</v>
      </c>
      <c r="D1486" t="s">
        <v>1464</v>
      </c>
      <c r="E1486">
        <v>0</v>
      </c>
      <c r="F1486">
        <v>0</v>
      </c>
      <c r="G1486">
        <v>0</v>
      </c>
      <c r="H1486">
        <v>0</v>
      </c>
      <c r="J1486">
        <v>0</v>
      </c>
    </row>
    <row r="1487" spans="1:10" x14ac:dyDescent="0.25">
      <c r="A1487">
        <v>71241</v>
      </c>
      <c r="B1487" t="s">
        <v>3218</v>
      </c>
      <c r="C1487" t="s">
        <v>3218</v>
      </c>
      <c r="D1487" t="s">
        <v>3015</v>
      </c>
      <c r="E1487">
        <v>0</v>
      </c>
      <c r="F1487">
        <v>0</v>
      </c>
      <c r="G1487">
        <v>0</v>
      </c>
      <c r="H1487">
        <v>26</v>
      </c>
      <c r="J1487">
        <v>0</v>
      </c>
    </row>
    <row r="1488" spans="1:10" x14ac:dyDescent="0.25">
      <c r="A1488" t="s">
        <v>6</v>
      </c>
      <c r="B1488" t="s">
        <v>3218</v>
      </c>
      <c r="C1488" t="s">
        <v>2784</v>
      </c>
      <c r="D1488" t="s">
        <v>1564</v>
      </c>
      <c r="E1488">
        <v>0</v>
      </c>
      <c r="F1488">
        <v>0</v>
      </c>
      <c r="G1488">
        <v>0</v>
      </c>
      <c r="H1488">
        <v>0</v>
      </c>
      <c r="J1488">
        <v>0</v>
      </c>
    </row>
    <row r="1489" spans="1:10" x14ac:dyDescent="0.25">
      <c r="A1489">
        <v>26214</v>
      </c>
      <c r="B1489" t="s">
        <v>3212</v>
      </c>
      <c r="C1489" t="s">
        <v>3227</v>
      </c>
      <c r="D1489" t="s">
        <v>2868</v>
      </c>
      <c r="E1489">
        <v>0</v>
      </c>
      <c r="F1489">
        <v>0</v>
      </c>
      <c r="G1489">
        <v>0</v>
      </c>
      <c r="H1489">
        <v>70</v>
      </c>
      <c r="I1489">
        <v>9</v>
      </c>
      <c r="J1489">
        <v>0</v>
      </c>
    </row>
    <row r="1490" spans="1:10" x14ac:dyDescent="0.25">
      <c r="A1490">
        <v>26374</v>
      </c>
      <c r="B1490" t="s">
        <v>3212</v>
      </c>
      <c r="C1490" t="s">
        <v>3227</v>
      </c>
      <c r="D1490" t="s">
        <v>530</v>
      </c>
      <c r="E1490">
        <v>0</v>
      </c>
      <c r="F1490">
        <v>0</v>
      </c>
      <c r="G1490">
        <v>0</v>
      </c>
      <c r="H1490">
        <v>0</v>
      </c>
      <c r="I1490">
        <v>60</v>
      </c>
      <c r="J1490">
        <v>0</v>
      </c>
    </row>
    <row r="1491" spans="1:10" x14ac:dyDescent="0.25">
      <c r="A1491">
        <v>26392</v>
      </c>
      <c r="B1491" t="s">
        <v>3212</v>
      </c>
      <c r="C1491" t="s">
        <v>3227</v>
      </c>
      <c r="D1491" t="s">
        <v>536</v>
      </c>
      <c r="E1491">
        <v>0</v>
      </c>
      <c r="F1491">
        <v>0</v>
      </c>
      <c r="G1491">
        <v>0</v>
      </c>
      <c r="H1491">
        <v>84</v>
      </c>
      <c r="J1491">
        <v>0</v>
      </c>
    </row>
    <row r="1492" spans="1:10" x14ac:dyDescent="0.25">
      <c r="A1492">
        <v>26259</v>
      </c>
      <c r="B1492" t="s">
        <v>3212</v>
      </c>
      <c r="C1492" t="s">
        <v>3227</v>
      </c>
      <c r="D1492" t="s">
        <v>484</v>
      </c>
      <c r="E1492">
        <v>0</v>
      </c>
      <c r="F1492">
        <v>0</v>
      </c>
      <c r="G1492">
        <v>0</v>
      </c>
      <c r="H1492">
        <v>246</v>
      </c>
      <c r="I1492">
        <v>7</v>
      </c>
      <c r="J1492">
        <v>0</v>
      </c>
    </row>
    <row r="1493" spans="1:10" x14ac:dyDescent="0.25">
      <c r="A1493">
        <v>26297</v>
      </c>
      <c r="B1493" t="s">
        <v>3212</v>
      </c>
      <c r="C1493" t="s">
        <v>3227</v>
      </c>
      <c r="D1493" t="s">
        <v>508</v>
      </c>
      <c r="E1493">
        <v>0</v>
      </c>
      <c r="F1493">
        <v>0</v>
      </c>
      <c r="G1493">
        <v>0</v>
      </c>
      <c r="H1493">
        <v>99</v>
      </c>
      <c r="I1493">
        <v>22</v>
      </c>
      <c r="J1493">
        <v>0</v>
      </c>
    </row>
    <row r="1494" spans="1:10" x14ac:dyDescent="0.25">
      <c r="A1494">
        <v>26237</v>
      </c>
      <c r="B1494" t="s">
        <v>3212</v>
      </c>
      <c r="C1494" t="s">
        <v>3227</v>
      </c>
      <c r="D1494" t="s">
        <v>471</v>
      </c>
      <c r="E1494">
        <v>0</v>
      </c>
      <c r="F1494">
        <v>0</v>
      </c>
      <c r="G1494">
        <v>0</v>
      </c>
      <c r="H1494">
        <v>111</v>
      </c>
      <c r="I1494">
        <v>6</v>
      </c>
      <c r="J1494">
        <v>0</v>
      </c>
    </row>
    <row r="1495" spans="1:10" x14ac:dyDescent="0.25">
      <c r="A1495">
        <v>26283</v>
      </c>
      <c r="B1495" t="s">
        <v>3212</v>
      </c>
      <c r="C1495" t="s">
        <v>3227</v>
      </c>
      <c r="D1495" t="s">
        <v>498</v>
      </c>
      <c r="E1495">
        <v>0</v>
      </c>
      <c r="F1495">
        <v>0</v>
      </c>
      <c r="G1495">
        <v>0</v>
      </c>
      <c r="H1495">
        <v>41</v>
      </c>
      <c r="I1495">
        <v>13</v>
      </c>
      <c r="J1495">
        <v>0</v>
      </c>
    </row>
    <row r="1496" spans="1:10" x14ac:dyDescent="0.25">
      <c r="A1496">
        <v>26354</v>
      </c>
      <c r="B1496" t="s">
        <v>3212</v>
      </c>
      <c r="C1496" t="s">
        <v>3227</v>
      </c>
      <c r="D1496" t="s">
        <v>524</v>
      </c>
      <c r="E1496">
        <v>0</v>
      </c>
      <c r="F1496">
        <v>0</v>
      </c>
      <c r="G1496">
        <v>0</v>
      </c>
      <c r="H1496">
        <v>0</v>
      </c>
      <c r="I1496">
        <v>2</v>
      </c>
      <c r="J1496">
        <v>0</v>
      </c>
    </row>
    <row r="1497" spans="1:10" x14ac:dyDescent="0.25">
      <c r="A1497">
        <v>26001</v>
      </c>
      <c r="B1497" t="s">
        <v>3212</v>
      </c>
      <c r="C1497" t="s">
        <v>3227</v>
      </c>
      <c r="D1497" t="s">
        <v>1563</v>
      </c>
      <c r="E1497">
        <v>0</v>
      </c>
      <c r="F1497">
        <v>0</v>
      </c>
      <c r="G1497">
        <v>0</v>
      </c>
      <c r="H1497">
        <v>0</v>
      </c>
      <c r="J1497">
        <v>0</v>
      </c>
    </row>
    <row r="1498" spans="1:10" x14ac:dyDescent="0.25">
      <c r="A1498">
        <v>26002</v>
      </c>
      <c r="B1498" t="s">
        <v>3212</v>
      </c>
      <c r="C1498" t="s">
        <v>3227</v>
      </c>
      <c r="D1498" t="s">
        <v>1563</v>
      </c>
      <c r="E1498">
        <v>0</v>
      </c>
      <c r="F1498">
        <v>0</v>
      </c>
      <c r="G1498">
        <v>0</v>
      </c>
      <c r="H1498">
        <v>0</v>
      </c>
      <c r="J1498">
        <v>0</v>
      </c>
    </row>
    <row r="1499" spans="1:10" x14ac:dyDescent="0.25">
      <c r="A1499">
        <v>26003</v>
      </c>
      <c r="B1499" t="s">
        <v>3212</v>
      </c>
      <c r="C1499" t="s">
        <v>3227</v>
      </c>
      <c r="D1499" t="s">
        <v>1563</v>
      </c>
      <c r="E1499">
        <v>0</v>
      </c>
      <c r="F1499">
        <v>0</v>
      </c>
      <c r="G1499">
        <v>0</v>
      </c>
      <c r="H1499">
        <v>0</v>
      </c>
      <c r="J1499">
        <v>0</v>
      </c>
    </row>
    <row r="1500" spans="1:10" x14ac:dyDescent="0.25">
      <c r="A1500">
        <v>26004</v>
      </c>
      <c r="B1500" t="s">
        <v>3212</v>
      </c>
      <c r="C1500" t="s">
        <v>3227</v>
      </c>
      <c r="D1500" t="s">
        <v>1563</v>
      </c>
      <c r="E1500">
        <v>0</v>
      </c>
      <c r="F1500">
        <v>0</v>
      </c>
      <c r="G1500">
        <v>0</v>
      </c>
      <c r="H1500">
        <v>0</v>
      </c>
      <c r="J1500">
        <v>0</v>
      </c>
    </row>
    <row r="1501" spans="1:10" x14ac:dyDescent="0.25">
      <c r="A1501">
        <v>26005</v>
      </c>
      <c r="B1501" t="s">
        <v>3212</v>
      </c>
      <c r="C1501" t="s">
        <v>3227</v>
      </c>
      <c r="D1501" t="s">
        <v>1563</v>
      </c>
      <c r="E1501">
        <v>0</v>
      </c>
      <c r="F1501">
        <v>0</v>
      </c>
      <c r="G1501">
        <v>0</v>
      </c>
      <c r="H1501">
        <v>0</v>
      </c>
      <c r="J1501">
        <v>0</v>
      </c>
    </row>
    <row r="1502" spans="1:10" x14ac:dyDescent="0.25">
      <c r="A1502">
        <v>26006</v>
      </c>
      <c r="B1502" t="s">
        <v>3212</v>
      </c>
      <c r="C1502" t="s">
        <v>3227</v>
      </c>
      <c r="D1502" t="s">
        <v>1563</v>
      </c>
      <c r="E1502">
        <v>0</v>
      </c>
      <c r="F1502">
        <v>0</v>
      </c>
      <c r="G1502">
        <v>0</v>
      </c>
      <c r="H1502">
        <v>0</v>
      </c>
      <c r="J1502">
        <v>0</v>
      </c>
    </row>
    <row r="1503" spans="1:10" x14ac:dyDescent="0.25">
      <c r="A1503">
        <v>26007</v>
      </c>
      <c r="B1503" t="s">
        <v>3212</v>
      </c>
      <c r="C1503" t="s">
        <v>3227</v>
      </c>
      <c r="D1503" t="s">
        <v>1563</v>
      </c>
      <c r="E1503">
        <v>0</v>
      </c>
      <c r="F1503">
        <v>0</v>
      </c>
      <c r="G1503">
        <v>0</v>
      </c>
      <c r="H1503">
        <v>0</v>
      </c>
      <c r="J1503">
        <v>0</v>
      </c>
    </row>
    <row r="1504" spans="1:10" x14ac:dyDescent="0.25">
      <c r="A1504">
        <v>26009</v>
      </c>
      <c r="B1504" t="s">
        <v>3212</v>
      </c>
      <c r="C1504" t="s">
        <v>3227</v>
      </c>
      <c r="D1504" t="s">
        <v>1563</v>
      </c>
      <c r="E1504">
        <v>0</v>
      </c>
      <c r="F1504">
        <v>0</v>
      </c>
      <c r="G1504">
        <v>0</v>
      </c>
      <c r="H1504">
        <v>0</v>
      </c>
      <c r="J1504">
        <v>0</v>
      </c>
    </row>
    <row r="1505" spans="1:10" x14ac:dyDescent="0.25">
      <c r="A1505">
        <v>26223</v>
      </c>
      <c r="B1505" t="s">
        <v>3212</v>
      </c>
      <c r="C1505" t="s">
        <v>3227</v>
      </c>
      <c r="D1505" t="s">
        <v>462</v>
      </c>
      <c r="E1505">
        <v>0</v>
      </c>
      <c r="F1505">
        <v>0</v>
      </c>
      <c r="G1505">
        <v>0</v>
      </c>
      <c r="H1505">
        <v>13</v>
      </c>
      <c r="I1505">
        <v>3</v>
      </c>
      <c r="J1505">
        <v>0</v>
      </c>
    </row>
    <row r="1506" spans="1:10" x14ac:dyDescent="0.25">
      <c r="A1506">
        <v>26324</v>
      </c>
      <c r="B1506" t="s">
        <v>3212</v>
      </c>
      <c r="C1506" t="s">
        <v>3227</v>
      </c>
      <c r="D1506" t="s">
        <v>515</v>
      </c>
      <c r="E1506">
        <v>0</v>
      </c>
      <c r="F1506">
        <v>0</v>
      </c>
      <c r="G1506">
        <v>0</v>
      </c>
      <c r="H1506">
        <v>111</v>
      </c>
      <c r="I1506">
        <v>14</v>
      </c>
      <c r="J1506">
        <v>0</v>
      </c>
    </row>
    <row r="1507" spans="1:10" x14ac:dyDescent="0.25">
      <c r="A1507">
        <v>26390</v>
      </c>
      <c r="B1507" t="s">
        <v>3212</v>
      </c>
      <c r="C1507" t="s">
        <v>3227</v>
      </c>
      <c r="D1507" t="s">
        <v>535</v>
      </c>
      <c r="E1507">
        <v>0</v>
      </c>
      <c r="F1507">
        <v>0</v>
      </c>
      <c r="G1507">
        <v>0</v>
      </c>
      <c r="H1507">
        <v>0</v>
      </c>
      <c r="J1507">
        <v>0</v>
      </c>
    </row>
    <row r="1508" spans="1:10" x14ac:dyDescent="0.25">
      <c r="A1508">
        <v>26388</v>
      </c>
      <c r="B1508" t="s">
        <v>3212</v>
      </c>
      <c r="C1508" t="s">
        <v>3227</v>
      </c>
      <c r="D1508" t="s">
        <v>534</v>
      </c>
      <c r="E1508">
        <v>0</v>
      </c>
      <c r="F1508">
        <v>0</v>
      </c>
      <c r="G1508">
        <v>0</v>
      </c>
      <c r="H1508">
        <v>13</v>
      </c>
      <c r="I1508">
        <v>10</v>
      </c>
      <c r="J1508">
        <v>0</v>
      </c>
    </row>
    <row r="1509" spans="1:10" x14ac:dyDescent="0.25">
      <c r="A1509">
        <v>26327</v>
      </c>
      <c r="B1509" t="s">
        <v>3212</v>
      </c>
      <c r="C1509" t="s">
        <v>3227</v>
      </c>
      <c r="D1509" t="s">
        <v>2874</v>
      </c>
      <c r="E1509">
        <v>0</v>
      </c>
      <c r="F1509">
        <v>0</v>
      </c>
      <c r="G1509">
        <v>0</v>
      </c>
      <c r="H1509">
        <v>91</v>
      </c>
      <c r="I1509">
        <v>2</v>
      </c>
      <c r="J1509">
        <v>0</v>
      </c>
    </row>
    <row r="1510" spans="1:10" x14ac:dyDescent="0.25">
      <c r="A1510">
        <v>26274</v>
      </c>
      <c r="B1510" t="s">
        <v>3212</v>
      </c>
      <c r="C1510" t="s">
        <v>3227</v>
      </c>
      <c r="D1510" t="s">
        <v>2871</v>
      </c>
      <c r="E1510">
        <v>0</v>
      </c>
      <c r="F1510">
        <v>0</v>
      </c>
      <c r="G1510">
        <v>0</v>
      </c>
      <c r="H1510">
        <v>41</v>
      </c>
      <c r="I1510">
        <v>40</v>
      </c>
      <c r="J1510">
        <v>0</v>
      </c>
    </row>
    <row r="1511" spans="1:10" x14ac:dyDescent="0.25">
      <c r="A1511">
        <v>26236</v>
      </c>
      <c r="B1511" t="s">
        <v>3212</v>
      </c>
      <c r="C1511" t="s">
        <v>3227</v>
      </c>
      <c r="D1511" t="s">
        <v>470</v>
      </c>
      <c r="E1511">
        <v>0</v>
      </c>
      <c r="F1511">
        <v>0</v>
      </c>
      <c r="G1511">
        <v>0</v>
      </c>
      <c r="H1511">
        <v>99</v>
      </c>
      <c r="J1511">
        <v>0</v>
      </c>
    </row>
    <row r="1512" spans="1:10" x14ac:dyDescent="0.25">
      <c r="A1512">
        <v>26273</v>
      </c>
      <c r="B1512" t="s">
        <v>3212</v>
      </c>
      <c r="C1512" t="s">
        <v>3227</v>
      </c>
      <c r="D1512" t="s">
        <v>492</v>
      </c>
      <c r="E1512">
        <v>0</v>
      </c>
      <c r="F1512">
        <v>0</v>
      </c>
      <c r="G1512">
        <v>0</v>
      </c>
      <c r="H1512">
        <v>398</v>
      </c>
      <c r="I1512">
        <v>15</v>
      </c>
      <c r="J1512">
        <v>0</v>
      </c>
    </row>
    <row r="1513" spans="1:10" x14ac:dyDescent="0.25">
      <c r="A1513">
        <v>26249</v>
      </c>
      <c r="B1513" t="s">
        <v>3212</v>
      </c>
      <c r="C1513" t="s">
        <v>3227</v>
      </c>
      <c r="D1513" t="s">
        <v>478</v>
      </c>
      <c r="E1513">
        <v>0</v>
      </c>
      <c r="F1513">
        <v>0</v>
      </c>
      <c r="G1513">
        <v>0</v>
      </c>
      <c r="H1513">
        <v>266</v>
      </c>
      <c r="I1513">
        <v>10</v>
      </c>
      <c r="J1513">
        <v>0</v>
      </c>
    </row>
    <row r="1514" spans="1:10" x14ac:dyDescent="0.25">
      <c r="A1514">
        <v>26314</v>
      </c>
      <c r="B1514" t="s">
        <v>3212</v>
      </c>
      <c r="C1514" t="s">
        <v>3227</v>
      </c>
      <c r="D1514" t="s">
        <v>512</v>
      </c>
      <c r="E1514">
        <v>0</v>
      </c>
      <c r="F1514">
        <v>0</v>
      </c>
      <c r="G1514">
        <v>0</v>
      </c>
      <c r="H1514">
        <v>111</v>
      </c>
      <c r="J1514">
        <v>0</v>
      </c>
    </row>
    <row r="1515" spans="1:10" x14ac:dyDescent="0.25">
      <c r="A1515">
        <v>26213</v>
      </c>
      <c r="B1515" t="s">
        <v>3212</v>
      </c>
      <c r="C1515" t="s">
        <v>3227</v>
      </c>
      <c r="D1515" t="s">
        <v>454</v>
      </c>
      <c r="E1515">
        <v>0</v>
      </c>
      <c r="F1515">
        <v>0</v>
      </c>
      <c r="G1515">
        <v>0</v>
      </c>
      <c r="H1515">
        <v>0</v>
      </c>
      <c r="I1515">
        <v>70</v>
      </c>
      <c r="J1515">
        <v>0</v>
      </c>
    </row>
    <row r="1516" spans="1:10" x14ac:dyDescent="0.25">
      <c r="A1516">
        <v>26351</v>
      </c>
      <c r="B1516" t="s">
        <v>3212</v>
      </c>
      <c r="C1516" t="s">
        <v>3227</v>
      </c>
      <c r="D1516" t="s">
        <v>523</v>
      </c>
      <c r="E1516">
        <v>0</v>
      </c>
      <c r="F1516">
        <v>0</v>
      </c>
      <c r="G1516">
        <v>0</v>
      </c>
      <c r="H1516">
        <v>161</v>
      </c>
      <c r="J1516">
        <v>0</v>
      </c>
    </row>
    <row r="1517" spans="1:10" x14ac:dyDescent="0.25">
      <c r="A1517">
        <v>26261</v>
      </c>
      <c r="B1517" t="s">
        <v>3212</v>
      </c>
      <c r="C1517" t="s">
        <v>3227</v>
      </c>
      <c r="D1517" t="s">
        <v>485</v>
      </c>
      <c r="E1517">
        <v>0</v>
      </c>
      <c r="F1517">
        <v>0</v>
      </c>
      <c r="G1517">
        <v>0</v>
      </c>
      <c r="H1517">
        <v>111</v>
      </c>
      <c r="J1517">
        <v>0</v>
      </c>
    </row>
    <row r="1518" spans="1:10" x14ac:dyDescent="0.25">
      <c r="A1518">
        <v>26377</v>
      </c>
      <c r="B1518" t="s">
        <v>3212</v>
      </c>
      <c r="C1518" t="s">
        <v>3227</v>
      </c>
      <c r="D1518" t="s">
        <v>531</v>
      </c>
      <c r="E1518">
        <v>0</v>
      </c>
      <c r="F1518">
        <v>0</v>
      </c>
      <c r="G1518">
        <v>0</v>
      </c>
      <c r="H1518">
        <v>91</v>
      </c>
      <c r="I1518">
        <v>27</v>
      </c>
      <c r="J1518">
        <v>0</v>
      </c>
    </row>
    <row r="1519" spans="1:10" x14ac:dyDescent="0.25">
      <c r="A1519">
        <v>26263</v>
      </c>
      <c r="B1519" t="s">
        <v>3212</v>
      </c>
      <c r="C1519" t="s">
        <v>3227</v>
      </c>
      <c r="D1519" t="s">
        <v>486</v>
      </c>
      <c r="E1519">
        <v>0</v>
      </c>
      <c r="F1519">
        <v>0</v>
      </c>
      <c r="G1519">
        <v>0</v>
      </c>
      <c r="H1519">
        <v>133</v>
      </c>
      <c r="J1519">
        <v>0</v>
      </c>
    </row>
    <row r="1520" spans="1:10" x14ac:dyDescent="0.25">
      <c r="A1520">
        <v>26254</v>
      </c>
      <c r="B1520" t="s">
        <v>3212</v>
      </c>
      <c r="C1520" t="s">
        <v>3227</v>
      </c>
      <c r="D1520" t="s">
        <v>481</v>
      </c>
      <c r="E1520">
        <v>0</v>
      </c>
      <c r="F1520">
        <v>0</v>
      </c>
      <c r="G1520">
        <v>0</v>
      </c>
      <c r="H1520">
        <v>0</v>
      </c>
      <c r="J1520">
        <v>0</v>
      </c>
    </row>
    <row r="1521" spans="1:10" x14ac:dyDescent="0.25">
      <c r="A1521">
        <v>26220</v>
      </c>
      <c r="B1521" t="s">
        <v>3212</v>
      </c>
      <c r="C1521" t="s">
        <v>3227</v>
      </c>
      <c r="D1521" t="s">
        <v>460</v>
      </c>
      <c r="E1521">
        <v>0</v>
      </c>
      <c r="F1521">
        <v>0</v>
      </c>
      <c r="G1521">
        <v>0</v>
      </c>
      <c r="H1521">
        <v>50</v>
      </c>
      <c r="I1521">
        <v>16</v>
      </c>
      <c r="J1521">
        <v>0</v>
      </c>
    </row>
    <row r="1522" spans="1:10" x14ac:dyDescent="0.25">
      <c r="A1522">
        <v>26344</v>
      </c>
      <c r="B1522" t="s">
        <v>3212</v>
      </c>
      <c r="C1522" t="s">
        <v>3227</v>
      </c>
      <c r="D1522" t="s">
        <v>521</v>
      </c>
      <c r="E1522">
        <v>0</v>
      </c>
      <c r="F1522">
        <v>0</v>
      </c>
      <c r="G1522">
        <v>0</v>
      </c>
      <c r="H1522">
        <v>0</v>
      </c>
      <c r="I1522">
        <v>10</v>
      </c>
      <c r="J1522">
        <v>0</v>
      </c>
    </row>
    <row r="1523" spans="1:10" x14ac:dyDescent="0.25">
      <c r="A1523">
        <v>63174</v>
      </c>
      <c r="B1523" t="s">
        <v>3213</v>
      </c>
      <c r="C1523" t="s">
        <v>1342</v>
      </c>
      <c r="D1523" t="s">
        <v>3003</v>
      </c>
      <c r="E1523">
        <v>0</v>
      </c>
      <c r="F1523">
        <v>0</v>
      </c>
      <c r="G1523">
        <v>0</v>
      </c>
      <c r="H1523">
        <v>21</v>
      </c>
      <c r="J1523">
        <v>0</v>
      </c>
    </row>
    <row r="1524" spans="1:10" x14ac:dyDescent="0.25">
      <c r="A1524">
        <v>63385</v>
      </c>
      <c r="B1524" t="s">
        <v>3213</v>
      </c>
      <c r="C1524" t="s">
        <v>1342</v>
      </c>
      <c r="D1524" t="s">
        <v>1417</v>
      </c>
      <c r="E1524">
        <v>0</v>
      </c>
      <c r="F1524">
        <v>0</v>
      </c>
      <c r="G1524">
        <v>0</v>
      </c>
      <c r="H1524">
        <v>103</v>
      </c>
      <c r="J1524">
        <v>0</v>
      </c>
    </row>
    <row r="1525" spans="1:10" x14ac:dyDescent="0.25">
      <c r="A1525">
        <v>63347</v>
      </c>
      <c r="B1525" t="s">
        <v>3213</v>
      </c>
      <c r="C1525" t="s">
        <v>1342</v>
      </c>
      <c r="D1525" t="s">
        <v>1405</v>
      </c>
      <c r="E1525">
        <v>0</v>
      </c>
      <c r="F1525">
        <v>0</v>
      </c>
      <c r="G1525">
        <v>0</v>
      </c>
      <c r="H1525">
        <v>0</v>
      </c>
      <c r="J1525">
        <v>0</v>
      </c>
    </row>
    <row r="1526" spans="1:10" x14ac:dyDescent="0.25">
      <c r="A1526">
        <v>63001</v>
      </c>
      <c r="B1526" t="s">
        <v>3213</v>
      </c>
      <c r="C1526" t="s">
        <v>1342</v>
      </c>
      <c r="D1526" t="s">
        <v>1563</v>
      </c>
      <c r="E1526">
        <v>0</v>
      </c>
      <c r="F1526">
        <v>0</v>
      </c>
      <c r="G1526">
        <v>0</v>
      </c>
      <c r="H1526">
        <v>0</v>
      </c>
      <c r="J1526">
        <v>0</v>
      </c>
    </row>
    <row r="1527" spans="1:10" x14ac:dyDescent="0.25">
      <c r="A1527">
        <v>63002</v>
      </c>
      <c r="B1527" t="s">
        <v>3213</v>
      </c>
      <c r="C1527" t="s">
        <v>1342</v>
      </c>
      <c r="D1527" t="s">
        <v>1563</v>
      </c>
      <c r="E1527">
        <v>0</v>
      </c>
      <c r="F1527">
        <v>0</v>
      </c>
      <c r="G1527">
        <v>0</v>
      </c>
      <c r="H1527">
        <v>0</v>
      </c>
      <c r="J1527">
        <v>0</v>
      </c>
    </row>
    <row r="1528" spans="1:10" x14ac:dyDescent="0.25">
      <c r="A1528">
        <v>63003</v>
      </c>
      <c r="B1528" t="s">
        <v>3213</v>
      </c>
      <c r="C1528" t="s">
        <v>1342</v>
      </c>
      <c r="D1528" t="s">
        <v>1563</v>
      </c>
      <c r="E1528">
        <v>0</v>
      </c>
      <c r="F1528">
        <v>0</v>
      </c>
      <c r="G1528">
        <v>0</v>
      </c>
      <c r="H1528">
        <v>0</v>
      </c>
      <c r="J1528">
        <v>0</v>
      </c>
    </row>
    <row r="1529" spans="1:10" x14ac:dyDescent="0.25">
      <c r="A1529">
        <v>63257</v>
      </c>
      <c r="B1529" t="s">
        <v>3213</v>
      </c>
      <c r="C1529" t="s">
        <v>1342</v>
      </c>
      <c r="D1529" t="s">
        <v>1382</v>
      </c>
      <c r="E1529">
        <v>0</v>
      </c>
      <c r="F1529">
        <v>0</v>
      </c>
      <c r="G1529">
        <v>0</v>
      </c>
      <c r="H1529">
        <v>16</v>
      </c>
      <c r="J1529">
        <v>0</v>
      </c>
    </row>
    <row r="1530" spans="1:10" x14ac:dyDescent="0.25">
      <c r="A1530">
        <v>63284</v>
      </c>
      <c r="B1530" t="s">
        <v>3213</v>
      </c>
      <c r="C1530" t="s">
        <v>1342</v>
      </c>
      <c r="D1530" t="s">
        <v>1390</v>
      </c>
      <c r="E1530">
        <v>0</v>
      </c>
      <c r="F1530">
        <v>0</v>
      </c>
      <c r="G1530">
        <v>0</v>
      </c>
      <c r="H1530">
        <v>21</v>
      </c>
      <c r="J1530">
        <v>0</v>
      </c>
    </row>
    <row r="1531" spans="1:10" x14ac:dyDescent="0.25">
      <c r="A1531">
        <v>63379</v>
      </c>
      <c r="B1531" t="s">
        <v>3213</v>
      </c>
      <c r="C1531" t="s">
        <v>1342</v>
      </c>
      <c r="D1531" t="s">
        <v>3014</v>
      </c>
      <c r="E1531">
        <v>0</v>
      </c>
      <c r="F1531">
        <v>0</v>
      </c>
      <c r="G1531">
        <v>0</v>
      </c>
      <c r="H1531">
        <v>27</v>
      </c>
      <c r="J1531">
        <v>0</v>
      </c>
    </row>
    <row r="1532" spans="1:10" x14ac:dyDescent="0.25">
      <c r="A1532">
        <v>63241</v>
      </c>
      <c r="B1532" t="s">
        <v>3213</v>
      </c>
      <c r="C1532" t="s">
        <v>1342</v>
      </c>
      <c r="D1532" t="s">
        <v>3006</v>
      </c>
      <c r="E1532">
        <v>0</v>
      </c>
      <c r="F1532">
        <v>0</v>
      </c>
      <c r="G1532">
        <v>0</v>
      </c>
      <c r="H1532">
        <v>286</v>
      </c>
      <c r="I1532">
        <v>4</v>
      </c>
      <c r="J1532">
        <v>0</v>
      </c>
    </row>
    <row r="1533" spans="1:10" x14ac:dyDescent="0.25">
      <c r="A1533">
        <v>63137</v>
      </c>
      <c r="B1533" t="s">
        <v>3213</v>
      </c>
      <c r="C1533" t="s">
        <v>1342</v>
      </c>
      <c r="D1533" t="s">
        <v>1350</v>
      </c>
      <c r="E1533">
        <v>0</v>
      </c>
      <c r="F1533">
        <v>0</v>
      </c>
      <c r="G1533">
        <v>0</v>
      </c>
      <c r="H1533">
        <v>156</v>
      </c>
      <c r="I1533">
        <v>5</v>
      </c>
      <c r="J1533">
        <v>0</v>
      </c>
    </row>
    <row r="1534" spans="1:10" x14ac:dyDescent="0.25">
      <c r="A1534">
        <v>63281</v>
      </c>
      <c r="B1534" t="s">
        <v>3213</v>
      </c>
      <c r="C1534" t="s">
        <v>1342</v>
      </c>
      <c r="D1534" t="s">
        <v>1389</v>
      </c>
      <c r="E1534">
        <v>0</v>
      </c>
      <c r="F1534">
        <v>0</v>
      </c>
      <c r="G1534">
        <v>0</v>
      </c>
      <c r="H1534">
        <v>232</v>
      </c>
      <c r="J1534">
        <v>0</v>
      </c>
    </row>
    <row r="1535" spans="1:10" x14ac:dyDescent="0.25">
      <c r="A1535">
        <v>63164</v>
      </c>
      <c r="B1535" t="s">
        <v>3213</v>
      </c>
      <c r="C1535" t="s">
        <v>1342</v>
      </c>
      <c r="D1535" t="s">
        <v>1358</v>
      </c>
      <c r="E1535">
        <v>0</v>
      </c>
      <c r="F1535">
        <v>0</v>
      </c>
      <c r="G1535">
        <v>0</v>
      </c>
      <c r="H1535">
        <v>4</v>
      </c>
      <c r="J1535">
        <v>0</v>
      </c>
    </row>
    <row r="1536" spans="1:10" x14ac:dyDescent="0.25">
      <c r="A1536">
        <v>63157</v>
      </c>
      <c r="B1536" t="s">
        <v>3213</v>
      </c>
      <c r="C1536" t="s">
        <v>1342</v>
      </c>
      <c r="D1536" t="s">
        <v>3001</v>
      </c>
      <c r="E1536">
        <v>0</v>
      </c>
      <c r="F1536">
        <v>0</v>
      </c>
      <c r="G1536">
        <v>0</v>
      </c>
      <c r="H1536">
        <v>163</v>
      </c>
      <c r="I1536">
        <v>3</v>
      </c>
      <c r="J1536">
        <v>0</v>
      </c>
    </row>
    <row r="1537" spans="1:10" x14ac:dyDescent="0.25">
      <c r="A1537">
        <v>63371</v>
      </c>
      <c r="B1537" t="s">
        <v>3213</v>
      </c>
      <c r="C1537" t="s">
        <v>1342</v>
      </c>
      <c r="D1537" t="s">
        <v>3013</v>
      </c>
      <c r="E1537">
        <v>0</v>
      </c>
      <c r="F1537">
        <v>0</v>
      </c>
      <c r="G1537">
        <v>0</v>
      </c>
      <c r="H1537">
        <v>16</v>
      </c>
      <c r="J1537">
        <v>0</v>
      </c>
    </row>
    <row r="1538" spans="1:10" x14ac:dyDescent="0.25">
      <c r="A1538">
        <v>63323</v>
      </c>
      <c r="B1538" t="s">
        <v>3213</v>
      </c>
      <c r="C1538" t="s">
        <v>1342</v>
      </c>
      <c r="D1538" t="s">
        <v>1399</v>
      </c>
      <c r="E1538">
        <v>0</v>
      </c>
      <c r="F1538">
        <v>0</v>
      </c>
      <c r="G1538">
        <v>0</v>
      </c>
      <c r="H1538">
        <v>1</v>
      </c>
      <c r="J1538">
        <v>0</v>
      </c>
    </row>
    <row r="1539" spans="1:10" x14ac:dyDescent="0.25">
      <c r="A1539">
        <v>63367</v>
      </c>
      <c r="B1539" t="s">
        <v>3213</v>
      </c>
      <c r="C1539" t="s">
        <v>1342</v>
      </c>
      <c r="D1539" t="s">
        <v>1411</v>
      </c>
      <c r="E1539">
        <v>0</v>
      </c>
      <c r="F1539">
        <v>0</v>
      </c>
      <c r="G1539">
        <v>0</v>
      </c>
      <c r="H1539">
        <v>0</v>
      </c>
      <c r="J1539">
        <v>0</v>
      </c>
    </row>
    <row r="1540" spans="1:10" x14ac:dyDescent="0.25">
      <c r="A1540">
        <v>63297</v>
      </c>
      <c r="B1540" t="s">
        <v>3213</v>
      </c>
      <c r="C1540" t="s">
        <v>1342</v>
      </c>
      <c r="D1540" t="s">
        <v>1394</v>
      </c>
      <c r="E1540">
        <v>0</v>
      </c>
      <c r="F1540">
        <v>0</v>
      </c>
      <c r="G1540">
        <v>0</v>
      </c>
      <c r="H1540">
        <v>323</v>
      </c>
      <c r="I1540">
        <v>4</v>
      </c>
      <c r="J1540">
        <v>0</v>
      </c>
    </row>
    <row r="1541" spans="1:10" x14ac:dyDescent="0.25">
      <c r="A1541">
        <v>63194</v>
      </c>
      <c r="B1541" t="s">
        <v>3213</v>
      </c>
      <c r="C1541" t="s">
        <v>1342</v>
      </c>
      <c r="D1541" t="s">
        <v>1367</v>
      </c>
      <c r="E1541">
        <v>0</v>
      </c>
      <c r="F1541">
        <v>0</v>
      </c>
      <c r="G1541">
        <v>0</v>
      </c>
      <c r="H1541">
        <v>0</v>
      </c>
      <c r="I1541">
        <v>10</v>
      </c>
      <c r="J1541">
        <v>0</v>
      </c>
    </row>
    <row r="1542" spans="1:10" x14ac:dyDescent="0.25">
      <c r="A1542">
        <v>63348</v>
      </c>
      <c r="B1542" t="s">
        <v>3213</v>
      </c>
      <c r="C1542" t="s">
        <v>1342</v>
      </c>
      <c r="D1542" t="s">
        <v>3008</v>
      </c>
      <c r="E1542">
        <v>0</v>
      </c>
      <c r="F1542">
        <v>0</v>
      </c>
      <c r="G1542">
        <v>0</v>
      </c>
      <c r="H1542">
        <v>0</v>
      </c>
      <c r="J1542">
        <v>0</v>
      </c>
    </row>
    <row r="1543" spans="1:10" x14ac:dyDescent="0.25">
      <c r="A1543">
        <v>63339</v>
      </c>
      <c r="B1543" t="s">
        <v>3213</v>
      </c>
      <c r="C1543" t="s">
        <v>1342</v>
      </c>
      <c r="D1543" t="s">
        <v>1403</v>
      </c>
      <c r="E1543">
        <v>0</v>
      </c>
      <c r="F1543">
        <v>0</v>
      </c>
      <c r="G1543">
        <v>0</v>
      </c>
      <c r="H1543">
        <v>0</v>
      </c>
      <c r="J1543">
        <v>0</v>
      </c>
    </row>
    <row r="1544" spans="1:10" x14ac:dyDescent="0.25">
      <c r="A1544">
        <v>63383</v>
      </c>
      <c r="B1544" t="s">
        <v>3213</v>
      </c>
      <c r="C1544" t="s">
        <v>1342</v>
      </c>
      <c r="D1544" t="s">
        <v>1416</v>
      </c>
      <c r="E1544">
        <v>0</v>
      </c>
      <c r="F1544">
        <v>0</v>
      </c>
      <c r="G1544">
        <v>0</v>
      </c>
      <c r="H1544">
        <v>0</v>
      </c>
      <c r="J1544">
        <v>0</v>
      </c>
    </row>
    <row r="1545" spans="1:10" x14ac:dyDescent="0.25">
      <c r="A1545">
        <v>63343</v>
      </c>
      <c r="B1545" t="s">
        <v>3213</v>
      </c>
      <c r="C1545" t="s">
        <v>1342</v>
      </c>
      <c r="D1545" t="s">
        <v>1404</v>
      </c>
      <c r="E1545">
        <v>0</v>
      </c>
      <c r="F1545">
        <v>0</v>
      </c>
      <c r="G1545">
        <v>0</v>
      </c>
      <c r="H1545">
        <v>0</v>
      </c>
      <c r="J1545">
        <v>0</v>
      </c>
    </row>
    <row r="1546" spans="1:10" x14ac:dyDescent="0.25">
      <c r="A1546">
        <v>63363</v>
      </c>
      <c r="B1546" t="s">
        <v>3213</v>
      </c>
      <c r="C1546" t="s">
        <v>1342</v>
      </c>
      <c r="D1546" t="s">
        <v>3012</v>
      </c>
      <c r="E1546">
        <v>0</v>
      </c>
      <c r="F1546">
        <v>0</v>
      </c>
      <c r="G1546">
        <v>0</v>
      </c>
      <c r="H1546">
        <v>1</v>
      </c>
      <c r="J1546">
        <v>0</v>
      </c>
    </row>
    <row r="1547" spans="1:10" x14ac:dyDescent="0.25">
      <c r="A1547">
        <v>63117</v>
      </c>
      <c r="B1547" t="s">
        <v>3213</v>
      </c>
      <c r="C1547" t="s">
        <v>1342</v>
      </c>
      <c r="D1547" t="s">
        <v>1344</v>
      </c>
      <c r="E1547">
        <v>0</v>
      </c>
      <c r="F1547">
        <v>0</v>
      </c>
      <c r="G1547">
        <v>0</v>
      </c>
      <c r="H1547">
        <v>4</v>
      </c>
      <c r="J1547">
        <v>0</v>
      </c>
    </row>
    <row r="1548" spans="1:10" x14ac:dyDescent="0.25">
      <c r="A1548">
        <v>63291</v>
      </c>
      <c r="B1548" t="s">
        <v>3213</v>
      </c>
      <c r="C1548" t="s">
        <v>1342</v>
      </c>
      <c r="D1548" t="s">
        <v>3007</v>
      </c>
      <c r="E1548">
        <v>0</v>
      </c>
      <c r="F1548">
        <v>0</v>
      </c>
      <c r="G1548">
        <v>0</v>
      </c>
      <c r="H1548">
        <v>65</v>
      </c>
      <c r="J1548">
        <v>0</v>
      </c>
    </row>
    <row r="1549" spans="1:10" x14ac:dyDescent="0.25">
      <c r="A1549">
        <v>63154</v>
      </c>
      <c r="B1549" t="s">
        <v>3213</v>
      </c>
      <c r="C1549" t="s">
        <v>1342</v>
      </c>
      <c r="D1549" t="s">
        <v>1355</v>
      </c>
      <c r="E1549">
        <v>0</v>
      </c>
      <c r="F1549">
        <v>0</v>
      </c>
      <c r="G1549">
        <v>0</v>
      </c>
      <c r="H1549">
        <v>4</v>
      </c>
      <c r="J1549">
        <v>0</v>
      </c>
    </row>
    <row r="1550" spans="1:10" x14ac:dyDescent="0.25">
      <c r="A1550">
        <v>63271</v>
      </c>
      <c r="B1550" t="s">
        <v>3213</v>
      </c>
      <c r="C1550" t="s">
        <v>1342</v>
      </c>
      <c r="D1550" t="s">
        <v>1386</v>
      </c>
      <c r="E1550">
        <v>0</v>
      </c>
      <c r="F1550">
        <v>0</v>
      </c>
      <c r="G1550">
        <v>0</v>
      </c>
      <c r="H1550">
        <v>395</v>
      </c>
      <c r="J1550">
        <v>0</v>
      </c>
    </row>
    <row r="1551" spans="1:10" x14ac:dyDescent="0.25">
      <c r="A1551">
        <v>63298</v>
      </c>
      <c r="B1551" t="s">
        <v>3213</v>
      </c>
      <c r="C1551" t="s">
        <v>1342</v>
      </c>
      <c r="D1551" t="s">
        <v>1395</v>
      </c>
      <c r="E1551">
        <v>0</v>
      </c>
      <c r="F1551">
        <v>0</v>
      </c>
      <c r="G1551">
        <v>0</v>
      </c>
      <c r="H1551">
        <v>0</v>
      </c>
      <c r="J1551">
        <v>0</v>
      </c>
    </row>
    <row r="1552" spans="1:10" x14ac:dyDescent="0.25">
      <c r="A1552">
        <v>63187</v>
      </c>
      <c r="B1552" t="s">
        <v>3213</v>
      </c>
      <c r="C1552" t="s">
        <v>1342</v>
      </c>
      <c r="D1552" t="s">
        <v>1365</v>
      </c>
      <c r="E1552">
        <v>0</v>
      </c>
      <c r="F1552">
        <v>0</v>
      </c>
      <c r="G1552">
        <v>0</v>
      </c>
      <c r="H1552">
        <v>65</v>
      </c>
      <c r="I1552">
        <v>2</v>
      </c>
      <c r="J1552">
        <v>0</v>
      </c>
    </row>
    <row r="1553" spans="1:10" x14ac:dyDescent="0.25">
      <c r="A1553">
        <v>25479</v>
      </c>
      <c r="B1553" t="s">
        <v>3212</v>
      </c>
      <c r="C1553" t="s">
        <v>3229</v>
      </c>
      <c r="D1553" t="s">
        <v>434</v>
      </c>
      <c r="E1553">
        <v>0</v>
      </c>
      <c r="F1553">
        <v>0</v>
      </c>
      <c r="G1553">
        <v>0</v>
      </c>
      <c r="H1553">
        <v>241</v>
      </c>
      <c r="I1553">
        <v>1</v>
      </c>
      <c r="J1553">
        <v>0</v>
      </c>
    </row>
    <row r="1554" spans="1:10" x14ac:dyDescent="0.25">
      <c r="A1554">
        <v>25001</v>
      </c>
      <c r="B1554" t="s">
        <v>3212</v>
      </c>
      <c r="C1554" t="s">
        <v>3229</v>
      </c>
      <c r="D1554" t="s">
        <v>1563</v>
      </c>
      <c r="E1554">
        <v>0</v>
      </c>
      <c r="F1554">
        <v>0</v>
      </c>
      <c r="G1554">
        <v>0</v>
      </c>
      <c r="H1554">
        <v>0</v>
      </c>
      <c r="J1554">
        <v>0</v>
      </c>
    </row>
    <row r="1555" spans="1:10" x14ac:dyDescent="0.25">
      <c r="A1555">
        <v>25002</v>
      </c>
      <c r="B1555" t="s">
        <v>3212</v>
      </c>
      <c r="C1555" t="s">
        <v>3229</v>
      </c>
      <c r="D1555" t="s">
        <v>1563</v>
      </c>
      <c r="E1555">
        <v>0</v>
      </c>
      <c r="F1555">
        <v>0</v>
      </c>
      <c r="G1555">
        <v>0</v>
      </c>
      <c r="H1555">
        <v>0</v>
      </c>
      <c r="J1555">
        <v>0</v>
      </c>
    </row>
    <row r="1556" spans="1:10" x14ac:dyDescent="0.25">
      <c r="A1556">
        <v>25003</v>
      </c>
      <c r="B1556" t="s">
        <v>3212</v>
      </c>
      <c r="C1556" t="s">
        <v>3229</v>
      </c>
      <c r="D1556" t="s">
        <v>1563</v>
      </c>
      <c r="E1556">
        <v>0</v>
      </c>
      <c r="F1556">
        <v>0</v>
      </c>
      <c r="G1556">
        <v>0</v>
      </c>
      <c r="H1556">
        <v>0</v>
      </c>
      <c r="J1556">
        <v>0</v>
      </c>
    </row>
    <row r="1557" spans="1:10" x14ac:dyDescent="0.25">
      <c r="A1557">
        <v>26008</v>
      </c>
      <c r="B1557" t="s">
        <v>3212</v>
      </c>
      <c r="C1557" t="s">
        <v>3229</v>
      </c>
      <c r="D1557" t="s">
        <v>1563</v>
      </c>
      <c r="E1557">
        <v>0</v>
      </c>
      <c r="F1557">
        <v>0</v>
      </c>
      <c r="G1557">
        <v>0</v>
      </c>
      <c r="H1557">
        <v>0</v>
      </c>
      <c r="J1557">
        <v>0</v>
      </c>
    </row>
    <row r="1558" spans="1:10" x14ac:dyDescent="0.25">
      <c r="A1558">
        <v>25335</v>
      </c>
      <c r="B1558" t="s">
        <v>3212</v>
      </c>
      <c r="C1558" t="s">
        <v>3229</v>
      </c>
      <c r="D1558" t="s">
        <v>395</v>
      </c>
      <c r="E1558">
        <v>0</v>
      </c>
      <c r="F1558">
        <v>0</v>
      </c>
      <c r="G1558">
        <v>0</v>
      </c>
      <c r="H1558">
        <v>0</v>
      </c>
      <c r="J1558">
        <v>0</v>
      </c>
    </row>
    <row r="1559" spans="1:10" x14ac:dyDescent="0.25">
      <c r="A1559">
        <v>25391</v>
      </c>
      <c r="B1559" t="s">
        <v>3212</v>
      </c>
      <c r="C1559" t="s">
        <v>3229</v>
      </c>
      <c r="D1559" t="s">
        <v>2863</v>
      </c>
      <c r="E1559">
        <v>0</v>
      </c>
      <c r="F1559">
        <v>0</v>
      </c>
      <c r="G1559">
        <v>0</v>
      </c>
      <c r="H1559">
        <v>71</v>
      </c>
      <c r="J1559">
        <v>0</v>
      </c>
    </row>
    <row r="1560" spans="1:10" x14ac:dyDescent="0.25">
      <c r="A1560">
        <v>25359</v>
      </c>
      <c r="B1560" t="s">
        <v>3212</v>
      </c>
      <c r="C1560" t="s">
        <v>3229</v>
      </c>
      <c r="D1560" t="s">
        <v>407</v>
      </c>
      <c r="E1560">
        <v>0</v>
      </c>
      <c r="F1560">
        <v>0</v>
      </c>
      <c r="G1560">
        <v>0</v>
      </c>
      <c r="H1560">
        <v>36</v>
      </c>
      <c r="I1560">
        <v>14</v>
      </c>
      <c r="J1560">
        <v>0</v>
      </c>
    </row>
    <row r="1561" spans="1:10" x14ac:dyDescent="0.25">
      <c r="A1561">
        <v>25447</v>
      </c>
      <c r="B1561" t="s">
        <v>3212</v>
      </c>
      <c r="C1561" t="s">
        <v>3229</v>
      </c>
      <c r="D1561" t="s">
        <v>426</v>
      </c>
      <c r="E1561">
        <v>0</v>
      </c>
      <c r="F1561">
        <v>0</v>
      </c>
      <c r="G1561">
        <v>0</v>
      </c>
      <c r="H1561">
        <v>0</v>
      </c>
      <c r="I1561">
        <v>25</v>
      </c>
      <c r="J1561">
        <v>0</v>
      </c>
    </row>
    <row r="1562" spans="1:10" x14ac:dyDescent="0.25">
      <c r="A1562">
        <v>25419</v>
      </c>
      <c r="B1562" t="s">
        <v>3212</v>
      </c>
      <c r="C1562" t="s">
        <v>3229</v>
      </c>
      <c r="D1562" t="s">
        <v>419</v>
      </c>
      <c r="E1562">
        <v>0</v>
      </c>
      <c r="F1562">
        <v>0</v>
      </c>
      <c r="G1562">
        <v>0</v>
      </c>
      <c r="H1562">
        <v>184</v>
      </c>
      <c r="I1562">
        <v>14</v>
      </c>
      <c r="J1562">
        <v>0</v>
      </c>
    </row>
    <row r="1563" spans="1:10" x14ac:dyDescent="0.25">
      <c r="A1563">
        <v>25488</v>
      </c>
      <c r="B1563" t="s">
        <v>3212</v>
      </c>
      <c r="C1563" t="s">
        <v>3229</v>
      </c>
      <c r="D1563" t="s">
        <v>437</v>
      </c>
      <c r="E1563">
        <v>0</v>
      </c>
      <c r="F1563">
        <v>0</v>
      </c>
      <c r="G1563">
        <v>0</v>
      </c>
      <c r="H1563">
        <v>0</v>
      </c>
      <c r="J1563">
        <v>0</v>
      </c>
    </row>
    <row r="1564" spans="1:10" x14ac:dyDescent="0.25">
      <c r="A1564">
        <v>25467</v>
      </c>
      <c r="B1564" t="s">
        <v>3212</v>
      </c>
      <c r="C1564" t="s">
        <v>3229</v>
      </c>
      <c r="D1564" t="s">
        <v>431</v>
      </c>
      <c r="E1564">
        <v>0</v>
      </c>
      <c r="F1564">
        <v>0</v>
      </c>
      <c r="G1564">
        <v>0</v>
      </c>
      <c r="H1564">
        <v>0</v>
      </c>
      <c r="I1564">
        <v>2</v>
      </c>
      <c r="J1564">
        <v>0</v>
      </c>
    </row>
    <row r="1565" spans="1:10" x14ac:dyDescent="0.25">
      <c r="A1565">
        <v>25341</v>
      </c>
      <c r="B1565" t="s">
        <v>3212</v>
      </c>
      <c r="C1565" t="s">
        <v>3229</v>
      </c>
      <c r="D1565" t="s">
        <v>398</v>
      </c>
      <c r="E1565">
        <v>0</v>
      </c>
      <c r="F1565">
        <v>0</v>
      </c>
      <c r="G1565">
        <v>0</v>
      </c>
      <c r="H1565">
        <v>730</v>
      </c>
      <c r="I1565">
        <v>13</v>
      </c>
      <c r="J1565">
        <v>0</v>
      </c>
    </row>
    <row r="1566" spans="1:10" x14ac:dyDescent="0.25">
      <c r="A1566">
        <v>25141</v>
      </c>
      <c r="B1566" t="s">
        <v>3212</v>
      </c>
      <c r="C1566" t="s">
        <v>3229</v>
      </c>
      <c r="D1566" t="s">
        <v>366</v>
      </c>
      <c r="E1566">
        <v>0</v>
      </c>
      <c r="F1566">
        <v>0</v>
      </c>
      <c r="G1566">
        <v>0</v>
      </c>
      <c r="H1566">
        <v>1374</v>
      </c>
      <c r="I1566">
        <v>800</v>
      </c>
      <c r="J1566">
        <v>0</v>
      </c>
    </row>
    <row r="1567" spans="1:10" x14ac:dyDescent="0.25">
      <c r="A1567" t="s">
        <v>7</v>
      </c>
      <c r="B1567" t="s">
        <v>3218</v>
      </c>
      <c r="C1567" t="s">
        <v>1508</v>
      </c>
      <c r="D1567" t="s">
        <v>1563</v>
      </c>
      <c r="E1567">
        <v>0</v>
      </c>
      <c r="F1567">
        <v>0</v>
      </c>
      <c r="G1567">
        <v>0</v>
      </c>
      <c r="H1567">
        <v>0</v>
      </c>
      <c r="J1567">
        <v>0</v>
      </c>
    </row>
    <row r="1568" spans="1:10" x14ac:dyDescent="0.25">
      <c r="A1568">
        <v>73183</v>
      </c>
      <c r="B1568" t="s">
        <v>3218</v>
      </c>
      <c r="C1568" t="s">
        <v>1508</v>
      </c>
      <c r="D1568" t="s">
        <v>1520</v>
      </c>
      <c r="E1568">
        <v>0</v>
      </c>
      <c r="F1568">
        <v>0</v>
      </c>
      <c r="G1568">
        <v>0</v>
      </c>
      <c r="H1568">
        <v>33</v>
      </c>
      <c r="J1568">
        <v>0</v>
      </c>
    </row>
    <row r="1569" spans="1:10" x14ac:dyDescent="0.25">
      <c r="A1569">
        <v>73143</v>
      </c>
      <c r="B1569" t="s">
        <v>3218</v>
      </c>
      <c r="C1569" t="s">
        <v>1508</v>
      </c>
      <c r="D1569" t="s">
        <v>1513</v>
      </c>
      <c r="E1569">
        <v>0</v>
      </c>
      <c r="F1569">
        <v>0</v>
      </c>
      <c r="G1569">
        <v>0</v>
      </c>
      <c r="H1569">
        <v>0</v>
      </c>
      <c r="J1569">
        <v>0</v>
      </c>
    </row>
    <row r="1570" spans="1:10" x14ac:dyDescent="0.25">
      <c r="A1570">
        <v>73248</v>
      </c>
      <c r="B1570" t="s">
        <v>3218</v>
      </c>
      <c r="C1570" t="s">
        <v>1508</v>
      </c>
      <c r="D1570" t="s">
        <v>1530</v>
      </c>
      <c r="E1570">
        <v>0</v>
      </c>
      <c r="F1570">
        <v>0</v>
      </c>
      <c r="G1570">
        <v>0</v>
      </c>
      <c r="H1570">
        <v>325</v>
      </c>
      <c r="J1570">
        <v>0</v>
      </c>
    </row>
    <row r="1571" spans="1:10" x14ac:dyDescent="0.25">
      <c r="A1571">
        <v>55001</v>
      </c>
      <c r="B1571" t="s">
        <v>3214</v>
      </c>
      <c r="C1571" t="s">
        <v>3222</v>
      </c>
      <c r="D1571" t="s">
        <v>1563</v>
      </c>
      <c r="E1571">
        <v>0</v>
      </c>
      <c r="F1571">
        <v>0</v>
      </c>
      <c r="G1571">
        <v>0</v>
      </c>
      <c r="H1571">
        <v>0</v>
      </c>
      <c r="J1571">
        <v>0</v>
      </c>
    </row>
    <row r="1572" spans="1:10" x14ac:dyDescent="0.25">
      <c r="A1572">
        <v>55002</v>
      </c>
      <c r="B1572" t="s">
        <v>3214</v>
      </c>
      <c r="C1572" t="s">
        <v>3222</v>
      </c>
      <c r="D1572" t="s">
        <v>1563</v>
      </c>
      <c r="E1572">
        <v>0</v>
      </c>
      <c r="F1572">
        <v>0</v>
      </c>
      <c r="G1572">
        <v>0</v>
      </c>
      <c r="H1572">
        <v>0</v>
      </c>
      <c r="J1572">
        <v>0</v>
      </c>
    </row>
    <row r="1573" spans="1:10" x14ac:dyDescent="0.25">
      <c r="A1573">
        <v>55003</v>
      </c>
      <c r="B1573" t="s">
        <v>3214</v>
      </c>
      <c r="C1573" t="s">
        <v>3222</v>
      </c>
      <c r="D1573" t="s">
        <v>1563</v>
      </c>
      <c r="E1573">
        <v>0</v>
      </c>
      <c r="F1573">
        <v>0</v>
      </c>
      <c r="G1573">
        <v>0</v>
      </c>
      <c r="H1573">
        <v>0</v>
      </c>
      <c r="J1573">
        <v>0</v>
      </c>
    </row>
    <row r="1574" spans="1:10" x14ac:dyDescent="0.25">
      <c r="A1574">
        <v>55004</v>
      </c>
      <c r="B1574" t="s">
        <v>3214</v>
      </c>
      <c r="C1574" t="s">
        <v>3222</v>
      </c>
      <c r="D1574" t="s">
        <v>1563</v>
      </c>
      <c r="E1574">
        <v>0</v>
      </c>
      <c r="F1574">
        <v>0</v>
      </c>
      <c r="G1574">
        <v>0</v>
      </c>
      <c r="H1574">
        <v>0</v>
      </c>
      <c r="J1574">
        <v>0</v>
      </c>
    </row>
    <row r="1575" spans="1:10" x14ac:dyDescent="0.25">
      <c r="A1575">
        <v>55005</v>
      </c>
      <c r="B1575" t="s">
        <v>3214</v>
      </c>
      <c r="C1575" t="s">
        <v>3222</v>
      </c>
      <c r="D1575" t="s">
        <v>1563</v>
      </c>
      <c r="E1575">
        <v>0</v>
      </c>
      <c r="F1575">
        <v>0</v>
      </c>
      <c r="G1575">
        <v>0</v>
      </c>
      <c r="H1575">
        <v>0</v>
      </c>
      <c r="J1575">
        <v>0</v>
      </c>
    </row>
    <row r="1576" spans="1:10" x14ac:dyDescent="0.25">
      <c r="A1576">
        <v>55006</v>
      </c>
      <c r="B1576" t="s">
        <v>3214</v>
      </c>
      <c r="C1576" t="s">
        <v>3222</v>
      </c>
      <c r="D1576" t="s">
        <v>1563</v>
      </c>
      <c r="E1576">
        <v>0</v>
      </c>
      <c r="F1576">
        <v>0</v>
      </c>
      <c r="G1576">
        <v>0</v>
      </c>
      <c r="H1576">
        <v>0</v>
      </c>
      <c r="J1576">
        <v>0</v>
      </c>
    </row>
    <row r="1577" spans="1:10" x14ac:dyDescent="0.25">
      <c r="A1577">
        <v>55007</v>
      </c>
      <c r="B1577" t="s">
        <v>3214</v>
      </c>
      <c r="C1577" t="s">
        <v>3222</v>
      </c>
      <c r="D1577" t="s">
        <v>1563</v>
      </c>
      <c r="E1577">
        <v>0</v>
      </c>
      <c r="F1577">
        <v>0</v>
      </c>
      <c r="G1577">
        <v>0</v>
      </c>
      <c r="H1577">
        <v>0</v>
      </c>
      <c r="J1577">
        <v>0</v>
      </c>
    </row>
    <row r="1578" spans="1:10" x14ac:dyDescent="0.25">
      <c r="A1578">
        <v>55008</v>
      </c>
      <c r="B1578" t="s">
        <v>3214</v>
      </c>
      <c r="C1578" t="s">
        <v>3222</v>
      </c>
      <c r="D1578" t="s">
        <v>1563</v>
      </c>
      <c r="E1578">
        <v>0</v>
      </c>
      <c r="F1578">
        <v>0</v>
      </c>
      <c r="G1578">
        <v>0</v>
      </c>
      <c r="H1578">
        <v>0</v>
      </c>
      <c r="J1578">
        <v>0</v>
      </c>
    </row>
    <row r="1579" spans="1:10" x14ac:dyDescent="0.25">
      <c r="A1579">
        <v>55009</v>
      </c>
      <c r="B1579" t="s">
        <v>3214</v>
      </c>
      <c r="C1579" t="s">
        <v>3222</v>
      </c>
      <c r="D1579" t="s">
        <v>1563</v>
      </c>
      <c r="E1579">
        <v>0</v>
      </c>
      <c r="F1579">
        <v>0</v>
      </c>
      <c r="G1579">
        <v>0</v>
      </c>
      <c r="H1579">
        <v>0</v>
      </c>
      <c r="J1579">
        <v>0</v>
      </c>
    </row>
    <row r="1580" spans="1:10" x14ac:dyDescent="0.25">
      <c r="A1580">
        <v>55010</v>
      </c>
      <c r="B1580" t="s">
        <v>3214</v>
      </c>
      <c r="C1580" t="s">
        <v>3222</v>
      </c>
      <c r="D1580" t="s">
        <v>1563</v>
      </c>
      <c r="E1580">
        <v>0</v>
      </c>
      <c r="F1580">
        <v>0</v>
      </c>
      <c r="G1580">
        <v>0</v>
      </c>
      <c r="H1580">
        <v>0</v>
      </c>
      <c r="J1580">
        <v>0</v>
      </c>
    </row>
    <row r="1581" spans="1:10" x14ac:dyDescent="0.25">
      <c r="A1581" t="s">
        <v>3</v>
      </c>
      <c r="B1581" t="s">
        <v>3214</v>
      </c>
      <c r="C1581" t="s">
        <v>3222</v>
      </c>
      <c r="D1581" t="s">
        <v>1563</v>
      </c>
      <c r="E1581">
        <v>0</v>
      </c>
      <c r="F1581">
        <v>0</v>
      </c>
      <c r="G1581">
        <v>0</v>
      </c>
      <c r="H1581">
        <v>0</v>
      </c>
      <c r="J1581">
        <v>0</v>
      </c>
    </row>
    <row r="1582" spans="1:10" x14ac:dyDescent="0.25">
      <c r="A1582" t="s">
        <v>4</v>
      </c>
      <c r="B1582" t="s">
        <v>3214</v>
      </c>
      <c r="C1582" t="s">
        <v>3222</v>
      </c>
      <c r="D1582" t="s">
        <v>1563</v>
      </c>
      <c r="E1582">
        <v>0</v>
      </c>
      <c r="F1582">
        <v>0</v>
      </c>
      <c r="G1582">
        <v>0</v>
      </c>
      <c r="H1582">
        <v>0</v>
      </c>
      <c r="J1582">
        <v>0</v>
      </c>
    </row>
    <row r="1583" spans="1:10" x14ac:dyDescent="0.25">
      <c r="A1583" t="s">
        <v>5</v>
      </c>
      <c r="B1583" t="s">
        <v>3214</v>
      </c>
      <c r="C1583" t="s">
        <v>3222</v>
      </c>
      <c r="D1583" t="s">
        <v>1563</v>
      </c>
      <c r="E1583">
        <v>0</v>
      </c>
      <c r="F1583">
        <v>0</v>
      </c>
      <c r="G1583">
        <v>0</v>
      </c>
      <c r="H1583">
        <v>0</v>
      </c>
      <c r="J1583">
        <v>0</v>
      </c>
    </row>
    <row r="1584" spans="1:10" x14ac:dyDescent="0.25">
      <c r="A1584">
        <v>55197</v>
      </c>
      <c r="B1584" t="s">
        <v>3214</v>
      </c>
      <c r="C1584" t="s">
        <v>3222</v>
      </c>
      <c r="D1584" t="s">
        <v>1189</v>
      </c>
      <c r="E1584">
        <v>0</v>
      </c>
      <c r="F1584">
        <v>0</v>
      </c>
      <c r="G1584">
        <v>0</v>
      </c>
      <c r="H1584">
        <v>57</v>
      </c>
      <c r="I1584">
        <v>2</v>
      </c>
      <c r="J1584">
        <v>0</v>
      </c>
    </row>
    <row r="1585" spans="1:10" x14ac:dyDescent="0.25">
      <c r="A1585">
        <v>55199</v>
      </c>
      <c r="B1585" t="s">
        <v>3214</v>
      </c>
      <c r="C1585" t="s">
        <v>3222</v>
      </c>
      <c r="D1585" t="s">
        <v>1190</v>
      </c>
      <c r="E1585">
        <v>0</v>
      </c>
      <c r="F1585">
        <v>0</v>
      </c>
      <c r="G1585">
        <v>0</v>
      </c>
      <c r="H1585">
        <v>34</v>
      </c>
      <c r="J1585">
        <v>0</v>
      </c>
    </row>
    <row r="1586" spans="1:10" x14ac:dyDescent="0.25">
      <c r="A1586">
        <v>55191</v>
      </c>
      <c r="B1586" t="s">
        <v>3214</v>
      </c>
      <c r="C1586" t="s">
        <v>3222</v>
      </c>
      <c r="D1586" t="s">
        <v>1187</v>
      </c>
      <c r="E1586">
        <v>0</v>
      </c>
      <c r="F1586">
        <v>0</v>
      </c>
      <c r="G1586">
        <v>0</v>
      </c>
      <c r="H1586">
        <v>6</v>
      </c>
      <c r="J1586">
        <v>0</v>
      </c>
    </row>
    <row r="1587" spans="1:10" x14ac:dyDescent="0.25">
      <c r="A1587">
        <v>61001</v>
      </c>
      <c r="B1587" t="s">
        <v>3213</v>
      </c>
      <c r="C1587" t="s">
        <v>3039</v>
      </c>
      <c r="D1587" t="s">
        <v>1563</v>
      </c>
      <c r="E1587">
        <v>0</v>
      </c>
      <c r="F1587">
        <v>0</v>
      </c>
      <c r="G1587">
        <v>0</v>
      </c>
      <c r="H1587">
        <v>0</v>
      </c>
      <c r="J1587">
        <v>0</v>
      </c>
    </row>
    <row r="1588" spans="1:10" x14ac:dyDescent="0.25">
      <c r="A1588">
        <v>61423</v>
      </c>
      <c r="B1588" t="s">
        <v>3213</v>
      </c>
      <c r="C1588" t="s">
        <v>3039</v>
      </c>
      <c r="D1588" t="s">
        <v>2967</v>
      </c>
      <c r="E1588">
        <v>0</v>
      </c>
      <c r="F1588">
        <v>0</v>
      </c>
      <c r="G1588">
        <v>0</v>
      </c>
      <c r="H1588">
        <v>16</v>
      </c>
      <c r="J1588">
        <v>0</v>
      </c>
    </row>
    <row r="1589" spans="1:10" x14ac:dyDescent="0.25">
      <c r="A1589">
        <v>61467</v>
      </c>
      <c r="B1589" t="s">
        <v>3213</v>
      </c>
      <c r="C1589" t="s">
        <v>3039</v>
      </c>
      <c r="D1589" t="s">
        <v>1247</v>
      </c>
      <c r="E1589">
        <v>0</v>
      </c>
      <c r="F1589">
        <v>0</v>
      </c>
      <c r="G1589">
        <v>0</v>
      </c>
      <c r="H1589">
        <v>629</v>
      </c>
      <c r="I1589">
        <v>29</v>
      </c>
      <c r="J1589">
        <v>0</v>
      </c>
    </row>
    <row r="1590" spans="1:10" x14ac:dyDescent="0.25">
      <c r="A1590">
        <v>61473</v>
      </c>
      <c r="B1590" t="s">
        <v>3213</v>
      </c>
      <c r="C1590" t="s">
        <v>3039</v>
      </c>
      <c r="D1590" t="s">
        <v>2981</v>
      </c>
      <c r="E1590">
        <v>0</v>
      </c>
      <c r="F1590">
        <v>0</v>
      </c>
      <c r="G1590">
        <v>0</v>
      </c>
      <c r="H1590">
        <v>11</v>
      </c>
      <c r="J1590">
        <v>0</v>
      </c>
    </row>
    <row r="1591" spans="1:10" x14ac:dyDescent="0.25">
      <c r="A1591">
        <v>61424</v>
      </c>
      <c r="B1591" t="s">
        <v>3213</v>
      </c>
      <c r="C1591" t="s">
        <v>3039</v>
      </c>
      <c r="D1591" t="s">
        <v>2968</v>
      </c>
      <c r="E1591">
        <v>0</v>
      </c>
      <c r="F1591">
        <v>0</v>
      </c>
      <c r="G1591">
        <v>0</v>
      </c>
      <c r="H1591">
        <v>1</v>
      </c>
      <c r="J1591">
        <v>0</v>
      </c>
    </row>
    <row r="1592" spans="1:10" x14ac:dyDescent="0.25">
      <c r="A1592">
        <v>61433</v>
      </c>
      <c r="B1592" t="s">
        <v>3213</v>
      </c>
      <c r="C1592" t="s">
        <v>3039</v>
      </c>
      <c r="D1592" t="s">
        <v>1226</v>
      </c>
      <c r="E1592">
        <v>0</v>
      </c>
      <c r="F1592">
        <v>0</v>
      </c>
      <c r="G1592">
        <v>0</v>
      </c>
      <c r="H1592">
        <v>0</v>
      </c>
      <c r="I1592">
        <v>15</v>
      </c>
      <c r="J1592">
        <v>0</v>
      </c>
    </row>
    <row r="1593" spans="1:10" x14ac:dyDescent="0.25">
      <c r="A1593">
        <v>61429</v>
      </c>
      <c r="B1593" t="s">
        <v>3213</v>
      </c>
      <c r="C1593" t="s">
        <v>3039</v>
      </c>
      <c r="D1593" t="s">
        <v>1224</v>
      </c>
      <c r="E1593">
        <v>0</v>
      </c>
      <c r="F1593">
        <v>0</v>
      </c>
      <c r="G1593">
        <v>0</v>
      </c>
      <c r="H1593">
        <v>27</v>
      </c>
      <c r="J1593">
        <v>0</v>
      </c>
    </row>
    <row r="1594" spans="1:10" x14ac:dyDescent="0.25">
      <c r="A1594">
        <v>61457</v>
      </c>
      <c r="B1594" t="s">
        <v>3213</v>
      </c>
      <c r="C1594" t="s">
        <v>3039</v>
      </c>
      <c r="D1594" t="s">
        <v>1241</v>
      </c>
      <c r="E1594">
        <v>0</v>
      </c>
      <c r="F1594">
        <v>0</v>
      </c>
      <c r="G1594">
        <v>0</v>
      </c>
      <c r="H1594">
        <v>11</v>
      </c>
      <c r="J1594">
        <v>0</v>
      </c>
    </row>
    <row r="1595" spans="1:10" x14ac:dyDescent="0.25">
      <c r="A1595">
        <v>61484</v>
      </c>
      <c r="B1595" t="s">
        <v>3213</v>
      </c>
      <c r="C1595" t="s">
        <v>3039</v>
      </c>
      <c r="D1595" t="s">
        <v>2983</v>
      </c>
      <c r="E1595">
        <v>0</v>
      </c>
      <c r="F1595">
        <v>1221</v>
      </c>
      <c r="G1595">
        <v>0</v>
      </c>
      <c r="H1595">
        <v>232</v>
      </c>
      <c r="I1595">
        <v>3</v>
      </c>
      <c r="J1595">
        <v>5.2629310344827589</v>
      </c>
    </row>
    <row r="1596" spans="1:10" x14ac:dyDescent="0.25">
      <c r="A1596">
        <v>61497</v>
      </c>
      <c r="B1596" t="s">
        <v>3213</v>
      </c>
      <c r="C1596" t="s">
        <v>3039</v>
      </c>
      <c r="D1596" t="s">
        <v>1266</v>
      </c>
      <c r="E1596">
        <v>0</v>
      </c>
      <c r="F1596">
        <v>0</v>
      </c>
      <c r="G1596">
        <v>0</v>
      </c>
      <c r="H1596">
        <v>0</v>
      </c>
      <c r="J1596">
        <v>0</v>
      </c>
    </row>
    <row r="1597" spans="1:10" x14ac:dyDescent="0.25">
      <c r="A1597">
        <v>62242</v>
      </c>
      <c r="B1597" t="s">
        <v>3213</v>
      </c>
      <c r="C1597" t="s">
        <v>1267</v>
      </c>
      <c r="D1597" t="s">
        <v>2987</v>
      </c>
      <c r="E1597">
        <v>0</v>
      </c>
      <c r="F1597">
        <v>0</v>
      </c>
      <c r="G1597">
        <v>0</v>
      </c>
      <c r="H1597">
        <v>532</v>
      </c>
      <c r="I1597">
        <v>5</v>
      </c>
      <c r="J1597">
        <v>0</v>
      </c>
    </row>
    <row r="1598" spans="1:10" x14ac:dyDescent="0.25">
      <c r="A1598">
        <v>62319</v>
      </c>
      <c r="B1598" t="s">
        <v>3213</v>
      </c>
      <c r="C1598" t="s">
        <v>1267</v>
      </c>
      <c r="D1598" t="s">
        <v>1337</v>
      </c>
      <c r="E1598">
        <v>0</v>
      </c>
      <c r="F1598">
        <v>0</v>
      </c>
      <c r="G1598">
        <v>0</v>
      </c>
      <c r="H1598">
        <v>84</v>
      </c>
      <c r="J1598">
        <v>0</v>
      </c>
    </row>
    <row r="1599" spans="1:10" x14ac:dyDescent="0.25">
      <c r="A1599">
        <v>62331</v>
      </c>
      <c r="B1599" t="s">
        <v>3213</v>
      </c>
      <c r="C1599" t="s">
        <v>1267</v>
      </c>
      <c r="D1599" t="s">
        <v>2997</v>
      </c>
      <c r="E1599">
        <v>0</v>
      </c>
      <c r="F1599">
        <v>0</v>
      </c>
      <c r="G1599">
        <v>0</v>
      </c>
      <c r="H1599">
        <v>37</v>
      </c>
      <c r="I1599">
        <v>150</v>
      </c>
      <c r="J1599">
        <v>0</v>
      </c>
    </row>
    <row r="1600" spans="1:10" x14ac:dyDescent="0.25">
      <c r="A1600">
        <v>62314</v>
      </c>
      <c r="B1600" t="s">
        <v>3213</v>
      </c>
      <c r="C1600" t="s">
        <v>1267</v>
      </c>
      <c r="D1600" t="s">
        <v>1334</v>
      </c>
      <c r="E1600">
        <v>0</v>
      </c>
      <c r="F1600">
        <v>0</v>
      </c>
      <c r="G1600">
        <v>0</v>
      </c>
      <c r="H1600">
        <v>11</v>
      </c>
      <c r="J1600">
        <v>0</v>
      </c>
    </row>
    <row r="1601" spans="1:10" x14ac:dyDescent="0.25">
      <c r="A1601">
        <v>62284</v>
      </c>
      <c r="B1601" t="s">
        <v>3213</v>
      </c>
      <c r="C1601" t="s">
        <v>1267</v>
      </c>
      <c r="D1601" t="s">
        <v>1318</v>
      </c>
      <c r="E1601">
        <v>0</v>
      </c>
      <c r="F1601">
        <v>0</v>
      </c>
      <c r="G1601">
        <v>0</v>
      </c>
      <c r="H1601">
        <v>5</v>
      </c>
      <c r="J1601">
        <v>0</v>
      </c>
    </row>
    <row r="1602" spans="1:10" x14ac:dyDescent="0.25">
      <c r="A1602">
        <v>62281</v>
      </c>
      <c r="B1602" t="s">
        <v>3213</v>
      </c>
      <c r="C1602" t="s">
        <v>1267</v>
      </c>
      <c r="D1602" t="s">
        <v>1316</v>
      </c>
      <c r="E1602">
        <v>0</v>
      </c>
      <c r="F1602">
        <v>0</v>
      </c>
      <c r="G1602">
        <v>0</v>
      </c>
      <c r="H1602">
        <v>0</v>
      </c>
      <c r="J1602">
        <v>0</v>
      </c>
    </row>
    <row r="1603" spans="1:10" x14ac:dyDescent="0.25">
      <c r="A1603">
        <v>62257</v>
      </c>
      <c r="B1603" t="s">
        <v>3213</v>
      </c>
      <c r="C1603" t="s">
        <v>1267</v>
      </c>
      <c r="D1603" t="s">
        <v>1302</v>
      </c>
      <c r="E1603">
        <v>0</v>
      </c>
      <c r="F1603">
        <v>0</v>
      </c>
      <c r="G1603">
        <v>0</v>
      </c>
      <c r="H1603">
        <v>295</v>
      </c>
      <c r="I1603">
        <v>5</v>
      </c>
      <c r="J1603">
        <v>0</v>
      </c>
    </row>
    <row r="1604" spans="1:10" x14ac:dyDescent="0.25">
      <c r="A1604">
        <v>62273</v>
      </c>
      <c r="B1604" t="s">
        <v>3213</v>
      </c>
      <c r="C1604" t="s">
        <v>1267</v>
      </c>
      <c r="D1604" t="s">
        <v>1311</v>
      </c>
      <c r="E1604">
        <v>0</v>
      </c>
      <c r="F1604">
        <v>0</v>
      </c>
      <c r="G1604">
        <v>0</v>
      </c>
      <c r="H1604">
        <v>42</v>
      </c>
      <c r="J1604">
        <v>0</v>
      </c>
    </row>
    <row r="1605" spans="1:10" x14ac:dyDescent="0.25">
      <c r="A1605">
        <v>52181</v>
      </c>
      <c r="B1605" t="s">
        <v>3214</v>
      </c>
      <c r="C1605" t="s">
        <v>3221</v>
      </c>
      <c r="D1605" t="s">
        <v>1042</v>
      </c>
      <c r="E1605">
        <v>0</v>
      </c>
      <c r="F1605">
        <v>0</v>
      </c>
      <c r="G1605">
        <v>0</v>
      </c>
      <c r="H1605">
        <v>0</v>
      </c>
      <c r="J1605">
        <v>0</v>
      </c>
    </row>
    <row r="1606" spans="1:10" x14ac:dyDescent="0.25">
      <c r="A1606">
        <v>52001</v>
      </c>
      <c r="B1606" t="s">
        <v>3214</v>
      </c>
      <c r="C1606" t="s">
        <v>3221</v>
      </c>
      <c r="D1606" t="s">
        <v>1563</v>
      </c>
      <c r="E1606">
        <v>0</v>
      </c>
      <c r="F1606">
        <v>0</v>
      </c>
      <c r="G1606">
        <v>0</v>
      </c>
      <c r="H1606">
        <v>0</v>
      </c>
      <c r="J1606">
        <v>0</v>
      </c>
    </row>
    <row r="1607" spans="1:10" x14ac:dyDescent="0.25">
      <c r="A1607">
        <v>52002</v>
      </c>
      <c r="B1607" t="s">
        <v>3214</v>
      </c>
      <c r="C1607" t="s">
        <v>3221</v>
      </c>
      <c r="D1607" t="s">
        <v>1563</v>
      </c>
      <c r="E1607">
        <v>0</v>
      </c>
      <c r="F1607">
        <v>0</v>
      </c>
      <c r="G1607">
        <v>0</v>
      </c>
      <c r="H1607">
        <v>0</v>
      </c>
      <c r="J1607">
        <v>0</v>
      </c>
    </row>
    <row r="1608" spans="1:10" x14ac:dyDescent="0.25">
      <c r="A1608">
        <v>52003</v>
      </c>
      <c r="B1608" t="s">
        <v>3214</v>
      </c>
      <c r="C1608" t="s">
        <v>3221</v>
      </c>
      <c r="D1608" t="s">
        <v>1563</v>
      </c>
      <c r="E1608">
        <v>0</v>
      </c>
      <c r="F1608">
        <v>0</v>
      </c>
      <c r="G1608">
        <v>0</v>
      </c>
      <c r="H1608">
        <v>0</v>
      </c>
      <c r="J1608">
        <v>0</v>
      </c>
    </row>
    <row r="1609" spans="1:10" x14ac:dyDescent="0.25">
      <c r="A1609">
        <v>52131</v>
      </c>
      <c r="B1609" t="s">
        <v>3214</v>
      </c>
      <c r="C1609" t="s">
        <v>3221</v>
      </c>
      <c r="D1609" t="s">
        <v>2944</v>
      </c>
      <c r="E1609">
        <v>0</v>
      </c>
      <c r="F1609">
        <v>0</v>
      </c>
      <c r="G1609">
        <v>0</v>
      </c>
      <c r="H1609">
        <v>12</v>
      </c>
      <c r="I1609">
        <v>50</v>
      </c>
      <c r="J1609">
        <v>0</v>
      </c>
    </row>
    <row r="1610" spans="1:10" x14ac:dyDescent="0.25">
      <c r="A1610">
        <v>52257</v>
      </c>
      <c r="B1610" t="s">
        <v>3214</v>
      </c>
      <c r="C1610" t="s">
        <v>3221</v>
      </c>
      <c r="D1610" t="s">
        <v>1057</v>
      </c>
      <c r="E1610">
        <v>0</v>
      </c>
      <c r="F1610">
        <v>0</v>
      </c>
      <c r="G1610">
        <v>0</v>
      </c>
      <c r="H1610">
        <v>154</v>
      </c>
      <c r="J1610">
        <v>0</v>
      </c>
    </row>
    <row r="1611" spans="1:10" x14ac:dyDescent="0.25">
      <c r="A1611">
        <v>52274</v>
      </c>
      <c r="B1611" t="s">
        <v>3214</v>
      </c>
      <c r="C1611" t="s">
        <v>3221</v>
      </c>
      <c r="D1611" t="s">
        <v>1062</v>
      </c>
      <c r="E1611">
        <v>0</v>
      </c>
      <c r="F1611">
        <v>0</v>
      </c>
      <c r="G1611">
        <v>0</v>
      </c>
      <c r="H1611">
        <v>2372</v>
      </c>
      <c r="I1611">
        <v>5</v>
      </c>
      <c r="J1611">
        <v>0</v>
      </c>
    </row>
    <row r="1612" spans="1:10" x14ac:dyDescent="0.25">
      <c r="A1612">
        <v>52261</v>
      </c>
      <c r="B1612" t="s">
        <v>3214</v>
      </c>
      <c r="C1612" t="s">
        <v>3221</v>
      </c>
      <c r="D1612" t="s">
        <v>1058</v>
      </c>
      <c r="E1612">
        <v>0</v>
      </c>
      <c r="F1612">
        <v>0</v>
      </c>
      <c r="G1612">
        <v>0</v>
      </c>
      <c r="H1612">
        <v>0</v>
      </c>
      <c r="J1612">
        <v>0</v>
      </c>
    </row>
    <row r="1613" spans="1:10" x14ac:dyDescent="0.25">
      <c r="A1613">
        <v>51247</v>
      </c>
      <c r="B1613" t="s">
        <v>3214</v>
      </c>
      <c r="C1613" t="s">
        <v>3045</v>
      </c>
      <c r="D1613" t="s">
        <v>1001</v>
      </c>
      <c r="E1613">
        <v>0</v>
      </c>
      <c r="F1613">
        <v>0</v>
      </c>
      <c r="G1613">
        <v>0</v>
      </c>
      <c r="H1613">
        <v>31</v>
      </c>
      <c r="J1613">
        <v>0</v>
      </c>
    </row>
    <row r="1614" spans="1:10" x14ac:dyDescent="0.25">
      <c r="A1614">
        <v>51001</v>
      </c>
      <c r="B1614" t="s">
        <v>3214</v>
      </c>
      <c r="C1614" t="s">
        <v>3045</v>
      </c>
      <c r="D1614" t="s">
        <v>1563</v>
      </c>
      <c r="E1614">
        <v>0</v>
      </c>
      <c r="F1614">
        <v>0</v>
      </c>
      <c r="G1614">
        <v>0</v>
      </c>
      <c r="H1614">
        <v>0</v>
      </c>
      <c r="J1614">
        <v>0</v>
      </c>
    </row>
    <row r="1615" spans="1:10" x14ac:dyDescent="0.25">
      <c r="A1615" t="s">
        <v>8</v>
      </c>
      <c r="B1615" t="s">
        <v>3214</v>
      </c>
      <c r="C1615" t="s">
        <v>3045</v>
      </c>
      <c r="D1615" t="s">
        <v>1563</v>
      </c>
      <c r="E1615">
        <v>0</v>
      </c>
      <c r="F1615">
        <v>0</v>
      </c>
      <c r="G1615">
        <v>0</v>
      </c>
      <c r="H1615">
        <v>0</v>
      </c>
      <c r="J1615">
        <v>0</v>
      </c>
    </row>
    <row r="1616" spans="1:10" x14ac:dyDescent="0.25">
      <c r="A1616">
        <v>51189</v>
      </c>
      <c r="B1616" t="s">
        <v>3214</v>
      </c>
      <c r="C1616" t="s">
        <v>3045</v>
      </c>
      <c r="D1616" t="s">
        <v>989</v>
      </c>
      <c r="E1616">
        <v>0</v>
      </c>
      <c r="F1616">
        <v>0</v>
      </c>
      <c r="G1616">
        <v>0</v>
      </c>
      <c r="H1616">
        <v>1152</v>
      </c>
      <c r="I1616">
        <v>20</v>
      </c>
      <c r="J1616">
        <v>0</v>
      </c>
    </row>
    <row r="1617" spans="1:10" x14ac:dyDescent="0.25">
      <c r="A1617">
        <v>51274</v>
      </c>
      <c r="B1617" t="s">
        <v>3214</v>
      </c>
      <c r="C1617" t="s">
        <v>3045</v>
      </c>
      <c r="D1617" t="s">
        <v>2939</v>
      </c>
      <c r="E1617">
        <v>0</v>
      </c>
      <c r="F1617">
        <v>0</v>
      </c>
      <c r="G1617">
        <v>0</v>
      </c>
      <c r="H1617">
        <v>233</v>
      </c>
      <c r="J1617">
        <v>0</v>
      </c>
    </row>
    <row r="1618" spans="1:10" x14ac:dyDescent="0.25">
      <c r="A1618">
        <v>51261</v>
      </c>
      <c r="B1618" t="s">
        <v>3214</v>
      </c>
      <c r="C1618" t="s">
        <v>3045</v>
      </c>
      <c r="D1618" t="s">
        <v>1004</v>
      </c>
      <c r="E1618">
        <v>0</v>
      </c>
      <c r="F1618">
        <v>0</v>
      </c>
      <c r="G1618">
        <v>0</v>
      </c>
      <c r="H1618">
        <v>0</v>
      </c>
      <c r="J1618">
        <v>0</v>
      </c>
    </row>
    <row r="1619" spans="1:10" x14ac:dyDescent="0.25">
      <c r="A1619">
        <v>51214</v>
      </c>
      <c r="B1619" t="s">
        <v>3214</v>
      </c>
      <c r="C1619" t="s">
        <v>3045</v>
      </c>
      <c r="D1619" t="s">
        <v>991</v>
      </c>
      <c r="E1619">
        <v>0</v>
      </c>
      <c r="F1619">
        <v>0</v>
      </c>
      <c r="G1619">
        <v>0</v>
      </c>
      <c r="H1619">
        <v>347</v>
      </c>
      <c r="I1619">
        <v>27</v>
      </c>
      <c r="J1619">
        <v>0</v>
      </c>
    </row>
    <row r="1620" spans="1:10" x14ac:dyDescent="0.25">
      <c r="A1620">
        <v>33239</v>
      </c>
      <c r="B1620" t="s">
        <v>3215</v>
      </c>
      <c r="C1620" t="s">
        <v>597</v>
      </c>
      <c r="D1620" t="s">
        <v>636</v>
      </c>
      <c r="E1620">
        <v>0</v>
      </c>
      <c r="F1620">
        <v>0</v>
      </c>
      <c r="G1620">
        <v>0</v>
      </c>
      <c r="H1620">
        <v>182</v>
      </c>
      <c r="I1620">
        <v>18</v>
      </c>
      <c r="J1620">
        <v>0</v>
      </c>
    </row>
    <row r="1621" spans="1:10" x14ac:dyDescent="0.25">
      <c r="A1621">
        <v>33279</v>
      </c>
      <c r="B1621" t="s">
        <v>3215</v>
      </c>
      <c r="C1621" t="s">
        <v>597</v>
      </c>
      <c r="D1621" t="s">
        <v>645</v>
      </c>
      <c r="E1621">
        <v>0</v>
      </c>
      <c r="F1621">
        <v>0</v>
      </c>
      <c r="G1621">
        <v>0</v>
      </c>
      <c r="H1621">
        <v>182</v>
      </c>
      <c r="J1621">
        <v>0</v>
      </c>
    </row>
    <row r="1622" spans="1:10" x14ac:dyDescent="0.25">
      <c r="A1622">
        <v>33137</v>
      </c>
      <c r="B1622" t="s">
        <v>3215</v>
      </c>
      <c r="C1622" t="s">
        <v>597</v>
      </c>
      <c r="D1622" t="s">
        <v>610</v>
      </c>
      <c r="E1622">
        <v>0</v>
      </c>
      <c r="F1622">
        <v>0</v>
      </c>
      <c r="G1622">
        <v>0</v>
      </c>
      <c r="H1622">
        <v>528</v>
      </c>
      <c r="I1622">
        <v>4</v>
      </c>
      <c r="J1622">
        <v>0</v>
      </c>
    </row>
    <row r="1623" spans="1:10" x14ac:dyDescent="0.25">
      <c r="A1623">
        <v>33152</v>
      </c>
      <c r="B1623" t="s">
        <v>3215</v>
      </c>
      <c r="C1623" t="s">
        <v>597</v>
      </c>
      <c r="D1623" t="s">
        <v>618</v>
      </c>
      <c r="E1623">
        <v>0</v>
      </c>
      <c r="F1623">
        <v>0</v>
      </c>
      <c r="G1623">
        <v>0</v>
      </c>
      <c r="H1623">
        <v>0</v>
      </c>
      <c r="J1623">
        <v>0</v>
      </c>
    </row>
    <row r="1624" spans="1:10" x14ac:dyDescent="0.25">
      <c r="A1624">
        <v>33287</v>
      </c>
      <c r="B1624" t="s">
        <v>3215</v>
      </c>
      <c r="C1624" t="s">
        <v>597</v>
      </c>
      <c r="D1624" t="s">
        <v>647</v>
      </c>
      <c r="E1624">
        <v>0</v>
      </c>
      <c r="F1624">
        <v>0</v>
      </c>
      <c r="G1624">
        <v>0</v>
      </c>
      <c r="H1624">
        <v>490</v>
      </c>
      <c r="J1624">
        <v>0</v>
      </c>
    </row>
    <row r="1625" spans="1:10" x14ac:dyDescent="0.25">
      <c r="A1625">
        <v>33127</v>
      </c>
      <c r="B1625" t="s">
        <v>3215</v>
      </c>
      <c r="C1625" t="s">
        <v>597</v>
      </c>
      <c r="D1625" t="s">
        <v>605</v>
      </c>
      <c r="E1625">
        <v>0</v>
      </c>
      <c r="F1625">
        <v>0</v>
      </c>
      <c r="G1625">
        <v>0</v>
      </c>
      <c r="H1625">
        <v>0</v>
      </c>
      <c r="J1625">
        <v>0</v>
      </c>
    </row>
    <row r="1626" spans="1:10" x14ac:dyDescent="0.25">
      <c r="A1626">
        <v>33135</v>
      </c>
      <c r="B1626" t="s">
        <v>3215</v>
      </c>
      <c r="C1626" t="s">
        <v>597</v>
      </c>
      <c r="D1626" t="s">
        <v>609</v>
      </c>
      <c r="E1626">
        <v>0</v>
      </c>
      <c r="F1626">
        <v>0</v>
      </c>
      <c r="G1626">
        <v>0</v>
      </c>
      <c r="H1626">
        <v>0</v>
      </c>
      <c r="J1626">
        <v>0</v>
      </c>
    </row>
    <row r="1627" spans="1:10" x14ac:dyDescent="0.25">
      <c r="A1627">
        <v>33283</v>
      </c>
      <c r="B1627" t="s">
        <v>3215</v>
      </c>
      <c r="C1627" t="s">
        <v>597</v>
      </c>
      <c r="D1627" t="s">
        <v>646</v>
      </c>
      <c r="E1627">
        <v>0</v>
      </c>
      <c r="F1627">
        <v>0</v>
      </c>
      <c r="G1627">
        <v>0</v>
      </c>
      <c r="H1627">
        <v>65</v>
      </c>
      <c r="J1627">
        <v>0</v>
      </c>
    </row>
    <row r="1628" spans="1:10" x14ac:dyDescent="0.25">
      <c r="A1628">
        <v>33171</v>
      </c>
      <c r="B1628" t="s">
        <v>3215</v>
      </c>
      <c r="C1628" t="s">
        <v>597</v>
      </c>
      <c r="D1628" t="s">
        <v>628</v>
      </c>
      <c r="E1628">
        <v>0</v>
      </c>
      <c r="F1628">
        <v>0</v>
      </c>
      <c r="G1628">
        <v>0</v>
      </c>
      <c r="H1628">
        <v>46</v>
      </c>
      <c r="J1628">
        <v>0</v>
      </c>
    </row>
  </sheetData>
  <conditionalFormatting sqref="A1:A1048576">
    <cfRule type="duplicateValues" dxfId="3" priority="1"/>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DC565-3D84-4904-AE8F-78A9C4915940}">
  <dimension ref="A1:Y3731"/>
  <sheetViews>
    <sheetView workbookViewId="0">
      <selection activeCell="F1" sqref="F1"/>
    </sheetView>
  </sheetViews>
  <sheetFormatPr defaultRowHeight="15" x14ac:dyDescent="0.25"/>
  <cols>
    <col min="10" max="10" width="17" style="29" customWidth="1"/>
    <col min="11" max="11" width="12.85546875" style="29" customWidth="1"/>
  </cols>
  <sheetData>
    <row r="1" spans="1:25" x14ac:dyDescent="0.25">
      <c r="A1" t="s">
        <v>3211</v>
      </c>
      <c r="B1" t="s">
        <v>3219</v>
      </c>
      <c r="C1" t="s">
        <v>3034</v>
      </c>
      <c r="D1" t="s">
        <v>3231</v>
      </c>
      <c r="E1" t="s">
        <v>3866</v>
      </c>
      <c r="F1" t="s">
        <v>3210</v>
      </c>
      <c r="J1" s="12" t="s">
        <v>3867</v>
      </c>
      <c r="K1" s="12" t="s">
        <v>2802</v>
      </c>
      <c r="O1" s="34" t="s">
        <v>3867</v>
      </c>
      <c r="P1" s="34" t="s">
        <v>6920</v>
      </c>
      <c r="U1" t="s">
        <v>3866</v>
      </c>
      <c r="V1" t="s">
        <v>3210</v>
      </c>
      <c r="W1" t="s">
        <v>6927</v>
      </c>
      <c r="X1" t="s">
        <v>6928</v>
      </c>
      <c r="Y1" t="s">
        <v>6938</v>
      </c>
    </row>
    <row r="2" spans="1:25" x14ac:dyDescent="0.25">
      <c r="A2" t="s">
        <v>3218</v>
      </c>
      <c r="B2" t="s">
        <v>2784</v>
      </c>
      <c r="C2" t="s">
        <v>3106</v>
      </c>
      <c r="D2" t="s">
        <v>3466</v>
      </c>
      <c r="E2">
        <v>74175</v>
      </c>
      <c r="F2">
        <v>21</v>
      </c>
      <c r="J2" s="13" t="s">
        <v>3706</v>
      </c>
      <c r="K2" s="13">
        <v>10210</v>
      </c>
      <c r="O2" t="s">
        <v>3408</v>
      </c>
      <c r="P2" t="s">
        <v>1088</v>
      </c>
      <c r="U2">
        <v>32141</v>
      </c>
      <c r="V2">
        <f>SUMIF(E:E,U2,F:F)</f>
        <v>75</v>
      </c>
      <c r="W2">
        <v>260</v>
      </c>
      <c r="X2">
        <v>0.28846153846153844</v>
      </c>
      <c r="Y2">
        <v>2</v>
      </c>
    </row>
    <row r="3" spans="1:25" x14ac:dyDescent="0.25">
      <c r="A3" t="s">
        <v>3218</v>
      </c>
      <c r="B3" t="s">
        <v>2784</v>
      </c>
      <c r="C3" t="s">
        <v>3060</v>
      </c>
      <c r="D3" t="s">
        <v>3293</v>
      </c>
      <c r="E3">
        <v>74131</v>
      </c>
      <c r="F3">
        <v>116</v>
      </c>
      <c r="J3" s="13" t="s">
        <v>3707</v>
      </c>
      <c r="K3" s="13">
        <v>10210</v>
      </c>
      <c r="O3" t="s">
        <v>3745</v>
      </c>
      <c r="P3" t="s">
        <v>21</v>
      </c>
      <c r="U3">
        <v>24424</v>
      </c>
      <c r="V3">
        <f t="shared" ref="V3:V66" si="0">SUMIF(E:E,U3,F:F)</f>
        <v>1000</v>
      </c>
      <c r="W3">
        <v>3269</v>
      </c>
      <c r="X3">
        <v>0.30590394616090549</v>
      </c>
      <c r="Y3">
        <v>2</v>
      </c>
    </row>
    <row r="4" spans="1:25" x14ac:dyDescent="0.25">
      <c r="A4" t="s">
        <v>3218</v>
      </c>
      <c r="B4" t="s">
        <v>2784</v>
      </c>
      <c r="C4" t="s">
        <v>3060</v>
      </c>
      <c r="D4" t="s">
        <v>3683</v>
      </c>
      <c r="E4">
        <v>74131</v>
      </c>
      <c r="F4">
        <v>28</v>
      </c>
      <c r="J4" s="13" t="s">
        <v>3708</v>
      </c>
      <c r="K4" s="13">
        <v>10110</v>
      </c>
      <c r="O4" t="s">
        <v>3770</v>
      </c>
      <c r="P4" t="s">
        <v>21</v>
      </c>
      <c r="U4">
        <v>23251</v>
      </c>
      <c r="V4">
        <f t="shared" si="0"/>
        <v>683</v>
      </c>
      <c r="W4">
        <v>15985</v>
      </c>
      <c r="X4">
        <v>4.2727557084766971E-2</v>
      </c>
      <c r="Y4">
        <v>8</v>
      </c>
    </row>
    <row r="5" spans="1:25" x14ac:dyDescent="0.25">
      <c r="A5" t="s">
        <v>3218</v>
      </c>
      <c r="B5" t="s">
        <v>2784</v>
      </c>
      <c r="C5" t="s">
        <v>3114</v>
      </c>
      <c r="D5" t="s">
        <v>3487</v>
      </c>
      <c r="E5">
        <v>74124</v>
      </c>
      <c r="F5">
        <v>57</v>
      </c>
      <c r="J5" s="13" t="s">
        <v>3868</v>
      </c>
      <c r="K5" s="13">
        <v>24343</v>
      </c>
      <c r="O5" t="s">
        <v>3498</v>
      </c>
      <c r="P5" t="s">
        <v>334</v>
      </c>
      <c r="U5">
        <v>10310</v>
      </c>
      <c r="V5">
        <f t="shared" si="0"/>
        <v>12589</v>
      </c>
      <c r="W5">
        <v>66709</v>
      </c>
      <c r="X5">
        <v>0.18871516586967277</v>
      </c>
      <c r="Y5">
        <v>37</v>
      </c>
    </row>
    <row r="6" spans="1:25" x14ac:dyDescent="0.25">
      <c r="A6" t="s">
        <v>3218</v>
      </c>
      <c r="B6" t="s">
        <v>2784</v>
      </c>
      <c r="C6" t="s">
        <v>3173</v>
      </c>
      <c r="D6" t="s">
        <v>3675</v>
      </c>
      <c r="E6">
        <v>74114</v>
      </c>
      <c r="F6">
        <v>27</v>
      </c>
      <c r="J6" s="14" t="s">
        <v>3233</v>
      </c>
      <c r="K6" s="14">
        <v>23336</v>
      </c>
      <c r="O6" t="s">
        <v>3328</v>
      </c>
      <c r="P6" t="s">
        <v>443</v>
      </c>
      <c r="U6">
        <v>10650</v>
      </c>
      <c r="V6">
        <f t="shared" si="0"/>
        <v>3053</v>
      </c>
      <c r="W6">
        <v>40263</v>
      </c>
      <c r="X6">
        <v>7.5826441149442411E-2</v>
      </c>
      <c r="Y6">
        <v>4</v>
      </c>
    </row>
    <row r="7" spans="1:25" x14ac:dyDescent="0.25">
      <c r="A7" t="s">
        <v>3218</v>
      </c>
      <c r="B7" t="s">
        <v>2784</v>
      </c>
      <c r="C7" t="s">
        <v>1541</v>
      </c>
      <c r="D7" t="s">
        <v>3294</v>
      </c>
      <c r="E7">
        <v>74111</v>
      </c>
      <c r="F7">
        <v>164</v>
      </c>
      <c r="J7" s="13" t="s">
        <v>3234</v>
      </c>
      <c r="K7" s="13">
        <v>24235</v>
      </c>
      <c r="O7" t="s">
        <v>3602</v>
      </c>
      <c r="P7" t="s">
        <v>1038</v>
      </c>
      <c r="U7">
        <v>10150</v>
      </c>
      <c r="V7">
        <f t="shared" si="0"/>
        <v>9946</v>
      </c>
      <c r="W7">
        <v>28319</v>
      </c>
      <c r="X7">
        <v>0.35121296655955364</v>
      </c>
      <c r="Y7">
        <v>18</v>
      </c>
    </row>
    <row r="8" spans="1:25" x14ac:dyDescent="0.25">
      <c r="A8" t="s">
        <v>3218</v>
      </c>
      <c r="B8" t="s">
        <v>2784</v>
      </c>
      <c r="C8" t="s">
        <v>1541</v>
      </c>
      <c r="D8" t="s">
        <v>3364</v>
      </c>
      <c r="E8">
        <v>74111</v>
      </c>
      <c r="F8">
        <v>73</v>
      </c>
      <c r="J8" s="13" t="s">
        <v>3235</v>
      </c>
      <c r="K8" s="13">
        <v>24211</v>
      </c>
      <c r="O8" t="s">
        <v>3690</v>
      </c>
      <c r="P8" t="s">
        <v>1261</v>
      </c>
      <c r="U8">
        <v>10250</v>
      </c>
      <c r="V8">
        <f t="shared" si="0"/>
        <v>1750</v>
      </c>
      <c r="W8">
        <v>890</v>
      </c>
      <c r="X8">
        <v>1.9662921348314606</v>
      </c>
      <c r="Y8">
        <v>5</v>
      </c>
    </row>
    <row r="9" spans="1:25" x14ac:dyDescent="0.25">
      <c r="A9" t="s">
        <v>3218</v>
      </c>
      <c r="B9" t="s">
        <v>2784</v>
      </c>
      <c r="C9" t="s">
        <v>1541</v>
      </c>
      <c r="D9" t="s">
        <v>3612</v>
      </c>
      <c r="E9">
        <v>74111</v>
      </c>
      <c r="F9">
        <v>240</v>
      </c>
      <c r="J9" s="13" t="s">
        <v>3869</v>
      </c>
      <c r="K9" s="13">
        <v>24211</v>
      </c>
      <c r="O9" t="s">
        <v>3689</v>
      </c>
      <c r="P9" t="s">
        <v>1261</v>
      </c>
      <c r="U9">
        <v>10210</v>
      </c>
      <c r="V9">
        <f t="shared" si="0"/>
        <v>11918</v>
      </c>
      <c r="W9">
        <v>53146</v>
      </c>
      <c r="X9">
        <v>0.22425017875286946</v>
      </c>
      <c r="Y9">
        <v>31</v>
      </c>
    </row>
    <row r="10" spans="1:25" x14ac:dyDescent="0.25">
      <c r="A10" t="s">
        <v>3218</v>
      </c>
      <c r="B10" t="s">
        <v>2784</v>
      </c>
      <c r="C10" t="s">
        <v>1541</v>
      </c>
      <c r="D10" t="s">
        <v>3622</v>
      </c>
      <c r="E10">
        <v>74111</v>
      </c>
      <c r="F10">
        <v>150</v>
      </c>
      <c r="J10" s="13" t="s">
        <v>3237</v>
      </c>
      <c r="K10" s="13">
        <v>21111</v>
      </c>
      <c r="O10" t="s">
        <v>3388</v>
      </c>
      <c r="P10" t="s">
        <v>199</v>
      </c>
      <c r="U10">
        <v>22359</v>
      </c>
      <c r="V10">
        <f t="shared" si="0"/>
        <v>953</v>
      </c>
      <c r="W10">
        <v>3162</v>
      </c>
      <c r="X10">
        <v>0.30139152435167615</v>
      </c>
      <c r="Y10">
        <v>3</v>
      </c>
    </row>
    <row r="11" spans="1:25" x14ac:dyDescent="0.25">
      <c r="A11" t="s">
        <v>3218</v>
      </c>
      <c r="B11" t="s">
        <v>3230</v>
      </c>
      <c r="C11" t="s">
        <v>1477</v>
      </c>
      <c r="D11" t="s">
        <v>3676</v>
      </c>
      <c r="E11">
        <v>72143</v>
      </c>
      <c r="F11">
        <v>600</v>
      </c>
      <c r="J11" s="13" t="s">
        <v>3870</v>
      </c>
      <c r="K11" s="13">
        <v>24417</v>
      </c>
      <c r="O11" t="s">
        <v>3631</v>
      </c>
      <c r="P11" t="s">
        <v>199</v>
      </c>
      <c r="U11">
        <v>23011</v>
      </c>
      <c r="V11">
        <f t="shared" si="0"/>
        <v>246</v>
      </c>
      <c r="W11">
        <v>1860</v>
      </c>
      <c r="X11">
        <v>0.13225806451612904</v>
      </c>
      <c r="Y11">
        <v>1</v>
      </c>
    </row>
    <row r="12" spans="1:25" x14ac:dyDescent="0.25">
      <c r="A12" t="s">
        <v>3218</v>
      </c>
      <c r="B12" t="s">
        <v>3218</v>
      </c>
      <c r="C12" t="s">
        <v>1442</v>
      </c>
      <c r="D12" t="s">
        <v>3855</v>
      </c>
      <c r="E12">
        <v>71281</v>
      </c>
      <c r="F12">
        <v>60</v>
      </c>
      <c r="J12" s="13" t="s">
        <v>3871</v>
      </c>
      <c r="K12" s="13">
        <v>24133</v>
      </c>
      <c r="O12" t="s">
        <v>3307</v>
      </c>
      <c r="P12" t="s">
        <v>1093</v>
      </c>
      <c r="U12">
        <v>23413</v>
      </c>
      <c r="V12">
        <f t="shared" si="0"/>
        <v>1508</v>
      </c>
      <c r="W12">
        <v>5333</v>
      </c>
      <c r="X12">
        <v>0.28276767297956124</v>
      </c>
      <c r="Y12">
        <v>2</v>
      </c>
    </row>
    <row r="13" spans="1:25" x14ac:dyDescent="0.25">
      <c r="A13" t="s">
        <v>3213</v>
      </c>
      <c r="B13" t="s">
        <v>1342</v>
      </c>
      <c r="C13" t="s">
        <v>1388</v>
      </c>
      <c r="D13" t="s">
        <v>3245</v>
      </c>
      <c r="E13">
        <v>63277</v>
      </c>
      <c r="F13">
        <v>88</v>
      </c>
      <c r="J13" s="13" t="s">
        <v>3238</v>
      </c>
      <c r="K13" s="13">
        <v>23251</v>
      </c>
      <c r="O13" t="s">
        <v>3481</v>
      </c>
      <c r="P13" t="s">
        <v>1093</v>
      </c>
      <c r="U13">
        <v>34276</v>
      </c>
      <c r="V13">
        <f t="shared" si="0"/>
        <v>179</v>
      </c>
      <c r="W13">
        <v>390</v>
      </c>
      <c r="X13">
        <v>0.45897435897435895</v>
      </c>
      <c r="Y13">
        <v>2</v>
      </c>
    </row>
    <row r="14" spans="1:25" x14ac:dyDescent="0.25">
      <c r="A14" t="s">
        <v>3213</v>
      </c>
      <c r="B14" t="s">
        <v>1342</v>
      </c>
      <c r="C14" t="s">
        <v>1388</v>
      </c>
      <c r="D14" t="s">
        <v>3318</v>
      </c>
      <c r="E14">
        <v>63277</v>
      </c>
      <c r="F14">
        <v>101</v>
      </c>
      <c r="J14" s="13" t="s">
        <v>3709</v>
      </c>
      <c r="K14" s="13">
        <v>10210</v>
      </c>
      <c r="O14" t="s">
        <v>3519</v>
      </c>
      <c r="P14" t="s">
        <v>1093</v>
      </c>
      <c r="U14">
        <v>23267</v>
      </c>
      <c r="V14">
        <f t="shared" si="0"/>
        <v>515</v>
      </c>
      <c r="W14">
        <v>4615</v>
      </c>
      <c r="X14">
        <v>0.11159263271939328</v>
      </c>
      <c r="Y14">
        <v>5</v>
      </c>
    </row>
    <row r="15" spans="1:25" x14ac:dyDescent="0.25">
      <c r="A15" t="s">
        <v>3213</v>
      </c>
      <c r="B15" t="s">
        <v>1342</v>
      </c>
      <c r="C15" t="s">
        <v>3066</v>
      </c>
      <c r="D15" t="s">
        <v>3311</v>
      </c>
      <c r="E15">
        <v>63254</v>
      </c>
      <c r="F15">
        <v>150</v>
      </c>
      <c r="J15" s="15" t="s">
        <v>3239</v>
      </c>
      <c r="K15" s="15">
        <v>24155</v>
      </c>
      <c r="O15" t="s">
        <v>3712</v>
      </c>
      <c r="P15" t="s">
        <v>2803</v>
      </c>
      <c r="U15">
        <v>62276</v>
      </c>
      <c r="V15">
        <f t="shared" si="0"/>
        <v>373</v>
      </c>
      <c r="W15">
        <v>10769</v>
      </c>
      <c r="X15">
        <v>3.4636456495496334E-2</v>
      </c>
      <c r="Y15">
        <v>3</v>
      </c>
    </row>
    <row r="16" spans="1:25" x14ac:dyDescent="0.25">
      <c r="A16" t="s">
        <v>3213</v>
      </c>
      <c r="B16" t="s">
        <v>1342</v>
      </c>
      <c r="C16" t="s">
        <v>3066</v>
      </c>
      <c r="D16" t="s">
        <v>3314</v>
      </c>
      <c r="E16">
        <v>63254</v>
      </c>
      <c r="F16">
        <v>100</v>
      </c>
      <c r="J16" s="13" t="s">
        <v>3240</v>
      </c>
      <c r="K16" s="13">
        <v>62111</v>
      </c>
      <c r="O16" t="s">
        <v>3371</v>
      </c>
      <c r="P16" t="s">
        <v>537</v>
      </c>
      <c r="U16">
        <v>24133</v>
      </c>
      <c r="V16">
        <f t="shared" si="0"/>
        <v>990</v>
      </c>
      <c r="W16">
        <v>27554</v>
      </c>
      <c r="X16">
        <v>3.5929447630108149E-2</v>
      </c>
      <c r="Y16">
        <v>5</v>
      </c>
    </row>
    <row r="17" spans="1:25" x14ac:dyDescent="0.25">
      <c r="A17" t="s">
        <v>3213</v>
      </c>
      <c r="B17" t="s">
        <v>1342</v>
      </c>
      <c r="C17" t="s">
        <v>1373</v>
      </c>
      <c r="D17" t="s">
        <v>3297</v>
      </c>
      <c r="E17">
        <v>63227</v>
      </c>
      <c r="F17">
        <v>43</v>
      </c>
      <c r="J17" s="15" t="s">
        <v>3241</v>
      </c>
      <c r="K17" s="15">
        <v>61111</v>
      </c>
      <c r="O17" t="s">
        <v>3340</v>
      </c>
      <c r="P17" t="s">
        <v>984</v>
      </c>
      <c r="U17">
        <v>21211</v>
      </c>
      <c r="V17">
        <f t="shared" si="0"/>
        <v>852</v>
      </c>
      <c r="W17">
        <v>23842</v>
      </c>
      <c r="X17">
        <v>3.5735257109302913E-2</v>
      </c>
      <c r="Y17">
        <v>2</v>
      </c>
    </row>
    <row r="18" spans="1:25" x14ac:dyDescent="0.25">
      <c r="A18" t="s">
        <v>3213</v>
      </c>
      <c r="B18" t="s">
        <v>1342</v>
      </c>
      <c r="C18" t="s">
        <v>1373</v>
      </c>
      <c r="D18" t="s">
        <v>3597</v>
      </c>
      <c r="E18">
        <v>63227</v>
      </c>
      <c r="F18">
        <v>44</v>
      </c>
      <c r="J18" s="15" t="s">
        <v>3242</v>
      </c>
      <c r="K18" s="15">
        <v>61111</v>
      </c>
      <c r="O18" t="s">
        <v>3249</v>
      </c>
      <c r="P18" t="s">
        <v>1201</v>
      </c>
      <c r="U18">
        <v>74175</v>
      </c>
      <c r="V18">
        <f t="shared" si="0"/>
        <v>21</v>
      </c>
      <c r="W18">
        <v>1266</v>
      </c>
      <c r="X18">
        <v>1.6587677725118485E-2</v>
      </c>
      <c r="Y18">
        <v>1</v>
      </c>
    </row>
    <row r="19" spans="1:25" x14ac:dyDescent="0.25">
      <c r="A19" t="s">
        <v>3213</v>
      </c>
      <c r="B19" t="s">
        <v>1342</v>
      </c>
      <c r="C19" t="s">
        <v>3055</v>
      </c>
      <c r="D19" t="s">
        <v>3278</v>
      </c>
      <c r="E19">
        <v>63144</v>
      </c>
      <c r="F19">
        <v>70</v>
      </c>
      <c r="J19" s="13" t="s">
        <v>3243</v>
      </c>
      <c r="K19" s="13">
        <v>61111</v>
      </c>
      <c r="O19" t="s">
        <v>3758</v>
      </c>
      <c r="P19" t="s">
        <v>20</v>
      </c>
      <c r="U19">
        <v>74131</v>
      </c>
      <c r="V19">
        <f t="shared" si="0"/>
        <v>144</v>
      </c>
      <c r="W19">
        <v>496</v>
      </c>
      <c r="X19">
        <v>0.29032258064516131</v>
      </c>
      <c r="Y19">
        <v>2</v>
      </c>
    </row>
    <row r="20" spans="1:25" x14ac:dyDescent="0.25">
      <c r="A20" t="s">
        <v>3213</v>
      </c>
      <c r="B20" t="s">
        <v>1342</v>
      </c>
      <c r="C20" t="s">
        <v>1346</v>
      </c>
      <c r="D20" t="s">
        <v>3277</v>
      </c>
      <c r="E20">
        <v>63124</v>
      </c>
      <c r="F20">
        <v>161</v>
      </c>
      <c r="J20" s="13" t="s">
        <v>3244</v>
      </c>
      <c r="K20" s="13">
        <v>61111</v>
      </c>
      <c r="O20" t="s">
        <v>3440</v>
      </c>
      <c r="P20" t="s">
        <v>228</v>
      </c>
      <c r="U20">
        <v>74124</v>
      </c>
      <c r="V20">
        <f t="shared" si="0"/>
        <v>57</v>
      </c>
      <c r="W20">
        <v>1778</v>
      </c>
      <c r="X20">
        <v>3.2058492688413945E-2</v>
      </c>
      <c r="Y20">
        <v>1</v>
      </c>
    </row>
    <row r="21" spans="1:25" x14ac:dyDescent="0.25">
      <c r="A21" t="s">
        <v>3213</v>
      </c>
      <c r="B21" t="s">
        <v>1342</v>
      </c>
      <c r="C21" t="s">
        <v>1346</v>
      </c>
      <c r="D21" t="s">
        <v>3349</v>
      </c>
      <c r="E21">
        <v>63124</v>
      </c>
      <c r="F21">
        <v>188</v>
      </c>
      <c r="J21" s="13" t="s">
        <v>3245</v>
      </c>
      <c r="K21" s="13">
        <v>63277</v>
      </c>
      <c r="O21" t="s">
        <v>3523</v>
      </c>
      <c r="P21" t="s">
        <v>201</v>
      </c>
      <c r="U21">
        <v>74114</v>
      </c>
      <c r="V21">
        <f t="shared" si="0"/>
        <v>27</v>
      </c>
      <c r="W21">
        <v>885</v>
      </c>
      <c r="X21">
        <v>3.0508474576271188E-2</v>
      </c>
      <c r="Y21">
        <v>1</v>
      </c>
    </row>
    <row r="22" spans="1:25" x14ac:dyDescent="0.25">
      <c r="A22" t="s">
        <v>3213</v>
      </c>
      <c r="B22" t="s">
        <v>1342</v>
      </c>
      <c r="C22" t="s">
        <v>1342</v>
      </c>
      <c r="D22" t="s">
        <v>3251</v>
      </c>
      <c r="E22">
        <v>63111</v>
      </c>
      <c r="F22">
        <v>100</v>
      </c>
      <c r="J22" s="13" t="s">
        <v>3246</v>
      </c>
      <c r="K22" s="13">
        <v>61159</v>
      </c>
      <c r="O22" t="s">
        <v>3428</v>
      </c>
      <c r="P22" t="s">
        <v>108</v>
      </c>
      <c r="U22">
        <v>74111</v>
      </c>
      <c r="V22">
        <f t="shared" si="0"/>
        <v>627</v>
      </c>
      <c r="W22">
        <v>6250</v>
      </c>
      <c r="X22">
        <v>0.10032000000000001</v>
      </c>
      <c r="Y22">
        <v>4</v>
      </c>
    </row>
    <row r="23" spans="1:25" x14ac:dyDescent="0.25">
      <c r="A23" t="s">
        <v>3213</v>
      </c>
      <c r="B23" t="s">
        <v>1342</v>
      </c>
      <c r="C23" t="s">
        <v>1342</v>
      </c>
      <c r="D23" t="s">
        <v>3252</v>
      </c>
      <c r="E23">
        <v>63111</v>
      </c>
      <c r="F23">
        <v>84</v>
      </c>
      <c r="J23" s="13" t="s">
        <v>3247</v>
      </c>
      <c r="K23" s="13">
        <v>61159</v>
      </c>
      <c r="O23" t="s">
        <v>3393</v>
      </c>
      <c r="P23" t="s">
        <v>193</v>
      </c>
      <c r="U23">
        <v>72143</v>
      </c>
      <c r="V23">
        <f t="shared" si="0"/>
        <v>600</v>
      </c>
      <c r="W23">
        <v>2276</v>
      </c>
      <c r="X23">
        <v>0.26362038664323373</v>
      </c>
      <c r="Y23">
        <v>1</v>
      </c>
    </row>
    <row r="24" spans="1:25" x14ac:dyDescent="0.25">
      <c r="A24" t="s">
        <v>3213</v>
      </c>
      <c r="B24" t="s">
        <v>1342</v>
      </c>
      <c r="C24" t="s">
        <v>1342</v>
      </c>
      <c r="D24" t="s">
        <v>3276</v>
      </c>
      <c r="E24">
        <v>63111</v>
      </c>
      <c r="F24">
        <v>164</v>
      </c>
      <c r="J24" s="13" t="s">
        <v>3248</v>
      </c>
      <c r="K24" s="13">
        <v>61323</v>
      </c>
      <c r="O24" t="s">
        <v>3456</v>
      </c>
      <c r="P24" t="s">
        <v>297</v>
      </c>
      <c r="U24">
        <v>71281</v>
      </c>
      <c r="V24">
        <f t="shared" si="0"/>
        <v>60</v>
      </c>
      <c r="W24">
        <v>3693</v>
      </c>
      <c r="X24">
        <v>1.6246953696181964E-2</v>
      </c>
      <c r="Y24">
        <v>1</v>
      </c>
    </row>
    <row r="25" spans="1:25" x14ac:dyDescent="0.25">
      <c r="A25" t="s">
        <v>3213</v>
      </c>
      <c r="B25" t="s">
        <v>1342</v>
      </c>
      <c r="C25" t="s">
        <v>1342</v>
      </c>
      <c r="D25" t="s">
        <v>3296</v>
      </c>
      <c r="E25">
        <v>63111</v>
      </c>
      <c r="F25">
        <v>186</v>
      </c>
      <c r="J25" s="13" t="s">
        <v>3249</v>
      </c>
      <c r="K25" s="13">
        <v>61244</v>
      </c>
      <c r="O25" t="s">
        <v>3476</v>
      </c>
      <c r="P25" t="s">
        <v>1193</v>
      </c>
      <c r="U25">
        <v>63277</v>
      </c>
      <c r="V25">
        <f t="shared" si="0"/>
        <v>189</v>
      </c>
      <c r="W25">
        <v>1611</v>
      </c>
      <c r="X25">
        <v>0.11731843575418995</v>
      </c>
      <c r="Y25">
        <v>2</v>
      </c>
    </row>
    <row r="26" spans="1:25" x14ac:dyDescent="0.25">
      <c r="A26" t="s">
        <v>3213</v>
      </c>
      <c r="B26" t="s">
        <v>1342</v>
      </c>
      <c r="C26" t="s">
        <v>1342</v>
      </c>
      <c r="D26" t="s">
        <v>3299</v>
      </c>
      <c r="E26">
        <v>63111</v>
      </c>
      <c r="F26">
        <v>161</v>
      </c>
      <c r="J26" s="13" t="s">
        <v>3250</v>
      </c>
      <c r="K26" s="13">
        <v>61335</v>
      </c>
      <c r="O26" t="s">
        <v>3628</v>
      </c>
      <c r="P26" t="s">
        <v>357</v>
      </c>
      <c r="U26">
        <v>63254</v>
      </c>
      <c r="V26">
        <f t="shared" si="0"/>
        <v>250</v>
      </c>
      <c r="W26">
        <v>395</v>
      </c>
      <c r="X26">
        <v>0.63291139240506333</v>
      </c>
      <c r="Y26">
        <v>2</v>
      </c>
    </row>
    <row r="27" spans="1:25" x14ac:dyDescent="0.25">
      <c r="A27" t="s">
        <v>3213</v>
      </c>
      <c r="B27" t="s">
        <v>1342</v>
      </c>
      <c r="C27" t="s">
        <v>3066</v>
      </c>
      <c r="D27" t="s">
        <v>3432</v>
      </c>
      <c r="E27">
        <v>63111</v>
      </c>
      <c r="F27">
        <v>78</v>
      </c>
      <c r="J27" s="13" t="s">
        <v>3251</v>
      </c>
      <c r="K27" s="13">
        <v>63111</v>
      </c>
      <c r="O27" t="s">
        <v>3675</v>
      </c>
      <c r="P27" t="s">
        <v>1543</v>
      </c>
      <c r="U27">
        <v>63227</v>
      </c>
      <c r="V27">
        <f t="shared" si="0"/>
        <v>87</v>
      </c>
      <c r="W27">
        <v>594</v>
      </c>
      <c r="X27">
        <v>0.14646464646464646</v>
      </c>
      <c r="Y27">
        <v>2</v>
      </c>
    </row>
    <row r="28" spans="1:25" x14ac:dyDescent="0.25">
      <c r="A28" t="s">
        <v>3213</v>
      </c>
      <c r="B28" t="s">
        <v>1342</v>
      </c>
      <c r="C28" t="s">
        <v>1342</v>
      </c>
      <c r="D28" t="s">
        <v>3502</v>
      </c>
      <c r="E28">
        <v>63111</v>
      </c>
      <c r="F28">
        <v>23</v>
      </c>
      <c r="J28" s="13" t="s">
        <v>3252</v>
      </c>
      <c r="K28" s="13">
        <v>63111</v>
      </c>
      <c r="O28" t="s">
        <v>3296</v>
      </c>
      <c r="P28" t="s">
        <v>1342</v>
      </c>
      <c r="U28">
        <v>63144</v>
      </c>
      <c r="V28">
        <f t="shared" si="0"/>
        <v>70</v>
      </c>
      <c r="W28">
        <v>675</v>
      </c>
      <c r="X28">
        <v>0.1037037037037037</v>
      </c>
      <c r="Y28">
        <v>1</v>
      </c>
    </row>
    <row r="29" spans="1:25" x14ac:dyDescent="0.25">
      <c r="A29" t="s">
        <v>3213</v>
      </c>
      <c r="B29" t="s">
        <v>1267</v>
      </c>
      <c r="C29" t="s">
        <v>3159</v>
      </c>
      <c r="D29" t="s">
        <v>3849</v>
      </c>
      <c r="E29">
        <v>62276</v>
      </c>
      <c r="F29">
        <v>32</v>
      </c>
      <c r="J29" s="16" t="s">
        <v>3872</v>
      </c>
      <c r="K29" s="16">
        <v>51234</v>
      </c>
      <c r="O29" t="s">
        <v>3487</v>
      </c>
      <c r="P29" t="s">
        <v>1548</v>
      </c>
      <c r="U29">
        <v>63124</v>
      </c>
      <c r="V29">
        <f t="shared" si="0"/>
        <v>349</v>
      </c>
      <c r="W29">
        <v>1054</v>
      </c>
      <c r="X29">
        <v>0.33111954459203036</v>
      </c>
      <c r="Y29">
        <v>2</v>
      </c>
    </row>
    <row r="30" spans="1:25" x14ac:dyDescent="0.25">
      <c r="A30" t="s">
        <v>3213</v>
      </c>
      <c r="B30" t="s">
        <v>1267</v>
      </c>
      <c r="C30" t="s">
        <v>3207</v>
      </c>
      <c r="D30" t="s">
        <v>3860</v>
      </c>
      <c r="E30">
        <v>62276</v>
      </c>
      <c r="F30">
        <v>300</v>
      </c>
      <c r="J30" s="13" t="s">
        <v>3873</v>
      </c>
      <c r="K30" s="13">
        <v>51131</v>
      </c>
      <c r="O30" t="s">
        <v>3660</v>
      </c>
      <c r="P30" t="s">
        <v>272</v>
      </c>
      <c r="U30">
        <v>63111</v>
      </c>
      <c r="V30">
        <f t="shared" si="0"/>
        <v>796</v>
      </c>
      <c r="W30">
        <v>7053</v>
      </c>
      <c r="X30">
        <v>0.11285977598185169</v>
      </c>
      <c r="Y30">
        <v>7</v>
      </c>
    </row>
    <row r="31" spans="1:25" x14ac:dyDescent="0.25">
      <c r="A31" t="s">
        <v>3213</v>
      </c>
      <c r="B31" t="s">
        <v>1267</v>
      </c>
      <c r="C31" t="s">
        <v>3159</v>
      </c>
      <c r="D31" t="s">
        <v>3633</v>
      </c>
      <c r="E31">
        <v>62276</v>
      </c>
      <c r="F31">
        <v>41</v>
      </c>
      <c r="J31" s="13" t="s">
        <v>3253</v>
      </c>
      <c r="K31" s="13">
        <v>52227</v>
      </c>
      <c r="O31" t="s">
        <v>3295</v>
      </c>
      <c r="P31" t="s">
        <v>322</v>
      </c>
      <c r="U31">
        <v>62245</v>
      </c>
      <c r="V31">
        <f t="shared" si="0"/>
        <v>66</v>
      </c>
      <c r="W31">
        <v>2333</v>
      </c>
      <c r="X31">
        <v>2.8289755679382769E-2</v>
      </c>
      <c r="Y31">
        <v>1</v>
      </c>
    </row>
    <row r="32" spans="1:25" x14ac:dyDescent="0.25">
      <c r="A32" t="s">
        <v>3213</v>
      </c>
      <c r="B32" t="s">
        <v>1267</v>
      </c>
      <c r="C32" t="s">
        <v>3202</v>
      </c>
      <c r="D32" t="s">
        <v>3833</v>
      </c>
      <c r="E32">
        <v>62245</v>
      </c>
      <c r="F32">
        <v>66</v>
      </c>
      <c r="J32" s="13" t="s">
        <v>3874</v>
      </c>
      <c r="K32" s="13">
        <v>52244</v>
      </c>
      <c r="O32" t="s">
        <v>3394</v>
      </c>
      <c r="P32" t="s">
        <v>262</v>
      </c>
      <c r="U32">
        <v>62215</v>
      </c>
      <c r="V32">
        <f t="shared" si="0"/>
        <v>161</v>
      </c>
      <c r="W32">
        <v>1517</v>
      </c>
      <c r="X32">
        <v>0.1061305207646671</v>
      </c>
      <c r="Y32">
        <v>1</v>
      </c>
    </row>
    <row r="33" spans="1:25" x14ac:dyDescent="0.25">
      <c r="A33" t="s">
        <v>3213</v>
      </c>
      <c r="B33" t="s">
        <v>1267</v>
      </c>
      <c r="C33" t="s">
        <v>1267</v>
      </c>
      <c r="D33" t="s">
        <v>3350</v>
      </c>
      <c r="E33">
        <v>62215</v>
      </c>
      <c r="F33">
        <v>161</v>
      </c>
      <c r="J33" s="13" t="s">
        <v>3254</v>
      </c>
      <c r="K33" s="13">
        <v>52237</v>
      </c>
      <c r="O33" t="s">
        <v>3621</v>
      </c>
      <c r="P33" t="s">
        <v>311</v>
      </c>
      <c r="U33">
        <v>62111</v>
      </c>
      <c r="V33">
        <f t="shared" si="0"/>
        <v>936</v>
      </c>
      <c r="W33">
        <v>42876</v>
      </c>
      <c r="X33">
        <v>2.1830394626364401E-2</v>
      </c>
      <c r="Y33">
        <v>11</v>
      </c>
    </row>
    <row r="34" spans="1:25" x14ac:dyDescent="0.25">
      <c r="A34" t="s">
        <v>3213</v>
      </c>
      <c r="B34" t="s">
        <v>1267</v>
      </c>
      <c r="C34" t="s">
        <v>1267</v>
      </c>
      <c r="D34" t="s">
        <v>3240</v>
      </c>
      <c r="E34">
        <v>62111</v>
      </c>
      <c r="F34">
        <v>18</v>
      </c>
      <c r="J34" s="13" t="s">
        <v>3255</v>
      </c>
      <c r="K34" s="13">
        <v>55144</v>
      </c>
      <c r="O34" t="s">
        <v>3650</v>
      </c>
      <c r="P34" t="s">
        <v>375</v>
      </c>
      <c r="U34">
        <v>61493</v>
      </c>
      <c r="V34">
        <f t="shared" si="0"/>
        <v>60</v>
      </c>
      <c r="W34">
        <v>2576</v>
      </c>
      <c r="X34">
        <v>2.3291925465838508E-2</v>
      </c>
      <c r="Y34">
        <v>1</v>
      </c>
    </row>
    <row r="35" spans="1:25" x14ac:dyDescent="0.25">
      <c r="A35" t="s">
        <v>3213</v>
      </c>
      <c r="B35" t="s">
        <v>1267</v>
      </c>
      <c r="C35" t="s">
        <v>1267</v>
      </c>
      <c r="D35" t="s">
        <v>3272</v>
      </c>
      <c r="E35">
        <v>62111</v>
      </c>
      <c r="F35">
        <v>65</v>
      </c>
      <c r="J35" s="13" t="s">
        <v>3875</v>
      </c>
      <c r="K35" s="13">
        <v>55124</v>
      </c>
      <c r="O35" t="s">
        <v>3522</v>
      </c>
      <c r="P35" t="s">
        <v>375</v>
      </c>
      <c r="U35">
        <v>61489</v>
      </c>
      <c r="V35">
        <f t="shared" si="0"/>
        <v>293</v>
      </c>
      <c r="W35">
        <v>4412</v>
      </c>
      <c r="X35">
        <v>6.6409791477787847E-2</v>
      </c>
      <c r="Y35">
        <v>2</v>
      </c>
    </row>
    <row r="36" spans="1:25" x14ac:dyDescent="0.25">
      <c r="A36" t="s">
        <v>3213</v>
      </c>
      <c r="B36" t="s">
        <v>1267</v>
      </c>
      <c r="C36" t="s">
        <v>1267</v>
      </c>
      <c r="D36" t="s">
        <v>3273</v>
      </c>
      <c r="E36">
        <v>62111</v>
      </c>
      <c r="F36">
        <v>91</v>
      </c>
      <c r="J36" s="13" t="s">
        <v>3256</v>
      </c>
      <c r="K36" s="13">
        <v>51125</v>
      </c>
      <c r="O36" t="s">
        <v>3812</v>
      </c>
      <c r="P36" t="s">
        <v>17</v>
      </c>
      <c r="U36">
        <v>61483</v>
      </c>
      <c r="V36">
        <f t="shared" si="0"/>
        <v>109</v>
      </c>
      <c r="W36">
        <v>672</v>
      </c>
      <c r="X36">
        <v>0.16220238095238096</v>
      </c>
      <c r="Y36">
        <v>1</v>
      </c>
    </row>
    <row r="37" spans="1:25" x14ac:dyDescent="0.25">
      <c r="A37" t="s">
        <v>3213</v>
      </c>
      <c r="B37" t="s">
        <v>1267</v>
      </c>
      <c r="C37" t="s">
        <v>1267</v>
      </c>
      <c r="D37" t="s">
        <v>3274</v>
      </c>
      <c r="E37">
        <v>62111</v>
      </c>
      <c r="F37">
        <v>19</v>
      </c>
      <c r="J37" s="13" t="s">
        <v>3876</v>
      </c>
      <c r="K37" s="13">
        <v>51131</v>
      </c>
      <c r="O37" t="s">
        <v>3531</v>
      </c>
      <c r="P37" t="s">
        <v>1193</v>
      </c>
      <c r="U37">
        <v>61476</v>
      </c>
      <c r="V37">
        <f t="shared" si="0"/>
        <v>31</v>
      </c>
      <c r="W37">
        <v>656</v>
      </c>
      <c r="X37">
        <v>4.725609756097561E-2</v>
      </c>
      <c r="Y37">
        <v>1</v>
      </c>
    </row>
    <row r="38" spans="1:25" x14ac:dyDescent="0.25">
      <c r="A38" t="s">
        <v>3213</v>
      </c>
      <c r="B38" t="s">
        <v>1267</v>
      </c>
      <c r="C38" t="s">
        <v>1267</v>
      </c>
      <c r="D38" t="s">
        <v>3275</v>
      </c>
      <c r="E38">
        <v>62111</v>
      </c>
      <c r="F38">
        <v>118</v>
      </c>
      <c r="J38" s="13" t="s">
        <v>3257</v>
      </c>
      <c r="K38" s="13">
        <v>51131</v>
      </c>
      <c r="O38" t="s">
        <v>3380</v>
      </c>
      <c r="P38" t="s">
        <v>766</v>
      </c>
      <c r="U38">
        <v>61464</v>
      </c>
      <c r="V38">
        <f t="shared" si="0"/>
        <v>52</v>
      </c>
      <c r="W38">
        <v>1534</v>
      </c>
      <c r="X38">
        <v>3.3898305084745763E-2</v>
      </c>
      <c r="Y38">
        <v>1</v>
      </c>
    </row>
    <row r="39" spans="1:25" x14ac:dyDescent="0.25">
      <c r="A39" t="s">
        <v>3213</v>
      </c>
      <c r="B39" t="s">
        <v>1267</v>
      </c>
      <c r="C39" t="s">
        <v>1267</v>
      </c>
      <c r="D39" t="s">
        <v>3317</v>
      </c>
      <c r="E39">
        <v>62111</v>
      </c>
      <c r="F39">
        <v>150</v>
      </c>
      <c r="J39" s="13" t="s">
        <v>3258</v>
      </c>
      <c r="K39" s="13">
        <v>55174</v>
      </c>
      <c r="O39" t="s">
        <v>3465</v>
      </c>
      <c r="P39" t="s">
        <v>2876</v>
      </c>
      <c r="U39">
        <v>61463</v>
      </c>
      <c r="V39">
        <f t="shared" si="0"/>
        <v>350</v>
      </c>
      <c r="W39">
        <v>2920</v>
      </c>
      <c r="X39">
        <v>0.11986301369863013</v>
      </c>
      <c r="Y39">
        <v>2</v>
      </c>
    </row>
    <row r="40" spans="1:25" x14ac:dyDescent="0.25">
      <c r="A40" t="s">
        <v>3213</v>
      </c>
      <c r="B40" t="s">
        <v>1267</v>
      </c>
      <c r="C40" t="s">
        <v>1267</v>
      </c>
      <c r="D40" t="s">
        <v>3433</v>
      </c>
      <c r="E40">
        <v>62111</v>
      </c>
      <c r="F40">
        <v>64</v>
      </c>
      <c r="J40" s="13" t="s">
        <v>3259</v>
      </c>
      <c r="K40" s="13">
        <v>55114</v>
      </c>
      <c r="O40" t="s">
        <v>3633</v>
      </c>
      <c r="P40" t="s">
        <v>1313</v>
      </c>
      <c r="U40">
        <v>61453</v>
      </c>
      <c r="V40">
        <f t="shared" si="0"/>
        <v>334</v>
      </c>
      <c r="W40">
        <v>3473</v>
      </c>
      <c r="X40">
        <v>9.6170457817448887E-2</v>
      </c>
      <c r="Y40">
        <v>2</v>
      </c>
    </row>
    <row r="41" spans="1:25" x14ac:dyDescent="0.25">
      <c r="A41" t="s">
        <v>3213</v>
      </c>
      <c r="B41" t="s">
        <v>1267</v>
      </c>
      <c r="C41" t="s">
        <v>1267</v>
      </c>
      <c r="D41" t="s">
        <v>3434</v>
      </c>
      <c r="E41">
        <v>62111</v>
      </c>
      <c r="F41">
        <v>27</v>
      </c>
      <c r="J41" s="13" t="s">
        <v>3260</v>
      </c>
      <c r="K41" s="13">
        <v>52277</v>
      </c>
      <c r="O41" t="s">
        <v>3398</v>
      </c>
      <c r="P41" t="s">
        <v>2814</v>
      </c>
      <c r="U41">
        <v>61335</v>
      </c>
      <c r="V41">
        <f t="shared" si="0"/>
        <v>332</v>
      </c>
      <c r="W41">
        <v>5623</v>
      </c>
      <c r="X41">
        <v>5.9043215365463274E-2</v>
      </c>
      <c r="Y41">
        <v>1</v>
      </c>
    </row>
    <row r="42" spans="1:25" x14ac:dyDescent="0.25">
      <c r="A42" t="s">
        <v>3213</v>
      </c>
      <c r="B42" t="s">
        <v>1267</v>
      </c>
      <c r="C42" t="s">
        <v>1267</v>
      </c>
      <c r="D42" t="s">
        <v>3435</v>
      </c>
      <c r="E42">
        <v>62111</v>
      </c>
      <c r="F42">
        <v>101</v>
      </c>
      <c r="J42" s="13" t="s">
        <v>3261</v>
      </c>
      <c r="K42" s="13">
        <v>52217</v>
      </c>
      <c r="O42" t="s">
        <v>3459</v>
      </c>
      <c r="P42" t="s">
        <v>6921</v>
      </c>
      <c r="U42">
        <v>61323</v>
      </c>
      <c r="V42">
        <f t="shared" si="0"/>
        <v>749</v>
      </c>
      <c r="W42">
        <v>3196</v>
      </c>
      <c r="X42">
        <v>0.23435544430538172</v>
      </c>
      <c r="Y42">
        <v>5</v>
      </c>
    </row>
    <row r="43" spans="1:25" x14ac:dyDescent="0.25">
      <c r="A43" t="s">
        <v>3213</v>
      </c>
      <c r="B43" t="s">
        <v>1267</v>
      </c>
      <c r="C43" t="s">
        <v>1267</v>
      </c>
      <c r="D43" t="s">
        <v>3625</v>
      </c>
      <c r="E43">
        <v>62111</v>
      </c>
      <c r="F43">
        <v>112</v>
      </c>
      <c r="J43" s="13" t="s">
        <v>3262</v>
      </c>
      <c r="K43" s="13">
        <v>52224</v>
      </c>
      <c r="O43" t="s">
        <v>3846</v>
      </c>
      <c r="P43" t="s">
        <v>911</v>
      </c>
      <c r="U43">
        <v>61311</v>
      </c>
      <c r="V43">
        <f t="shared" si="0"/>
        <v>343</v>
      </c>
      <c r="W43">
        <v>12215</v>
      </c>
      <c r="X43">
        <v>2.8080229226361032E-2</v>
      </c>
      <c r="Y43">
        <v>2</v>
      </c>
    </row>
    <row r="44" spans="1:25" x14ac:dyDescent="0.25">
      <c r="A44" t="s">
        <v>3213</v>
      </c>
      <c r="B44" t="s">
        <v>1267</v>
      </c>
      <c r="C44" t="s">
        <v>1267</v>
      </c>
      <c r="D44" t="s">
        <v>3682</v>
      </c>
      <c r="E44">
        <v>62111</v>
      </c>
      <c r="F44">
        <v>171</v>
      </c>
      <c r="J44" s="13" t="s">
        <v>3263</v>
      </c>
      <c r="K44" s="13">
        <v>52156</v>
      </c>
      <c r="O44" t="s">
        <v>3665</v>
      </c>
      <c r="P44" t="s">
        <v>329</v>
      </c>
      <c r="U44">
        <v>61255</v>
      </c>
      <c r="V44">
        <f t="shared" si="0"/>
        <v>543</v>
      </c>
      <c r="W44">
        <v>2100</v>
      </c>
      <c r="X44">
        <v>0.25857142857142856</v>
      </c>
      <c r="Y44">
        <v>1</v>
      </c>
    </row>
    <row r="45" spans="1:25" x14ac:dyDescent="0.25">
      <c r="A45" t="s">
        <v>3213</v>
      </c>
      <c r="B45" t="s">
        <v>3039</v>
      </c>
      <c r="C45" t="s">
        <v>2025</v>
      </c>
      <c r="D45" t="s">
        <v>3643</v>
      </c>
      <c r="E45">
        <v>61493</v>
      </c>
      <c r="F45">
        <v>60</v>
      </c>
      <c r="J45" s="13" t="s">
        <v>3877</v>
      </c>
      <c r="K45" s="13">
        <v>51281</v>
      </c>
      <c r="O45" t="s">
        <v>3330</v>
      </c>
      <c r="P45" t="s">
        <v>843</v>
      </c>
      <c r="U45">
        <v>61244</v>
      </c>
      <c r="V45">
        <f t="shared" si="0"/>
        <v>549</v>
      </c>
      <c r="W45">
        <v>8407</v>
      </c>
      <c r="X45">
        <v>6.5302723920542399E-2</v>
      </c>
      <c r="Y45">
        <v>1</v>
      </c>
    </row>
    <row r="46" spans="1:25" x14ac:dyDescent="0.25">
      <c r="A46" t="s">
        <v>3213</v>
      </c>
      <c r="B46" t="s">
        <v>3039</v>
      </c>
      <c r="C46" t="s">
        <v>1261</v>
      </c>
      <c r="D46" t="s">
        <v>3689</v>
      </c>
      <c r="E46">
        <v>61489</v>
      </c>
      <c r="F46">
        <v>44</v>
      </c>
      <c r="J46" s="13" t="s">
        <v>3264</v>
      </c>
      <c r="K46" s="13">
        <v>52136</v>
      </c>
      <c r="O46" t="s">
        <v>3833</v>
      </c>
      <c r="P46" t="s">
        <v>1294</v>
      </c>
      <c r="U46">
        <v>61183</v>
      </c>
      <c r="V46">
        <f t="shared" si="0"/>
        <v>871</v>
      </c>
      <c r="W46">
        <v>21548</v>
      </c>
      <c r="X46">
        <v>4.0421384815296085E-2</v>
      </c>
      <c r="Y46">
        <v>2</v>
      </c>
    </row>
    <row r="47" spans="1:25" x14ac:dyDescent="0.25">
      <c r="A47" t="s">
        <v>3213</v>
      </c>
      <c r="B47" t="s">
        <v>3039</v>
      </c>
      <c r="C47" t="s">
        <v>1261</v>
      </c>
      <c r="D47" t="s">
        <v>3690</v>
      </c>
      <c r="E47">
        <v>61489</v>
      </c>
      <c r="F47">
        <v>249</v>
      </c>
      <c r="J47" s="13" t="s">
        <v>3265</v>
      </c>
      <c r="K47" s="13">
        <v>33113</v>
      </c>
      <c r="O47" t="s">
        <v>3445</v>
      </c>
      <c r="P47" t="s">
        <v>331</v>
      </c>
      <c r="U47">
        <v>61159</v>
      </c>
      <c r="V47">
        <f t="shared" si="0"/>
        <v>1006</v>
      </c>
      <c r="W47">
        <v>12374</v>
      </c>
      <c r="X47">
        <v>8.1299498949410048E-2</v>
      </c>
      <c r="Y47">
        <v>5</v>
      </c>
    </row>
    <row r="48" spans="1:25" x14ac:dyDescent="0.25">
      <c r="A48" t="s">
        <v>3213</v>
      </c>
      <c r="B48" t="s">
        <v>3039</v>
      </c>
      <c r="C48" t="s">
        <v>3162</v>
      </c>
      <c r="D48" t="s">
        <v>3641</v>
      </c>
      <c r="E48">
        <v>61483</v>
      </c>
      <c r="F48">
        <v>109</v>
      </c>
      <c r="J48" s="13" t="s">
        <v>3878</v>
      </c>
      <c r="K48" s="13">
        <v>31181</v>
      </c>
      <c r="O48" t="s">
        <v>3406</v>
      </c>
      <c r="P48" t="s">
        <v>1087</v>
      </c>
      <c r="U48">
        <v>61119</v>
      </c>
      <c r="V48">
        <f t="shared" si="0"/>
        <v>1707</v>
      </c>
      <c r="W48">
        <v>56168</v>
      </c>
      <c r="X48">
        <v>3.0390969947300953E-2</v>
      </c>
      <c r="Y48">
        <v>10</v>
      </c>
    </row>
    <row r="49" spans="1:25" x14ac:dyDescent="0.25">
      <c r="A49" t="s">
        <v>3213</v>
      </c>
      <c r="B49" t="s">
        <v>3039</v>
      </c>
      <c r="C49" t="s">
        <v>2982</v>
      </c>
      <c r="D49" t="s">
        <v>3344</v>
      </c>
      <c r="E49">
        <v>61476</v>
      </c>
      <c r="F49">
        <v>31</v>
      </c>
      <c r="J49" s="13" t="s">
        <v>3879</v>
      </c>
      <c r="K49" s="13">
        <v>53377</v>
      </c>
      <c r="O49" t="s">
        <v>3664</v>
      </c>
      <c r="P49" t="s">
        <v>444</v>
      </c>
      <c r="U49">
        <v>61115</v>
      </c>
      <c r="V49">
        <f t="shared" si="0"/>
        <v>1864</v>
      </c>
      <c r="W49">
        <v>8391</v>
      </c>
      <c r="X49">
        <v>0.22214277201763794</v>
      </c>
      <c r="Y49">
        <v>9</v>
      </c>
    </row>
    <row r="50" spans="1:25" x14ac:dyDescent="0.25">
      <c r="A50" t="s">
        <v>3213</v>
      </c>
      <c r="B50" t="s">
        <v>3039</v>
      </c>
      <c r="C50" t="s">
        <v>3056</v>
      </c>
      <c r="D50" t="s">
        <v>3282</v>
      </c>
      <c r="E50">
        <v>61464</v>
      </c>
      <c r="F50">
        <v>52</v>
      </c>
      <c r="J50" s="13" t="s">
        <v>3880</v>
      </c>
      <c r="K50" s="13">
        <v>53413</v>
      </c>
      <c r="O50" t="s">
        <v>3291</v>
      </c>
      <c r="P50" t="s">
        <v>980</v>
      </c>
      <c r="U50">
        <v>61111</v>
      </c>
      <c r="V50">
        <f t="shared" si="0"/>
        <v>1796</v>
      </c>
      <c r="W50">
        <v>8354</v>
      </c>
      <c r="X50">
        <v>0.21498683265501556</v>
      </c>
      <c r="Y50">
        <v>4</v>
      </c>
    </row>
    <row r="51" spans="1:25" x14ac:dyDescent="0.25">
      <c r="A51" t="s">
        <v>3213</v>
      </c>
      <c r="B51" t="s">
        <v>3039</v>
      </c>
      <c r="C51" t="s">
        <v>2977</v>
      </c>
      <c r="D51" t="s">
        <v>3312</v>
      </c>
      <c r="E51">
        <v>61463</v>
      </c>
      <c r="F51">
        <v>50</v>
      </c>
      <c r="J51" s="16" t="s">
        <v>3872</v>
      </c>
      <c r="K51" s="16">
        <v>53241</v>
      </c>
      <c r="O51" t="s">
        <v>3829</v>
      </c>
      <c r="P51" t="s">
        <v>2964</v>
      </c>
      <c r="U51">
        <v>55181</v>
      </c>
      <c r="V51">
        <f t="shared" si="0"/>
        <v>540</v>
      </c>
      <c r="W51">
        <v>738</v>
      </c>
      <c r="X51">
        <v>0.73170731707317072</v>
      </c>
      <c r="Y51">
        <v>1</v>
      </c>
    </row>
    <row r="52" spans="1:25" x14ac:dyDescent="0.25">
      <c r="A52" t="s">
        <v>3213</v>
      </c>
      <c r="B52" t="s">
        <v>3039</v>
      </c>
      <c r="C52" t="s">
        <v>2977</v>
      </c>
      <c r="D52" t="s">
        <v>3863</v>
      </c>
      <c r="E52">
        <v>61463</v>
      </c>
      <c r="F52">
        <v>300</v>
      </c>
      <c r="J52" s="15" t="s">
        <v>3266</v>
      </c>
      <c r="K52" s="15">
        <v>53211</v>
      </c>
      <c r="O52" t="s">
        <v>3642</v>
      </c>
      <c r="P52" t="s">
        <v>2964</v>
      </c>
      <c r="U52">
        <v>55174</v>
      </c>
      <c r="V52">
        <f t="shared" si="0"/>
        <v>610</v>
      </c>
      <c r="W52">
        <v>1130</v>
      </c>
      <c r="X52">
        <v>0.53982300884955747</v>
      </c>
      <c r="Y52">
        <v>1</v>
      </c>
    </row>
    <row r="53" spans="1:25" x14ac:dyDescent="0.25">
      <c r="A53" t="s">
        <v>3213</v>
      </c>
      <c r="B53" t="s">
        <v>3039</v>
      </c>
      <c r="C53" t="s">
        <v>3161</v>
      </c>
      <c r="D53" t="s">
        <v>3637</v>
      </c>
      <c r="E53">
        <v>61453</v>
      </c>
      <c r="F53">
        <v>151</v>
      </c>
      <c r="J53" s="13" t="s">
        <v>3881</v>
      </c>
      <c r="K53" s="13">
        <v>53231</v>
      </c>
      <c r="O53" t="s">
        <v>3618</v>
      </c>
      <c r="P53" t="s">
        <v>2806</v>
      </c>
      <c r="U53">
        <v>55164</v>
      </c>
      <c r="V53">
        <f t="shared" si="0"/>
        <v>395</v>
      </c>
      <c r="W53">
        <v>1385</v>
      </c>
      <c r="X53">
        <v>0.2851985559566787</v>
      </c>
      <c r="Y53">
        <v>2</v>
      </c>
    </row>
    <row r="54" spans="1:25" x14ac:dyDescent="0.25">
      <c r="A54" t="s">
        <v>3213</v>
      </c>
      <c r="B54" t="s">
        <v>3039</v>
      </c>
      <c r="C54" t="s">
        <v>3161</v>
      </c>
      <c r="D54" t="s">
        <v>3638</v>
      </c>
      <c r="E54">
        <v>61453</v>
      </c>
      <c r="F54">
        <v>183</v>
      </c>
      <c r="J54" s="13" t="s">
        <v>3882</v>
      </c>
      <c r="K54" s="13">
        <v>53211</v>
      </c>
      <c r="O54" t="s">
        <v>3506</v>
      </c>
      <c r="P54" t="s">
        <v>2894</v>
      </c>
      <c r="U54">
        <v>55157</v>
      </c>
      <c r="V54">
        <f t="shared" si="0"/>
        <v>717</v>
      </c>
      <c r="W54">
        <v>2095</v>
      </c>
      <c r="X54">
        <v>0.34224343675417662</v>
      </c>
      <c r="Y54">
        <v>2</v>
      </c>
    </row>
    <row r="55" spans="1:25" x14ac:dyDescent="0.25">
      <c r="A55" t="s">
        <v>3213</v>
      </c>
      <c r="B55" t="s">
        <v>3039</v>
      </c>
      <c r="C55" t="s">
        <v>3042</v>
      </c>
      <c r="D55" t="s">
        <v>3250</v>
      </c>
      <c r="E55">
        <v>61335</v>
      </c>
      <c r="F55">
        <v>332</v>
      </c>
      <c r="J55" s="13" t="s">
        <v>3267</v>
      </c>
      <c r="K55" s="13">
        <v>53214</v>
      </c>
      <c r="O55" t="s">
        <v>3729</v>
      </c>
      <c r="P55" t="s">
        <v>21</v>
      </c>
      <c r="U55">
        <v>55154</v>
      </c>
      <c r="V55">
        <f t="shared" si="0"/>
        <v>270</v>
      </c>
      <c r="W55">
        <v>641</v>
      </c>
      <c r="X55">
        <v>0.42121684867394693</v>
      </c>
      <c r="Y55">
        <v>1</v>
      </c>
    </row>
    <row r="56" spans="1:25" x14ac:dyDescent="0.25">
      <c r="A56" t="s">
        <v>3213</v>
      </c>
      <c r="B56" t="s">
        <v>3039</v>
      </c>
      <c r="C56" t="s">
        <v>2965</v>
      </c>
      <c r="D56" t="s">
        <v>3248</v>
      </c>
      <c r="E56">
        <v>61323</v>
      </c>
      <c r="F56">
        <v>271</v>
      </c>
      <c r="J56" s="13" t="s">
        <v>3710</v>
      </c>
      <c r="K56" s="13">
        <v>10650</v>
      </c>
      <c r="O56" t="s">
        <v>3334</v>
      </c>
      <c r="P56" t="s">
        <v>539</v>
      </c>
      <c r="U56">
        <v>55151</v>
      </c>
      <c r="V56">
        <f t="shared" si="0"/>
        <v>225</v>
      </c>
      <c r="W56">
        <v>1732</v>
      </c>
      <c r="X56">
        <v>0.12990762124711316</v>
      </c>
      <c r="Y56">
        <v>1</v>
      </c>
    </row>
    <row r="57" spans="1:25" x14ac:dyDescent="0.25">
      <c r="A57" t="s">
        <v>3213</v>
      </c>
      <c r="B57" t="s">
        <v>3039</v>
      </c>
      <c r="C57" t="s">
        <v>2965</v>
      </c>
      <c r="D57" t="s">
        <v>3281</v>
      </c>
      <c r="E57">
        <v>61323</v>
      </c>
      <c r="F57">
        <v>132</v>
      </c>
      <c r="J57" s="13" t="s">
        <v>3711</v>
      </c>
      <c r="K57" s="13">
        <v>10210</v>
      </c>
      <c r="O57" t="s">
        <v>3387</v>
      </c>
      <c r="P57" t="s">
        <v>2841</v>
      </c>
      <c r="U57">
        <v>55144</v>
      </c>
      <c r="V57">
        <f t="shared" si="0"/>
        <v>190</v>
      </c>
      <c r="W57">
        <v>716</v>
      </c>
      <c r="X57">
        <v>0.26536312849162014</v>
      </c>
      <c r="Y57">
        <v>1</v>
      </c>
    </row>
    <row r="58" spans="1:25" x14ac:dyDescent="0.25">
      <c r="A58" t="s">
        <v>3213</v>
      </c>
      <c r="B58" t="s">
        <v>3039</v>
      </c>
      <c r="C58" t="s">
        <v>2965</v>
      </c>
      <c r="D58" t="s">
        <v>3530</v>
      </c>
      <c r="E58">
        <v>61323</v>
      </c>
      <c r="F58">
        <v>67</v>
      </c>
      <c r="J58" s="13" t="s">
        <v>3712</v>
      </c>
      <c r="K58" s="13">
        <v>10210</v>
      </c>
      <c r="O58" t="s">
        <v>3761</v>
      </c>
      <c r="P58" t="s">
        <v>22</v>
      </c>
      <c r="U58">
        <v>55137</v>
      </c>
      <c r="V58">
        <f t="shared" si="0"/>
        <v>548</v>
      </c>
      <c r="W58">
        <v>845</v>
      </c>
      <c r="X58">
        <v>0.64852071005917156</v>
      </c>
      <c r="Y58">
        <v>1</v>
      </c>
    </row>
    <row r="59" spans="1:25" x14ac:dyDescent="0.25">
      <c r="A59" t="s">
        <v>3213</v>
      </c>
      <c r="B59" t="s">
        <v>3039</v>
      </c>
      <c r="C59" t="s">
        <v>2965</v>
      </c>
      <c r="D59" t="s">
        <v>3658</v>
      </c>
      <c r="E59">
        <v>61323</v>
      </c>
      <c r="F59">
        <v>229</v>
      </c>
      <c r="J59" s="13" t="s">
        <v>3713</v>
      </c>
      <c r="K59" s="13">
        <v>10310</v>
      </c>
      <c r="O59" t="s">
        <v>3561</v>
      </c>
      <c r="P59" t="s">
        <v>30</v>
      </c>
      <c r="U59">
        <v>55124</v>
      </c>
      <c r="V59">
        <f t="shared" si="0"/>
        <v>699</v>
      </c>
      <c r="W59">
        <v>1329</v>
      </c>
      <c r="X59">
        <v>0.52595936794582387</v>
      </c>
      <c r="Y59">
        <v>1</v>
      </c>
    </row>
    <row r="60" spans="1:25" x14ac:dyDescent="0.25">
      <c r="A60" t="s">
        <v>3213</v>
      </c>
      <c r="B60" t="s">
        <v>3039</v>
      </c>
      <c r="C60" t="s">
        <v>2965</v>
      </c>
      <c r="D60" t="s">
        <v>3659</v>
      </c>
      <c r="E60">
        <v>61323</v>
      </c>
      <c r="F60">
        <v>50</v>
      </c>
      <c r="J60" s="13" t="s">
        <v>3714</v>
      </c>
      <c r="K60" s="13">
        <v>10250</v>
      </c>
      <c r="O60" t="s">
        <v>3554</v>
      </c>
      <c r="P60" t="s">
        <v>392</v>
      </c>
      <c r="U60">
        <v>55114</v>
      </c>
      <c r="V60">
        <f t="shared" si="0"/>
        <v>247</v>
      </c>
      <c r="W60">
        <v>1574</v>
      </c>
      <c r="X60">
        <v>0.15692503176620076</v>
      </c>
      <c r="Y60">
        <v>1</v>
      </c>
    </row>
    <row r="61" spans="1:25" x14ac:dyDescent="0.25">
      <c r="A61" t="s">
        <v>3213</v>
      </c>
      <c r="B61" t="s">
        <v>3039</v>
      </c>
      <c r="C61" t="s">
        <v>2964</v>
      </c>
      <c r="D61" t="s">
        <v>3642</v>
      </c>
      <c r="E61">
        <v>61311</v>
      </c>
      <c r="F61">
        <v>201</v>
      </c>
      <c r="J61" s="13" t="s">
        <v>3715</v>
      </c>
      <c r="K61" s="13">
        <v>10350</v>
      </c>
      <c r="O61" t="s">
        <v>3612</v>
      </c>
      <c r="P61" t="s">
        <v>1541</v>
      </c>
      <c r="U61">
        <v>55111</v>
      </c>
      <c r="V61">
        <f t="shared" si="0"/>
        <v>126</v>
      </c>
      <c r="W61">
        <v>5144</v>
      </c>
      <c r="X61">
        <v>2.4494556765163298E-2</v>
      </c>
      <c r="Y61">
        <v>1</v>
      </c>
    </row>
    <row r="62" spans="1:25" x14ac:dyDescent="0.25">
      <c r="A62" t="s">
        <v>3213</v>
      </c>
      <c r="B62" t="s">
        <v>3039</v>
      </c>
      <c r="C62" t="s">
        <v>2964</v>
      </c>
      <c r="D62" t="s">
        <v>3829</v>
      </c>
      <c r="E62">
        <v>61311</v>
      </c>
      <c r="F62">
        <v>142</v>
      </c>
      <c r="J62" s="13" t="s">
        <v>3716</v>
      </c>
      <c r="K62" s="13">
        <v>10310</v>
      </c>
      <c r="O62" t="s">
        <v>3256</v>
      </c>
      <c r="P62" t="s">
        <v>2926</v>
      </c>
      <c r="U62">
        <v>53459</v>
      </c>
      <c r="V62">
        <f t="shared" si="0"/>
        <v>322</v>
      </c>
      <c r="W62">
        <v>6083</v>
      </c>
      <c r="X62">
        <v>5.2934407364787113E-2</v>
      </c>
      <c r="Y62">
        <v>1</v>
      </c>
    </row>
    <row r="63" spans="1:25" x14ac:dyDescent="0.25">
      <c r="A63" t="s">
        <v>3213</v>
      </c>
      <c r="B63" t="s">
        <v>3039</v>
      </c>
      <c r="C63" t="s">
        <v>3057</v>
      </c>
      <c r="D63" t="s">
        <v>3284</v>
      </c>
      <c r="E63">
        <v>61255</v>
      </c>
      <c r="F63">
        <v>543</v>
      </c>
      <c r="J63" s="13" t="s">
        <v>3717</v>
      </c>
      <c r="K63" s="13">
        <v>10410</v>
      </c>
      <c r="O63" t="s">
        <v>3344</v>
      </c>
      <c r="P63" t="s">
        <v>2982</v>
      </c>
      <c r="U63">
        <v>53344</v>
      </c>
      <c r="V63">
        <f t="shared" si="0"/>
        <v>725</v>
      </c>
      <c r="W63">
        <v>783</v>
      </c>
      <c r="X63">
        <v>0.92592592592592593</v>
      </c>
      <c r="Y63">
        <v>1</v>
      </c>
    </row>
    <row r="64" spans="1:25" x14ac:dyDescent="0.25">
      <c r="A64" t="s">
        <v>3213</v>
      </c>
      <c r="B64" t="s">
        <v>3039</v>
      </c>
      <c r="C64" t="s">
        <v>3041</v>
      </c>
      <c r="D64" t="s">
        <v>3249</v>
      </c>
      <c r="E64">
        <v>61244</v>
      </c>
      <c r="F64">
        <v>549</v>
      </c>
      <c r="J64" s="13" t="s">
        <v>3883</v>
      </c>
      <c r="K64" s="13">
        <v>31181</v>
      </c>
      <c r="O64" t="s">
        <v>3395</v>
      </c>
      <c r="P64" t="s">
        <v>2833</v>
      </c>
      <c r="U64">
        <v>53311</v>
      </c>
      <c r="V64">
        <f t="shared" si="0"/>
        <v>2754</v>
      </c>
      <c r="W64">
        <v>3994</v>
      </c>
      <c r="X64">
        <v>0.68953430145217831</v>
      </c>
      <c r="Y64">
        <v>3</v>
      </c>
    </row>
    <row r="65" spans="1:25" x14ac:dyDescent="0.25">
      <c r="A65" t="s">
        <v>3213</v>
      </c>
      <c r="B65" t="s">
        <v>3039</v>
      </c>
      <c r="C65" t="s">
        <v>3039</v>
      </c>
      <c r="D65" t="s">
        <v>3298</v>
      </c>
      <c r="E65">
        <v>61183</v>
      </c>
      <c r="F65">
        <v>577</v>
      </c>
      <c r="J65" s="13" t="s">
        <v>3884</v>
      </c>
      <c r="K65" s="13">
        <v>53247</v>
      </c>
      <c r="O65" t="s">
        <v>3560</v>
      </c>
      <c r="P65" t="s">
        <v>406</v>
      </c>
      <c r="U65">
        <v>53241</v>
      </c>
      <c r="V65">
        <f t="shared" si="0"/>
        <v>1011</v>
      </c>
      <c r="W65">
        <v>2978</v>
      </c>
      <c r="X65">
        <v>0.33948959032907994</v>
      </c>
      <c r="Y65">
        <v>3</v>
      </c>
    </row>
    <row r="66" spans="1:25" x14ac:dyDescent="0.25">
      <c r="A66" t="s">
        <v>3213</v>
      </c>
      <c r="B66" t="s">
        <v>3039</v>
      </c>
      <c r="C66" t="s">
        <v>3065</v>
      </c>
      <c r="D66" t="s">
        <v>3309</v>
      </c>
      <c r="E66">
        <v>61183</v>
      </c>
      <c r="F66">
        <v>294</v>
      </c>
      <c r="J66" s="13" t="s">
        <v>3268</v>
      </c>
      <c r="K66" s="13">
        <v>24343</v>
      </c>
      <c r="O66" t="s">
        <v>3863</v>
      </c>
      <c r="P66" t="s">
        <v>2977</v>
      </c>
      <c r="U66">
        <v>53231</v>
      </c>
      <c r="V66">
        <f t="shared" si="0"/>
        <v>1064</v>
      </c>
      <c r="W66">
        <v>15105</v>
      </c>
      <c r="X66">
        <v>7.0440251572327042E-2</v>
      </c>
      <c r="Y66">
        <v>3</v>
      </c>
    </row>
    <row r="67" spans="1:25" x14ac:dyDescent="0.25">
      <c r="A67" t="s">
        <v>3213</v>
      </c>
      <c r="B67" t="s">
        <v>3039</v>
      </c>
      <c r="C67" t="s">
        <v>1196</v>
      </c>
      <c r="D67" t="s">
        <v>3246</v>
      </c>
      <c r="E67">
        <v>61159</v>
      </c>
      <c r="F67">
        <v>388</v>
      </c>
      <c r="J67" s="13" t="s">
        <v>3269</v>
      </c>
      <c r="K67" s="13">
        <v>24424</v>
      </c>
      <c r="O67" t="s">
        <v>3541</v>
      </c>
      <c r="P67" t="s">
        <v>2830</v>
      </c>
      <c r="U67">
        <v>53214</v>
      </c>
      <c r="V67">
        <f t="shared" ref="V67:V130" si="1">SUMIF(E:E,U67,F:F)</f>
        <v>2286</v>
      </c>
      <c r="W67">
        <v>6838</v>
      </c>
      <c r="X67">
        <v>0.33430827727405676</v>
      </c>
      <c r="Y67">
        <v>3</v>
      </c>
    </row>
    <row r="68" spans="1:25" x14ac:dyDescent="0.25">
      <c r="A68" t="s">
        <v>3213</v>
      </c>
      <c r="B68" t="s">
        <v>3039</v>
      </c>
      <c r="C68" t="s">
        <v>1196</v>
      </c>
      <c r="D68" t="s">
        <v>3247</v>
      </c>
      <c r="E68">
        <v>61159</v>
      </c>
      <c r="F68">
        <v>31</v>
      </c>
      <c r="J68" s="13" t="s">
        <v>3885</v>
      </c>
      <c r="K68" s="13">
        <v>24424</v>
      </c>
      <c r="O68" t="s">
        <v>3525</v>
      </c>
      <c r="P68" t="s">
        <v>2854</v>
      </c>
      <c r="U68">
        <v>53211</v>
      </c>
      <c r="V68">
        <f t="shared" si="1"/>
        <v>567</v>
      </c>
      <c r="W68">
        <v>3545</v>
      </c>
      <c r="X68">
        <v>0.15994358251057827</v>
      </c>
      <c r="Y68">
        <v>3</v>
      </c>
    </row>
    <row r="69" spans="1:25" x14ac:dyDescent="0.25">
      <c r="A69" t="s">
        <v>3213</v>
      </c>
      <c r="B69" t="s">
        <v>3039</v>
      </c>
      <c r="C69" t="s">
        <v>1196</v>
      </c>
      <c r="D69" t="s">
        <v>3315</v>
      </c>
      <c r="E69">
        <v>61159</v>
      </c>
      <c r="F69">
        <v>347</v>
      </c>
      <c r="J69" s="13" t="s">
        <v>3270</v>
      </c>
      <c r="K69" s="13">
        <v>24311</v>
      </c>
      <c r="O69" t="s">
        <v>3679</v>
      </c>
      <c r="P69" t="s">
        <v>229</v>
      </c>
      <c r="U69">
        <v>53111</v>
      </c>
      <c r="V69">
        <f t="shared" si="1"/>
        <v>97</v>
      </c>
      <c r="W69">
        <v>42977</v>
      </c>
      <c r="X69">
        <v>2.2570211973846478E-3</v>
      </c>
      <c r="Y69">
        <v>2</v>
      </c>
    </row>
    <row r="70" spans="1:25" x14ac:dyDescent="0.25">
      <c r="A70" t="s">
        <v>3213</v>
      </c>
      <c r="B70" t="s">
        <v>3039</v>
      </c>
      <c r="C70" t="s">
        <v>1196</v>
      </c>
      <c r="D70" t="s">
        <v>3495</v>
      </c>
      <c r="E70">
        <v>61159</v>
      </c>
      <c r="F70">
        <v>92</v>
      </c>
      <c r="J70" s="17" t="s">
        <v>3271</v>
      </c>
      <c r="K70" s="13">
        <v>24427</v>
      </c>
      <c r="O70" t="s">
        <v>3635</v>
      </c>
      <c r="P70" t="s">
        <v>406</v>
      </c>
      <c r="U70">
        <v>52277</v>
      </c>
      <c r="V70">
        <f t="shared" si="1"/>
        <v>341</v>
      </c>
      <c r="W70">
        <v>3401</v>
      </c>
      <c r="X70">
        <v>0.10026462805057336</v>
      </c>
      <c r="Y70">
        <v>3</v>
      </c>
    </row>
    <row r="71" spans="1:25" x14ac:dyDescent="0.25">
      <c r="A71" t="s">
        <v>3213</v>
      </c>
      <c r="B71" t="s">
        <v>3039</v>
      </c>
      <c r="C71" t="s">
        <v>1196</v>
      </c>
      <c r="D71" t="s">
        <v>3691</v>
      </c>
      <c r="E71">
        <v>61159</v>
      </c>
      <c r="F71">
        <v>148</v>
      </c>
      <c r="J71" s="13" t="s">
        <v>3886</v>
      </c>
      <c r="K71" s="13">
        <v>24227</v>
      </c>
      <c r="O71" t="s">
        <v>3634</v>
      </c>
      <c r="P71" t="s">
        <v>270</v>
      </c>
      <c r="U71">
        <v>52264</v>
      </c>
      <c r="V71">
        <f t="shared" si="1"/>
        <v>104</v>
      </c>
      <c r="W71">
        <v>3491</v>
      </c>
      <c r="X71">
        <v>2.9790890862217131E-2</v>
      </c>
      <c r="Y71">
        <v>1</v>
      </c>
    </row>
    <row r="72" spans="1:25" x14ac:dyDescent="0.25">
      <c r="A72" t="s">
        <v>3213</v>
      </c>
      <c r="B72" t="s">
        <v>3039</v>
      </c>
      <c r="C72" t="s">
        <v>3039</v>
      </c>
      <c r="D72" t="s">
        <v>3279</v>
      </c>
      <c r="E72">
        <v>61119</v>
      </c>
      <c r="F72">
        <v>14</v>
      </c>
      <c r="J72" s="13" t="s">
        <v>3272</v>
      </c>
      <c r="K72" s="13">
        <v>62111</v>
      </c>
      <c r="O72" t="s">
        <v>3697</v>
      </c>
      <c r="P72" t="s">
        <v>552</v>
      </c>
      <c r="U72">
        <v>52254</v>
      </c>
      <c r="V72">
        <f t="shared" si="1"/>
        <v>210</v>
      </c>
      <c r="W72">
        <v>1366</v>
      </c>
      <c r="X72">
        <v>0.15373352855051245</v>
      </c>
      <c r="Y72">
        <v>2</v>
      </c>
    </row>
    <row r="73" spans="1:25" x14ac:dyDescent="0.25">
      <c r="A73" t="s">
        <v>3213</v>
      </c>
      <c r="B73" t="s">
        <v>3039</v>
      </c>
      <c r="C73" t="s">
        <v>3039</v>
      </c>
      <c r="D73" t="s">
        <v>3280</v>
      </c>
      <c r="E73">
        <v>61119</v>
      </c>
      <c r="F73">
        <v>152</v>
      </c>
      <c r="J73" s="13" t="s">
        <v>3273</v>
      </c>
      <c r="K73" s="13">
        <v>62111</v>
      </c>
      <c r="O73" t="s">
        <v>3282</v>
      </c>
      <c r="P73" t="s">
        <v>2978</v>
      </c>
      <c r="U73">
        <v>52244</v>
      </c>
      <c r="V73">
        <f t="shared" si="1"/>
        <v>147</v>
      </c>
      <c r="W73">
        <v>3491</v>
      </c>
      <c r="X73">
        <v>4.210827843024921E-2</v>
      </c>
      <c r="Y73">
        <v>1</v>
      </c>
    </row>
    <row r="74" spans="1:25" x14ac:dyDescent="0.25">
      <c r="A74" t="s">
        <v>3213</v>
      </c>
      <c r="B74" t="s">
        <v>3039</v>
      </c>
      <c r="C74" t="s">
        <v>3039</v>
      </c>
      <c r="D74" t="s">
        <v>3283</v>
      </c>
      <c r="E74">
        <v>61119</v>
      </c>
      <c r="F74">
        <v>184</v>
      </c>
      <c r="J74" s="13" t="s">
        <v>3887</v>
      </c>
      <c r="K74" s="13">
        <v>62111</v>
      </c>
      <c r="O74" t="s">
        <v>3324</v>
      </c>
      <c r="P74" t="s">
        <v>553</v>
      </c>
      <c r="U74">
        <v>52237</v>
      </c>
      <c r="V74">
        <f t="shared" si="1"/>
        <v>151</v>
      </c>
      <c r="W74">
        <v>4338</v>
      </c>
      <c r="X74">
        <v>3.4808667588750578E-2</v>
      </c>
      <c r="Y74">
        <v>2</v>
      </c>
    </row>
    <row r="75" spans="1:25" x14ac:dyDescent="0.25">
      <c r="A75" t="s">
        <v>3213</v>
      </c>
      <c r="B75" t="s">
        <v>3039</v>
      </c>
      <c r="C75" t="s">
        <v>3039</v>
      </c>
      <c r="D75" t="s">
        <v>3310</v>
      </c>
      <c r="E75">
        <v>61119</v>
      </c>
      <c r="F75">
        <v>135</v>
      </c>
      <c r="J75" s="13" t="s">
        <v>3888</v>
      </c>
      <c r="K75" s="13">
        <v>62128</v>
      </c>
      <c r="O75" t="s">
        <v>3254</v>
      </c>
      <c r="P75" t="s">
        <v>1051</v>
      </c>
      <c r="U75">
        <v>52234</v>
      </c>
      <c r="V75">
        <f t="shared" si="1"/>
        <v>385</v>
      </c>
      <c r="W75">
        <v>441</v>
      </c>
      <c r="X75">
        <v>0.87301587301587302</v>
      </c>
      <c r="Y75">
        <v>1</v>
      </c>
    </row>
    <row r="76" spans="1:25" x14ac:dyDescent="0.25">
      <c r="A76" t="s">
        <v>3213</v>
      </c>
      <c r="B76" t="s">
        <v>3039</v>
      </c>
      <c r="C76" t="s">
        <v>3039</v>
      </c>
      <c r="D76" t="s">
        <v>3419</v>
      </c>
      <c r="E76">
        <v>61119</v>
      </c>
      <c r="F76">
        <v>160</v>
      </c>
      <c r="J76" s="13" t="s">
        <v>3274</v>
      </c>
      <c r="K76" s="13">
        <v>62111</v>
      </c>
      <c r="O76" t="s">
        <v>3284</v>
      </c>
      <c r="P76" t="s">
        <v>1202</v>
      </c>
      <c r="U76">
        <v>52227</v>
      </c>
      <c r="V76">
        <f t="shared" si="1"/>
        <v>522</v>
      </c>
      <c r="W76">
        <v>4625</v>
      </c>
      <c r="X76">
        <v>0.11286486486486487</v>
      </c>
      <c r="Y76">
        <v>2</v>
      </c>
    </row>
    <row r="77" spans="1:25" x14ac:dyDescent="0.25">
      <c r="A77" t="s">
        <v>3213</v>
      </c>
      <c r="B77" t="s">
        <v>3039</v>
      </c>
      <c r="C77" t="s">
        <v>3039</v>
      </c>
      <c r="D77" t="s">
        <v>3421</v>
      </c>
      <c r="E77">
        <v>61119</v>
      </c>
      <c r="F77">
        <v>137</v>
      </c>
      <c r="J77" s="13" t="s">
        <v>3889</v>
      </c>
      <c r="K77" s="13">
        <v>62111</v>
      </c>
      <c r="O77" t="s">
        <v>3342</v>
      </c>
      <c r="P77" t="s">
        <v>2855</v>
      </c>
      <c r="U77">
        <v>52224</v>
      </c>
      <c r="V77">
        <f t="shared" si="1"/>
        <v>664</v>
      </c>
      <c r="W77">
        <v>1258</v>
      </c>
      <c r="X77">
        <v>0.52782193958664547</v>
      </c>
      <c r="Y77">
        <v>2</v>
      </c>
    </row>
    <row r="78" spans="1:25" x14ac:dyDescent="0.25">
      <c r="A78" t="s">
        <v>3213</v>
      </c>
      <c r="B78" t="s">
        <v>3039</v>
      </c>
      <c r="C78" t="s">
        <v>3111</v>
      </c>
      <c r="D78" t="s">
        <v>3476</v>
      </c>
      <c r="E78">
        <v>61119</v>
      </c>
      <c r="F78">
        <v>149</v>
      </c>
      <c r="J78" s="13" t="s">
        <v>3275</v>
      </c>
      <c r="K78" s="13">
        <v>62111</v>
      </c>
      <c r="O78" t="s">
        <v>3623</v>
      </c>
      <c r="P78" t="s">
        <v>213</v>
      </c>
      <c r="U78">
        <v>52221</v>
      </c>
      <c r="V78">
        <f t="shared" si="1"/>
        <v>104</v>
      </c>
      <c r="W78">
        <v>288</v>
      </c>
      <c r="X78">
        <v>0.3611111111111111</v>
      </c>
      <c r="Y78">
        <v>1</v>
      </c>
    </row>
    <row r="79" spans="1:25" x14ac:dyDescent="0.25">
      <c r="A79" t="s">
        <v>3213</v>
      </c>
      <c r="B79" t="s">
        <v>3039</v>
      </c>
      <c r="C79" t="s">
        <v>3039</v>
      </c>
      <c r="D79" t="s">
        <v>3531</v>
      </c>
      <c r="E79">
        <v>61119</v>
      </c>
      <c r="F79">
        <v>665</v>
      </c>
      <c r="J79" s="13" t="s">
        <v>3276</v>
      </c>
      <c r="K79" s="13">
        <v>63111</v>
      </c>
      <c r="O79" t="s">
        <v>3799</v>
      </c>
      <c r="P79" t="s">
        <v>21</v>
      </c>
      <c r="U79">
        <v>52217</v>
      </c>
      <c r="V79">
        <f t="shared" si="1"/>
        <v>249</v>
      </c>
      <c r="W79">
        <v>4257</v>
      </c>
      <c r="X79">
        <v>5.8491895701198025E-2</v>
      </c>
      <c r="Y79">
        <v>2</v>
      </c>
    </row>
    <row r="80" spans="1:25" x14ac:dyDescent="0.25">
      <c r="A80" t="s">
        <v>3213</v>
      </c>
      <c r="B80" t="s">
        <v>3039</v>
      </c>
      <c r="C80" t="s">
        <v>3040</v>
      </c>
      <c r="D80" t="s">
        <v>3585</v>
      </c>
      <c r="E80">
        <v>61119</v>
      </c>
      <c r="F80">
        <v>0</v>
      </c>
      <c r="J80" s="13" t="s">
        <v>3277</v>
      </c>
      <c r="K80" s="13">
        <v>63124</v>
      </c>
      <c r="O80" t="s">
        <v>3685</v>
      </c>
      <c r="P80" t="s">
        <v>1059</v>
      </c>
      <c r="U80">
        <v>52214</v>
      </c>
      <c r="V80">
        <f t="shared" si="1"/>
        <v>0</v>
      </c>
      <c r="W80">
        <v>2419</v>
      </c>
      <c r="X80">
        <v>0</v>
      </c>
      <c r="Y80">
        <v>1</v>
      </c>
    </row>
    <row r="81" spans="1:25" x14ac:dyDescent="0.25">
      <c r="A81" t="s">
        <v>3213</v>
      </c>
      <c r="B81" t="s">
        <v>3039</v>
      </c>
      <c r="C81" t="s">
        <v>3040</v>
      </c>
      <c r="D81" t="s">
        <v>3616</v>
      </c>
      <c r="E81">
        <v>61119</v>
      </c>
      <c r="F81">
        <v>111</v>
      </c>
      <c r="J81" s="13" t="s">
        <v>3278</v>
      </c>
      <c r="K81" s="13">
        <v>63144</v>
      </c>
      <c r="O81" t="s">
        <v>3386</v>
      </c>
      <c r="P81" t="s">
        <v>2832</v>
      </c>
      <c r="U81">
        <v>52211</v>
      </c>
      <c r="V81">
        <f t="shared" si="1"/>
        <v>155</v>
      </c>
      <c r="W81">
        <v>5826</v>
      </c>
      <c r="X81">
        <v>2.6604874699622381E-2</v>
      </c>
      <c r="Y81">
        <v>3</v>
      </c>
    </row>
    <row r="82" spans="1:25" x14ac:dyDescent="0.25">
      <c r="A82" t="s">
        <v>3213</v>
      </c>
      <c r="B82" t="s">
        <v>3039</v>
      </c>
      <c r="C82" t="s">
        <v>3039</v>
      </c>
      <c r="D82" t="s">
        <v>3308</v>
      </c>
      <c r="E82">
        <v>61115</v>
      </c>
      <c r="F82">
        <v>77</v>
      </c>
      <c r="J82" s="15" t="s">
        <v>3279</v>
      </c>
      <c r="K82" s="15">
        <v>61119</v>
      </c>
      <c r="O82" t="s">
        <v>3515</v>
      </c>
      <c r="P82" t="s">
        <v>2836</v>
      </c>
      <c r="U82">
        <v>52171</v>
      </c>
      <c r="V82">
        <f t="shared" si="1"/>
        <v>64</v>
      </c>
      <c r="W82">
        <v>1606</v>
      </c>
      <c r="X82">
        <v>3.9850560398505604E-2</v>
      </c>
      <c r="Y82">
        <v>1</v>
      </c>
    </row>
    <row r="83" spans="1:25" x14ac:dyDescent="0.25">
      <c r="A83" t="s">
        <v>3213</v>
      </c>
      <c r="B83" t="s">
        <v>3039</v>
      </c>
      <c r="C83" t="s">
        <v>3039</v>
      </c>
      <c r="D83" t="s">
        <v>3313</v>
      </c>
      <c r="E83">
        <v>61115</v>
      </c>
      <c r="F83">
        <v>120</v>
      </c>
      <c r="J83" s="13" t="s">
        <v>3280</v>
      </c>
      <c r="K83" s="13">
        <v>61119</v>
      </c>
      <c r="O83" t="s">
        <v>3768</v>
      </c>
      <c r="P83" t="s">
        <v>2803</v>
      </c>
      <c r="U83">
        <v>52161</v>
      </c>
      <c r="V83">
        <f t="shared" si="1"/>
        <v>60</v>
      </c>
      <c r="W83">
        <v>1078</v>
      </c>
      <c r="X83">
        <v>5.5658627087198514E-2</v>
      </c>
      <c r="Y83">
        <v>1</v>
      </c>
    </row>
    <row r="84" spans="1:25" x14ac:dyDescent="0.25">
      <c r="A84" t="s">
        <v>3213</v>
      </c>
      <c r="B84" t="s">
        <v>3039</v>
      </c>
      <c r="C84" t="s">
        <v>3039</v>
      </c>
      <c r="D84" t="s">
        <v>3316</v>
      </c>
      <c r="E84">
        <v>61115</v>
      </c>
      <c r="F84">
        <v>174</v>
      </c>
      <c r="J84" s="13" t="s">
        <v>3281</v>
      </c>
      <c r="K84" s="13">
        <v>61323</v>
      </c>
      <c r="O84" t="s">
        <v>3824</v>
      </c>
      <c r="P84" t="s">
        <v>28</v>
      </c>
      <c r="U84">
        <v>52156</v>
      </c>
      <c r="V84">
        <f t="shared" si="1"/>
        <v>110</v>
      </c>
      <c r="W84">
        <v>1170</v>
      </c>
      <c r="X84">
        <v>9.4017094017094016E-2</v>
      </c>
      <c r="Y84">
        <v>1</v>
      </c>
    </row>
    <row r="85" spans="1:25" x14ac:dyDescent="0.25">
      <c r="A85" t="s">
        <v>3213</v>
      </c>
      <c r="B85" t="s">
        <v>3039</v>
      </c>
      <c r="C85" t="s">
        <v>3039</v>
      </c>
      <c r="D85" t="s">
        <v>3351</v>
      </c>
      <c r="E85">
        <v>61115</v>
      </c>
      <c r="F85">
        <v>227</v>
      </c>
      <c r="J85" s="16" t="s">
        <v>3872</v>
      </c>
      <c r="K85" s="16">
        <v>61323</v>
      </c>
      <c r="O85" t="s">
        <v>3695</v>
      </c>
      <c r="P85" t="s">
        <v>195</v>
      </c>
      <c r="U85">
        <v>52151</v>
      </c>
      <c r="V85">
        <f t="shared" si="1"/>
        <v>55</v>
      </c>
      <c r="W85">
        <v>3014</v>
      </c>
      <c r="X85">
        <v>1.824817518248175E-2</v>
      </c>
      <c r="Y85">
        <v>1</v>
      </c>
    </row>
    <row r="86" spans="1:25" x14ac:dyDescent="0.25">
      <c r="A86" t="s">
        <v>3213</v>
      </c>
      <c r="B86" t="s">
        <v>3039</v>
      </c>
      <c r="C86" t="s">
        <v>3039</v>
      </c>
      <c r="D86" t="s">
        <v>3352</v>
      </c>
      <c r="E86">
        <v>61115</v>
      </c>
      <c r="F86">
        <v>287</v>
      </c>
      <c r="J86" s="15" t="s">
        <v>3658</v>
      </c>
      <c r="K86" s="15">
        <v>61323</v>
      </c>
      <c r="O86" t="s">
        <v>3716</v>
      </c>
      <c r="P86" t="s">
        <v>21</v>
      </c>
      <c r="U86">
        <v>52136</v>
      </c>
      <c r="V86">
        <f t="shared" si="1"/>
        <v>94</v>
      </c>
      <c r="W86">
        <v>1703</v>
      </c>
      <c r="X86">
        <v>5.5196711685261302E-2</v>
      </c>
      <c r="Y86">
        <v>1</v>
      </c>
    </row>
    <row r="87" spans="1:25" x14ac:dyDescent="0.25">
      <c r="A87" t="s">
        <v>3213</v>
      </c>
      <c r="B87" t="s">
        <v>3039</v>
      </c>
      <c r="C87" t="s">
        <v>3039</v>
      </c>
      <c r="D87" t="s">
        <v>3353</v>
      </c>
      <c r="E87">
        <v>61115</v>
      </c>
      <c r="F87">
        <v>179</v>
      </c>
      <c r="J87" s="13" t="s">
        <v>3890</v>
      </c>
      <c r="K87" s="13">
        <v>61383</v>
      </c>
      <c r="O87" t="s">
        <v>3270</v>
      </c>
      <c r="P87" t="s">
        <v>302</v>
      </c>
      <c r="U87">
        <v>51359</v>
      </c>
      <c r="V87">
        <f t="shared" si="1"/>
        <v>107</v>
      </c>
      <c r="W87">
        <v>3086</v>
      </c>
      <c r="X87">
        <v>3.4672715489306546E-2</v>
      </c>
      <c r="Y87">
        <v>1</v>
      </c>
    </row>
    <row r="88" spans="1:25" x14ac:dyDescent="0.25">
      <c r="A88" t="s">
        <v>3213</v>
      </c>
      <c r="B88" t="s">
        <v>3039</v>
      </c>
      <c r="C88" t="s">
        <v>3039</v>
      </c>
      <c r="D88" t="s">
        <v>3492</v>
      </c>
      <c r="E88">
        <v>61115</v>
      </c>
      <c r="F88">
        <v>175</v>
      </c>
      <c r="J88" s="13" t="s">
        <v>3282</v>
      </c>
      <c r="K88" s="13">
        <v>61464</v>
      </c>
      <c r="O88" t="s">
        <v>3461</v>
      </c>
      <c r="P88" t="s">
        <v>302</v>
      </c>
      <c r="U88">
        <v>51347</v>
      </c>
      <c r="V88">
        <f t="shared" si="1"/>
        <v>85</v>
      </c>
      <c r="W88">
        <v>444</v>
      </c>
      <c r="X88">
        <v>0.19144144144144143</v>
      </c>
      <c r="Y88">
        <v>1</v>
      </c>
    </row>
    <row r="89" spans="1:25" x14ac:dyDescent="0.25">
      <c r="A89" t="s">
        <v>3213</v>
      </c>
      <c r="B89" t="s">
        <v>3039</v>
      </c>
      <c r="C89" t="s">
        <v>3039</v>
      </c>
      <c r="D89" t="s">
        <v>3609</v>
      </c>
      <c r="E89">
        <v>61115</v>
      </c>
      <c r="F89">
        <v>396</v>
      </c>
      <c r="J89" s="15" t="s">
        <v>3283</v>
      </c>
      <c r="K89" s="15">
        <v>61119</v>
      </c>
      <c r="O89" t="s">
        <v>3458</v>
      </c>
      <c r="P89" t="s">
        <v>321</v>
      </c>
      <c r="U89">
        <v>51284</v>
      </c>
      <c r="V89">
        <f t="shared" si="1"/>
        <v>64</v>
      </c>
      <c r="W89">
        <v>6230</v>
      </c>
      <c r="X89">
        <v>1.0272873194221509E-2</v>
      </c>
      <c r="Y89">
        <v>1</v>
      </c>
    </row>
    <row r="90" spans="1:25" x14ac:dyDescent="0.25">
      <c r="A90" t="s">
        <v>3213</v>
      </c>
      <c r="B90" t="s">
        <v>3039</v>
      </c>
      <c r="C90" t="s">
        <v>3039</v>
      </c>
      <c r="D90" t="s">
        <v>3615</v>
      </c>
      <c r="E90">
        <v>61115</v>
      </c>
      <c r="F90">
        <v>229</v>
      </c>
      <c r="J90" s="13" t="s">
        <v>3284</v>
      </c>
      <c r="K90" s="13">
        <v>61255</v>
      </c>
      <c r="O90" t="s">
        <v>3580</v>
      </c>
      <c r="P90" t="s">
        <v>466</v>
      </c>
      <c r="U90">
        <v>51281</v>
      </c>
      <c r="V90">
        <f t="shared" si="1"/>
        <v>136</v>
      </c>
      <c r="W90">
        <v>5517</v>
      </c>
      <c r="X90">
        <v>2.4651078484683706E-2</v>
      </c>
      <c r="Y90">
        <v>1</v>
      </c>
    </row>
    <row r="91" spans="1:25" x14ac:dyDescent="0.25">
      <c r="A91" t="s">
        <v>3213</v>
      </c>
      <c r="B91" t="s">
        <v>3039</v>
      </c>
      <c r="C91" t="s">
        <v>3039</v>
      </c>
      <c r="D91" t="s">
        <v>3241</v>
      </c>
      <c r="E91">
        <v>61111</v>
      </c>
      <c r="F91">
        <v>174</v>
      </c>
      <c r="J91" s="13" t="s">
        <v>3891</v>
      </c>
      <c r="K91" s="13">
        <v>61277</v>
      </c>
      <c r="O91" t="s">
        <v>3714</v>
      </c>
      <c r="P91" t="s">
        <v>20</v>
      </c>
      <c r="U91">
        <v>51267</v>
      </c>
      <c r="V91">
        <f t="shared" si="1"/>
        <v>259</v>
      </c>
      <c r="W91">
        <v>8362</v>
      </c>
      <c r="X91">
        <v>3.0973451327433628E-2</v>
      </c>
      <c r="Y91">
        <v>3</v>
      </c>
    </row>
    <row r="92" spans="1:25" x14ac:dyDescent="0.25">
      <c r="A92" t="s">
        <v>3213</v>
      </c>
      <c r="B92" t="s">
        <v>3039</v>
      </c>
      <c r="C92" t="s">
        <v>3039</v>
      </c>
      <c r="D92" t="s">
        <v>3242</v>
      </c>
      <c r="E92">
        <v>61111</v>
      </c>
      <c r="F92">
        <v>500</v>
      </c>
      <c r="J92" s="13" t="s">
        <v>3718</v>
      </c>
      <c r="K92" s="13">
        <v>10150</v>
      </c>
      <c r="O92" t="s">
        <v>3703</v>
      </c>
      <c r="P92" t="s">
        <v>2924</v>
      </c>
      <c r="U92">
        <v>51244</v>
      </c>
      <c r="V92">
        <f t="shared" si="1"/>
        <v>43</v>
      </c>
      <c r="W92">
        <v>1086</v>
      </c>
      <c r="X92">
        <v>3.959484346224678E-2</v>
      </c>
      <c r="Y92">
        <v>2</v>
      </c>
    </row>
    <row r="93" spans="1:25" x14ac:dyDescent="0.25">
      <c r="A93" t="s">
        <v>3213</v>
      </c>
      <c r="B93" t="s">
        <v>3039</v>
      </c>
      <c r="C93" t="s">
        <v>3040</v>
      </c>
      <c r="D93" t="s">
        <v>3243</v>
      </c>
      <c r="E93">
        <v>61111</v>
      </c>
      <c r="F93">
        <v>875</v>
      </c>
      <c r="J93" s="13" t="s">
        <v>3719</v>
      </c>
      <c r="K93" s="13">
        <v>10210</v>
      </c>
      <c r="O93" t="s">
        <v>3832</v>
      </c>
      <c r="P93" t="s">
        <v>718</v>
      </c>
      <c r="U93">
        <v>51234</v>
      </c>
      <c r="V93">
        <f t="shared" si="1"/>
        <v>1031</v>
      </c>
      <c r="W93">
        <v>8868</v>
      </c>
      <c r="X93">
        <v>0.11626071267478574</v>
      </c>
      <c r="Y93">
        <v>6</v>
      </c>
    </row>
    <row r="94" spans="1:25" x14ac:dyDescent="0.25">
      <c r="A94" t="s">
        <v>3213</v>
      </c>
      <c r="B94" t="s">
        <v>3039</v>
      </c>
      <c r="C94" t="s">
        <v>3039</v>
      </c>
      <c r="D94" t="s">
        <v>3244</v>
      </c>
      <c r="E94">
        <v>61111</v>
      </c>
      <c r="F94">
        <v>247</v>
      </c>
      <c r="J94" s="13" t="s">
        <v>3720</v>
      </c>
      <c r="K94" s="13">
        <v>10350</v>
      </c>
      <c r="O94" t="s">
        <v>3524</v>
      </c>
      <c r="P94" t="s">
        <v>904</v>
      </c>
      <c r="U94">
        <v>51227</v>
      </c>
      <c r="V94">
        <f t="shared" si="1"/>
        <v>33</v>
      </c>
      <c r="W94">
        <v>1222</v>
      </c>
      <c r="X94">
        <v>2.7004909983633387E-2</v>
      </c>
      <c r="Y94">
        <v>1</v>
      </c>
    </row>
    <row r="95" spans="1:25" x14ac:dyDescent="0.25">
      <c r="A95" t="s">
        <v>3214</v>
      </c>
      <c r="B95" t="s">
        <v>3222</v>
      </c>
      <c r="C95" t="s">
        <v>1184</v>
      </c>
      <c r="D95" t="s">
        <v>3488</v>
      </c>
      <c r="E95">
        <v>55181</v>
      </c>
      <c r="F95">
        <v>540</v>
      </c>
      <c r="J95" s="13" t="s">
        <v>3285</v>
      </c>
      <c r="K95" s="13">
        <v>32133</v>
      </c>
      <c r="O95" t="s">
        <v>3746</v>
      </c>
      <c r="P95" t="s">
        <v>28</v>
      </c>
      <c r="U95">
        <v>51224</v>
      </c>
      <c r="V95">
        <f t="shared" si="1"/>
        <v>106</v>
      </c>
      <c r="W95">
        <v>4928</v>
      </c>
      <c r="X95">
        <v>2.150974025974026E-2</v>
      </c>
      <c r="Y95">
        <v>1</v>
      </c>
    </row>
    <row r="96" spans="1:25" x14ac:dyDescent="0.25">
      <c r="A96" t="s">
        <v>3214</v>
      </c>
      <c r="B96" t="s">
        <v>3222</v>
      </c>
      <c r="C96" t="s">
        <v>3046</v>
      </c>
      <c r="D96" t="s">
        <v>3258</v>
      </c>
      <c r="E96">
        <v>55174</v>
      </c>
      <c r="F96">
        <v>610</v>
      </c>
      <c r="J96" s="13" t="s">
        <v>3286</v>
      </c>
      <c r="K96" s="13">
        <v>33111</v>
      </c>
      <c r="O96" t="s">
        <v>3753</v>
      </c>
      <c r="P96" t="s">
        <v>2803</v>
      </c>
      <c r="U96">
        <v>51217</v>
      </c>
      <c r="V96">
        <f t="shared" si="1"/>
        <v>128</v>
      </c>
      <c r="W96">
        <v>1838</v>
      </c>
      <c r="X96">
        <v>6.9640914036996737E-2</v>
      </c>
      <c r="Y96">
        <v>1</v>
      </c>
    </row>
    <row r="97" spans="1:25" x14ac:dyDescent="0.25">
      <c r="A97" t="s">
        <v>3214</v>
      </c>
      <c r="B97" t="s">
        <v>3222</v>
      </c>
      <c r="C97" t="s">
        <v>3123</v>
      </c>
      <c r="D97" t="s">
        <v>3507</v>
      </c>
      <c r="E97">
        <v>55164</v>
      </c>
      <c r="F97">
        <v>258</v>
      </c>
      <c r="J97" s="13" t="s">
        <v>3892</v>
      </c>
      <c r="K97" s="13">
        <v>32155</v>
      </c>
      <c r="O97" t="s">
        <v>3508</v>
      </c>
      <c r="P97" t="s">
        <v>406</v>
      </c>
      <c r="U97">
        <v>51189</v>
      </c>
      <c r="V97">
        <f t="shared" si="1"/>
        <v>163</v>
      </c>
      <c r="W97">
        <v>1152</v>
      </c>
      <c r="X97">
        <v>0.14149305555555555</v>
      </c>
      <c r="Y97">
        <v>1</v>
      </c>
    </row>
    <row r="98" spans="1:25" x14ac:dyDescent="0.25">
      <c r="A98" t="s">
        <v>3214</v>
      </c>
      <c r="B98" t="s">
        <v>3222</v>
      </c>
      <c r="C98" t="s">
        <v>3127</v>
      </c>
      <c r="D98" t="s">
        <v>3521</v>
      </c>
      <c r="E98">
        <v>55164</v>
      </c>
      <c r="F98">
        <v>137</v>
      </c>
      <c r="J98" s="17" t="s">
        <v>3287</v>
      </c>
      <c r="K98" s="13">
        <v>23625</v>
      </c>
      <c r="O98" t="s">
        <v>3708</v>
      </c>
      <c r="P98" t="s">
        <v>17</v>
      </c>
      <c r="U98">
        <v>51163</v>
      </c>
      <c r="V98">
        <f t="shared" si="1"/>
        <v>151</v>
      </c>
      <c r="W98">
        <v>3662</v>
      </c>
      <c r="X98">
        <v>4.1234298197706173E-2</v>
      </c>
      <c r="Y98">
        <v>1</v>
      </c>
    </row>
    <row r="99" spans="1:25" x14ac:dyDescent="0.25">
      <c r="A99" t="s">
        <v>3214</v>
      </c>
      <c r="B99" t="s">
        <v>3222</v>
      </c>
      <c r="C99" t="s">
        <v>3063</v>
      </c>
      <c r="D99" t="s">
        <v>3303</v>
      </c>
      <c r="E99">
        <v>55157</v>
      </c>
      <c r="F99">
        <v>355</v>
      </c>
      <c r="J99" s="13" t="s">
        <v>3288</v>
      </c>
      <c r="K99" s="13">
        <v>51359</v>
      </c>
      <c r="O99" t="s">
        <v>5951</v>
      </c>
      <c r="P99" t="s">
        <v>406</v>
      </c>
      <c r="U99">
        <v>51157</v>
      </c>
      <c r="V99">
        <f t="shared" si="1"/>
        <v>106</v>
      </c>
      <c r="W99">
        <v>1661</v>
      </c>
      <c r="X99">
        <v>6.3816977724262494E-2</v>
      </c>
      <c r="Y99">
        <v>2</v>
      </c>
    </row>
    <row r="100" spans="1:25" x14ac:dyDescent="0.25">
      <c r="A100" t="s">
        <v>3214</v>
      </c>
      <c r="B100" t="s">
        <v>3222</v>
      </c>
      <c r="C100" t="s">
        <v>3063</v>
      </c>
      <c r="D100" t="s">
        <v>3489</v>
      </c>
      <c r="E100">
        <v>55157</v>
      </c>
      <c r="F100">
        <v>362</v>
      </c>
      <c r="J100" s="13" t="s">
        <v>3289</v>
      </c>
      <c r="K100" s="13">
        <v>51347</v>
      </c>
      <c r="O100" t="s">
        <v>3807</v>
      </c>
      <c r="P100" t="s">
        <v>23</v>
      </c>
      <c r="U100">
        <v>51139</v>
      </c>
      <c r="V100">
        <f t="shared" si="1"/>
        <v>80</v>
      </c>
      <c r="W100">
        <v>3342</v>
      </c>
      <c r="X100">
        <v>2.3937761819269897E-2</v>
      </c>
      <c r="Y100">
        <v>1</v>
      </c>
    </row>
    <row r="101" spans="1:25" x14ac:dyDescent="0.25">
      <c r="A101" t="s">
        <v>3214</v>
      </c>
      <c r="B101" t="s">
        <v>3222</v>
      </c>
      <c r="C101" t="s">
        <v>3109</v>
      </c>
      <c r="D101" t="s">
        <v>3470</v>
      </c>
      <c r="E101">
        <v>55154</v>
      </c>
      <c r="F101">
        <v>270</v>
      </c>
      <c r="J101" s="13" t="s">
        <v>3721</v>
      </c>
      <c r="K101" s="13">
        <v>10350</v>
      </c>
      <c r="O101" t="s">
        <v>3744</v>
      </c>
      <c r="P101" t="s">
        <v>22</v>
      </c>
      <c r="U101">
        <v>51133</v>
      </c>
      <c r="V101">
        <f t="shared" si="1"/>
        <v>261</v>
      </c>
      <c r="W101">
        <v>3878</v>
      </c>
      <c r="X101">
        <v>6.730273336771532E-2</v>
      </c>
      <c r="Y101">
        <v>2</v>
      </c>
    </row>
    <row r="102" spans="1:25" x14ac:dyDescent="0.25">
      <c r="A102" t="s">
        <v>3214</v>
      </c>
      <c r="B102" t="s">
        <v>3222</v>
      </c>
      <c r="C102" t="s">
        <v>1175</v>
      </c>
      <c r="D102" t="s">
        <v>3443</v>
      </c>
      <c r="E102">
        <v>55151</v>
      </c>
      <c r="F102">
        <v>225</v>
      </c>
      <c r="J102" s="13" t="s">
        <v>3722</v>
      </c>
      <c r="K102" s="13">
        <v>10310</v>
      </c>
      <c r="O102" t="s">
        <v>3418</v>
      </c>
      <c r="P102" t="s">
        <v>159</v>
      </c>
      <c r="U102">
        <v>51131</v>
      </c>
      <c r="V102">
        <f t="shared" si="1"/>
        <v>129</v>
      </c>
      <c r="W102">
        <v>4516</v>
      </c>
      <c r="X102">
        <v>2.8565101860053146E-2</v>
      </c>
      <c r="Y102">
        <v>2</v>
      </c>
    </row>
    <row r="103" spans="1:25" x14ac:dyDescent="0.25">
      <c r="A103" t="s">
        <v>3214</v>
      </c>
      <c r="B103" t="s">
        <v>3222</v>
      </c>
      <c r="C103" t="s">
        <v>2494</v>
      </c>
      <c r="D103" t="s">
        <v>3255</v>
      </c>
      <c r="E103">
        <v>55144</v>
      </c>
      <c r="F103">
        <v>190</v>
      </c>
      <c r="J103" s="13" t="s">
        <v>3723</v>
      </c>
      <c r="K103" s="13">
        <v>10150</v>
      </c>
      <c r="O103" t="s">
        <v>3834</v>
      </c>
      <c r="P103" t="s">
        <v>101</v>
      </c>
      <c r="U103">
        <v>51125</v>
      </c>
      <c r="V103">
        <f t="shared" si="1"/>
        <v>120</v>
      </c>
      <c r="W103">
        <v>3095</v>
      </c>
      <c r="X103">
        <v>3.8772213247172858E-2</v>
      </c>
      <c r="Y103">
        <v>1</v>
      </c>
    </row>
    <row r="104" spans="1:25" x14ac:dyDescent="0.25">
      <c r="A104" t="s">
        <v>3214</v>
      </c>
      <c r="B104" t="s">
        <v>3222</v>
      </c>
      <c r="C104" t="s">
        <v>3113</v>
      </c>
      <c r="D104" t="s">
        <v>3486</v>
      </c>
      <c r="E104">
        <v>55137</v>
      </c>
      <c r="F104">
        <v>548</v>
      </c>
      <c r="J104" s="13" t="s">
        <v>3290</v>
      </c>
      <c r="K104" s="13">
        <v>51131</v>
      </c>
      <c r="O104" t="s">
        <v>3552</v>
      </c>
      <c r="P104" t="s">
        <v>1096</v>
      </c>
      <c r="U104">
        <v>51121</v>
      </c>
      <c r="V104">
        <f t="shared" si="1"/>
        <v>125</v>
      </c>
      <c r="W104">
        <v>9352</v>
      </c>
      <c r="X104">
        <v>1.3366124893071001E-2</v>
      </c>
      <c r="Y104">
        <v>1</v>
      </c>
    </row>
    <row r="105" spans="1:25" x14ac:dyDescent="0.25">
      <c r="A105" t="s">
        <v>3214</v>
      </c>
      <c r="B105" t="s">
        <v>3222</v>
      </c>
      <c r="C105" t="s">
        <v>3138</v>
      </c>
      <c r="D105" t="s">
        <v>3555</v>
      </c>
      <c r="E105">
        <v>55124</v>
      </c>
      <c r="F105">
        <v>699</v>
      </c>
      <c r="J105" s="13" t="s">
        <v>3291</v>
      </c>
      <c r="K105" s="13">
        <v>51139</v>
      </c>
      <c r="O105" t="s">
        <v>3603</v>
      </c>
      <c r="P105" t="s">
        <v>2844</v>
      </c>
      <c r="U105">
        <v>51117</v>
      </c>
      <c r="V105">
        <f t="shared" si="1"/>
        <v>156</v>
      </c>
      <c r="W105">
        <v>3755</v>
      </c>
      <c r="X105">
        <v>4.154460719041278E-2</v>
      </c>
      <c r="Y105">
        <v>1</v>
      </c>
    </row>
    <row r="106" spans="1:25" x14ac:dyDescent="0.25">
      <c r="A106" t="s">
        <v>3214</v>
      </c>
      <c r="B106" t="s">
        <v>3222</v>
      </c>
      <c r="C106" t="s">
        <v>3047</v>
      </c>
      <c r="D106" t="s">
        <v>3259</v>
      </c>
      <c r="E106">
        <v>55114</v>
      </c>
      <c r="F106">
        <v>247</v>
      </c>
      <c r="J106" s="13" t="s">
        <v>3893</v>
      </c>
      <c r="K106" s="13">
        <v>10350</v>
      </c>
      <c r="O106" t="s">
        <v>3370</v>
      </c>
      <c r="P106" t="s">
        <v>1051</v>
      </c>
      <c r="U106">
        <v>51111</v>
      </c>
      <c r="V106">
        <f t="shared" si="1"/>
        <v>216</v>
      </c>
      <c r="W106">
        <v>3276</v>
      </c>
      <c r="X106">
        <v>6.5934065934065936E-2</v>
      </c>
      <c r="Y106">
        <v>3</v>
      </c>
    </row>
    <row r="107" spans="1:25" x14ac:dyDescent="0.25">
      <c r="A107" t="s">
        <v>3214</v>
      </c>
      <c r="B107" t="s">
        <v>3222</v>
      </c>
      <c r="C107" t="s">
        <v>1163</v>
      </c>
      <c r="D107" t="s">
        <v>3606</v>
      </c>
      <c r="E107">
        <v>55111</v>
      </c>
      <c r="F107">
        <v>126</v>
      </c>
      <c r="J107" s="13" t="s">
        <v>3724</v>
      </c>
      <c r="K107" s="13">
        <v>10210</v>
      </c>
      <c r="O107" t="s">
        <v>3314</v>
      </c>
      <c r="P107" t="s">
        <v>1381</v>
      </c>
      <c r="U107">
        <v>37391</v>
      </c>
      <c r="V107">
        <f t="shared" si="1"/>
        <v>93</v>
      </c>
      <c r="W107">
        <v>9135</v>
      </c>
      <c r="X107">
        <v>1.0180623973727421E-2</v>
      </c>
      <c r="Y107">
        <v>1</v>
      </c>
    </row>
    <row r="108" spans="1:25" x14ac:dyDescent="0.25">
      <c r="A108" t="s">
        <v>3216</v>
      </c>
      <c r="B108" t="s">
        <v>1069</v>
      </c>
      <c r="C108" t="s">
        <v>1147</v>
      </c>
      <c r="D108" t="s">
        <v>3306</v>
      </c>
      <c r="E108">
        <v>53459</v>
      </c>
      <c r="F108">
        <v>322</v>
      </c>
      <c r="J108" s="13" t="s">
        <v>3292</v>
      </c>
      <c r="K108" s="13">
        <v>35111</v>
      </c>
      <c r="O108" t="s">
        <v>3794</v>
      </c>
      <c r="P108" t="s">
        <v>23</v>
      </c>
      <c r="U108">
        <v>37381</v>
      </c>
      <c r="V108">
        <f t="shared" si="1"/>
        <v>253</v>
      </c>
      <c r="W108">
        <v>1674</v>
      </c>
      <c r="X108">
        <v>0.15113500597371565</v>
      </c>
      <c r="Y108">
        <v>1</v>
      </c>
    </row>
    <row r="109" spans="1:25" x14ac:dyDescent="0.25">
      <c r="A109" t="s">
        <v>3216</v>
      </c>
      <c r="B109" t="s">
        <v>1069</v>
      </c>
      <c r="C109" t="s">
        <v>1113</v>
      </c>
      <c r="D109" t="s">
        <v>3677</v>
      </c>
      <c r="E109">
        <v>53344</v>
      </c>
      <c r="F109">
        <v>725</v>
      </c>
      <c r="J109" s="13" t="s">
        <v>3293</v>
      </c>
      <c r="K109" s="13">
        <v>74131</v>
      </c>
      <c r="O109" t="s">
        <v>3385</v>
      </c>
      <c r="P109" t="s">
        <v>30</v>
      </c>
      <c r="U109">
        <v>37365</v>
      </c>
      <c r="V109">
        <f t="shared" si="1"/>
        <v>31</v>
      </c>
      <c r="W109">
        <v>2472</v>
      </c>
      <c r="X109">
        <v>1.2540453074433657E-2</v>
      </c>
      <c r="Y109">
        <v>1</v>
      </c>
    </row>
    <row r="110" spans="1:25" x14ac:dyDescent="0.25">
      <c r="A110" t="s">
        <v>3216</v>
      </c>
      <c r="B110" t="s">
        <v>1069</v>
      </c>
      <c r="C110" t="s">
        <v>3064</v>
      </c>
      <c r="D110" t="s">
        <v>3305</v>
      </c>
      <c r="E110">
        <v>53311</v>
      </c>
      <c r="F110">
        <v>1050</v>
      </c>
      <c r="J110" s="13" t="s">
        <v>3894</v>
      </c>
      <c r="K110" s="13">
        <v>74111</v>
      </c>
      <c r="O110" t="s">
        <v>3357</v>
      </c>
      <c r="P110" t="s">
        <v>554</v>
      </c>
      <c r="U110">
        <v>37291</v>
      </c>
      <c r="V110">
        <f t="shared" si="1"/>
        <v>34</v>
      </c>
      <c r="W110">
        <v>4494</v>
      </c>
      <c r="X110">
        <v>7.5656430796617715E-3</v>
      </c>
      <c r="Y110">
        <v>1</v>
      </c>
    </row>
    <row r="111" spans="1:25" x14ac:dyDescent="0.25">
      <c r="A111" t="s">
        <v>3216</v>
      </c>
      <c r="B111" t="s">
        <v>1069</v>
      </c>
      <c r="C111" t="s">
        <v>3064</v>
      </c>
      <c r="D111" t="s">
        <v>3356</v>
      </c>
      <c r="E111">
        <v>53311</v>
      </c>
      <c r="F111">
        <v>144</v>
      </c>
      <c r="J111" s="13" t="s">
        <v>3294</v>
      </c>
      <c r="K111" s="13">
        <v>74111</v>
      </c>
      <c r="O111" t="s">
        <v>3585</v>
      </c>
      <c r="P111" t="s">
        <v>1193</v>
      </c>
      <c r="U111">
        <v>37241</v>
      </c>
      <c r="V111">
        <f t="shared" si="1"/>
        <v>38</v>
      </c>
      <c r="W111">
        <v>5008</v>
      </c>
      <c r="X111">
        <v>7.5878594249201275E-3</v>
      </c>
      <c r="Y111">
        <v>1</v>
      </c>
    </row>
    <row r="112" spans="1:25" x14ac:dyDescent="0.25">
      <c r="A112" t="s">
        <v>3216</v>
      </c>
      <c r="B112" t="s">
        <v>1069</v>
      </c>
      <c r="C112" t="s">
        <v>3064</v>
      </c>
      <c r="D112" t="s">
        <v>3613</v>
      </c>
      <c r="E112">
        <v>53311</v>
      </c>
      <c r="F112">
        <v>1560</v>
      </c>
      <c r="J112" s="13" t="s">
        <v>3895</v>
      </c>
      <c r="K112" s="13">
        <v>74133</v>
      </c>
      <c r="O112" t="s">
        <v>3735</v>
      </c>
      <c r="P112" t="s">
        <v>2803</v>
      </c>
      <c r="U112">
        <v>37231</v>
      </c>
      <c r="V112">
        <f t="shared" si="1"/>
        <v>179</v>
      </c>
      <c r="W112">
        <v>28120</v>
      </c>
      <c r="X112">
        <v>6.365576102418208E-3</v>
      </c>
      <c r="Y112">
        <v>2</v>
      </c>
    </row>
    <row r="113" spans="1:25" x14ac:dyDescent="0.25">
      <c r="A113" t="s">
        <v>3216</v>
      </c>
      <c r="B113" t="s">
        <v>1069</v>
      </c>
      <c r="C113" t="s">
        <v>3137</v>
      </c>
      <c r="D113" t="s">
        <v>3552</v>
      </c>
      <c r="E113">
        <v>53241</v>
      </c>
      <c r="F113">
        <v>198</v>
      </c>
      <c r="J113" s="13" t="s">
        <v>3896</v>
      </c>
      <c r="K113" s="13">
        <v>74133</v>
      </c>
      <c r="O113" t="s">
        <v>3728</v>
      </c>
      <c r="P113" t="s">
        <v>2803</v>
      </c>
      <c r="U113">
        <v>36164</v>
      </c>
      <c r="V113">
        <f t="shared" si="1"/>
        <v>84</v>
      </c>
      <c r="W113">
        <v>208</v>
      </c>
      <c r="X113">
        <v>0.40384615384615385</v>
      </c>
      <c r="Y113">
        <v>1</v>
      </c>
    </row>
    <row r="114" spans="1:25" x14ac:dyDescent="0.25">
      <c r="A114" t="s">
        <v>3216</v>
      </c>
      <c r="B114" t="s">
        <v>1069</v>
      </c>
      <c r="C114" t="s">
        <v>3137</v>
      </c>
      <c r="D114" t="s">
        <v>3651</v>
      </c>
      <c r="E114">
        <v>53241</v>
      </c>
      <c r="F114">
        <v>432</v>
      </c>
      <c r="J114" s="13" t="s">
        <v>3897</v>
      </c>
      <c r="K114" s="13">
        <v>71377</v>
      </c>
      <c r="O114" t="s">
        <v>3759</v>
      </c>
      <c r="P114" t="s">
        <v>21</v>
      </c>
      <c r="U114">
        <v>35429</v>
      </c>
      <c r="V114">
        <f t="shared" si="1"/>
        <v>177</v>
      </c>
      <c r="W114">
        <v>1431</v>
      </c>
      <c r="X114">
        <v>0.12368972746331237</v>
      </c>
      <c r="Y114">
        <v>1</v>
      </c>
    </row>
    <row r="115" spans="1:25" x14ac:dyDescent="0.25">
      <c r="A115" t="s">
        <v>3216</v>
      </c>
      <c r="B115" t="s">
        <v>1069</v>
      </c>
      <c r="C115" t="s">
        <v>3137</v>
      </c>
      <c r="D115" t="s">
        <v>3661</v>
      </c>
      <c r="E115">
        <v>53241</v>
      </c>
      <c r="F115">
        <v>381</v>
      </c>
      <c r="J115" s="13" t="s">
        <v>3898</v>
      </c>
      <c r="K115" s="13">
        <v>71361</v>
      </c>
      <c r="O115" t="s">
        <v>3326</v>
      </c>
      <c r="P115" t="s">
        <v>554</v>
      </c>
      <c r="U115">
        <v>35416</v>
      </c>
      <c r="V115">
        <f t="shared" si="1"/>
        <v>219</v>
      </c>
      <c r="W115">
        <v>1877</v>
      </c>
      <c r="X115">
        <v>0.11667554608417688</v>
      </c>
      <c r="Y115">
        <v>1</v>
      </c>
    </row>
    <row r="116" spans="1:25" x14ac:dyDescent="0.25">
      <c r="A116" t="s">
        <v>3216</v>
      </c>
      <c r="B116" t="s">
        <v>1069</v>
      </c>
      <c r="C116" t="s">
        <v>1093</v>
      </c>
      <c r="D116" t="s">
        <v>3307</v>
      </c>
      <c r="E116">
        <v>53231</v>
      </c>
      <c r="F116">
        <v>239</v>
      </c>
      <c r="J116" s="13" t="s">
        <v>3899</v>
      </c>
      <c r="K116" s="13">
        <v>71361</v>
      </c>
      <c r="O116" t="s">
        <v>6922</v>
      </c>
      <c r="P116" t="s">
        <v>1261</v>
      </c>
      <c r="U116">
        <v>35357</v>
      </c>
      <c r="V116">
        <f t="shared" si="1"/>
        <v>151</v>
      </c>
      <c r="W116">
        <v>7168</v>
      </c>
      <c r="X116">
        <v>2.1065848214285716E-2</v>
      </c>
      <c r="Y116">
        <v>2</v>
      </c>
    </row>
    <row r="117" spans="1:25" x14ac:dyDescent="0.25">
      <c r="A117" t="s">
        <v>3216</v>
      </c>
      <c r="B117" t="s">
        <v>1069</v>
      </c>
      <c r="C117" t="s">
        <v>1093</v>
      </c>
      <c r="D117" t="s">
        <v>3481</v>
      </c>
      <c r="E117">
        <v>53231</v>
      </c>
      <c r="F117">
        <v>415</v>
      </c>
      <c r="J117" s="13" t="s">
        <v>3900</v>
      </c>
      <c r="K117" s="13">
        <v>51241</v>
      </c>
      <c r="O117" t="s">
        <v>3424</v>
      </c>
      <c r="P117" t="s">
        <v>98</v>
      </c>
      <c r="U117">
        <v>35331</v>
      </c>
      <c r="V117">
        <f t="shared" si="1"/>
        <v>80</v>
      </c>
      <c r="W117">
        <v>553</v>
      </c>
      <c r="X117">
        <v>0.14466546112115733</v>
      </c>
      <c r="Y117">
        <v>1</v>
      </c>
    </row>
    <row r="118" spans="1:25" x14ac:dyDescent="0.25">
      <c r="A118" t="s">
        <v>3216</v>
      </c>
      <c r="B118" t="s">
        <v>1069</v>
      </c>
      <c r="C118" t="s">
        <v>1093</v>
      </c>
      <c r="D118" t="s">
        <v>3519</v>
      </c>
      <c r="E118">
        <v>53231</v>
      </c>
      <c r="F118">
        <v>410</v>
      </c>
      <c r="J118" s="13" t="s">
        <v>3725</v>
      </c>
      <c r="K118" s="13">
        <v>10410</v>
      </c>
      <c r="O118" t="s">
        <v>3401</v>
      </c>
      <c r="P118" t="s">
        <v>95</v>
      </c>
      <c r="U118">
        <v>35326</v>
      </c>
      <c r="V118">
        <f t="shared" si="1"/>
        <v>85</v>
      </c>
      <c r="W118">
        <v>1462</v>
      </c>
      <c r="X118">
        <v>5.8139534883720929E-2</v>
      </c>
      <c r="Y118">
        <v>1</v>
      </c>
    </row>
    <row r="119" spans="1:25" x14ac:dyDescent="0.25">
      <c r="A119" t="s">
        <v>3216</v>
      </c>
      <c r="B119" t="s">
        <v>1069</v>
      </c>
      <c r="C119" t="s">
        <v>3052</v>
      </c>
      <c r="D119" t="s">
        <v>3267</v>
      </c>
      <c r="E119">
        <v>53214</v>
      </c>
      <c r="F119">
        <v>796</v>
      </c>
      <c r="J119" s="13" t="s">
        <v>3726</v>
      </c>
      <c r="K119" s="13">
        <v>10310</v>
      </c>
      <c r="O119" t="s">
        <v>3535</v>
      </c>
      <c r="P119" t="s">
        <v>2870</v>
      </c>
      <c r="U119">
        <v>35314</v>
      </c>
      <c r="V119">
        <f t="shared" si="1"/>
        <v>200</v>
      </c>
      <c r="W119">
        <v>7683</v>
      </c>
      <c r="X119">
        <v>2.6031498112716388E-2</v>
      </c>
      <c r="Y119">
        <v>1</v>
      </c>
    </row>
    <row r="120" spans="1:25" x14ac:dyDescent="0.25">
      <c r="A120" t="s">
        <v>3216</v>
      </c>
      <c r="B120" t="s">
        <v>1069</v>
      </c>
      <c r="C120" t="s">
        <v>3088</v>
      </c>
      <c r="D120" t="s">
        <v>3407</v>
      </c>
      <c r="E120">
        <v>53214</v>
      </c>
      <c r="F120">
        <v>861</v>
      </c>
      <c r="J120" s="13" t="s">
        <v>3295</v>
      </c>
      <c r="K120" s="13">
        <v>24351</v>
      </c>
      <c r="O120" t="s">
        <v>3671</v>
      </c>
      <c r="P120" t="s">
        <v>744</v>
      </c>
      <c r="U120">
        <v>35275</v>
      </c>
      <c r="V120">
        <f t="shared" si="1"/>
        <v>374</v>
      </c>
      <c r="W120">
        <v>15002</v>
      </c>
      <c r="X120">
        <v>2.4930009332089054E-2</v>
      </c>
      <c r="Y120">
        <v>1</v>
      </c>
    </row>
    <row r="121" spans="1:25" x14ac:dyDescent="0.25">
      <c r="A121" t="s">
        <v>3216</v>
      </c>
      <c r="B121" t="s">
        <v>1069</v>
      </c>
      <c r="C121" t="s">
        <v>3088</v>
      </c>
      <c r="D121" t="s">
        <v>3408</v>
      </c>
      <c r="E121">
        <v>53214</v>
      </c>
      <c r="F121">
        <v>629</v>
      </c>
      <c r="J121" s="13" t="s">
        <v>3296</v>
      </c>
      <c r="K121" s="13">
        <v>63111</v>
      </c>
      <c r="O121" t="s">
        <v>3616</v>
      </c>
      <c r="P121" t="s">
        <v>1193</v>
      </c>
      <c r="U121">
        <v>35235</v>
      </c>
      <c r="V121">
        <f t="shared" si="1"/>
        <v>106</v>
      </c>
      <c r="W121">
        <v>726</v>
      </c>
      <c r="X121">
        <v>0.14600550964187328</v>
      </c>
      <c r="Y121">
        <v>1</v>
      </c>
    </row>
    <row r="122" spans="1:25" x14ac:dyDescent="0.25">
      <c r="A122" t="s">
        <v>3216</v>
      </c>
      <c r="B122" t="s">
        <v>1069</v>
      </c>
      <c r="C122" t="s">
        <v>3052</v>
      </c>
      <c r="D122" t="s">
        <v>3266</v>
      </c>
      <c r="E122">
        <v>53211</v>
      </c>
      <c r="F122">
        <v>417</v>
      </c>
      <c r="J122" s="13" t="s">
        <v>3297</v>
      </c>
      <c r="K122" s="13">
        <v>63227</v>
      </c>
      <c r="O122" t="s">
        <v>3235</v>
      </c>
      <c r="P122" t="s">
        <v>291</v>
      </c>
      <c r="U122">
        <v>35221</v>
      </c>
      <c r="V122">
        <f t="shared" si="1"/>
        <v>81</v>
      </c>
      <c r="W122">
        <v>697</v>
      </c>
      <c r="X122">
        <v>0.11621233859397417</v>
      </c>
      <c r="Y122">
        <v>1</v>
      </c>
    </row>
    <row r="123" spans="1:25" x14ac:dyDescent="0.25">
      <c r="A123" t="s">
        <v>3216</v>
      </c>
      <c r="B123" t="s">
        <v>1069</v>
      </c>
      <c r="C123" t="s">
        <v>3088</v>
      </c>
      <c r="D123" t="s">
        <v>3406</v>
      </c>
      <c r="E123">
        <v>53211</v>
      </c>
      <c r="F123">
        <v>49</v>
      </c>
      <c r="J123" s="13" t="s">
        <v>3298</v>
      </c>
      <c r="K123" s="13">
        <v>61183</v>
      </c>
      <c r="O123" t="s">
        <v>3668</v>
      </c>
      <c r="P123" t="s">
        <v>291</v>
      </c>
      <c r="U123">
        <v>35191</v>
      </c>
      <c r="V123">
        <f t="shared" si="1"/>
        <v>83</v>
      </c>
      <c r="W123">
        <v>8788</v>
      </c>
      <c r="X123">
        <v>9.4446973145197993E-3</v>
      </c>
      <c r="Y123">
        <v>1</v>
      </c>
    </row>
    <row r="124" spans="1:25" x14ac:dyDescent="0.25">
      <c r="A124" t="s">
        <v>3216</v>
      </c>
      <c r="B124" t="s">
        <v>1069</v>
      </c>
      <c r="C124" t="s">
        <v>3052</v>
      </c>
      <c r="D124" t="s">
        <v>3549</v>
      </c>
      <c r="E124">
        <v>53211</v>
      </c>
      <c r="F124">
        <v>101</v>
      </c>
      <c r="J124" s="13" t="s">
        <v>3299</v>
      </c>
      <c r="K124" s="13">
        <v>63111</v>
      </c>
      <c r="O124" t="s">
        <v>3236</v>
      </c>
      <c r="P124" t="s">
        <v>2844</v>
      </c>
      <c r="U124">
        <v>35189</v>
      </c>
      <c r="V124">
        <f t="shared" si="1"/>
        <v>44</v>
      </c>
      <c r="W124">
        <v>2574</v>
      </c>
      <c r="X124">
        <v>1.7094017094017096E-2</v>
      </c>
      <c r="Y124">
        <v>1</v>
      </c>
    </row>
    <row r="125" spans="1:25" x14ac:dyDescent="0.25">
      <c r="A125" t="s">
        <v>3216</v>
      </c>
      <c r="B125" t="s">
        <v>1069</v>
      </c>
      <c r="C125" t="s">
        <v>1112</v>
      </c>
      <c r="D125" t="s">
        <v>3304</v>
      </c>
      <c r="E125">
        <v>53111</v>
      </c>
      <c r="F125">
        <v>65</v>
      </c>
      <c r="J125" s="13" t="s">
        <v>3901</v>
      </c>
      <c r="K125" s="13">
        <v>51365</v>
      </c>
      <c r="O125" t="s">
        <v>3766</v>
      </c>
      <c r="P125" t="s">
        <v>22</v>
      </c>
      <c r="U125">
        <v>35171</v>
      </c>
      <c r="V125">
        <f t="shared" si="1"/>
        <v>94</v>
      </c>
      <c r="W125">
        <v>5283</v>
      </c>
      <c r="X125">
        <v>1.779292068900246E-2</v>
      </c>
      <c r="Y125">
        <v>1</v>
      </c>
    </row>
    <row r="126" spans="1:25" x14ac:dyDescent="0.25">
      <c r="A126" t="s">
        <v>3216</v>
      </c>
      <c r="B126" t="s">
        <v>1069</v>
      </c>
      <c r="C126" t="s">
        <v>1069</v>
      </c>
      <c r="D126" t="s">
        <v>3491</v>
      </c>
      <c r="E126">
        <v>53111</v>
      </c>
      <c r="F126">
        <v>32</v>
      </c>
      <c r="J126" s="13" t="s">
        <v>3300</v>
      </c>
      <c r="K126" s="13">
        <v>51111</v>
      </c>
      <c r="O126" t="s">
        <v>3516</v>
      </c>
      <c r="P126" t="s">
        <v>36</v>
      </c>
      <c r="U126">
        <v>35161</v>
      </c>
      <c r="V126">
        <f t="shared" si="1"/>
        <v>277</v>
      </c>
      <c r="W126">
        <v>454</v>
      </c>
      <c r="X126">
        <v>0.61013215859030834</v>
      </c>
      <c r="Y126">
        <v>1</v>
      </c>
    </row>
    <row r="127" spans="1:25" x14ac:dyDescent="0.25">
      <c r="A127" t="s">
        <v>3214</v>
      </c>
      <c r="B127" t="s">
        <v>3221</v>
      </c>
      <c r="C127" t="s">
        <v>3048</v>
      </c>
      <c r="D127" t="s">
        <v>3260</v>
      </c>
      <c r="E127">
        <v>52277</v>
      </c>
      <c r="F127">
        <v>78</v>
      </c>
      <c r="J127" s="13" t="s">
        <v>3301</v>
      </c>
      <c r="K127" s="13">
        <v>22411</v>
      </c>
      <c r="O127" t="s">
        <v>3365</v>
      </c>
      <c r="P127" t="s">
        <v>259</v>
      </c>
      <c r="U127">
        <v>35149</v>
      </c>
      <c r="V127">
        <f t="shared" si="1"/>
        <v>457</v>
      </c>
      <c r="W127">
        <v>3951</v>
      </c>
      <c r="X127">
        <v>0.11566691976714756</v>
      </c>
      <c r="Y127">
        <v>1</v>
      </c>
    </row>
    <row r="128" spans="1:25" x14ac:dyDescent="0.25">
      <c r="A128" t="s">
        <v>3214</v>
      </c>
      <c r="B128" t="s">
        <v>3221</v>
      </c>
      <c r="C128" t="s">
        <v>3048</v>
      </c>
      <c r="D128" t="s">
        <v>3684</v>
      </c>
      <c r="E128">
        <v>52277</v>
      </c>
      <c r="F128">
        <v>63</v>
      </c>
      <c r="J128" s="13" t="s">
        <v>3302</v>
      </c>
      <c r="K128" s="13">
        <v>51133</v>
      </c>
      <c r="O128" t="s">
        <v>3656</v>
      </c>
      <c r="P128" t="s">
        <v>259</v>
      </c>
      <c r="U128">
        <v>35147</v>
      </c>
      <c r="V128">
        <f t="shared" si="1"/>
        <v>320</v>
      </c>
      <c r="W128">
        <v>2089</v>
      </c>
      <c r="X128">
        <v>0.15318334131163236</v>
      </c>
      <c r="Y128">
        <v>1</v>
      </c>
    </row>
    <row r="129" spans="1:25" x14ac:dyDescent="0.25">
      <c r="A129" t="s">
        <v>3214</v>
      </c>
      <c r="B129" t="s">
        <v>3221</v>
      </c>
      <c r="C129" t="s">
        <v>3048</v>
      </c>
      <c r="D129" t="s">
        <v>3705</v>
      </c>
      <c r="E129">
        <v>52277</v>
      </c>
      <c r="F129">
        <v>200</v>
      </c>
      <c r="J129" s="13" t="s">
        <v>3702</v>
      </c>
      <c r="K129" s="13">
        <v>51267</v>
      </c>
      <c r="O129" t="s">
        <v>3325</v>
      </c>
      <c r="P129" t="s">
        <v>537</v>
      </c>
      <c r="U129">
        <v>35137</v>
      </c>
      <c r="V129">
        <f t="shared" si="1"/>
        <v>136</v>
      </c>
      <c r="W129">
        <v>4117</v>
      </c>
      <c r="X129">
        <v>3.3033762448384747E-2</v>
      </c>
      <c r="Y129">
        <v>1</v>
      </c>
    </row>
    <row r="130" spans="1:25" x14ac:dyDescent="0.25">
      <c r="A130" t="s">
        <v>3214</v>
      </c>
      <c r="B130" t="s">
        <v>3221</v>
      </c>
      <c r="C130" t="s">
        <v>1059</v>
      </c>
      <c r="D130" t="s">
        <v>3685</v>
      </c>
      <c r="E130">
        <v>52264</v>
      </c>
      <c r="F130">
        <v>104</v>
      </c>
      <c r="J130" s="16" t="s">
        <v>3872</v>
      </c>
      <c r="K130" s="16">
        <v>51234</v>
      </c>
      <c r="O130" t="s">
        <v>3452</v>
      </c>
      <c r="P130" t="s">
        <v>537</v>
      </c>
      <c r="U130">
        <v>35126</v>
      </c>
      <c r="V130">
        <f t="shared" si="1"/>
        <v>143</v>
      </c>
      <c r="W130">
        <v>2134</v>
      </c>
      <c r="X130">
        <v>6.7010309278350513E-2</v>
      </c>
      <c r="Y130">
        <v>1</v>
      </c>
    </row>
    <row r="131" spans="1:25" x14ac:dyDescent="0.25">
      <c r="A131" t="s">
        <v>3214</v>
      </c>
      <c r="B131" t="s">
        <v>3221</v>
      </c>
      <c r="C131" t="s">
        <v>3098</v>
      </c>
      <c r="D131" t="s">
        <v>3448</v>
      </c>
      <c r="E131">
        <v>52254</v>
      </c>
      <c r="F131">
        <v>105</v>
      </c>
      <c r="J131" s="13" t="s">
        <v>3303</v>
      </c>
      <c r="K131" s="13">
        <v>55157</v>
      </c>
      <c r="O131" t="s">
        <v>3627</v>
      </c>
      <c r="P131" t="s">
        <v>1047</v>
      </c>
      <c r="U131">
        <v>35113</v>
      </c>
      <c r="V131">
        <f t="shared" ref="V131:V194" si="2">SUMIF(E:E,U131,F:F)</f>
        <v>74</v>
      </c>
      <c r="W131">
        <v>2484</v>
      </c>
      <c r="X131">
        <v>2.9790660225442835E-2</v>
      </c>
      <c r="Y131">
        <v>1</v>
      </c>
    </row>
    <row r="132" spans="1:25" x14ac:dyDescent="0.25">
      <c r="A132" t="s">
        <v>3214</v>
      </c>
      <c r="B132" t="s">
        <v>3221</v>
      </c>
      <c r="C132" t="s">
        <v>3098</v>
      </c>
      <c r="D132" t="s">
        <v>3449</v>
      </c>
      <c r="E132">
        <v>52254</v>
      </c>
      <c r="F132">
        <v>105</v>
      </c>
      <c r="J132" s="13" t="s">
        <v>3304</v>
      </c>
      <c r="K132" s="13">
        <v>53111</v>
      </c>
      <c r="O132" t="s">
        <v>3262</v>
      </c>
      <c r="P132" t="s">
        <v>1047</v>
      </c>
      <c r="U132">
        <v>35111</v>
      </c>
      <c r="V132">
        <f t="shared" si="2"/>
        <v>178</v>
      </c>
      <c r="W132">
        <v>6843</v>
      </c>
      <c r="X132">
        <v>2.6011983048370598E-2</v>
      </c>
      <c r="Y132">
        <v>2</v>
      </c>
    </row>
    <row r="133" spans="1:25" x14ac:dyDescent="0.25">
      <c r="A133" t="s">
        <v>3214</v>
      </c>
      <c r="B133" t="s">
        <v>3221</v>
      </c>
      <c r="C133" t="s">
        <v>3209</v>
      </c>
      <c r="D133" t="s">
        <v>3864</v>
      </c>
      <c r="E133">
        <v>52244</v>
      </c>
      <c r="F133">
        <v>147</v>
      </c>
      <c r="J133" s="13" t="s">
        <v>3305</v>
      </c>
      <c r="K133" s="13">
        <v>53311</v>
      </c>
      <c r="O133" t="s">
        <v>3354</v>
      </c>
      <c r="P133" t="s">
        <v>46</v>
      </c>
      <c r="U133">
        <v>34374</v>
      </c>
      <c r="V133">
        <f t="shared" si="2"/>
        <v>126</v>
      </c>
      <c r="W133">
        <v>701</v>
      </c>
      <c r="X133">
        <v>0.1797432239657632</v>
      </c>
      <c r="Y133">
        <v>2</v>
      </c>
    </row>
    <row r="134" spans="1:25" x14ac:dyDescent="0.25">
      <c r="A134" t="s">
        <v>3214</v>
      </c>
      <c r="B134" t="s">
        <v>3221</v>
      </c>
      <c r="C134" t="s">
        <v>3043</v>
      </c>
      <c r="D134" t="s">
        <v>3254</v>
      </c>
      <c r="E134">
        <v>52237</v>
      </c>
      <c r="F134">
        <v>81</v>
      </c>
      <c r="J134" s="15" t="s">
        <v>3306</v>
      </c>
      <c r="K134" s="15">
        <v>53459</v>
      </c>
      <c r="O134" t="s">
        <v>3672</v>
      </c>
      <c r="P134" t="s">
        <v>204</v>
      </c>
      <c r="U134">
        <v>34336</v>
      </c>
      <c r="V134">
        <f t="shared" si="2"/>
        <v>31</v>
      </c>
      <c r="W134">
        <v>586</v>
      </c>
      <c r="X134">
        <v>5.2901023890784986E-2</v>
      </c>
      <c r="Y134">
        <v>1</v>
      </c>
    </row>
    <row r="135" spans="1:25" x14ac:dyDescent="0.25">
      <c r="A135" t="s">
        <v>3214</v>
      </c>
      <c r="B135" t="s">
        <v>3221</v>
      </c>
      <c r="C135" t="s">
        <v>3043</v>
      </c>
      <c r="D135" t="s">
        <v>3370</v>
      </c>
      <c r="E135">
        <v>52237</v>
      </c>
      <c r="F135">
        <v>70</v>
      </c>
      <c r="J135" s="13" t="s">
        <v>3902</v>
      </c>
      <c r="K135" s="13">
        <v>53445</v>
      </c>
      <c r="O135" t="s">
        <v>3234</v>
      </c>
      <c r="P135" t="s">
        <v>294</v>
      </c>
      <c r="U135">
        <v>34284</v>
      </c>
      <c r="V135">
        <f t="shared" si="2"/>
        <v>167</v>
      </c>
      <c r="W135">
        <v>1351</v>
      </c>
      <c r="X135">
        <v>0.12361213915618061</v>
      </c>
      <c r="Y135">
        <v>1</v>
      </c>
    </row>
    <row r="136" spans="1:25" x14ac:dyDescent="0.25">
      <c r="A136" t="s">
        <v>3214</v>
      </c>
      <c r="B136" t="s">
        <v>3221</v>
      </c>
      <c r="C136" t="s">
        <v>1050</v>
      </c>
      <c r="D136" t="s">
        <v>3473</v>
      </c>
      <c r="E136">
        <v>52234</v>
      </c>
      <c r="F136">
        <v>385</v>
      </c>
      <c r="J136" s="13" t="s">
        <v>3307</v>
      </c>
      <c r="K136" s="13">
        <v>53231</v>
      </c>
      <c r="O136" t="s">
        <v>3460</v>
      </c>
      <c r="P136" t="s">
        <v>343</v>
      </c>
      <c r="U136">
        <v>34188</v>
      </c>
      <c r="V136">
        <f t="shared" si="2"/>
        <v>30</v>
      </c>
      <c r="W136">
        <v>9614</v>
      </c>
      <c r="X136">
        <v>3.1204493447056377E-3</v>
      </c>
      <c r="Y136">
        <v>1</v>
      </c>
    </row>
    <row r="137" spans="1:25" x14ac:dyDescent="0.25">
      <c r="A137" t="s">
        <v>3214</v>
      </c>
      <c r="B137" t="s">
        <v>3221</v>
      </c>
      <c r="C137" t="s">
        <v>2946</v>
      </c>
      <c r="D137" t="s">
        <v>3253</v>
      </c>
      <c r="E137">
        <v>52227</v>
      </c>
      <c r="F137">
        <v>217</v>
      </c>
      <c r="J137" s="15" t="s">
        <v>3677</v>
      </c>
      <c r="K137" s="15">
        <v>53344</v>
      </c>
      <c r="O137" t="s">
        <v>3654</v>
      </c>
      <c r="P137" t="s">
        <v>270</v>
      </c>
      <c r="U137">
        <v>34111</v>
      </c>
      <c r="V137">
        <f t="shared" si="2"/>
        <v>24</v>
      </c>
      <c r="W137">
        <v>1604</v>
      </c>
      <c r="X137">
        <v>1.4962593516209476E-2</v>
      </c>
      <c r="Y137">
        <v>1</v>
      </c>
    </row>
    <row r="138" spans="1:25" x14ac:dyDescent="0.25">
      <c r="A138" t="s">
        <v>3214</v>
      </c>
      <c r="B138" t="s">
        <v>3221</v>
      </c>
      <c r="C138" t="s">
        <v>2946</v>
      </c>
      <c r="D138" t="s">
        <v>3548</v>
      </c>
      <c r="E138">
        <v>52227</v>
      </c>
      <c r="F138">
        <v>305</v>
      </c>
      <c r="J138" s="13" t="s">
        <v>3903</v>
      </c>
      <c r="K138" s="13">
        <v>35275</v>
      </c>
      <c r="O138" t="s">
        <v>3544</v>
      </c>
      <c r="P138" t="s">
        <v>965</v>
      </c>
      <c r="U138">
        <v>33271</v>
      </c>
      <c r="V138">
        <f t="shared" si="2"/>
        <v>62</v>
      </c>
      <c r="W138">
        <v>3396</v>
      </c>
      <c r="X138">
        <v>1.8256772673733806E-2</v>
      </c>
      <c r="Y138">
        <v>2</v>
      </c>
    </row>
    <row r="139" spans="1:25" x14ac:dyDescent="0.25">
      <c r="A139" t="s">
        <v>3214</v>
      </c>
      <c r="B139" t="s">
        <v>3221</v>
      </c>
      <c r="C139" t="s">
        <v>2395</v>
      </c>
      <c r="D139" t="s">
        <v>3262</v>
      </c>
      <c r="E139">
        <v>52224</v>
      </c>
      <c r="F139">
        <v>460</v>
      </c>
      <c r="J139" s="13" t="s">
        <v>3904</v>
      </c>
      <c r="K139" s="13">
        <v>35261</v>
      </c>
      <c r="O139" t="s">
        <v>3614</v>
      </c>
      <c r="P139" t="s">
        <v>743</v>
      </c>
      <c r="U139">
        <v>33145</v>
      </c>
      <c r="V139">
        <f t="shared" si="2"/>
        <v>82</v>
      </c>
      <c r="W139">
        <v>840</v>
      </c>
      <c r="X139">
        <v>9.7619047619047619E-2</v>
      </c>
      <c r="Y139">
        <v>1</v>
      </c>
    </row>
    <row r="140" spans="1:25" x14ac:dyDescent="0.25">
      <c r="A140" t="s">
        <v>3214</v>
      </c>
      <c r="B140" t="s">
        <v>3221</v>
      </c>
      <c r="C140" t="s">
        <v>2395</v>
      </c>
      <c r="D140" t="s">
        <v>3627</v>
      </c>
      <c r="E140">
        <v>52224</v>
      </c>
      <c r="F140">
        <v>204</v>
      </c>
      <c r="J140" s="13" t="s">
        <v>3552</v>
      </c>
      <c r="K140" s="13">
        <v>53241</v>
      </c>
      <c r="O140" t="s">
        <v>3702</v>
      </c>
      <c r="P140" t="s">
        <v>1006</v>
      </c>
      <c r="U140">
        <v>33129</v>
      </c>
      <c r="V140">
        <f t="shared" si="2"/>
        <v>41</v>
      </c>
      <c r="W140">
        <v>9401</v>
      </c>
      <c r="X140">
        <v>4.361238166152537E-3</v>
      </c>
      <c r="Y140">
        <v>1</v>
      </c>
    </row>
    <row r="141" spans="1:25" x14ac:dyDescent="0.25">
      <c r="A141" t="s">
        <v>3214</v>
      </c>
      <c r="B141" t="s">
        <v>3221</v>
      </c>
      <c r="C141" t="s">
        <v>1046</v>
      </c>
      <c r="D141" t="s">
        <v>3450</v>
      </c>
      <c r="E141">
        <v>52221</v>
      </c>
      <c r="F141">
        <v>104</v>
      </c>
      <c r="J141" s="13" t="s">
        <v>3727</v>
      </c>
      <c r="K141" s="13">
        <v>10350</v>
      </c>
      <c r="O141" t="s">
        <v>3366</v>
      </c>
      <c r="P141" t="s">
        <v>1006</v>
      </c>
      <c r="U141">
        <v>33117</v>
      </c>
      <c r="V141">
        <f t="shared" si="2"/>
        <v>20</v>
      </c>
      <c r="W141">
        <v>4759</v>
      </c>
      <c r="X141">
        <v>4.202563563773902E-3</v>
      </c>
      <c r="Y141">
        <v>1</v>
      </c>
    </row>
    <row r="142" spans="1:25" x14ac:dyDescent="0.25">
      <c r="A142" t="s">
        <v>3214</v>
      </c>
      <c r="B142" t="s">
        <v>3221</v>
      </c>
      <c r="C142" t="s">
        <v>3049</v>
      </c>
      <c r="D142" t="s">
        <v>3261</v>
      </c>
      <c r="E142">
        <v>52217</v>
      </c>
      <c r="F142">
        <v>176</v>
      </c>
      <c r="J142" s="13" t="s">
        <v>3728</v>
      </c>
      <c r="K142" s="13">
        <v>10210</v>
      </c>
      <c r="O142" t="s">
        <v>3367</v>
      </c>
      <c r="P142" t="s">
        <v>1006</v>
      </c>
      <c r="U142">
        <v>33113</v>
      </c>
      <c r="V142">
        <f t="shared" si="2"/>
        <v>72</v>
      </c>
      <c r="W142">
        <v>3971</v>
      </c>
      <c r="X142">
        <v>1.8131453034500127E-2</v>
      </c>
      <c r="Y142">
        <v>1</v>
      </c>
    </row>
    <row r="143" spans="1:25" x14ac:dyDescent="0.25">
      <c r="A143" t="s">
        <v>3214</v>
      </c>
      <c r="B143" t="s">
        <v>3221</v>
      </c>
      <c r="C143" t="s">
        <v>3049</v>
      </c>
      <c r="D143" t="s">
        <v>3510</v>
      </c>
      <c r="E143">
        <v>52217</v>
      </c>
      <c r="F143">
        <v>73</v>
      </c>
      <c r="J143" s="13" t="s">
        <v>3729</v>
      </c>
      <c r="K143" s="13">
        <v>10310</v>
      </c>
      <c r="O143" t="s">
        <v>3514</v>
      </c>
      <c r="P143" t="s">
        <v>202</v>
      </c>
      <c r="U143">
        <v>33111</v>
      </c>
      <c r="V143">
        <f t="shared" si="2"/>
        <v>224</v>
      </c>
      <c r="W143">
        <v>16652</v>
      </c>
      <c r="X143">
        <v>1.345183761710305E-2</v>
      </c>
      <c r="Y143">
        <v>3</v>
      </c>
    </row>
    <row r="144" spans="1:25" x14ac:dyDescent="0.25">
      <c r="A144" t="s">
        <v>3214</v>
      </c>
      <c r="B144" t="s">
        <v>3221</v>
      </c>
      <c r="C144" t="s">
        <v>1044</v>
      </c>
      <c r="D144" t="s">
        <v>3474</v>
      </c>
      <c r="E144">
        <v>52214</v>
      </c>
      <c r="F144">
        <v>0</v>
      </c>
      <c r="J144" s="13" t="s">
        <v>3730</v>
      </c>
      <c r="K144" s="13">
        <v>10310</v>
      </c>
      <c r="O144" t="s">
        <v>3513</v>
      </c>
      <c r="P144" t="s">
        <v>202</v>
      </c>
      <c r="U144">
        <v>32185</v>
      </c>
      <c r="V144">
        <f t="shared" si="2"/>
        <v>51</v>
      </c>
      <c r="W144">
        <v>6106</v>
      </c>
      <c r="X144">
        <v>8.3524402227317385E-3</v>
      </c>
      <c r="Y144">
        <v>1</v>
      </c>
    </row>
    <row r="145" spans="1:25" x14ac:dyDescent="0.25">
      <c r="A145" t="s">
        <v>3214</v>
      </c>
      <c r="B145" t="s">
        <v>3221</v>
      </c>
      <c r="C145" t="s">
        <v>3110</v>
      </c>
      <c r="D145" t="s">
        <v>3471</v>
      </c>
      <c r="E145">
        <v>52211</v>
      </c>
      <c r="F145">
        <v>85</v>
      </c>
      <c r="J145" s="13" t="s">
        <v>3731</v>
      </c>
      <c r="K145" s="13">
        <v>10210</v>
      </c>
      <c r="O145" t="s">
        <v>3238</v>
      </c>
      <c r="P145" t="s">
        <v>202</v>
      </c>
      <c r="U145">
        <v>32177</v>
      </c>
      <c r="V145">
        <f t="shared" si="2"/>
        <v>49</v>
      </c>
      <c r="W145">
        <v>1548</v>
      </c>
      <c r="X145">
        <v>3.1653746770025838E-2</v>
      </c>
      <c r="Y145">
        <v>1</v>
      </c>
    </row>
    <row r="146" spans="1:25" x14ac:dyDescent="0.25">
      <c r="A146" t="s">
        <v>3214</v>
      </c>
      <c r="B146" t="s">
        <v>3221</v>
      </c>
      <c r="C146" t="s">
        <v>3110</v>
      </c>
      <c r="D146" t="s">
        <v>3584</v>
      </c>
      <c r="E146">
        <v>52211</v>
      </c>
      <c r="F146">
        <v>0</v>
      </c>
      <c r="J146" s="13" t="s">
        <v>3732</v>
      </c>
      <c r="K146" s="13">
        <v>10310</v>
      </c>
      <c r="O146" t="s">
        <v>3397</v>
      </c>
      <c r="P146" t="s">
        <v>216</v>
      </c>
      <c r="U146">
        <v>32159</v>
      </c>
      <c r="V146">
        <f t="shared" si="2"/>
        <v>50</v>
      </c>
      <c r="W146">
        <v>1339</v>
      </c>
      <c r="X146">
        <v>3.7341299477221805E-2</v>
      </c>
      <c r="Y146">
        <v>1</v>
      </c>
    </row>
    <row r="147" spans="1:25" x14ac:dyDescent="0.25">
      <c r="A147" t="s">
        <v>3214</v>
      </c>
      <c r="B147" t="s">
        <v>3221</v>
      </c>
      <c r="C147" t="s">
        <v>3110</v>
      </c>
      <c r="D147" t="s">
        <v>3605</v>
      </c>
      <c r="E147">
        <v>52211</v>
      </c>
      <c r="F147">
        <v>70</v>
      </c>
      <c r="J147" s="13" t="s">
        <v>3733</v>
      </c>
      <c r="K147" s="13">
        <v>10310</v>
      </c>
      <c r="O147" t="s">
        <v>3389</v>
      </c>
      <c r="P147" t="s">
        <v>202</v>
      </c>
      <c r="U147">
        <v>32155</v>
      </c>
      <c r="V147">
        <f t="shared" si="2"/>
        <v>47</v>
      </c>
      <c r="W147">
        <v>1324</v>
      </c>
      <c r="X147">
        <v>3.5498489425981876E-2</v>
      </c>
      <c r="Y147">
        <v>1</v>
      </c>
    </row>
    <row r="148" spans="1:25" x14ac:dyDescent="0.25">
      <c r="A148" t="s">
        <v>3214</v>
      </c>
      <c r="B148" t="s">
        <v>3221</v>
      </c>
      <c r="C148" t="s">
        <v>2389</v>
      </c>
      <c r="D148" t="s">
        <v>3472</v>
      </c>
      <c r="E148">
        <v>52171</v>
      </c>
      <c r="F148">
        <v>64</v>
      </c>
      <c r="J148" s="13" t="s">
        <v>3734</v>
      </c>
      <c r="K148" s="13">
        <v>10150</v>
      </c>
      <c r="O148" t="s">
        <v>3422</v>
      </c>
      <c r="P148" t="s">
        <v>186</v>
      </c>
      <c r="U148">
        <v>32147</v>
      </c>
      <c r="V148">
        <f t="shared" si="2"/>
        <v>26</v>
      </c>
      <c r="W148">
        <v>1634</v>
      </c>
      <c r="X148">
        <v>1.591187270501836E-2</v>
      </c>
      <c r="Y148">
        <v>1</v>
      </c>
    </row>
    <row r="149" spans="1:25" x14ac:dyDescent="0.25">
      <c r="A149" t="s">
        <v>3214</v>
      </c>
      <c r="B149" t="s">
        <v>3221</v>
      </c>
      <c r="C149" t="s">
        <v>1038</v>
      </c>
      <c r="D149" t="s">
        <v>3602</v>
      </c>
      <c r="E149">
        <v>52161</v>
      </c>
      <c r="F149">
        <v>60</v>
      </c>
      <c r="J149" s="13" t="s">
        <v>3905</v>
      </c>
      <c r="K149" s="13">
        <v>51267</v>
      </c>
      <c r="O149" t="s">
        <v>3771</v>
      </c>
      <c r="P149" t="s">
        <v>21</v>
      </c>
      <c r="U149">
        <v>32137</v>
      </c>
      <c r="V149">
        <f t="shared" si="2"/>
        <v>107</v>
      </c>
      <c r="W149">
        <v>5515</v>
      </c>
      <c r="X149">
        <v>1.940163191296464E-2</v>
      </c>
      <c r="Y149">
        <v>2</v>
      </c>
    </row>
    <row r="150" spans="1:25" x14ac:dyDescent="0.25">
      <c r="A150" t="s">
        <v>3214</v>
      </c>
      <c r="B150" t="s">
        <v>3221</v>
      </c>
      <c r="C150" t="s">
        <v>3050</v>
      </c>
      <c r="D150" t="s">
        <v>3263</v>
      </c>
      <c r="E150">
        <v>52156</v>
      </c>
      <c r="F150">
        <v>110</v>
      </c>
      <c r="J150" s="13" t="s">
        <v>3906</v>
      </c>
      <c r="K150" s="13">
        <v>51113</v>
      </c>
      <c r="O150" t="s">
        <v>3632</v>
      </c>
      <c r="P150" t="s">
        <v>281</v>
      </c>
      <c r="U150">
        <v>32133</v>
      </c>
      <c r="V150">
        <f t="shared" si="2"/>
        <v>269</v>
      </c>
      <c r="W150">
        <v>556</v>
      </c>
      <c r="X150">
        <v>0.48381294964028776</v>
      </c>
      <c r="Y150">
        <v>2</v>
      </c>
    </row>
    <row r="151" spans="1:25" x14ac:dyDescent="0.25">
      <c r="A151" t="s">
        <v>3214</v>
      </c>
      <c r="B151" t="s">
        <v>3221</v>
      </c>
      <c r="C151" t="s">
        <v>1036</v>
      </c>
      <c r="D151" t="s">
        <v>3686</v>
      </c>
      <c r="E151">
        <v>52151</v>
      </c>
      <c r="F151">
        <v>55</v>
      </c>
      <c r="J151" s="13" t="s">
        <v>3907</v>
      </c>
      <c r="K151" s="13">
        <v>51311</v>
      </c>
      <c r="O151" t="s">
        <v>3624</v>
      </c>
      <c r="P151" t="s">
        <v>284</v>
      </c>
      <c r="U151">
        <v>32123</v>
      </c>
      <c r="V151">
        <f t="shared" si="2"/>
        <v>22</v>
      </c>
      <c r="W151">
        <v>2550</v>
      </c>
      <c r="X151">
        <v>8.6274509803921564E-3</v>
      </c>
      <c r="Y151">
        <v>1</v>
      </c>
    </row>
    <row r="152" spans="1:25" x14ac:dyDescent="0.25">
      <c r="A152" t="s">
        <v>3214</v>
      </c>
      <c r="B152" t="s">
        <v>3221</v>
      </c>
      <c r="C152" t="s">
        <v>1033</v>
      </c>
      <c r="D152" t="s">
        <v>3264</v>
      </c>
      <c r="E152">
        <v>52136</v>
      </c>
      <c r="F152">
        <v>94</v>
      </c>
      <c r="J152" s="13" t="s">
        <v>3308</v>
      </c>
      <c r="K152" s="13">
        <v>61115</v>
      </c>
      <c r="O152" t="s">
        <v>3485</v>
      </c>
      <c r="P152" t="s">
        <v>578</v>
      </c>
      <c r="U152">
        <v>32121</v>
      </c>
      <c r="V152">
        <f t="shared" si="2"/>
        <v>33</v>
      </c>
      <c r="W152">
        <v>1282</v>
      </c>
      <c r="X152">
        <v>2.5741029641185648E-2</v>
      </c>
      <c r="Y152">
        <v>1</v>
      </c>
    </row>
    <row r="153" spans="1:25" x14ac:dyDescent="0.25">
      <c r="A153" t="s">
        <v>3214</v>
      </c>
      <c r="B153" t="s">
        <v>3045</v>
      </c>
      <c r="C153" t="s">
        <v>1022</v>
      </c>
      <c r="D153" t="s">
        <v>3288</v>
      </c>
      <c r="E153">
        <v>51359</v>
      </c>
      <c r="F153">
        <v>107</v>
      </c>
      <c r="J153" s="13" t="s">
        <v>3309</v>
      </c>
      <c r="K153" s="13">
        <v>61183</v>
      </c>
      <c r="O153" t="s">
        <v>3375</v>
      </c>
      <c r="P153" t="s">
        <v>649</v>
      </c>
      <c r="U153">
        <v>32111</v>
      </c>
      <c r="V153">
        <f t="shared" si="2"/>
        <v>97</v>
      </c>
      <c r="W153">
        <v>6176</v>
      </c>
      <c r="X153">
        <v>1.5705958549222798E-2</v>
      </c>
      <c r="Y153">
        <v>2</v>
      </c>
    </row>
    <row r="154" spans="1:25" x14ac:dyDescent="0.25">
      <c r="A154" t="s">
        <v>3214</v>
      </c>
      <c r="B154" t="s">
        <v>3045</v>
      </c>
      <c r="C154" t="s">
        <v>3059</v>
      </c>
      <c r="D154" t="s">
        <v>3289</v>
      </c>
      <c r="E154">
        <v>51347</v>
      </c>
      <c r="F154">
        <v>85</v>
      </c>
      <c r="J154" s="13" t="s">
        <v>3310</v>
      </c>
      <c r="K154" s="13">
        <v>61119</v>
      </c>
      <c r="O154" t="s">
        <v>3336</v>
      </c>
      <c r="P154" t="s">
        <v>1000</v>
      </c>
      <c r="U154">
        <v>31221</v>
      </c>
      <c r="V154">
        <f t="shared" si="2"/>
        <v>13</v>
      </c>
      <c r="W154">
        <v>3650</v>
      </c>
      <c r="X154">
        <v>3.5616438356164382E-3</v>
      </c>
      <c r="Y154">
        <v>1</v>
      </c>
    </row>
    <row r="155" spans="1:25" x14ac:dyDescent="0.25">
      <c r="A155" t="s">
        <v>3214</v>
      </c>
      <c r="B155" t="s">
        <v>3045</v>
      </c>
      <c r="C155" t="s">
        <v>3176</v>
      </c>
      <c r="D155" t="s">
        <v>3704</v>
      </c>
      <c r="E155">
        <v>51284</v>
      </c>
      <c r="F155">
        <v>64</v>
      </c>
      <c r="J155" s="13" t="s">
        <v>3311</v>
      </c>
      <c r="K155" s="13">
        <v>63254</v>
      </c>
      <c r="O155" t="s">
        <v>3836</v>
      </c>
      <c r="P155" t="s">
        <v>101</v>
      </c>
      <c r="U155">
        <v>31186</v>
      </c>
      <c r="V155">
        <f t="shared" si="2"/>
        <v>196</v>
      </c>
      <c r="W155">
        <v>11786</v>
      </c>
      <c r="X155">
        <v>1.6629899881215E-2</v>
      </c>
      <c r="Y155">
        <v>2</v>
      </c>
    </row>
    <row r="156" spans="1:25" x14ac:dyDescent="0.25">
      <c r="A156" t="s">
        <v>3214</v>
      </c>
      <c r="B156" t="s">
        <v>3045</v>
      </c>
      <c r="C156" t="s">
        <v>2363</v>
      </c>
      <c r="D156" t="s">
        <v>3423</v>
      </c>
      <c r="E156">
        <v>51281</v>
      </c>
      <c r="F156">
        <v>136</v>
      </c>
      <c r="J156" s="13" t="s">
        <v>3312</v>
      </c>
      <c r="K156" s="13">
        <v>61463</v>
      </c>
      <c r="O156" t="s">
        <v>3268</v>
      </c>
      <c r="P156" t="s">
        <v>318</v>
      </c>
      <c r="U156">
        <v>31171</v>
      </c>
      <c r="V156">
        <f t="shared" si="2"/>
        <v>60</v>
      </c>
      <c r="W156">
        <v>7664</v>
      </c>
      <c r="X156">
        <v>7.8288100208768266E-3</v>
      </c>
      <c r="Y156">
        <v>1</v>
      </c>
    </row>
    <row r="157" spans="1:25" x14ac:dyDescent="0.25">
      <c r="A157" t="s">
        <v>3214</v>
      </c>
      <c r="B157" t="s">
        <v>3045</v>
      </c>
      <c r="C157" t="s">
        <v>3077</v>
      </c>
      <c r="D157" t="s">
        <v>3366</v>
      </c>
      <c r="E157">
        <v>51267</v>
      </c>
      <c r="F157">
        <v>97</v>
      </c>
      <c r="J157" s="13" t="s">
        <v>3313</v>
      </c>
      <c r="K157" s="13">
        <v>61115</v>
      </c>
      <c r="O157" t="s">
        <v>3430</v>
      </c>
      <c r="P157" t="s">
        <v>765</v>
      </c>
      <c r="U157">
        <v>31166</v>
      </c>
      <c r="V157">
        <f t="shared" si="2"/>
        <v>45</v>
      </c>
      <c r="W157">
        <v>1681</v>
      </c>
      <c r="X157">
        <v>2.676977989292088E-2</v>
      </c>
      <c r="Y157">
        <v>1</v>
      </c>
    </row>
    <row r="158" spans="1:25" x14ac:dyDescent="0.25">
      <c r="A158" t="s">
        <v>3214</v>
      </c>
      <c r="B158" t="s">
        <v>3045</v>
      </c>
      <c r="C158" t="s">
        <v>3077</v>
      </c>
      <c r="D158" t="s">
        <v>3367</v>
      </c>
      <c r="E158">
        <v>51267</v>
      </c>
      <c r="F158">
        <v>109</v>
      </c>
      <c r="J158" s="13" t="s">
        <v>3314</v>
      </c>
      <c r="K158" s="13">
        <v>63254</v>
      </c>
      <c r="O158" t="s">
        <v>3740</v>
      </c>
      <c r="P158" t="s">
        <v>21</v>
      </c>
      <c r="U158">
        <v>31161</v>
      </c>
      <c r="V158">
        <f t="shared" si="2"/>
        <v>98</v>
      </c>
      <c r="W158">
        <v>15084</v>
      </c>
      <c r="X158">
        <v>6.4969504110315565E-3</v>
      </c>
      <c r="Y158">
        <v>1</v>
      </c>
    </row>
    <row r="159" spans="1:25" x14ac:dyDescent="0.25">
      <c r="A159" t="s">
        <v>3214</v>
      </c>
      <c r="B159" t="s">
        <v>3045</v>
      </c>
      <c r="C159" t="s">
        <v>3077</v>
      </c>
      <c r="D159" t="s">
        <v>3702</v>
      </c>
      <c r="E159">
        <v>51267</v>
      </c>
      <c r="F159">
        <v>53</v>
      </c>
      <c r="J159" s="13" t="s">
        <v>3315</v>
      </c>
      <c r="K159" s="13">
        <v>61159</v>
      </c>
      <c r="O159" t="s">
        <v>3817</v>
      </c>
      <c r="P159" t="s">
        <v>21</v>
      </c>
      <c r="U159">
        <v>31156</v>
      </c>
      <c r="V159">
        <f t="shared" si="2"/>
        <v>506</v>
      </c>
      <c r="W159">
        <v>3023</v>
      </c>
      <c r="X159">
        <v>0.16738339397949056</v>
      </c>
      <c r="Y159">
        <v>2</v>
      </c>
    </row>
    <row r="160" spans="1:25" x14ac:dyDescent="0.25">
      <c r="A160" t="s">
        <v>3214</v>
      </c>
      <c r="B160" t="s">
        <v>3045</v>
      </c>
      <c r="C160" t="s">
        <v>1000</v>
      </c>
      <c r="D160" t="s">
        <v>3336</v>
      </c>
      <c r="E160">
        <v>51244</v>
      </c>
      <c r="F160">
        <v>43</v>
      </c>
      <c r="J160" s="13" t="s">
        <v>3316</v>
      </c>
      <c r="K160" s="13">
        <v>61115</v>
      </c>
      <c r="O160" t="s">
        <v>3793</v>
      </c>
      <c r="P160" t="s">
        <v>2803</v>
      </c>
      <c r="U160">
        <v>31151</v>
      </c>
      <c r="V160">
        <f t="shared" si="2"/>
        <v>552</v>
      </c>
      <c r="W160">
        <v>42241</v>
      </c>
      <c r="X160">
        <v>1.3067872446201558E-2</v>
      </c>
      <c r="Y160">
        <v>3</v>
      </c>
    </row>
    <row r="161" spans="1:25" x14ac:dyDescent="0.25">
      <c r="A161" t="s">
        <v>3214</v>
      </c>
      <c r="B161" t="s">
        <v>3045</v>
      </c>
      <c r="C161" t="s">
        <v>1000</v>
      </c>
      <c r="D161" t="s">
        <v>3369</v>
      </c>
      <c r="E161">
        <v>51244</v>
      </c>
      <c r="F161">
        <v>0</v>
      </c>
      <c r="J161" s="13" t="s">
        <v>3908</v>
      </c>
      <c r="K161" s="13">
        <v>61115</v>
      </c>
      <c r="O161" t="s">
        <v>3802</v>
      </c>
      <c r="P161" t="s">
        <v>18</v>
      </c>
      <c r="U161">
        <v>31121</v>
      </c>
      <c r="V161">
        <f t="shared" si="2"/>
        <v>110</v>
      </c>
      <c r="W161">
        <v>43610</v>
      </c>
      <c r="X161">
        <v>2.5223572575097455E-3</v>
      </c>
      <c r="Y161">
        <v>2</v>
      </c>
    </row>
    <row r="162" spans="1:25" x14ac:dyDescent="0.25">
      <c r="A162" t="s">
        <v>3214</v>
      </c>
      <c r="B162" t="s">
        <v>3045</v>
      </c>
      <c r="C162" t="s">
        <v>997</v>
      </c>
      <c r="D162" t="s">
        <v>3368</v>
      </c>
      <c r="E162">
        <v>51234</v>
      </c>
      <c r="F162">
        <v>164</v>
      </c>
      <c r="J162" s="13" t="s">
        <v>3317</v>
      </c>
      <c r="K162" s="13">
        <v>62111</v>
      </c>
      <c r="O162" t="s">
        <v>3278</v>
      </c>
      <c r="P162" t="s">
        <v>1352</v>
      </c>
      <c r="U162">
        <v>31111</v>
      </c>
      <c r="V162">
        <f t="shared" si="2"/>
        <v>150</v>
      </c>
      <c r="W162">
        <v>3710</v>
      </c>
      <c r="X162">
        <v>4.0431266846361183E-2</v>
      </c>
      <c r="Y162">
        <v>3</v>
      </c>
    </row>
    <row r="163" spans="1:25" x14ac:dyDescent="0.25">
      <c r="A163" t="s">
        <v>3214</v>
      </c>
      <c r="B163" t="s">
        <v>3045</v>
      </c>
      <c r="C163" t="s">
        <v>997</v>
      </c>
      <c r="D163" t="s">
        <v>3607</v>
      </c>
      <c r="E163">
        <v>51234</v>
      </c>
      <c r="F163">
        <v>96</v>
      </c>
      <c r="J163" s="13" t="s">
        <v>3909</v>
      </c>
      <c r="K163" s="13">
        <v>63277</v>
      </c>
      <c r="O163" t="s">
        <v>3780</v>
      </c>
      <c r="P163" t="s">
        <v>18</v>
      </c>
      <c r="U163">
        <v>26341</v>
      </c>
      <c r="V163">
        <f t="shared" si="2"/>
        <v>61</v>
      </c>
      <c r="W163">
        <v>945</v>
      </c>
      <c r="X163">
        <v>6.4550264550264552E-2</v>
      </c>
      <c r="Y163">
        <v>2</v>
      </c>
    </row>
    <row r="164" spans="1:25" x14ac:dyDescent="0.25">
      <c r="A164" t="s">
        <v>3214</v>
      </c>
      <c r="B164" t="s">
        <v>3045</v>
      </c>
      <c r="C164" t="s">
        <v>997</v>
      </c>
      <c r="D164" t="s">
        <v>3608</v>
      </c>
      <c r="E164">
        <v>51234</v>
      </c>
      <c r="F164">
        <v>176</v>
      </c>
      <c r="J164" s="13" t="s">
        <v>3318</v>
      </c>
      <c r="K164" s="13">
        <v>63277</v>
      </c>
      <c r="O164" t="s">
        <v>3304</v>
      </c>
      <c r="P164" t="s">
        <v>1069</v>
      </c>
      <c r="U164">
        <v>26331</v>
      </c>
      <c r="V164">
        <f t="shared" si="2"/>
        <v>118</v>
      </c>
      <c r="W164">
        <v>231</v>
      </c>
      <c r="X164">
        <v>0.51082251082251084</v>
      </c>
      <c r="Y164">
        <v>2</v>
      </c>
    </row>
    <row r="165" spans="1:25" x14ac:dyDescent="0.25">
      <c r="A165" t="s">
        <v>3214</v>
      </c>
      <c r="B165" t="s">
        <v>3045</v>
      </c>
      <c r="C165" t="s">
        <v>997</v>
      </c>
      <c r="D165" t="s">
        <v>3666</v>
      </c>
      <c r="E165">
        <v>51234</v>
      </c>
      <c r="F165">
        <v>170</v>
      </c>
      <c r="J165" s="13" t="s">
        <v>3319</v>
      </c>
      <c r="K165" s="13">
        <v>31156</v>
      </c>
      <c r="O165" t="s">
        <v>3439</v>
      </c>
      <c r="P165" t="s">
        <v>337</v>
      </c>
      <c r="U165">
        <v>26327</v>
      </c>
      <c r="V165">
        <f t="shared" si="2"/>
        <v>175</v>
      </c>
      <c r="W165">
        <v>91</v>
      </c>
      <c r="X165">
        <v>1.9230769230769231</v>
      </c>
      <c r="Y165">
        <v>1</v>
      </c>
    </row>
    <row r="166" spans="1:25" x14ac:dyDescent="0.25">
      <c r="A166" t="s">
        <v>3214</v>
      </c>
      <c r="B166" t="s">
        <v>3045</v>
      </c>
      <c r="C166" t="s">
        <v>997</v>
      </c>
      <c r="D166" t="s">
        <v>3670</v>
      </c>
      <c r="E166">
        <v>51234</v>
      </c>
      <c r="F166">
        <v>171</v>
      </c>
      <c r="J166" s="13" t="s">
        <v>3320</v>
      </c>
      <c r="K166" s="13">
        <v>31156</v>
      </c>
      <c r="O166" t="s">
        <v>3504</v>
      </c>
      <c r="P166" t="s">
        <v>917</v>
      </c>
      <c r="U166">
        <v>26299</v>
      </c>
      <c r="V166">
        <f t="shared" si="2"/>
        <v>82</v>
      </c>
      <c r="W166">
        <v>210</v>
      </c>
      <c r="X166">
        <v>0.39047619047619048</v>
      </c>
      <c r="Y166">
        <v>1</v>
      </c>
    </row>
    <row r="167" spans="1:25" x14ac:dyDescent="0.25">
      <c r="A167" t="s">
        <v>3214</v>
      </c>
      <c r="B167" t="s">
        <v>3045</v>
      </c>
      <c r="C167" t="s">
        <v>997</v>
      </c>
      <c r="D167" t="s">
        <v>3681</v>
      </c>
      <c r="E167">
        <v>51234</v>
      </c>
      <c r="F167">
        <v>254</v>
      </c>
      <c r="J167" s="13" t="s">
        <v>3321</v>
      </c>
      <c r="K167" s="13">
        <v>34284</v>
      </c>
      <c r="O167" t="s">
        <v>3819</v>
      </c>
      <c r="P167" t="s">
        <v>21</v>
      </c>
      <c r="U167">
        <v>26286</v>
      </c>
      <c r="V167">
        <f t="shared" si="2"/>
        <v>32</v>
      </c>
      <c r="W167">
        <v>1442</v>
      </c>
      <c r="X167">
        <v>2.2191400832177532E-2</v>
      </c>
      <c r="Y167">
        <v>1</v>
      </c>
    </row>
    <row r="168" spans="1:25" x14ac:dyDescent="0.25">
      <c r="A168" t="s">
        <v>3214</v>
      </c>
      <c r="B168" t="s">
        <v>3045</v>
      </c>
      <c r="C168" t="s">
        <v>995</v>
      </c>
      <c r="D168" t="s">
        <v>3447</v>
      </c>
      <c r="E168">
        <v>51227</v>
      </c>
      <c r="F168">
        <v>33</v>
      </c>
      <c r="J168" s="13" t="s">
        <v>3322</v>
      </c>
      <c r="K168" s="13">
        <v>33117</v>
      </c>
      <c r="O168" t="s">
        <v>3507</v>
      </c>
      <c r="P168" t="s">
        <v>1179</v>
      </c>
      <c r="U168">
        <v>26244</v>
      </c>
      <c r="V168">
        <f t="shared" si="2"/>
        <v>101</v>
      </c>
      <c r="W168">
        <v>567</v>
      </c>
      <c r="X168">
        <v>0.17813051146384479</v>
      </c>
      <c r="Y168">
        <v>1</v>
      </c>
    </row>
    <row r="169" spans="1:25" x14ac:dyDescent="0.25">
      <c r="A169" t="s">
        <v>3214</v>
      </c>
      <c r="B169" t="s">
        <v>3045</v>
      </c>
      <c r="C169" t="s">
        <v>994</v>
      </c>
      <c r="D169" t="s">
        <v>3475</v>
      </c>
      <c r="E169">
        <v>51224</v>
      </c>
      <c r="F169">
        <v>106</v>
      </c>
      <c r="J169" s="13" t="s">
        <v>3323</v>
      </c>
      <c r="K169" s="13">
        <v>32177</v>
      </c>
      <c r="O169" t="s">
        <v>3277</v>
      </c>
      <c r="P169" t="s">
        <v>1346</v>
      </c>
      <c r="U169">
        <v>26243</v>
      </c>
      <c r="V169">
        <f t="shared" si="2"/>
        <v>194</v>
      </c>
      <c r="W169">
        <v>484</v>
      </c>
      <c r="X169">
        <v>0.40082644628099173</v>
      </c>
      <c r="Y169">
        <v>2</v>
      </c>
    </row>
    <row r="170" spans="1:25" x14ac:dyDescent="0.25">
      <c r="A170" t="s">
        <v>3214</v>
      </c>
      <c r="B170" t="s">
        <v>3045</v>
      </c>
      <c r="C170" t="s">
        <v>3117</v>
      </c>
      <c r="D170" t="s">
        <v>3499</v>
      </c>
      <c r="E170">
        <v>51217</v>
      </c>
      <c r="F170">
        <v>128</v>
      </c>
      <c r="J170" s="13" t="s">
        <v>3324</v>
      </c>
      <c r="K170" s="13">
        <v>31221</v>
      </c>
      <c r="O170" t="s">
        <v>3822</v>
      </c>
      <c r="P170" t="s">
        <v>21</v>
      </c>
      <c r="U170">
        <v>26241</v>
      </c>
      <c r="V170">
        <f t="shared" si="2"/>
        <v>94</v>
      </c>
      <c r="W170">
        <v>700</v>
      </c>
      <c r="X170">
        <v>0.13428571428571429</v>
      </c>
      <c r="Y170">
        <v>1</v>
      </c>
    </row>
    <row r="171" spans="1:25" x14ac:dyDescent="0.25">
      <c r="A171" t="s">
        <v>3214</v>
      </c>
      <c r="B171" t="s">
        <v>3045</v>
      </c>
      <c r="C171" t="s">
        <v>3201</v>
      </c>
      <c r="D171" t="s">
        <v>3830</v>
      </c>
      <c r="E171">
        <v>51189</v>
      </c>
      <c r="F171">
        <v>163</v>
      </c>
      <c r="J171" s="13" t="s">
        <v>3325</v>
      </c>
      <c r="K171" s="13">
        <v>31111</v>
      </c>
      <c r="O171" t="s">
        <v>3420</v>
      </c>
      <c r="P171" t="s">
        <v>88</v>
      </c>
      <c r="U171">
        <v>26239</v>
      </c>
      <c r="V171">
        <f t="shared" si="2"/>
        <v>109</v>
      </c>
      <c r="W171">
        <v>778</v>
      </c>
      <c r="X171">
        <v>0.14010282776349614</v>
      </c>
      <c r="Y171">
        <v>1</v>
      </c>
    </row>
    <row r="172" spans="1:25" x14ac:dyDescent="0.25">
      <c r="A172" t="s">
        <v>3214</v>
      </c>
      <c r="B172" t="s">
        <v>3045</v>
      </c>
      <c r="C172" t="s">
        <v>984</v>
      </c>
      <c r="D172" t="s">
        <v>3340</v>
      </c>
      <c r="E172">
        <v>51163</v>
      </c>
      <c r="F172">
        <v>151</v>
      </c>
      <c r="J172" s="13" t="s">
        <v>3910</v>
      </c>
      <c r="K172" s="13">
        <v>32181</v>
      </c>
      <c r="O172" t="s">
        <v>3403</v>
      </c>
      <c r="P172" t="s">
        <v>88</v>
      </c>
      <c r="U172">
        <v>26231</v>
      </c>
      <c r="V172">
        <f t="shared" si="2"/>
        <v>352</v>
      </c>
      <c r="W172">
        <v>952</v>
      </c>
      <c r="X172">
        <v>0.36974789915966388</v>
      </c>
      <c r="Y172">
        <v>3</v>
      </c>
    </row>
    <row r="173" spans="1:25" x14ac:dyDescent="0.25">
      <c r="A173" t="s">
        <v>3214</v>
      </c>
      <c r="B173" t="s">
        <v>3045</v>
      </c>
      <c r="C173" t="s">
        <v>983</v>
      </c>
      <c r="D173" t="s">
        <v>3335</v>
      </c>
      <c r="E173">
        <v>51157</v>
      </c>
      <c r="F173">
        <v>75</v>
      </c>
      <c r="J173" s="13" t="s">
        <v>3326</v>
      </c>
      <c r="K173" s="13">
        <v>32111</v>
      </c>
      <c r="O173" t="s">
        <v>3402</v>
      </c>
      <c r="P173" t="s">
        <v>88</v>
      </c>
      <c r="U173">
        <v>26229</v>
      </c>
      <c r="V173">
        <f t="shared" si="2"/>
        <v>327</v>
      </c>
      <c r="W173">
        <v>938</v>
      </c>
      <c r="X173">
        <v>0.34861407249466952</v>
      </c>
      <c r="Y173">
        <v>4</v>
      </c>
    </row>
    <row r="174" spans="1:25" x14ac:dyDescent="0.25">
      <c r="A174" t="s">
        <v>3214</v>
      </c>
      <c r="B174" t="s">
        <v>3045</v>
      </c>
      <c r="C174" t="s">
        <v>983</v>
      </c>
      <c r="D174" t="s">
        <v>3843</v>
      </c>
      <c r="E174">
        <v>51157</v>
      </c>
      <c r="F174">
        <v>31</v>
      </c>
      <c r="J174" s="15" t="s">
        <v>3327</v>
      </c>
      <c r="K174" s="15">
        <v>26111</v>
      </c>
      <c r="O174" t="s">
        <v>3480</v>
      </c>
      <c r="P174" t="s">
        <v>2836</v>
      </c>
      <c r="U174">
        <v>26226</v>
      </c>
      <c r="V174">
        <f t="shared" si="2"/>
        <v>20</v>
      </c>
      <c r="W174">
        <v>253</v>
      </c>
      <c r="X174">
        <v>7.9051383399209488E-2</v>
      </c>
      <c r="Y174">
        <v>1</v>
      </c>
    </row>
    <row r="175" spans="1:25" x14ac:dyDescent="0.25">
      <c r="A175" t="s">
        <v>3214</v>
      </c>
      <c r="B175" t="s">
        <v>3045</v>
      </c>
      <c r="C175" t="s">
        <v>980</v>
      </c>
      <c r="D175" t="s">
        <v>3291</v>
      </c>
      <c r="E175">
        <v>51139</v>
      </c>
      <c r="F175">
        <v>80</v>
      </c>
      <c r="J175" s="13" t="s">
        <v>3328</v>
      </c>
      <c r="K175" s="13">
        <v>26141</v>
      </c>
      <c r="O175" t="s">
        <v>3667</v>
      </c>
      <c r="P175" t="s">
        <v>475</v>
      </c>
      <c r="U175">
        <v>26223</v>
      </c>
      <c r="V175">
        <f t="shared" si="2"/>
        <v>105</v>
      </c>
      <c r="W175">
        <v>13</v>
      </c>
      <c r="X175">
        <v>8.0769230769230766</v>
      </c>
      <c r="Y175">
        <v>1</v>
      </c>
    </row>
    <row r="176" spans="1:25" x14ac:dyDescent="0.25">
      <c r="A176" t="s">
        <v>3214</v>
      </c>
      <c r="B176" t="s">
        <v>3045</v>
      </c>
      <c r="C176" t="s">
        <v>3045</v>
      </c>
      <c r="D176" t="s">
        <v>3302</v>
      </c>
      <c r="E176">
        <v>51133</v>
      </c>
      <c r="F176">
        <v>187</v>
      </c>
      <c r="J176" s="13" t="s">
        <v>3911</v>
      </c>
      <c r="K176" s="13">
        <v>35125</v>
      </c>
      <c r="O176" t="s">
        <v>3383</v>
      </c>
      <c r="P176" t="s">
        <v>234</v>
      </c>
      <c r="U176">
        <v>26221</v>
      </c>
      <c r="V176">
        <f t="shared" si="2"/>
        <v>57</v>
      </c>
      <c r="W176">
        <v>316</v>
      </c>
      <c r="X176">
        <v>0.18037974683544303</v>
      </c>
      <c r="Y176">
        <v>1</v>
      </c>
    </row>
    <row r="177" spans="1:25" x14ac:dyDescent="0.25">
      <c r="A177" t="s">
        <v>3214</v>
      </c>
      <c r="B177" t="s">
        <v>3045</v>
      </c>
      <c r="C177" t="s">
        <v>3045</v>
      </c>
      <c r="D177" t="s">
        <v>3546</v>
      </c>
      <c r="E177">
        <v>51133</v>
      </c>
      <c r="F177">
        <v>74</v>
      </c>
      <c r="J177" s="13" t="s">
        <v>3329</v>
      </c>
      <c r="K177" s="13">
        <v>35113</v>
      </c>
      <c r="O177" t="s">
        <v>3463</v>
      </c>
      <c r="P177" t="s">
        <v>348</v>
      </c>
      <c r="U177">
        <v>26220</v>
      </c>
      <c r="V177">
        <f t="shared" si="2"/>
        <v>140</v>
      </c>
      <c r="W177">
        <v>50</v>
      </c>
      <c r="X177">
        <v>2.8</v>
      </c>
      <c r="Y177">
        <v>1</v>
      </c>
    </row>
    <row r="178" spans="1:25" x14ac:dyDescent="0.25">
      <c r="A178" t="s">
        <v>3214</v>
      </c>
      <c r="B178" t="s">
        <v>3045</v>
      </c>
      <c r="C178" t="s">
        <v>3045</v>
      </c>
      <c r="D178" t="s">
        <v>3257</v>
      </c>
      <c r="E178">
        <v>51131</v>
      </c>
      <c r="F178">
        <v>115</v>
      </c>
      <c r="J178" s="13" t="s">
        <v>3912</v>
      </c>
      <c r="K178" s="13">
        <v>35314</v>
      </c>
      <c r="O178" t="s">
        <v>3619</v>
      </c>
      <c r="P178" t="s">
        <v>77</v>
      </c>
      <c r="U178">
        <v>26217</v>
      </c>
      <c r="V178">
        <f t="shared" si="2"/>
        <v>66</v>
      </c>
      <c r="W178">
        <v>414</v>
      </c>
      <c r="X178">
        <v>0.15942028985507245</v>
      </c>
      <c r="Y178">
        <v>1</v>
      </c>
    </row>
    <row r="179" spans="1:25" x14ac:dyDescent="0.25">
      <c r="A179" t="s">
        <v>3214</v>
      </c>
      <c r="B179" t="s">
        <v>3045</v>
      </c>
      <c r="C179" t="s">
        <v>3045</v>
      </c>
      <c r="D179" t="s">
        <v>3290</v>
      </c>
      <c r="E179">
        <v>51131</v>
      </c>
      <c r="F179">
        <v>14</v>
      </c>
      <c r="J179" s="13" t="s">
        <v>3913</v>
      </c>
      <c r="K179" s="13">
        <v>35275</v>
      </c>
      <c r="O179" t="s">
        <v>3369</v>
      </c>
      <c r="P179" t="s">
        <v>1000</v>
      </c>
      <c r="U179">
        <v>26212</v>
      </c>
      <c r="V179">
        <f t="shared" si="2"/>
        <v>76</v>
      </c>
      <c r="W179">
        <v>757</v>
      </c>
      <c r="X179">
        <v>0.10039630118890357</v>
      </c>
      <c r="Y179">
        <v>2</v>
      </c>
    </row>
    <row r="180" spans="1:25" x14ac:dyDescent="0.25">
      <c r="A180" t="s">
        <v>3214</v>
      </c>
      <c r="B180" t="s">
        <v>3045</v>
      </c>
      <c r="C180" t="s">
        <v>3044</v>
      </c>
      <c r="D180" t="s">
        <v>3256</v>
      </c>
      <c r="E180">
        <v>51125</v>
      </c>
      <c r="F180">
        <v>120</v>
      </c>
      <c r="J180" s="13" t="s">
        <v>3914</v>
      </c>
      <c r="K180" s="13">
        <v>35416</v>
      </c>
      <c r="O180" t="s">
        <v>3699</v>
      </c>
      <c r="P180" t="s">
        <v>559</v>
      </c>
      <c r="U180">
        <v>26147</v>
      </c>
      <c r="V180">
        <f t="shared" si="2"/>
        <v>27</v>
      </c>
      <c r="W180">
        <v>7919</v>
      </c>
      <c r="X180">
        <v>3.4095214042177044E-3</v>
      </c>
      <c r="Y180">
        <v>1</v>
      </c>
    </row>
    <row r="181" spans="1:25" x14ac:dyDescent="0.25">
      <c r="A181" t="s">
        <v>3214</v>
      </c>
      <c r="B181" t="s">
        <v>3045</v>
      </c>
      <c r="C181" t="s">
        <v>3175</v>
      </c>
      <c r="D181" t="s">
        <v>3703</v>
      </c>
      <c r="E181">
        <v>51121</v>
      </c>
      <c r="F181">
        <v>125</v>
      </c>
      <c r="J181" s="13" t="s">
        <v>3915</v>
      </c>
      <c r="K181" s="13">
        <v>35275</v>
      </c>
      <c r="O181" t="s">
        <v>3787</v>
      </c>
      <c r="P181" t="s">
        <v>17</v>
      </c>
      <c r="U181">
        <v>26141</v>
      </c>
      <c r="V181">
        <f t="shared" si="2"/>
        <v>137</v>
      </c>
      <c r="W181">
        <v>19297</v>
      </c>
      <c r="X181">
        <v>7.0995491527180389E-3</v>
      </c>
      <c r="Y181">
        <v>2</v>
      </c>
    </row>
    <row r="182" spans="1:25" x14ac:dyDescent="0.25">
      <c r="A182" t="s">
        <v>3214</v>
      </c>
      <c r="B182" t="s">
        <v>3045</v>
      </c>
      <c r="C182" t="s">
        <v>3045</v>
      </c>
      <c r="D182" t="s">
        <v>3338</v>
      </c>
      <c r="E182">
        <v>51117</v>
      </c>
      <c r="F182">
        <v>156</v>
      </c>
      <c r="J182" s="13" t="s">
        <v>3330</v>
      </c>
      <c r="K182" s="13">
        <v>35416</v>
      </c>
      <c r="O182" t="s">
        <v>3617</v>
      </c>
      <c r="P182" t="s">
        <v>30</v>
      </c>
      <c r="U182">
        <v>26135</v>
      </c>
      <c r="V182">
        <f t="shared" si="2"/>
        <v>292</v>
      </c>
      <c r="W182">
        <v>1533</v>
      </c>
      <c r="X182">
        <v>0.19047619047619047</v>
      </c>
      <c r="Y182">
        <v>2</v>
      </c>
    </row>
    <row r="183" spans="1:25" x14ac:dyDescent="0.25">
      <c r="A183" t="s">
        <v>3214</v>
      </c>
      <c r="B183" t="s">
        <v>3045</v>
      </c>
      <c r="C183" t="s">
        <v>3045</v>
      </c>
      <c r="D183" t="s">
        <v>3300</v>
      </c>
      <c r="E183">
        <v>51111</v>
      </c>
      <c r="F183">
        <v>0</v>
      </c>
      <c r="J183" s="13" t="s">
        <v>3331</v>
      </c>
      <c r="K183" s="13">
        <v>35111</v>
      </c>
      <c r="O183" t="s">
        <v>3748</v>
      </c>
      <c r="P183" t="s">
        <v>18</v>
      </c>
      <c r="U183">
        <v>26111</v>
      </c>
      <c r="V183">
        <f t="shared" si="2"/>
        <v>220</v>
      </c>
      <c r="W183">
        <v>18914</v>
      </c>
      <c r="X183">
        <v>1.1631595643438722E-2</v>
      </c>
      <c r="Y183">
        <v>6</v>
      </c>
    </row>
    <row r="184" spans="1:25" x14ac:dyDescent="0.25">
      <c r="A184" t="s">
        <v>3214</v>
      </c>
      <c r="B184" t="s">
        <v>3045</v>
      </c>
      <c r="C184" t="s">
        <v>3045</v>
      </c>
      <c r="D184" t="s">
        <v>3337</v>
      </c>
      <c r="E184">
        <v>51111</v>
      </c>
      <c r="F184">
        <v>130</v>
      </c>
      <c r="J184" s="13" t="s">
        <v>3916</v>
      </c>
      <c r="K184" s="13">
        <v>35357</v>
      </c>
      <c r="O184" t="s">
        <v>3423</v>
      </c>
      <c r="P184" t="s">
        <v>1010</v>
      </c>
      <c r="U184">
        <v>25471</v>
      </c>
      <c r="V184">
        <f t="shared" si="2"/>
        <v>41</v>
      </c>
      <c r="W184">
        <v>4052</v>
      </c>
      <c r="X184">
        <v>1.0118460019743336E-2</v>
      </c>
      <c r="Y184">
        <v>1</v>
      </c>
    </row>
    <row r="185" spans="1:25" x14ac:dyDescent="0.25">
      <c r="A185" t="s">
        <v>3214</v>
      </c>
      <c r="B185" t="s">
        <v>3045</v>
      </c>
      <c r="C185" t="s">
        <v>3045</v>
      </c>
      <c r="D185" t="s">
        <v>3490</v>
      </c>
      <c r="E185">
        <v>51111</v>
      </c>
      <c r="F185">
        <v>86</v>
      </c>
      <c r="J185" s="13" t="s">
        <v>3917</v>
      </c>
      <c r="K185" s="13">
        <v>35129</v>
      </c>
      <c r="O185" t="s">
        <v>3511</v>
      </c>
      <c r="P185" t="s">
        <v>336</v>
      </c>
      <c r="U185">
        <v>25423</v>
      </c>
      <c r="V185">
        <f t="shared" si="2"/>
        <v>45</v>
      </c>
      <c r="W185">
        <v>5406</v>
      </c>
      <c r="X185">
        <v>8.3240843507214213E-3</v>
      </c>
      <c r="Y185">
        <v>1</v>
      </c>
    </row>
    <row r="186" spans="1:25" x14ac:dyDescent="0.25">
      <c r="A186" t="s">
        <v>3215</v>
      </c>
      <c r="B186" t="s">
        <v>3228</v>
      </c>
      <c r="C186" t="s">
        <v>3135</v>
      </c>
      <c r="D186" t="s">
        <v>3544</v>
      </c>
      <c r="E186">
        <v>37391</v>
      </c>
      <c r="F186">
        <v>93</v>
      </c>
      <c r="J186" s="13" t="s">
        <v>3918</v>
      </c>
      <c r="K186" s="13">
        <v>35153</v>
      </c>
      <c r="O186" t="s">
        <v>3558</v>
      </c>
      <c r="P186" t="s">
        <v>569</v>
      </c>
      <c r="U186">
        <v>25375</v>
      </c>
      <c r="V186">
        <f t="shared" si="2"/>
        <v>274</v>
      </c>
      <c r="W186">
        <v>501</v>
      </c>
      <c r="X186">
        <v>0.54690618762475052</v>
      </c>
      <c r="Y186">
        <v>1</v>
      </c>
    </row>
    <row r="187" spans="1:25" x14ac:dyDescent="0.25">
      <c r="A187" t="s">
        <v>3215</v>
      </c>
      <c r="B187" t="s">
        <v>3228</v>
      </c>
      <c r="C187" t="s">
        <v>2321</v>
      </c>
      <c r="D187" t="s">
        <v>3346</v>
      </c>
      <c r="E187">
        <v>37381</v>
      </c>
      <c r="F187">
        <v>253</v>
      </c>
      <c r="J187" s="13" t="s">
        <v>3332</v>
      </c>
      <c r="K187" s="13">
        <v>35235</v>
      </c>
      <c r="O187" t="s">
        <v>3384</v>
      </c>
      <c r="P187" t="s">
        <v>191</v>
      </c>
      <c r="U187">
        <v>25373</v>
      </c>
      <c r="V187">
        <f t="shared" si="2"/>
        <v>104</v>
      </c>
      <c r="W187">
        <v>1817</v>
      </c>
      <c r="X187">
        <v>5.7237204182718771E-2</v>
      </c>
      <c r="Y187">
        <v>1</v>
      </c>
    </row>
    <row r="188" spans="1:25" x14ac:dyDescent="0.25">
      <c r="A188" t="s">
        <v>3215</v>
      </c>
      <c r="B188" t="s">
        <v>3228</v>
      </c>
      <c r="C188" t="s">
        <v>951</v>
      </c>
      <c r="D188" t="s">
        <v>3345</v>
      </c>
      <c r="E188">
        <v>37365</v>
      </c>
      <c r="F188">
        <v>31</v>
      </c>
      <c r="J188" s="13" t="s">
        <v>3919</v>
      </c>
      <c r="K188" s="13">
        <v>35151</v>
      </c>
      <c r="O188" t="s">
        <v>3553</v>
      </c>
      <c r="P188" t="s">
        <v>191</v>
      </c>
      <c r="U188">
        <v>25357</v>
      </c>
      <c r="V188">
        <f t="shared" si="2"/>
        <v>72</v>
      </c>
      <c r="W188">
        <v>530</v>
      </c>
      <c r="X188">
        <v>0.13584905660377358</v>
      </c>
      <c r="Y188">
        <v>3</v>
      </c>
    </row>
    <row r="189" spans="1:25" x14ac:dyDescent="0.25">
      <c r="A189" t="s">
        <v>3215</v>
      </c>
      <c r="B189" t="s">
        <v>3228</v>
      </c>
      <c r="C189" t="s">
        <v>3121</v>
      </c>
      <c r="D189" t="s">
        <v>3504</v>
      </c>
      <c r="E189">
        <v>37291</v>
      </c>
      <c r="F189">
        <v>34</v>
      </c>
      <c r="J189" s="13" t="s">
        <v>3333</v>
      </c>
      <c r="K189" s="13">
        <v>35161</v>
      </c>
      <c r="O189" t="s">
        <v>3842</v>
      </c>
      <c r="P189" t="s">
        <v>191</v>
      </c>
      <c r="U189">
        <v>25347</v>
      </c>
      <c r="V189">
        <f t="shared" si="2"/>
        <v>127</v>
      </c>
      <c r="W189">
        <v>2729</v>
      </c>
      <c r="X189">
        <v>4.6537193111029683E-2</v>
      </c>
      <c r="Y189">
        <v>2</v>
      </c>
    </row>
    <row r="190" spans="1:25" x14ac:dyDescent="0.25">
      <c r="A190" t="s">
        <v>3215</v>
      </c>
      <c r="B190" t="s">
        <v>3228</v>
      </c>
      <c r="C190" t="s">
        <v>3076</v>
      </c>
      <c r="D190" t="s">
        <v>3362</v>
      </c>
      <c r="E190">
        <v>37241</v>
      </c>
      <c r="F190">
        <v>38</v>
      </c>
      <c r="J190" s="13" t="s">
        <v>3920</v>
      </c>
      <c r="K190" s="13">
        <v>35229</v>
      </c>
      <c r="O190" t="s">
        <v>3572</v>
      </c>
      <c r="P190" t="s">
        <v>191</v>
      </c>
      <c r="U190">
        <v>25329</v>
      </c>
      <c r="V190">
        <f t="shared" si="2"/>
        <v>248</v>
      </c>
      <c r="W190">
        <v>2193</v>
      </c>
      <c r="X190">
        <v>0.11308709530323757</v>
      </c>
      <c r="Y190">
        <v>2</v>
      </c>
    </row>
    <row r="191" spans="1:25" x14ac:dyDescent="0.25">
      <c r="A191" t="s">
        <v>3215</v>
      </c>
      <c r="B191" t="s">
        <v>3228</v>
      </c>
      <c r="C191" t="s">
        <v>3116</v>
      </c>
      <c r="D191" t="s">
        <v>3496</v>
      </c>
      <c r="E191">
        <v>37231</v>
      </c>
      <c r="F191">
        <v>83</v>
      </c>
      <c r="J191" s="13" t="s">
        <v>3334</v>
      </c>
      <c r="K191" s="13">
        <v>31121</v>
      </c>
      <c r="O191" t="s">
        <v>3556</v>
      </c>
      <c r="P191" t="s">
        <v>656</v>
      </c>
      <c r="U191">
        <v>25319</v>
      </c>
      <c r="V191">
        <f t="shared" si="2"/>
        <v>312</v>
      </c>
      <c r="W191">
        <v>2984</v>
      </c>
      <c r="X191">
        <v>0.10455764075067024</v>
      </c>
      <c r="Y191">
        <v>2</v>
      </c>
    </row>
    <row r="192" spans="1:25" x14ac:dyDescent="0.25">
      <c r="A192" t="s">
        <v>3215</v>
      </c>
      <c r="B192" t="s">
        <v>3228</v>
      </c>
      <c r="C192" t="s">
        <v>3116</v>
      </c>
      <c r="D192" t="s">
        <v>3846</v>
      </c>
      <c r="E192">
        <v>37231</v>
      </c>
      <c r="F192">
        <v>96</v>
      </c>
      <c r="J192" s="13" t="s">
        <v>3921</v>
      </c>
      <c r="K192" s="13">
        <v>73111</v>
      </c>
      <c r="O192" t="s">
        <v>3239</v>
      </c>
      <c r="P192" t="s">
        <v>289</v>
      </c>
      <c r="U192">
        <v>25311</v>
      </c>
      <c r="V192">
        <f t="shared" si="2"/>
        <v>222</v>
      </c>
      <c r="W192">
        <v>9145</v>
      </c>
      <c r="X192">
        <v>2.427556041552761E-2</v>
      </c>
      <c r="Y192">
        <v>2</v>
      </c>
    </row>
    <row r="193" spans="1:25" x14ac:dyDescent="0.25">
      <c r="A193" t="s">
        <v>3215</v>
      </c>
      <c r="B193" t="s">
        <v>3223</v>
      </c>
      <c r="C193" t="s">
        <v>904</v>
      </c>
      <c r="D193" t="s">
        <v>3524</v>
      </c>
      <c r="E193">
        <v>36164</v>
      </c>
      <c r="F193">
        <v>84</v>
      </c>
      <c r="J193" s="13" t="s">
        <v>3335</v>
      </c>
      <c r="K193" s="13">
        <v>51157</v>
      </c>
      <c r="O193" t="s">
        <v>3775</v>
      </c>
      <c r="P193" t="s">
        <v>21</v>
      </c>
      <c r="U193">
        <v>25211</v>
      </c>
      <c r="V193">
        <f t="shared" si="2"/>
        <v>119</v>
      </c>
      <c r="W193">
        <v>5920</v>
      </c>
      <c r="X193">
        <v>2.0101351351351351E-2</v>
      </c>
      <c r="Y193">
        <v>2</v>
      </c>
    </row>
    <row r="194" spans="1:25" x14ac:dyDescent="0.25">
      <c r="A194" t="s">
        <v>3217</v>
      </c>
      <c r="B194" t="s">
        <v>3217</v>
      </c>
      <c r="C194" t="s">
        <v>3126</v>
      </c>
      <c r="D194" t="s">
        <v>3520</v>
      </c>
      <c r="E194">
        <v>35429</v>
      </c>
      <c r="F194">
        <v>177</v>
      </c>
      <c r="J194" s="13" t="s">
        <v>3336</v>
      </c>
      <c r="K194" s="13">
        <v>51244</v>
      </c>
      <c r="O194" t="s">
        <v>3751</v>
      </c>
      <c r="P194" t="s">
        <v>2803</v>
      </c>
      <c r="U194">
        <v>25131</v>
      </c>
      <c r="V194">
        <f t="shared" si="2"/>
        <v>35</v>
      </c>
      <c r="W194">
        <v>15237</v>
      </c>
      <c r="X194">
        <v>2.2970400997571702E-3</v>
      </c>
      <c r="Y194">
        <v>1</v>
      </c>
    </row>
    <row r="195" spans="1:25" x14ac:dyDescent="0.25">
      <c r="A195" t="s">
        <v>3217</v>
      </c>
      <c r="B195" t="s">
        <v>3217</v>
      </c>
      <c r="C195" t="s">
        <v>3071</v>
      </c>
      <c r="D195" t="s">
        <v>3330</v>
      </c>
      <c r="E195">
        <v>35416</v>
      </c>
      <c r="F195">
        <v>219</v>
      </c>
      <c r="J195" s="13" t="s">
        <v>3337</v>
      </c>
      <c r="K195" s="13">
        <v>51111</v>
      </c>
      <c r="O195" t="s">
        <v>3838</v>
      </c>
      <c r="P195" t="s">
        <v>23</v>
      </c>
      <c r="U195">
        <v>25121</v>
      </c>
      <c r="V195">
        <f t="shared" ref="V195:V258" si="3">SUMIF(E:E,U195,F:F)</f>
        <v>117</v>
      </c>
      <c r="W195">
        <v>12606</v>
      </c>
      <c r="X195">
        <v>9.2812946216087582E-3</v>
      </c>
      <c r="Y195">
        <v>2</v>
      </c>
    </row>
    <row r="196" spans="1:25" x14ac:dyDescent="0.25">
      <c r="A196" t="s">
        <v>3217</v>
      </c>
      <c r="B196" t="s">
        <v>3217</v>
      </c>
      <c r="C196" t="s">
        <v>2895</v>
      </c>
      <c r="D196" t="s">
        <v>3339</v>
      </c>
      <c r="E196">
        <v>35357</v>
      </c>
      <c r="F196">
        <v>41</v>
      </c>
      <c r="J196" s="13" t="s">
        <v>3338</v>
      </c>
      <c r="K196" s="13">
        <v>51117</v>
      </c>
      <c r="O196" t="s">
        <v>3851</v>
      </c>
      <c r="P196" t="s">
        <v>20</v>
      </c>
      <c r="U196">
        <v>24477</v>
      </c>
      <c r="V196">
        <f t="shared" si="3"/>
        <v>65</v>
      </c>
      <c r="W196">
        <v>2552</v>
      </c>
      <c r="X196">
        <v>2.5470219435736678E-2</v>
      </c>
      <c r="Y196">
        <v>1</v>
      </c>
    </row>
    <row r="197" spans="1:25" x14ac:dyDescent="0.25">
      <c r="A197" t="s">
        <v>3217</v>
      </c>
      <c r="B197" t="s">
        <v>3217</v>
      </c>
      <c r="C197" t="s">
        <v>2895</v>
      </c>
      <c r="D197" t="s">
        <v>3644</v>
      </c>
      <c r="E197">
        <v>35357</v>
      </c>
      <c r="F197">
        <v>110</v>
      </c>
      <c r="J197" s="13" t="s">
        <v>3922</v>
      </c>
      <c r="K197" s="13">
        <v>51221</v>
      </c>
      <c r="O197" t="s">
        <v>3852</v>
      </c>
      <c r="P197" t="s">
        <v>20</v>
      </c>
      <c r="U197">
        <v>24467</v>
      </c>
      <c r="V197">
        <f t="shared" si="3"/>
        <v>10</v>
      </c>
      <c r="W197">
        <v>1077</v>
      </c>
      <c r="X197">
        <v>9.285051067780872E-3</v>
      </c>
      <c r="Y197">
        <v>1</v>
      </c>
    </row>
    <row r="198" spans="1:25" x14ac:dyDescent="0.25">
      <c r="A198" t="s">
        <v>3217</v>
      </c>
      <c r="B198" t="s">
        <v>3217</v>
      </c>
      <c r="C198" t="s">
        <v>783</v>
      </c>
      <c r="D198" t="s">
        <v>3506</v>
      </c>
      <c r="E198">
        <v>35331</v>
      </c>
      <c r="F198">
        <v>80</v>
      </c>
      <c r="J198" s="13" t="s">
        <v>3339</v>
      </c>
      <c r="K198" s="13">
        <v>35357</v>
      </c>
      <c r="O198" t="s">
        <v>3839</v>
      </c>
      <c r="P198" t="s">
        <v>18</v>
      </c>
      <c r="U198">
        <v>24457</v>
      </c>
      <c r="V198">
        <f t="shared" si="3"/>
        <v>148</v>
      </c>
      <c r="W198">
        <v>1498</v>
      </c>
      <c r="X198">
        <v>9.879839786381843E-2</v>
      </c>
      <c r="Y198">
        <v>1</v>
      </c>
    </row>
    <row r="199" spans="1:25" x14ac:dyDescent="0.25">
      <c r="A199" t="s">
        <v>3217</v>
      </c>
      <c r="B199" t="s">
        <v>3217</v>
      </c>
      <c r="C199" t="s">
        <v>815</v>
      </c>
      <c r="D199" t="s">
        <v>3431</v>
      </c>
      <c r="E199">
        <v>35326</v>
      </c>
      <c r="F199">
        <v>85</v>
      </c>
      <c r="J199" s="13" t="s">
        <v>3340</v>
      </c>
      <c r="K199" s="13">
        <v>51163</v>
      </c>
      <c r="O199" t="s">
        <v>3495</v>
      </c>
      <c r="P199" t="s">
        <v>1196</v>
      </c>
      <c r="U199">
        <v>24454</v>
      </c>
      <c r="V199">
        <f t="shared" si="3"/>
        <v>81</v>
      </c>
      <c r="W199">
        <v>1148</v>
      </c>
      <c r="X199">
        <v>7.0557491289198609E-2</v>
      </c>
      <c r="Y199">
        <v>1</v>
      </c>
    </row>
    <row r="200" spans="1:25" x14ac:dyDescent="0.25">
      <c r="A200" t="s">
        <v>3217</v>
      </c>
      <c r="B200" t="s">
        <v>3217</v>
      </c>
      <c r="C200" t="s">
        <v>3205</v>
      </c>
      <c r="D200" t="s">
        <v>3847</v>
      </c>
      <c r="E200">
        <v>35314</v>
      </c>
      <c r="F200">
        <v>200</v>
      </c>
      <c r="J200" s="13" t="s">
        <v>3923</v>
      </c>
      <c r="K200" s="13">
        <v>35416</v>
      </c>
      <c r="O200" t="s">
        <v>3857</v>
      </c>
      <c r="P200" t="s">
        <v>18</v>
      </c>
      <c r="U200">
        <v>24451</v>
      </c>
      <c r="V200">
        <f t="shared" si="3"/>
        <v>60</v>
      </c>
      <c r="W200">
        <v>1628</v>
      </c>
      <c r="X200">
        <v>3.6855036855036855E-2</v>
      </c>
      <c r="Y200">
        <v>1</v>
      </c>
    </row>
    <row r="201" spans="1:25" x14ac:dyDescent="0.25">
      <c r="A201" t="s">
        <v>3217</v>
      </c>
      <c r="B201" t="s">
        <v>3217</v>
      </c>
      <c r="C201" t="s">
        <v>802</v>
      </c>
      <c r="D201" t="s">
        <v>3479</v>
      </c>
      <c r="E201">
        <v>35275</v>
      </c>
      <c r="F201">
        <v>374</v>
      </c>
      <c r="J201" s="13" t="s">
        <v>3924</v>
      </c>
      <c r="K201" s="13">
        <v>35357</v>
      </c>
      <c r="O201" t="s">
        <v>3688</v>
      </c>
      <c r="P201" t="s">
        <v>202</v>
      </c>
      <c r="U201">
        <v>24447</v>
      </c>
      <c r="V201">
        <f t="shared" si="3"/>
        <v>64</v>
      </c>
      <c r="W201">
        <v>2494</v>
      </c>
      <c r="X201">
        <v>2.566158781074579E-2</v>
      </c>
      <c r="Y201">
        <v>1</v>
      </c>
    </row>
    <row r="202" spans="1:25" x14ac:dyDescent="0.25">
      <c r="A202" t="s">
        <v>3217</v>
      </c>
      <c r="B202" t="s">
        <v>3217</v>
      </c>
      <c r="C202" t="s">
        <v>2890</v>
      </c>
      <c r="D202" t="s">
        <v>3332</v>
      </c>
      <c r="E202">
        <v>35235</v>
      </c>
      <c r="F202">
        <v>106</v>
      </c>
      <c r="J202" s="13" t="s">
        <v>3341</v>
      </c>
      <c r="K202" s="13">
        <v>26111</v>
      </c>
      <c r="O202" t="s">
        <v>3559</v>
      </c>
      <c r="P202" t="s">
        <v>2818</v>
      </c>
      <c r="U202">
        <v>24444</v>
      </c>
      <c r="V202">
        <f t="shared" si="3"/>
        <v>125</v>
      </c>
      <c r="W202">
        <v>3576</v>
      </c>
      <c r="X202">
        <v>3.4955257270693513E-2</v>
      </c>
      <c r="Y202">
        <v>1</v>
      </c>
    </row>
    <row r="203" spans="1:25" x14ac:dyDescent="0.25">
      <c r="A203" t="s">
        <v>3217</v>
      </c>
      <c r="B203" t="s">
        <v>3217</v>
      </c>
      <c r="C203" t="s">
        <v>3166</v>
      </c>
      <c r="D203" t="s">
        <v>3662</v>
      </c>
      <c r="E203">
        <v>35221</v>
      </c>
      <c r="F203">
        <v>81</v>
      </c>
      <c r="J203" s="13" t="s">
        <v>3342</v>
      </c>
      <c r="K203" s="13">
        <v>24467</v>
      </c>
      <c r="O203" t="s">
        <v>3779</v>
      </c>
      <c r="P203" t="s">
        <v>18</v>
      </c>
      <c r="U203">
        <v>24434</v>
      </c>
      <c r="V203">
        <f t="shared" si="3"/>
        <v>76</v>
      </c>
      <c r="W203">
        <v>1096</v>
      </c>
      <c r="X203">
        <v>6.9343065693430656E-2</v>
      </c>
      <c r="Y203">
        <v>1</v>
      </c>
    </row>
    <row r="204" spans="1:25" x14ac:dyDescent="0.25">
      <c r="A204" t="s">
        <v>3217</v>
      </c>
      <c r="B204" t="s">
        <v>3217</v>
      </c>
      <c r="C204" t="s">
        <v>3080</v>
      </c>
      <c r="D204" t="s">
        <v>3380</v>
      </c>
      <c r="E204">
        <v>35191</v>
      </c>
      <c r="F204">
        <v>83</v>
      </c>
      <c r="J204" s="13" t="s">
        <v>3925</v>
      </c>
      <c r="K204" s="13">
        <v>24155</v>
      </c>
      <c r="O204" t="s">
        <v>3484</v>
      </c>
      <c r="P204" t="s">
        <v>591</v>
      </c>
      <c r="U204">
        <v>24427</v>
      </c>
      <c r="V204">
        <f t="shared" si="3"/>
        <v>417</v>
      </c>
      <c r="W204">
        <v>1848</v>
      </c>
      <c r="X204">
        <v>0.22564935064935066</v>
      </c>
      <c r="Y204">
        <v>2</v>
      </c>
    </row>
    <row r="205" spans="1:25" x14ac:dyDescent="0.25">
      <c r="A205" t="s">
        <v>3217</v>
      </c>
      <c r="B205" t="s">
        <v>3217</v>
      </c>
      <c r="C205" t="s">
        <v>765</v>
      </c>
      <c r="D205" t="s">
        <v>3430</v>
      </c>
      <c r="E205">
        <v>35189</v>
      </c>
      <c r="F205">
        <v>44</v>
      </c>
      <c r="J205" s="13" t="s">
        <v>3343</v>
      </c>
      <c r="K205" s="13">
        <v>26111</v>
      </c>
      <c r="O205" t="s">
        <v>3436</v>
      </c>
      <c r="P205" t="s">
        <v>188</v>
      </c>
      <c r="U205">
        <v>24414</v>
      </c>
      <c r="V205">
        <f t="shared" si="3"/>
        <v>44</v>
      </c>
      <c r="W205">
        <v>587</v>
      </c>
      <c r="X205">
        <v>7.4957410562180582E-2</v>
      </c>
      <c r="Y205">
        <v>1</v>
      </c>
    </row>
    <row r="206" spans="1:25" x14ac:dyDescent="0.25">
      <c r="A206" t="s">
        <v>3217</v>
      </c>
      <c r="B206" t="s">
        <v>3217</v>
      </c>
      <c r="C206" t="s">
        <v>3089</v>
      </c>
      <c r="D206" t="s">
        <v>3413</v>
      </c>
      <c r="E206">
        <v>35171</v>
      </c>
      <c r="F206">
        <v>94</v>
      </c>
      <c r="J206" s="15" t="s">
        <v>3344</v>
      </c>
      <c r="K206" s="15">
        <v>61476</v>
      </c>
      <c r="O206" t="s">
        <v>3849</v>
      </c>
      <c r="P206" t="s">
        <v>1313</v>
      </c>
      <c r="U206">
        <v>24411</v>
      </c>
      <c r="V206">
        <f t="shared" si="3"/>
        <v>131</v>
      </c>
      <c r="W206">
        <v>733</v>
      </c>
      <c r="X206">
        <v>0.17871759890859482</v>
      </c>
      <c r="Y206">
        <v>2</v>
      </c>
    </row>
    <row r="207" spans="1:25" x14ac:dyDescent="0.25">
      <c r="A207" t="s">
        <v>3217</v>
      </c>
      <c r="B207" t="s">
        <v>3217</v>
      </c>
      <c r="C207" t="s">
        <v>744</v>
      </c>
      <c r="D207" t="s">
        <v>3333</v>
      </c>
      <c r="E207">
        <v>35161</v>
      </c>
      <c r="F207">
        <v>277</v>
      </c>
      <c r="J207" s="13" t="s">
        <v>3345</v>
      </c>
      <c r="K207" s="13">
        <v>37365</v>
      </c>
      <c r="O207" t="s">
        <v>3646</v>
      </c>
      <c r="P207" t="s">
        <v>401</v>
      </c>
      <c r="U207">
        <v>24377</v>
      </c>
      <c r="V207">
        <f t="shared" si="3"/>
        <v>20</v>
      </c>
      <c r="W207">
        <v>2617</v>
      </c>
      <c r="X207">
        <v>7.6423385555980132E-3</v>
      </c>
      <c r="Y207">
        <v>1</v>
      </c>
    </row>
    <row r="208" spans="1:25" x14ac:dyDescent="0.25">
      <c r="A208" t="s">
        <v>3217</v>
      </c>
      <c r="B208" t="s">
        <v>3217</v>
      </c>
      <c r="C208" t="s">
        <v>3171</v>
      </c>
      <c r="D208" t="s">
        <v>3671</v>
      </c>
      <c r="E208">
        <v>35149</v>
      </c>
      <c r="F208">
        <v>457</v>
      </c>
      <c r="J208" s="13" t="s">
        <v>3346</v>
      </c>
      <c r="K208" s="13">
        <v>37381</v>
      </c>
      <c r="O208" t="s">
        <v>3438</v>
      </c>
      <c r="P208" t="s">
        <v>195</v>
      </c>
      <c r="U208">
        <v>24375</v>
      </c>
      <c r="V208">
        <f t="shared" si="3"/>
        <v>109</v>
      </c>
      <c r="W208">
        <v>2180</v>
      </c>
      <c r="X208">
        <v>0.05</v>
      </c>
      <c r="Y208">
        <v>1</v>
      </c>
    </row>
    <row r="209" spans="1:25" x14ac:dyDescent="0.25">
      <c r="A209" t="s">
        <v>3217</v>
      </c>
      <c r="B209" t="s">
        <v>3217</v>
      </c>
      <c r="C209" t="s">
        <v>3070</v>
      </c>
      <c r="D209" t="s">
        <v>3614</v>
      </c>
      <c r="E209">
        <v>35147</v>
      </c>
      <c r="F209">
        <v>320</v>
      </c>
      <c r="J209" s="13" t="s">
        <v>3347</v>
      </c>
      <c r="K209" s="13">
        <v>32137</v>
      </c>
      <c r="O209" t="s">
        <v>3250</v>
      </c>
      <c r="P209" t="s">
        <v>1207</v>
      </c>
      <c r="U209">
        <v>24369</v>
      </c>
      <c r="V209">
        <f t="shared" si="3"/>
        <v>40</v>
      </c>
      <c r="W209">
        <v>1599</v>
      </c>
      <c r="X209">
        <v>2.5015634771732333E-2</v>
      </c>
      <c r="Y209">
        <v>1</v>
      </c>
    </row>
    <row r="210" spans="1:25" x14ac:dyDescent="0.25">
      <c r="A210" t="s">
        <v>3217</v>
      </c>
      <c r="B210" t="s">
        <v>3217</v>
      </c>
      <c r="C210" t="s">
        <v>738</v>
      </c>
      <c r="D210" t="s">
        <v>3381</v>
      </c>
      <c r="E210">
        <v>35137</v>
      </c>
      <c r="F210">
        <v>136</v>
      </c>
      <c r="J210" s="13" t="s">
        <v>3348</v>
      </c>
      <c r="K210" s="13">
        <v>34336</v>
      </c>
      <c r="O210" t="s">
        <v>3831</v>
      </c>
      <c r="P210" t="s">
        <v>718</v>
      </c>
      <c r="U210">
        <v>24365</v>
      </c>
      <c r="V210">
        <f t="shared" si="3"/>
        <v>111</v>
      </c>
      <c r="W210">
        <v>1474</v>
      </c>
      <c r="X210">
        <v>7.5305291723202175E-2</v>
      </c>
      <c r="Y210">
        <v>1</v>
      </c>
    </row>
    <row r="211" spans="1:25" x14ac:dyDescent="0.25">
      <c r="A211" t="s">
        <v>3217</v>
      </c>
      <c r="B211" t="s">
        <v>3217</v>
      </c>
      <c r="C211" t="s">
        <v>3080</v>
      </c>
      <c r="D211" t="s">
        <v>3411</v>
      </c>
      <c r="E211">
        <v>35126</v>
      </c>
      <c r="F211">
        <v>143</v>
      </c>
      <c r="J211" s="13" t="s">
        <v>3926</v>
      </c>
      <c r="K211" s="13">
        <v>35237</v>
      </c>
      <c r="O211" t="s">
        <v>3478</v>
      </c>
      <c r="P211" t="s">
        <v>200</v>
      </c>
      <c r="U211">
        <v>24359</v>
      </c>
      <c r="V211">
        <f t="shared" si="3"/>
        <v>94</v>
      </c>
      <c r="W211">
        <v>390</v>
      </c>
      <c r="X211">
        <v>0.24102564102564103</v>
      </c>
      <c r="Y211">
        <v>1</v>
      </c>
    </row>
    <row r="212" spans="1:25" x14ac:dyDescent="0.25">
      <c r="A212" t="s">
        <v>3217</v>
      </c>
      <c r="B212" t="s">
        <v>3217</v>
      </c>
      <c r="C212" t="s">
        <v>3070</v>
      </c>
      <c r="D212" t="s">
        <v>3329</v>
      </c>
      <c r="E212">
        <v>35113</v>
      </c>
      <c r="F212">
        <v>74</v>
      </c>
      <c r="J212" s="13" t="s">
        <v>3927</v>
      </c>
      <c r="K212" s="13">
        <v>35325</v>
      </c>
      <c r="O212" t="s">
        <v>3356</v>
      </c>
      <c r="P212" t="s">
        <v>1110</v>
      </c>
      <c r="U212">
        <v>24351</v>
      </c>
      <c r="V212">
        <f t="shared" si="3"/>
        <v>42</v>
      </c>
      <c r="W212">
        <v>1072</v>
      </c>
      <c r="X212">
        <v>3.9179104477611942E-2</v>
      </c>
      <c r="Y212">
        <v>1</v>
      </c>
    </row>
    <row r="213" spans="1:25" x14ac:dyDescent="0.25">
      <c r="A213" t="s">
        <v>3217</v>
      </c>
      <c r="B213" t="s">
        <v>3217</v>
      </c>
      <c r="C213" t="s">
        <v>722</v>
      </c>
      <c r="D213" t="s">
        <v>3292</v>
      </c>
      <c r="E213">
        <v>35111</v>
      </c>
      <c r="F213">
        <v>22</v>
      </c>
      <c r="J213" s="13" t="s">
        <v>3928</v>
      </c>
      <c r="K213" s="13">
        <v>35245</v>
      </c>
      <c r="O213" t="s">
        <v>3289</v>
      </c>
      <c r="P213" t="s">
        <v>1019</v>
      </c>
      <c r="U213">
        <v>24349</v>
      </c>
      <c r="V213">
        <f t="shared" si="3"/>
        <v>245</v>
      </c>
      <c r="W213">
        <v>2180</v>
      </c>
      <c r="X213">
        <v>0.11238532110091744</v>
      </c>
      <c r="Y213">
        <v>2</v>
      </c>
    </row>
    <row r="214" spans="1:25" x14ac:dyDescent="0.25">
      <c r="A214" t="s">
        <v>3217</v>
      </c>
      <c r="B214" t="s">
        <v>3217</v>
      </c>
      <c r="C214" t="s">
        <v>722</v>
      </c>
      <c r="D214" t="s">
        <v>3331</v>
      </c>
      <c r="E214">
        <v>35111</v>
      </c>
      <c r="F214">
        <v>156</v>
      </c>
      <c r="J214" s="13" t="s">
        <v>3929</v>
      </c>
      <c r="K214" s="13">
        <v>35267</v>
      </c>
      <c r="O214" t="s">
        <v>3311</v>
      </c>
      <c r="P214" t="s">
        <v>1381</v>
      </c>
      <c r="U214">
        <v>24343</v>
      </c>
      <c r="V214">
        <f t="shared" si="3"/>
        <v>70</v>
      </c>
      <c r="W214">
        <v>8303</v>
      </c>
      <c r="X214">
        <v>8.430687703239792E-3</v>
      </c>
      <c r="Y214">
        <v>1</v>
      </c>
    </row>
    <row r="215" spans="1:25" x14ac:dyDescent="0.25">
      <c r="A215" t="s">
        <v>3215</v>
      </c>
      <c r="B215" t="s">
        <v>3226</v>
      </c>
      <c r="C215" t="s">
        <v>718</v>
      </c>
      <c r="D215" t="s">
        <v>3831</v>
      </c>
      <c r="E215">
        <v>34374</v>
      </c>
      <c r="F215">
        <v>67</v>
      </c>
      <c r="J215" s="13" t="s">
        <v>3930</v>
      </c>
      <c r="K215" s="13">
        <v>35449</v>
      </c>
      <c r="O215" t="s">
        <v>3362</v>
      </c>
      <c r="P215" t="s">
        <v>912</v>
      </c>
      <c r="U215">
        <v>24339</v>
      </c>
      <c r="V215">
        <f t="shared" si="3"/>
        <v>50</v>
      </c>
      <c r="W215">
        <v>373</v>
      </c>
      <c r="X215">
        <v>0.13404825737265416</v>
      </c>
      <c r="Y215">
        <v>1</v>
      </c>
    </row>
    <row r="216" spans="1:25" x14ac:dyDescent="0.25">
      <c r="A216" t="s">
        <v>3215</v>
      </c>
      <c r="B216" t="s">
        <v>3226</v>
      </c>
      <c r="C216" t="s">
        <v>718</v>
      </c>
      <c r="D216" t="s">
        <v>3832</v>
      </c>
      <c r="E216">
        <v>34374</v>
      </c>
      <c r="F216">
        <v>59</v>
      </c>
      <c r="J216" s="13" t="s">
        <v>3931</v>
      </c>
      <c r="K216" s="13">
        <v>35344</v>
      </c>
      <c r="O216" t="s">
        <v>3655</v>
      </c>
      <c r="P216" t="s">
        <v>240</v>
      </c>
      <c r="U216">
        <v>24337</v>
      </c>
      <c r="V216">
        <f t="shared" si="3"/>
        <v>127</v>
      </c>
      <c r="W216">
        <v>2038</v>
      </c>
      <c r="X216">
        <v>6.2315996074582922E-2</v>
      </c>
      <c r="Y216">
        <v>1</v>
      </c>
    </row>
    <row r="217" spans="1:25" x14ac:dyDescent="0.25">
      <c r="A217" t="s">
        <v>3215</v>
      </c>
      <c r="B217" t="s">
        <v>3226</v>
      </c>
      <c r="C217" t="s">
        <v>3073</v>
      </c>
      <c r="D217" t="s">
        <v>3348</v>
      </c>
      <c r="E217">
        <v>34336</v>
      </c>
      <c r="F217">
        <v>31</v>
      </c>
      <c r="J217" s="13" t="s">
        <v>3932</v>
      </c>
      <c r="K217" s="13">
        <v>35147</v>
      </c>
      <c r="O217" t="s">
        <v>3333</v>
      </c>
      <c r="P217" t="s">
        <v>751</v>
      </c>
      <c r="U217">
        <v>24329</v>
      </c>
      <c r="V217">
        <f t="shared" si="3"/>
        <v>105</v>
      </c>
      <c r="W217">
        <v>1439</v>
      </c>
      <c r="X217">
        <v>7.2967338429464901E-2</v>
      </c>
      <c r="Y217">
        <v>1</v>
      </c>
    </row>
    <row r="218" spans="1:25" x14ac:dyDescent="0.25">
      <c r="A218" t="s">
        <v>3215</v>
      </c>
      <c r="B218" t="s">
        <v>3226</v>
      </c>
      <c r="C218" t="s">
        <v>702</v>
      </c>
      <c r="D218" t="s">
        <v>3321</v>
      </c>
      <c r="E218">
        <v>34284</v>
      </c>
      <c r="F218">
        <v>167</v>
      </c>
      <c r="J218" s="13" t="s">
        <v>3933</v>
      </c>
      <c r="K218" s="13">
        <v>73111</v>
      </c>
      <c r="O218" t="s">
        <v>3305</v>
      </c>
      <c r="P218" t="s">
        <v>1110</v>
      </c>
      <c r="U218">
        <v>24323</v>
      </c>
      <c r="V218">
        <f t="shared" si="3"/>
        <v>72</v>
      </c>
      <c r="W218">
        <v>1226</v>
      </c>
      <c r="X218">
        <v>5.872756933115824E-2</v>
      </c>
      <c r="Y218">
        <v>1</v>
      </c>
    </row>
    <row r="219" spans="1:25" x14ac:dyDescent="0.25">
      <c r="A219" t="s">
        <v>3215</v>
      </c>
      <c r="B219" t="s">
        <v>3226</v>
      </c>
      <c r="C219" t="s">
        <v>697</v>
      </c>
      <c r="D219" t="s">
        <v>3844</v>
      </c>
      <c r="E219">
        <v>34276</v>
      </c>
      <c r="F219">
        <v>12</v>
      </c>
      <c r="J219" s="13" t="s">
        <v>3934</v>
      </c>
      <c r="K219" s="13">
        <v>73127</v>
      </c>
      <c r="O219" t="s">
        <v>3841</v>
      </c>
      <c r="P219" t="s">
        <v>229</v>
      </c>
      <c r="U219">
        <v>24315</v>
      </c>
      <c r="V219">
        <f t="shared" si="3"/>
        <v>486</v>
      </c>
      <c r="W219">
        <v>4756</v>
      </c>
      <c r="X219">
        <v>0.10218671152228764</v>
      </c>
      <c r="Y219">
        <v>4</v>
      </c>
    </row>
    <row r="220" spans="1:25" x14ac:dyDescent="0.25">
      <c r="A220" t="s">
        <v>3215</v>
      </c>
      <c r="B220" t="s">
        <v>3226</v>
      </c>
      <c r="C220" t="s">
        <v>697</v>
      </c>
      <c r="D220" t="s">
        <v>3858</v>
      </c>
      <c r="E220">
        <v>34276</v>
      </c>
      <c r="F220">
        <v>167</v>
      </c>
      <c r="J220" s="13" t="s">
        <v>3735</v>
      </c>
      <c r="K220" s="13">
        <v>10210</v>
      </c>
      <c r="O220" t="s">
        <v>3379</v>
      </c>
      <c r="P220" t="s">
        <v>2815</v>
      </c>
      <c r="U220">
        <v>24311</v>
      </c>
      <c r="V220">
        <f t="shared" si="3"/>
        <v>632</v>
      </c>
      <c r="W220">
        <v>21822</v>
      </c>
      <c r="X220">
        <v>2.896159838694895E-2</v>
      </c>
      <c r="Y220">
        <v>5</v>
      </c>
    </row>
    <row r="221" spans="1:25" x14ac:dyDescent="0.25">
      <c r="A221" t="s">
        <v>3215</v>
      </c>
      <c r="B221" t="s">
        <v>3226</v>
      </c>
      <c r="C221" t="s">
        <v>2089</v>
      </c>
      <c r="D221" t="s">
        <v>3556</v>
      </c>
      <c r="E221">
        <v>34188</v>
      </c>
      <c r="F221">
        <v>30</v>
      </c>
      <c r="J221" s="13" t="s">
        <v>3736</v>
      </c>
      <c r="K221" s="13">
        <v>21188</v>
      </c>
      <c r="O221" t="s">
        <v>3493</v>
      </c>
      <c r="P221" t="s">
        <v>173</v>
      </c>
      <c r="U221">
        <v>24259</v>
      </c>
      <c r="V221">
        <f t="shared" si="3"/>
        <v>497</v>
      </c>
      <c r="W221">
        <v>2789</v>
      </c>
      <c r="X221">
        <v>0.17820007171029043</v>
      </c>
      <c r="Y221">
        <v>2</v>
      </c>
    </row>
    <row r="222" spans="1:25" x14ac:dyDescent="0.25">
      <c r="A222" t="s">
        <v>3215</v>
      </c>
      <c r="B222" t="s">
        <v>3226</v>
      </c>
      <c r="C222" t="s">
        <v>649</v>
      </c>
      <c r="D222" t="s">
        <v>3375</v>
      </c>
      <c r="E222">
        <v>34111</v>
      </c>
      <c r="F222">
        <v>24</v>
      </c>
      <c r="J222" s="13" t="s">
        <v>3935</v>
      </c>
      <c r="K222" s="13">
        <v>10350</v>
      </c>
      <c r="O222" t="s">
        <v>3610</v>
      </c>
      <c r="P222" t="s">
        <v>2815</v>
      </c>
      <c r="U222">
        <v>24243</v>
      </c>
      <c r="V222">
        <f t="shared" si="3"/>
        <v>262</v>
      </c>
      <c r="W222">
        <v>7236</v>
      </c>
      <c r="X222">
        <v>3.6207849640685463E-2</v>
      </c>
      <c r="Y222">
        <v>2</v>
      </c>
    </row>
    <row r="223" spans="1:25" x14ac:dyDescent="0.25">
      <c r="A223" t="s">
        <v>3215</v>
      </c>
      <c r="B223" t="s">
        <v>597</v>
      </c>
      <c r="C223" t="s">
        <v>3075</v>
      </c>
      <c r="D223" t="s">
        <v>3359</v>
      </c>
      <c r="E223">
        <v>33271</v>
      </c>
      <c r="F223">
        <v>37</v>
      </c>
      <c r="J223" s="13" t="s">
        <v>3737</v>
      </c>
      <c r="K223" s="13">
        <v>10310</v>
      </c>
      <c r="O223" t="s">
        <v>3820</v>
      </c>
      <c r="P223" t="s">
        <v>21</v>
      </c>
      <c r="U223">
        <v>24235</v>
      </c>
      <c r="V223">
        <f t="shared" si="3"/>
        <v>66</v>
      </c>
      <c r="W223">
        <v>550</v>
      </c>
      <c r="X223">
        <v>0.12</v>
      </c>
      <c r="Y223">
        <v>1</v>
      </c>
    </row>
    <row r="224" spans="1:25" x14ac:dyDescent="0.25">
      <c r="A224" t="s">
        <v>3215</v>
      </c>
      <c r="B224" t="s">
        <v>597</v>
      </c>
      <c r="C224" t="s">
        <v>3075</v>
      </c>
      <c r="D224" t="s">
        <v>3373</v>
      </c>
      <c r="E224">
        <v>33271</v>
      </c>
      <c r="F224">
        <v>25</v>
      </c>
      <c r="J224" s="13" t="s">
        <v>3936</v>
      </c>
      <c r="K224" s="13">
        <v>10310</v>
      </c>
      <c r="O224" t="s">
        <v>3241</v>
      </c>
      <c r="P224" t="s">
        <v>1191</v>
      </c>
      <c r="U224">
        <v>24211</v>
      </c>
      <c r="V224">
        <f t="shared" si="3"/>
        <v>212</v>
      </c>
      <c r="W224">
        <v>7680</v>
      </c>
      <c r="X224">
        <v>2.7604166666666666E-2</v>
      </c>
      <c r="Y224">
        <v>3</v>
      </c>
    </row>
    <row r="225" spans="1:25" x14ac:dyDescent="0.25">
      <c r="A225" t="s">
        <v>3215</v>
      </c>
      <c r="B225" t="s">
        <v>597</v>
      </c>
      <c r="C225" t="s">
        <v>3079</v>
      </c>
      <c r="D225" t="s">
        <v>3374</v>
      </c>
      <c r="E225">
        <v>33145</v>
      </c>
      <c r="F225">
        <v>82</v>
      </c>
      <c r="J225" s="13" t="s">
        <v>3738</v>
      </c>
      <c r="K225" s="13">
        <v>10210</v>
      </c>
      <c r="O225" t="s">
        <v>3796</v>
      </c>
      <c r="P225" t="s">
        <v>18</v>
      </c>
      <c r="U225">
        <v>24155</v>
      </c>
      <c r="V225">
        <f t="shared" si="3"/>
        <v>120</v>
      </c>
      <c r="W225">
        <v>6378</v>
      </c>
      <c r="X225">
        <v>1.881467544684854E-2</v>
      </c>
      <c r="Y225">
        <v>2</v>
      </c>
    </row>
    <row r="226" spans="1:25" x14ac:dyDescent="0.25">
      <c r="A226" t="s">
        <v>3215</v>
      </c>
      <c r="B226" t="s">
        <v>3228</v>
      </c>
      <c r="C226" t="s">
        <v>3115</v>
      </c>
      <c r="D226" t="s">
        <v>3494</v>
      </c>
      <c r="E226">
        <v>33129</v>
      </c>
      <c r="F226">
        <v>41</v>
      </c>
      <c r="J226" s="13" t="s">
        <v>3739</v>
      </c>
      <c r="K226" s="13">
        <v>21111</v>
      </c>
      <c r="O226" t="s">
        <v>3415</v>
      </c>
      <c r="P226" t="s">
        <v>466</v>
      </c>
      <c r="U226">
        <v>24111</v>
      </c>
      <c r="V226">
        <f t="shared" si="3"/>
        <v>441</v>
      </c>
      <c r="W226">
        <v>70316</v>
      </c>
      <c r="X226">
        <v>6.2716878093179362E-3</v>
      </c>
      <c r="Y226">
        <v>1</v>
      </c>
    </row>
    <row r="227" spans="1:25" x14ac:dyDescent="0.25">
      <c r="A227" t="s">
        <v>3215</v>
      </c>
      <c r="B227" t="s">
        <v>597</v>
      </c>
      <c r="C227" t="s">
        <v>600</v>
      </c>
      <c r="D227" t="s">
        <v>3322</v>
      </c>
      <c r="E227">
        <v>33117</v>
      </c>
      <c r="F227">
        <v>20</v>
      </c>
      <c r="J227" s="13" t="s">
        <v>3349</v>
      </c>
      <c r="K227" s="13">
        <v>63124</v>
      </c>
      <c r="O227" t="s">
        <v>3447</v>
      </c>
      <c r="P227" t="s">
        <v>995</v>
      </c>
      <c r="U227">
        <v>23675</v>
      </c>
      <c r="V227">
        <f t="shared" si="3"/>
        <v>62</v>
      </c>
      <c r="W227">
        <v>2637</v>
      </c>
      <c r="X227">
        <v>2.3511566173682216E-2</v>
      </c>
      <c r="Y227">
        <v>1</v>
      </c>
    </row>
    <row r="228" spans="1:25" x14ac:dyDescent="0.25">
      <c r="A228" t="s">
        <v>3215</v>
      </c>
      <c r="B228" t="s">
        <v>597</v>
      </c>
      <c r="C228" t="s">
        <v>3051</v>
      </c>
      <c r="D228" t="s">
        <v>3265</v>
      </c>
      <c r="E228">
        <v>33113</v>
      </c>
      <c r="F228">
        <v>72</v>
      </c>
      <c r="J228" s="13" t="s">
        <v>3350</v>
      </c>
      <c r="K228" s="13">
        <v>62215</v>
      </c>
      <c r="O228" t="s">
        <v>3468</v>
      </c>
      <c r="P228" t="s">
        <v>2865</v>
      </c>
      <c r="U228">
        <v>23663</v>
      </c>
      <c r="V228">
        <f t="shared" si="3"/>
        <v>108</v>
      </c>
      <c r="W228">
        <v>2767</v>
      </c>
      <c r="X228">
        <v>3.9031441994940366E-2</v>
      </c>
      <c r="Y228">
        <v>1</v>
      </c>
    </row>
    <row r="229" spans="1:25" x14ac:dyDescent="0.25">
      <c r="A229" t="s">
        <v>3215</v>
      </c>
      <c r="B229" t="s">
        <v>597</v>
      </c>
      <c r="C229" t="s">
        <v>597</v>
      </c>
      <c r="D229" t="s">
        <v>3286</v>
      </c>
      <c r="E229">
        <v>33111</v>
      </c>
      <c r="F229">
        <v>91</v>
      </c>
      <c r="J229" s="13" t="s">
        <v>3351</v>
      </c>
      <c r="K229" s="13">
        <v>61115</v>
      </c>
      <c r="O229" t="s">
        <v>3739</v>
      </c>
      <c r="P229" t="s">
        <v>30</v>
      </c>
      <c r="U229">
        <v>23651</v>
      </c>
      <c r="V229">
        <f t="shared" si="3"/>
        <v>27</v>
      </c>
      <c r="W229">
        <v>2918</v>
      </c>
      <c r="X229">
        <v>9.2529129540781362E-3</v>
      </c>
      <c r="Y229">
        <v>1</v>
      </c>
    </row>
    <row r="230" spans="1:25" x14ac:dyDescent="0.25">
      <c r="A230" t="s">
        <v>3215</v>
      </c>
      <c r="B230" t="s">
        <v>597</v>
      </c>
      <c r="C230" t="s">
        <v>597</v>
      </c>
      <c r="D230" t="s">
        <v>3361</v>
      </c>
      <c r="E230">
        <v>33111</v>
      </c>
      <c r="F230">
        <v>34</v>
      </c>
      <c r="J230" s="13" t="s">
        <v>3352</v>
      </c>
      <c r="K230" s="13">
        <v>61115</v>
      </c>
      <c r="O230" t="s">
        <v>3723</v>
      </c>
      <c r="P230" t="s">
        <v>18</v>
      </c>
      <c r="U230">
        <v>23627</v>
      </c>
      <c r="V230">
        <f t="shared" si="3"/>
        <v>118</v>
      </c>
      <c r="W230">
        <v>1716</v>
      </c>
      <c r="X230">
        <v>6.8764568764568768E-2</v>
      </c>
      <c r="Y230">
        <v>1</v>
      </c>
    </row>
    <row r="231" spans="1:25" x14ac:dyDescent="0.25">
      <c r="A231" t="s">
        <v>3215</v>
      </c>
      <c r="B231" t="s">
        <v>597</v>
      </c>
      <c r="C231" t="s">
        <v>597</v>
      </c>
      <c r="D231" t="s">
        <v>3527</v>
      </c>
      <c r="E231">
        <v>33111</v>
      </c>
      <c r="F231">
        <v>99</v>
      </c>
      <c r="J231" s="13" t="s">
        <v>3353</v>
      </c>
      <c r="K231" s="13">
        <v>61115</v>
      </c>
      <c r="O231" t="s">
        <v>3742</v>
      </c>
      <c r="P231" t="s">
        <v>21</v>
      </c>
      <c r="U231">
        <v>23625</v>
      </c>
      <c r="V231">
        <f t="shared" si="3"/>
        <v>254</v>
      </c>
      <c r="W231">
        <v>3655</v>
      </c>
      <c r="X231">
        <v>6.9493844049247605E-2</v>
      </c>
      <c r="Y231">
        <v>2</v>
      </c>
    </row>
    <row r="232" spans="1:25" x14ac:dyDescent="0.25">
      <c r="A232" t="s">
        <v>3215</v>
      </c>
      <c r="B232" t="s">
        <v>3223</v>
      </c>
      <c r="C232" t="s">
        <v>3112</v>
      </c>
      <c r="D232" t="s">
        <v>3484</v>
      </c>
      <c r="E232">
        <v>32185</v>
      </c>
      <c r="F232">
        <v>51</v>
      </c>
      <c r="J232" s="13" t="s">
        <v>3937</v>
      </c>
      <c r="K232" s="13">
        <v>53241</v>
      </c>
      <c r="O232" t="s">
        <v>3520</v>
      </c>
      <c r="P232" t="s">
        <v>851</v>
      </c>
      <c r="U232">
        <v>23623</v>
      </c>
      <c r="V232">
        <f t="shared" si="3"/>
        <v>393</v>
      </c>
      <c r="W232">
        <v>6279</v>
      </c>
      <c r="X232">
        <v>6.2589584328714767E-2</v>
      </c>
      <c r="Y232">
        <v>2</v>
      </c>
    </row>
    <row r="233" spans="1:25" x14ac:dyDescent="0.25">
      <c r="A233" t="s">
        <v>3215</v>
      </c>
      <c r="B233" t="s">
        <v>3223</v>
      </c>
      <c r="C233" t="s">
        <v>3068</v>
      </c>
      <c r="D233" t="s">
        <v>3323</v>
      </c>
      <c r="E233">
        <v>32177</v>
      </c>
      <c r="F233">
        <v>49</v>
      </c>
      <c r="J233" s="13" t="s">
        <v>3938</v>
      </c>
      <c r="K233" s="13">
        <v>53221</v>
      </c>
      <c r="O233" t="s">
        <v>3637</v>
      </c>
      <c r="P233" t="s">
        <v>2975</v>
      </c>
      <c r="U233">
        <v>23588</v>
      </c>
      <c r="V233">
        <f t="shared" si="3"/>
        <v>75</v>
      </c>
      <c r="W233">
        <v>1051</v>
      </c>
      <c r="X233">
        <v>7.1360608943862994E-2</v>
      </c>
      <c r="Y233">
        <v>1</v>
      </c>
    </row>
    <row r="234" spans="1:25" x14ac:dyDescent="0.25">
      <c r="A234" t="s">
        <v>3215</v>
      </c>
      <c r="B234" t="s">
        <v>3223</v>
      </c>
      <c r="C234" t="s">
        <v>578</v>
      </c>
      <c r="D234" t="s">
        <v>3485</v>
      </c>
      <c r="E234">
        <v>32159</v>
      </c>
      <c r="F234">
        <v>50</v>
      </c>
      <c r="J234" s="13" t="s">
        <v>3939</v>
      </c>
      <c r="K234" s="13">
        <v>53111</v>
      </c>
      <c r="O234" t="s">
        <v>3409</v>
      </c>
      <c r="P234" t="s">
        <v>188</v>
      </c>
      <c r="U234">
        <v>23577</v>
      </c>
      <c r="V234">
        <f t="shared" si="3"/>
        <v>165</v>
      </c>
      <c r="W234">
        <v>3420</v>
      </c>
      <c r="X234">
        <v>4.8245614035087717E-2</v>
      </c>
      <c r="Y234">
        <v>1</v>
      </c>
    </row>
    <row r="235" spans="1:25" x14ac:dyDescent="0.25">
      <c r="A235" t="s">
        <v>3215</v>
      </c>
      <c r="B235" t="s">
        <v>3223</v>
      </c>
      <c r="C235" t="s">
        <v>3206</v>
      </c>
      <c r="D235" t="s">
        <v>3859</v>
      </c>
      <c r="E235">
        <v>32155</v>
      </c>
      <c r="F235">
        <v>47</v>
      </c>
      <c r="J235" s="13" t="s">
        <v>3354</v>
      </c>
      <c r="K235" s="13">
        <v>21311</v>
      </c>
      <c r="O235" t="s">
        <v>3411</v>
      </c>
      <c r="P235" t="s">
        <v>730</v>
      </c>
      <c r="U235">
        <v>23566</v>
      </c>
      <c r="V235">
        <f t="shared" si="3"/>
        <v>301</v>
      </c>
      <c r="W235">
        <v>3394</v>
      </c>
      <c r="X235">
        <v>8.8685916322922803E-2</v>
      </c>
      <c r="Y235">
        <v>1</v>
      </c>
    </row>
    <row r="236" spans="1:25" x14ac:dyDescent="0.25">
      <c r="A236" t="s">
        <v>3215</v>
      </c>
      <c r="B236" t="s">
        <v>3223</v>
      </c>
      <c r="C236" t="s">
        <v>572</v>
      </c>
      <c r="D236" t="s">
        <v>3442</v>
      </c>
      <c r="E236">
        <v>32147</v>
      </c>
      <c r="F236">
        <v>26</v>
      </c>
      <c r="J236" s="13" t="s">
        <v>3355</v>
      </c>
      <c r="K236" s="13">
        <v>21317</v>
      </c>
      <c r="O236" t="s">
        <v>3267</v>
      </c>
      <c r="P236" t="s">
        <v>1088</v>
      </c>
      <c r="U236">
        <v>23544</v>
      </c>
      <c r="V236">
        <f t="shared" si="3"/>
        <v>200</v>
      </c>
      <c r="W236">
        <v>723</v>
      </c>
      <c r="X236">
        <v>0.27662517289073307</v>
      </c>
      <c r="Y236">
        <v>1</v>
      </c>
    </row>
    <row r="237" spans="1:25" x14ac:dyDescent="0.25">
      <c r="A237" t="s">
        <v>3215</v>
      </c>
      <c r="B237" t="s">
        <v>3223</v>
      </c>
      <c r="C237" t="s">
        <v>2021</v>
      </c>
      <c r="D237" t="s">
        <v>3363</v>
      </c>
      <c r="E237">
        <v>32141</v>
      </c>
      <c r="F237">
        <v>38</v>
      </c>
      <c r="J237" s="13" t="s">
        <v>3940</v>
      </c>
      <c r="K237" s="13">
        <v>21456</v>
      </c>
      <c r="O237" t="s">
        <v>3662</v>
      </c>
      <c r="P237" t="s">
        <v>773</v>
      </c>
      <c r="U237">
        <v>23511</v>
      </c>
      <c r="V237">
        <f t="shared" si="3"/>
        <v>341</v>
      </c>
      <c r="W237">
        <v>9843</v>
      </c>
      <c r="X237">
        <v>3.4643909377222393E-2</v>
      </c>
      <c r="Y237">
        <v>2</v>
      </c>
    </row>
    <row r="238" spans="1:25" x14ac:dyDescent="0.25">
      <c r="A238" t="s">
        <v>3215</v>
      </c>
      <c r="B238" t="s">
        <v>3223</v>
      </c>
      <c r="C238" t="s">
        <v>2021</v>
      </c>
      <c r="D238" t="s">
        <v>3558</v>
      </c>
      <c r="E238">
        <v>32141</v>
      </c>
      <c r="F238">
        <v>37</v>
      </c>
      <c r="J238" s="13" t="s">
        <v>3356</v>
      </c>
      <c r="K238" s="13">
        <v>53311</v>
      </c>
      <c r="O238" t="s">
        <v>3421</v>
      </c>
      <c r="P238" t="s">
        <v>1193</v>
      </c>
      <c r="U238">
        <v>23447</v>
      </c>
      <c r="V238">
        <f t="shared" si="3"/>
        <v>58</v>
      </c>
      <c r="W238">
        <v>1970</v>
      </c>
      <c r="X238">
        <v>2.9441624365482234E-2</v>
      </c>
      <c r="Y238">
        <v>1</v>
      </c>
    </row>
    <row r="239" spans="1:25" x14ac:dyDescent="0.25">
      <c r="A239" t="s">
        <v>3215</v>
      </c>
      <c r="B239" t="s">
        <v>3223</v>
      </c>
      <c r="C239" t="s">
        <v>567</v>
      </c>
      <c r="D239" t="s">
        <v>3347</v>
      </c>
      <c r="E239">
        <v>32137</v>
      </c>
      <c r="F239">
        <v>63</v>
      </c>
      <c r="J239" s="13" t="s">
        <v>3357</v>
      </c>
      <c r="K239" s="13">
        <v>32111</v>
      </c>
      <c r="O239" t="s">
        <v>3705</v>
      </c>
      <c r="P239" t="s">
        <v>1063</v>
      </c>
      <c r="U239">
        <v>23435</v>
      </c>
      <c r="V239">
        <f t="shared" si="3"/>
        <v>137</v>
      </c>
      <c r="W239">
        <v>940</v>
      </c>
      <c r="X239">
        <v>0.14574468085106382</v>
      </c>
      <c r="Y239">
        <v>1</v>
      </c>
    </row>
    <row r="240" spans="1:25" x14ac:dyDescent="0.25">
      <c r="A240" t="s">
        <v>3215</v>
      </c>
      <c r="B240" t="s">
        <v>3223</v>
      </c>
      <c r="C240" t="s">
        <v>567</v>
      </c>
      <c r="D240" t="s">
        <v>3358</v>
      </c>
      <c r="E240">
        <v>32137</v>
      </c>
      <c r="F240">
        <v>44</v>
      </c>
      <c r="J240" s="13" t="s">
        <v>3941</v>
      </c>
      <c r="K240" s="13">
        <v>21344</v>
      </c>
      <c r="O240" t="s">
        <v>3651</v>
      </c>
      <c r="P240" t="s">
        <v>1096</v>
      </c>
      <c r="U240">
        <v>23433</v>
      </c>
      <c r="V240">
        <f t="shared" si="3"/>
        <v>516</v>
      </c>
      <c r="W240">
        <v>2624</v>
      </c>
      <c r="X240">
        <v>0.19664634146341464</v>
      </c>
      <c r="Y240">
        <v>1</v>
      </c>
    </row>
    <row r="241" spans="1:25" x14ac:dyDescent="0.25">
      <c r="A241" t="s">
        <v>3215</v>
      </c>
      <c r="B241" t="s">
        <v>3223</v>
      </c>
      <c r="C241" t="s">
        <v>3058</v>
      </c>
      <c r="D241" t="s">
        <v>3285</v>
      </c>
      <c r="E241">
        <v>32133</v>
      </c>
      <c r="F241">
        <v>191</v>
      </c>
      <c r="J241" s="13" t="s">
        <v>3358</v>
      </c>
      <c r="K241" s="13">
        <v>32137</v>
      </c>
      <c r="O241" t="s">
        <v>3630</v>
      </c>
      <c r="P241" t="s">
        <v>2846</v>
      </c>
      <c r="U241">
        <v>23423</v>
      </c>
      <c r="V241">
        <f t="shared" si="3"/>
        <v>401</v>
      </c>
      <c r="W241">
        <v>2259</v>
      </c>
      <c r="X241">
        <v>0.17751217352810977</v>
      </c>
      <c r="Y241">
        <v>1</v>
      </c>
    </row>
    <row r="242" spans="1:25" x14ac:dyDescent="0.25">
      <c r="A242" t="s">
        <v>3215</v>
      </c>
      <c r="B242" t="s">
        <v>3223</v>
      </c>
      <c r="C242" t="s">
        <v>3058</v>
      </c>
      <c r="D242" t="s">
        <v>3828</v>
      </c>
      <c r="E242">
        <v>32133</v>
      </c>
      <c r="F242">
        <v>78</v>
      </c>
      <c r="J242" s="13" t="s">
        <v>3359</v>
      </c>
      <c r="K242" s="13">
        <v>33271</v>
      </c>
      <c r="O242" t="s">
        <v>3473</v>
      </c>
      <c r="P242" t="s">
        <v>1050</v>
      </c>
      <c r="U242">
        <v>23411</v>
      </c>
      <c r="V242">
        <f t="shared" si="3"/>
        <v>2492</v>
      </c>
      <c r="W242">
        <v>242</v>
      </c>
      <c r="X242">
        <v>10.297520661157025</v>
      </c>
      <c r="Y242">
        <v>1</v>
      </c>
    </row>
    <row r="243" spans="1:25" x14ac:dyDescent="0.25">
      <c r="A243" t="s">
        <v>3215</v>
      </c>
      <c r="B243" t="s">
        <v>3223</v>
      </c>
      <c r="C243" t="s">
        <v>560</v>
      </c>
      <c r="D243" t="s">
        <v>3414</v>
      </c>
      <c r="E243">
        <v>32123</v>
      </c>
      <c r="F243">
        <v>22</v>
      </c>
      <c r="J243" s="15" t="s">
        <v>3360</v>
      </c>
      <c r="K243" s="15">
        <v>21411</v>
      </c>
      <c r="O243" t="s">
        <v>3497</v>
      </c>
      <c r="P243" t="s">
        <v>545</v>
      </c>
      <c r="U243">
        <v>23381</v>
      </c>
      <c r="V243">
        <f t="shared" si="3"/>
        <v>410</v>
      </c>
      <c r="W243">
        <v>1220</v>
      </c>
      <c r="X243">
        <v>0.33606557377049179</v>
      </c>
      <c r="Y243">
        <v>2</v>
      </c>
    </row>
    <row r="244" spans="1:25" x14ac:dyDescent="0.25">
      <c r="A244" t="s">
        <v>3215</v>
      </c>
      <c r="B244" t="s">
        <v>3223</v>
      </c>
      <c r="C244" t="s">
        <v>559</v>
      </c>
      <c r="D244" t="s">
        <v>3699</v>
      </c>
      <c r="E244">
        <v>32121</v>
      </c>
      <c r="F244">
        <v>33</v>
      </c>
      <c r="J244" s="13" t="s">
        <v>3361</v>
      </c>
      <c r="K244" s="13">
        <v>33111</v>
      </c>
      <c r="O244" t="s">
        <v>3864</v>
      </c>
      <c r="P244" t="s">
        <v>1053</v>
      </c>
      <c r="U244">
        <v>23365</v>
      </c>
      <c r="V244">
        <f t="shared" si="3"/>
        <v>296</v>
      </c>
      <c r="W244">
        <v>12</v>
      </c>
      <c r="X244">
        <v>24.666666666666668</v>
      </c>
      <c r="Y244">
        <v>1</v>
      </c>
    </row>
    <row r="245" spans="1:25" x14ac:dyDescent="0.25">
      <c r="A245" t="s">
        <v>3215</v>
      </c>
      <c r="B245" t="s">
        <v>3223</v>
      </c>
      <c r="C245" t="s">
        <v>554</v>
      </c>
      <c r="D245" t="s">
        <v>3326</v>
      </c>
      <c r="E245">
        <v>32111</v>
      </c>
      <c r="F245">
        <v>19</v>
      </c>
      <c r="J245" s="13" t="s">
        <v>3362</v>
      </c>
      <c r="K245" s="13">
        <v>37241</v>
      </c>
      <c r="O245" t="s">
        <v>3472</v>
      </c>
      <c r="P245" t="s">
        <v>1040</v>
      </c>
      <c r="U245">
        <v>23341</v>
      </c>
      <c r="V245">
        <f t="shared" si="3"/>
        <v>207</v>
      </c>
      <c r="W245">
        <v>2898</v>
      </c>
      <c r="X245">
        <v>7.1428571428571425E-2</v>
      </c>
      <c r="Y245">
        <v>1</v>
      </c>
    </row>
    <row r="246" spans="1:25" x14ac:dyDescent="0.25">
      <c r="A246" t="s">
        <v>3215</v>
      </c>
      <c r="B246" t="s">
        <v>3223</v>
      </c>
      <c r="C246" t="s">
        <v>554</v>
      </c>
      <c r="D246" t="s">
        <v>3357</v>
      </c>
      <c r="E246">
        <v>32111</v>
      </c>
      <c r="F246">
        <v>78</v>
      </c>
      <c r="J246" s="13" t="s">
        <v>3828</v>
      </c>
      <c r="K246" s="13">
        <v>32133</v>
      </c>
      <c r="O246" t="s">
        <v>3260</v>
      </c>
      <c r="P246" t="s">
        <v>1063</v>
      </c>
      <c r="U246">
        <v>23336</v>
      </c>
      <c r="V246">
        <f t="shared" si="3"/>
        <v>248</v>
      </c>
      <c r="W246">
        <v>3172</v>
      </c>
      <c r="X246">
        <v>7.8184110970996215E-2</v>
      </c>
      <c r="Y246">
        <v>2</v>
      </c>
    </row>
    <row r="247" spans="1:25" x14ac:dyDescent="0.25">
      <c r="A247" t="s">
        <v>3215</v>
      </c>
      <c r="B247" t="s">
        <v>3225</v>
      </c>
      <c r="C247" t="s">
        <v>553</v>
      </c>
      <c r="D247" t="s">
        <v>3324</v>
      </c>
      <c r="E247">
        <v>31221</v>
      </c>
      <c r="F247">
        <v>13</v>
      </c>
      <c r="J247" s="13" t="s">
        <v>3364</v>
      </c>
      <c r="K247" s="13">
        <v>74111</v>
      </c>
      <c r="O247" t="s">
        <v>3449</v>
      </c>
      <c r="P247" t="s">
        <v>1056</v>
      </c>
      <c r="U247">
        <v>23331</v>
      </c>
      <c r="V247">
        <f t="shared" si="3"/>
        <v>106</v>
      </c>
      <c r="W247">
        <v>3054</v>
      </c>
      <c r="X247">
        <v>3.4708578912901113E-2</v>
      </c>
      <c r="Y247">
        <v>2</v>
      </c>
    </row>
    <row r="248" spans="1:25" x14ac:dyDescent="0.25">
      <c r="A248" t="s">
        <v>3215</v>
      </c>
      <c r="B248" t="s">
        <v>3225</v>
      </c>
      <c r="C248" t="s">
        <v>3105</v>
      </c>
      <c r="D248" t="s">
        <v>3680</v>
      </c>
      <c r="E248">
        <v>31186</v>
      </c>
      <c r="F248">
        <v>88</v>
      </c>
      <c r="J248" s="13" t="s">
        <v>3942</v>
      </c>
      <c r="K248" s="13">
        <v>71111</v>
      </c>
      <c r="O248" t="s">
        <v>3684</v>
      </c>
      <c r="P248" t="s">
        <v>1063</v>
      </c>
      <c r="U248">
        <v>23321</v>
      </c>
      <c r="V248">
        <f t="shared" si="3"/>
        <v>211</v>
      </c>
      <c r="W248">
        <v>3244</v>
      </c>
      <c r="X248">
        <v>6.5043156596794077E-2</v>
      </c>
      <c r="Y248">
        <v>1</v>
      </c>
    </row>
    <row r="249" spans="1:25" x14ac:dyDescent="0.25">
      <c r="A249" t="s">
        <v>3215</v>
      </c>
      <c r="B249" t="s">
        <v>3225</v>
      </c>
      <c r="C249" t="s">
        <v>3105</v>
      </c>
      <c r="D249" t="s">
        <v>3697</v>
      </c>
      <c r="E249">
        <v>31186</v>
      </c>
      <c r="F249">
        <v>108</v>
      </c>
      <c r="J249" s="13" t="s">
        <v>3943</v>
      </c>
      <c r="K249" s="13">
        <v>71111</v>
      </c>
      <c r="O249" t="s">
        <v>3720</v>
      </c>
      <c r="P249" t="s">
        <v>22</v>
      </c>
      <c r="U249">
        <v>23259</v>
      </c>
      <c r="V249">
        <f t="shared" si="3"/>
        <v>54</v>
      </c>
      <c r="W249">
        <v>608</v>
      </c>
      <c r="X249">
        <v>8.8815789473684209E-2</v>
      </c>
      <c r="Y249">
        <v>1</v>
      </c>
    </row>
    <row r="250" spans="1:25" x14ac:dyDescent="0.25">
      <c r="A250" t="s">
        <v>3215</v>
      </c>
      <c r="B250" t="s">
        <v>3225</v>
      </c>
      <c r="C250" t="s">
        <v>3105</v>
      </c>
      <c r="D250" t="s">
        <v>3465</v>
      </c>
      <c r="E250">
        <v>31171</v>
      </c>
      <c r="F250">
        <v>60</v>
      </c>
      <c r="J250" s="13" t="s">
        <v>3365</v>
      </c>
      <c r="K250" s="13">
        <v>23511</v>
      </c>
      <c r="O250" t="s">
        <v>3405</v>
      </c>
      <c r="P250" t="s">
        <v>2827</v>
      </c>
      <c r="U250">
        <v>23255</v>
      </c>
      <c r="V250">
        <f t="shared" si="3"/>
        <v>828</v>
      </c>
      <c r="W250">
        <v>3936</v>
      </c>
      <c r="X250">
        <v>0.21036585365853658</v>
      </c>
      <c r="Y250">
        <v>1</v>
      </c>
    </row>
    <row r="251" spans="1:25" x14ac:dyDescent="0.25">
      <c r="A251" t="s">
        <v>3215</v>
      </c>
      <c r="B251" t="s">
        <v>3225</v>
      </c>
      <c r="C251" t="s">
        <v>3078</v>
      </c>
      <c r="D251" t="s">
        <v>3372</v>
      </c>
      <c r="E251">
        <v>31166</v>
      </c>
      <c r="F251">
        <v>45</v>
      </c>
      <c r="J251" s="13" t="s">
        <v>3944</v>
      </c>
      <c r="K251" s="13">
        <v>10310</v>
      </c>
      <c r="O251" t="s">
        <v>3303</v>
      </c>
      <c r="P251" t="s">
        <v>1177</v>
      </c>
      <c r="U251">
        <v>23247</v>
      </c>
      <c r="V251">
        <f t="shared" si="3"/>
        <v>379</v>
      </c>
      <c r="W251">
        <v>1881</v>
      </c>
      <c r="X251">
        <v>0.20148856990962255</v>
      </c>
      <c r="Y251">
        <v>2</v>
      </c>
    </row>
    <row r="252" spans="1:25" x14ac:dyDescent="0.25">
      <c r="A252" t="s">
        <v>3215</v>
      </c>
      <c r="B252" t="s">
        <v>3225</v>
      </c>
      <c r="C252" t="s">
        <v>3078</v>
      </c>
      <c r="D252" t="s">
        <v>3543</v>
      </c>
      <c r="E252">
        <v>31161</v>
      </c>
      <c r="F252">
        <v>98</v>
      </c>
      <c r="J252" s="13" t="s">
        <v>3945</v>
      </c>
      <c r="K252" s="13">
        <v>10210</v>
      </c>
      <c r="O252" t="s">
        <v>3489</v>
      </c>
      <c r="P252" t="s">
        <v>1177</v>
      </c>
      <c r="U252">
        <v>23243</v>
      </c>
      <c r="V252">
        <f t="shared" si="3"/>
        <v>204</v>
      </c>
      <c r="W252">
        <v>7102</v>
      </c>
      <c r="X252">
        <v>2.8724303013235707E-2</v>
      </c>
      <c r="Y252">
        <v>2</v>
      </c>
    </row>
    <row r="253" spans="1:25" x14ac:dyDescent="0.25">
      <c r="A253" t="s">
        <v>3215</v>
      </c>
      <c r="B253" t="s">
        <v>3225</v>
      </c>
      <c r="C253" t="s">
        <v>3067</v>
      </c>
      <c r="D253" t="s">
        <v>3319</v>
      </c>
      <c r="E253">
        <v>31156</v>
      </c>
      <c r="F253">
        <v>176</v>
      </c>
      <c r="J253" s="13" t="s">
        <v>3946</v>
      </c>
      <c r="K253" s="13">
        <v>37271</v>
      </c>
      <c r="O253" t="s">
        <v>3467</v>
      </c>
      <c r="P253" t="s">
        <v>173</v>
      </c>
      <c r="U253">
        <v>23239</v>
      </c>
      <c r="V253">
        <f t="shared" si="3"/>
        <v>1914</v>
      </c>
      <c r="W253">
        <v>5070</v>
      </c>
      <c r="X253">
        <v>0.37751479289940826</v>
      </c>
      <c r="Y253">
        <v>2</v>
      </c>
    </row>
    <row r="254" spans="1:25" x14ac:dyDescent="0.25">
      <c r="A254" t="s">
        <v>3215</v>
      </c>
      <c r="B254" t="s">
        <v>3225</v>
      </c>
      <c r="C254" t="s">
        <v>3067</v>
      </c>
      <c r="D254" t="s">
        <v>3320</v>
      </c>
      <c r="E254">
        <v>31156</v>
      </c>
      <c r="F254">
        <v>330</v>
      </c>
      <c r="J254" s="13" t="s">
        <v>3947</v>
      </c>
      <c r="K254" s="13">
        <v>25439</v>
      </c>
      <c r="O254" t="s">
        <v>3503</v>
      </c>
      <c r="P254" t="s">
        <v>30</v>
      </c>
      <c r="U254">
        <v>23231</v>
      </c>
      <c r="V254">
        <f t="shared" si="3"/>
        <v>976</v>
      </c>
      <c r="W254">
        <v>5410</v>
      </c>
      <c r="X254">
        <v>0.18040665434380776</v>
      </c>
      <c r="Y254">
        <v>4</v>
      </c>
    </row>
    <row r="255" spans="1:25" x14ac:dyDescent="0.25">
      <c r="A255" t="s">
        <v>3215</v>
      </c>
      <c r="B255" t="s">
        <v>3225</v>
      </c>
      <c r="C255" t="s">
        <v>3069</v>
      </c>
      <c r="D255" t="s">
        <v>3453</v>
      </c>
      <c r="E255">
        <v>31151</v>
      </c>
      <c r="F255">
        <v>300</v>
      </c>
      <c r="J255" s="13" t="s">
        <v>3948</v>
      </c>
      <c r="K255" s="13">
        <v>21111</v>
      </c>
      <c r="O255" t="s">
        <v>3856</v>
      </c>
      <c r="P255" t="s">
        <v>30</v>
      </c>
      <c r="U255">
        <v>23227</v>
      </c>
      <c r="V255">
        <f t="shared" si="3"/>
        <v>717</v>
      </c>
      <c r="W255">
        <v>3936</v>
      </c>
      <c r="X255">
        <v>0.18216463414634146</v>
      </c>
      <c r="Y255">
        <v>4</v>
      </c>
    </row>
    <row r="256" spans="1:25" x14ac:dyDescent="0.25">
      <c r="A256" t="s">
        <v>3215</v>
      </c>
      <c r="B256" t="s">
        <v>3225</v>
      </c>
      <c r="C256" t="s">
        <v>3069</v>
      </c>
      <c r="D256" t="s">
        <v>3497</v>
      </c>
      <c r="E256">
        <v>31151</v>
      </c>
      <c r="F256">
        <v>151</v>
      </c>
      <c r="J256" s="13" t="s">
        <v>3949</v>
      </c>
      <c r="K256" s="13">
        <v>52244</v>
      </c>
      <c r="O256" t="s">
        <v>3534</v>
      </c>
      <c r="P256" t="s">
        <v>30</v>
      </c>
      <c r="U256">
        <v>23219</v>
      </c>
      <c r="V256">
        <f t="shared" si="3"/>
        <v>212</v>
      </c>
      <c r="W256">
        <v>2467</v>
      </c>
      <c r="X256">
        <v>8.5934333198216459E-2</v>
      </c>
      <c r="Y256">
        <v>1</v>
      </c>
    </row>
    <row r="257" spans="1:25" x14ac:dyDescent="0.25">
      <c r="A257" t="s">
        <v>3215</v>
      </c>
      <c r="B257" t="s">
        <v>3225</v>
      </c>
      <c r="C257" t="s">
        <v>3069</v>
      </c>
      <c r="D257" t="s">
        <v>3550</v>
      </c>
      <c r="E257">
        <v>31151</v>
      </c>
      <c r="F257">
        <v>101</v>
      </c>
      <c r="J257" s="15" t="s">
        <v>3366</v>
      </c>
      <c r="K257" s="15">
        <v>51267</v>
      </c>
      <c r="O257" t="s">
        <v>3543</v>
      </c>
      <c r="P257" t="s">
        <v>547</v>
      </c>
      <c r="U257">
        <v>23215</v>
      </c>
      <c r="V257">
        <f t="shared" si="3"/>
        <v>496</v>
      </c>
      <c r="W257">
        <v>3591</v>
      </c>
      <c r="X257">
        <v>0.13812308549150654</v>
      </c>
      <c r="Y257">
        <v>2</v>
      </c>
    </row>
    <row r="258" spans="1:25" x14ac:dyDescent="0.25">
      <c r="A258" t="s">
        <v>3215</v>
      </c>
      <c r="B258" t="s">
        <v>3225</v>
      </c>
      <c r="C258" t="s">
        <v>3067</v>
      </c>
      <c r="D258" t="s">
        <v>3334</v>
      </c>
      <c r="E258">
        <v>31121</v>
      </c>
      <c r="F258">
        <v>45</v>
      </c>
      <c r="J258" s="13" t="s">
        <v>3367</v>
      </c>
      <c r="K258" s="13">
        <v>51267</v>
      </c>
      <c r="O258" t="s">
        <v>3245</v>
      </c>
      <c r="P258" t="s">
        <v>1388</v>
      </c>
      <c r="U258">
        <v>23211</v>
      </c>
      <c r="V258">
        <f t="shared" si="3"/>
        <v>689</v>
      </c>
      <c r="W258">
        <v>18445</v>
      </c>
      <c r="X258">
        <v>3.7354296557332613E-2</v>
      </c>
      <c r="Y258">
        <v>5</v>
      </c>
    </row>
    <row r="259" spans="1:25" x14ac:dyDescent="0.25">
      <c r="A259" t="s">
        <v>3215</v>
      </c>
      <c r="B259" t="s">
        <v>3225</v>
      </c>
      <c r="C259" t="s">
        <v>3067</v>
      </c>
      <c r="D259" t="s">
        <v>3626</v>
      </c>
      <c r="E259">
        <v>31121</v>
      </c>
      <c r="F259">
        <v>65</v>
      </c>
      <c r="J259" s="13" t="s">
        <v>3950</v>
      </c>
      <c r="K259" s="13">
        <v>62111</v>
      </c>
      <c r="O259" t="s">
        <v>6923</v>
      </c>
      <c r="P259" t="s">
        <v>1006</v>
      </c>
      <c r="U259">
        <v>23141</v>
      </c>
      <c r="V259">
        <f t="shared" ref="V259:V298" si="4">SUMIF(E:E,U259,F:F)</f>
        <v>303</v>
      </c>
      <c r="W259">
        <v>10111</v>
      </c>
      <c r="X259">
        <v>2.9967362278706361E-2</v>
      </c>
      <c r="Y259">
        <v>1</v>
      </c>
    </row>
    <row r="260" spans="1:25" x14ac:dyDescent="0.25">
      <c r="A260" t="s">
        <v>3215</v>
      </c>
      <c r="B260" t="s">
        <v>3225</v>
      </c>
      <c r="C260" t="s">
        <v>3069</v>
      </c>
      <c r="D260" t="s">
        <v>3325</v>
      </c>
      <c r="E260">
        <v>31111</v>
      </c>
      <c r="F260">
        <v>70</v>
      </c>
      <c r="J260" s="13" t="s">
        <v>3368</v>
      </c>
      <c r="K260" s="13">
        <v>51234</v>
      </c>
      <c r="O260" t="s">
        <v>6924</v>
      </c>
      <c r="P260" t="s">
        <v>1063</v>
      </c>
      <c r="U260">
        <v>23111</v>
      </c>
      <c r="V260">
        <f t="shared" si="4"/>
        <v>226</v>
      </c>
      <c r="W260">
        <v>1441</v>
      </c>
      <c r="X260">
        <v>0.1568355308813324</v>
      </c>
      <c r="Y260">
        <v>2</v>
      </c>
    </row>
    <row r="261" spans="1:25" x14ac:dyDescent="0.25">
      <c r="A261" t="s">
        <v>3215</v>
      </c>
      <c r="B261" t="s">
        <v>3225</v>
      </c>
      <c r="C261" t="s">
        <v>3069</v>
      </c>
      <c r="D261" t="s">
        <v>3371</v>
      </c>
      <c r="E261">
        <v>31111</v>
      </c>
      <c r="F261">
        <v>46</v>
      </c>
      <c r="J261" s="13" t="s">
        <v>3951</v>
      </c>
      <c r="K261" s="13">
        <v>51177</v>
      </c>
      <c r="O261" t="s">
        <v>6925</v>
      </c>
      <c r="P261" t="s">
        <v>1063</v>
      </c>
      <c r="U261">
        <v>22797</v>
      </c>
      <c r="V261">
        <f t="shared" si="4"/>
        <v>199</v>
      </c>
      <c r="W261">
        <v>3746</v>
      </c>
      <c r="X261">
        <v>5.3123331553657234E-2</v>
      </c>
      <c r="Y261">
        <v>1</v>
      </c>
    </row>
    <row r="262" spans="1:25" x14ac:dyDescent="0.25">
      <c r="A262" t="s">
        <v>3215</v>
      </c>
      <c r="B262" t="s">
        <v>3225</v>
      </c>
      <c r="C262" t="s">
        <v>3069</v>
      </c>
      <c r="D262" t="s">
        <v>3452</v>
      </c>
      <c r="E262">
        <v>31111</v>
      </c>
      <c r="F262">
        <v>34</v>
      </c>
      <c r="J262" s="13" t="s">
        <v>3952</v>
      </c>
      <c r="K262" s="13">
        <v>51231</v>
      </c>
      <c r="O262" t="s">
        <v>3722</v>
      </c>
      <c r="P262" t="s">
        <v>21</v>
      </c>
      <c r="U262">
        <v>22774</v>
      </c>
      <c r="V262">
        <f t="shared" si="4"/>
        <v>197</v>
      </c>
      <c r="W262">
        <v>318</v>
      </c>
      <c r="X262">
        <v>0.61949685534591192</v>
      </c>
      <c r="Y262">
        <v>1</v>
      </c>
    </row>
    <row r="263" spans="1:25" x14ac:dyDescent="0.25">
      <c r="A263" t="s">
        <v>3212</v>
      </c>
      <c r="B263" t="s">
        <v>3227</v>
      </c>
      <c r="C263" t="s">
        <v>3152</v>
      </c>
      <c r="D263" t="s">
        <v>3593</v>
      </c>
      <c r="E263">
        <v>26341</v>
      </c>
      <c r="F263">
        <v>25</v>
      </c>
      <c r="J263" s="13" t="s">
        <v>3953</v>
      </c>
      <c r="K263" s="13">
        <v>51177</v>
      </c>
      <c r="O263" t="s">
        <v>3432</v>
      </c>
      <c r="P263" t="s">
        <v>1342</v>
      </c>
      <c r="U263">
        <v>22754</v>
      </c>
      <c r="V263">
        <f t="shared" si="4"/>
        <v>174</v>
      </c>
      <c r="W263">
        <v>2180</v>
      </c>
      <c r="X263">
        <v>7.9816513761467894E-2</v>
      </c>
      <c r="Y263">
        <v>2</v>
      </c>
    </row>
    <row r="264" spans="1:25" x14ac:dyDescent="0.25">
      <c r="A264" t="s">
        <v>3212</v>
      </c>
      <c r="B264" t="s">
        <v>3227</v>
      </c>
      <c r="C264" t="s">
        <v>3152</v>
      </c>
      <c r="D264" t="s">
        <v>3594</v>
      </c>
      <c r="E264">
        <v>26341</v>
      </c>
      <c r="F264">
        <v>36</v>
      </c>
      <c r="J264" s="13" t="s">
        <v>3954</v>
      </c>
      <c r="K264" s="13">
        <v>33129</v>
      </c>
      <c r="O264" t="s">
        <v>3592</v>
      </c>
      <c r="P264" t="s">
        <v>2874</v>
      </c>
      <c r="U264">
        <v>22733</v>
      </c>
      <c r="V264">
        <f t="shared" si="4"/>
        <v>250</v>
      </c>
      <c r="W264">
        <v>1167</v>
      </c>
      <c r="X264">
        <v>0.21422450728363324</v>
      </c>
      <c r="Y264">
        <v>1</v>
      </c>
    </row>
    <row r="265" spans="1:25" x14ac:dyDescent="0.25">
      <c r="A265" t="s">
        <v>3212</v>
      </c>
      <c r="B265" t="s">
        <v>3227</v>
      </c>
      <c r="C265" t="s">
        <v>517</v>
      </c>
      <c r="D265" t="s">
        <v>3595</v>
      </c>
      <c r="E265">
        <v>26331</v>
      </c>
      <c r="F265">
        <v>28</v>
      </c>
      <c r="J265" s="13" t="s">
        <v>3369</v>
      </c>
      <c r="K265" s="13">
        <v>51244</v>
      </c>
      <c r="O265" t="s">
        <v>3657</v>
      </c>
      <c r="P265" t="s">
        <v>500</v>
      </c>
      <c r="U265">
        <v>22711</v>
      </c>
      <c r="V265">
        <f t="shared" si="4"/>
        <v>104</v>
      </c>
      <c r="W265">
        <v>1379</v>
      </c>
      <c r="X265">
        <v>7.5416968817984043E-2</v>
      </c>
      <c r="Y265">
        <v>1</v>
      </c>
    </row>
    <row r="266" spans="1:25" x14ac:dyDescent="0.25">
      <c r="A266" t="s">
        <v>3212</v>
      </c>
      <c r="B266" t="s">
        <v>3227</v>
      </c>
      <c r="C266" t="s">
        <v>517</v>
      </c>
      <c r="D266" t="s">
        <v>3596</v>
      </c>
      <c r="E266">
        <v>26331</v>
      </c>
      <c r="F266">
        <v>90</v>
      </c>
      <c r="J266" s="13" t="s">
        <v>3955</v>
      </c>
      <c r="K266" s="13">
        <v>31151</v>
      </c>
      <c r="O266" t="s">
        <v>3521</v>
      </c>
      <c r="P266" t="s">
        <v>1179</v>
      </c>
      <c r="U266">
        <v>22667</v>
      </c>
      <c r="V266">
        <f t="shared" si="4"/>
        <v>35</v>
      </c>
      <c r="W266">
        <v>7991</v>
      </c>
      <c r="X266">
        <v>4.379927418345639E-3</v>
      </c>
      <c r="Y266">
        <v>1</v>
      </c>
    </row>
    <row r="267" spans="1:25" x14ac:dyDescent="0.25">
      <c r="A267" t="s">
        <v>3212</v>
      </c>
      <c r="B267" t="s">
        <v>3227</v>
      </c>
      <c r="C267" t="s">
        <v>2874</v>
      </c>
      <c r="D267" t="s">
        <v>3592</v>
      </c>
      <c r="E267">
        <v>26327</v>
      </c>
      <c r="F267">
        <v>175</v>
      </c>
      <c r="J267" s="13" t="s">
        <v>3956</v>
      </c>
      <c r="K267" s="13">
        <v>51231</v>
      </c>
      <c r="O267" t="s">
        <v>3811</v>
      </c>
      <c r="P267" t="s">
        <v>2803</v>
      </c>
      <c r="U267">
        <v>22659</v>
      </c>
      <c r="V267">
        <f t="shared" si="4"/>
        <v>89</v>
      </c>
      <c r="W267">
        <v>4901</v>
      </c>
      <c r="X267">
        <v>1.8159559273617631E-2</v>
      </c>
      <c r="Y267">
        <v>1</v>
      </c>
    </row>
    <row r="268" spans="1:25" x14ac:dyDescent="0.25">
      <c r="A268" t="s">
        <v>3212</v>
      </c>
      <c r="B268" t="s">
        <v>3227</v>
      </c>
      <c r="C268" t="s">
        <v>3146</v>
      </c>
      <c r="D268" t="s">
        <v>3582</v>
      </c>
      <c r="E268">
        <v>26299</v>
      </c>
      <c r="F268">
        <v>82</v>
      </c>
      <c r="J268" s="13" t="s">
        <v>3957</v>
      </c>
      <c r="K268" s="13">
        <v>52237</v>
      </c>
      <c r="O268" t="s">
        <v>3757</v>
      </c>
      <c r="P268" t="s">
        <v>2803</v>
      </c>
      <c r="U268">
        <v>22431</v>
      </c>
      <c r="V268">
        <f t="shared" si="4"/>
        <v>68</v>
      </c>
      <c r="W268">
        <v>2410</v>
      </c>
      <c r="X268">
        <v>2.8215767634854772E-2</v>
      </c>
      <c r="Y268">
        <v>1</v>
      </c>
    </row>
    <row r="269" spans="1:25" x14ac:dyDescent="0.25">
      <c r="A269" t="s">
        <v>3212</v>
      </c>
      <c r="B269" t="s">
        <v>3227</v>
      </c>
      <c r="C269" t="s">
        <v>500</v>
      </c>
      <c r="D269" t="s">
        <v>3657</v>
      </c>
      <c r="E269">
        <v>26286</v>
      </c>
      <c r="F269">
        <v>32</v>
      </c>
      <c r="J269" s="13" t="s">
        <v>3370</v>
      </c>
      <c r="K269" s="13">
        <v>52237</v>
      </c>
      <c r="O269" t="s">
        <v>3352</v>
      </c>
      <c r="P269" t="s">
        <v>1192</v>
      </c>
      <c r="U269">
        <v>22423</v>
      </c>
      <c r="V269">
        <f t="shared" si="4"/>
        <v>163</v>
      </c>
      <c r="W269">
        <v>3452</v>
      </c>
      <c r="X269">
        <v>4.7219003476245656E-2</v>
      </c>
      <c r="Y269">
        <v>1</v>
      </c>
    </row>
    <row r="270" spans="1:25" x14ac:dyDescent="0.25">
      <c r="A270" t="s">
        <v>3212</v>
      </c>
      <c r="B270" t="s">
        <v>3227</v>
      </c>
      <c r="C270" t="s">
        <v>3169</v>
      </c>
      <c r="D270" t="s">
        <v>3667</v>
      </c>
      <c r="E270">
        <v>26244</v>
      </c>
      <c r="F270">
        <v>101</v>
      </c>
      <c r="J270" s="13" t="s">
        <v>3958</v>
      </c>
      <c r="K270" s="13">
        <v>34284</v>
      </c>
      <c r="O270" t="s">
        <v>3353</v>
      </c>
      <c r="P270" t="s">
        <v>1192</v>
      </c>
      <c r="U270">
        <v>22419</v>
      </c>
      <c r="V270">
        <f t="shared" si="4"/>
        <v>335</v>
      </c>
      <c r="W270">
        <v>9129</v>
      </c>
      <c r="X270">
        <v>3.6696242742907219E-2</v>
      </c>
      <c r="Y270">
        <v>2</v>
      </c>
    </row>
    <row r="271" spans="1:25" x14ac:dyDescent="0.25">
      <c r="A271" t="s">
        <v>3212</v>
      </c>
      <c r="B271" t="s">
        <v>3227</v>
      </c>
      <c r="C271" t="s">
        <v>3145</v>
      </c>
      <c r="D271" t="s">
        <v>3578</v>
      </c>
      <c r="E271">
        <v>26243</v>
      </c>
      <c r="F271">
        <v>102</v>
      </c>
      <c r="J271" s="13" t="s">
        <v>3959</v>
      </c>
      <c r="K271" s="13">
        <v>52237</v>
      </c>
      <c r="O271" t="s">
        <v>3767</v>
      </c>
      <c r="P271" t="s">
        <v>30</v>
      </c>
      <c r="U271">
        <v>22411</v>
      </c>
      <c r="V271">
        <f t="shared" si="4"/>
        <v>138</v>
      </c>
      <c r="W271">
        <v>10156</v>
      </c>
      <c r="X271">
        <v>1.3588026782197716E-2</v>
      </c>
      <c r="Y271">
        <v>1</v>
      </c>
    </row>
    <row r="272" spans="1:25" x14ac:dyDescent="0.25">
      <c r="A272" t="s">
        <v>3212</v>
      </c>
      <c r="B272" t="s">
        <v>3227</v>
      </c>
      <c r="C272" t="s">
        <v>3145</v>
      </c>
      <c r="D272" t="s">
        <v>3579</v>
      </c>
      <c r="E272">
        <v>26243</v>
      </c>
      <c r="F272">
        <v>92</v>
      </c>
      <c r="J272" s="13" t="s">
        <v>3960</v>
      </c>
      <c r="K272" s="13">
        <v>31151</v>
      </c>
      <c r="O272" t="s">
        <v>3713</v>
      </c>
      <c r="P272" t="s">
        <v>21</v>
      </c>
      <c r="U272">
        <v>22351</v>
      </c>
      <c r="V272">
        <f t="shared" si="4"/>
        <v>164</v>
      </c>
      <c r="W272">
        <v>12272</v>
      </c>
      <c r="X272">
        <v>1.3363754889178618E-2</v>
      </c>
      <c r="Y272">
        <v>1</v>
      </c>
    </row>
    <row r="273" spans="1:25" x14ac:dyDescent="0.25">
      <c r="A273" t="s">
        <v>3212</v>
      </c>
      <c r="B273" t="s">
        <v>3227</v>
      </c>
      <c r="C273" t="s">
        <v>473</v>
      </c>
      <c r="D273" t="s">
        <v>3577</v>
      </c>
      <c r="E273">
        <v>26241</v>
      </c>
      <c r="F273">
        <v>94</v>
      </c>
      <c r="J273" s="13" t="s">
        <v>3961</v>
      </c>
      <c r="K273" s="13">
        <v>31111</v>
      </c>
      <c r="O273" t="s">
        <v>3530</v>
      </c>
      <c r="P273" t="s">
        <v>2965</v>
      </c>
      <c r="U273">
        <v>22335</v>
      </c>
      <c r="V273">
        <f t="shared" si="4"/>
        <v>153</v>
      </c>
      <c r="W273">
        <v>9701</v>
      </c>
      <c r="X273">
        <v>1.5771569941243169E-2</v>
      </c>
      <c r="Y273">
        <v>1</v>
      </c>
    </row>
    <row r="274" spans="1:25" x14ac:dyDescent="0.25">
      <c r="A274" t="s">
        <v>3212</v>
      </c>
      <c r="B274" t="s">
        <v>3227</v>
      </c>
      <c r="C274" t="s">
        <v>3143</v>
      </c>
      <c r="D274" t="s">
        <v>3573</v>
      </c>
      <c r="E274">
        <v>26239</v>
      </c>
      <c r="F274">
        <v>109</v>
      </c>
      <c r="J274" s="13" t="s">
        <v>3962</v>
      </c>
      <c r="K274" s="13">
        <v>52237</v>
      </c>
      <c r="O274" t="s">
        <v>3319</v>
      </c>
      <c r="P274" t="s">
        <v>546</v>
      </c>
      <c r="U274">
        <v>22311</v>
      </c>
      <c r="V274">
        <f t="shared" si="4"/>
        <v>141</v>
      </c>
      <c r="W274">
        <v>12245</v>
      </c>
      <c r="X274">
        <v>1.1514904042466313E-2</v>
      </c>
      <c r="Y274">
        <v>3</v>
      </c>
    </row>
    <row r="275" spans="1:25" x14ac:dyDescent="0.25">
      <c r="A275" t="s">
        <v>3212</v>
      </c>
      <c r="B275" t="s">
        <v>3227</v>
      </c>
      <c r="C275" t="s">
        <v>1938</v>
      </c>
      <c r="D275" t="s">
        <v>3535</v>
      </c>
      <c r="E275">
        <v>26231</v>
      </c>
      <c r="F275">
        <v>56</v>
      </c>
      <c r="J275" s="13" t="s">
        <v>3371</v>
      </c>
      <c r="K275" s="13">
        <v>31111</v>
      </c>
      <c r="O275" t="s">
        <v>3680</v>
      </c>
      <c r="P275" t="s">
        <v>552</v>
      </c>
      <c r="U275">
        <v>22262</v>
      </c>
      <c r="V275">
        <f t="shared" si="4"/>
        <v>772</v>
      </c>
      <c r="W275">
        <v>22471</v>
      </c>
      <c r="X275">
        <v>3.4355391393351434E-2</v>
      </c>
      <c r="Y275">
        <v>6</v>
      </c>
    </row>
    <row r="276" spans="1:25" x14ac:dyDescent="0.25">
      <c r="A276" t="s">
        <v>3212</v>
      </c>
      <c r="B276" t="s">
        <v>3227</v>
      </c>
      <c r="C276" t="s">
        <v>1938</v>
      </c>
      <c r="D276" t="s">
        <v>3574</v>
      </c>
      <c r="E276">
        <v>26231</v>
      </c>
      <c r="F276">
        <v>145</v>
      </c>
      <c r="J276" s="13" t="s">
        <v>3372</v>
      </c>
      <c r="K276" s="13">
        <v>31166</v>
      </c>
      <c r="O276" t="s">
        <v>3798</v>
      </c>
      <c r="P276" t="s">
        <v>27</v>
      </c>
      <c r="U276">
        <v>22228</v>
      </c>
      <c r="V276">
        <f t="shared" si="4"/>
        <v>437</v>
      </c>
      <c r="W276">
        <v>60601</v>
      </c>
      <c r="X276">
        <v>7.2111021270276068E-3</v>
      </c>
      <c r="Y276">
        <v>3</v>
      </c>
    </row>
    <row r="277" spans="1:25" x14ac:dyDescent="0.25">
      <c r="A277" t="s">
        <v>3212</v>
      </c>
      <c r="B277" t="s">
        <v>3227</v>
      </c>
      <c r="C277" t="s">
        <v>1938</v>
      </c>
      <c r="D277" t="s">
        <v>3575</v>
      </c>
      <c r="E277">
        <v>26231</v>
      </c>
      <c r="F277">
        <v>151</v>
      </c>
      <c r="J277" s="13" t="s">
        <v>3373</v>
      </c>
      <c r="K277" s="13">
        <v>33271</v>
      </c>
      <c r="O277" t="s">
        <v>3815</v>
      </c>
      <c r="P277" t="s">
        <v>21</v>
      </c>
      <c r="U277">
        <v>22211</v>
      </c>
      <c r="V277">
        <f t="shared" si="4"/>
        <v>47</v>
      </c>
      <c r="W277">
        <v>15068</v>
      </c>
      <c r="X277">
        <v>3.1191929917706398E-3</v>
      </c>
      <c r="Y277">
        <v>1</v>
      </c>
    </row>
    <row r="278" spans="1:25" x14ac:dyDescent="0.25">
      <c r="A278" t="s">
        <v>3212</v>
      </c>
      <c r="B278" t="s">
        <v>3227</v>
      </c>
      <c r="C278" t="s">
        <v>3090</v>
      </c>
      <c r="D278" t="s">
        <v>3415</v>
      </c>
      <c r="E278">
        <v>26229</v>
      </c>
      <c r="F278">
        <v>155</v>
      </c>
      <c r="J278" s="13" t="s">
        <v>3963</v>
      </c>
      <c r="K278" s="13">
        <v>33129</v>
      </c>
      <c r="O278" t="s">
        <v>3687</v>
      </c>
      <c r="P278" t="s">
        <v>247</v>
      </c>
      <c r="U278">
        <v>22155</v>
      </c>
      <c r="V278">
        <f t="shared" si="4"/>
        <v>147</v>
      </c>
      <c r="W278">
        <v>32216</v>
      </c>
      <c r="X278">
        <v>4.5629500869133347E-3</v>
      </c>
      <c r="Y278">
        <v>2</v>
      </c>
    </row>
    <row r="279" spans="1:25" x14ac:dyDescent="0.25">
      <c r="A279" t="s">
        <v>3212</v>
      </c>
      <c r="B279" t="s">
        <v>3227</v>
      </c>
      <c r="C279" t="s">
        <v>3144</v>
      </c>
      <c r="D279" t="s">
        <v>3576</v>
      </c>
      <c r="E279">
        <v>26229</v>
      </c>
      <c r="F279">
        <v>97</v>
      </c>
      <c r="J279" s="13" t="s">
        <v>3964</v>
      </c>
      <c r="K279" s="13">
        <v>33155</v>
      </c>
      <c r="O279" t="s">
        <v>3783</v>
      </c>
      <c r="P279" t="s">
        <v>2803</v>
      </c>
      <c r="U279">
        <v>22111</v>
      </c>
      <c r="V279">
        <f t="shared" si="4"/>
        <v>328</v>
      </c>
      <c r="W279">
        <v>70331</v>
      </c>
      <c r="X279">
        <v>4.6636618276435712E-3</v>
      </c>
      <c r="Y279">
        <v>3</v>
      </c>
    </row>
    <row r="280" spans="1:25" x14ac:dyDescent="0.25">
      <c r="A280" t="s">
        <v>3212</v>
      </c>
      <c r="B280" t="s">
        <v>3227</v>
      </c>
      <c r="C280" t="s">
        <v>3090</v>
      </c>
      <c r="D280" t="s">
        <v>3580</v>
      </c>
      <c r="E280">
        <v>26229</v>
      </c>
      <c r="F280">
        <v>29</v>
      </c>
      <c r="J280" s="13" t="s">
        <v>3374</v>
      </c>
      <c r="K280" s="13">
        <v>33145</v>
      </c>
      <c r="O280" t="s">
        <v>3532</v>
      </c>
      <c r="P280" t="s">
        <v>30</v>
      </c>
      <c r="U280">
        <v>21476</v>
      </c>
      <c r="V280">
        <f t="shared" si="4"/>
        <v>1164</v>
      </c>
      <c r="W280">
        <v>1435</v>
      </c>
      <c r="X280">
        <v>0.8111498257839721</v>
      </c>
      <c r="Y280">
        <v>2</v>
      </c>
    </row>
    <row r="281" spans="1:25" x14ac:dyDescent="0.25">
      <c r="A281" t="s">
        <v>3212</v>
      </c>
      <c r="B281" t="s">
        <v>3227</v>
      </c>
      <c r="C281" t="s">
        <v>3090</v>
      </c>
      <c r="D281" t="s">
        <v>3581</v>
      </c>
      <c r="E281">
        <v>26229</v>
      </c>
      <c r="F281">
        <v>46</v>
      </c>
      <c r="J281" s="13" t="s">
        <v>3965</v>
      </c>
      <c r="K281" s="13">
        <v>51241</v>
      </c>
      <c r="O281" t="s">
        <v>3517</v>
      </c>
      <c r="P281" t="s">
        <v>31</v>
      </c>
      <c r="U281">
        <v>21456</v>
      </c>
      <c r="V281">
        <f t="shared" si="4"/>
        <v>406</v>
      </c>
      <c r="W281">
        <v>2106</v>
      </c>
      <c r="X281">
        <v>0.19278252611585944</v>
      </c>
      <c r="Y281">
        <v>1</v>
      </c>
    </row>
    <row r="282" spans="1:25" x14ac:dyDescent="0.25">
      <c r="A282" t="s">
        <v>3212</v>
      </c>
      <c r="B282" t="s">
        <v>3227</v>
      </c>
      <c r="C282" t="s">
        <v>464</v>
      </c>
      <c r="D282" t="s">
        <v>3571</v>
      </c>
      <c r="E282">
        <v>26226</v>
      </c>
      <c r="F282">
        <v>20</v>
      </c>
      <c r="J282" s="13" t="s">
        <v>3966</v>
      </c>
      <c r="K282" s="13">
        <v>37319</v>
      </c>
      <c r="O282" t="s">
        <v>3636</v>
      </c>
      <c r="P282" t="s">
        <v>362</v>
      </c>
      <c r="U282">
        <v>21441</v>
      </c>
      <c r="V282">
        <f t="shared" si="4"/>
        <v>339</v>
      </c>
      <c r="W282">
        <v>568</v>
      </c>
      <c r="X282">
        <v>0.596830985915493</v>
      </c>
      <c r="Y282">
        <v>1</v>
      </c>
    </row>
    <row r="283" spans="1:25" x14ac:dyDescent="0.25">
      <c r="A283" t="s">
        <v>3212</v>
      </c>
      <c r="B283" t="s">
        <v>3227</v>
      </c>
      <c r="C283" t="s">
        <v>462</v>
      </c>
      <c r="D283" t="s">
        <v>3591</v>
      </c>
      <c r="E283">
        <v>26223</v>
      </c>
      <c r="F283">
        <v>105</v>
      </c>
      <c r="J283" s="13" t="s">
        <v>3967</v>
      </c>
      <c r="K283" s="13">
        <v>33141</v>
      </c>
      <c r="O283" t="s">
        <v>3455</v>
      </c>
      <c r="P283" t="s">
        <v>308</v>
      </c>
      <c r="U283">
        <v>21431</v>
      </c>
      <c r="V283">
        <f t="shared" si="4"/>
        <v>35</v>
      </c>
      <c r="W283">
        <v>506</v>
      </c>
      <c r="X283">
        <v>6.9169960474308304E-2</v>
      </c>
      <c r="Y283">
        <v>1</v>
      </c>
    </row>
    <row r="284" spans="1:25" x14ac:dyDescent="0.25">
      <c r="A284" t="s">
        <v>3212</v>
      </c>
      <c r="B284" t="s">
        <v>3227</v>
      </c>
      <c r="C284" t="s">
        <v>3148</v>
      </c>
      <c r="D284" t="s">
        <v>3587</v>
      </c>
      <c r="E284">
        <v>26221</v>
      </c>
      <c r="F284">
        <v>57</v>
      </c>
      <c r="J284" s="13" t="s">
        <v>3968</v>
      </c>
      <c r="K284" s="13">
        <v>32113</v>
      </c>
      <c r="O284" t="s">
        <v>3647</v>
      </c>
      <c r="P284" t="s">
        <v>362</v>
      </c>
      <c r="U284">
        <v>21411</v>
      </c>
      <c r="V284">
        <f t="shared" si="4"/>
        <v>502</v>
      </c>
      <c r="W284">
        <v>2130</v>
      </c>
      <c r="X284">
        <v>0.23568075117370893</v>
      </c>
      <c r="Y284">
        <v>1</v>
      </c>
    </row>
    <row r="285" spans="1:25" x14ac:dyDescent="0.25">
      <c r="A285" t="s">
        <v>3212</v>
      </c>
      <c r="B285" t="s">
        <v>3227</v>
      </c>
      <c r="C285" t="s">
        <v>3151</v>
      </c>
      <c r="D285" t="s">
        <v>3590</v>
      </c>
      <c r="E285">
        <v>26220</v>
      </c>
      <c r="F285">
        <v>140</v>
      </c>
      <c r="J285" s="13" t="s">
        <v>3969</v>
      </c>
      <c r="K285" s="13">
        <v>37261</v>
      </c>
      <c r="O285" t="s">
        <v>3390</v>
      </c>
      <c r="P285" t="s">
        <v>2840</v>
      </c>
      <c r="U285">
        <v>21354</v>
      </c>
      <c r="V285">
        <f t="shared" si="4"/>
        <v>65</v>
      </c>
      <c r="W285">
        <v>848</v>
      </c>
      <c r="X285">
        <v>7.6650943396226412E-2</v>
      </c>
      <c r="Y285">
        <v>1</v>
      </c>
    </row>
    <row r="286" spans="1:25" x14ac:dyDescent="0.25">
      <c r="A286" t="s">
        <v>3212</v>
      </c>
      <c r="B286" t="s">
        <v>3227</v>
      </c>
      <c r="C286" t="s">
        <v>457</v>
      </c>
      <c r="D286" t="s">
        <v>3583</v>
      </c>
      <c r="E286">
        <v>26217</v>
      </c>
      <c r="F286">
        <v>66</v>
      </c>
      <c r="J286" s="13" t="s">
        <v>3970</v>
      </c>
      <c r="K286" s="13">
        <v>34188</v>
      </c>
      <c r="O286" t="s">
        <v>3253</v>
      </c>
      <c r="P286" t="s">
        <v>2946</v>
      </c>
      <c r="U286">
        <v>21341</v>
      </c>
      <c r="V286">
        <f t="shared" si="4"/>
        <v>121</v>
      </c>
      <c r="W286">
        <v>3112</v>
      </c>
      <c r="X286">
        <v>3.8881748071979437E-2</v>
      </c>
      <c r="Y286">
        <v>1</v>
      </c>
    </row>
    <row r="287" spans="1:25" x14ac:dyDescent="0.25">
      <c r="A287" t="s">
        <v>3212</v>
      </c>
      <c r="B287" t="s">
        <v>3227</v>
      </c>
      <c r="C287" t="s">
        <v>3149</v>
      </c>
      <c r="D287" t="s">
        <v>3588</v>
      </c>
      <c r="E287">
        <v>26212</v>
      </c>
      <c r="F287">
        <v>32</v>
      </c>
      <c r="J287" s="13" t="s">
        <v>3375</v>
      </c>
      <c r="K287" s="13">
        <v>34111</v>
      </c>
      <c r="O287" t="s">
        <v>3548</v>
      </c>
      <c r="P287" t="s">
        <v>2946</v>
      </c>
      <c r="U287">
        <v>21324</v>
      </c>
      <c r="V287">
        <f t="shared" si="4"/>
        <v>555</v>
      </c>
      <c r="W287">
        <v>354</v>
      </c>
      <c r="X287">
        <v>1.5677966101694916</v>
      </c>
      <c r="Y287">
        <v>2</v>
      </c>
    </row>
    <row r="288" spans="1:25" x14ac:dyDescent="0.25">
      <c r="A288" t="s">
        <v>3212</v>
      </c>
      <c r="B288" t="s">
        <v>3227</v>
      </c>
      <c r="C288" t="s">
        <v>3150</v>
      </c>
      <c r="D288" t="s">
        <v>3589</v>
      </c>
      <c r="E288">
        <v>26212</v>
      </c>
      <c r="F288">
        <v>44</v>
      </c>
      <c r="J288" s="13" t="s">
        <v>3971</v>
      </c>
      <c r="K288" s="13">
        <v>33117</v>
      </c>
      <c r="O288" t="s">
        <v>3663</v>
      </c>
      <c r="P288" t="s">
        <v>383</v>
      </c>
      <c r="U288">
        <v>21317</v>
      </c>
      <c r="V288">
        <f t="shared" si="4"/>
        <v>210</v>
      </c>
      <c r="W288">
        <v>671</v>
      </c>
      <c r="X288">
        <v>0.31296572280178836</v>
      </c>
      <c r="Y288">
        <v>1</v>
      </c>
    </row>
    <row r="289" spans="1:25" x14ac:dyDescent="0.25">
      <c r="A289" t="s">
        <v>3212</v>
      </c>
      <c r="B289" t="s">
        <v>3227</v>
      </c>
      <c r="C289" t="s">
        <v>3167</v>
      </c>
      <c r="D289" t="s">
        <v>3664</v>
      </c>
      <c r="E289">
        <v>26147</v>
      </c>
      <c r="F289">
        <v>27</v>
      </c>
      <c r="J289" s="13" t="s">
        <v>3376</v>
      </c>
      <c r="K289" s="13">
        <v>22262</v>
      </c>
      <c r="O289" t="s">
        <v>3645</v>
      </c>
      <c r="P289" t="s">
        <v>387</v>
      </c>
      <c r="U289">
        <v>21311</v>
      </c>
      <c r="V289">
        <f t="shared" si="4"/>
        <v>132</v>
      </c>
      <c r="W289">
        <v>1872</v>
      </c>
      <c r="X289">
        <v>7.0512820512820512E-2</v>
      </c>
      <c r="Y289">
        <v>1</v>
      </c>
    </row>
    <row r="290" spans="1:25" x14ac:dyDescent="0.25">
      <c r="A290" t="s">
        <v>3212</v>
      </c>
      <c r="B290" t="s">
        <v>3227</v>
      </c>
      <c r="C290" t="s">
        <v>443</v>
      </c>
      <c r="D290" t="s">
        <v>3328</v>
      </c>
      <c r="E290">
        <v>26141</v>
      </c>
      <c r="F290">
        <v>43</v>
      </c>
      <c r="J290" s="13" t="s">
        <v>3377</v>
      </c>
      <c r="K290" s="13">
        <v>22262</v>
      </c>
      <c r="O290" t="s">
        <v>3854</v>
      </c>
      <c r="P290" t="s">
        <v>2844</v>
      </c>
      <c r="U290">
        <v>21219</v>
      </c>
      <c r="V290">
        <f t="shared" si="4"/>
        <v>250</v>
      </c>
      <c r="W290">
        <v>18977</v>
      </c>
      <c r="X290">
        <v>1.3173842019286505E-2</v>
      </c>
      <c r="Y290">
        <v>1</v>
      </c>
    </row>
    <row r="291" spans="1:25" x14ac:dyDescent="0.25">
      <c r="A291" t="s">
        <v>3212</v>
      </c>
      <c r="B291" t="s">
        <v>3227</v>
      </c>
      <c r="C291" t="s">
        <v>3142</v>
      </c>
      <c r="D291" t="s">
        <v>3570</v>
      </c>
      <c r="E291">
        <v>26141</v>
      </c>
      <c r="F291">
        <v>94</v>
      </c>
      <c r="J291" s="13" t="s">
        <v>3378</v>
      </c>
      <c r="K291" s="13">
        <v>22262</v>
      </c>
      <c r="O291" t="s">
        <v>3431</v>
      </c>
      <c r="P291" t="s">
        <v>815</v>
      </c>
      <c r="U291">
        <v>21188</v>
      </c>
      <c r="V291">
        <f t="shared" si="4"/>
        <v>63</v>
      </c>
      <c r="W291">
        <v>6089</v>
      </c>
      <c r="X291">
        <v>1.0346526523238628E-2</v>
      </c>
      <c r="Y291">
        <v>1</v>
      </c>
    </row>
    <row r="292" spans="1:25" x14ac:dyDescent="0.25">
      <c r="A292" t="s">
        <v>3212</v>
      </c>
      <c r="B292" t="s">
        <v>3227</v>
      </c>
      <c r="C292" t="s">
        <v>3108</v>
      </c>
      <c r="D292" t="s">
        <v>3468</v>
      </c>
      <c r="E292">
        <v>26135</v>
      </c>
      <c r="F292">
        <v>190</v>
      </c>
      <c r="J292" s="13" t="s">
        <v>3379</v>
      </c>
      <c r="K292" s="13">
        <v>22262</v>
      </c>
      <c r="O292" t="s">
        <v>3557</v>
      </c>
      <c r="P292" t="s">
        <v>95</v>
      </c>
      <c r="U292">
        <v>21133</v>
      </c>
      <c r="V292">
        <f t="shared" si="4"/>
        <v>124</v>
      </c>
      <c r="W292">
        <v>10206</v>
      </c>
      <c r="X292">
        <v>1.2149715853419557E-2</v>
      </c>
      <c r="Y292">
        <v>2</v>
      </c>
    </row>
    <row r="293" spans="1:25" x14ac:dyDescent="0.25">
      <c r="A293" t="s">
        <v>3212</v>
      </c>
      <c r="B293" t="s">
        <v>3227</v>
      </c>
      <c r="C293" t="s">
        <v>501</v>
      </c>
      <c r="D293" t="s">
        <v>3673</v>
      </c>
      <c r="E293">
        <v>26135</v>
      </c>
      <c r="F293">
        <v>102</v>
      </c>
      <c r="J293" s="13" t="s">
        <v>3972</v>
      </c>
      <c r="K293" s="13">
        <v>53461</v>
      </c>
      <c r="O293" t="s">
        <v>3539</v>
      </c>
      <c r="P293" t="s">
        <v>295</v>
      </c>
      <c r="U293">
        <v>21111</v>
      </c>
      <c r="V293">
        <f t="shared" si="4"/>
        <v>1110</v>
      </c>
      <c r="W293">
        <v>158073</v>
      </c>
      <c r="X293">
        <v>7.0220720806209785E-3</v>
      </c>
      <c r="Y293">
        <v>11</v>
      </c>
    </row>
    <row r="294" spans="1:25" x14ac:dyDescent="0.25">
      <c r="A294" t="s">
        <v>3212</v>
      </c>
      <c r="B294" t="s">
        <v>3227</v>
      </c>
      <c r="C294" t="s">
        <v>1913</v>
      </c>
      <c r="D294" t="s">
        <v>3327</v>
      </c>
      <c r="E294">
        <v>26111</v>
      </c>
      <c r="F294">
        <v>74</v>
      </c>
      <c r="J294" s="13" t="s">
        <v>3973</v>
      </c>
      <c r="K294" s="13">
        <v>53475</v>
      </c>
      <c r="O294" t="s">
        <v>3292</v>
      </c>
      <c r="P294" t="s">
        <v>722</v>
      </c>
      <c r="U294">
        <v>10610</v>
      </c>
      <c r="V294">
        <f t="shared" si="4"/>
        <v>74</v>
      </c>
      <c r="W294">
        <v>3819</v>
      </c>
      <c r="X294">
        <v>1.937680020947892E-2</v>
      </c>
      <c r="Y294">
        <v>1</v>
      </c>
    </row>
    <row r="295" spans="1:25" x14ac:dyDescent="0.25">
      <c r="A295" t="s">
        <v>3212</v>
      </c>
      <c r="B295" t="s">
        <v>3227</v>
      </c>
      <c r="C295" t="s">
        <v>1913</v>
      </c>
      <c r="D295" t="s">
        <v>3341</v>
      </c>
      <c r="E295">
        <v>26111</v>
      </c>
      <c r="F295">
        <v>20</v>
      </c>
      <c r="J295" s="13" t="s">
        <v>3974</v>
      </c>
      <c r="K295" s="13">
        <v>53211</v>
      </c>
      <c r="O295" t="s">
        <v>3331</v>
      </c>
      <c r="P295" t="s">
        <v>722</v>
      </c>
      <c r="U295">
        <v>10510</v>
      </c>
      <c r="V295">
        <f t="shared" si="4"/>
        <v>212</v>
      </c>
      <c r="W295">
        <v>1862</v>
      </c>
      <c r="X295">
        <v>0.11385606874328678</v>
      </c>
      <c r="Y295">
        <v>1</v>
      </c>
    </row>
    <row r="296" spans="1:25" x14ac:dyDescent="0.25">
      <c r="A296" t="s">
        <v>3212</v>
      </c>
      <c r="B296" t="s">
        <v>3227</v>
      </c>
      <c r="C296" t="s">
        <v>1913</v>
      </c>
      <c r="D296" t="s">
        <v>3343</v>
      </c>
      <c r="E296">
        <v>26111</v>
      </c>
      <c r="F296">
        <v>66</v>
      </c>
      <c r="J296" s="13" t="s">
        <v>3975</v>
      </c>
      <c r="K296" s="13">
        <v>35314</v>
      </c>
      <c r="O296" t="s">
        <v>3360</v>
      </c>
      <c r="P296" t="s">
        <v>71</v>
      </c>
      <c r="U296">
        <v>10410</v>
      </c>
      <c r="V296">
        <f t="shared" si="4"/>
        <v>2615</v>
      </c>
      <c r="W296">
        <v>9160</v>
      </c>
      <c r="X296">
        <v>0.28548034934497818</v>
      </c>
      <c r="Y296">
        <v>9</v>
      </c>
    </row>
    <row r="297" spans="1:25" x14ac:dyDescent="0.25">
      <c r="A297" t="s">
        <v>3212</v>
      </c>
      <c r="B297" t="s">
        <v>3227</v>
      </c>
      <c r="C297" t="s">
        <v>1913</v>
      </c>
      <c r="D297" t="s">
        <v>3416</v>
      </c>
      <c r="E297">
        <v>26111</v>
      </c>
      <c r="F297">
        <v>33</v>
      </c>
      <c r="J297" s="13" t="s">
        <v>3976</v>
      </c>
      <c r="K297" s="13">
        <v>35351</v>
      </c>
      <c r="O297" t="s">
        <v>3691</v>
      </c>
      <c r="P297" t="s">
        <v>1196</v>
      </c>
      <c r="U297">
        <v>10350</v>
      </c>
      <c r="V297">
        <f t="shared" si="4"/>
        <v>6143</v>
      </c>
      <c r="W297">
        <v>9341</v>
      </c>
      <c r="X297">
        <v>0.65763836848303181</v>
      </c>
      <c r="Y297">
        <v>13</v>
      </c>
    </row>
    <row r="298" spans="1:25" x14ac:dyDescent="0.25">
      <c r="A298" t="s">
        <v>3212</v>
      </c>
      <c r="B298" t="s">
        <v>3227</v>
      </c>
      <c r="C298" t="s">
        <v>1913</v>
      </c>
      <c r="D298" t="s">
        <v>3417</v>
      </c>
      <c r="E298">
        <v>26111</v>
      </c>
      <c r="F298">
        <v>15</v>
      </c>
      <c r="J298" s="13" t="s">
        <v>3977</v>
      </c>
      <c r="K298" s="13">
        <v>35277</v>
      </c>
      <c r="O298" t="s">
        <v>3246</v>
      </c>
      <c r="P298" t="s">
        <v>1196</v>
      </c>
      <c r="U298">
        <v>10110</v>
      </c>
      <c r="V298">
        <f t="shared" si="4"/>
        <v>2958</v>
      </c>
      <c r="W298">
        <v>3969</v>
      </c>
      <c r="X298">
        <v>0.74527588813303103</v>
      </c>
      <c r="Y298">
        <v>9</v>
      </c>
    </row>
    <row r="299" spans="1:25" x14ac:dyDescent="0.25">
      <c r="A299" t="s">
        <v>3212</v>
      </c>
      <c r="B299" t="s">
        <v>3227</v>
      </c>
      <c r="C299" t="s">
        <v>1913</v>
      </c>
      <c r="D299" t="s">
        <v>3674</v>
      </c>
      <c r="E299">
        <v>26111</v>
      </c>
      <c r="F299">
        <v>12</v>
      </c>
      <c r="J299" s="13" t="s">
        <v>3380</v>
      </c>
      <c r="K299" s="13">
        <v>35191</v>
      </c>
      <c r="O299" t="s">
        <v>3247</v>
      </c>
      <c r="P299" t="s">
        <v>1196</v>
      </c>
    </row>
    <row r="300" spans="1:25" x14ac:dyDescent="0.25">
      <c r="A300" t="s">
        <v>3212</v>
      </c>
      <c r="B300" t="s">
        <v>3229</v>
      </c>
      <c r="C300" t="s">
        <v>432</v>
      </c>
      <c r="D300" t="s">
        <v>3653</v>
      </c>
      <c r="E300">
        <v>25471</v>
      </c>
      <c r="F300">
        <v>41</v>
      </c>
      <c r="J300" s="13" t="s">
        <v>3978</v>
      </c>
      <c r="K300" s="13">
        <v>35512</v>
      </c>
      <c r="O300" t="s">
        <v>3648</v>
      </c>
      <c r="P300" t="s">
        <v>364</v>
      </c>
    </row>
    <row r="301" spans="1:25" x14ac:dyDescent="0.25">
      <c r="A301" t="s">
        <v>3212</v>
      </c>
      <c r="B301" t="s">
        <v>3229</v>
      </c>
      <c r="C301" t="s">
        <v>420</v>
      </c>
      <c r="D301" t="s">
        <v>3649</v>
      </c>
      <c r="E301">
        <v>25423</v>
      </c>
      <c r="F301">
        <v>45</v>
      </c>
      <c r="J301" s="13" t="s">
        <v>3979</v>
      </c>
      <c r="K301" s="13">
        <v>35322</v>
      </c>
      <c r="O301" t="s">
        <v>3804</v>
      </c>
      <c r="P301" t="s">
        <v>22</v>
      </c>
    </row>
    <row r="302" spans="1:25" x14ac:dyDescent="0.25">
      <c r="A302" t="s">
        <v>3212</v>
      </c>
      <c r="B302" t="s">
        <v>3229</v>
      </c>
      <c r="C302" t="s">
        <v>3136</v>
      </c>
      <c r="D302" t="s">
        <v>3547</v>
      </c>
      <c r="E302">
        <v>25375</v>
      </c>
      <c r="F302">
        <v>274</v>
      </c>
      <c r="J302" s="13" t="s">
        <v>3980</v>
      </c>
      <c r="K302" s="13">
        <v>35354</v>
      </c>
      <c r="O302" t="s">
        <v>3752</v>
      </c>
      <c r="P302" t="s">
        <v>23</v>
      </c>
    </row>
    <row r="303" spans="1:25" x14ac:dyDescent="0.25">
      <c r="A303" t="s">
        <v>3212</v>
      </c>
      <c r="B303" t="s">
        <v>3229</v>
      </c>
      <c r="C303" t="s">
        <v>3129</v>
      </c>
      <c r="D303" t="s">
        <v>3526</v>
      </c>
      <c r="E303">
        <v>25373</v>
      </c>
      <c r="F303">
        <v>104</v>
      </c>
      <c r="J303" s="13" t="s">
        <v>3381</v>
      </c>
      <c r="K303" s="13">
        <v>35137</v>
      </c>
      <c r="O303" t="s">
        <v>3622</v>
      </c>
      <c r="P303" t="s">
        <v>1541</v>
      </c>
    </row>
    <row r="304" spans="1:25" x14ac:dyDescent="0.25">
      <c r="A304" t="s">
        <v>3212</v>
      </c>
      <c r="B304" t="s">
        <v>3229</v>
      </c>
      <c r="C304" t="s">
        <v>3124</v>
      </c>
      <c r="D304" t="s">
        <v>3508</v>
      </c>
      <c r="E304">
        <v>25357</v>
      </c>
      <c r="F304">
        <v>40</v>
      </c>
      <c r="J304" s="13" t="s">
        <v>3981</v>
      </c>
      <c r="K304" s="13">
        <v>35328</v>
      </c>
      <c r="O304" t="s">
        <v>3364</v>
      </c>
      <c r="P304" t="s">
        <v>1541</v>
      </c>
    </row>
    <row r="305" spans="1:16" x14ac:dyDescent="0.25">
      <c r="A305" t="s">
        <v>3212</v>
      </c>
      <c r="B305" t="s">
        <v>3229</v>
      </c>
      <c r="C305" t="s">
        <v>3124</v>
      </c>
      <c r="D305" t="s">
        <v>3560</v>
      </c>
      <c r="E305">
        <v>25357</v>
      </c>
      <c r="F305">
        <v>7</v>
      </c>
      <c r="J305" s="13" t="s">
        <v>3382</v>
      </c>
      <c r="K305" s="13">
        <v>23433</v>
      </c>
      <c r="O305" t="s">
        <v>3789</v>
      </c>
      <c r="P305" t="s">
        <v>17</v>
      </c>
    </row>
    <row r="306" spans="1:16" x14ac:dyDescent="0.25">
      <c r="A306" t="s">
        <v>3212</v>
      </c>
      <c r="B306" t="s">
        <v>3229</v>
      </c>
      <c r="C306" t="s">
        <v>3124</v>
      </c>
      <c r="D306" t="s">
        <v>3635</v>
      </c>
      <c r="E306">
        <v>25357</v>
      </c>
      <c r="F306">
        <v>25</v>
      </c>
      <c r="J306" s="13" t="s">
        <v>3740</v>
      </c>
      <c r="K306" s="13">
        <v>10310</v>
      </c>
      <c r="O306" t="s">
        <v>3392</v>
      </c>
      <c r="P306" t="s">
        <v>266</v>
      </c>
    </row>
    <row r="307" spans="1:16" x14ac:dyDescent="0.25">
      <c r="A307" t="s">
        <v>3212</v>
      </c>
      <c r="B307" t="s">
        <v>3229</v>
      </c>
      <c r="C307" t="s">
        <v>401</v>
      </c>
      <c r="D307" t="s">
        <v>3562</v>
      </c>
      <c r="E307">
        <v>25347</v>
      </c>
      <c r="F307">
        <v>115</v>
      </c>
      <c r="J307" s="13" t="s">
        <v>3383</v>
      </c>
      <c r="K307" s="13">
        <v>23423</v>
      </c>
      <c r="O307" t="s">
        <v>3765</v>
      </c>
      <c r="P307" t="s">
        <v>18</v>
      </c>
    </row>
    <row r="308" spans="1:16" x14ac:dyDescent="0.25">
      <c r="A308" t="s">
        <v>3212</v>
      </c>
      <c r="B308" t="s">
        <v>3229</v>
      </c>
      <c r="C308" t="s">
        <v>401</v>
      </c>
      <c r="D308" t="s">
        <v>3646</v>
      </c>
      <c r="E308">
        <v>25347</v>
      </c>
      <c r="F308">
        <v>12</v>
      </c>
      <c r="J308" s="13" t="s">
        <v>3982</v>
      </c>
      <c r="K308" s="13">
        <v>10350</v>
      </c>
      <c r="O308" t="s">
        <v>3335</v>
      </c>
      <c r="P308" t="s">
        <v>983</v>
      </c>
    </row>
    <row r="309" spans="1:16" x14ac:dyDescent="0.25">
      <c r="A309" t="s">
        <v>3212</v>
      </c>
      <c r="B309" t="s">
        <v>3229</v>
      </c>
      <c r="C309" t="s">
        <v>3122</v>
      </c>
      <c r="D309" t="s">
        <v>3505</v>
      </c>
      <c r="E309">
        <v>25329</v>
      </c>
      <c r="F309">
        <v>24</v>
      </c>
      <c r="J309" s="13" t="s">
        <v>3983</v>
      </c>
      <c r="K309" s="13">
        <v>10350</v>
      </c>
      <c r="O309" t="s">
        <v>3540</v>
      </c>
      <c r="P309" t="s">
        <v>2806</v>
      </c>
    </row>
    <row r="310" spans="1:16" x14ac:dyDescent="0.25">
      <c r="A310" t="s">
        <v>3212</v>
      </c>
      <c r="B310" t="s">
        <v>3229</v>
      </c>
      <c r="C310" t="s">
        <v>3122</v>
      </c>
      <c r="D310" t="s">
        <v>3554</v>
      </c>
      <c r="E310">
        <v>25329</v>
      </c>
      <c r="F310">
        <v>224</v>
      </c>
      <c r="J310" s="13" t="s">
        <v>3384</v>
      </c>
      <c r="K310" s="13">
        <v>23211</v>
      </c>
      <c r="O310" t="s">
        <v>3571</v>
      </c>
      <c r="P310" t="s">
        <v>464</v>
      </c>
    </row>
    <row r="311" spans="1:16" x14ac:dyDescent="0.25">
      <c r="A311" t="s">
        <v>3212</v>
      </c>
      <c r="B311" t="s">
        <v>3229</v>
      </c>
      <c r="C311" t="s">
        <v>387</v>
      </c>
      <c r="D311" t="s">
        <v>3611</v>
      </c>
      <c r="E311">
        <v>25319</v>
      </c>
      <c r="F311">
        <v>116</v>
      </c>
      <c r="J311" s="13" t="s">
        <v>3385</v>
      </c>
      <c r="K311" s="13">
        <v>21111</v>
      </c>
      <c r="O311" t="s">
        <v>3850</v>
      </c>
      <c r="P311" t="s">
        <v>2803</v>
      </c>
    </row>
    <row r="312" spans="1:16" x14ac:dyDescent="0.25">
      <c r="A312" t="s">
        <v>3212</v>
      </c>
      <c r="B312" t="s">
        <v>3229</v>
      </c>
      <c r="C312" t="s">
        <v>387</v>
      </c>
      <c r="D312" t="s">
        <v>3645</v>
      </c>
      <c r="E312">
        <v>25319</v>
      </c>
      <c r="F312">
        <v>196</v>
      </c>
      <c r="J312" s="15" t="s">
        <v>3672</v>
      </c>
      <c r="K312" s="15">
        <v>23255</v>
      </c>
      <c r="O312" t="s">
        <v>3615</v>
      </c>
      <c r="P312" t="s">
        <v>1192</v>
      </c>
    </row>
    <row r="313" spans="1:16" x14ac:dyDescent="0.25">
      <c r="A313" t="s">
        <v>3212</v>
      </c>
      <c r="B313" t="s">
        <v>3229</v>
      </c>
      <c r="C313" t="s">
        <v>383</v>
      </c>
      <c r="D313" t="s">
        <v>3652</v>
      </c>
      <c r="E313">
        <v>25311</v>
      </c>
      <c r="F313">
        <v>170</v>
      </c>
      <c r="J313" s="13" t="s">
        <v>3984</v>
      </c>
      <c r="K313" s="13">
        <v>23255</v>
      </c>
      <c r="O313" t="s">
        <v>3434</v>
      </c>
      <c r="P313" t="s">
        <v>1267</v>
      </c>
    </row>
    <row r="314" spans="1:16" x14ac:dyDescent="0.25">
      <c r="A314" t="s">
        <v>3212</v>
      </c>
      <c r="B314" t="s">
        <v>3229</v>
      </c>
      <c r="C314" t="s">
        <v>383</v>
      </c>
      <c r="D314" t="s">
        <v>3663</v>
      </c>
      <c r="E314">
        <v>25311</v>
      </c>
      <c r="F314">
        <v>52</v>
      </c>
      <c r="J314" s="15" t="s">
        <v>3386</v>
      </c>
      <c r="K314" s="15">
        <v>23331</v>
      </c>
      <c r="O314" t="s">
        <v>3448</v>
      </c>
      <c r="P314" t="s">
        <v>1056</v>
      </c>
    </row>
    <row r="315" spans="1:16" x14ac:dyDescent="0.25">
      <c r="A315" t="s">
        <v>3212</v>
      </c>
      <c r="B315" t="s">
        <v>3229</v>
      </c>
      <c r="C315" t="s">
        <v>375</v>
      </c>
      <c r="D315" t="s">
        <v>3522</v>
      </c>
      <c r="E315">
        <v>25211</v>
      </c>
      <c r="F315">
        <v>93</v>
      </c>
      <c r="J315" s="15" t="s">
        <v>3387</v>
      </c>
      <c r="K315" s="15">
        <v>23577</v>
      </c>
      <c r="O315" t="s">
        <v>3290</v>
      </c>
      <c r="P315" t="s">
        <v>2929</v>
      </c>
    </row>
    <row r="316" spans="1:16" x14ac:dyDescent="0.25">
      <c r="A316" t="s">
        <v>3212</v>
      </c>
      <c r="B316" t="s">
        <v>3229</v>
      </c>
      <c r="C316" t="s">
        <v>375</v>
      </c>
      <c r="D316" t="s">
        <v>3650</v>
      </c>
      <c r="E316">
        <v>25211</v>
      </c>
      <c r="F316">
        <v>26</v>
      </c>
      <c r="J316" s="13" t="s">
        <v>3388</v>
      </c>
      <c r="K316" s="13">
        <v>23239</v>
      </c>
      <c r="O316" t="s">
        <v>3257</v>
      </c>
      <c r="P316" t="s">
        <v>2929</v>
      </c>
    </row>
    <row r="317" spans="1:16" x14ac:dyDescent="0.25">
      <c r="A317" t="s">
        <v>3212</v>
      </c>
      <c r="B317" t="s">
        <v>3229</v>
      </c>
      <c r="C317" t="s">
        <v>3160</v>
      </c>
      <c r="D317" t="s">
        <v>3648</v>
      </c>
      <c r="E317">
        <v>25131</v>
      </c>
      <c r="F317">
        <v>35</v>
      </c>
      <c r="J317" s="13" t="s">
        <v>3985</v>
      </c>
      <c r="K317" s="13">
        <v>23566</v>
      </c>
      <c r="O317" t="s">
        <v>3377</v>
      </c>
      <c r="P317" t="s">
        <v>2815</v>
      </c>
    </row>
    <row r="318" spans="1:16" x14ac:dyDescent="0.25">
      <c r="A318" t="s">
        <v>3212</v>
      </c>
      <c r="B318" t="s">
        <v>3229</v>
      </c>
      <c r="C318" t="s">
        <v>3160</v>
      </c>
      <c r="D318" t="s">
        <v>3636</v>
      </c>
      <c r="E318">
        <v>25121</v>
      </c>
      <c r="F318">
        <v>31</v>
      </c>
      <c r="J318" s="13" t="s">
        <v>3389</v>
      </c>
      <c r="K318" s="13">
        <v>23251</v>
      </c>
      <c r="O318" t="s">
        <v>3878</v>
      </c>
      <c r="P318" t="s">
        <v>2878</v>
      </c>
    </row>
    <row r="319" spans="1:16" x14ac:dyDescent="0.25">
      <c r="A319" t="s">
        <v>3212</v>
      </c>
      <c r="B319" t="s">
        <v>3229</v>
      </c>
      <c r="C319" t="s">
        <v>3163</v>
      </c>
      <c r="D319" t="s">
        <v>3647</v>
      </c>
      <c r="E319">
        <v>25121</v>
      </c>
      <c r="F319">
        <v>86</v>
      </c>
      <c r="J319" s="16" t="s">
        <v>3872</v>
      </c>
      <c r="K319" s="16">
        <v>23627</v>
      </c>
      <c r="O319" t="s">
        <v>3860</v>
      </c>
      <c r="P319" t="s">
        <v>1313</v>
      </c>
    </row>
    <row r="320" spans="1:16" x14ac:dyDescent="0.25">
      <c r="A320" t="s">
        <v>3212</v>
      </c>
      <c r="B320" t="s">
        <v>1808</v>
      </c>
      <c r="C320" t="s">
        <v>3158</v>
      </c>
      <c r="D320" t="s">
        <v>3628</v>
      </c>
      <c r="E320">
        <v>24477</v>
      </c>
      <c r="F320">
        <v>65</v>
      </c>
      <c r="J320" s="16" t="s">
        <v>3872</v>
      </c>
      <c r="K320" s="16">
        <v>23566</v>
      </c>
      <c r="O320" t="s">
        <v>3809</v>
      </c>
      <c r="P320" t="s">
        <v>22</v>
      </c>
    </row>
    <row r="321" spans="1:16" x14ac:dyDescent="0.25">
      <c r="A321" t="s">
        <v>3212</v>
      </c>
      <c r="B321" t="s">
        <v>1808</v>
      </c>
      <c r="C321" t="s">
        <v>3072</v>
      </c>
      <c r="D321" t="s">
        <v>3342</v>
      </c>
      <c r="E321">
        <v>24467</v>
      </c>
      <c r="F321">
        <v>10</v>
      </c>
      <c r="J321" s="16" t="s">
        <v>3872</v>
      </c>
      <c r="K321" s="16">
        <v>23511</v>
      </c>
      <c r="O321" t="s">
        <v>3318</v>
      </c>
      <c r="P321" t="s">
        <v>1388</v>
      </c>
    </row>
    <row r="322" spans="1:16" x14ac:dyDescent="0.25">
      <c r="A322" t="s">
        <v>3212</v>
      </c>
      <c r="B322" t="s">
        <v>1808</v>
      </c>
      <c r="C322" t="s">
        <v>3128</v>
      </c>
      <c r="D322" t="s">
        <v>3525</v>
      </c>
      <c r="E322">
        <v>24457</v>
      </c>
      <c r="F322">
        <v>148</v>
      </c>
      <c r="J322" s="13" t="s">
        <v>3391</v>
      </c>
      <c r="K322" s="13">
        <v>23215</v>
      </c>
      <c r="O322" t="s">
        <v>4346</v>
      </c>
      <c r="P322" t="s">
        <v>30</v>
      </c>
    </row>
    <row r="323" spans="1:16" x14ac:dyDescent="0.25">
      <c r="A323" t="s">
        <v>3212</v>
      </c>
      <c r="B323" t="s">
        <v>1808</v>
      </c>
      <c r="C323" t="s">
        <v>3103</v>
      </c>
      <c r="D323" t="s">
        <v>3459</v>
      </c>
      <c r="E323">
        <v>24454</v>
      </c>
      <c r="F323">
        <v>81</v>
      </c>
      <c r="J323" s="15" t="s">
        <v>3392</v>
      </c>
      <c r="K323" s="15">
        <v>23588</v>
      </c>
      <c r="O323" t="s">
        <v>3604</v>
      </c>
      <c r="P323" t="s">
        <v>302</v>
      </c>
    </row>
    <row r="324" spans="1:16" x14ac:dyDescent="0.25">
      <c r="A324" t="s">
        <v>3212</v>
      </c>
      <c r="B324" t="s">
        <v>1808</v>
      </c>
      <c r="C324" t="s">
        <v>3170</v>
      </c>
      <c r="D324" t="s">
        <v>3669</v>
      </c>
      <c r="E324">
        <v>24451</v>
      </c>
      <c r="F324">
        <v>60</v>
      </c>
      <c r="J324" s="13" t="s">
        <v>3393</v>
      </c>
      <c r="K324" s="13">
        <v>23219</v>
      </c>
      <c r="O324" t="s">
        <v>3792</v>
      </c>
      <c r="P324" t="s">
        <v>17</v>
      </c>
    </row>
    <row r="325" spans="1:16" x14ac:dyDescent="0.25">
      <c r="A325" t="s">
        <v>3212</v>
      </c>
      <c r="B325" t="s">
        <v>1808</v>
      </c>
      <c r="C325" t="s">
        <v>348</v>
      </c>
      <c r="D325" t="s">
        <v>3463</v>
      </c>
      <c r="E325">
        <v>24447</v>
      </c>
      <c r="F325">
        <v>64</v>
      </c>
      <c r="J325" s="13" t="s">
        <v>3394</v>
      </c>
      <c r="K325" s="13">
        <v>23544</v>
      </c>
      <c r="O325" t="s">
        <v>3512</v>
      </c>
      <c r="P325" t="s">
        <v>336</v>
      </c>
    </row>
    <row r="326" spans="1:16" x14ac:dyDescent="0.25">
      <c r="A326" t="s">
        <v>3212</v>
      </c>
      <c r="B326" t="s">
        <v>1808</v>
      </c>
      <c r="C326" t="s">
        <v>347</v>
      </c>
      <c r="D326" t="s">
        <v>3464</v>
      </c>
      <c r="E326">
        <v>24444</v>
      </c>
      <c r="F326">
        <v>125</v>
      </c>
      <c r="J326" s="13" t="s">
        <v>3395</v>
      </c>
      <c r="K326" s="13">
        <v>23341</v>
      </c>
      <c r="O326" t="s">
        <v>3791</v>
      </c>
      <c r="P326" t="s">
        <v>17</v>
      </c>
    </row>
    <row r="327" spans="1:16" x14ac:dyDescent="0.25">
      <c r="A327" t="s">
        <v>3212</v>
      </c>
      <c r="B327" t="s">
        <v>1808</v>
      </c>
      <c r="C327" t="s">
        <v>1842</v>
      </c>
      <c r="D327" t="s">
        <v>3460</v>
      </c>
      <c r="E327">
        <v>24434</v>
      </c>
      <c r="F327">
        <v>76</v>
      </c>
      <c r="J327" s="13" t="s">
        <v>3396</v>
      </c>
      <c r="K327" s="13">
        <v>23243</v>
      </c>
      <c r="O327" t="s">
        <v>3865</v>
      </c>
      <c r="P327" t="s">
        <v>2830</v>
      </c>
    </row>
    <row r="328" spans="1:16" x14ac:dyDescent="0.25">
      <c r="A328" t="s">
        <v>3212</v>
      </c>
      <c r="B328" t="s">
        <v>1808</v>
      </c>
      <c r="C328" t="s">
        <v>3054</v>
      </c>
      <c r="D328" t="s">
        <v>3271</v>
      </c>
      <c r="E328">
        <v>24427</v>
      </c>
      <c r="F328">
        <v>67</v>
      </c>
      <c r="J328" s="13" t="s">
        <v>3986</v>
      </c>
      <c r="K328" s="13">
        <v>23655</v>
      </c>
      <c r="O328" t="s">
        <v>3653</v>
      </c>
      <c r="P328" t="s">
        <v>432</v>
      </c>
    </row>
    <row r="329" spans="1:16" x14ac:dyDescent="0.25">
      <c r="A329" t="s">
        <v>3212</v>
      </c>
      <c r="B329" t="s">
        <v>1808</v>
      </c>
      <c r="C329" t="s">
        <v>3054</v>
      </c>
      <c r="D329" t="s">
        <v>3457</v>
      </c>
      <c r="E329">
        <v>24427</v>
      </c>
      <c r="F329">
        <v>350</v>
      </c>
      <c r="J329" s="13" t="s">
        <v>3987</v>
      </c>
      <c r="K329" s="13">
        <v>23631</v>
      </c>
      <c r="O329" t="s">
        <v>6926</v>
      </c>
      <c r="P329" t="s">
        <v>697</v>
      </c>
    </row>
    <row r="330" spans="1:16" x14ac:dyDescent="0.25">
      <c r="A330" t="s">
        <v>3212</v>
      </c>
      <c r="B330" t="s">
        <v>1808</v>
      </c>
      <c r="C330" t="s">
        <v>3053</v>
      </c>
      <c r="D330" t="s">
        <v>3569</v>
      </c>
      <c r="E330">
        <v>24424</v>
      </c>
      <c r="F330">
        <v>500</v>
      </c>
      <c r="J330" s="15" t="s">
        <v>3397</v>
      </c>
      <c r="K330" s="15">
        <v>23336</v>
      </c>
      <c r="O330" t="s">
        <v>3570</v>
      </c>
      <c r="P330" t="s">
        <v>443</v>
      </c>
    </row>
    <row r="331" spans="1:16" x14ac:dyDescent="0.25">
      <c r="A331" t="s">
        <v>3212</v>
      </c>
      <c r="B331" t="s">
        <v>1808</v>
      </c>
      <c r="C331" t="s">
        <v>3053</v>
      </c>
      <c r="D331" t="s">
        <v>3269</v>
      </c>
      <c r="E331">
        <v>24424</v>
      </c>
      <c r="F331">
        <v>500</v>
      </c>
      <c r="J331" s="13" t="s">
        <v>3398</v>
      </c>
      <c r="K331" s="13">
        <v>22228</v>
      </c>
      <c r="O331" t="s">
        <v>3587</v>
      </c>
      <c r="P331" t="s">
        <v>2869</v>
      </c>
    </row>
    <row r="332" spans="1:16" x14ac:dyDescent="0.25">
      <c r="A332" t="s">
        <v>3212</v>
      </c>
      <c r="B332" t="s">
        <v>1808</v>
      </c>
      <c r="C332" t="s">
        <v>3095</v>
      </c>
      <c r="D332" t="s">
        <v>3439</v>
      </c>
      <c r="E332">
        <v>24414</v>
      </c>
      <c r="F332">
        <v>44</v>
      </c>
      <c r="J332" s="13" t="s">
        <v>3399</v>
      </c>
      <c r="K332" s="13">
        <v>22228</v>
      </c>
      <c r="O332" t="s">
        <v>3590</v>
      </c>
      <c r="P332" t="s">
        <v>460</v>
      </c>
    </row>
    <row r="333" spans="1:16" x14ac:dyDescent="0.25">
      <c r="A333" t="s">
        <v>3212</v>
      </c>
      <c r="B333" t="s">
        <v>1808</v>
      </c>
      <c r="C333" t="s">
        <v>3125</v>
      </c>
      <c r="D333" t="s">
        <v>3511</v>
      </c>
      <c r="E333">
        <v>24411</v>
      </c>
      <c r="F333">
        <v>74</v>
      </c>
      <c r="J333" s="13" t="s">
        <v>3988</v>
      </c>
      <c r="K333" s="13">
        <v>22262</v>
      </c>
      <c r="O333" t="s">
        <v>3582</v>
      </c>
      <c r="P333" t="s">
        <v>510</v>
      </c>
    </row>
    <row r="334" spans="1:16" x14ac:dyDescent="0.25">
      <c r="A334" t="s">
        <v>3212</v>
      </c>
      <c r="B334" t="s">
        <v>1808</v>
      </c>
      <c r="C334" t="s">
        <v>3125</v>
      </c>
      <c r="D334" t="s">
        <v>3512</v>
      </c>
      <c r="E334">
        <v>24411</v>
      </c>
      <c r="F334">
        <v>57</v>
      </c>
      <c r="J334" s="13" t="s">
        <v>3400</v>
      </c>
      <c r="K334" s="13">
        <v>22351</v>
      </c>
      <c r="O334" t="s">
        <v>3591</v>
      </c>
      <c r="P334" t="s">
        <v>462</v>
      </c>
    </row>
    <row r="335" spans="1:16" x14ac:dyDescent="0.25">
      <c r="A335" t="s">
        <v>3212</v>
      </c>
      <c r="B335" t="s">
        <v>1808</v>
      </c>
      <c r="C335" t="s">
        <v>335</v>
      </c>
      <c r="D335" t="s">
        <v>3444</v>
      </c>
      <c r="E335">
        <v>24377</v>
      </c>
      <c r="F335">
        <v>20</v>
      </c>
      <c r="J335" s="13" t="s">
        <v>3401</v>
      </c>
      <c r="K335" s="13">
        <v>22311</v>
      </c>
      <c r="O335" t="s">
        <v>3593</v>
      </c>
      <c r="P335" t="s">
        <v>2875</v>
      </c>
    </row>
    <row r="336" spans="1:16" x14ac:dyDescent="0.25">
      <c r="A336" t="s">
        <v>3212</v>
      </c>
      <c r="B336" t="s">
        <v>1808</v>
      </c>
      <c r="C336" t="s">
        <v>334</v>
      </c>
      <c r="D336" t="s">
        <v>3498</v>
      </c>
      <c r="E336">
        <v>24375</v>
      </c>
      <c r="F336">
        <v>109</v>
      </c>
      <c r="J336" s="13" t="s">
        <v>3989</v>
      </c>
      <c r="K336" s="13">
        <v>22757</v>
      </c>
      <c r="O336" t="s">
        <v>3595</v>
      </c>
      <c r="P336" t="s">
        <v>517</v>
      </c>
    </row>
    <row r="337" spans="1:16" x14ac:dyDescent="0.25">
      <c r="A337" t="s">
        <v>3212</v>
      </c>
      <c r="B337" t="s">
        <v>1808</v>
      </c>
      <c r="C337" t="s">
        <v>3097</v>
      </c>
      <c r="D337" t="s">
        <v>3445</v>
      </c>
      <c r="E337">
        <v>24369</v>
      </c>
      <c r="F337">
        <v>40</v>
      </c>
      <c r="J337" s="13" t="s">
        <v>3402</v>
      </c>
      <c r="K337" s="13">
        <v>22111</v>
      </c>
      <c r="O337" t="s">
        <v>3589</v>
      </c>
      <c r="P337" t="s">
        <v>2867</v>
      </c>
    </row>
    <row r="338" spans="1:16" x14ac:dyDescent="0.25">
      <c r="A338" t="s">
        <v>3212</v>
      </c>
      <c r="B338" t="s">
        <v>1808</v>
      </c>
      <c r="C338" t="s">
        <v>3168</v>
      </c>
      <c r="D338" t="s">
        <v>3665</v>
      </c>
      <c r="E338">
        <v>24365</v>
      </c>
      <c r="F338">
        <v>111</v>
      </c>
      <c r="J338" s="13" t="s">
        <v>3403</v>
      </c>
      <c r="K338" s="13">
        <v>22111</v>
      </c>
      <c r="O338" t="s">
        <v>3581</v>
      </c>
      <c r="P338" t="s">
        <v>466</v>
      </c>
    </row>
    <row r="339" spans="1:16" x14ac:dyDescent="0.25">
      <c r="A339" t="s">
        <v>3212</v>
      </c>
      <c r="B339" t="s">
        <v>1808</v>
      </c>
      <c r="C339" t="s">
        <v>3099</v>
      </c>
      <c r="D339" t="s">
        <v>3454</v>
      </c>
      <c r="E339">
        <v>24359</v>
      </c>
      <c r="F339">
        <v>94</v>
      </c>
      <c r="J339" s="17" t="s">
        <v>3990</v>
      </c>
      <c r="K339" s="13">
        <v>22797</v>
      </c>
      <c r="O339" t="s">
        <v>3588</v>
      </c>
      <c r="P339" t="s">
        <v>2867</v>
      </c>
    </row>
    <row r="340" spans="1:16" x14ac:dyDescent="0.25">
      <c r="A340" t="s">
        <v>3212</v>
      </c>
      <c r="B340" t="s">
        <v>1808</v>
      </c>
      <c r="C340" t="s">
        <v>3061</v>
      </c>
      <c r="D340" t="s">
        <v>3295</v>
      </c>
      <c r="E340">
        <v>24351</v>
      </c>
      <c r="F340">
        <v>42</v>
      </c>
      <c r="J340" s="13" t="s">
        <v>3404</v>
      </c>
      <c r="K340" s="13">
        <v>22431</v>
      </c>
      <c r="O340" t="s">
        <v>3573</v>
      </c>
      <c r="P340" t="s">
        <v>472</v>
      </c>
    </row>
    <row r="341" spans="1:16" x14ac:dyDescent="0.25">
      <c r="A341" t="s">
        <v>3212</v>
      </c>
      <c r="B341" t="s">
        <v>1808</v>
      </c>
      <c r="C341" t="s">
        <v>3102</v>
      </c>
      <c r="D341" t="s">
        <v>3458</v>
      </c>
      <c r="E341">
        <v>24349</v>
      </c>
      <c r="F341">
        <v>155</v>
      </c>
      <c r="J341" s="13" t="s">
        <v>3741</v>
      </c>
      <c r="K341" s="13">
        <v>10150</v>
      </c>
      <c r="O341" t="s">
        <v>3232</v>
      </c>
      <c r="P341" t="s">
        <v>295</v>
      </c>
    </row>
    <row r="342" spans="1:16" x14ac:dyDescent="0.25">
      <c r="A342" t="s">
        <v>3212</v>
      </c>
      <c r="B342" t="s">
        <v>1808</v>
      </c>
      <c r="C342" t="s">
        <v>3102</v>
      </c>
      <c r="D342" t="s">
        <v>3551</v>
      </c>
      <c r="E342">
        <v>24349</v>
      </c>
      <c r="F342">
        <v>90</v>
      </c>
      <c r="J342" s="13" t="s">
        <v>3742</v>
      </c>
      <c r="K342" s="13">
        <v>10310</v>
      </c>
      <c r="O342" t="s">
        <v>3576</v>
      </c>
      <c r="P342" t="s">
        <v>466</v>
      </c>
    </row>
    <row r="343" spans="1:16" x14ac:dyDescent="0.25">
      <c r="A343" t="s">
        <v>3212</v>
      </c>
      <c r="B343" t="s">
        <v>1808</v>
      </c>
      <c r="C343" t="s">
        <v>2655</v>
      </c>
      <c r="D343" t="s">
        <v>3268</v>
      </c>
      <c r="E343">
        <v>24343</v>
      </c>
      <c r="F343">
        <v>70</v>
      </c>
      <c r="J343" s="13" t="s">
        <v>3743</v>
      </c>
      <c r="K343" s="13">
        <v>10310</v>
      </c>
      <c r="O343" t="s">
        <v>3547</v>
      </c>
      <c r="P343" t="s">
        <v>415</v>
      </c>
    </row>
    <row r="344" spans="1:16" x14ac:dyDescent="0.25">
      <c r="A344" t="s">
        <v>3212</v>
      </c>
      <c r="B344" t="s">
        <v>1808</v>
      </c>
      <c r="C344" t="s">
        <v>3147</v>
      </c>
      <c r="D344" t="s">
        <v>3586</v>
      </c>
      <c r="E344">
        <v>24339</v>
      </c>
      <c r="F344">
        <v>50</v>
      </c>
      <c r="J344" s="15" t="s">
        <v>3810</v>
      </c>
      <c r="K344" s="15">
        <v>10150</v>
      </c>
      <c r="O344" t="s">
        <v>3575</v>
      </c>
      <c r="P344" t="s">
        <v>2870</v>
      </c>
    </row>
    <row r="345" spans="1:16" x14ac:dyDescent="0.25">
      <c r="A345" t="s">
        <v>3212</v>
      </c>
      <c r="B345" t="s">
        <v>1808</v>
      </c>
      <c r="C345" t="s">
        <v>3130</v>
      </c>
      <c r="D345" t="s">
        <v>3528</v>
      </c>
      <c r="E345">
        <v>24337</v>
      </c>
      <c r="F345">
        <v>127</v>
      </c>
      <c r="J345" s="13" t="s">
        <v>3744</v>
      </c>
      <c r="K345" s="13">
        <v>10350</v>
      </c>
      <c r="O345" t="s">
        <v>3578</v>
      </c>
      <c r="P345" t="s">
        <v>474</v>
      </c>
    </row>
    <row r="346" spans="1:16" x14ac:dyDescent="0.25">
      <c r="A346" t="s">
        <v>3212</v>
      </c>
      <c r="B346" t="s">
        <v>1808</v>
      </c>
      <c r="C346" t="s">
        <v>3156</v>
      </c>
      <c r="D346" t="s">
        <v>3621</v>
      </c>
      <c r="E346">
        <v>24329</v>
      </c>
      <c r="F346">
        <v>105</v>
      </c>
      <c r="J346" s="13" t="s">
        <v>3405</v>
      </c>
      <c r="K346" s="13">
        <v>23141</v>
      </c>
      <c r="O346" t="s">
        <v>3574</v>
      </c>
      <c r="P346" t="s">
        <v>2870</v>
      </c>
    </row>
    <row r="347" spans="1:16" x14ac:dyDescent="0.25">
      <c r="A347" t="s">
        <v>3212</v>
      </c>
      <c r="B347" t="s">
        <v>1808</v>
      </c>
      <c r="C347" t="s">
        <v>3100</v>
      </c>
      <c r="D347" t="s">
        <v>3455</v>
      </c>
      <c r="E347">
        <v>24323</v>
      </c>
      <c r="F347">
        <v>72</v>
      </c>
      <c r="J347" s="13" t="s">
        <v>3406</v>
      </c>
      <c r="K347" s="13">
        <v>53211</v>
      </c>
      <c r="O347" t="s">
        <v>3828</v>
      </c>
      <c r="P347" t="s">
        <v>565</v>
      </c>
    </row>
    <row r="348" spans="1:16" x14ac:dyDescent="0.25">
      <c r="A348" t="s">
        <v>3212</v>
      </c>
      <c r="B348" t="s">
        <v>1808</v>
      </c>
      <c r="C348" t="s">
        <v>2846</v>
      </c>
      <c r="D348" t="s">
        <v>3477</v>
      </c>
      <c r="E348">
        <v>24315</v>
      </c>
      <c r="F348">
        <v>18</v>
      </c>
      <c r="J348" s="13" t="s">
        <v>3407</v>
      </c>
      <c r="K348" s="13">
        <v>53214</v>
      </c>
      <c r="O348" t="s">
        <v>3363</v>
      </c>
      <c r="P348" t="s">
        <v>569</v>
      </c>
    </row>
    <row r="349" spans="1:16" x14ac:dyDescent="0.25">
      <c r="A349" t="s">
        <v>3212</v>
      </c>
      <c r="B349" t="s">
        <v>1808</v>
      </c>
      <c r="C349" t="s">
        <v>2846</v>
      </c>
      <c r="D349" t="s">
        <v>3629</v>
      </c>
      <c r="E349">
        <v>24315</v>
      </c>
      <c r="F349">
        <v>32</v>
      </c>
      <c r="J349" s="13" t="s">
        <v>3991</v>
      </c>
      <c r="K349" s="13">
        <v>53274</v>
      </c>
      <c r="O349" t="s">
        <v>3500</v>
      </c>
      <c r="P349" t="s">
        <v>179</v>
      </c>
    </row>
    <row r="350" spans="1:16" x14ac:dyDescent="0.25">
      <c r="A350" t="s">
        <v>3212</v>
      </c>
      <c r="B350" t="s">
        <v>1808</v>
      </c>
      <c r="C350" t="s">
        <v>2846</v>
      </c>
      <c r="D350" t="s">
        <v>3630</v>
      </c>
      <c r="E350">
        <v>24315</v>
      </c>
      <c r="F350">
        <v>206</v>
      </c>
      <c r="J350" s="13" t="s">
        <v>3409</v>
      </c>
      <c r="K350" s="13">
        <v>23111</v>
      </c>
      <c r="O350" t="s">
        <v>3577</v>
      </c>
      <c r="P350" t="s">
        <v>473</v>
      </c>
    </row>
    <row r="351" spans="1:16" x14ac:dyDescent="0.25">
      <c r="A351" t="s">
        <v>3212</v>
      </c>
      <c r="B351" t="s">
        <v>1808</v>
      </c>
      <c r="C351" t="s">
        <v>2846</v>
      </c>
      <c r="D351" t="s">
        <v>3698</v>
      </c>
      <c r="E351">
        <v>24315</v>
      </c>
      <c r="F351">
        <v>230</v>
      </c>
      <c r="J351" s="13" t="s">
        <v>3992</v>
      </c>
      <c r="K351" s="13">
        <v>35243</v>
      </c>
      <c r="O351" t="s">
        <v>3843</v>
      </c>
      <c r="P351" t="s">
        <v>983</v>
      </c>
    </row>
    <row r="352" spans="1:16" x14ac:dyDescent="0.25">
      <c r="A352" t="s">
        <v>3212</v>
      </c>
      <c r="B352" t="s">
        <v>1808</v>
      </c>
      <c r="C352" t="s">
        <v>1808</v>
      </c>
      <c r="D352" t="s">
        <v>3270</v>
      </c>
      <c r="E352">
        <v>24311</v>
      </c>
      <c r="F352">
        <v>68</v>
      </c>
      <c r="J352" s="13" t="s">
        <v>3410</v>
      </c>
      <c r="K352" s="13">
        <v>22228</v>
      </c>
      <c r="O352" t="s">
        <v>3550</v>
      </c>
      <c r="P352" t="s">
        <v>545</v>
      </c>
    </row>
    <row r="353" spans="1:16" x14ac:dyDescent="0.25">
      <c r="A353" t="s">
        <v>3212</v>
      </c>
      <c r="B353" t="s">
        <v>1808</v>
      </c>
      <c r="C353" t="s">
        <v>1808</v>
      </c>
      <c r="D353" t="s">
        <v>3461</v>
      </c>
      <c r="E353">
        <v>24311</v>
      </c>
      <c r="F353">
        <v>148</v>
      </c>
      <c r="J353" s="13" t="s">
        <v>3411</v>
      </c>
      <c r="K353" s="13">
        <v>35126</v>
      </c>
      <c r="O353" t="s">
        <v>3706</v>
      </c>
      <c r="P353" t="s">
        <v>2803</v>
      </c>
    </row>
    <row r="354" spans="1:16" x14ac:dyDescent="0.25">
      <c r="A354" t="s">
        <v>3212</v>
      </c>
      <c r="B354" t="s">
        <v>1808</v>
      </c>
      <c r="C354" t="s">
        <v>1808</v>
      </c>
      <c r="D354" t="s">
        <v>3600</v>
      </c>
      <c r="E354">
        <v>24311</v>
      </c>
      <c r="F354">
        <v>186</v>
      </c>
      <c r="J354" s="13" t="s">
        <v>3412</v>
      </c>
      <c r="K354" s="13">
        <v>22211</v>
      </c>
      <c r="O354" t="s">
        <v>3788</v>
      </c>
      <c r="P354" t="s">
        <v>18</v>
      </c>
    </row>
    <row r="355" spans="1:16" x14ac:dyDescent="0.25">
      <c r="A355" t="s">
        <v>3212</v>
      </c>
      <c r="B355" t="s">
        <v>1808</v>
      </c>
      <c r="C355" t="s">
        <v>1808</v>
      </c>
      <c r="D355" t="s">
        <v>3604</v>
      </c>
      <c r="E355">
        <v>24311</v>
      </c>
      <c r="F355">
        <v>80</v>
      </c>
      <c r="J355" s="13" t="s">
        <v>3413</v>
      </c>
      <c r="K355" s="13">
        <v>35171</v>
      </c>
      <c r="O355" t="s">
        <v>3806</v>
      </c>
      <c r="P355" t="s">
        <v>21</v>
      </c>
    </row>
    <row r="356" spans="1:16" x14ac:dyDescent="0.25">
      <c r="A356" t="s">
        <v>3212</v>
      </c>
      <c r="B356" t="s">
        <v>1808</v>
      </c>
      <c r="C356" t="s">
        <v>1808</v>
      </c>
      <c r="D356" t="s">
        <v>3640</v>
      </c>
      <c r="E356">
        <v>24311</v>
      </c>
      <c r="F356">
        <v>150</v>
      </c>
      <c r="J356" s="13" t="s">
        <v>3993</v>
      </c>
      <c r="K356" s="13">
        <v>35437</v>
      </c>
      <c r="O356" t="s">
        <v>3598</v>
      </c>
      <c r="P356" t="s">
        <v>2844</v>
      </c>
    </row>
    <row r="357" spans="1:16" x14ac:dyDescent="0.25">
      <c r="A357" t="s">
        <v>3212</v>
      </c>
      <c r="B357" t="s">
        <v>1808</v>
      </c>
      <c r="C357" t="s">
        <v>3101</v>
      </c>
      <c r="D357" t="s">
        <v>3456</v>
      </c>
      <c r="E357">
        <v>24259</v>
      </c>
      <c r="F357">
        <v>287</v>
      </c>
      <c r="J357" s="13" t="s">
        <v>3994</v>
      </c>
      <c r="K357" s="13">
        <v>22359</v>
      </c>
      <c r="O357" t="s">
        <v>3858</v>
      </c>
      <c r="P357" t="s">
        <v>697</v>
      </c>
    </row>
    <row r="358" spans="1:16" x14ac:dyDescent="0.25">
      <c r="A358" t="s">
        <v>3212</v>
      </c>
      <c r="B358" t="s">
        <v>1808</v>
      </c>
      <c r="C358" t="s">
        <v>3104</v>
      </c>
      <c r="D358" t="s">
        <v>3462</v>
      </c>
      <c r="E358">
        <v>24259</v>
      </c>
      <c r="F358">
        <v>210</v>
      </c>
      <c r="J358" s="13" t="s">
        <v>3995</v>
      </c>
      <c r="K358" s="13">
        <v>35149</v>
      </c>
      <c r="O358" t="s">
        <v>3844</v>
      </c>
      <c r="P358" t="s">
        <v>697</v>
      </c>
    </row>
    <row r="359" spans="1:16" x14ac:dyDescent="0.25">
      <c r="A359" t="s">
        <v>3212</v>
      </c>
      <c r="B359" t="s">
        <v>1808</v>
      </c>
      <c r="C359" t="s">
        <v>295</v>
      </c>
      <c r="D359" t="s">
        <v>3232</v>
      </c>
      <c r="E359">
        <v>24243</v>
      </c>
      <c r="F359">
        <v>106</v>
      </c>
      <c r="J359" s="13" t="s">
        <v>3996</v>
      </c>
      <c r="K359" s="13">
        <v>35429</v>
      </c>
      <c r="O359" t="s">
        <v>3350</v>
      </c>
      <c r="P359" t="s">
        <v>1274</v>
      </c>
    </row>
    <row r="360" spans="1:16" x14ac:dyDescent="0.25">
      <c r="A360" t="s">
        <v>3212</v>
      </c>
      <c r="B360" t="s">
        <v>1808</v>
      </c>
      <c r="C360" t="s">
        <v>295</v>
      </c>
      <c r="D360" t="s">
        <v>3539</v>
      </c>
      <c r="E360">
        <v>24243</v>
      </c>
      <c r="F360">
        <v>156</v>
      </c>
      <c r="J360" s="13" t="s">
        <v>3414</v>
      </c>
      <c r="K360" s="13">
        <v>32123</v>
      </c>
      <c r="O360" t="s">
        <v>3816</v>
      </c>
      <c r="P360" t="s">
        <v>21</v>
      </c>
    </row>
    <row r="361" spans="1:16" x14ac:dyDescent="0.25">
      <c r="A361" t="s">
        <v>3212</v>
      </c>
      <c r="B361" t="s">
        <v>1808</v>
      </c>
      <c r="C361" t="s">
        <v>294</v>
      </c>
      <c r="D361" t="s">
        <v>3234</v>
      </c>
      <c r="E361">
        <v>24235</v>
      </c>
      <c r="F361">
        <v>66</v>
      </c>
      <c r="J361" s="13" t="s">
        <v>3997</v>
      </c>
      <c r="K361" s="13">
        <v>55137</v>
      </c>
      <c r="O361" t="s">
        <v>3378</v>
      </c>
      <c r="P361" t="s">
        <v>2815</v>
      </c>
    </row>
    <row r="362" spans="1:16" x14ac:dyDescent="0.25">
      <c r="A362" t="s">
        <v>3212</v>
      </c>
      <c r="B362" t="s">
        <v>1808</v>
      </c>
      <c r="C362" t="s">
        <v>3035</v>
      </c>
      <c r="D362" t="s">
        <v>3235</v>
      </c>
      <c r="E362">
        <v>24211</v>
      </c>
      <c r="F362">
        <v>155</v>
      </c>
      <c r="J362" s="13" t="s">
        <v>3998</v>
      </c>
      <c r="K362" s="13">
        <v>22711</v>
      </c>
      <c r="O362" t="s">
        <v>3607</v>
      </c>
      <c r="P362" t="s">
        <v>997</v>
      </c>
    </row>
    <row r="363" spans="1:16" x14ac:dyDescent="0.25">
      <c r="A363" t="s">
        <v>3212</v>
      </c>
      <c r="B363" t="s">
        <v>1808</v>
      </c>
      <c r="C363" t="s">
        <v>3035</v>
      </c>
      <c r="D363" t="s">
        <v>3537</v>
      </c>
      <c r="E363">
        <v>24211</v>
      </c>
      <c r="F363">
        <v>34</v>
      </c>
      <c r="J363" s="13" t="s">
        <v>3415</v>
      </c>
      <c r="K363" s="13">
        <v>26229</v>
      </c>
      <c r="O363" t="s">
        <v>3785</v>
      </c>
      <c r="P363" t="s">
        <v>18</v>
      </c>
    </row>
    <row r="364" spans="1:16" x14ac:dyDescent="0.25">
      <c r="A364" t="s">
        <v>3212</v>
      </c>
      <c r="B364" t="s">
        <v>1808</v>
      </c>
      <c r="C364" t="s">
        <v>3035</v>
      </c>
      <c r="D364" t="s">
        <v>3668</v>
      </c>
      <c r="E364">
        <v>24211</v>
      </c>
      <c r="F364">
        <v>23</v>
      </c>
      <c r="J364" s="13" t="s">
        <v>3999</v>
      </c>
      <c r="K364" s="13">
        <v>53147</v>
      </c>
      <c r="O364" t="s">
        <v>3701</v>
      </c>
      <c r="P364" t="s">
        <v>59</v>
      </c>
    </row>
    <row r="365" spans="1:16" x14ac:dyDescent="0.25">
      <c r="A365" t="s">
        <v>3212</v>
      </c>
      <c r="B365" t="s">
        <v>1808</v>
      </c>
      <c r="C365" t="s">
        <v>3038</v>
      </c>
      <c r="D365" t="s">
        <v>3239</v>
      </c>
      <c r="E365">
        <v>24155</v>
      </c>
      <c r="F365">
        <v>20</v>
      </c>
      <c r="J365" s="13" t="s">
        <v>3416</v>
      </c>
      <c r="K365" s="13">
        <v>26111</v>
      </c>
      <c r="O365" t="s">
        <v>3537</v>
      </c>
      <c r="P365" t="s">
        <v>291</v>
      </c>
    </row>
    <row r="366" spans="1:16" x14ac:dyDescent="0.25">
      <c r="A366" t="s">
        <v>3212</v>
      </c>
      <c r="B366" t="s">
        <v>1808</v>
      </c>
      <c r="C366" t="s">
        <v>3038</v>
      </c>
      <c r="D366" t="s">
        <v>3446</v>
      </c>
      <c r="E366">
        <v>24155</v>
      </c>
      <c r="F366">
        <v>100</v>
      </c>
      <c r="J366" s="13" t="s">
        <v>4000</v>
      </c>
      <c r="K366" s="13">
        <v>53211</v>
      </c>
      <c r="O366" t="s">
        <v>3649</v>
      </c>
      <c r="P366" t="s">
        <v>420</v>
      </c>
    </row>
    <row r="367" spans="1:16" x14ac:dyDescent="0.25">
      <c r="A367" t="s">
        <v>3212</v>
      </c>
      <c r="B367" t="s">
        <v>1808</v>
      </c>
      <c r="C367" t="s">
        <v>3132</v>
      </c>
      <c r="D367" t="s">
        <v>3854</v>
      </c>
      <c r="E367">
        <v>24133</v>
      </c>
      <c r="F367">
        <v>232</v>
      </c>
      <c r="J367" s="13" t="s">
        <v>3417</v>
      </c>
      <c r="K367" s="13">
        <v>26111</v>
      </c>
      <c r="O367" t="s">
        <v>3835</v>
      </c>
      <c r="P367" t="s">
        <v>101</v>
      </c>
    </row>
    <row r="368" spans="1:16" x14ac:dyDescent="0.25">
      <c r="A368" t="s">
        <v>3212</v>
      </c>
      <c r="B368" t="s">
        <v>1808</v>
      </c>
      <c r="C368" t="s">
        <v>3036</v>
      </c>
      <c r="D368" t="s">
        <v>3236</v>
      </c>
      <c r="E368">
        <v>24133</v>
      </c>
      <c r="F368">
        <v>44</v>
      </c>
      <c r="J368" s="13" t="s">
        <v>4001</v>
      </c>
      <c r="K368" s="13">
        <v>53211</v>
      </c>
      <c r="O368" t="s">
        <v>3518</v>
      </c>
      <c r="P368" t="s">
        <v>2832</v>
      </c>
    </row>
    <row r="369" spans="1:16" x14ac:dyDescent="0.25">
      <c r="A369" t="s">
        <v>3212</v>
      </c>
      <c r="B369" t="s">
        <v>1808</v>
      </c>
      <c r="C369" t="s">
        <v>3132</v>
      </c>
      <c r="D369" t="s">
        <v>3538</v>
      </c>
      <c r="E369">
        <v>24133</v>
      </c>
      <c r="F369">
        <v>330</v>
      </c>
      <c r="J369" s="17" t="s">
        <v>3418</v>
      </c>
      <c r="K369" s="13">
        <v>22711</v>
      </c>
      <c r="O369" t="s">
        <v>3538</v>
      </c>
      <c r="P369" t="s">
        <v>2844</v>
      </c>
    </row>
    <row r="370" spans="1:16" x14ac:dyDescent="0.25">
      <c r="A370" t="s">
        <v>3212</v>
      </c>
      <c r="B370" t="s">
        <v>1808</v>
      </c>
      <c r="C370" t="s">
        <v>3132</v>
      </c>
      <c r="D370" t="s">
        <v>3598</v>
      </c>
      <c r="E370">
        <v>24133</v>
      </c>
      <c r="F370">
        <v>228</v>
      </c>
      <c r="J370" s="13" t="s">
        <v>4002</v>
      </c>
      <c r="K370" s="13">
        <v>53111</v>
      </c>
      <c r="O370" t="s">
        <v>6743</v>
      </c>
      <c r="P370" t="s">
        <v>547</v>
      </c>
    </row>
    <row r="371" spans="1:16" x14ac:dyDescent="0.25">
      <c r="A371" t="s">
        <v>3212</v>
      </c>
      <c r="B371" t="s">
        <v>1808</v>
      </c>
      <c r="C371" t="s">
        <v>3036</v>
      </c>
      <c r="D371" t="s">
        <v>3603</v>
      </c>
      <c r="E371">
        <v>24133</v>
      </c>
      <c r="F371">
        <v>156</v>
      </c>
      <c r="J371" s="13" t="s">
        <v>4003</v>
      </c>
      <c r="K371" s="13">
        <v>53111</v>
      </c>
      <c r="O371" t="s">
        <v>3404</v>
      </c>
      <c r="P371" t="s">
        <v>111</v>
      </c>
    </row>
    <row r="372" spans="1:16" x14ac:dyDescent="0.25">
      <c r="A372" t="s">
        <v>3212</v>
      </c>
      <c r="B372" t="s">
        <v>1808</v>
      </c>
      <c r="C372" t="s">
        <v>3038</v>
      </c>
      <c r="D372" t="s">
        <v>3639</v>
      </c>
      <c r="E372">
        <v>24111</v>
      </c>
      <c r="F372">
        <v>441</v>
      </c>
      <c r="J372" s="13" t="s">
        <v>4004</v>
      </c>
      <c r="K372" s="13">
        <v>53111</v>
      </c>
      <c r="O372" t="s">
        <v>3786</v>
      </c>
      <c r="P372" t="s">
        <v>2803</v>
      </c>
    </row>
    <row r="373" spans="1:16" x14ac:dyDescent="0.25">
      <c r="A373" t="s">
        <v>3212</v>
      </c>
      <c r="B373" t="s">
        <v>3220</v>
      </c>
      <c r="C373" t="s">
        <v>284</v>
      </c>
      <c r="D373" t="s">
        <v>3624</v>
      </c>
      <c r="E373">
        <v>23675</v>
      </c>
      <c r="F373">
        <v>62</v>
      </c>
      <c r="J373" s="13" t="s">
        <v>3419</v>
      </c>
      <c r="K373" s="13">
        <v>61119</v>
      </c>
      <c r="O373" t="s">
        <v>3427</v>
      </c>
      <c r="P373" t="s">
        <v>201</v>
      </c>
    </row>
    <row r="374" spans="1:16" x14ac:dyDescent="0.25">
      <c r="A374" t="s">
        <v>3212</v>
      </c>
      <c r="B374" t="s">
        <v>3220</v>
      </c>
      <c r="C374" t="s">
        <v>281</v>
      </c>
      <c r="D374" t="s">
        <v>3632</v>
      </c>
      <c r="E374">
        <v>23663</v>
      </c>
      <c r="F374">
        <v>108</v>
      </c>
      <c r="J374" s="13" t="s">
        <v>3420</v>
      </c>
      <c r="K374" s="13">
        <v>22111</v>
      </c>
      <c r="O374" t="s">
        <v>3343</v>
      </c>
      <c r="P374" t="s">
        <v>438</v>
      </c>
    </row>
    <row r="375" spans="1:16" x14ac:dyDescent="0.25">
      <c r="A375" t="s">
        <v>3212</v>
      </c>
      <c r="B375" t="s">
        <v>3220</v>
      </c>
      <c r="C375" t="s">
        <v>3119</v>
      </c>
      <c r="D375" t="s">
        <v>3501</v>
      </c>
      <c r="E375">
        <v>23651</v>
      </c>
      <c r="F375">
        <v>27</v>
      </c>
      <c r="J375" s="13" t="s">
        <v>3421</v>
      </c>
      <c r="K375" s="13">
        <v>61119</v>
      </c>
      <c r="O375" t="s">
        <v>3674</v>
      </c>
      <c r="P375" t="s">
        <v>438</v>
      </c>
    </row>
    <row r="376" spans="1:16" x14ac:dyDescent="0.25">
      <c r="A376" t="s">
        <v>3212</v>
      </c>
      <c r="B376" t="s">
        <v>3220</v>
      </c>
      <c r="C376" t="s">
        <v>3165</v>
      </c>
      <c r="D376" t="s">
        <v>3660</v>
      </c>
      <c r="E376">
        <v>23627</v>
      </c>
      <c r="F376">
        <v>118</v>
      </c>
      <c r="J376" s="13" t="s">
        <v>4005</v>
      </c>
      <c r="K376" s="13">
        <v>53459</v>
      </c>
      <c r="O376" t="s">
        <v>3341</v>
      </c>
      <c r="P376" t="s">
        <v>438</v>
      </c>
    </row>
    <row r="377" spans="1:16" x14ac:dyDescent="0.25">
      <c r="A377" t="s">
        <v>3212</v>
      </c>
      <c r="B377" t="s">
        <v>3220</v>
      </c>
      <c r="C377" t="s">
        <v>1783</v>
      </c>
      <c r="D377" t="s">
        <v>3287</v>
      </c>
      <c r="E377">
        <v>23625</v>
      </c>
      <c r="F377">
        <v>124</v>
      </c>
      <c r="J377" s="13" t="s">
        <v>4006</v>
      </c>
      <c r="K377" s="13">
        <v>22751</v>
      </c>
      <c r="O377" t="s">
        <v>3327</v>
      </c>
      <c r="P377" t="s">
        <v>438</v>
      </c>
    </row>
    <row r="378" spans="1:16" x14ac:dyDescent="0.25">
      <c r="A378" t="s">
        <v>3212</v>
      </c>
      <c r="B378" t="s">
        <v>3220</v>
      </c>
      <c r="C378" t="s">
        <v>1783</v>
      </c>
      <c r="D378" t="s">
        <v>3568</v>
      </c>
      <c r="E378">
        <v>23625</v>
      </c>
      <c r="F378">
        <v>130</v>
      </c>
      <c r="J378" s="13" t="s">
        <v>4007</v>
      </c>
      <c r="K378" s="13">
        <v>22611</v>
      </c>
      <c r="O378" t="s">
        <v>3412</v>
      </c>
      <c r="P378" t="s">
        <v>90</v>
      </c>
    </row>
    <row r="379" spans="1:16" x14ac:dyDescent="0.25">
      <c r="A379" t="s">
        <v>3212</v>
      </c>
      <c r="B379" t="s">
        <v>3220</v>
      </c>
      <c r="C379" t="s">
        <v>267</v>
      </c>
      <c r="D379" t="s">
        <v>3634</v>
      </c>
      <c r="E379">
        <v>23623</v>
      </c>
      <c r="F379">
        <v>72</v>
      </c>
      <c r="J379" s="17" t="s">
        <v>3422</v>
      </c>
      <c r="K379" s="13">
        <v>22797</v>
      </c>
      <c r="O379" t="s">
        <v>3407</v>
      </c>
      <c r="P379" t="s">
        <v>1088</v>
      </c>
    </row>
    <row r="380" spans="1:16" x14ac:dyDescent="0.25">
      <c r="A380" t="s">
        <v>3212</v>
      </c>
      <c r="B380" t="s">
        <v>3220</v>
      </c>
      <c r="C380" t="s">
        <v>3164</v>
      </c>
      <c r="D380" t="s">
        <v>3654</v>
      </c>
      <c r="E380">
        <v>23623</v>
      </c>
      <c r="F380">
        <v>321</v>
      </c>
      <c r="J380" s="13" t="s">
        <v>3861</v>
      </c>
      <c r="K380" s="13">
        <v>22659</v>
      </c>
      <c r="O380" t="s">
        <v>3251</v>
      </c>
      <c r="P380" t="s">
        <v>1342</v>
      </c>
    </row>
    <row r="381" spans="1:16" x14ac:dyDescent="0.25">
      <c r="A381" t="s">
        <v>3212</v>
      </c>
      <c r="B381" t="s">
        <v>3220</v>
      </c>
      <c r="C381" t="s">
        <v>266</v>
      </c>
      <c r="D381" t="s">
        <v>3392</v>
      </c>
      <c r="E381">
        <v>23588</v>
      </c>
      <c r="F381">
        <v>75</v>
      </c>
      <c r="J381" s="13" t="s">
        <v>4008</v>
      </c>
      <c r="K381" s="13">
        <v>10410</v>
      </c>
      <c r="O381" t="s">
        <v>3252</v>
      </c>
      <c r="P381" t="s">
        <v>1342</v>
      </c>
    </row>
    <row r="382" spans="1:16" x14ac:dyDescent="0.25">
      <c r="A382" t="s">
        <v>3212</v>
      </c>
      <c r="B382" t="s">
        <v>3220</v>
      </c>
      <c r="C382" t="s">
        <v>2841</v>
      </c>
      <c r="D382" t="s">
        <v>3387</v>
      </c>
      <c r="E382">
        <v>23577</v>
      </c>
      <c r="F382">
        <v>165</v>
      </c>
      <c r="J382" s="13" t="s">
        <v>3840</v>
      </c>
      <c r="K382" s="13">
        <v>10410</v>
      </c>
      <c r="O382" t="s">
        <v>3299</v>
      </c>
      <c r="P382" t="s">
        <v>1342</v>
      </c>
    </row>
    <row r="383" spans="1:16" x14ac:dyDescent="0.25">
      <c r="A383" t="s">
        <v>3212</v>
      </c>
      <c r="B383" t="s">
        <v>3220</v>
      </c>
      <c r="C383" t="s">
        <v>2840</v>
      </c>
      <c r="D383" t="s">
        <v>3390</v>
      </c>
      <c r="E383">
        <v>23566</v>
      </c>
      <c r="F383">
        <v>301</v>
      </c>
      <c r="J383" s="13" t="s">
        <v>4009</v>
      </c>
      <c r="K383" s="13">
        <v>10210</v>
      </c>
      <c r="O383" t="s">
        <v>3276</v>
      </c>
      <c r="P383" t="s">
        <v>1342</v>
      </c>
    </row>
    <row r="384" spans="1:16" x14ac:dyDescent="0.25">
      <c r="A384" t="s">
        <v>3212</v>
      </c>
      <c r="B384" t="s">
        <v>3220</v>
      </c>
      <c r="C384" t="s">
        <v>3083</v>
      </c>
      <c r="D384" t="s">
        <v>3394</v>
      </c>
      <c r="E384">
        <v>23544</v>
      </c>
      <c r="F384">
        <v>200</v>
      </c>
      <c r="J384" s="17" t="s">
        <v>3745</v>
      </c>
      <c r="K384" s="13">
        <v>10310</v>
      </c>
      <c r="O384" t="s">
        <v>3441</v>
      </c>
      <c r="P384" t="s">
        <v>2830</v>
      </c>
    </row>
    <row r="385" spans="1:16" x14ac:dyDescent="0.25">
      <c r="A385" t="s">
        <v>3212</v>
      </c>
      <c r="B385" t="s">
        <v>3220</v>
      </c>
      <c r="C385" t="s">
        <v>259</v>
      </c>
      <c r="D385" t="s">
        <v>3365</v>
      </c>
      <c r="E385">
        <v>23511</v>
      </c>
      <c r="F385">
        <v>126</v>
      </c>
      <c r="J385" s="13" t="s">
        <v>4010</v>
      </c>
      <c r="K385" s="13">
        <v>51267</v>
      </c>
      <c r="O385" t="s">
        <v>3259</v>
      </c>
      <c r="P385" t="s">
        <v>1164</v>
      </c>
    </row>
    <row r="386" spans="1:16" x14ac:dyDescent="0.25">
      <c r="A386" t="s">
        <v>3212</v>
      </c>
      <c r="B386" t="s">
        <v>3220</v>
      </c>
      <c r="C386" t="s">
        <v>259</v>
      </c>
      <c r="D386" t="s">
        <v>3656</v>
      </c>
      <c r="E386">
        <v>23511</v>
      </c>
      <c r="F386">
        <v>215</v>
      </c>
      <c r="J386" s="13" t="s">
        <v>4011</v>
      </c>
      <c r="K386" s="13">
        <v>51231</v>
      </c>
      <c r="O386" t="s">
        <v>3605</v>
      </c>
      <c r="P386" t="s">
        <v>1043</v>
      </c>
    </row>
    <row r="387" spans="1:16" x14ac:dyDescent="0.25">
      <c r="A387" t="s">
        <v>3212</v>
      </c>
      <c r="B387" t="s">
        <v>3220</v>
      </c>
      <c r="C387" t="s">
        <v>247</v>
      </c>
      <c r="D387" t="s">
        <v>3687</v>
      </c>
      <c r="E387">
        <v>23447</v>
      </c>
      <c r="F387">
        <v>58</v>
      </c>
      <c r="J387" s="13" t="s">
        <v>3423</v>
      </c>
      <c r="K387" s="13">
        <v>51281</v>
      </c>
      <c r="O387" t="s">
        <v>3584</v>
      </c>
      <c r="P387" t="s">
        <v>1043</v>
      </c>
    </row>
    <row r="388" spans="1:16" x14ac:dyDescent="0.25">
      <c r="A388" t="s">
        <v>3212</v>
      </c>
      <c r="B388" t="s">
        <v>3220</v>
      </c>
      <c r="C388" t="s">
        <v>240</v>
      </c>
      <c r="D388" t="s">
        <v>3655</v>
      </c>
      <c r="E388">
        <v>23435</v>
      </c>
      <c r="F388">
        <v>137</v>
      </c>
      <c r="J388" s="13" t="s">
        <v>3424</v>
      </c>
      <c r="K388" s="13">
        <v>22335</v>
      </c>
      <c r="O388" t="s">
        <v>3471</v>
      </c>
      <c r="P388" t="s">
        <v>1043</v>
      </c>
    </row>
    <row r="389" spans="1:16" x14ac:dyDescent="0.25">
      <c r="A389" t="s">
        <v>3212</v>
      </c>
      <c r="B389" t="s">
        <v>3220</v>
      </c>
      <c r="C389" t="s">
        <v>239</v>
      </c>
      <c r="D389" t="s">
        <v>3382</v>
      </c>
      <c r="E389">
        <v>23433</v>
      </c>
      <c r="F389">
        <v>516</v>
      </c>
      <c r="J389" s="13" t="s">
        <v>4012</v>
      </c>
      <c r="K389" s="13">
        <v>22531</v>
      </c>
      <c r="O389" t="s">
        <v>3233</v>
      </c>
      <c r="P389" t="s">
        <v>216</v>
      </c>
    </row>
    <row r="390" spans="1:16" x14ac:dyDescent="0.25">
      <c r="A390" t="s">
        <v>3212</v>
      </c>
      <c r="B390" t="s">
        <v>3220</v>
      </c>
      <c r="C390" t="s">
        <v>1751</v>
      </c>
      <c r="D390" t="s">
        <v>3383</v>
      </c>
      <c r="E390">
        <v>23423</v>
      </c>
      <c r="F390">
        <v>401</v>
      </c>
      <c r="J390" s="16" t="s">
        <v>3872</v>
      </c>
      <c r="K390" s="16">
        <v>23447</v>
      </c>
      <c r="O390" t="s">
        <v>3681</v>
      </c>
      <c r="P390" t="s">
        <v>997</v>
      </c>
    </row>
    <row r="391" spans="1:16" x14ac:dyDescent="0.25">
      <c r="A391" t="s">
        <v>3212</v>
      </c>
      <c r="B391" t="s">
        <v>3220</v>
      </c>
      <c r="C391" t="s">
        <v>3096</v>
      </c>
      <c r="D391" t="s">
        <v>3841</v>
      </c>
      <c r="E391">
        <v>23413</v>
      </c>
      <c r="F391">
        <v>308</v>
      </c>
      <c r="J391" s="13" t="s">
        <v>4013</v>
      </c>
      <c r="K391" s="13">
        <v>23259</v>
      </c>
      <c r="O391" t="s">
        <v>3666</v>
      </c>
      <c r="P391" t="s">
        <v>997</v>
      </c>
    </row>
    <row r="392" spans="1:16" x14ac:dyDescent="0.25">
      <c r="A392" t="s">
        <v>3212</v>
      </c>
      <c r="B392" t="s">
        <v>3220</v>
      </c>
      <c r="C392" t="s">
        <v>3096</v>
      </c>
      <c r="D392" t="s">
        <v>3679</v>
      </c>
      <c r="E392">
        <v>23413</v>
      </c>
      <c r="F392">
        <v>1200</v>
      </c>
      <c r="J392" s="13" t="s">
        <v>3425</v>
      </c>
      <c r="K392" s="13">
        <v>22155</v>
      </c>
      <c r="O392" t="s">
        <v>3670</v>
      </c>
      <c r="P392" t="s">
        <v>997</v>
      </c>
    </row>
    <row r="393" spans="1:16" x14ac:dyDescent="0.25">
      <c r="A393" t="s">
        <v>3212</v>
      </c>
      <c r="B393" t="s">
        <v>3220</v>
      </c>
      <c r="C393" t="s">
        <v>3096</v>
      </c>
      <c r="D393" t="s">
        <v>3440</v>
      </c>
      <c r="E393">
        <v>23411</v>
      </c>
      <c r="F393">
        <v>2492</v>
      </c>
      <c r="J393" s="13" t="s">
        <v>4014</v>
      </c>
      <c r="K393" s="13">
        <v>51267</v>
      </c>
      <c r="O393" t="s">
        <v>3564</v>
      </c>
      <c r="P393" t="s">
        <v>155</v>
      </c>
    </row>
    <row r="394" spans="1:16" x14ac:dyDescent="0.25">
      <c r="A394" t="s">
        <v>3212</v>
      </c>
      <c r="B394" t="s">
        <v>3220</v>
      </c>
      <c r="C394" t="s">
        <v>2836</v>
      </c>
      <c r="D394" t="s">
        <v>3480</v>
      </c>
      <c r="E394">
        <v>23381</v>
      </c>
      <c r="F394">
        <v>241</v>
      </c>
      <c r="J394" s="13" t="s">
        <v>3426</v>
      </c>
      <c r="K394" s="13">
        <v>22155</v>
      </c>
      <c r="O394" t="s">
        <v>3470</v>
      </c>
      <c r="P394" t="s">
        <v>1176</v>
      </c>
    </row>
    <row r="395" spans="1:16" x14ac:dyDescent="0.25">
      <c r="A395" t="s">
        <v>3212</v>
      </c>
      <c r="B395" t="s">
        <v>3220</v>
      </c>
      <c r="C395" t="s">
        <v>2836</v>
      </c>
      <c r="D395" t="s">
        <v>3515</v>
      </c>
      <c r="E395">
        <v>23381</v>
      </c>
      <c r="F395">
        <v>169</v>
      </c>
      <c r="J395" s="13" t="s">
        <v>3427</v>
      </c>
      <c r="K395" s="13">
        <v>23247</v>
      </c>
      <c r="O395" t="s">
        <v>3469</v>
      </c>
      <c r="P395" t="s">
        <v>84</v>
      </c>
    </row>
    <row r="396" spans="1:16" x14ac:dyDescent="0.25">
      <c r="A396" t="s">
        <v>3212</v>
      </c>
      <c r="B396" t="s">
        <v>3220</v>
      </c>
      <c r="C396" t="s">
        <v>3174</v>
      </c>
      <c r="D396" t="s">
        <v>3700</v>
      </c>
      <c r="E396">
        <v>23365</v>
      </c>
      <c r="F396">
        <v>296</v>
      </c>
      <c r="J396" s="13" t="s">
        <v>3428</v>
      </c>
      <c r="K396" s="13">
        <v>22419</v>
      </c>
      <c r="O396" t="s">
        <v>3528</v>
      </c>
      <c r="P396" t="s">
        <v>315</v>
      </c>
    </row>
    <row r="397" spans="1:16" x14ac:dyDescent="0.25">
      <c r="A397" t="s">
        <v>3212</v>
      </c>
      <c r="B397" t="s">
        <v>3220</v>
      </c>
      <c r="C397" t="s">
        <v>3084</v>
      </c>
      <c r="D397" t="s">
        <v>3395</v>
      </c>
      <c r="E397">
        <v>23341</v>
      </c>
      <c r="F397">
        <v>207</v>
      </c>
      <c r="J397" s="13" t="s">
        <v>4015</v>
      </c>
      <c r="K397" s="13">
        <v>23251</v>
      </c>
      <c r="O397" t="s">
        <v>3261</v>
      </c>
      <c r="P397" t="s">
        <v>1045</v>
      </c>
    </row>
    <row r="398" spans="1:16" x14ac:dyDescent="0.25">
      <c r="A398" t="s">
        <v>3212</v>
      </c>
      <c r="B398" t="s">
        <v>3220</v>
      </c>
      <c r="C398" t="s">
        <v>216</v>
      </c>
      <c r="D398" t="s">
        <v>3233</v>
      </c>
      <c r="E398">
        <v>23336</v>
      </c>
      <c r="F398">
        <v>134</v>
      </c>
      <c r="J398" s="13" t="s">
        <v>3429</v>
      </c>
      <c r="K398" s="13">
        <v>23251</v>
      </c>
      <c r="O398" t="s">
        <v>3510</v>
      </c>
      <c r="P398" t="s">
        <v>1045</v>
      </c>
    </row>
    <row r="399" spans="1:16" x14ac:dyDescent="0.25">
      <c r="A399" t="s">
        <v>3212</v>
      </c>
      <c r="B399" t="s">
        <v>3220</v>
      </c>
      <c r="C399" t="s">
        <v>216</v>
      </c>
      <c r="D399" t="s">
        <v>3397</v>
      </c>
      <c r="E399">
        <v>23336</v>
      </c>
      <c r="F399">
        <v>114</v>
      </c>
      <c r="J399" s="13" t="s">
        <v>4016</v>
      </c>
      <c r="K399" s="13">
        <v>31111</v>
      </c>
      <c r="O399" t="s">
        <v>3255</v>
      </c>
      <c r="P399" t="s">
        <v>1173</v>
      </c>
    </row>
    <row r="400" spans="1:16" x14ac:dyDescent="0.25">
      <c r="A400" t="s">
        <v>3212</v>
      </c>
      <c r="B400" t="s">
        <v>3220</v>
      </c>
      <c r="C400" t="s">
        <v>3082</v>
      </c>
      <c r="D400" t="s">
        <v>3386</v>
      </c>
      <c r="E400">
        <v>23331</v>
      </c>
      <c r="F400">
        <v>55</v>
      </c>
      <c r="J400" s="13" t="s">
        <v>4017</v>
      </c>
      <c r="K400" s="13">
        <v>23413</v>
      </c>
      <c r="O400" t="s">
        <v>3597</v>
      </c>
      <c r="P400" t="s">
        <v>1373</v>
      </c>
    </row>
    <row r="401" spans="1:16" x14ac:dyDescent="0.25">
      <c r="A401" t="s">
        <v>3212</v>
      </c>
      <c r="B401" t="s">
        <v>3220</v>
      </c>
      <c r="C401" t="s">
        <v>3082</v>
      </c>
      <c r="D401" t="s">
        <v>3518</v>
      </c>
      <c r="E401">
        <v>23331</v>
      </c>
      <c r="F401">
        <v>51</v>
      </c>
      <c r="J401" s="13" t="s">
        <v>3430</v>
      </c>
      <c r="K401" s="13">
        <v>35189</v>
      </c>
      <c r="O401" t="s">
        <v>3263</v>
      </c>
      <c r="P401" t="s">
        <v>1037</v>
      </c>
    </row>
    <row r="402" spans="1:16" x14ac:dyDescent="0.25">
      <c r="A402" t="s">
        <v>3212</v>
      </c>
      <c r="B402" t="s">
        <v>3220</v>
      </c>
      <c r="C402" t="s">
        <v>3157</v>
      </c>
      <c r="D402" t="s">
        <v>3623</v>
      </c>
      <c r="E402">
        <v>23321</v>
      </c>
      <c r="F402">
        <v>211</v>
      </c>
      <c r="J402" s="13" t="s">
        <v>4018</v>
      </c>
      <c r="K402" s="13">
        <v>35189</v>
      </c>
      <c r="O402" t="s">
        <v>3323</v>
      </c>
      <c r="P402" t="s">
        <v>587</v>
      </c>
    </row>
    <row r="403" spans="1:16" x14ac:dyDescent="0.25">
      <c r="A403" t="s">
        <v>3212</v>
      </c>
      <c r="B403" t="s">
        <v>3220</v>
      </c>
      <c r="C403" t="s">
        <v>2830</v>
      </c>
      <c r="D403" t="s">
        <v>3845</v>
      </c>
      <c r="E403">
        <v>23267</v>
      </c>
      <c r="F403">
        <v>133</v>
      </c>
      <c r="J403" s="13" t="s">
        <v>3431</v>
      </c>
      <c r="K403" s="13">
        <v>35326</v>
      </c>
      <c r="O403" t="s">
        <v>3790</v>
      </c>
      <c r="P403" t="s">
        <v>17</v>
      </c>
    </row>
    <row r="404" spans="1:16" x14ac:dyDescent="0.25">
      <c r="A404" t="s">
        <v>3212</v>
      </c>
      <c r="B404" t="s">
        <v>3220</v>
      </c>
      <c r="C404" t="s">
        <v>2830</v>
      </c>
      <c r="D404" t="s">
        <v>3865</v>
      </c>
      <c r="E404">
        <v>23267</v>
      </c>
      <c r="F404">
        <v>32</v>
      </c>
      <c r="J404" s="13" t="s">
        <v>4019</v>
      </c>
      <c r="K404" s="13">
        <v>35271</v>
      </c>
      <c r="O404" t="s">
        <v>3565</v>
      </c>
      <c r="P404" t="s">
        <v>196</v>
      </c>
    </row>
    <row r="405" spans="1:16" x14ac:dyDescent="0.25">
      <c r="A405" t="s">
        <v>3212</v>
      </c>
      <c r="B405" t="s">
        <v>3220</v>
      </c>
      <c r="C405" t="s">
        <v>2830</v>
      </c>
      <c r="D405" t="s">
        <v>3441</v>
      </c>
      <c r="E405">
        <v>23267</v>
      </c>
      <c r="F405">
        <v>144</v>
      </c>
      <c r="J405" s="13" t="s">
        <v>4020</v>
      </c>
      <c r="K405" s="13">
        <v>35314</v>
      </c>
      <c r="O405" t="s">
        <v>3486</v>
      </c>
      <c r="P405" t="s">
        <v>1171</v>
      </c>
    </row>
    <row r="406" spans="1:16" x14ac:dyDescent="0.25">
      <c r="A406" t="s">
        <v>3212</v>
      </c>
      <c r="B406" t="s">
        <v>3220</v>
      </c>
      <c r="C406" t="s">
        <v>2830</v>
      </c>
      <c r="D406" t="s">
        <v>3541</v>
      </c>
      <c r="E406">
        <v>23267</v>
      </c>
      <c r="F406">
        <v>129</v>
      </c>
      <c r="J406" s="16" t="s">
        <v>3872</v>
      </c>
      <c r="K406" s="16" t="e">
        <v>#N/A</v>
      </c>
      <c r="O406" t="s">
        <v>3382</v>
      </c>
      <c r="P406" t="s">
        <v>239</v>
      </c>
    </row>
    <row r="407" spans="1:16" x14ac:dyDescent="0.25">
      <c r="A407" t="s">
        <v>3212</v>
      </c>
      <c r="B407" t="s">
        <v>3220</v>
      </c>
      <c r="C407" t="s">
        <v>2830</v>
      </c>
      <c r="D407" t="s">
        <v>3693</v>
      </c>
      <c r="E407">
        <v>23267</v>
      </c>
      <c r="F407">
        <v>77</v>
      </c>
      <c r="J407" s="13" t="s">
        <v>4021</v>
      </c>
      <c r="K407" s="13">
        <v>37323</v>
      </c>
      <c r="O407" t="s">
        <v>3345</v>
      </c>
      <c r="P407" t="s">
        <v>951</v>
      </c>
    </row>
    <row r="408" spans="1:16" x14ac:dyDescent="0.25">
      <c r="A408" t="s">
        <v>3212</v>
      </c>
      <c r="B408" t="s">
        <v>3220</v>
      </c>
      <c r="C408" t="s">
        <v>2829</v>
      </c>
      <c r="D408" t="s">
        <v>3482</v>
      </c>
      <c r="E408">
        <v>23259</v>
      </c>
      <c r="F408">
        <v>54</v>
      </c>
      <c r="J408" s="13" t="s">
        <v>4022</v>
      </c>
      <c r="K408" s="13">
        <v>37271</v>
      </c>
      <c r="O408" t="s">
        <v>3348</v>
      </c>
      <c r="P408" t="s">
        <v>710</v>
      </c>
    </row>
    <row r="409" spans="1:16" x14ac:dyDescent="0.25">
      <c r="A409" t="s">
        <v>3212</v>
      </c>
      <c r="B409" t="s">
        <v>3220</v>
      </c>
      <c r="C409" t="s">
        <v>3172</v>
      </c>
      <c r="D409" t="s">
        <v>3672</v>
      </c>
      <c r="E409">
        <v>23255</v>
      </c>
      <c r="F409">
        <v>828</v>
      </c>
      <c r="J409" s="13" t="s">
        <v>4023</v>
      </c>
      <c r="K409" s="13">
        <v>37365</v>
      </c>
      <c r="O409" t="s">
        <v>3859</v>
      </c>
      <c r="P409" t="s">
        <v>576</v>
      </c>
    </row>
    <row r="410" spans="1:16" x14ac:dyDescent="0.25">
      <c r="A410" t="s">
        <v>3212</v>
      </c>
      <c r="B410" t="s">
        <v>3220</v>
      </c>
      <c r="C410" t="s">
        <v>202</v>
      </c>
      <c r="D410" t="s">
        <v>3688</v>
      </c>
      <c r="E410">
        <v>23251</v>
      </c>
      <c r="F410">
        <v>57</v>
      </c>
      <c r="J410" s="13" t="s">
        <v>4024</v>
      </c>
      <c r="K410" s="13">
        <v>37231</v>
      </c>
      <c r="O410" t="s">
        <v>3643</v>
      </c>
      <c r="P410" t="s">
        <v>1263</v>
      </c>
    </row>
    <row r="411" spans="1:16" x14ac:dyDescent="0.25">
      <c r="A411" t="s">
        <v>3212</v>
      </c>
      <c r="B411" t="s">
        <v>3220</v>
      </c>
      <c r="C411" t="s">
        <v>202</v>
      </c>
      <c r="D411" t="s">
        <v>3238</v>
      </c>
      <c r="E411">
        <v>23251</v>
      </c>
      <c r="F411">
        <v>162</v>
      </c>
      <c r="J411" s="13" t="s">
        <v>4025</v>
      </c>
      <c r="K411" s="13">
        <v>37343</v>
      </c>
      <c r="O411" t="s">
        <v>3414</v>
      </c>
      <c r="P411" t="s">
        <v>560</v>
      </c>
    </row>
    <row r="412" spans="1:16" x14ac:dyDescent="0.25">
      <c r="A412" t="s">
        <v>3212</v>
      </c>
      <c r="B412" t="s">
        <v>3220</v>
      </c>
      <c r="C412" t="s">
        <v>202</v>
      </c>
      <c r="D412" t="s">
        <v>3389</v>
      </c>
      <c r="E412">
        <v>23251</v>
      </c>
      <c r="F412">
        <v>76</v>
      </c>
      <c r="J412" s="13" t="s">
        <v>4026</v>
      </c>
      <c r="K412" s="13">
        <v>32155</v>
      </c>
      <c r="O412" t="s">
        <v>3673</v>
      </c>
      <c r="P412" t="s">
        <v>2865</v>
      </c>
    </row>
    <row r="413" spans="1:16" x14ac:dyDescent="0.25">
      <c r="A413" t="s">
        <v>3212</v>
      </c>
      <c r="B413" t="s">
        <v>3220</v>
      </c>
      <c r="C413" t="s">
        <v>202</v>
      </c>
      <c r="D413" t="s">
        <v>3429</v>
      </c>
      <c r="E413">
        <v>23251</v>
      </c>
      <c r="F413">
        <v>116</v>
      </c>
      <c r="J413" s="13" t="s">
        <v>4027</v>
      </c>
      <c r="K413" s="13">
        <v>23247</v>
      </c>
      <c r="O413" t="s">
        <v>3444</v>
      </c>
      <c r="P413" t="s">
        <v>335</v>
      </c>
    </row>
    <row r="414" spans="1:16" x14ac:dyDescent="0.25">
      <c r="A414" t="s">
        <v>3212</v>
      </c>
      <c r="B414" t="s">
        <v>3220</v>
      </c>
      <c r="C414" t="s">
        <v>202</v>
      </c>
      <c r="D414" t="s">
        <v>3437</v>
      </c>
      <c r="E414">
        <v>23251</v>
      </c>
      <c r="F414">
        <v>102</v>
      </c>
      <c r="J414" s="13" t="s">
        <v>4028</v>
      </c>
      <c r="K414" s="13">
        <v>31166</v>
      </c>
      <c r="O414" t="s">
        <v>3536</v>
      </c>
      <c r="P414" t="s">
        <v>84</v>
      </c>
    </row>
    <row r="415" spans="1:16" x14ac:dyDescent="0.25">
      <c r="A415" t="s">
        <v>3212</v>
      </c>
      <c r="B415" t="s">
        <v>3220</v>
      </c>
      <c r="C415" t="s">
        <v>202</v>
      </c>
      <c r="D415" t="s">
        <v>3513</v>
      </c>
      <c r="E415">
        <v>23251</v>
      </c>
      <c r="F415">
        <v>26</v>
      </c>
      <c r="J415" s="13" t="s">
        <v>4029</v>
      </c>
      <c r="K415" s="13">
        <v>31141</v>
      </c>
      <c r="O415" t="s">
        <v>3374</v>
      </c>
      <c r="P415" t="s">
        <v>614</v>
      </c>
    </row>
    <row r="416" spans="1:16" x14ac:dyDescent="0.25">
      <c r="A416" t="s">
        <v>3212</v>
      </c>
      <c r="B416" t="s">
        <v>3220</v>
      </c>
      <c r="C416" t="s">
        <v>202</v>
      </c>
      <c r="D416" t="s">
        <v>3514</v>
      </c>
      <c r="E416">
        <v>23251</v>
      </c>
      <c r="F416">
        <v>67</v>
      </c>
      <c r="J416" s="13" t="s">
        <v>4030</v>
      </c>
      <c r="K416" s="13">
        <v>63271</v>
      </c>
      <c r="O416" t="s">
        <v>3466</v>
      </c>
      <c r="P416" t="s">
        <v>1559</v>
      </c>
    </row>
    <row r="417" spans="1:16" x14ac:dyDescent="0.25">
      <c r="A417" t="s">
        <v>3212</v>
      </c>
      <c r="B417" t="s">
        <v>3220</v>
      </c>
      <c r="C417" t="s">
        <v>202</v>
      </c>
      <c r="D417" t="s">
        <v>3694</v>
      </c>
      <c r="E417">
        <v>23251</v>
      </c>
      <c r="F417">
        <v>77</v>
      </c>
      <c r="J417" s="13" t="s">
        <v>4031</v>
      </c>
      <c r="K417" s="13">
        <v>53271</v>
      </c>
      <c r="O417" t="s">
        <v>3505</v>
      </c>
      <c r="P417" t="s">
        <v>392</v>
      </c>
    </row>
    <row r="418" spans="1:16" x14ac:dyDescent="0.25">
      <c r="A418" t="s">
        <v>3212</v>
      </c>
      <c r="B418" t="s">
        <v>3220</v>
      </c>
      <c r="C418" t="s">
        <v>3093</v>
      </c>
      <c r="D418" t="s">
        <v>3427</v>
      </c>
      <c r="E418">
        <v>23247</v>
      </c>
      <c r="F418">
        <v>121</v>
      </c>
      <c r="J418" s="13" t="s">
        <v>4032</v>
      </c>
      <c r="K418" s="13">
        <v>53377</v>
      </c>
      <c r="O418" t="s">
        <v>3686</v>
      </c>
      <c r="P418" t="s">
        <v>1036</v>
      </c>
    </row>
    <row r="419" spans="1:16" x14ac:dyDescent="0.25">
      <c r="A419" t="s">
        <v>3212</v>
      </c>
      <c r="B419" t="s">
        <v>3220</v>
      </c>
      <c r="C419" t="s">
        <v>3093</v>
      </c>
      <c r="D419" t="s">
        <v>3523</v>
      </c>
      <c r="E419">
        <v>23247</v>
      </c>
      <c r="F419">
        <v>258</v>
      </c>
      <c r="J419" s="13" t="s">
        <v>3432</v>
      </c>
      <c r="K419" s="13">
        <v>63111</v>
      </c>
      <c r="O419" t="s">
        <v>3620</v>
      </c>
      <c r="P419" t="s">
        <v>75</v>
      </c>
    </row>
    <row r="420" spans="1:16" x14ac:dyDescent="0.25">
      <c r="A420" t="s">
        <v>3212</v>
      </c>
      <c r="B420" t="s">
        <v>3220</v>
      </c>
      <c r="C420" t="s">
        <v>200</v>
      </c>
      <c r="D420" t="s">
        <v>3396</v>
      </c>
      <c r="E420">
        <v>23243</v>
      </c>
      <c r="F420">
        <v>150</v>
      </c>
      <c r="J420" s="13" t="s">
        <v>4033</v>
      </c>
      <c r="K420" s="13">
        <v>51111</v>
      </c>
      <c r="O420" t="s">
        <v>3638</v>
      </c>
      <c r="P420" t="s">
        <v>2975</v>
      </c>
    </row>
    <row r="421" spans="1:16" x14ac:dyDescent="0.25">
      <c r="A421" t="s">
        <v>3212</v>
      </c>
      <c r="B421" t="s">
        <v>3220</v>
      </c>
      <c r="C421" t="s">
        <v>200</v>
      </c>
      <c r="D421" t="s">
        <v>3478</v>
      </c>
      <c r="E421">
        <v>23243</v>
      </c>
      <c r="F421">
        <v>54</v>
      </c>
      <c r="J421" s="13" t="s">
        <v>4034</v>
      </c>
      <c r="K421" s="13">
        <v>52121</v>
      </c>
      <c r="O421" t="s">
        <v>3736</v>
      </c>
      <c r="P421" t="s">
        <v>35</v>
      </c>
    </row>
    <row r="422" spans="1:16" x14ac:dyDescent="0.25">
      <c r="A422" t="s">
        <v>3212</v>
      </c>
      <c r="B422" t="s">
        <v>3220</v>
      </c>
      <c r="C422" t="s">
        <v>199</v>
      </c>
      <c r="D422" t="s">
        <v>3388</v>
      </c>
      <c r="E422">
        <v>23239</v>
      </c>
      <c r="F422">
        <v>240</v>
      </c>
      <c r="J422" s="13" t="s">
        <v>4035</v>
      </c>
      <c r="K422" s="13">
        <v>52121</v>
      </c>
      <c r="O422" t="s">
        <v>3733</v>
      </c>
      <c r="P422" t="s">
        <v>21</v>
      </c>
    </row>
    <row r="423" spans="1:16" x14ac:dyDescent="0.25">
      <c r="A423" t="s">
        <v>3212</v>
      </c>
      <c r="B423" t="s">
        <v>3220</v>
      </c>
      <c r="C423" t="s">
        <v>199</v>
      </c>
      <c r="D423" t="s">
        <v>3631</v>
      </c>
      <c r="E423">
        <v>23239</v>
      </c>
      <c r="F423">
        <v>1674</v>
      </c>
      <c r="J423" s="13" t="s">
        <v>3433</v>
      </c>
      <c r="K423" s="13">
        <v>62111</v>
      </c>
      <c r="O423" t="s">
        <v>3358</v>
      </c>
      <c r="P423" t="s">
        <v>567</v>
      </c>
    </row>
    <row r="424" spans="1:16" x14ac:dyDescent="0.25">
      <c r="A424" t="s">
        <v>3212</v>
      </c>
      <c r="B424" t="s">
        <v>3220</v>
      </c>
      <c r="C424" t="s">
        <v>196</v>
      </c>
      <c r="D424" t="s">
        <v>3565</v>
      </c>
      <c r="E424">
        <v>23231</v>
      </c>
      <c r="F424">
        <v>278</v>
      </c>
      <c r="J424" s="13" t="s">
        <v>3434</v>
      </c>
      <c r="K424" s="13">
        <v>62111</v>
      </c>
      <c r="O424" t="s">
        <v>3347</v>
      </c>
      <c r="P424" t="s">
        <v>567</v>
      </c>
    </row>
    <row r="425" spans="1:16" x14ac:dyDescent="0.25">
      <c r="A425" t="s">
        <v>3212</v>
      </c>
      <c r="B425" t="s">
        <v>3220</v>
      </c>
      <c r="C425" t="s">
        <v>196</v>
      </c>
      <c r="D425" t="s">
        <v>3566</v>
      </c>
      <c r="E425">
        <v>23231</v>
      </c>
      <c r="F425">
        <v>194</v>
      </c>
      <c r="J425" s="13" t="s">
        <v>3435</v>
      </c>
      <c r="K425" s="13">
        <v>62111</v>
      </c>
      <c r="O425" t="s">
        <v>3297</v>
      </c>
      <c r="P425" t="s">
        <v>1373</v>
      </c>
    </row>
    <row r="426" spans="1:16" x14ac:dyDescent="0.25">
      <c r="A426" t="s">
        <v>3212</v>
      </c>
      <c r="B426" t="s">
        <v>3220</v>
      </c>
      <c r="C426" t="s">
        <v>196</v>
      </c>
      <c r="D426" t="s">
        <v>3567</v>
      </c>
      <c r="E426">
        <v>23231</v>
      </c>
      <c r="F426">
        <v>260</v>
      </c>
      <c r="J426" s="13" t="s">
        <v>3436</v>
      </c>
      <c r="K426" s="13">
        <v>23111</v>
      </c>
      <c r="O426" t="s">
        <v>3773</v>
      </c>
      <c r="P426" t="s">
        <v>21</v>
      </c>
    </row>
    <row r="427" spans="1:16" x14ac:dyDescent="0.25">
      <c r="A427" t="s">
        <v>3212</v>
      </c>
      <c r="B427" t="s">
        <v>3220</v>
      </c>
      <c r="C427" t="s">
        <v>2830</v>
      </c>
      <c r="D427" t="s">
        <v>3848</v>
      </c>
      <c r="E427">
        <v>23231</v>
      </c>
      <c r="F427">
        <v>244</v>
      </c>
      <c r="J427" s="13" t="s">
        <v>3746</v>
      </c>
      <c r="K427" s="13">
        <v>10650</v>
      </c>
      <c r="O427" t="s">
        <v>3694</v>
      </c>
      <c r="P427" t="s">
        <v>202</v>
      </c>
    </row>
    <row r="428" spans="1:16" x14ac:dyDescent="0.25">
      <c r="A428" t="s">
        <v>3212</v>
      </c>
      <c r="B428" t="s">
        <v>3220</v>
      </c>
      <c r="C428" t="s">
        <v>3094</v>
      </c>
      <c r="D428" t="s">
        <v>3438</v>
      </c>
      <c r="E428">
        <v>23227</v>
      </c>
      <c r="F428">
        <v>80</v>
      </c>
      <c r="J428" s="17" t="s">
        <v>3437</v>
      </c>
      <c r="K428" s="13">
        <v>23251</v>
      </c>
      <c r="O428" t="s">
        <v>3474</v>
      </c>
      <c r="P428" t="s">
        <v>1044</v>
      </c>
    </row>
    <row r="429" spans="1:16" x14ac:dyDescent="0.25">
      <c r="A429" t="s">
        <v>3212</v>
      </c>
      <c r="B429" t="s">
        <v>3220</v>
      </c>
      <c r="C429" t="s">
        <v>3094</v>
      </c>
      <c r="D429" t="s">
        <v>3451</v>
      </c>
      <c r="E429">
        <v>23227</v>
      </c>
      <c r="F429">
        <v>205</v>
      </c>
      <c r="J429" s="13" t="s">
        <v>4036</v>
      </c>
      <c r="K429" s="13">
        <v>53433</v>
      </c>
      <c r="O429" t="s">
        <v>3596</v>
      </c>
      <c r="P429" t="s">
        <v>517</v>
      </c>
    </row>
    <row r="430" spans="1:16" x14ac:dyDescent="0.25">
      <c r="A430" t="s">
        <v>3212</v>
      </c>
      <c r="B430" t="s">
        <v>3220</v>
      </c>
      <c r="C430" t="s">
        <v>3094</v>
      </c>
      <c r="D430" t="s">
        <v>3695</v>
      </c>
      <c r="E430">
        <v>23227</v>
      </c>
      <c r="F430">
        <v>50</v>
      </c>
      <c r="J430" s="13" t="s">
        <v>4037</v>
      </c>
      <c r="K430" s="13">
        <v>37339</v>
      </c>
      <c r="O430" t="s">
        <v>3435</v>
      </c>
      <c r="P430" t="s">
        <v>1267</v>
      </c>
    </row>
    <row r="431" spans="1:16" x14ac:dyDescent="0.25">
      <c r="A431" t="s">
        <v>3212</v>
      </c>
      <c r="B431" t="s">
        <v>3220</v>
      </c>
      <c r="C431" t="s">
        <v>3094</v>
      </c>
      <c r="D431" t="s">
        <v>3696</v>
      </c>
      <c r="E431">
        <v>23227</v>
      </c>
      <c r="F431">
        <v>382</v>
      </c>
      <c r="J431" s="13" t="s">
        <v>4038</v>
      </c>
      <c r="K431" s="13">
        <v>52121</v>
      </c>
      <c r="O431" t="s">
        <v>3475</v>
      </c>
      <c r="P431" t="s">
        <v>994</v>
      </c>
    </row>
    <row r="432" spans="1:16" x14ac:dyDescent="0.25">
      <c r="A432" t="s">
        <v>3212</v>
      </c>
      <c r="B432" t="s">
        <v>3220</v>
      </c>
      <c r="C432" t="s">
        <v>193</v>
      </c>
      <c r="D432" t="s">
        <v>3393</v>
      </c>
      <c r="E432">
        <v>23219</v>
      </c>
      <c r="F432">
        <v>212</v>
      </c>
      <c r="J432" s="13" t="s">
        <v>4039</v>
      </c>
      <c r="K432" s="13">
        <v>51231</v>
      </c>
      <c r="O432" t="s">
        <v>3777</v>
      </c>
      <c r="P432" t="s">
        <v>2803</v>
      </c>
    </row>
    <row r="433" spans="1:16" x14ac:dyDescent="0.25">
      <c r="A433" t="s">
        <v>3212</v>
      </c>
      <c r="B433" t="s">
        <v>3220</v>
      </c>
      <c r="C433" t="s">
        <v>1715</v>
      </c>
      <c r="D433" t="s">
        <v>3391</v>
      </c>
      <c r="E433">
        <v>23215</v>
      </c>
      <c r="F433">
        <v>383</v>
      </c>
      <c r="J433" s="13" t="s">
        <v>4040</v>
      </c>
      <c r="K433" s="13">
        <v>32171</v>
      </c>
      <c r="O433" t="s">
        <v>3826</v>
      </c>
      <c r="P433" t="s">
        <v>20</v>
      </c>
    </row>
    <row r="434" spans="1:16" x14ac:dyDescent="0.25">
      <c r="A434" t="s">
        <v>3212</v>
      </c>
      <c r="B434" t="s">
        <v>3220</v>
      </c>
      <c r="C434" t="s">
        <v>1715</v>
      </c>
      <c r="D434" t="s">
        <v>3563</v>
      </c>
      <c r="E434">
        <v>23215</v>
      </c>
      <c r="F434">
        <v>113</v>
      </c>
      <c r="J434" s="13" t="s">
        <v>4041</v>
      </c>
      <c r="K434" s="13">
        <v>23215</v>
      </c>
      <c r="O434" t="s">
        <v>3483</v>
      </c>
      <c r="P434" t="s">
        <v>108</v>
      </c>
    </row>
    <row r="435" spans="1:16" x14ac:dyDescent="0.25">
      <c r="A435" t="s">
        <v>3212</v>
      </c>
      <c r="B435" t="s">
        <v>3220</v>
      </c>
      <c r="C435" t="s">
        <v>191</v>
      </c>
      <c r="D435" t="s">
        <v>3384</v>
      </c>
      <c r="E435">
        <v>23211</v>
      </c>
      <c r="F435">
        <v>358</v>
      </c>
      <c r="J435" s="13" t="s">
        <v>4042</v>
      </c>
      <c r="K435" s="13">
        <v>51267</v>
      </c>
      <c r="O435" t="s">
        <v>3316</v>
      </c>
      <c r="P435" t="s">
        <v>1192</v>
      </c>
    </row>
    <row r="436" spans="1:16" x14ac:dyDescent="0.25">
      <c r="A436" t="s">
        <v>3212</v>
      </c>
      <c r="B436" t="s">
        <v>3220</v>
      </c>
      <c r="C436" t="s">
        <v>191</v>
      </c>
      <c r="D436" t="s">
        <v>3553</v>
      </c>
      <c r="E436">
        <v>23211</v>
      </c>
      <c r="F436">
        <v>117</v>
      </c>
      <c r="J436" s="13" t="s">
        <v>3438</v>
      </c>
      <c r="K436" s="13">
        <v>23227</v>
      </c>
      <c r="O436" t="s">
        <v>3652</v>
      </c>
      <c r="P436" t="s">
        <v>383</v>
      </c>
    </row>
    <row r="437" spans="1:16" x14ac:dyDescent="0.25">
      <c r="A437" t="s">
        <v>3212</v>
      </c>
      <c r="B437" t="s">
        <v>3220</v>
      </c>
      <c r="C437" t="s">
        <v>191</v>
      </c>
      <c r="D437" t="s">
        <v>3572</v>
      </c>
      <c r="E437">
        <v>23211</v>
      </c>
      <c r="F437">
        <v>44</v>
      </c>
      <c r="J437" s="13" t="s">
        <v>3439</v>
      </c>
      <c r="K437" s="13">
        <v>24414</v>
      </c>
      <c r="O437" t="s">
        <v>3482</v>
      </c>
      <c r="P437" t="s">
        <v>2829</v>
      </c>
    </row>
    <row r="438" spans="1:16" x14ac:dyDescent="0.25">
      <c r="A438" t="s">
        <v>3212</v>
      </c>
      <c r="B438" t="s">
        <v>3220</v>
      </c>
      <c r="C438" t="s">
        <v>191</v>
      </c>
      <c r="D438" t="s">
        <v>3692</v>
      </c>
      <c r="E438">
        <v>23211</v>
      </c>
      <c r="F438">
        <v>19</v>
      </c>
      <c r="J438" s="13" t="s">
        <v>3440</v>
      </c>
      <c r="K438" s="13">
        <v>23411</v>
      </c>
      <c r="O438" t="s">
        <v>3601</v>
      </c>
      <c r="P438" t="s">
        <v>31</v>
      </c>
    </row>
    <row r="439" spans="1:16" x14ac:dyDescent="0.25">
      <c r="A439" t="s">
        <v>3212</v>
      </c>
      <c r="B439" t="s">
        <v>3220</v>
      </c>
      <c r="C439" t="s">
        <v>191</v>
      </c>
      <c r="D439" t="s">
        <v>3842</v>
      </c>
      <c r="E439">
        <v>23211</v>
      </c>
      <c r="F439">
        <v>151</v>
      </c>
      <c r="J439" s="13" t="s">
        <v>3441</v>
      </c>
      <c r="K439" s="13">
        <v>23267</v>
      </c>
      <c r="O439" t="s">
        <v>3749</v>
      </c>
      <c r="P439" t="s">
        <v>22</v>
      </c>
    </row>
    <row r="440" spans="1:16" x14ac:dyDescent="0.25">
      <c r="A440" t="s">
        <v>3212</v>
      </c>
      <c r="B440" t="s">
        <v>3220</v>
      </c>
      <c r="C440" t="s">
        <v>2827</v>
      </c>
      <c r="D440" t="s">
        <v>3405</v>
      </c>
      <c r="E440">
        <v>23141</v>
      </c>
      <c r="F440">
        <v>303</v>
      </c>
      <c r="J440" s="13" t="s">
        <v>3442</v>
      </c>
      <c r="K440" s="13">
        <v>32147</v>
      </c>
      <c r="O440" t="s">
        <v>3625</v>
      </c>
      <c r="P440" t="s">
        <v>1267</v>
      </c>
    </row>
    <row r="441" spans="1:16" x14ac:dyDescent="0.25">
      <c r="A441" t="s">
        <v>3212</v>
      </c>
      <c r="B441" t="s">
        <v>3220</v>
      </c>
      <c r="C441" t="s">
        <v>188</v>
      </c>
      <c r="D441" t="s">
        <v>3409</v>
      </c>
      <c r="E441">
        <v>23111</v>
      </c>
      <c r="F441">
        <v>139</v>
      </c>
      <c r="J441" s="13" t="s">
        <v>4043</v>
      </c>
      <c r="K441" s="13">
        <v>32179</v>
      </c>
      <c r="O441" t="s">
        <v>3861</v>
      </c>
      <c r="P441" t="s">
        <v>154</v>
      </c>
    </row>
    <row r="442" spans="1:16" x14ac:dyDescent="0.25">
      <c r="A442" t="s">
        <v>3212</v>
      </c>
      <c r="B442" t="s">
        <v>3220</v>
      </c>
      <c r="C442" t="s">
        <v>188</v>
      </c>
      <c r="D442" t="s">
        <v>3436</v>
      </c>
      <c r="E442">
        <v>23111</v>
      </c>
      <c r="F442">
        <v>87</v>
      </c>
      <c r="J442" s="13" t="s">
        <v>3443</v>
      </c>
      <c r="K442" s="13">
        <v>55151</v>
      </c>
      <c r="O442" t="s">
        <v>3750</v>
      </c>
      <c r="P442" t="s">
        <v>2803</v>
      </c>
    </row>
    <row r="443" spans="1:16" x14ac:dyDescent="0.25">
      <c r="A443" t="s">
        <v>3212</v>
      </c>
      <c r="B443" t="s">
        <v>3220</v>
      </c>
      <c r="C443" t="s">
        <v>3093</v>
      </c>
      <c r="E443">
        <v>23011</v>
      </c>
      <c r="F443">
        <v>246</v>
      </c>
      <c r="J443" s="13" t="s">
        <v>4044</v>
      </c>
      <c r="K443" s="13">
        <v>51267</v>
      </c>
      <c r="O443" t="s">
        <v>3803</v>
      </c>
      <c r="P443" t="s">
        <v>22</v>
      </c>
    </row>
    <row r="444" spans="1:16" x14ac:dyDescent="0.25">
      <c r="A444" t="s">
        <v>3212</v>
      </c>
      <c r="B444" t="s">
        <v>3224</v>
      </c>
      <c r="C444" t="s">
        <v>186</v>
      </c>
      <c r="D444" t="s">
        <v>3422</v>
      </c>
      <c r="E444">
        <v>22797</v>
      </c>
      <c r="F444">
        <v>199</v>
      </c>
      <c r="J444" s="13" t="s">
        <v>4045</v>
      </c>
      <c r="K444" s="13">
        <v>35432</v>
      </c>
      <c r="O444" t="s">
        <v>3462</v>
      </c>
      <c r="P444" t="s">
        <v>297</v>
      </c>
    </row>
    <row r="445" spans="1:16" x14ac:dyDescent="0.25">
      <c r="A445" t="s">
        <v>3212</v>
      </c>
      <c r="B445" t="s">
        <v>3224</v>
      </c>
      <c r="C445" t="s">
        <v>3118</v>
      </c>
      <c r="D445" t="s">
        <v>3500</v>
      </c>
      <c r="E445">
        <v>22774</v>
      </c>
      <c r="F445">
        <v>197</v>
      </c>
      <c r="J445" s="13" t="s">
        <v>3444</v>
      </c>
      <c r="K445" s="13">
        <v>24377</v>
      </c>
      <c r="O445" t="s">
        <v>3715</v>
      </c>
      <c r="P445" t="s">
        <v>22</v>
      </c>
    </row>
    <row r="446" spans="1:16" x14ac:dyDescent="0.25">
      <c r="A446" t="s">
        <v>3212</v>
      </c>
      <c r="B446" t="s">
        <v>3224</v>
      </c>
      <c r="C446" t="s">
        <v>3107</v>
      </c>
      <c r="D446" t="s">
        <v>3467</v>
      </c>
      <c r="E446">
        <v>22754</v>
      </c>
      <c r="F446">
        <v>51</v>
      </c>
      <c r="J446" s="13" t="s">
        <v>4046</v>
      </c>
      <c r="K446" s="13">
        <v>24319</v>
      </c>
      <c r="O446" t="s">
        <v>3281</v>
      </c>
      <c r="P446" t="s">
        <v>2965</v>
      </c>
    </row>
    <row r="447" spans="1:16" x14ac:dyDescent="0.25">
      <c r="A447" t="s">
        <v>3212</v>
      </c>
      <c r="B447" t="s">
        <v>3224</v>
      </c>
      <c r="C447" t="s">
        <v>3107</v>
      </c>
      <c r="D447" t="s">
        <v>3493</v>
      </c>
      <c r="E447">
        <v>22754</v>
      </c>
      <c r="F447">
        <v>123</v>
      </c>
      <c r="J447" s="13" t="s">
        <v>4047</v>
      </c>
      <c r="K447" s="13">
        <v>53221</v>
      </c>
      <c r="O447" t="s">
        <v>3248</v>
      </c>
      <c r="P447" t="s">
        <v>2965</v>
      </c>
    </row>
    <row r="448" spans="1:16" x14ac:dyDescent="0.25">
      <c r="A448" t="s">
        <v>3212</v>
      </c>
      <c r="B448" t="s">
        <v>3224</v>
      </c>
      <c r="C448" t="s">
        <v>166</v>
      </c>
      <c r="D448" t="s">
        <v>3545</v>
      </c>
      <c r="E448">
        <v>22733</v>
      </c>
      <c r="F448">
        <v>250</v>
      </c>
      <c r="J448" s="13" t="s">
        <v>3445</v>
      </c>
      <c r="K448" s="13">
        <v>24369</v>
      </c>
      <c r="O448" t="s">
        <v>3659</v>
      </c>
      <c r="P448" t="s">
        <v>2965</v>
      </c>
    </row>
    <row r="449" spans="1:16" x14ac:dyDescent="0.25">
      <c r="A449" t="s">
        <v>3212</v>
      </c>
      <c r="B449" t="s">
        <v>3224</v>
      </c>
      <c r="C449" t="s">
        <v>3091</v>
      </c>
      <c r="D449" t="s">
        <v>3418</v>
      </c>
      <c r="E449">
        <v>22711</v>
      </c>
      <c r="F449">
        <v>104</v>
      </c>
      <c r="J449" s="13" t="s">
        <v>4048</v>
      </c>
      <c r="K449" s="13">
        <v>35155</v>
      </c>
      <c r="O449" t="s">
        <v>3704</v>
      </c>
      <c r="P449" t="s">
        <v>1011</v>
      </c>
    </row>
    <row r="450" spans="1:16" x14ac:dyDescent="0.25">
      <c r="A450" t="s">
        <v>3212</v>
      </c>
      <c r="B450" t="s">
        <v>3224</v>
      </c>
      <c r="C450" t="s">
        <v>3141</v>
      </c>
      <c r="D450" t="s">
        <v>3564</v>
      </c>
      <c r="E450">
        <v>22667</v>
      </c>
      <c r="F450">
        <v>35</v>
      </c>
      <c r="J450" s="13" t="s">
        <v>3446</v>
      </c>
      <c r="K450" s="13">
        <v>24155</v>
      </c>
      <c r="O450" t="s">
        <v>3772</v>
      </c>
      <c r="P450" t="s">
        <v>21</v>
      </c>
    </row>
    <row r="451" spans="1:16" x14ac:dyDescent="0.25">
      <c r="A451" t="s">
        <v>3212</v>
      </c>
      <c r="B451" t="s">
        <v>3224</v>
      </c>
      <c r="C451" t="s">
        <v>154</v>
      </c>
      <c r="D451" t="s">
        <v>3861</v>
      </c>
      <c r="E451">
        <v>22659</v>
      </c>
      <c r="F451">
        <v>89</v>
      </c>
      <c r="J451" s="13" t="s">
        <v>4049</v>
      </c>
      <c r="K451" s="13">
        <v>25126</v>
      </c>
      <c r="O451" t="s">
        <v>3569</v>
      </c>
      <c r="P451" t="s">
        <v>340</v>
      </c>
    </row>
    <row r="452" spans="1:16" x14ac:dyDescent="0.25">
      <c r="A452" t="s">
        <v>3212</v>
      </c>
      <c r="B452" t="s">
        <v>3224</v>
      </c>
      <c r="C452" t="s">
        <v>3087</v>
      </c>
      <c r="D452" t="s">
        <v>3404</v>
      </c>
      <c r="E452">
        <v>22431</v>
      </c>
      <c r="F452">
        <v>68</v>
      </c>
      <c r="J452" s="13" t="s">
        <v>4050</v>
      </c>
      <c r="K452" s="13">
        <v>35512</v>
      </c>
      <c r="O452" t="s">
        <v>3269</v>
      </c>
      <c r="P452" t="s">
        <v>340</v>
      </c>
    </row>
    <row r="453" spans="1:16" x14ac:dyDescent="0.25">
      <c r="A453" t="s">
        <v>3212</v>
      </c>
      <c r="B453" t="s">
        <v>3224</v>
      </c>
      <c r="C453" t="s">
        <v>3139</v>
      </c>
      <c r="D453" t="s">
        <v>3559</v>
      </c>
      <c r="E453">
        <v>22423</v>
      </c>
      <c r="F453">
        <v>163</v>
      </c>
      <c r="J453" s="13" t="s">
        <v>4051</v>
      </c>
      <c r="K453" s="13">
        <v>35453</v>
      </c>
      <c r="O453" t="s">
        <v>3258</v>
      </c>
      <c r="P453" t="s">
        <v>1182</v>
      </c>
    </row>
    <row r="454" spans="1:16" x14ac:dyDescent="0.25">
      <c r="A454" t="s">
        <v>3212</v>
      </c>
      <c r="B454" t="s">
        <v>3224</v>
      </c>
      <c r="C454" t="s">
        <v>108</v>
      </c>
      <c r="D454" t="s">
        <v>3428</v>
      </c>
      <c r="E454">
        <v>22419</v>
      </c>
      <c r="F454">
        <v>113</v>
      </c>
      <c r="J454" s="13" t="s">
        <v>3447</v>
      </c>
      <c r="K454" s="13">
        <v>51227</v>
      </c>
      <c r="O454" t="s">
        <v>3499</v>
      </c>
      <c r="P454" t="s">
        <v>2935</v>
      </c>
    </row>
    <row r="455" spans="1:16" x14ac:dyDescent="0.25">
      <c r="A455" t="s">
        <v>3212</v>
      </c>
      <c r="B455" t="s">
        <v>3224</v>
      </c>
      <c r="C455" t="s">
        <v>108</v>
      </c>
      <c r="D455" t="s">
        <v>3483</v>
      </c>
      <c r="E455">
        <v>22419</v>
      </c>
      <c r="F455">
        <v>222</v>
      </c>
      <c r="J455" s="13" t="s">
        <v>3448</v>
      </c>
      <c r="K455" s="13">
        <v>52254</v>
      </c>
      <c r="O455" t="s">
        <v>3301</v>
      </c>
      <c r="P455" t="s">
        <v>106</v>
      </c>
    </row>
    <row r="456" spans="1:16" x14ac:dyDescent="0.25">
      <c r="A456" t="s">
        <v>3212</v>
      </c>
      <c r="B456" t="s">
        <v>3224</v>
      </c>
      <c r="C456" t="s">
        <v>3062</v>
      </c>
      <c r="D456" t="s">
        <v>3301</v>
      </c>
      <c r="E456">
        <v>22411</v>
      </c>
      <c r="F456">
        <v>138</v>
      </c>
      <c r="J456" s="13" t="s">
        <v>3449</v>
      </c>
      <c r="K456" s="13">
        <v>52254</v>
      </c>
      <c r="O456" t="s">
        <v>3813</v>
      </c>
      <c r="P456" t="s">
        <v>2803</v>
      </c>
    </row>
    <row r="457" spans="1:16" x14ac:dyDescent="0.25">
      <c r="A457" t="s">
        <v>3212</v>
      </c>
      <c r="B457" t="s">
        <v>3224</v>
      </c>
      <c r="C457" t="s">
        <v>3203</v>
      </c>
      <c r="D457" t="s">
        <v>3834</v>
      </c>
      <c r="E457">
        <v>22359</v>
      </c>
      <c r="F457">
        <v>335</v>
      </c>
      <c r="J457" s="16" t="s">
        <v>3872</v>
      </c>
      <c r="K457" s="16">
        <v>52221</v>
      </c>
      <c r="O457" t="s">
        <v>3762</v>
      </c>
      <c r="P457" t="s">
        <v>2803</v>
      </c>
    </row>
    <row r="458" spans="1:16" x14ac:dyDescent="0.25">
      <c r="A458" t="s">
        <v>3212</v>
      </c>
      <c r="B458" t="s">
        <v>3224</v>
      </c>
      <c r="C458" t="s">
        <v>3203</v>
      </c>
      <c r="D458" t="s">
        <v>3835</v>
      </c>
      <c r="E458">
        <v>22359</v>
      </c>
      <c r="F458">
        <v>198</v>
      </c>
      <c r="J458" s="13" t="s">
        <v>3451</v>
      </c>
      <c r="K458" s="13">
        <v>23227</v>
      </c>
      <c r="O458" t="s">
        <v>3698</v>
      </c>
      <c r="P458" t="s">
        <v>2846</v>
      </c>
    </row>
    <row r="459" spans="1:16" x14ac:dyDescent="0.25">
      <c r="A459" t="s">
        <v>3212</v>
      </c>
      <c r="B459" t="s">
        <v>3224</v>
      </c>
      <c r="C459" t="s">
        <v>3203</v>
      </c>
      <c r="D459" t="s">
        <v>3836</v>
      </c>
      <c r="E459">
        <v>22359</v>
      </c>
      <c r="F459">
        <v>420</v>
      </c>
      <c r="J459" s="13" t="s">
        <v>4052</v>
      </c>
      <c r="K459" s="13">
        <v>24351</v>
      </c>
      <c r="O459" t="s">
        <v>3840</v>
      </c>
      <c r="P459" t="s">
        <v>23</v>
      </c>
    </row>
    <row r="460" spans="1:16" x14ac:dyDescent="0.25">
      <c r="A460" t="s">
        <v>3212</v>
      </c>
      <c r="B460" t="s">
        <v>3224</v>
      </c>
      <c r="C460" t="s">
        <v>100</v>
      </c>
      <c r="D460" t="s">
        <v>3400</v>
      </c>
      <c r="E460">
        <v>22351</v>
      </c>
      <c r="F460">
        <v>164</v>
      </c>
      <c r="J460" s="13" t="s">
        <v>4053</v>
      </c>
      <c r="K460" s="13">
        <v>24351</v>
      </c>
      <c r="O460" t="s">
        <v>3613</v>
      </c>
      <c r="P460" t="s">
        <v>1110</v>
      </c>
    </row>
    <row r="461" spans="1:16" x14ac:dyDescent="0.25">
      <c r="A461" t="s">
        <v>3212</v>
      </c>
      <c r="B461" t="s">
        <v>3224</v>
      </c>
      <c r="C461" t="s">
        <v>95</v>
      </c>
      <c r="D461" t="s">
        <v>3424</v>
      </c>
      <c r="E461">
        <v>22335</v>
      </c>
      <c r="F461">
        <v>153</v>
      </c>
      <c r="J461" s="13" t="s">
        <v>4054</v>
      </c>
      <c r="K461" s="13">
        <v>31111</v>
      </c>
      <c r="O461" t="s">
        <v>3683</v>
      </c>
      <c r="P461" t="s">
        <v>3028</v>
      </c>
    </row>
    <row r="462" spans="1:16" x14ac:dyDescent="0.25">
      <c r="A462" t="s">
        <v>3212</v>
      </c>
      <c r="B462" t="s">
        <v>3224</v>
      </c>
      <c r="C462" t="s">
        <v>95</v>
      </c>
      <c r="D462" t="s">
        <v>3401</v>
      </c>
      <c r="E462">
        <v>22311</v>
      </c>
      <c r="F462">
        <v>52</v>
      </c>
      <c r="J462" s="13" t="s">
        <v>4055</v>
      </c>
      <c r="K462" s="13">
        <v>37241</v>
      </c>
      <c r="O462" t="s">
        <v>3293</v>
      </c>
      <c r="P462" t="s">
        <v>3028</v>
      </c>
    </row>
    <row r="463" spans="1:16" x14ac:dyDescent="0.25">
      <c r="A463" t="s">
        <v>3212</v>
      </c>
      <c r="B463" t="s">
        <v>3224</v>
      </c>
      <c r="C463" t="s">
        <v>3134</v>
      </c>
      <c r="D463" t="s">
        <v>3542</v>
      </c>
      <c r="E463">
        <v>22311</v>
      </c>
      <c r="F463">
        <v>41</v>
      </c>
      <c r="J463" s="13" t="s">
        <v>3452</v>
      </c>
      <c r="K463" s="13">
        <v>31111</v>
      </c>
      <c r="O463" t="s">
        <v>3346</v>
      </c>
      <c r="P463" t="s">
        <v>959</v>
      </c>
    </row>
    <row r="464" spans="1:16" x14ac:dyDescent="0.25">
      <c r="A464" t="s">
        <v>3212</v>
      </c>
      <c r="B464" t="s">
        <v>3224</v>
      </c>
      <c r="C464" t="s">
        <v>95</v>
      </c>
      <c r="D464" t="s">
        <v>3557</v>
      </c>
      <c r="E464">
        <v>22311</v>
      </c>
      <c r="F464">
        <v>48</v>
      </c>
      <c r="J464" s="13" t="s">
        <v>4056</v>
      </c>
      <c r="K464" s="13">
        <v>24375</v>
      </c>
      <c r="O464" t="s">
        <v>3629</v>
      </c>
      <c r="P464" t="s">
        <v>2846</v>
      </c>
    </row>
    <row r="465" spans="1:16" x14ac:dyDescent="0.25">
      <c r="A465" t="s">
        <v>3212</v>
      </c>
      <c r="B465" t="s">
        <v>3224</v>
      </c>
      <c r="C465" t="s">
        <v>2815</v>
      </c>
      <c r="D465" t="s">
        <v>3376</v>
      </c>
      <c r="E465">
        <v>22262</v>
      </c>
      <c r="F465">
        <v>290</v>
      </c>
      <c r="J465" s="13" t="s">
        <v>3453</v>
      </c>
      <c r="K465" s="13">
        <v>31151</v>
      </c>
      <c r="O465" t="s">
        <v>3509</v>
      </c>
      <c r="P465" t="s">
        <v>2809</v>
      </c>
    </row>
    <row r="466" spans="1:16" x14ac:dyDescent="0.25">
      <c r="A466" t="s">
        <v>3212</v>
      </c>
      <c r="B466" t="s">
        <v>3224</v>
      </c>
      <c r="C466" t="s">
        <v>2815</v>
      </c>
      <c r="D466" t="s">
        <v>3377</v>
      </c>
      <c r="E466">
        <v>22262</v>
      </c>
      <c r="F466">
        <v>89</v>
      </c>
      <c r="J466" s="13" t="s">
        <v>3454</v>
      </c>
      <c r="K466" s="13">
        <v>24359</v>
      </c>
      <c r="O466" t="s">
        <v>3640</v>
      </c>
      <c r="P466" t="s">
        <v>302</v>
      </c>
    </row>
    <row r="467" spans="1:16" x14ac:dyDescent="0.25">
      <c r="A467" t="s">
        <v>3212</v>
      </c>
      <c r="B467" t="s">
        <v>3224</v>
      </c>
      <c r="C467" t="s">
        <v>2815</v>
      </c>
      <c r="D467" t="s">
        <v>3378</v>
      </c>
      <c r="E467">
        <v>22262</v>
      </c>
      <c r="F467">
        <v>120</v>
      </c>
      <c r="J467" s="13" t="s">
        <v>4057</v>
      </c>
      <c r="K467" s="13">
        <v>37329</v>
      </c>
      <c r="O467" t="s">
        <v>3454</v>
      </c>
      <c r="P467" t="s">
        <v>326</v>
      </c>
    </row>
    <row r="468" spans="1:16" x14ac:dyDescent="0.25">
      <c r="A468" t="s">
        <v>3212</v>
      </c>
      <c r="B468" t="s">
        <v>3224</v>
      </c>
      <c r="C468" t="s">
        <v>2815</v>
      </c>
      <c r="D468" t="s">
        <v>3379</v>
      </c>
      <c r="E468">
        <v>22262</v>
      </c>
      <c r="F468">
        <v>23</v>
      </c>
      <c r="J468" s="13" t="s">
        <v>3455</v>
      </c>
      <c r="K468" s="13">
        <v>24323</v>
      </c>
      <c r="O468" t="s">
        <v>3243</v>
      </c>
      <c r="P468" t="s">
        <v>1191</v>
      </c>
    </row>
    <row r="469" spans="1:16" x14ac:dyDescent="0.25">
      <c r="A469" t="s">
        <v>3212</v>
      </c>
      <c r="B469" t="s">
        <v>3224</v>
      </c>
      <c r="C469" t="s">
        <v>2815</v>
      </c>
      <c r="D469" t="s">
        <v>3610</v>
      </c>
      <c r="E469">
        <v>22262</v>
      </c>
      <c r="F469">
        <v>135</v>
      </c>
      <c r="J469" s="13" t="s">
        <v>3456</v>
      </c>
      <c r="K469" s="13">
        <v>24259</v>
      </c>
      <c r="O469" t="s">
        <v>3479</v>
      </c>
      <c r="P469" t="s">
        <v>802</v>
      </c>
    </row>
    <row r="470" spans="1:16" x14ac:dyDescent="0.25">
      <c r="A470" t="s">
        <v>3212</v>
      </c>
      <c r="B470" t="s">
        <v>3224</v>
      </c>
      <c r="C470" t="s">
        <v>2815</v>
      </c>
      <c r="D470" t="s">
        <v>3678</v>
      </c>
      <c r="E470">
        <v>22262</v>
      </c>
      <c r="F470">
        <v>115</v>
      </c>
      <c r="J470" s="13" t="s">
        <v>3457</v>
      </c>
      <c r="K470" s="13">
        <v>24427</v>
      </c>
      <c r="O470" t="s">
        <v>3381</v>
      </c>
      <c r="P470" t="s">
        <v>738</v>
      </c>
    </row>
    <row r="471" spans="1:16" x14ac:dyDescent="0.25">
      <c r="A471" t="s">
        <v>3212</v>
      </c>
      <c r="B471" t="s">
        <v>3224</v>
      </c>
      <c r="C471" t="s">
        <v>3085</v>
      </c>
      <c r="D471" t="s">
        <v>3398</v>
      </c>
      <c r="E471">
        <v>22228</v>
      </c>
      <c r="F471">
        <v>114</v>
      </c>
      <c r="J471" s="13" t="s">
        <v>4058</v>
      </c>
      <c r="K471" s="13">
        <v>31111</v>
      </c>
      <c r="O471" t="s">
        <v>3669</v>
      </c>
      <c r="P471" t="s">
        <v>349</v>
      </c>
    </row>
    <row r="472" spans="1:16" x14ac:dyDescent="0.25">
      <c r="A472" t="s">
        <v>3212</v>
      </c>
      <c r="B472" t="s">
        <v>3224</v>
      </c>
      <c r="C472" t="s">
        <v>3085</v>
      </c>
      <c r="D472" t="s">
        <v>3399</v>
      </c>
      <c r="E472">
        <v>22228</v>
      </c>
      <c r="F472">
        <v>38</v>
      </c>
      <c r="J472" s="13" t="s">
        <v>3458</v>
      </c>
      <c r="K472" s="13">
        <v>24349</v>
      </c>
      <c r="O472" t="s">
        <v>3320</v>
      </c>
      <c r="P472" t="s">
        <v>546</v>
      </c>
    </row>
    <row r="473" spans="1:16" x14ac:dyDescent="0.25">
      <c r="A473" t="s">
        <v>3212</v>
      </c>
      <c r="B473" t="s">
        <v>3224</v>
      </c>
      <c r="C473" t="s">
        <v>3085</v>
      </c>
      <c r="D473" t="s">
        <v>3410</v>
      </c>
      <c r="E473">
        <v>22228</v>
      </c>
      <c r="F473">
        <v>285</v>
      </c>
      <c r="J473" s="13" t="s">
        <v>3459</v>
      </c>
      <c r="K473" s="13">
        <v>24454</v>
      </c>
      <c r="O473" t="s">
        <v>3626</v>
      </c>
      <c r="P473" t="s">
        <v>539</v>
      </c>
    </row>
    <row r="474" spans="1:16" x14ac:dyDescent="0.25">
      <c r="A474" t="s">
        <v>3212</v>
      </c>
      <c r="B474" t="s">
        <v>3224</v>
      </c>
      <c r="C474" t="s">
        <v>3085</v>
      </c>
      <c r="D474" t="s">
        <v>3412</v>
      </c>
      <c r="E474">
        <v>22211</v>
      </c>
      <c r="F474">
        <v>47</v>
      </c>
      <c r="J474" s="13" t="s">
        <v>4059</v>
      </c>
      <c r="K474" s="13">
        <v>24343</v>
      </c>
      <c r="O474" t="s">
        <v>3391</v>
      </c>
      <c r="P474" t="s">
        <v>192</v>
      </c>
    </row>
    <row r="475" spans="1:16" x14ac:dyDescent="0.25">
      <c r="A475" t="s">
        <v>3212</v>
      </c>
      <c r="B475" t="s">
        <v>3224</v>
      </c>
      <c r="C475" t="s">
        <v>3092</v>
      </c>
      <c r="D475" t="s">
        <v>3425</v>
      </c>
      <c r="E475">
        <v>22155</v>
      </c>
      <c r="F475">
        <v>53</v>
      </c>
      <c r="J475" s="13" t="s">
        <v>4060</v>
      </c>
      <c r="K475" s="13">
        <v>24434</v>
      </c>
      <c r="O475" t="s">
        <v>3501</v>
      </c>
      <c r="P475" t="s">
        <v>278</v>
      </c>
    </row>
    <row r="476" spans="1:16" x14ac:dyDescent="0.25">
      <c r="A476" t="s">
        <v>3212</v>
      </c>
      <c r="B476" t="s">
        <v>3224</v>
      </c>
      <c r="C476" t="s">
        <v>3092</v>
      </c>
      <c r="D476" t="s">
        <v>3426</v>
      </c>
      <c r="E476">
        <v>22155</v>
      </c>
      <c r="F476">
        <v>94</v>
      </c>
      <c r="J476" s="13" t="s">
        <v>3461</v>
      </c>
      <c r="K476" s="13">
        <v>24311</v>
      </c>
      <c r="O476" t="s">
        <v>3488</v>
      </c>
      <c r="P476" t="s">
        <v>1184</v>
      </c>
    </row>
    <row r="477" spans="1:16" x14ac:dyDescent="0.25">
      <c r="A477" t="s">
        <v>3212</v>
      </c>
      <c r="B477" t="s">
        <v>3224</v>
      </c>
      <c r="C477" t="s">
        <v>3086</v>
      </c>
      <c r="D477" t="s">
        <v>3402</v>
      </c>
      <c r="E477">
        <v>22111</v>
      </c>
      <c r="F477">
        <v>103</v>
      </c>
      <c r="J477" s="13" t="s">
        <v>3462</v>
      </c>
      <c r="K477" s="13">
        <v>24259</v>
      </c>
      <c r="O477" t="s">
        <v>3551</v>
      </c>
      <c r="P477" t="s">
        <v>321</v>
      </c>
    </row>
    <row r="478" spans="1:16" x14ac:dyDescent="0.25">
      <c r="A478" t="s">
        <v>3212</v>
      </c>
      <c r="B478" t="s">
        <v>3224</v>
      </c>
      <c r="C478" t="s">
        <v>3086</v>
      </c>
      <c r="D478" t="s">
        <v>3403</v>
      </c>
      <c r="E478">
        <v>22111</v>
      </c>
      <c r="F478">
        <v>123</v>
      </c>
      <c r="J478" s="13" t="s">
        <v>3463</v>
      </c>
      <c r="K478" s="13">
        <v>24447</v>
      </c>
      <c r="O478" t="s">
        <v>3359</v>
      </c>
      <c r="P478" t="s">
        <v>643</v>
      </c>
    </row>
    <row r="479" spans="1:16" x14ac:dyDescent="0.25">
      <c r="A479" t="s">
        <v>3212</v>
      </c>
      <c r="B479" t="s">
        <v>3224</v>
      </c>
      <c r="C479" t="s">
        <v>3086</v>
      </c>
      <c r="D479" t="s">
        <v>3420</v>
      </c>
      <c r="E479">
        <v>22111</v>
      </c>
      <c r="F479">
        <v>102</v>
      </c>
      <c r="J479" s="13" t="s">
        <v>3464</v>
      </c>
      <c r="K479" s="13">
        <v>24444</v>
      </c>
      <c r="O479" t="s">
        <v>3373</v>
      </c>
      <c r="P479" t="s">
        <v>643</v>
      </c>
    </row>
    <row r="480" spans="1:16" x14ac:dyDescent="0.25">
      <c r="A480" t="s">
        <v>3212</v>
      </c>
      <c r="B480" t="s">
        <v>36</v>
      </c>
      <c r="C480" t="s">
        <v>84</v>
      </c>
      <c r="D480" t="s">
        <v>3469</v>
      </c>
      <c r="E480">
        <v>21476</v>
      </c>
      <c r="F480">
        <v>494</v>
      </c>
      <c r="J480" s="13" t="s">
        <v>3465</v>
      </c>
      <c r="K480" s="13">
        <v>31171</v>
      </c>
      <c r="O480" t="s">
        <v>3416</v>
      </c>
      <c r="P480" t="s">
        <v>438</v>
      </c>
    </row>
    <row r="481" spans="1:16" x14ac:dyDescent="0.25">
      <c r="A481" t="s">
        <v>3212</v>
      </c>
      <c r="B481" t="s">
        <v>36</v>
      </c>
      <c r="C481" t="s">
        <v>84</v>
      </c>
      <c r="D481" t="s">
        <v>3536</v>
      </c>
      <c r="E481">
        <v>21476</v>
      </c>
      <c r="F481">
        <v>670</v>
      </c>
      <c r="J481" s="13" t="s">
        <v>4061</v>
      </c>
      <c r="K481" s="13">
        <v>61255</v>
      </c>
      <c r="O481" t="s">
        <v>3781</v>
      </c>
      <c r="P481" t="s">
        <v>2803</v>
      </c>
    </row>
    <row r="482" spans="1:16" x14ac:dyDescent="0.25">
      <c r="A482" t="s">
        <v>3212</v>
      </c>
      <c r="B482" t="s">
        <v>36</v>
      </c>
      <c r="C482" t="s">
        <v>80</v>
      </c>
      <c r="D482" t="s">
        <v>3529</v>
      </c>
      <c r="E482">
        <v>21456</v>
      </c>
      <c r="F482">
        <v>406</v>
      </c>
      <c r="J482" s="13" t="s">
        <v>3466</v>
      </c>
      <c r="K482" s="13">
        <v>74175</v>
      </c>
      <c r="O482" t="s">
        <v>3309</v>
      </c>
      <c r="P482" t="s">
        <v>2963</v>
      </c>
    </row>
    <row r="483" spans="1:16" x14ac:dyDescent="0.25">
      <c r="A483" t="s">
        <v>3212</v>
      </c>
      <c r="B483" t="s">
        <v>36</v>
      </c>
      <c r="C483" t="s">
        <v>77</v>
      </c>
      <c r="D483" t="s">
        <v>3619</v>
      </c>
      <c r="E483">
        <v>21441</v>
      </c>
      <c r="F483">
        <v>339</v>
      </c>
      <c r="J483" s="13" t="s">
        <v>3467</v>
      </c>
      <c r="K483" s="13">
        <v>22754</v>
      </c>
      <c r="O483" t="s">
        <v>3494</v>
      </c>
      <c r="P483" t="s">
        <v>606</v>
      </c>
    </row>
    <row r="484" spans="1:16" x14ac:dyDescent="0.25">
      <c r="A484" t="s">
        <v>3212</v>
      </c>
      <c r="B484" t="s">
        <v>36</v>
      </c>
      <c r="C484" t="s">
        <v>3155</v>
      </c>
      <c r="D484" t="s">
        <v>3620</v>
      </c>
      <c r="E484">
        <v>21431</v>
      </c>
      <c r="F484">
        <v>35</v>
      </c>
      <c r="J484" s="13" t="s">
        <v>4062</v>
      </c>
      <c r="K484" s="13">
        <v>22531</v>
      </c>
      <c r="O484" t="s">
        <v>3853</v>
      </c>
      <c r="P484" t="s">
        <v>2803</v>
      </c>
    </row>
    <row r="485" spans="1:16" x14ac:dyDescent="0.25">
      <c r="A485" t="s">
        <v>3212</v>
      </c>
      <c r="B485" t="s">
        <v>36</v>
      </c>
      <c r="C485" t="s">
        <v>71</v>
      </c>
      <c r="D485" t="s">
        <v>3360</v>
      </c>
      <c r="E485">
        <v>21411</v>
      </c>
      <c r="F485">
        <v>502</v>
      </c>
      <c r="J485" s="13" t="s">
        <v>3468</v>
      </c>
      <c r="K485" s="13">
        <v>26135</v>
      </c>
      <c r="O485" t="s">
        <v>3764</v>
      </c>
      <c r="P485" t="s">
        <v>21</v>
      </c>
    </row>
    <row r="486" spans="1:16" x14ac:dyDescent="0.25">
      <c r="A486" t="s">
        <v>3212</v>
      </c>
      <c r="B486" t="s">
        <v>36</v>
      </c>
      <c r="C486" t="s">
        <v>59</v>
      </c>
      <c r="D486" t="s">
        <v>3701</v>
      </c>
      <c r="E486">
        <v>21354</v>
      </c>
      <c r="F486">
        <v>65</v>
      </c>
      <c r="J486" s="13" t="s">
        <v>3469</v>
      </c>
      <c r="K486" s="13">
        <v>21476</v>
      </c>
      <c r="O486" t="s">
        <v>3805</v>
      </c>
      <c r="P486" t="s">
        <v>21</v>
      </c>
    </row>
    <row r="487" spans="1:16" x14ac:dyDescent="0.25">
      <c r="A487" t="s">
        <v>3212</v>
      </c>
      <c r="B487" t="s">
        <v>36</v>
      </c>
      <c r="C487" t="s">
        <v>2809</v>
      </c>
      <c r="D487" t="s">
        <v>3509</v>
      </c>
      <c r="E487">
        <v>21341</v>
      </c>
      <c r="F487">
        <v>121</v>
      </c>
      <c r="J487" s="13" t="s">
        <v>4063</v>
      </c>
      <c r="K487" s="13">
        <v>53375</v>
      </c>
      <c r="O487" t="s">
        <v>3562</v>
      </c>
      <c r="P487" t="s">
        <v>401</v>
      </c>
    </row>
    <row r="488" spans="1:16" x14ac:dyDescent="0.25">
      <c r="A488" t="s">
        <v>3212</v>
      </c>
      <c r="B488" t="s">
        <v>36</v>
      </c>
      <c r="C488" t="s">
        <v>3133</v>
      </c>
      <c r="D488" t="s">
        <v>3540</v>
      </c>
      <c r="E488">
        <v>21324</v>
      </c>
      <c r="F488">
        <v>151</v>
      </c>
      <c r="J488" s="13" t="s">
        <v>3747</v>
      </c>
      <c r="K488" s="13">
        <v>10350</v>
      </c>
      <c r="O488" t="s">
        <v>3700</v>
      </c>
      <c r="P488" t="s">
        <v>2834</v>
      </c>
    </row>
    <row r="489" spans="1:16" x14ac:dyDescent="0.25">
      <c r="A489" t="s">
        <v>3212</v>
      </c>
      <c r="B489" t="s">
        <v>36</v>
      </c>
      <c r="C489" t="s">
        <v>3133</v>
      </c>
      <c r="D489" t="s">
        <v>3618</v>
      </c>
      <c r="E489">
        <v>21324</v>
      </c>
      <c r="F489">
        <v>404</v>
      </c>
      <c r="J489" s="13" t="s">
        <v>3748</v>
      </c>
      <c r="K489" s="13">
        <v>10150</v>
      </c>
      <c r="O489" t="s">
        <v>3611</v>
      </c>
      <c r="P489" t="s">
        <v>387</v>
      </c>
    </row>
    <row r="490" spans="1:16" x14ac:dyDescent="0.25">
      <c r="A490" t="s">
        <v>3212</v>
      </c>
      <c r="B490" t="s">
        <v>36</v>
      </c>
      <c r="C490" t="s">
        <v>3074</v>
      </c>
      <c r="D490" t="s">
        <v>3355</v>
      </c>
      <c r="E490">
        <v>21317</v>
      </c>
      <c r="F490">
        <v>210</v>
      </c>
      <c r="J490" s="13" t="s">
        <v>3749</v>
      </c>
      <c r="K490" s="13">
        <v>10350</v>
      </c>
      <c r="O490" t="s">
        <v>3312</v>
      </c>
      <c r="P490" t="s">
        <v>2977</v>
      </c>
    </row>
    <row r="491" spans="1:16" x14ac:dyDescent="0.25">
      <c r="A491" t="s">
        <v>3212</v>
      </c>
      <c r="B491" t="s">
        <v>36</v>
      </c>
      <c r="C491" t="s">
        <v>46</v>
      </c>
      <c r="D491" t="s">
        <v>3354</v>
      </c>
      <c r="E491">
        <v>21311</v>
      </c>
      <c r="F491">
        <v>132</v>
      </c>
      <c r="J491" s="13" t="s">
        <v>4064</v>
      </c>
      <c r="K491" s="13">
        <v>35351</v>
      </c>
      <c r="O491" t="s">
        <v>3583</v>
      </c>
      <c r="P491" t="s">
        <v>457</v>
      </c>
    </row>
    <row r="492" spans="1:16" x14ac:dyDescent="0.25">
      <c r="A492" t="s">
        <v>3212</v>
      </c>
      <c r="B492" t="s">
        <v>36</v>
      </c>
      <c r="C492" t="s">
        <v>3131</v>
      </c>
      <c r="D492" t="s">
        <v>3533</v>
      </c>
      <c r="E492">
        <v>21219</v>
      </c>
      <c r="F492">
        <v>250</v>
      </c>
      <c r="J492" s="13" t="s">
        <v>3470</v>
      </c>
      <c r="K492" s="13">
        <v>55154</v>
      </c>
      <c r="O492" t="s">
        <v>3845</v>
      </c>
      <c r="P492" t="s">
        <v>2830</v>
      </c>
    </row>
    <row r="493" spans="1:16" x14ac:dyDescent="0.25">
      <c r="A493" t="s">
        <v>3212</v>
      </c>
      <c r="B493" t="s">
        <v>36</v>
      </c>
      <c r="C493" t="s">
        <v>3208</v>
      </c>
      <c r="D493" t="s">
        <v>3862</v>
      </c>
      <c r="E493">
        <v>21211</v>
      </c>
      <c r="F493">
        <v>250</v>
      </c>
      <c r="J493" s="13" t="s">
        <v>4065</v>
      </c>
      <c r="K493" s="13">
        <v>55154</v>
      </c>
      <c r="O493" t="s">
        <v>5553</v>
      </c>
      <c r="P493" t="s">
        <v>387</v>
      </c>
    </row>
    <row r="494" spans="1:16" x14ac:dyDescent="0.25">
      <c r="A494" t="s">
        <v>3212</v>
      </c>
      <c r="B494" t="s">
        <v>36</v>
      </c>
      <c r="C494" t="s">
        <v>36</v>
      </c>
      <c r="D494" t="s">
        <v>3516</v>
      </c>
      <c r="E494">
        <v>21211</v>
      </c>
      <c r="F494">
        <v>602</v>
      </c>
      <c r="J494" s="13" t="s">
        <v>4066</v>
      </c>
      <c r="K494" s="13">
        <v>51267</v>
      </c>
      <c r="O494" t="s">
        <v>3437</v>
      </c>
      <c r="P494" t="s">
        <v>202</v>
      </c>
    </row>
    <row r="495" spans="1:16" x14ac:dyDescent="0.25">
      <c r="A495" t="s">
        <v>3177</v>
      </c>
      <c r="B495" t="s">
        <v>3177</v>
      </c>
      <c r="C495" t="s">
        <v>3182</v>
      </c>
      <c r="D495" t="s">
        <v>3736</v>
      </c>
      <c r="E495">
        <v>21188</v>
      </c>
      <c r="F495">
        <v>63</v>
      </c>
      <c r="J495" s="13" t="s">
        <v>3750</v>
      </c>
      <c r="K495" s="13">
        <v>10210</v>
      </c>
      <c r="O495" t="s">
        <v>3724</v>
      </c>
      <c r="P495" t="s">
        <v>2803</v>
      </c>
    </row>
    <row r="496" spans="1:16" x14ac:dyDescent="0.25">
      <c r="A496" t="s">
        <v>3212</v>
      </c>
      <c r="B496" t="s">
        <v>36</v>
      </c>
      <c r="C496" t="s">
        <v>3081</v>
      </c>
      <c r="D496" t="s">
        <v>3517</v>
      </c>
      <c r="E496">
        <v>21133</v>
      </c>
      <c r="F496">
        <v>44</v>
      </c>
      <c r="J496" s="13" t="s">
        <v>4067</v>
      </c>
      <c r="K496" s="13">
        <v>52237</v>
      </c>
      <c r="O496" t="s">
        <v>3594</v>
      </c>
      <c r="P496" t="s">
        <v>2875</v>
      </c>
    </row>
    <row r="497" spans="1:16" x14ac:dyDescent="0.25">
      <c r="A497" t="s">
        <v>3212</v>
      </c>
      <c r="B497" t="s">
        <v>36</v>
      </c>
      <c r="C497" t="s">
        <v>3081</v>
      </c>
      <c r="D497" t="s">
        <v>3601</v>
      </c>
      <c r="E497">
        <v>21133</v>
      </c>
      <c r="F497">
        <v>80</v>
      </c>
      <c r="J497" s="13" t="s">
        <v>3471</v>
      </c>
      <c r="K497" s="13">
        <v>52211</v>
      </c>
      <c r="O497" t="s">
        <v>3567</v>
      </c>
      <c r="P497" t="s">
        <v>196</v>
      </c>
    </row>
    <row r="498" spans="1:16" x14ac:dyDescent="0.25">
      <c r="A498" t="s">
        <v>3212</v>
      </c>
      <c r="B498" t="s">
        <v>36</v>
      </c>
      <c r="C498" t="s">
        <v>3037</v>
      </c>
      <c r="D498" t="s">
        <v>3237</v>
      </c>
      <c r="E498">
        <v>21111</v>
      </c>
      <c r="F498">
        <v>64</v>
      </c>
      <c r="J498" s="13" t="s">
        <v>3472</v>
      </c>
      <c r="K498" s="13">
        <v>52171</v>
      </c>
      <c r="O498" t="s">
        <v>3549</v>
      </c>
      <c r="P498" t="s">
        <v>1087</v>
      </c>
    </row>
    <row r="499" spans="1:16" x14ac:dyDescent="0.25">
      <c r="A499" t="s">
        <v>3212</v>
      </c>
      <c r="B499" t="s">
        <v>36</v>
      </c>
      <c r="C499" t="s">
        <v>3081</v>
      </c>
      <c r="D499" t="s">
        <v>3385</v>
      </c>
      <c r="E499">
        <v>21111</v>
      </c>
      <c r="F499">
        <v>38</v>
      </c>
      <c r="J499" s="13" t="s">
        <v>3473</v>
      </c>
      <c r="K499" s="13">
        <v>52234</v>
      </c>
      <c r="O499" t="s">
        <v>3755</v>
      </c>
      <c r="P499" t="s">
        <v>23</v>
      </c>
    </row>
    <row r="500" spans="1:16" x14ac:dyDescent="0.25">
      <c r="A500" t="s">
        <v>3212</v>
      </c>
      <c r="B500" t="s">
        <v>36</v>
      </c>
      <c r="C500" t="s">
        <v>3120</v>
      </c>
      <c r="D500" t="s">
        <v>3503</v>
      </c>
      <c r="E500">
        <v>21111</v>
      </c>
      <c r="F500">
        <v>144</v>
      </c>
      <c r="J500" s="13" t="s">
        <v>3751</v>
      </c>
      <c r="K500" s="13">
        <v>10210</v>
      </c>
      <c r="O500" t="s">
        <v>3810</v>
      </c>
      <c r="P500" t="s">
        <v>18</v>
      </c>
    </row>
    <row r="501" spans="1:16" x14ac:dyDescent="0.25">
      <c r="A501" t="s">
        <v>3212</v>
      </c>
      <c r="B501" t="s">
        <v>36</v>
      </c>
      <c r="C501" t="s">
        <v>3120</v>
      </c>
      <c r="D501" t="s">
        <v>3532</v>
      </c>
      <c r="E501">
        <v>21111</v>
      </c>
      <c r="F501">
        <v>30</v>
      </c>
      <c r="J501" s="13" t="s">
        <v>3474</v>
      </c>
      <c r="K501" s="13">
        <v>52214</v>
      </c>
      <c r="O501" t="s">
        <v>3778</v>
      </c>
      <c r="P501" t="s">
        <v>2803</v>
      </c>
    </row>
    <row r="502" spans="1:16" x14ac:dyDescent="0.25">
      <c r="A502" t="s">
        <v>3212</v>
      </c>
      <c r="B502" t="s">
        <v>36</v>
      </c>
      <c r="C502" t="s">
        <v>3120</v>
      </c>
      <c r="D502" t="s">
        <v>3534</v>
      </c>
      <c r="E502">
        <v>21111</v>
      </c>
      <c r="F502">
        <v>103</v>
      </c>
      <c r="J502" s="13" t="s">
        <v>4068</v>
      </c>
      <c r="K502" s="13">
        <v>51231</v>
      </c>
      <c r="O502" t="s">
        <v>3568</v>
      </c>
      <c r="P502" t="s">
        <v>271</v>
      </c>
    </row>
    <row r="503" spans="1:16" x14ac:dyDescent="0.25">
      <c r="A503" t="s">
        <v>3212</v>
      </c>
      <c r="B503" t="s">
        <v>36</v>
      </c>
      <c r="C503" t="s">
        <v>3140</v>
      </c>
      <c r="D503" t="s">
        <v>3561</v>
      </c>
      <c r="E503">
        <v>21111</v>
      </c>
      <c r="F503">
        <v>45</v>
      </c>
      <c r="J503" s="13" t="s">
        <v>3475</v>
      </c>
      <c r="K503" s="13">
        <v>51224</v>
      </c>
      <c r="O503" t="s">
        <v>3287</v>
      </c>
      <c r="P503" t="s">
        <v>271</v>
      </c>
    </row>
    <row r="504" spans="1:16" x14ac:dyDescent="0.25">
      <c r="A504" t="s">
        <v>3212</v>
      </c>
      <c r="B504" t="s">
        <v>36</v>
      </c>
      <c r="C504" t="s">
        <v>3153</v>
      </c>
      <c r="D504" t="s">
        <v>3599</v>
      </c>
      <c r="E504">
        <v>21111</v>
      </c>
      <c r="F504">
        <v>75</v>
      </c>
      <c r="J504" s="13" t="s">
        <v>3476</v>
      </c>
      <c r="K504" s="13">
        <v>61119</v>
      </c>
      <c r="O504" t="s">
        <v>3801</v>
      </c>
      <c r="P504" t="s">
        <v>2803</v>
      </c>
    </row>
    <row r="505" spans="1:16" x14ac:dyDescent="0.25">
      <c r="A505" t="s">
        <v>3212</v>
      </c>
      <c r="B505" t="s">
        <v>36</v>
      </c>
      <c r="C505" t="s">
        <v>3154</v>
      </c>
      <c r="D505" t="s">
        <v>3617</v>
      </c>
      <c r="E505">
        <v>21111</v>
      </c>
      <c r="F505">
        <v>73</v>
      </c>
      <c r="J505" s="13" t="s">
        <v>4069</v>
      </c>
      <c r="K505" s="13">
        <v>35171</v>
      </c>
      <c r="O505" t="s">
        <v>3419</v>
      </c>
      <c r="P505" t="s">
        <v>1193</v>
      </c>
    </row>
    <row r="506" spans="1:16" x14ac:dyDescent="0.25">
      <c r="A506" t="s">
        <v>3177</v>
      </c>
      <c r="B506" t="s">
        <v>3177</v>
      </c>
      <c r="C506" t="s">
        <v>3178</v>
      </c>
      <c r="D506" t="s">
        <v>3739</v>
      </c>
      <c r="E506">
        <v>21111</v>
      </c>
      <c r="F506">
        <v>69</v>
      </c>
      <c r="J506" s="13" t="s">
        <v>4070</v>
      </c>
      <c r="K506" s="13">
        <v>53333</v>
      </c>
      <c r="O506" t="s">
        <v>3732</v>
      </c>
      <c r="P506" t="s">
        <v>21</v>
      </c>
    </row>
    <row r="507" spans="1:16" x14ac:dyDescent="0.25">
      <c r="A507" t="s">
        <v>3177</v>
      </c>
      <c r="B507" t="s">
        <v>3177</v>
      </c>
      <c r="C507" t="s">
        <v>3177</v>
      </c>
      <c r="D507" t="s">
        <v>3767</v>
      </c>
      <c r="E507">
        <v>21111</v>
      </c>
      <c r="F507">
        <v>110</v>
      </c>
      <c r="J507" s="13" t="s">
        <v>3752</v>
      </c>
      <c r="K507" s="13">
        <v>10410</v>
      </c>
      <c r="O507" t="s">
        <v>3726</v>
      </c>
      <c r="P507" t="s">
        <v>21</v>
      </c>
    </row>
    <row r="508" spans="1:16" x14ac:dyDescent="0.25">
      <c r="A508" t="s">
        <v>3212</v>
      </c>
      <c r="B508" t="s">
        <v>36</v>
      </c>
      <c r="C508" t="s">
        <v>3120</v>
      </c>
      <c r="D508" t="s">
        <v>3856</v>
      </c>
      <c r="E508">
        <v>21111</v>
      </c>
      <c r="F508">
        <v>359</v>
      </c>
      <c r="J508" s="13" t="s">
        <v>3477</v>
      </c>
      <c r="K508" s="13">
        <v>24315</v>
      </c>
      <c r="O508" t="s">
        <v>3707</v>
      </c>
      <c r="P508" t="s">
        <v>2803</v>
      </c>
    </row>
    <row r="509" spans="1:16" x14ac:dyDescent="0.25">
      <c r="A509" t="s">
        <v>3177</v>
      </c>
      <c r="B509" t="s">
        <v>3177</v>
      </c>
      <c r="C509" t="s">
        <v>3197</v>
      </c>
      <c r="D509" t="s">
        <v>3824</v>
      </c>
      <c r="E509">
        <v>10650</v>
      </c>
      <c r="F509">
        <v>61</v>
      </c>
      <c r="J509" s="13" t="s">
        <v>3753</v>
      </c>
      <c r="K509" s="13">
        <v>10210</v>
      </c>
      <c r="O509" t="s">
        <v>3848</v>
      </c>
      <c r="P509" t="s">
        <v>196</v>
      </c>
    </row>
    <row r="510" spans="1:16" x14ac:dyDescent="0.25">
      <c r="A510" t="s">
        <v>3177</v>
      </c>
      <c r="B510" t="s">
        <v>3177</v>
      </c>
      <c r="C510" t="s">
        <v>3180</v>
      </c>
      <c r="D510" t="s">
        <v>3710</v>
      </c>
      <c r="E510">
        <v>10650</v>
      </c>
      <c r="F510">
        <v>130</v>
      </c>
      <c r="J510" s="13" t="s">
        <v>4071</v>
      </c>
      <c r="K510" s="13">
        <v>53211</v>
      </c>
      <c r="O510" t="s">
        <v>3491</v>
      </c>
      <c r="P510" t="s">
        <v>1069</v>
      </c>
    </row>
    <row r="511" spans="1:16" x14ac:dyDescent="0.25">
      <c r="A511" t="s">
        <v>3177</v>
      </c>
      <c r="B511" t="s">
        <v>3177</v>
      </c>
      <c r="C511" t="s">
        <v>3180</v>
      </c>
      <c r="D511" t="s">
        <v>3746</v>
      </c>
      <c r="E511">
        <v>10650</v>
      </c>
      <c r="F511">
        <v>630</v>
      </c>
      <c r="J511" s="13" t="s">
        <v>3754</v>
      </c>
      <c r="K511" s="13">
        <v>10210</v>
      </c>
      <c r="O511" t="s">
        <v>3676</v>
      </c>
      <c r="P511" t="s">
        <v>1474</v>
      </c>
    </row>
    <row r="512" spans="1:16" x14ac:dyDescent="0.25">
      <c r="A512" t="s">
        <v>3177</v>
      </c>
      <c r="B512" t="s">
        <v>3177</v>
      </c>
      <c r="C512" t="s">
        <v>3204</v>
      </c>
      <c r="D512" t="s">
        <v>3837</v>
      </c>
      <c r="E512">
        <v>10650</v>
      </c>
      <c r="F512">
        <v>2232</v>
      </c>
      <c r="J512" s="13" t="s">
        <v>3755</v>
      </c>
      <c r="K512" s="13">
        <v>10410</v>
      </c>
      <c r="O512" t="s">
        <v>3776</v>
      </c>
      <c r="P512" t="s">
        <v>18</v>
      </c>
    </row>
    <row r="513" spans="1:16" x14ac:dyDescent="0.25">
      <c r="A513" t="s">
        <v>3177</v>
      </c>
      <c r="B513" t="s">
        <v>3177</v>
      </c>
      <c r="C513" t="s">
        <v>3200</v>
      </c>
      <c r="D513" t="s">
        <v>3798</v>
      </c>
      <c r="E513">
        <v>10610</v>
      </c>
      <c r="F513">
        <v>74</v>
      </c>
      <c r="J513" s="13" t="s">
        <v>4072</v>
      </c>
      <c r="K513" s="13">
        <v>10310</v>
      </c>
      <c r="O513" t="s">
        <v>3717</v>
      </c>
      <c r="P513" t="s">
        <v>23</v>
      </c>
    </row>
    <row r="514" spans="1:16" x14ac:dyDescent="0.25">
      <c r="A514" t="s">
        <v>3177</v>
      </c>
      <c r="B514" t="s">
        <v>3177</v>
      </c>
      <c r="C514" t="s">
        <v>3197</v>
      </c>
      <c r="D514" t="s">
        <v>3774</v>
      </c>
      <c r="E514">
        <v>10510</v>
      </c>
      <c r="F514">
        <v>212</v>
      </c>
      <c r="J514" s="13" t="s">
        <v>4073</v>
      </c>
      <c r="K514" s="13">
        <v>35211</v>
      </c>
      <c r="O514" t="s">
        <v>3542</v>
      </c>
      <c r="P514" t="s">
        <v>95</v>
      </c>
    </row>
    <row r="515" spans="1:16" x14ac:dyDescent="0.25">
      <c r="A515" t="s">
        <v>3177</v>
      </c>
      <c r="B515" t="s">
        <v>3177</v>
      </c>
      <c r="C515" t="s">
        <v>3185</v>
      </c>
      <c r="D515" t="s">
        <v>3717</v>
      </c>
      <c r="E515">
        <v>10410</v>
      </c>
      <c r="F515">
        <v>235</v>
      </c>
      <c r="J515" s="13" t="s">
        <v>4074</v>
      </c>
      <c r="K515" s="13">
        <v>23243</v>
      </c>
      <c r="O515" t="s">
        <v>3545</v>
      </c>
      <c r="P515" t="s">
        <v>166</v>
      </c>
    </row>
    <row r="516" spans="1:16" x14ac:dyDescent="0.25">
      <c r="A516" t="s">
        <v>3177</v>
      </c>
      <c r="B516" t="s">
        <v>3177</v>
      </c>
      <c r="C516" t="s">
        <v>3185</v>
      </c>
      <c r="D516" t="s">
        <v>3725</v>
      </c>
      <c r="E516">
        <v>10410</v>
      </c>
      <c r="F516">
        <v>110</v>
      </c>
      <c r="J516" s="13" t="s">
        <v>3478</v>
      </c>
      <c r="K516" s="13">
        <v>23243</v>
      </c>
      <c r="O516" t="s">
        <v>3429</v>
      </c>
      <c r="P516" t="s">
        <v>202</v>
      </c>
    </row>
    <row r="517" spans="1:16" x14ac:dyDescent="0.25">
      <c r="A517" t="s">
        <v>3177</v>
      </c>
      <c r="B517" t="s">
        <v>3177</v>
      </c>
      <c r="C517" t="s">
        <v>3184</v>
      </c>
      <c r="D517" t="s">
        <v>3752</v>
      </c>
      <c r="E517">
        <v>10410</v>
      </c>
      <c r="F517">
        <v>130</v>
      </c>
      <c r="J517" s="13" t="s">
        <v>3479</v>
      </c>
      <c r="K517" s="13">
        <v>35275</v>
      </c>
      <c r="O517" t="s">
        <v>3457</v>
      </c>
      <c r="P517" t="s">
        <v>341</v>
      </c>
    </row>
    <row r="518" spans="1:16" x14ac:dyDescent="0.25">
      <c r="A518" t="s">
        <v>3177</v>
      </c>
      <c r="B518" t="s">
        <v>3177</v>
      </c>
      <c r="C518" t="s">
        <v>3181</v>
      </c>
      <c r="D518" t="s">
        <v>3755</v>
      </c>
      <c r="E518">
        <v>10410</v>
      </c>
      <c r="F518">
        <v>55</v>
      </c>
      <c r="J518" s="13" t="s">
        <v>4075</v>
      </c>
      <c r="K518" s="13">
        <v>35224</v>
      </c>
      <c r="O518" t="s">
        <v>3237</v>
      </c>
      <c r="P518" t="s">
        <v>30</v>
      </c>
    </row>
    <row r="519" spans="1:16" x14ac:dyDescent="0.25">
      <c r="A519" t="s">
        <v>3177</v>
      </c>
      <c r="B519" t="s">
        <v>3177</v>
      </c>
      <c r="C519" t="s">
        <v>3185</v>
      </c>
      <c r="D519" t="s">
        <v>3782</v>
      </c>
      <c r="E519">
        <v>10410</v>
      </c>
      <c r="F519">
        <v>1108</v>
      </c>
      <c r="J519" s="13" t="s">
        <v>4076</v>
      </c>
      <c r="K519" s="13">
        <v>35216</v>
      </c>
      <c r="O519" t="s">
        <v>3821</v>
      </c>
      <c r="P519" t="s">
        <v>21</v>
      </c>
    </row>
    <row r="520" spans="1:16" x14ac:dyDescent="0.25">
      <c r="A520" t="s">
        <v>3177</v>
      </c>
      <c r="B520" t="s">
        <v>3177</v>
      </c>
      <c r="C520" t="s">
        <v>3185</v>
      </c>
      <c r="D520" t="s">
        <v>3794</v>
      </c>
      <c r="E520">
        <v>10410</v>
      </c>
      <c r="F520">
        <v>247</v>
      </c>
      <c r="J520" s="13" t="s">
        <v>4077</v>
      </c>
      <c r="K520" s="13">
        <v>35231</v>
      </c>
      <c r="O520" t="s">
        <v>3692</v>
      </c>
      <c r="P520" t="s">
        <v>191</v>
      </c>
    </row>
    <row r="521" spans="1:16" x14ac:dyDescent="0.25">
      <c r="A521" t="s">
        <v>3177</v>
      </c>
      <c r="B521" t="s">
        <v>3177</v>
      </c>
      <c r="C521" t="s">
        <v>3185</v>
      </c>
      <c r="D521" t="s">
        <v>3807</v>
      </c>
      <c r="E521">
        <v>10410</v>
      </c>
      <c r="F521">
        <v>304</v>
      </c>
      <c r="J521" s="13" t="s">
        <v>4078</v>
      </c>
      <c r="K521" s="13">
        <v>35227</v>
      </c>
      <c r="O521" t="s">
        <v>3658</v>
      </c>
      <c r="P521" t="s">
        <v>2965</v>
      </c>
    </row>
    <row r="522" spans="1:16" x14ac:dyDescent="0.25">
      <c r="A522" t="s">
        <v>3177</v>
      </c>
      <c r="B522" t="s">
        <v>3177</v>
      </c>
      <c r="C522" t="s">
        <v>3177</v>
      </c>
      <c r="D522" t="s">
        <v>3838</v>
      </c>
      <c r="E522">
        <v>10410</v>
      </c>
      <c r="F522">
        <v>131</v>
      </c>
      <c r="J522" s="13" t="s">
        <v>4079</v>
      </c>
      <c r="K522" s="13">
        <v>21394</v>
      </c>
      <c r="O522" t="s">
        <v>3608</v>
      </c>
      <c r="P522" t="s">
        <v>997</v>
      </c>
    </row>
    <row r="523" spans="1:16" x14ac:dyDescent="0.25">
      <c r="A523" t="s">
        <v>3177</v>
      </c>
      <c r="B523" t="s">
        <v>3177</v>
      </c>
      <c r="C523" t="s">
        <v>3185</v>
      </c>
      <c r="D523" t="s">
        <v>3840</v>
      </c>
      <c r="E523">
        <v>10410</v>
      </c>
      <c r="F523">
        <v>295</v>
      </c>
      <c r="J523" s="13" t="s">
        <v>4080</v>
      </c>
      <c r="K523" s="13">
        <v>24411</v>
      </c>
      <c r="O523" t="s">
        <v>3477</v>
      </c>
      <c r="P523" t="s">
        <v>2846</v>
      </c>
    </row>
    <row r="524" spans="1:16" x14ac:dyDescent="0.25">
      <c r="A524" t="s">
        <v>3177</v>
      </c>
      <c r="B524" t="s">
        <v>3177</v>
      </c>
      <c r="C524" t="s">
        <v>3184</v>
      </c>
      <c r="D524" t="s">
        <v>3715</v>
      </c>
      <c r="E524">
        <v>10350</v>
      </c>
      <c r="F524">
        <v>346</v>
      </c>
      <c r="J524" s="13" t="s">
        <v>3480</v>
      </c>
      <c r="K524" s="13">
        <v>23381</v>
      </c>
      <c r="O524" t="s">
        <v>3529</v>
      </c>
      <c r="P524" t="s">
        <v>80</v>
      </c>
    </row>
    <row r="525" spans="1:16" x14ac:dyDescent="0.25">
      <c r="A525" t="s">
        <v>3177</v>
      </c>
      <c r="B525" t="s">
        <v>3177</v>
      </c>
      <c r="C525" t="s">
        <v>3188</v>
      </c>
      <c r="D525" t="s">
        <v>3720</v>
      </c>
      <c r="E525">
        <v>10350</v>
      </c>
      <c r="F525">
        <v>109</v>
      </c>
      <c r="J525" s="13" t="s">
        <v>3481</v>
      </c>
      <c r="K525" s="13">
        <v>53231</v>
      </c>
      <c r="O525" t="s">
        <v>3827</v>
      </c>
      <c r="P525" t="s">
        <v>2803</v>
      </c>
    </row>
    <row r="526" spans="1:16" x14ac:dyDescent="0.25">
      <c r="A526" t="s">
        <v>3177</v>
      </c>
      <c r="B526" t="s">
        <v>3177</v>
      </c>
      <c r="C526" t="s">
        <v>3177</v>
      </c>
      <c r="D526" t="s">
        <v>3721</v>
      </c>
      <c r="E526">
        <v>10350</v>
      </c>
      <c r="F526">
        <v>956</v>
      </c>
      <c r="J526" s="13" t="s">
        <v>4081</v>
      </c>
      <c r="K526" s="13">
        <v>31111</v>
      </c>
      <c r="O526" t="s">
        <v>3847</v>
      </c>
      <c r="P526" t="s">
        <v>806</v>
      </c>
    </row>
    <row r="527" spans="1:16" x14ac:dyDescent="0.25">
      <c r="A527" t="s">
        <v>3177</v>
      </c>
      <c r="B527" t="s">
        <v>3177</v>
      </c>
      <c r="C527" t="s">
        <v>3188</v>
      </c>
      <c r="D527" t="s">
        <v>3727</v>
      </c>
      <c r="E527">
        <v>10350</v>
      </c>
      <c r="F527">
        <v>193</v>
      </c>
      <c r="J527" s="13" t="s">
        <v>3482</v>
      </c>
      <c r="K527" s="13">
        <v>23259</v>
      </c>
      <c r="O527" t="s">
        <v>3413</v>
      </c>
      <c r="P527" t="s">
        <v>755</v>
      </c>
    </row>
    <row r="528" spans="1:16" x14ac:dyDescent="0.25">
      <c r="A528" t="s">
        <v>3177</v>
      </c>
      <c r="B528" t="s">
        <v>3177</v>
      </c>
      <c r="C528" t="s">
        <v>3190</v>
      </c>
      <c r="D528" t="s">
        <v>3744</v>
      </c>
      <c r="E528">
        <v>10350</v>
      </c>
      <c r="F528">
        <v>550</v>
      </c>
      <c r="J528" s="13" t="s">
        <v>3483</v>
      </c>
      <c r="K528" s="13">
        <v>22419</v>
      </c>
      <c r="O528" t="s">
        <v>3644</v>
      </c>
      <c r="P528" t="s">
        <v>2895</v>
      </c>
    </row>
    <row r="529" spans="1:16" x14ac:dyDescent="0.25">
      <c r="A529" t="s">
        <v>3177</v>
      </c>
      <c r="B529" t="s">
        <v>3177</v>
      </c>
      <c r="C529" t="s">
        <v>3192</v>
      </c>
      <c r="D529" t="s">
        <v>3747</v>
      </c>
      <c r="E529">
        <v>10350</v>
      </c>
      <c r="F529">
        <v>168</v>
      </c>
      <c r="J529" s="13" t="s">
        <v>4082</v>
      </c>
      <c r="K529" s="13">
        <v>35351</v>
      </c>
      <c r="O529" t="s">
        <v>3339</v>
      </c>
      <c r="P529" t="s">
        <v>2895</v>
      </c>
    </row>
    <row r="530" spans="1:16" x14ac:dyDescent="0.25">
      <c r="A530" t="s">
        <v>3177</v>
      </c>
      <c r="B530" t="s">
        <v>3177</v>
      </c>
      <c r="C530" t="s">
        <v>3193</v>
      </c>
      <c r="D530" t="s">
        <v>3749</v>
      </c>
      <c r="E530">
        <v>10350</v>
      </c>
      <c r="F530">
        <v>1511</v>
      </c>
      <c r="J530" s="13" t="s">
        <v>4083</v>
      </c>
      <c r="K530" s="13">
        <v>32181</v>
      </c>
      <c r="O530" t="s">
        <v>3288</v>
      </c>
      <c r="P530" t="s">
        <v>1022</v>
      </c>
    </row>
    <row r="531" spans="1:16" x14ac:dyDescent="0.25">
      <c r="A531" t="s">
        <v>3177</v>
      </c>
      <c r="B531" t="s">
        <v>3177</v>
      </c>
      <c r="C531" t="s">
        <v>3188</v>
      </c>
      <c r="D531" t="s">
        <v>3761</v>
      </c>
      <c r="E531">
        <v>10350</v>
      </c>
      <c r="F531">
        <v>262</v>
      </c>
      <c r="J531" s="13" t="s">
        <v>3484</v>
      </c>
      <c r="K531" s="13">
        <v>32185</v>
      </c>
      <c r="O531" t="s">
        <v>3719</v>
      </c>
      <c r="P531" t="s">
        <v>2803</v>
      </c>
    </row>
    <row r="532" spans="1:16" x14ac:dyDescent="0.25">
      <c r="A532" t="s">
        <v>3177</v>
      </c>
      <c r="B532" t="s">
        <v>3177</v>
      </c>
      <c r="C532" t="s">
        <v>29</v>
      </c>
      <c r="D532" t="s">
        <v>3766</v>
      </c>
      <c r="E532">
        <v>10350</v>
      </c>
      <c r="F532">
        <v>84</v>
      </c>
      <c r="J532" s="13" t="s">
        <v>3485</v>
      </c>
      <c r="K532" s="13">
        <v>32159</v>
      </c>
      <c r="O532" t="s">
        <v>3738</v>
      </c>
      <c r="P532" t="s">
        <v>2803</v>
      </c>
    </row>
    <row r="533" spans="1:16" x14ac:dyDescent="0.25">
      <c r="A533" t="s">
        <v>3177</v>
      </c>
      <c r="B533" t="s">
        <v>3177</v>
      </c>
      <c r="C533" t="s">
        <v>3177</v>
      </c>
      <c r="D533" t="s">
        <v>3795</v>
      </c>
      <c r="E533">
        <v>10350</v>
      </c>
      <c r="F533">
        <v>250</v>
      </c>
      <c r="J533" s="13" t="s">
        <v>4084</v>
      </c>
      <c r="K533" s="13">
        <v>32163</v>
      </c>
      <c r="O533" t="s">
        <v>3784</v>
      </c>
      <c r="P533" t="s">
        <v>2803</v>
      </c>
    </row>
    <row r="534" spans="1:16" x14ac:dyDescent="0.25">
      <c r="A534" t="s">
        <v>3177</v>
      </c>
      <c r="B534" t="s">
        <v>3177</v>
      </c>
      <c r="C534" t="s">
        <v>3177</v>
      </c>
      <c r="D534" t="s">
        <v>3803</v>
      </c>
      <c r="E534">
        <v>10350</v>
      </c>
      <c r="F534">
        <v>210</v>
      </c>
      <c r="J534" s="13" t="s">
        <v>4085</v>
      </c>
      <c r="K534" s="13">
        <v>10350</v>
      </c>
      <c r="O534" t="s">
        <v>3266</v>
      </c>
      <c r="P534" t="s">
        <v>1087</v>
      </c>
    </row>
    <row r="535" spans="1:16" x14ac:dyDescent="0.25">
      <c r="A535" t="s">
        <v>3177</v>
      </c>
      <c r="B535" t="s">
        <v>3177</v>
      </c>
      <c r="C535" t="s">
        <v>3191</v>
      </c>
      <c r="D535" t="s">
        <v>3804</v>
      </c>
      <c r="E535">
        <v>10350</v>
      </c>
      <c r="F535">
        <v>1300</v>
      </c>
      <c r="J535" s="13" t="s">
        <v>3486</v>
      </c>
      <c r="K535" s="13">
        <v>55137</v>
      </c>
      <c r="O535" t="s">
        <v>3661</v>
      </c>
      <c r="P535" t="s">
        <v>1096</v>
      </c>
    </row>
    <row r="536" spans="1:16" x14ac:dyDescent="0.25">
      <c r="A536" t="s">
        <v>3177</v>
      </c>
      <c r="B536" t="s">
        <v>3177</v>
      </c>
      <c r="C536" t="s">
        <v>3192</v>
      </c>
      <c r="D536" t="s">
        <v>3809</v>
      </c>
      <c r="E536">
        <v>10350</v>
      </c>
      <c r="F536">
        <v>204</v>
      </c>
      <c r="J536" s="13" t="s">
        <v>4086</v>
      </c>
      <c r="K536" s="13">
        <v>74128</v>
      </c>
      <c r="O536" t="s">
        <v>3734</v>
      </c>
      <c r="P536" t="s">
        <v>18</v>
      </c>
    </row>
    <row r="537" spans="1:16" x14ac:dyDescent="0.25">
      <c r="A537" t="s">
        <v>3177</v>
      </c>
      <c r="B537" t="s">
        <v>3177</v>
      </c>
      <c r="C537" t="s">
        <v>3191</v>
      </c>
      <c r="D537" t="s">
        <v>3819</v>
      </c>
      <c r="E537">
        <v>10310</v>
      </c>
      <c r="F537">
        <v>800</v>
      </c>
      <c r="J537" s="13" t="s">
        <v>3487</v>
      </c>
      <c r="K537" s="13">
        <v>74124</v>
      </c>
      <c r="O537" t="s">
        <v>3710</v>
      </c>
      <c r="P537" t="s">
        <v>28</v>
      </c>
    </row>
    <row r="538" spans="1:16" x14ac:dyDescent="0.25">
      <c r="A538" t="s">
        <v>3177</v>
      </c>
      <c r="B538" t="s">
        <v>3177</v>
      </c>
      <c r="C538" t="s">
        <v>3191</v>
      </c>
      <c r="D538" t="s">
        <v>3820</v>
      </c>
      <c r="E538">
        <v>10310</v>
      </c>
      <c r="F538">
        <v>560</v>
      </c>
      <c r="J538" s="13" t="s">
        <v>3756</v>
      </c>
      <c r="K538" s="13">
        <v>10310</v>
      </c>
      <c r="O538" t="s">
        <v>3730</v>
      </c>
      <c r="P538" t="s">
        <v>21</v>
      </c>
    </row>
    <row r="539" spans="1:16" x14ac:dyDescent="0.25">
      <c r="A539" t="s">
        <v>3177</v>
      </c>
      <c r="B539" t="s">
        <v>3177</v>
      </c>
      <c r="C539" t="s">
        <v>3197</v>
      </c>
      <c r="D539" t="s">
        <v>3821</v>
      </c>
      <c r="E539">
        <v>10310</v>
      </c>
      <c r="F539">
        <v>350</v>
      </c>
      <c r="J539" s="13" t="s">
        <v>4087</v>
      </c>
      <c r="K539" s="13">
        <v>52295</v>
      </c>
      <c r="O539" t="s">
        <v>3760</v>
      </c>
      <c r="P539" t="s">
        <v>21</v>
      </c>
    </row>
    <row r="540" spans="1:16" x14ac:dyDescent="0.25">
      <c r="A540" t="s">
        <v>3177</v>
      </c>
      <c r="B540" t="s">
        <v>3177</v>
      </c>
      <c r="C540" t="s">
        <v>1569</v>
      </c>
      <c r="D540" t="s">
        <v>3822</v>
      </c>
      <c r="E540">
        <v>10310</v>
      </c>
      <c r="F540">
        <v>400</v>
      </c>
      <c r="J540" s="13" t="s">
        <v>4088</v>
      </c>
      <c r="K540" s="13">
        <v>55171</v>
      </c>
      <c r="O540" t="s">
        <v>3727</v>
      </c>
      <c r="P540" t="s">
        <v>22</v>
      </c>
    </row>
    <row r="541" spans="1:16" x14ac:dyDescent="0.25">
      <c r="A541" t="s">
        <v>3177</v>
      </c>
      <c r="B541" t="s">
        <v>3177</v>
      </c>
      <c r="C541" t="s">
        <v>1569</v>
      </c>
      <c r="D541" t="s">
        <v>3823</v>
      </c>
      <c r="E541">
        <v>10310</v>
      </c>
      <c r="F541">
        <v>560</v>
      </c>
      <c r="J541" s="13" t="s">
        <v>3488</v>
      </c>
      <c r="K541" s="13">
        <v>55181</v>
      </c>
      <c r="O541" t="s">
        <v>3322</v>
      </c>
      <c r="P541" t="s">
        <v>600</v>
      </c>
    </row>
    <row r="542" spans="1:16" x14ac:dyDescent="0.25">
      <c r="A542" t="s">
        <v>3177</v>
      </c>
      <c r="B542" t="s">
        <v>3177</v>
      </c>
      <c r="C542" t="s">
        <v>3182</v>
      </c>
      <c r="D542" t="s">
        <v>3713</v>
      </c>
      <c r="E542">
        <v>10310</v>
      </c>
      <c r="F542">
        <v>1000</v>
      </c>
      <c r="J542" s="13" t="s">
        <v>3489</v>
      </c>
      <c r="K542" s="13">
        <v>55157</v>
      </c>
      <c r="O542" t="s">
        <v>3321</v>
      </c>
      <c r="P542" t="s">
        <v>702</v>
      </c>
    </row>
    <row r="543" spans="1:16" x14ac:dyDescent="0.25">
      <c r="A543" t="s">
        <v>3177</v>
      </c>
      <c r="B543" t="s">
        <v>3177</v>
      </c>
      <c r="C543" t="s">
        <v>3180</v>
      </c>
      <c r="D543" t="s">
        <v>3716</v>
      </c>
      <c r="E543">
        <v>10310</v>
      </c>
      <c r="F543">
        <v>440</v>
      </c>
      <c r="J543" s="13" t="s">
        <v>4089</v>
      </c>
      <c r="K543" s="13">
        <v>22155</v>
      </c>
      <c r="O543" t="s">
        <v>3417</v>
      </c>
      <c r="P543" t="s">
        <v>438</v>
      </c>
    </row>
    <row r="544" spans="1:16" x14ac:dyDescent="0.25">
      <c r="A544" t="s">
        <v>3177</v>
      </c>
      <c r="B544" t="s">
        <v>3177</v>
      </c>
      <c r="C544" t="s">
        <v>3177</v>
      </c>
      <c r="D544" t="s">
        <v>3722</v>
      </c>
      <c r="E544">
        <v>10310</v>
      </c>
      <c r="F544">
        <v>130</v>
      </c>
      <c r="J544" s="13" t="s">
        <v>4090</v>
      </c>
      <c r="K544" s="13">
        <v>61119</v>
      </c>
      <c r="O544" t="s">
        <v>3693</v>
      </c>
      <c r="P544" t="s">
        <v>2830</v>
      </c>
    </row>
    <row r="545" spans="1:16" x14ac:dyDescent="0.25">
      <c r="A545" t="s">
        <v>3177</v>
      </c>
      <c r="B545" t="s">
        <v>3177</v>
      </c>
      <c r="C545" t="s">
        <v>3191</v>
      </c>
      <c r="D545" t="s">
        <v>3726</v>
      </c>
      <c r="E545">
        <v>10310</v>
      </c>
      <c r="F545">
        <v>700</v>
      </c>
      <c r="J545" s="13" t="s">
        <v>4091</v>
      </c>
      <c r="K545" s="13">
        <v>37341</v>
      </c>
      <c r="O545" t="s">
        <v>3711</v>
      </c>
      <c r="P545" t="s">
        <v>2803</v>
      </c>
    </row>
    <row r="546" spans="1:16" x14ac:dyDescent="0.25">
      <c r="A546" t="s">
        <v>3177</v>
      </c>
      <c r="B546" t="s">
        <v>3177</v>
      </c>
      <c r="C546" t="s">
        <v>3182</v>
      </c>
      <c r="D546" t="s">
        <v>3729</v>
      </c>
      <c r="E546">
        <v>10310</v>
      </c>
      <c r="F546">
        <v>43</v>
      </c>
      <c r="J546" s="13" t="s">
        <v>4092</v>
      </c>
      <c r="K546" s="13">
        <v>74111</v>
      </c>
      <c r="O546" t="s">
        <v>3743</v>
      </c>
      <c r="P546" t="s">
        <v>21</v>
      </c>
    </row>
    <row r="547" spans="1:16" x14ac:dyDescent="0.25">
      <c r="A547" t="s">
        <v>3177</v>
      </c>
      <c r="B547" t="s">
        <v>3177</v>
      </c>
      <c r="C547" t="s">
        <v>3190</v>
      </c>
      <c r="D547" t="s">
        <v>3730</v>
      </c>
      <c r="E547">
        <v>10310</v>
      </c>
      <c r="F547">
        <v>409</v>
      </c>
      <c r="J547" s="17" t="s">
        <v>4093</v>
      </c>
      <c r="K547" s="13">
        <v>74175</v>
      </c>
      <c r="O547" t="s">
        <v>3433</v>
      </c>
      <c r="P547" t="s">
        <v>1267</v>
      </c>
    </row>
    <row r="548" spans="1:16" x14ac:dyDescent="0.25">
      <c r="A548" t="s">
        <v>3177</v>
      </c>
      <c r="B548" t="s">
        <v>3177</v>
      </c>
      <c r="C548" t="s">
        <v>3191</v>
      </c>
      <c r="D548" t="s">
        <v>3732</v>
      </c>
      <c r="E548">
        <v>10310</v>
      </c>
      <c r="F548">
        <v>1000</v>
      </c>
      <c r="J548" s="13" t="s">
        <v>4094</v>
      </c>
      <c r="K548" s="13">
        <v>74124</v>
      </c>
      <c r="O548" t="s">
        <v>3763</v>
      </c>
      <c r="P548" t="s">
        <v>17</v>
      </c>
    </row>
    <row r="549" spans="1:16" x14ac:dyDescent="0.25">
      <c r="A549" t="s">
        <v>3177</v>
      </c>
      <c r="B549" t="s">
        <v>3177</v>
      </c>
      <c r="C549" t="s">
        <v>3177</v>
      </c>
      <c r="D549" t="s">
        <v>3733</v>
      </c>
      <c r="E549">
        <v>10310</v>
      </c>
      <c r="F549">
        <v>684</v>
      </c>
      <c r="J549" s="13" t="s">
        <v>4095</v>
      </c>
      <c r="K549" s="13">
        <v>52264</v>
      </c>
      <c r="O549" t="s">
        <v>3825</v>
      </c>
      <c r="P549" t="s">
        <v>18</v>
      </c>
    </row>
    <row r="550" spans="1:16" x14ac:dyDescent="0.25">
      <c r="A550" t="s">
        <v>3177</v>
      </c>
      <c r="B550" t="s">
        <v>3177</v>
      </c>
      <c r="C550" t="s">
        <v>3191</v>
      </c>
      <c r="D550" t="s">
        <v>3737</v>
      </c>
      <c r="E550">
        <v>10310</v>
      </c>
      <c r="F550">
        <v>365</v>
      </c>
      <c r="J550" s="13" t="s">
        <v>4096</v>
      </c>
      <c r="K550" s="13">
        <v>51231</v>
      </c>
      <c r="O550" t="s">
        <v>3355</v>
      </c>
      <c r="P550" t="s">
        <v>48</v>
      </c>
    </row>
    <row r="551" spans="1:16" x14ac:dyDescent="0.25">
      <c r="A551" t="s">
        <v>3177</v>
      </c>
      <c r="B551" t="s">
        <v>3177</v>
      </c>
      <c r="C551" t="s">
        <v>1570</v>
      </c>
      <c r="D551" t="s">
        <v>3740</v>
      </c>
      <c r="E551">
        <v>10310</v>
      </c>
      <c r="F551">
        <v>125</v>
      </c>
      <c r="J551" s="13" t="s">
        <v>3490</v>
      </c>
      <c r="K551" s="13">
        <v>51111</v>
      </c>
      <c r="O551" t="s">
        <v>3818</v>
      </c>
      <c r="P551" t="s">
        <v>21</v>
      </c>
    </row>
    <row r="552" spans="1:16" x14ac:dyDescent="0.25">
      <c r="A552" t="s">
        <v>3177</v>
      </c>
      <c r="B552" t="s">
        <v>3177</v>
      </c>
      <c r="C552" t="s">
        <v>3180</v>
      </c>
      <c r="D552" t="s">
        <v>3742</v>
      </c>
      <c r="E552">
        <v>10310</v>
      </c>
      <c r="F552">
        <v>286</v>
      </c>
      <c r="J552" s="13" t="s">
        <v>4097</v>
      </c>
      <c r="K552" s="13">
        <v>63111</v>
      </c>
      <c r="O552" t="s">
        <v>3264</v>
      </c>
      <c r="P552" t="s">
        <v>1033</v>
      </c>
    </row>
    <row r="553" spans="1:16" x14ac:dyDescent="0.25">
      <c r="A553" t="s">
        <v>3177</v>
      </c>
      <c r="B553" t="s">
        <v>3177</v>
      </c>
      <c r="C553" t="s">
        <v>3191</v>
      </c>
      <c r="D553" t="s">
        <v>3743</v>
      </c>
      <c r="E553">
        <v>10310</v>
      </c>
      <c r="F553">
        <v>545</v>
      </c>
      <c r="J553" s="13" t="s">
        <v>3491</v>
      </c>
      <c r="K553" s="13">
        <v>53111</v>
      </c>
      <c r="O553" t="s">
        <v>3242</v>
      </c>
      <c r="P553" t="s">
        <v>1191</v>
      </c>
    </row>
    <row r="554" spans="1:16" x14ac:dyDescent="0.25">
      <c r="A554" t="s">
        <v>3177</v>
      </c>
      <c r="B554" t="s">
        <v>3177</v>
      </c>
      <c r="C554" t="s">
        <v>3190</v>
      </c>
      <c r="D554" t="s">
        <v>3745</v>
      </c>
      <c r="E554">
        <v>10310</v>
      </c>
      <c r="F554">
        <v>354</v>
      </c>
      <c r="J554" s="13" t="s">
        <v>4098</v>
      </c>
      <c r="K554" s="13">
        <v>34111</v>
      </c>
      <c r="O554" t="s">
        <v>3279</v>
      </c>
      <c r="P554" t="s">
        <v>1193</v>
      </c>
    </row>
    <row r="555" spans="1:16" x14ac:dyDescent="0.25">
      <c r="A555" t="s">
        <v>3177</v>
      </c>
      <c r="B555" t="s">
        <v>3177</v>
      </c>
      <c r="C555" t="s">
        <v>3191</v>
      </c>
      <c r="D555" t="s">
        <v>3756</v>
      </c>
      <c r="E555">
        <v>10310</v>
      </c>
      <c r="F555">
        <v>300</v>
      </c>
      <c r="J555" s="13" t="s">
        <v>4099</v>
      </c>
      <c r="K555" s="13">
        <v>34111</v>
      </c>
      <c r="O555" t="s">
        <v>3609</v>
      </c>
      <c r="P555" t="s">
        <v>1192</v>
      </c>
    </row>
    <row r="556" spans="1:16" x14ac:dyDescent="0.25">
      <c r="A556" t="s">
        <v>3177</v>
      </c>
      <c r="B556" t="s">
        <v>3177</v>
      </c>
      <c r="C556" t="s">
        <v>3191</v>
      </c>
      <c r="D556" t="s">
        <v>3759</v>
      </c>
      <c r="E556">
        <v>10310</v>
      </c>
      <c r="F556">
        <v>64</v>
      </c>
      <c r="J556" s="13" t="s">
        <v>4100</v>
      </c>
      <c r="K556" s="13">
        <v>34177</v>
      </c>
      <c r="O556" t="s">
        <v>3308</v>
      </c>
      <c r="P556" t="s">
        <v>1192</v>
      </c>
    </row>
    <row r="557" spans="1:16" x14ac:dyDescent="0.25">
      <c r="A557" t="s">
        <v>3177</v>
      </c>
      <c r="B557" t="s">
        <v>3177</v>
      </c>
      <c r="C557" t="s">
        <v>3180</v>
      </c>
      <c r="D557" t="s">
        <v>3760</v>
      </c>
      <c r="E557">
        <v>10310</v>
      </c>
      <c r="F557">
        <v>229</v>
      </c>
      <c r="J557" s="13" t="s">
        <v>3757</v>
      </c>
      <c r="K557" s="13">
        <v>10210</v>
      </c>
      <c r="O557" t="s">
        <v>3795</v>
      </c>
      <c r="P557" t="s">
        <v>22</v>
      </c>
    </row>
    <row r="558" spans="1:16" x14ac:dyDescent="0.25">
      <c r="A558" t="s">
        <v>3177</v>
      </c>
      <c r="B558" t="s">
        <v>3177</v>
      </c>
      <c r="C558" t="s">
        <v>3182</v>
      </c>
      <c r="D558" t="s">
        <v>3764</v>
      </c>
      <c r="E558">
        <v>10310</v>
      </c>
      <c r="F558">
        <v>380</v>
      </c>
      <c r="J558" s="13" t="s">
        <v>3758</v>
      </c>
      <c r="K558" s="13">
        <v>10250</v>
      </c>
      <c r="O558" t="s">
        <v>3579</v>
      </c>
      <c r="P558" t="s">
        <v>474</v>
      </c>
    </row>
    <row r="559" spans="1:16" x14ac:dyDescent="0.25">
      <c r="A559" t="s">
        <v>3177</v>
      </c>
      <c r="B559" t="s">
        <v>3177</v>
      </c>
      <c r="C559" t="s">
        <v>3180</v>
      </c>
      <c r="D559" t="s">
        <v>3770</v>
      </c>
      <c r="E559">
        <v>10310</v>
      </c>
      <c r="F559">
        <v>400</v>
      </c>
      <c r="J559" s="13" t="s">
        <v>4101</v>
      </c>
      <c r="K559" s="13">
        <v>61277</v>
      </c>
      <c r="O559" t="s">
        <v>3823</v>
      </c>
      <c r="P559" t="s">
        <v>21</v>
      </c>
    </row>
    <row r="560" spans="1:16" x14ac:dyDescent="0.25">
      <c r="A560" t="s">
        <v>3177</v>
      </c>
      <c r="B560" t="s">
        <v>3177</v>
      </c>
      <c r="C560" t="s">
        <v>3188</v>
      </c>
      <c r="D560" t="s">
        <v>3771</v>
      </c>
      <c r="E560">
        <v>10310</v>
      </c>
      <c r="F560">
        <v>130</v>
      </c>
      <c r="J560" s="13" t="s">
        <v>3492</v>
      </c>
      <c r="K560" s="13">
        <v>61115</v>
      </c>
      <c r="O560" t="s">
        <v>3271</v>
      </c>
      <c r="P560" t="s">
        <v>341</v>
      </c>
    </row>
    <row r="561" spans="1:16" x14ac:dyDescent="0.25">
      <c r="A561" t="s">
        <v>3177</v>
      </c>
      <c r="B561" t="s">
        <v>3177</v>
      </c>
      <c r="C561" t="s">
        <v>1569</v>
      </c>
      <c r="D561" t="s">
        <v>3772</v>
      </c>
      <c r="E561">
        <v>10310</v>
      </c>
      <c r="F561">
        <v>420</v>
      </c>
      <c r="J561" s="13" t="s">
        <v>4102</v>
      </c>
      <c r="K561" s="13">
        <v>22797</v>
      </c>
      <c r="O561" t="s">
        <v>3294</v>
      </c>
      <c r="P561" t="s">
        <v>1541</v>
      </c>
    </row>
    <row r="562" spans="1:16" x14ac:dyDescent="0.25">
      <c r="A562" t="s">
        <v>3177</v>
      </c>
      <c r="B562" t="s">
        <v>3177</v>
      </c>
      <c r="C562" t="s">
        <v>3182</v>
      </c>
      <c r="D562" t="s">
        <v>3773</v>
      </c>
      <c r="E562">
        <v>10310</v>
      </c>
      <c r="F562">
        <v>52</v>
      </c>
      <c r="J562" s="13" t="s">
        <v>3493</v>
      </c>
      <c r="K562" s="13">
        <v>22754</v>
      </c>
      <c r="O562" t="s">
        <v>4344</v>
      </c>
      <c r="P562" t="s">
        <v>30</v>
      </c>
    </row>
    <row r="563" spans="1:16" x14ac:dyDescent="0.25">
      <c r="A563" t="s">
        <v>3177</v>
      </c>
      <c r="B563" t="s">
        <v>3177</v>
      </c>
      <c r="C563" t="s">
        <v>3180</v>
      </c>
      <c r="D563" t="s">
        <v>3775</v>
      </c>
      <c r="E563">
        <v>10310</v>
      </c>
      <c r="F563">
        <v>36</v>
      </c>
      <c r="J563" s="13" t="s">
        <v>3494</v>
      </c>
      <c r="K563" s="13">
        <v>33129</v>
      </c>
      <c r="O563" t="s">
        <v>3376</v>
      </c>
      <c r="P563" t="s">
        <v>2815</v>
      </c>
    </row>
    <row r="564" spans="1:16" x14ac:dyDescent="0.25">
      <c r="A564" t="s">
        <v>3177</v>
      </c>
      <c r="B564" t="s">
        <v>3177</v>
      </c>
      <c r="C564" t="s">
        <v>3191</v>
      </c>
      <c r="D564" t="s">
        <v>3797</v>
      </c>
      <c r="E564">
        <v>10310</v>
      </c>
      <c r="F564">
        <v>77</v>
      </c>
      <c r="J564" s="13" t="s">
        <v>3495</v>
      </c>
      <c r="K564" s="13">
        <v>61159</v>
      </c>
      <c r="O564" t="s">
        <v>3731</v>
      </c>
      <c r="P564" t="s">
        <v>2803</v>
      </c>
    </row>
    <row r="565" spans="1:16" x14ac:dyDescent="0.25">
      <c r="A565" t="s">
        <v>3177</v>
      </c>
      <c r="B565" t="s">
        <v>3177</v>
      </c>
      <c r="C565" t="s">
        <v>3184</v>
      </c>
      <c r="D565" t="s">
        <v>3799</v>
      </c>
      <c r="E565">
        <v>10310</v>
      </c>
      <c r="F565">
        <v>310</v>
      </c>
      <c r="J565" s="13" t="s">
        <v>3496</v>
      </c>
      <c r="K565" s="13">
        <v>37231</v>
      </c>
      <c r="O565" t="s">
        <v>3368</v>
      </c>
      <c r="P565" t="s">
        <v>997</v>
      </c>
    </row>
    <row r="566" spans="1:16" x14ac:dyDescent="0.25">
      <c r="A566" t="s">
        <v>3177</v>
      </c>
      <c r="B566" t="s">
        <v>3177</v>
      </c>
      <c r="C566" t="s">
        <v>3180</v>
      </c>
      <c r="D566" t="s">
        <v>3805</v>
      </c>
      <c r="E566">
        <v>10310</v>
      </c>
      <c r="F566">
        <v>115</v>
      </c>
      <c r="J566" s="13" t="s">
        <v>4103</v>
      </c>
      <c r="K566" s="13">
        <v>37231</v>
      </c>
      <c r="O566" t="s">
        <v>3396</v>
      </c>
      <c r="P566" t="s">
        <v>200</v>
      </c>
    </row>
    <row r="567" spans="1:16" x14ac:dyDescent="0.25">
      <c r="A567" t="s">
        <v>3177</v>
      </c>
      <c r="B567" t="s">
        <v>3177</v>
      </c>
      <c r="C567" t="s">
        <v>3177</v>
      </c>
      <c r="D567" t="s">
        <v>3806</v>
      </c>
      <c r="E567">
        <v>10310</v>
      </c>
      <c r="F567">
        <v>25</v>
      </c>
      <c r="J567" s="13" t="s">
        <v>4104</v>
      </c>
      <c r="K567" s="13">
        <v>31176</v>
      </c>
      <c r="O567" t="s">
        <v>3399</v>
      </c>
      <c r="P567" t="s">
        <v>2814</v>
      </c>
    </row>
    <row r="568" spans="1:16" x14ac:dyDescent="0.25">
      <c r="A568" t="s">
        <v>3177</v>
      </c>
      <c r="B568" t="s">
        <v>3177</v>
      </c>
      <c r="C568" t="s">
        <v>3190</v>
      </c>
      <c r="D568" t="s">
        <v>3808</v>
      </c>
      <c r="E568">
        <v>10310</v>
      </c>
      <c r="F568">
        <v>251</v>
      </c>
      <c r="J568" s="13" t="s">
        <v>4105</v>
      </c>
      <c r="K568" s="13">
        <v>33251</v>
      </c>
      <c r="O568" t="s">
        <v>3410</v>
      </c>
      <c r="P568" t="s">
        <v>2814</v>
      </c>
    </row>
    <row r="569" spans="1:16" x14ac:dyDescent="0.25">
      <c r="A569" t="s">
        <v>3177</v>
      </c>
      <c r="B569" t="s">
        <v>3177</v>
      </c>
      <c r="C569" t="s">
        <v>3191</v>
      </c>
      <c r="D569" t="s">
        <v>3814</v>
      </c>
      <c r="E569">
        <v>10310</v>
      </c>
      <c r="F569">
        <v>330</v>
      </c>
      <c r="J569" s="13" t="s">
        <v>3497</v>
      </c>
      <c r="K569" s="13">
        <v>31151</v>
      </c>
      <c r="O569" t="s">
        <v>3797</v>
      </c>
      <c r="P569" t="s">
        <v>21</v>
      </c>
    </row>
    <row r="570" spans="1:16" x14ac:dyDescent="0.25">
      <c r="A570" t="s">
        <v>3177</v>
      </c>
      <c r="B570" t="s">
        <v>3177</v>
      </c>
      <c r="C570" t="s">
        <v>3185</v>
      </c>
      <c r="D570" t="s">
        <v>3815</v>
      </c>
      <c r="E570">
        <v>10310</v>
      </c>
      <c r="F570">
        <v>120</v>
      </c>
      <c r="J570" s="13" t="s">
        <v>4106</v>
      </c>
      <c r="K570" s="13">
        <v>31111</v>
      </c>
      <c r="O570" t="s">
        <v>3586</v>
      </c>
      <c r="P570" t="s">
        <v>316</v>
      </c>
    </row>
    <row r="571" spans="1:16" x14ac:dyDescent="0.25">
      <c r="A571" t="s">
        <v>3177</v>
      </c>
      <c r="B571" t="s">
        <v>3177</v>
      </c>
      <c r="C571" t="s">
        <v>3191</v>
      </c>
      <c r="D571" t="s">
        <v>3816</v>
      </c>
      <c r="E571">
        <v>10310</v>
      </c>
      <c r="F571">
        <v>129</v>
      </c>
      <c r="J571" s="13" t="s">
        <v>4107</v>
      </c>
      <c r="K571" s="13">
        <v>35352</v>
      </c>
      <c r="O571" t="s">
        <v>3464</v>
      </c>
      <c r="P571" t="s">
        <v>347</v>
      </c>
    </row>
    <row r="572" spans="1:16" x14ac:dyDescent="0.25">
      <c r="A572" t="s">
        <v>3177</v>
      </c>
      <c r="B572" t="s">
        <v>3177</v>
      </c>
      <c r="C572" t="s">
        <v>3180</v>
      </c>
      <c r="D572" t="s">
        <v>3817</v>
      </c>
      <c r="E572">
        <v>10310</v>
      </c>
      <c r="F572">
        <v>170</v>
      </c>
      <c r="J572" s="13" t="s">
        <v>4108</v>
      </c>
      <c r="K572" s="13">
        <v>32117</v>
      </c>
      <c r="O572" t="s">
        <v>3315</v>
      </c>
      <c r="P572" t="s">
        <v>1196</v>
      </c>
    </row>
    <row r="573" spans="1:16" x14ac:dyDescent="0.25">
      <c r="A573" t="s">
        <v>3177</v>
      </c>
      <c r="B573" t="s">
        <v>3177</v>
      </c>
      <c r="C573" t="s">
        <v>3180</v>
      </c>
      <c r="D573" t="s">
        <v>3818</v>
      </c>
      <c r="E573">
        <v>10310</v>
      </c>
      <c r="F573">
        <v>300</v>
      </c>
      <c r="J573" s="13" t="s">
        <v>3498</v>
      </c>
      <c r="K573" s="13">
        <v>24375</v>
      </c>
      <c r="O573" t="s">
        <v>3718</v>
      </c>
      <c r="P573" t="s">
        <v>18</v>
      </c>
    </row>
    <row r="574" spans="1:16" x14ac:dyDescent="0.25">
      <c r="A574" t="s">
        <v>3177</v>
      </c>
      <c r="B574" t="s">
        <v>3177</v>
      </c>
      <c r="C574" t="s">
        <v>3183</v>
      </c>
      <c r="D574" t="s">
        <v>3826</v>
      </c>
      <c r="E574">
        <v>10250</v>
      </c>
      <c r="F574">
        <v>63</v>
      </c>
      <c r="J574" s="16" t="s">
        <v>3872</v>
      </c>
      <c r="K574" s="16">
        <v>10310</v>
      </c>
      <c r="O574" t="s">
        <v>3285</v>
      </c>
      <c r="P574" t="s">
        <v>565</v>
      </c>
    </row>
    <row r="575" spans="1:16" x14ac:dyDescent="0.25">
      <c r="A575" t="s">
        <v>3177</v>
      </c>
      <c r="B575" t="s">
        <v>3177</v>
      </c>
      <c r="C575" t="s">
        <v>3183</v>
      </c>
      <c r="D575" t="s">
        <v>3851</v>
      </c>
      <c r="E575">
        <v>10250</v>
      </c>
      <c r="F575">
        <v>100</v>
      </c>
      <c r="J575" s="13" t="s">
        <v>4109</v>
      </c>
      <c r="K575" s="13">
        <v>23251</v>
      </c>
      <c r="O575" t="s">
        <v>3329</v>
      </c>
      <c r="P575" t="s">
        <v>723</v>
      </c>
    </row>
    <row r="576" spans="1:16" x14ac:dyDescent="0.25">
      <c r="A576" t="s">
        <v>3177</v>
      </c>
      <c r="B576" t="s">
        <v>3177</v>
      </c>
      <c r="C576" t="s">
        <v>3183</v>
      </c>
      <c r="D576" t="s">
        <v>3852</v>
      </c>
      <c r="E576">
        <v>10250</v>
      </c>
      <c r="F576">
        <v>1320</v>
      </c>
      <c r="J576" s="13" t="s">
        <v>4110</v>
      </c>
      <c r="K576" s="13">
        <v>23211</v>
      </c>
      <c r="O576" t="s">
        <v>3306</v>
      </c>
      <c r="P576" t="s">
        <v>1143</v>
      </c>
    </row>
    <row r="577" spans="1:16" x14ac:dyDescent="0.25">
      <c r="A577" t="s">
        <v>3177</v>
      </c>
      <c r="B577" t="s">
        <v>3177</v>
      </c>
      <c r="C577" t="s">
        <v>3183</v>
      </c>
      <c r="D577" t="s">
        <v>3714</v>
      </c>
      <c r="E577">
        <v>10250</v>
      </c>
      <c r="F577">
        <v>57</v>
      </c>
      <c r="J577" s="13" t="s">
        <v>3499</v>
      </c>
      <c r="K577" s="13">
        <v>51217</v>
      </c>
      <c r="O577" t="s">
        <v>3677</v>
      </c>
      <c r="P577" t="s">
        <v>1113</v>
      </c>
    </row>
    <row r="578" spans="1:16" x14ac:dyDescent="0.25">
      <c r="A578" t="s">
        <v>3177</v>
      </c>
      <c r="B578" t="s">
        <v>3177</v>
      </c>
      <c r="C578" t="s">
        <v>3192</v>
      </c>
      <c r="D578" t="s">
        <v>3758</v>
      </c>
      <c r="E578">
        <v>10250</v>
      </c>
      <c r="F578">
        <v>210</v>
      </c>
      <c r="J578" s="13" t="s">
        <v>4111</v>
      </c>
      <c r="K578" s="13">
        <v>35411</v>
      </c>
      <c r="O578" t="s">
        <v>3639</v>
      </c>
      <c r="P578" t="s">
        <v>2843</v>
      </c>
    </row>
    <row r="579" spans="1:16" x14ac:dyDescent="0.25">
      <c r="A579" t="s">
        <v>3177</v>
      </c>
      <c r="B579" t="s">
        <v>3177</v>
      </c>
      <c r="C579" t="s">
        <v>3178</v>
      </c>
      <c r="D579" t="s">
        <v>3827</v>
      </c>
      <c r="E579">
        <v>10210</v>
      </c>
      <c r="F579">
        <v>404</v>
      </c>
      <c r="J579" s="13" t="s">
        <v>4112</v>
      </c>
      <c r="K579" s="13">
        <v>35265</v>
      </c>
      <c r="O579" t="s">
        <v>3446</v>
      </c>
      <c r="P579" t="s">
        <v>289</v>
      </c>
    </row>
    <row r="580" spans="1:16" x14ac:dyDescent="0.25">
      <c r="A580" t="s">
        <v>3177</v>
      </c>
      <c r="B580" t="s">
        <v>3177</v>
      </c>
      <c r="C580" t="s">
        <v>3194</v>
      </c>
      <c r="D580" t="s">
        <v>3850</v>
      </c>
      <c r="E580">
        <v>10210</v>
      </c>
      <c r="F580">
        <v>152</v>
      </c>
      <c r="J580" s="13" t="s">
        <v>4113</v>
      </c>
      <c r="K580" s="13">
        <v>53231</v>
      </c>
      <c r="O580" t="s">
        <v>6586</v>
      </c>
      <c r="P580" t="s">
        <v>200</v>
      </c>
    </row>
    <row r="581" spans="1:16" x14ac:dyDescent="0.25">
      <c r="A581" t="s">
        <v>3177</v>
      </c>
      <c r="B581" t="s">
        <v>3177</v>
      </c>
      <c r="C581" t="s">
        <v>3189</v>
      </c>
      <c r="D581" t="s">
        <v>3853</v>
      </c>
      <c r="E581">
        <v>10210</v>
      </c>
      <c r="F581">
        <v>148</v>
      </c>
      <c r="J581" s="13" t="s">
        <v>4114</v>
      </c>
      <c r="K581" s="13">
        <v>23211</v>
      </c>
      <c r="O581" t="s">
        <v>3533</v>
      </c>
      <c r="P581" t="s">
        <v>37</v>
      </c>
    </row>
    <row r="582" spans="1:16" x14ac:dyDescent="0.25">
      <c r="A582" t="s">
        <v>3177</v>
      </c>
      <c r="B582" t="s">
        <v>3177</v>
      </c>
      <c r="C582" t="s">
        <v>3177</v>
      </c>
      <c r="D582" t="s">
        <v>3706</v>
      </c>
      <c r="E582">
        <v>10210</v>
      </c>
      <c r="F582">
        <v>51</v>
      </c>
      <c r="J582" s="16" t="s">
        <v>3872</v>
      </c>
      <c r="K582" s="16" t="e">
        <v>#N/A</v>
      </c>
      <c r="O582" t="s">
        <v>3310</v>
      </c>
      <c r="P582" t="s">
        <v>1193</v>
      </c>
    </row>
    <row r="583" spans="1:16" x14ac:dyDescent="0.25">
      <c r="A583" t="s">
        <v>3177</v>
      </c>
      <c r="B583" t="s">
        <v>3177</v>
      </c>
      <c r="C583" t="s">
        <v>3178</v>
      </c>
      <c r="D583" t="s">
        <v>3707</v>
      </c>
      <c r="E583">
        <v>10210</v>
      </c>
      <c r="F583">
        <v>280</v>
      </c>
      <c r="J583" s="13" t="s">
        <v>4115</v>
      </c>
      <c r="K583" s="13">
        <v>35211</v>
      </c>
      <c r="O583" t="s">
        <v>3351</v>
      </c>
      <c r="P583" t="s">
        <v>1192</v>
      </c>
    </row>
    <row r="584" spans="1:16" x14ac:dyDescent="0.25">
      <c r="A584" t="s">
        <v>3177</v>
      </c>
      <c r="B584" t="s">
        <v>3177</v>
      </c>
      <c r="C584" t="s">
        <v>3179</v>
      </c>
      <c r="D584" t="s">
        <v>3709</v>
      </c>
      <c r="E584">
        <v>10210</v>
      </c>
      <c r="F584">
        <v>420</v>
      </c>
      <c r="J584" s="13" t="s">
        <v>4116</v>
      </c>
      <c r="K584" s="13">
        <v>35123</v>
      </c>
      <c r="O584" t="s">
        <v>3280</v>
      </c>
      <c r="P584" t="s">
        <v>1193</v>
      </c>
    </row>
    <row r="585" spans="1:16" x14ac:dyDescent="0.25">
      <c r="A585" t="s">
        <v>3177</v>
      </c>
      <c r="B585" t="s">
        <v>3177</v>
      </c>
      <c r="C585" t="s">
        <v>3181</v>
      </c>
      <c r="D585" t="s">
        <v>3711</v>
      </c>
      <c r="E585">
        <v>10210</v>
      </c>
      <c r="F585">
        <v>230</v>
      </c>
      <c r="J585" s="13" t="s">
        <v>4117</v>
      </c>
      <c r="K585" s="13">
        <v>73111</v>
      </c>
      <c r="O585" t="s">
        <v>3283</v>
      </c>
      <c r="P585" t="s">
        <v>1193</v>
      </c>
    </row>
    <row r="586" spans="1:16" x14ac:dyDescent="0.25">
      <c r="A586" t="s">
        <v>3177</v>
      </c>
      <c r="B586" t="s">
        <v>3177</v>
      </c>
      <c r="C586" t="s">
        <v>3178</v>
      </c>
      <c r="D586" t="s">
        <v>3712</v>
      </c>
      <c r="E586">
        <v>10210</v>
      </c>
      <c r="F586">
        <v>220</v>
      </c>
      <c r="J586" s="13" t="s">
        <v>3500</v>
      </c>
      <c r="K586" s="13">
        <v>22774</v>
      </c>
      <c r="O586" t="s">
        <v>3298</v>
      </c>
      <c r="P586" t="s">
        <v>2963</v>
      </c>
    </row>
    <row r="587" spans="1:16" x14ac:dyDescent="0.25">
      <c r="A587" t="s">
        <v>3177</v>
      </c>
      <c r="B587" t="s">
        <v>3177</v>
      </c>
      <c r="C587" t="s">
        <v>3187</v>
      </c>
      <c r="D587" t="s">
        <v>3719</v>
      </c>
      <c r="E587">
        <v>10210</v>
      </c>
      <c r="F587">
        <v>525</v>
      </c>
      <c r="J587" s="13" t="s">
        <v>4118</v>
      </c>
      <c r="K587" s="13">
        <v>22751</v>
      </c>
      <c r="O587" t="s">
        <v>3244</v>
      </c>
      <c r="P587" t="s">
        <v>1191</v>
      </c>
    </row>
    <row r="588" spans="1:16" x14ac:dyDescent="0.25">
      <c r="A588" t="s">
        <v>3177</v>
      </c>
      <c r="B588" t="s">
        <v>3177</v>
      </c>
      <c r="C588" t="s">
        <v>3190</v>
      </c>
      <c r="D588" t="s">
        <v>3724</v>
      </c>
      <c r="E588">
        <v>10210</v>
      </c>
      <c r="F588">
        <v>1350</v>
      </c>
      <c r="J588" s="13" t="s">
        <v>4119</v>
      </c>
      <c r="K588" s="13">
        <v>24111</v>
      </c>
      <c r="O588" t="s">
        <v>3563</v>
      </c>
      <c r="P588" t="s">
        <v>192</v>
      </c>
    </row>
    <row r="589" spans="1:16" x14ac:dyDescent="0.25">
      <c r="A589" t="s">
        <v>3177</v>
      </c>
      <c r="B589" t="s">
        <v>3177</v>
      </c>
      <c r="C589" t="s">
        <v>3178</v>
      </c>
      <c r="D589" t="s">
        <v>3728</v>
      </c>
      <c r="E589">
        <v>10210</v>
      </c>
      <c r="F589">
        <v>1260</v>
      </c>
      <c r="J589" s="13" t="s">
        <v>4120</v>
      </c>
      <c r="K589" s="13">
        <v>24133</v>
      </c>
      <c r="O589" t="s">
        <v>3425</v>
      </c>
      <c r="P589" t="s">
        <v>89</v>
      </c>
    </row>
    <row r="590" spans="1:16" x14ac:dyDescent="0.25">
      <c r="A590" t="s">
        <v>3177</v>
      </c>
      <c r="B590" t="s">
        <v>3177</v>
      </c>
      <c r="C590" t="s">
        <v>3184</v>
      </c>
      <c r="D590" t="s">
        <v>3731</v>
      </c>
      <c r="E590">
        <v>10210</v>
      </c>
      <c r="F590">
        <v>435</v>
      </c>
      <c r="J590" s="13" t="s">
        <v>3501</v>
      </c>
      <c r="K590" s="13">
        <v>23651</v>
      </c>
      <c r="O590" t="s">
        <v>3426</v>
      </c>
      <c r="P590" t="s">
        <v>89</v>
      </c>
    </row>
    <row r="591" spans="1:16" x14ac:dyDescent="0.25">
      <c r="A591" t="s">
        <v>3177</v>
      </c>
      <c r="B591" t="s">
        <v>3177</v>
      </c>
      <c r="C591" t="s">
        <v>3178</v>
      </c>
      <c r="D591" t="s">
        <v>3735</v>
      </c>
      <c r="E591">
        <v>10210</v>
      </c>
      <c r="F591">
        <v>312</v>
      </c>
      <c r="J591" s="13" t="s">
        <v>4121</v>
      </c>
      <c r="K591" s="13">
        <v>23141</v>
      </c>
      <c r="O591" t="s">
        <v>3502</v>
      </c>
      <c r="P591" t="s">
        <v>1342</v>
      </c>
    </row>
    <row r="592" spans="1:16" x14ac:dyDescent="0.25">
      <c r="A592" t="s">
        <v>3177</v>
      </c>
      <c r="B592" t="s">
        <v>3177</v>
      </c>
      <c r="C592" t="s">
        <v>3184</v>
      </c>
      <c r="D592" t="s">
        <v>3738</v>
      </c>
      <c r="E592">
        <v>10210</v>
      </c>
      <c r="F592">
        <v>222</v>
      </c>
      <c r="J592" s="13" t="s">
        <v>4122</v>
      </c>
      <c r="K592" s="13">
        <v>23331</v>
      </c>
      <c r="O592" t="s">
        <v>3442</v>
      </c>
      <c r="P592" t="s">
        <v>572</v>
      </c>
    </row>
    <row r="593" spans="1:16" x14ac:dyDescent="0.25">
      <c r="A593" t="s">
        <v>3177</v>
      </c>
      <c r="B593" t="s">
        <v>3177</v>
      </c>
      <c r="C593" t="s">
        <v>3177</v>
      </c>
      <c r="D593" t="s">
        <v>3750</v>
      </c>
      <c r="E593">
        <v>10210</v>
      </c>
      <c r="F593">
        <v>258</v>
      </c>
      <c r="J593" s="13" t="s">
        <v>4123</v>
      </c>
      <c r="K593" s="13">
        <v>53231</v>
      </c>
      <c r="O593" t="s">
        <v>3774</v>
      </c>
      <c r="P593" t="s">
        <v>25</v>
      </c>
    </row>
    <row r="594" spans="1:16" x14ac:dyDescent="0.25">
      <c r="A594" t="s">
        <v>3177</v>
      </c>
      <c r="B594" t="s">
        <v>3177</v>
      </c>
      <c r="C594" t="s">
        <v>3177</v>
      </c>
      <c r="D594" t="s">
        <v>3751</v>
      </c>
      <c r="E594">
        <v>10210</v>
      </c>
      <c r="F594">
        <v>100</v>
      </c>
      <c r="J594" s="13" t="s">
        <v>3502</v>
      </c>
      <c r="K594" s="13">
        <v>63111</v>
      </c>
      <c r="O594" t="s">
        <v>3862</v>
      </c>
      <c r="P594" t="s">
        <v>36</v>
      </c>
    </row>
    <row r="595" spans="1:16" x14ac:dyDescent="0.25">
      <c r="A595" t="s">
        <v>3177</v>
      </c>
      <c r="B595" t="s">
        <v>3177</v>
      </c>
      <c r="C595" t="s">
        <v>3177</v>
      </c>
      <c r="D595" t="s">
        <v>3753</v>
      </c>
      <c r="E595">
        <v>10210</v>
      </c>
      <c r="F595">
        <v>420</v>
      </c>
      <c r="J595" s="13" t="s">
        <v>4124</v>
      </c>
      <c r="K595" s="13">
        <v>37329</v>
      </c>
      <c r="O595" t="s">
        <v>3641</v>
      </c>
      <c r="P595" t="s">
        <v>1256</v>
      </c>
    </row>
    <row r="596" spans="1:16" x14ac:dyDescent="0.25">
      <c r="A596" t="s">
        <v>3177</v>
      </c>
      <c r="B596" t="s">
        <v>3177</v>
      </c>
      <c r="C596" t="s">
        <v>3185</v>
      </c>
      <c r="D596" t="s">
        <v>3754</v>
      </c>
      <c r="E596">
        <v>10210</v>
      </c>
      <c r="F596">
        <v>150</v>
      </c>
      <c r="J596" s="13" t="s">
        <v>4125</v>
      </c>
      <c r="K596" s="13">
        <v>23639</v>
      </c>
      <c r="O596" t="s">
        <v>3682</v>
      </c>
      <c r="P596" t="s">
        <v>1267</v>
      </c>
    </row>
    <row r="597" spans="1:16" x14ac:dyDescent="0.25">
      <c r="A597" t="s">
        <v>3177</v>
      </c>
      <c r="B597" t="s">
        <v>3177</v>
      </c>
      <c r="C597" t="s">
        <v>3193</v>
      </c>
      <c r="D597" t="s">
        <v>3757</v>
      </c>
      <c r="E597">
        <v>10210</v>
      </c>
      <c r="F597">
        <v>127</v>
      </c>
      <c r="J597" s="13" t="s">
        <v>4126</v>
      </c>
      <c r="K597" s="13">
        <v>23381</v>
      </c>
      <c r="O597" t="s">
        <v>3332</v>
      </c>
      <c r="P597" t="s">
        <v>2890</v>
      </c>
    </row>
    <row r="598" spans="1:16" x14ac:dyDescent="0.25">
      <c r="A598" t="s">
        <v>3177</v>
      </c>
      <c r="B598" t="s">
        <v>3177</v>
      </c>
      <c r="C598" t="s">
        <v>3178</v>
      </c>
      <c r="D598" t="s">
        <v>3762</v>
      </c>
      <c r="E598">
        <v>10210</v>
      </c>
      <c r="F598">
        <v>540</v>
      </c>
      <c r="J598" s="13" t="s">
        <v>3503</v>
      </c>
      <c r="K598" s="13">
        <v>21111</v>
      </c>
      <c r="O598" t="s">
        <v>3814</v>
      </c>
      <c r="P598" t="s">
        <v>21</v>
      </c>
    </row>
    <row r="599" spans="1:16" x14ac:dyDescent="0.25">
      <c r="A599" t="s">
        <v>3177</v>
      </c>
      <c r="B599" t="s">
        <v>3177</v>
      </c>
      <c r="C599" t="s">
        <v>3195</v>
      </c>
      <c r="D599" t="s">
        <v>3768</v>
      </c>
      <c r="E599">
        <v>10210</v>
      </c>
      <c r="F599">
        <v>650</v>
      </c>
      <c r="J599" s="13" t="s">
        <v>4127</v>
      </c>
      <c r="K599" s="13">
        <v>23247</v>
      </c>
      <c r="O599" t="s">
        <v>3756</v>
      </c>
      <c r="P599" t="s">
        <v>21</v>
      </c>
    </row>
    <row r="600" spans="1:16" x14ac:dyDescent="0.25">
      <c r="A600" t="s">
        <v>3177</v>
      </c>
      <c r="B600" t="s">
        <v>3177</v>
      </c>
      <c r="C600" t="s">
        <v>3178</v>
      </c>
      <c r="D600" t="s">
        <v>3777</v>
      </c>
      <c r="E600">
        <v>10210</v>
      </c>
      <c r="F600">
        <v>440</v>
      </c>
      <c r="J600" s="13" t="s">
        <v>4128</v>
      </c>
      <c r="K600" s="13">
        <v>23247</v>
      </c>
      <c r="O600" t="s">
        <v>3737</v>
      </c>
      <c r="P600" t="s">
        <v>21</v>
      </c>
    </row>
    <row r="601" spans="1:16" x14ac:dyDescent="0.25">
      <c r="A601" t="s">
        <v>3177</v>
      </c>
      <c r="B601" t="s">
        <v>3177</v>
      </c>
      <c r="C601" t="s">
        <v>3178</v>
      </c>
      <c r="D601" t="s">
        <v>3778</v>
      </c>
      <c r="E601">
        <v>10210</v>
      </c>
      <c r="F601">
        <v>100</v>
      </c>
      <c r="J601" s="13" t="s">
        <v>3504</v>
      </c>
      <c r="K601" s="13">
        <v>37291</v>
      </c>
      <c r="O601" t="s">
        <v>3349</v>
      </c>
      <c r="P601" t="s">
        <v>1346</v>
      </c>
    </row>
    <row r="602" spans="1:16" x14ac:dyDescent="0.25">
      <c r="A602" t="s">
        <v>3177</v>
      </c>
      <c r="B602" t="s">
        <v>3177</v>
      </c>
      <c r="C602" t="s">
        <v>3198</v>
      </c>
      <c r="D602" t="s">
        <v>3781</v>
      </c>
      <c r="E602">
        <v>10210</v>
      </c>
      <c r="F602">
        <v>690</v>
      </c>
      <c r="J602" s="16" t="s">
        <v>3872</v>
      </c>
      <c r="K602" s="16">
        <v>25329</v>
      </c>
      <c r="O602" t="s">
        <v>5218</v>
      </c>
      <c r="P602" t="s">
        <v>30</v>
      </c>
    </row>
    <row r="603" spans="1:16" x14ac:dyDescent="0.25">
      <c r="A603" t="s">
        <v>3177</v>
      </c>
      <c r="B603" t="s">
        <v>3177</v>
      </c>
      <c r="C603" t="s">
        <v>3193</v>
      </c>
      <c r="D603" t="s">
        <v>3783</v>
      </c>
      <c r="E603">
        <v>10210</v>
      </c>
      <c r="F603">
        <v>610</v>
      </c>
      <c r="J603" s="13" t="s">
        <v>4129</v>
      </c>
      <c r="K603" s="13">
        <v>37271</v>
      </c>
      <c r="O603" t="s">
        <v>3566</v>
      </c>
      <c r="P603" t="s">
        <v>196</v>
      </c>
    </row>
    <row r="604" spans="1:16" x14ac:dyDescent="0.25">
      <c r="A604" t="s">
        <v>3177</v>
      </c>
      <c r="B604" t="s">
        <v>3177</v>
      </c>
      <c r="C604" t="s">
        <v>3184</v>
      </c>
      <c r="D604" t="s">
        <v>3784</v>
      </c>
      <c r="E604">
        <v>10210</v>
      </c>
      <c r="F604">
        <v>460</v>
      </c>
      <c r="J604" s="13" t="s">
        <v>3408</v>
      </c>
      <c r="K604" s="13">
        <v>53214</v>
      </c>
      <c r="O604" t="s">
        <v>3678</v>
      </c>
      <c r="P604" t="s">
        <v>2815</v>
      </c>
    </row>
    <row r="605" spans="1:16" x14ac:dyDescent="0.25">
      <c r="A605" t="s">
        <v>3177</v>
      </c>
      <c r="B605" t="s">
        <v>3177</v>
      </c>
      <c r="C605" t="s">
        <v>3192</v>
      </c>
      <c r="D605" t="s">
        <v>3786</v>
      </c>
      <c r="E605">
        <v>10210</v>
      </c>
      <c r="F605">
        <v>210</v>
      </c>
      <c r="J605" s="13" t="s">
        <v>4130</v>
      </c>
      <c r="K605" s="13">
        <v>71111</v>
      </c>
      <c r="O605" t="s">
        <v>3450</v>
      </c>
      <c r="P605" t="s">
        <v>1046</v>
      </c>
    </row>
    <row r="606" spans="1:16" x14ac:dyDescent="0.25">
      <c r="A606" t="s">
        <v>3177</v>
      </c>
      <c r="B606" t="s">
        <v>3177</v>
      </c>
      <c r="C606" t="s">
        <v>3177</v>
      </c>
      <c r="D606" t="s">
        <v>3793</v>
      </c>
      <c r="E606">
        <v>10210</v>
      </c>
      <c r="F606">
        <v>170</v>
      </c>
      <c r="J606" s="13" t="s">
        <v>4131</v>
      </c>
      <c r="K606" s="13">
        <v>51383</v>
      </c>
      <c r="O606" t="s">
        <v>3313</v>
      </c>
      <c r="P606" t="s">
        <v>1192</v>
      </c>
    </row>
    <row r="607" spans="1:16" x14ac:dyDescent="0.25">
      <c r="A607" t="s">
        <v>3177</v>
      </c>
      <c r="B607" t="s">
        <v>3177</v>
      </c>
      <c r="C607" t="s">
        <v>3180</v>
      </c>
      <c r="D607" t="s">
        <v>3801</v>
      </c>
      <c r="E607">
        <v>10210</v>
      </c>
      <c r="F607">
        <v>385</v>
      </c>
      <c r="J607" s="13" t="s">
        <v>3814</v>
      </c>
      <c r="K607" s="13">
        <v>10310</v>
      </c>
      <c r="O607" t="s">
        <v>3782</v>
      </c>
      <c r="P607" t="s">
        <v>23</v>
      </c>
    </row>
    <row r="608" spans="1:16" x14ac:dyDescent="0.25">
      <c r="A608" t="s">
        <v>3177</v>
      </c>
      <c r="B608" t="s">
        <v>3177</v>
      </c>
      <c r="C608" t="s">
        <v>3193</v>
      </c>
      <c r="D608" t="s">
        <v>3811</v>
      </c>
      <c r="E608">
        <v>10210</v>
      </c>
      <c r="F608">
        <v>550</v>
      </c>
      <c r="J608" s="13" t="s">
        <v>3506</v>
      </c>
      <c r="K608" s="13">
        <v>35331</v>
      </c>
      <c r="O608" t="s">
        <v>3808</v>
      </c>
      <c r="P608" t="s">
        <v>21</v>
      </c>
    </row>
    <row r="609" spans="1:16" x14ac:dyDescent="0.25">
      <c r="A609" t="s">
        <v>3177</v>
      </c>
      <c r="B609" t="s">
        <v>3177</v>
      </c>
      <c r="C609" t="s">
        <v>3198</v>
      </c>
      <c r="D609" t="s">
        <v>3813</v>
      </c>
      <c r="E609">
        <v>10210</v>
      </c>
      <c r="F609">
        <v>49</v>
      </c>
      <c r="J609" s="13" t="s">
        <v>3759</v>
      </c>
      <c r="K609" s="13">
        <v>10310</v>
      </c>
      <c r="O609" t="s">
        <v>3451</v>
      </c>
      <c r="P609" t="s">
        <v>195</v>
      </c>
    </row>
    <row r="610" spans="1:16" x14ac:dyDescent="0.25">
      <c r="A610" t="s">
        <v>3177</v>
      </c>
      <c r="B610" t="s">
        <v>3177</v>
      </c>
      <c r="C610" t="s">
        <v>3199</v>
      </c>
      <c r="D610" t="s">
        <v>3825</v>
      </c>
      <c r="E610">
        <v>10150</v>
      </c>
      <c r="F610">
        <v>970</v>
      </c>
      <c r="J610" s="13" t="s">
        <v>4132</v>
      </c>
      <c r="K610" s="13">
        <v>35467</v>
      </c>
      <c r="O610" t="s">
        <v>3754</v>
      </c>
      <c r="P610" t="s">
        <v>2803</v>
      </c>
    </row>
    <row r="611" spans="1:16" x14ac:dyDescent="0.25">
      <c r="A611" t="s">
        <v>3177</v>
      </c>
      <c r="B611" t="s">
        <v>3177</v>
      </c>
      <c r="C611" t="s">
        <v>3192</v>
      </c>
      <c r="D611" t="s">
        <v>3839</v>
      </c>
      <c r="E611">
        <v>10150</v>
      </c>
      <c r="F611">
        <v>700</v>
      </c>
      <c r="J611" s="13" t="s">
        <v>4133</v>
      </c>
      <c r="K611" s="13">
        <v>10310</v>
      </c>
      <c r="O611" t="s">
        <v>3800</v>
      </c>
      <c r="P611" t="s">
        <v>17</v>
      </c>
    </row>
    <row r="612" spans="1:16" x14ac:dyDescent="0.25">
      <c r="A612" t="s">
        <v>3177</v>
      </c>
      <c r="B612" t="s">
        <v>3177</v>
      </c>
      <c r="C612" t="s">
        <v>3186</v>
      </c>
      <c r="D612" t="s">
        <v>3718</v>
      </c>
      <c r="E612">
        <v>10150</v>
      </c>
      <c r="F612">
        <v>680</v>
      </c>
      <c r="J612" s="13" t="s">
        <v>4134</v>
      </c>
      <c r="K612" s="13">
        <v>35437</v>
      </c>
      <c r="O612" t="s">
        <v>3555</v>
      </c>
      <c r="P612" t="s">
        <v>1167</v>
      </c>
    </row>
    <row r="613" spans="1:16" x14ac:dyDescent="0.25">
      <c r="A613" t="s">
        <v>3177</v>
      </c>
      <c r="B613" t="s">
        <v>3177</v>
      </c>
      <c r="C613" t="s">
        <v>3189</v>
      </c>
      <c r="D613" t="s">
        <v>3723</v>
      </c>
      <c r="E613">
        <v>10150</v>
      </c>
      <c r="F613">
        <v>1250</v>
      </c>
      <c r="J613" s="13" t="s">
        <v>3507</v>
      </c>
      <c r="K613" s="13">
        <v>55164</v>
      </c>
      <c r="O613" t="s">
        <v>3696</v>
      </c>
      <c r="P613" t="s">
        <v>195</v>
      </c>
    </row>
    <row r="614" spans="1:16" x14ac:dyDescent="0.25">
      <c r="A614" t="s">
        <v>3177</v>
      </c>
      <c r="B614" t="s">
        <v>3177</v>
      </c>
      <c r="C614" t="s">
        <v>3186</v>
      </c>
      <c r="D614" t="s">
        <v>3734</v>
      </c>
      <c r="E614">
        <v>10150</v>
      </c>
      <c r="F614">
        <v>593</v>
      </c>
      <c r="J614" s="16" t="s">
        <v>3872</v>
      </c>
      <c r="K614" s="16"/>
      <c r="O614" t="s">
        <v>3372</v>
      </c>
      <c r="P614" t="s">
        <v>548</v>
      </c>
    </row>
    <row r="615" spans="1:16" x14ac:dyDescent="0.25">
      <c r="A615" t="s">
        <v>3177</v>
      </c>
      <c r="B615" t="s">
        <v>3177</v>
      </c>
      <c r="C615" t="s">
        <v>3186</v>
      </c>
      <c r="D615" t="s">
        <v>3741</v>
      </c>
      <c r="E615">
        <v>10150</v>
      </c>
      <c r="F615">
        <v>1158</v>
      </c>
      <c r="J615" s="13" t="s">
        <v>4135</v>
      </c>
      <c r="K615" s="13">
        <v>34269</v>
      </c>
      <c r="O615" t="s">
        <v>3240</v>
      </c>
      <c r="P615" t="s">
        <v>1267</v>
      </c>
    </row>
    <row r="616" spans="1:16" x14ac:dyDescent="0.25">
      <c r="A616" t="s">
        <v>3177</v>
      </c>
      <c r="B616" t="s">
        <v>3177</v>
      </c>
      <c r="C616" t="s">
        <v>3192</v>
      </c>
      <c r="D616" t="s">
        <v>3748</v>
      </c>
      <c r="E616">
        <v>10150</v>
      </c>
      <c r="F616">
        <v>950</v>
      </c>
      <c r="J616" s="13" t="s">
        <v>4136</v>
      </c>
      <c r="K616" s="13">
        <v>34277</v>
      </c>
      <c r="O616" t="s">
        <v>3273</v>
      </c>
      <c r="P616" t="s">
        <v>1267</v>
      </c>
    </row>
    <row r="617" spans="1:16" x14ac:dyDescent="0.25">
      <c r="A617" t="s">
        <v>3177</v>
      </c>
      <c r="B617" t="s">
        <v>3177</v>
      </c>
      <c r="C617" t="s">
        <v>3192</v>
      </c>
      <c r="D617" t="s">
        <v>3765</v>
      </c>
      <c r="E617">
        <v>10150</v>
      </c>
      <c r="F617">
        <v>655</v>
      </c>
      <c r="J617" s="13" t="s">
        <v>3508</v>
      </c>
      <c r="K617" s="13">
        <v>25357</v>
      </c>
      <c r="O617" t="s">
        <v>3274</v>
      </c>
      <c r="P617" t="s">
        <v>1267</v>
      </c>
    </row>
    <row r="618" spans="1:16" x14ac:dyDescent="0.25">
      <c r="A618" t="s">
        <v>3177</v>
      </c>
      <c r="B618" t="s">
        <v>3177</v>
      </c>
      <c r="C618" t="s">
        <v>3196</v>
      </c>
      <c r="D618" t="s">
        <v>3769</v>
      </c>
      <c r="E618">
        <v>10150</v>
      </c>
      <c r="F618">
        <v>180</v>
      </c>
      <c r="J618" s="13" t="s">
        <v>4137</v>
      </c>
      <c r="K618" s="13">
        <v>10310</v>
      </c>
      <c r="O618" t="s">
        <v>3272</v>
      </c>
      <c r="P618" t="s">
        <v>1267</v>
      </c>
    </row>
    <row r="619" spans="1:16" x14ac:dyDescent="0.25">
      <c r="A619" t="s">
        <v>3177</v>
      </c>
      <c r="B619" t="s">
        <v>3177</v>
      </c>
      <c r="C619" t="s">
        <v>3184</v>
      </c>
      <c r="D619" t="s">
        <v>3776</v>
      </c>
      <c r="E619">
        <v>10150</v>
      </c>
      <c r="F619">
        <v>100</v>
      </c>
      <c r="J619" s="13" t="s">
        <v>3509</v>
      </c>
      <c r="K619" s="13">
        <v>21341</v>
      </c>
      <c r="O619" t="s">
        <v>3317</v>
      </c>
      <c r="P619" t="s">
        <v>1267</v>
      </c>
    </row>
    <row r="620" spans="1:16" x14ac:dyDescent="0.25">
      <c r="A620" t="s">
        <v>3177</v>
      </c>
      <c r="B620" t="s">
        <v>3177</v>
      </c>
      <c r="C620" t="s">
        <v>3192</v>
      </c>
      <c r="D620" t="s">
        <v>3779</v>
      </c>
      <c r="E620">
        <v>10150</v>
      </c>
      <c r="F620">
        <v>780</v>
      </c>
      <c r="J620" s="13" t="s">
        <v>3761</v>
      </c>
      <c r="K620" s="13">
        <v>10350</v>
      </c>
      <c r="O620" t="s">
        <v>3275</v>
      </c>
      <c r="P620" t="s">
        <v>1267</v>
      </c>
    </row>
    <row r="621" spans="1:16" x14ac:dyDescent="0.25">
      <c r="A621" t="s">
        <v>3177</v>
      </c>
      <c r="B621" t="s">
        <v>3177</v>
      </c>
      <c r="C621" t="s">
        <v>3192</v>
      </c>
      <c r="D621" t="s">
        <v>3780</v>
      </c>
      <c r="E621">
        <v>10150</v>
      </c>
      <c r="F621">
        <v>350</v>
      </c>
      <c r="J621" s="13" t="s">
        <v>4138</v>
      </c>
      <c r="K621" s="13">
        <v>35149</v>
      </c>
      <c r="O621" t="s">
        <v>3747</v>
      </c>
      <c r="P621" t="s">
        <v>22</v>
      </c>
    </row>
    <row r="622" spans="1:16" x14ac:dyDescent="0.25">
      <c r="A622" t="s">
        <v>3177</v>
      </c>
      <c r="B622" t="s">
        <v>3177</v>
      </c>
      <c r="C622" t="s">
        <v>3199</v>
      </c>
      <c r="D622" t="s">
        <v>3785</v>
      </c>
      <c r="E622">
        <v>10150</v>
      </c>
      <c r="F622">
        <v>350</v>
      </c>
      <c r="J622" s="13" t="s">
        <v>4139</v>
      </c>
      <c r="K622" s="13">
        <v>53214</v>
      </c>
      <c r="O622" t="s">
        <v>3492</v>
      </c>
      <c r="P622" t="s">
        <v>1192</v>
      </c>
    </row>
    <row r="623" spans="1:16" x14ac:dyDescent="0.25">
      <c r="A623" t="s">
        <v>3177</v>
      </c>
      <c r="B623" t="s">
        <v>3177</v>
      </c>
      <c r="C623" t="s">
        <v>3192</v>
      </c>
      <c r="D623" t="s">
        <v>3788</v>
      </c>
      <c r="E623">
        <v>10150</v>
      </c>
      <c r="F623">
        <v>99</v>
      </c>
      <c r="J623" s="13" t="s">
        <v>4140</v>
      </c>
      <c r="K623" s="13">
        <v>35131</v>
      </c>
      <c r="O623" t="s">
        <v>3837</v>
      </c>
      <c r="P623" t="s">
        <v>28</v>
      </c>
    </row>
    <row r="624" spans="1:16" x14ac:dyDescent="0.25">
      <c r="A624" t="s">
        <v>3177</v>
      </c>
      <c r="B624" t="s">
        <v>3177</v>
      </c>
      <c r="C624" t="s">
        <v>3199</v>
      </c>
      <c r="D624" t="s">
        <v>3796</v>
      </c>
      <c r="E624">
        <v>10150</v>
      </c>
      <c r="F624">
        <v>503</v>
      </c>
      <c r="J624" s="13" t="s">
        <v>3510</v>
      </c>
      <c r="K624" s="13">
        <v>52217</v>
      </c>
      <c r="O624" t="s">
        <v>3600</v>
      </c>
      <c r="P624" t="s">
        <v>302</v>
      </c>
    </row>
    <row r="625" spans="1:16" x14ac:dyDescent="0.25">
      <c r="A625" t="s">
        <v>3177</v>
      </c>
      <c r="B625" t="s">
        <v>3177</v>
      </c>
      <c r="C625" t="s">
        <v>3192</v>
      </c>
      <c r="D625" t="s">
        <v>3802</v>
      </c>
      <c r="E625">
        <v>10150</v>
      </c>
      <c r="F625">
        <v>300</v>
      </c>
      <c r="J625" s="13" t="s">
        <v>3511</v>
      </c>
      <c r="K625" s="13">
        <v>24411</v>
      </c>
      <c r="O625" t="s">
        <v>3443</v>
      </c>
      <c r="P625" t="s">
        <v>1175</v>
      </c>
    </row>
    <row r="626" spans="1:16" x14ac:dyDescent="0.25">
      <c r="A626" t="s">
        <v>3177</v>
      </c>
      <c r="B626" t="s">
        <v>3177</v>
      </c>
      <c r="C626" t="s">
        <v>3192</v>
      </c>
      <c r="D626" t="s">
        <v>3810</v>
      </c>
      <c r="E626">
        <v>10150</v>
      </c>
      <c r="F626">
        <v>313</v>
      </c>
      <c r="J626" s="13" t="s">
        <v>3512</v>
      </c>
      <c r="K626" s="13">
        <v>24411</v>
      </c>
      <c r="O626" t="s">
        <v>3830</v>
      </c>
      <c r="P626" t="s">
        <v>989</v>
      </c>
    </row>
    <row r="627" spans="1:16" x14ac:dyDescent="0.25">
      <c r="A627" t="s">
        <v>3177</v>
      </c>
      <c r="B627" t="s">
        <v>3177</v>
      </c>
      <c r="C627" t="s">
        <v>3192</v>
      </c>
      <c r="D627" t="s">
        <v>3857</v>
      </c>
      <c r="E627">
        <v>10150</v>
      </c>
      <c r="F627">
        <v>15</v>
      </c>
      <c r="J627" s="13" t="s">
        <v>3762</v>
      </c>
      <c r="K627" s="13">
        <v>10210</v>
      </c>
      <c r="O627" t="s">
        <v>3709</v>
      </c>
      <c r="P627" t="s">
        <v>2803</v>
      </c>
    </row>
    <row r="628" spans="1:16" x14ac:dyDescent="0.25">
      <c r="A628" t="s">
        <v>3177</v>
      </c>
      <c r="B628" t="s">
        <v>3177</v>
      </c>
      <c r="C628" t="s">
        <v>3177</v>
      </c>
      <c r="D628" t="s">
        <v>3708</v>
      </c>
      <c r="E628">
        <v>10110</v>
      </c>
      <c r="F628">
        <v>300</v>
      </c>
      <c r="J628" s="13" t="s">
        <v>4141</v>
      </c>
      <c r="K628" s="13">
        <v>53214</v>
      </c>
      <c r="O628" t="s">
        <v>3526</v>
      </c>
      <c r="P628" t="s">
        <v>414</v>
      </c>
    </row>
    <row r="629" spans="1:16" x14ac:dyDescent="0.25">
      <c r="A629" t="s">
        <v>3177</v>
      </c>
      <c r="B629" t="s">
        <v>3177</v>
      </c>
      <c r="C629" t="s">
        <v>3194</v>
      </c>
      <c r="D629" t="s">
        <v>3763</v>
      </c>
      <c r="E629">
        <v>10110</v>
      </c>
      <c r="F629">
        <v>420</v>
      </c>
      <c r="J629" s="13" t="s">
        <v>3513</v>
      </c>
      <c r="K629" s="13">
        <v>23251</v>
      </c>
      <c r="O629" t="s">
        <v>3599</v>
      </c>
      <c r="P629" t="s">
        <v>30</v>
      </c>
    </row>
    <row r="630" spans="1:16" x14ac:dyDescent="0.25">
      <c r="A630" t="s">
        <v>3177</v>
      </c>
      <c r="B630" t="s">
        <v>3177</v>
      </c>
      <c r="C630" t="s">
        <v>3183</v>
      </c>
      <c r="D630" t="s">
        <v>3787</v>
      </c>
      <c r="E630">
        <v>10110</v>
      </c>
      <c r="F630">
        <v>620</v>
      </c>
      <c r="J630" s="13" t="s">
        <v>3831</v>
      </c>
      <c r="K630" s="13">
        <v>34374</v>
      </c>
      <c r="O630" t="s">
        <v>3338</v>
      </c>
      <c r="P630" t="s">
        <v>2922</v>
      </c>
    </row>
    <row r="631" spans="1:16" x14ac:dyDescent="0.25">
      <c r="A631" t="s">
        <v>3177</v>
      </c>
      <c r="B631" t="s">
        <v>3177</v>
      </c>
      <c r="C631" t="s">
        <v>3194</v>
      </c>
      <c r="D631" t="s">
        <v>3789</v>
      </c>
      <c r="E631">
        <v>10110</v>
      </c>
      <c r="F631">
        <v>28</v>
      </c>
      <c r="J631" s="13" t="s">
        <v>3763</v>
      </c>
      <c r="K631" s="13">
        <v>10110</v>
      </c>
      <c r="O631" t="s">
        <v>3490</v>
      </c>
      <c r="P631" t="s">
        <v>2919</v>
      </c>
    </row>
    <row r="632" spans="1:16" x14ac:dyDescent="0.25">
      <c r="A632" t="s">
        <v>3177</v>
      </c>
      <c r="B632" t="s">
        <v>3177</v>
      </c>
      <c r="C632" t="s">
        <v>3183</v>
      </c>
      <c r="D632" t="s">
        <v>3790</v>
      </c>
      <c r="E632">
        <v>10110</v>
      </c>
      <c r="F632">
        <v>300</v>
      </c>
      <c r="J632" s="13" t="s">
        <v>4142</v>
      </c>
      <c r="K632" s="13">
        <v>10310</v>
      </c>
      <c r="O632" t="s">
        <v>3300</v>
      </c>
      <c r="P632" t="s">
        <v>2919</v>
      </c>
    </row>
    <row r="633" spans="1:16" x14ac:dyDescent="0.25">
      <c r="A633" t="s">
        <v>3177</v>
      </c>
      <c r="B633" t="s">
        <v>3177</v>
      </c>
      <c r="C633" t="s">
        <v>3194</v>
      </c>
      <c r="D633" t="s">
        <v>3791</v>
      </c>
      <c r="E633">
        <v>10110</v>
      </c>
      <c r="F633">
        <v>600</v>
      </c>
      <c r="J633" s="13" t="s">
        <v>3514</v>
      </c>
      <c r="K633" s="13">
        <v>23251</v>
      </c>
      <c r="O633" t="s">
        <v>3337</v>
      </c>
      <c r="P633" t="s">
        <v>2919</v>
      </c>
    </row>
    <row r="634" spans="1:16" x14ac:dyDescent="0.25">
      <c r="A634" t="s">
        <v>3177</v>
      </c>
      <c r="B634" t="s">
        <v>3177</v>
      </c>
      <c r="C634" t="s">
        <v>3194</v>
      </c>
      <c r="D634" t="s">
        <v>3792</v>
      </c>
      <c r="E634">
        <v>10110</v>
      </c>
      <c r="F634">
        <v>300</v>
      </c>
      <c r="J634" s="13" t="s">
        <v>4143</v>
      </c>
      <c r="K634" s="13">
        <v>23251</v>
      </c>
      <c r="O634" t="s">
        <v>3302</v>
      </c>
      <c r="P634" t="s">
        <v>2930</v>
      </c>
    </row>
    <row r="635" spans="1:16" x14ac:dyDescent="0.25">
      <c r="A635" t="s">
        <v>3177</v>
      </c>
      <c r="B635" t="s">
        <v>3177</v>
      </c>
      <c r="C635" t="s">
        <v>3194</v>
      </c>
      <c r="D635" t="s">
        <v>3800</v>
      </c>
      <c r="E635">
        <v>10110</v>
      </c>
      <c r="F635">
        <v>120</v>
      </c>
      <c r="J635" s="16" t="s">
        <v>3872</v>
      </c>
      <c r="K635" s="16" t="e">
        <v>#N/A</v>
      </c>
      <c r="O635" t="s">
        <v>3546</v>
      </c>
      <c r="P635" t="s">
        <v>2930</v>
      </c>
    </row>
    <row r="636" spans="1:16" x14ac:dyDescent="0.25">
      <c r="A636" t="s">
        <v>3177</v>
      </c>
      <c r="B636" t="s">
        <v>3177</v>
      </c>
      <c r="C636" t="s">
        <v>3194</v>
      </c>
      <c r="D636" t="s">
        <v>3812</v>
      </c>
      <c r="E636">
        <v>10110</v>
      </c>
      <c r="F636">
        <v>270</v>
      </c>
      <c r="J636" s="13" t="s">
        <v>3765</v>
      </c>
      <c r="K636" s="13">
        <v>10150</v>
      </c>
      <c r="O636" t="s">
        <v>3741</v>
      </c>
      <c r="P636" t="s">
        <v>18</v>
      </c>
    </row>
    <row r="637" spans="1:16" x14ac:dyDescent="0.25">
      <c r="J637" s="13" t="s">
        <v>3515</v>
      </c>
      <c r="K637" s="13">
        <v>23381</v>
      </c>
      <c r="O637" t="s">
        <v>3721</v>
      </c>
      <c r="P637" t="s">
        <v>22</v>
      </c>
    </row>
    <row r="638" spans="1:16" x14ac:dyDescent="0.25">
      <c r="J638" s="13" t="s">
        <v>4144</v>
      </c>
      <c r="K638" s="13">
        <v>10150</v>
      </c>
      <c r="O638" t="s">
        <v>3400</v>
      </c>
      <c r="P638" t="s">
        <v>100</v>
      </c>
    </row>
    <row r="639" spans="1:16" x14ac:dyDescent="0.25">
      <c r="J639" s="13" t="s">
        <v>4145</v>
      </c>
      <c r="K639" s="13">
        <v>31111</v>
      </c>
      <c r="O639" t="s">
        <v>3855</v>
      </c>
      <c r="P639" t="s">
        <v>1442</v>
      </c>
    </row>
    <row r="640" spans="1:16" x14ac:dyDescent="0.25">
      <c r="J640" s="13" t="s">
        <v>3516</v>
      </c>
      <c r="K640" s="13">
        <v>21211</v>
      </c>
      <c r="O640" t="s">
        <v>3286</v>
      </c>
      <c r="P640" t="s">
        <v>597</v>
      </c>
    </row>
    <row r="641" spans="10:16" x14ac:dyDescent="0.25">
      <c r="J641" s="13" t="s">
        <v>3517</v>
      </c>
      <c r="K641" s="13">
        <v>21133</v>
      </c>
      <c r="O641" t="s">
        <v>3527</v>
      </c>
      <c r="P641" t="s">
        <v>597</v>
      </c>
    </row>
    <row r="642" spans="10:16" x14ac:dyDescent="0.25">
      <c r="J642" s="13" t="s">
        <v>4146</v>
      </c>
      <c r="K642" s="13">
        <v>22754</v>
      </c>
      <c r="O642" t="s">
        <v>3361</v>
      </c>
      <c r="P642" t="s">
        <v>597</v>
      </c>
    </row>
    <row r="643" spans="10:16" x14ac:dyDescent="0.25">
      <c r="J643" s="13" t="s">
        <v>3518</v>
      </c>
      <c r="K643" s="13">
        <v>23331</v>
      </c>
      <c r="O643" t="s">
        <v>3265</v>
      </c>
      <c r="P643" t="s">
        <v>598</v>
      </c>
    </row>
    <row r="644" spans="10:16" x14ac:dyDescent="0.25">
      <c r="J644" s="13" t="s">
        <v>3766</v>
      </c>
      <c r="K644" s="13">
        <v>10350</v>
      </c>
      <c r="O644" t="s">
        <v>3725</v>
      </c>
      <c r="P644" t="s">
        <v>23</v>
      </c>
    </row>
    <row r="645" spans="10:16" x14ac:dyDescent="0.25">
      <c r="J645" s="13" t="s">
        <v>3767</v>
      </c>
      <c r="K645" s="13">
        <v>21111</v>
      </c>
      <c r="O645" s="35"/>
      <c r="P645" s="35"/>
    </row>
    <row r="646" spans="10:16" x14ac:dyDescent="0.25">
      <c r="J646" s="13" t="s">
        <v>3519</v>
      </c>
      <c r="K646" s="13">
        <v>53231</v>
      </c>
    </row>
    <row r="647" spans="10:16" x14ac:dyDescent="0.25">
      <c r="J647" s="13" t="s">
        <v>4147</v>
      </c>
      <c r="K647" s="13">
        <v>53231</v>
      </c>
    </row>
    <row r="648" spans="10:16" x14ac:dyDescent="0.25">
      <c r="J648" s="13" t="s">
        <v>4148</v>
      </c>
      <c r="K648" s="13">
        <v>37311</v>
      </c>
    </row>
    <row r="649" spans="10:16" x14ac:dyDescent="0.25">
      <c r="J649" s="13" t="s">
        <v>4149</v>
      </c>
      <c r="K649" s="13">
        <v>37345</v>
      </c>
    </row>
    <row r="650" spans="10:16" x14ac:dyDescent="0.25">
      <c r="J650" s="13" t="s">
        <v>3520</v>
      </c>
      <c r="K650" s="13">
        <v>35429</v>
      </c>
    </row>
    <row r="651" spans="10:16" x14ac:dyDescent="0.25">
      <c r="J651" s="13" t="s">
        <v>4150</v>
      </c>
      <c r="K651" s="13">
        <v>23171</v>
      </c>
    </row>
    <row r="652" spans="10:16" x14ac:dyDescent="0.25">
      <c r="J652" s="13" t="s">
        <v>4151</v>
      </c>
      <c r="K652" s="13">
        <v>23171</v>
      </c>
    </row>
    <row r="653" spans="10:16" x14ac:dyDescent="0.25">
      <c r="J653" s="13" t="s">
        <v>4152</v>
      </c>
      <c r="K653" s="13">
        <v>51173</v>
      </c>
    </row>
    <row r="654" spans="10:16" x14ac:dyDescent="0.25">
      <c r="J654" s="13" t="s">
        <v>4153</v>
      </c>
      <c r="K654" s="13">
        <v>35275</v>
      </c>
    </row>
    <row r="655" spans="10:16" x14ac:dyDescent="0.25">
      <c r="J655" s="13" t="s">
        <v>3521</v>
      </c>
      <c r="K655" s="13">
        <v>55164</v>
      </c>
    </row>
    <row r="656" spans="10:16" x14ac:dyDescent="0.25">
      <c r="J656" s="13" t="s">
        <v>4154</v>
      </c>
      <c r="K656" s="13">
        <v>10210</v>
      </c>
    </row>
    <row r="657" spans="10:11" x14ac:dyDescent="0.25">
      <c r="J657" s="13" t="s">
        <v>4155</v>
      </c>
      <c r="K657" s="13">
        <v>10210</v>
      </c>
    </row>
    <row r="658" spans="10:11" x14ac:dyDescent="0.25">
      <c r="J658" s="13" t="s">
        <v>3768</v>
      </c>
      <c r="K658" s="13">
        <v>10210</v>
      </c>
    </row>
    <row r="659" spans="10:11" x14ac:dyDescent="0.25">
      <c r="J659" s="13" t="s">
        <v>4156</v>
      </c>
      <c r="K659" s="13">
        <v>10350</v>
      </c>
    </row>
    <row r="660" spans="10:11" x14ac:dyDescent="0.25">
      <c r="J660" s="13" t="s">
        <v>3769</v>
      </c>
      <c r="K660" s="13">
        <v>10150</v>
      </c>
    </row>
    <row r="661" spans="10:11" x14ac:dyDescent="0.25">
      <c r="J661" s="13" t="s">
        <v>4157</v>
      </c>
      <c r="K661" s="13">
        <v>35177</v>
      </c>
    </row>
    <row r="662" spans="10:11" x14ac:dyDescent="0.25">
      <c r="J662" s="13" t="s">
        <v>4158</v>
      </c>
      <c r="K662" s="13">
        <v>37339</v>
      </c>
    </row>
    <row r="663" spans="10:11" x14ac:dyDescent="0.25">
      <c r="J663" s="13" t="s">
        <v>3522</v>
      </c>
      <c r="K663" s="13">
        <v>25211</v>
      </c>
    </row>
    <row r="664" spans="10:11" x14ac:dyDescent="0.25">
      <c r="J664" s="13" t="s">
        <v>3523</v>
      </c>
      <c r="K664" s="13">
        <v>23247</v>
      </c>
    </row>
    <row r="665" spans="10:11" x14ac:dyDescent="0.25">
      <c r="J665" s="13" t="s">
        <v>3770</v>
      </c>
      <c r="K665" s="13">
        <v>10310</v>
      </c>
    </row>
    <row r="666" spans="10:11" x14ac:dyDescent="0.25">
      <c r="J666" s="13" t="s">
        <v>3524</v>
      </c>
      <c r="K666" s="13">
        <v>36164</v>
      </c>
    </row>
    <row r="667" spans="10:11" x14ac:dyDescent="0.25">
      <c r="J667" s="13" t="s">
        <v>4159</v>
      </c>
      <c r="K667" s="13">
        <v>23511</v>
      </c>
    </row>
    <row r="668" spans="10:11" x14ac:dyDescent="0.25">
      <c r="J668" s="13" t="s">
        <v>4160</v>
      </c>
      <c r="K668" s="13">
        <v>10410</v>
      </c>
    </row>
    <row r="669" spans="10:11" x14ac:dyDescent="0.25">
      <c r="J669" s="13" t="s">
        <v>4161</v>
      </c>
      <c r="K669" s="13">
        <v>37311</v>
      </c>
    </row>
    <row r="670" spans="10:11" x14ac:dyDescent="0.25">
      <c r="J670" s="13" t="s">
        <v>4162</v>
      </c>
      <c r="K670" s="13">
        <v>31176</v>
      </c>
    </row>
    <row r="671" spans="10:11" x14ac:dyDescent="0.25">
      <c r="J671" s="13" t="s">
        <v>4163</v>
      </c>
      <c r="K671" s="13">
        <v>37231</v>
      </c>
    </row>
    <row r="672" spans="10:11" x14ac:dyDescent="0.25">
      <c r="J672" s="13" t="s">
        <v>4164</v>
      </c>
      <c r="K672" s="13">
        <v>24457</v>
      </c>
    </row>
    <row r="673" spans="10:11" x14ac:dyDescent="0.25">
      <c r="J673" s="16" t="s">
        <v>3872</v>
      </c>
      <c r="K673" s="16">
        <v>72143</v>
      </c>
    </row>
    <row r="674" spans="10:11" x14ac:dyDescent="0.25">
      <c r="J674" s="13" t="s">
        <v>4165</v>
      </c>
      <c r="K674" s="13">
        <v>22531</v>
      </c>
    </row>
    <row r="675" spans="10:11" x14ac:dyDescent="0.25">
      <c r="J675" s="13" t="s">
        <v>3526</v>
      </c>
      <c r="K675" s="13">
        <v>25373</v>
      </c>
    </row>
    <row r="676" spans="10:11" x14ac:dyDescent="0.25">
      <c r="J676" s="13" t="s">
        <v>3527</v>
      </c>
      <c r="K676" s="13">
        <v>33111</v>
      </c>
    </row>
    <row r="677" spans="10:11" x14ac:dyDescent="0.25">
      <c r="J677" s="13" t="s">
        <v>4166</v>
      </c>
      <c r="K677" s="13">
        <v>22531</v>
      </c>
    </row>
    <row r="678" spans="10:11" x14ac:dyDescent="0.25">
      <c r="J678" s="13" t="s">
        <v>3528</v>
      </c>
      <c r="K678" s="13">
        <v>24337</v>
      </c>
    </row>
    <row r="679" spans="10:11" x14ac:dyDescent="0.25">
      <c r="J679" s="13" t="s">
        <v>3771</v>
      </c>
      <c r="K679" s="13">
        <v>10310</v>
      </c>
    </row>
    <row r="680" spans="10:11" x14ac:dyDescent="0.25">
      <c r="J680" s="13" t="s">
        <v>3772</v>
      </c>
      <c r="K680" s="13">
        <v>10310</v>
      </c>
    </row>
    <row r="681" spans="10:11" x14ac:dyDescent="0.25">
      <c r="J681" s="13" t="s">
        <v>3529</v>
      </c>
      <c r="K681" s="13">
        <v>21456</v>
      </c>
    </row>
    <row r="682" spans="10:11" x14ac:dyDescent="0.25">
      <c r="J682" s="13" t="s">
        <v>4167</v>
      </c>
      <c r="K682" s="13">
        <v>37271</v>
      </c>
    </row>
    <row r="683" spans="10:11" x14ac:dyDescent="0.25">
      <c r="J683" s="13" t="s">
        <v>3773</v>
      </c>
      <c r="K683" s="13">
        <v>10310</v>
      </c>
    </row>
    <row r="684" spans="10:11" x14ac:dyDescent="0.25">
      <c r="J684" s="13" t="s">
        <v>4168</v>
      </c>
      <c r="K684" s="13">
        <v>31116</v>
      </c>
    </row>
    <row r="685" spans="10:11" x14ac:dyDescent="0.25">
      <c r="J685" s="13" t="s">
        <v>4169</v>
      </c>
      <c r="K685" s="13">
        <v>10150</v>
      </c>
    </row>
    <row r="686" spans="10:11" x14ac:dyDescent="0.25">
      <c r="J686" s="13" t="s">
        <v>3530</v>
      </c>
      <c r="K686" s="13">
        <v>61323</v>
      </c>
    </row>
    <row r="687" spans="10:11" x14ac:dyDescent="0.25">
      <c r="J687" s="13" t="s">
        <v>3531</v>
      </c>
      <c r="K687" s="13">
        <v>61119</v>
      </c>
    </row>
    <row r="688" spans="10:11" x14ac:dyDescent="0.25">
      <c r="J688" s="13" t="s">
        <v>4170</v>
      </c>
      <c r="K688" s="13">
        <v>21311</v>
      </c>
    </row>
    <row r="689" spans="10:11" x14ac:dyDescent="0.25">
      <c r="J689" s="13" t="s">
        <v>3774</v>
      </c>
      <c r="K689" s="13">
        <v>10510</v>
      </c>
    </row>
    <row r="690" spans="10:11" x14ac:dyDescent="0.25">
      <c r="J690" s="13" t="s">
        <v>3532</v>
      </c>
      <c r="K690" s="13">
        <v>21111</v>
      </c>
    </row>
    <row r="691" spans="10:11" x14ac:dyDescent="0.25">
      <c r="J691" s="13" t="s">
        <v>3533</v>
      </c>
      <c r="K691" s="13">
        <v>21219</v>
      </c>
    </row>
    <row r="692" spans="10:11" x14ac:dyDescent="0.25">
      <c r="J692" s="13" t="s">
        <v>3775</v>
      </c>
      <c r="K692" s="13">
        <v>10310</v>
      </c>
    </row>
    <row r="693" spans="10:11" x14ac:dyDescent="0.25">
      <c r="J693" s="13" t="s">
        <v>3534</v>
      </c>
      <c r="K693" s="13">
        <v>21111</v>
      </c>
    </row>
    <row r="694" spans="10:11" x14ac:dyDescent="0.25">
      <c r="J694" s="13" t="s">
        <v>3535</v>
      </c>
      <c r="K694" s="13">
        <v>26231</v>
      </c>
    </row>
    <row r="695" spans="10:11" x14ac:dyDescent="0.25">
      <c r="J695" s="13" t="s">
        <v>4171</v>
      </c>
      <c r="K695" s="13">
        <v>35411</v>
      </c>
    </row>
    <row r="696" spans="10:11" x14ac:dyDescent="0.25">
      <c r="J696" s="13" t="s">
        <v>3776</v>
      </c>
      <c r="K696" s="13">
        <v>10150</v>
      </c>
    </row>
    <row r="697" spans="10:11" x14ac:dyDescent="0.25">
      <c r="J697" s="13" t="s">
        <v>4172</v>
      </c>
      <c r="K697" s="13">
        <v>23243</v>
      </c>
    </row>
    <row r="698" spans="10:11" x14ac:dyDescent="0.25">
      <c r="J698" s="13" t="s">
        <v>3536</v>
      </c>
      <c r="K698" s="13">
        <v>21476</v>
      </c>
    </row>
    <row r="699" spans="10:11" x14ac:dyDescent="0.25">
      <c r="J699" s="13" t="s">
        <v>4173</v>
      </c>
      <c r="K699" s="13">
        <v>24211</v>
      </c>
    </row>
    <row r="700" spans="10:11" x14ac:dyDescent="0.25">
      <c r="J700" s="13" t="s">
        <v>3538</v>
      </c>
      <c r="K700" s="13">
        <v>24133</v>
      </c>
    </row>
    <row r="701" spans="10:11" x14ac:dyDescent="0.25">
      <c r="J701" s="13" t="s">
        <v>3539</v>
      </c>
      <c r="K701" s="13">
        <v>24243</v>
      </c>
    </row>
    <row r="702" spans="10:11" x14ac:dyDescent="0.25">
      <c r="J702" s="13" t="s">
        <v>4174</v>
      </c>
      <c r="K702" s="13">
        <v>10150</v>
      </c>
    </row>
    <row r="703" spans="10:11" x14ac:dyDescent="0.25">
      <c r="J703" s="13" t="s">
        <v>3777</v>
      </c>
      <c r="K703" s="13">
        <v>10210</v>
      </c>
    </row>
    <row r="704" spans="10:11" x14ac:dyDescent="0.25">
      <c r="J704" s="13" t="s">
        <v>3778</v>
      </c>
      <c r="K704" s="13">
        <v>10210</v>
      </c>
    </row>
    <row r="705" spans="10:11" x14ac:dyDescent="0.25">
      <c r="J705" s="13" t="s">
        <v>3540</v>
      </c>
      <c r="K705" s="13">
        <v>21324</v>
      </c>
    </row>
    <row r="706" spans="10:11" x14ac:dyDescent="0.25">
      <c r="J706" s="13" t="s">
        <v>4175</v>
      </c>
      <c r="K706" s="13">
        <v>35143</v>
      </c>
    </row>
    <row r="707" spans="10:11" x14ac:dyDescent="0.25">
      <c r="J707" s="13" t="s">
        <v>3541</v>
      </c>
      <c r="K707" s="13">
        <v>23267</v>
      </c>
    </row>
    <row r="708" spans="10:11" x14ac:dyDescent="0.25">
      <c r="J708" s="13" t="s">
        <v>3542</v>
      </c>
      <c r="K708" s="13">
        <v>22311</v>
      </c>
    </row>
    <row r="709" spans="10:11" x14ac:dyDescent="0.25">
      <c r="J709" s="13" t="s">
        <v>4176</v>
      </c>
      <c r="K709" s="13">
        <v>23247</v>
      </c>
    </row>
    <row r="710" spans="10:11" x14ac:dyDescent="0.25">
      <c r="J710" s="13" t="s">
        <v>4177</v>
      </c>
      <c r="K710" s="13">
        <v>23511</v>
      </c>
    </row>
    <row r="711" spans="10:11" x14ac:dyDescent="0.25">
      <c r="J711" s="13" t="s">
        <v>4178</v>
      </c>
      <c r="K711" s="13">
        <v>22741</v>
      </c>
    </row>
    <row r="712" spans="10:11" x14ac:dyDescent="0.25">
      <c r="J712" s="13" t="s">
        <v>4179</v>
      </c>
      <c r="K712" s="13">
        <v>24444</v>
      </c>
    </row>
    <row r="713" spans="10:11" x14ac:dyDescent="0.25">
      <c r="J713" s="13" t="s">
        <v>4180</v>
      </c>
      <c r="K713" s="13">
        <v>24343</v>
      </c>
    </row>
    <row r="714" spans="10:11" x14ac:dyDescent="0.25">
      <c r="J714" s="13" t="s">
        <v>4181</v>
      </c>
      <c r="K714" s="13">
        <v>37231</v>
      </c>
    </row>
    <row r="715" spans="10:11" x14ac:dyDescent="0.25">
      <c r="J715" s="13" t="s">
        <v>3543</v>
      </c>
      <c r="K715" s="13">
        <v>31161</v>
      </c>
    </row>
    <row r="716" spans="10:11" x14ac:dyDescent="0.25">
      <c r="J716" s="13" t="s">
        <v>3700</v>
      </c>
      <c r="K716" s="13">
        <v>23365</v>
      </c>
    </row>
    <row r="717" spans="10:11" x14ac:dyDescent="0.25">
      <c r="J717" s="13" t="s">
        <v>4182</v>
      </c>
      <c r="K717" s="13">
        <v>22511</v>
      </c>
    </row>
    <row r="718" spans="10:11" x14ac:dyDescent="0.25">
      <c r="J718" s="13" t="s">
        <v>4183</v>
      </c>
      <c r="K718" s="13">
        <v>22511</v>
      </c>
    </row>
    <row r="719" spans="10:11" x14ac:dyDescent="0.25">
      <c r="J719" s="13" t="s">
        <v>3544</v>
      </c>
      <c r="K719" s="13">
        <v>37391</v>
      </c>
    </row>
    <row r="720" spans="10:11" x14ac:dyDescent="0.25">
      <c r="J720" s="13" t="s">
        <v>4184</v>
      </c>
      <c r="K720" s="13">
        <v>33259</v>
      </c>
    </row>
    <row r="721" spans="10:11" x14ac:dyDescent="0.25">
      <c r="J721" s="13" t="s">
        <v>4185</v>
      </c>
      <c r="K721" s="13">
        <v>35437</v>
      </c>
    </row>
    <row r="722" spans="10:11" x14ac:dyDescent="0.25">
      <c r="J722" s="13" t="s">
        <v>4186</v>
      </c>
      <c r="K722" s="13">
        <v>37271</v>
      </c>
    </row>
    <row r="723" spans="10:11" x14ac:dyDescent="0.25">
      <c r="J723" s="13" t="s">
        <v>4187</v>
      </c>
      <c r="K723" s="13">
        <v>10150</v>
      </c>
    </row>
    <row r="724" spans="10:11" x14ac:dyDescent="0.25">
      <c r="J724" s="13" t="s">
        <v>3779</v>
      </c>
      <c r="K724" s="13">
        <v>10150</v>
      </c>
    </row>
    <row r="725" spans="10:11" x14ac:dyDescent="0.25">
      <c r="J725" s="13" t="s">
        <v>4188</v>
      </c>
      <c r="K725" s="13">
        <v>22111</v>
      </c>
    </row>
    <row r="726" spans="10:11" x14ac:dyDescent="0.25">
      <c r="J726" s="13" t="s">
        <v>3545</v>
      </c>
      <c r="K726" s="13">
        <v>22733</v>
      </c>
    </row>
    <row r="727" spans="10:11" x14ac:dyDescent="0.25">
      <c r="J727" s="13" t="s">
        <v>3546</v>
      </c>
      <c r="K727" s="13">
        <v>51133</v>
      </c>
    </row>
    <row r="728" spans="10:11" x14ac:dyDescent="0.25">
      <c r="J728" s="13" t="s">
        <v>4189</v>
      </c>
      <c r="K728" s="13">
        <v>10310</v>
      </c>
    </row>
    <row r="729" spans="10:11" x14ac:dyDescent="0.25">
      <c r="J729" s="13" t="s">
        <v>4190</v>
      </c>
      <c r="K729" s="13">
        <v>10650</v>
      </c>
    </row>
    <row r="730" spans="10:11" x14ac:dyDescent="0.25">
      <c r="J730" s="13" t="s">
        <v>4191</v>
      </c>
      <c r="K730" s="13">
        <v>10310</v>
      </c>
    </row>
    <row r="731" spans="10:11" x14ac:dyDescent="0.25">
      <c r="J731" s="13" t="s">
        <v>4192</v>
      </c>
      <c r="K731" s="13">
        <v>35224</v>
      </c>
    </row>
    <row r="732" spans="10:11" x14ac:dyDescent="0.25">
      <c r="J732" s="13" t="s">
        <v>3780</v>
      </c>
      <c r="K732" s="13">
        <v>10150</v>
      </c>
    </row>
    <row r="733" spans="10:11" x14ac:dyDescent="0.25">
      <c r="J733" s="13" t="s">
        <v>4193</v>
      </c>
      <c r="K733" s="13">
        <v>25156</v>
      </c>
    </row>
    <row r="734" spans="10:11" x14ac:dyDescent="0.25">
      <c r="J734" s="13" t="s">
        <v>4194</v>
      </c>
      <c r="K734" s="13">
        <v>25171</v>
      </c>
    </row>
    <row r="735" spans="10:11" x14ac:dyDescent="0.25">
      <c r="J735" s="13" t="s">
        <v>3547</v>
      </c>
      <c r="K735" s="13">
        <v>25375</v>
      </c>
    </row>
    <row r="736" spans="10:11" x14ac:dyDescent="0.25">
      <c r="J736" s="13" t="s">
        <v>4195</v>
      </c>
      <c r="K736" s="13">
        <v>25357</v>
      </c>
    </row>
    <row r="737" spans="10:11" x14ac:dyDescent="0.25">
      <c r="J737" s="13" t="s">
        <v>4196</v>
      </c>
      <c r="K737" s="13">
        <v>25357</v>
      </c>
    </row>
    <row r="738" spans="10:11" x14ac:dyDescent="0.25">
      <c r="J738" s="13" t="s">
        <v>4197</v>
      </c>
      <c r="K738" s="13">
        <v>25357</v>
      </c>
    </row>
    <row r="739" spans="10:11" x14ac:dyDescent="0.25">
      <c r="J739" s="13" t="s">
        <v>4198</v>
      </c>
      <c r="K739" s="13">
        <v>25357</v>
      </c>
    </row>
    <row r="740" spans="10:11" x14ac:dyDescent="0.25">
      <c r="J740" s="13" t="s">
        <v>4199</v>
      </c>
      <c r="K740" s="13">
        <v>25357</v>
      </c>
    </row>
    <row r="741" spans="10:11" x14ac:dyDescent="0.25">
      <c r="J741" s="13" t="s">
        <v>4200</v>
      </c>
      <c r="K741" s="13">
        <v>25357</v>
      </c>
    </row>
    <row r="742" spans="10:11" x14ac:dyDescent="0.25">
      <c r="J742" s="13" t="s">
        <v>4201</v>
      </c>
      <c r="K742" s="13">
        <v>25357</v>
      </c>
    </row>
    <row r="743" spans="10:11" x14ac:dyDescent="0.25">
      <c r="J743" s="13" t="s">
        <v>4202</v>
      </c>
      <c r="K743" s="13">
        <v>25361</v>
      </c>
    </row>
    <row r="744" spans="10:11" x14ac:dyDescent="0.25">
      <c r="J744" s="13" t="s">
        <v>4203</v>
      </c>
      <c r="K744" s="13">
        <v>25331</v>
      </c>
    </row>
    <row r="745" spans="10:11" x14ac:dyDescent="0.25">
      <c r="J745" s="13" t="s">
        <v>3548</v>
      </c>
      <c r="K745" s="13">
        <v>52227</v>
      </c>
    </row>
    <row r="746" spans="10:11" x14ac:dyDescent="0.25">
      <c r="J746" s="13" t="s">
        <v>4204</v>
      </c>
      <c r="K746" s="13">
        <v>51244</v>
      </c>
    </row>
    <row r="747" spans="10:11" x14ac:dyDescent="0.25">
      <c r="J747" s="13" t="s">
        <v>4205</v>
      </c>
      <c r="K747" s="13">
        <v>51244</v>
      </c>
    </row>
    <row r="748" spans="10:11" x14ac:dyDescent="0.25">
      <c r="J748" s="13" t="s">
        <v>4206</v>
      </c>
      <c r="K748" s="13">
        <v>51353</v>
      </c>
    </row>
    <row r="749" spans="10:11" x14ac:dyDescent="0.25">
      <c r="J749" s="13" t="s">
        <v>4207</v>
      </c>
      <c r="K749" s="13">
        <v>10350</v>
      </c>
    </row>
    <row r="750" spans="10:11" x14ac:dyDescent="0.25">
      <c r="J750" s="13" t="s">
        <v>3549</v>
      </c>
      <c r="K750" s="13">
        <v>53211</v>
      </c>
    </row>
    <row r="751" spans="10:11" x14ac:dyDescent="0.25">
      <c r="J751" s="13" t="s">
        <v>4208</v>
      </c>
      <c r="K751" s="13">
        <v>35318</v>
      </c>
    </row>
    <row r="752" spans="10:11" x14ac:dyDescent="0.25">
      <c r="J752" s="13" t="s">
        <v>4209</v>
      </c>
      <c r="K752" s="13">
        <v>24331</v>
      </c>
    </row>
    <row r="753" spans="10:11" x14ac:dyDescent="0.25">
      <c r="J753" s="13" t="s">
        <v>3550</v>
      </c>
      <c r="K753" s="13">
        <v>31151</v>
      </c>
    </row>
    <row r="754" spans="10:11" x14ac:dyDescent="0.25">
      <c r="J754" s="13" t="s">
        <v>4210</v>
      </c>
      <c r="K754" s="13">
        <v>35427</v>
      </c>
    </row>
    <row r="755" spans="10:11" x14ac:dyDescent="0.25">
      <c r="J755" s="13" t="s">
        <v>4211</v>
      </c>
      <c r="K755" s="13">
        <v>24331</v>
      </c>
    </row>
    <row r="756" spans="10:11" x14ac:dyDescent="0.25">
      <c r="J756" s="13" t="s">
        <v>4212</v>
      </c>
      <c r="K756" s="13">
        <v>24211</v>
      </c>
    </row>
    <row r="757" spans="10:11" x14ac:dyDescent="0.25">
      <c r="J757" s="13" t="s">
        <v>4213</v>
      </c>
      <c r="K757" s="13">
        <v>34269</v>
      </c>
    </row>
    <row r="758" spans="10:11" x14ac:dyDescent="0.25">
      <c r="J758" s="13" t="s">
        <v>3551</v>
      </c>
      <c r="K758" s="13">
        <v>24349</v>
      </c>
    </row>
    <row r="759" spans="10:11" x14ac:dyDescent="0.25">
      <c r="J759" s="13" t="s">
        <v>4214</v>
      </c>
      <c r="K759" s="13">
        <v>10150</v>
      </c>
    </row>
    <row r="760" spans="10:11" x14ac:dyDescent="0.25">
      <c r="J760" s="13" t="s">
        <v>3781</v>
      </c>
      <c r="K760" s="13">
        <v>10210</v>
      </c>
    </row>
    <row r="761" spans="10:11" x14ac:dyDescent="0.25">
      <c r="J761" s="13" t="s">
        <v>3782</v>
      </c>
      <c r="K761" s="13">
        <v>10410</v>
      </c>
    </row>
    <row r="762" spans="10:11" x14ac:dyDescent="0.25">
      <c r="J762" s="15" t="s">
        <v>3783</v>
      </c>
      <c r="K762" s="15">
        <v>10210</v>
      </c>
    </row>
    <row r="763" spans="10:11" x14ac:dyDescent="0.25">
      <c r="J763" s="13" t="s">
        <v>4215</v>
      </c>
      <c r="K763" s="13">
        <v>53267</v>
      </c>
    </row>
    <row r="764" spans="10:11" x14ac:dyDescent="0.25">
      <c r="J764" s="16" t="s">
        <v>3872</v>
      </c>
      <c r="K764" s="16">
        <v>53254</v>
      </c>
    </row>
    <row r="765" spans="10:11" x14ac:dyDescent="0.25">
      <c r="J765" s="13" t="s">
        <v>4216</v>
      </c>
      <c r="K765" s="13">
        <v>10210</v>
      </c>
    </row>
    <row r="766" spans="10:11" x14ac:dyDescent="0.25">
      <c r="J766" s="13" t="s">
        <v>4217</v>
      </c>
      <c r="K766" s="13">
        <v>21111</v>
      </c>
    </row>
    <row r="767" spans="10:11" x14ac:dyDescent="0.25">
      <c r="J767" s="13" t="s">
        <v>4218</v>
      </c>
      <c r="K767" s="13">
        <v>74111</v>
      </c>
    </row>
    <row r="768" spans="10:11" x14ac:dyDescent="0.25">
      <c r="J768" s="13" t="s">
        <v>4219</v>
      </c>
      <c r="K768" s="13">
        <v>10150</v>
      </c>
    </row>
    <row r="769" spans="10:11" x14ac:dyDescent="0.25">
      <c r="J769" s="13" t="s">
        <v>3784</v>
      </c>
      <c r="K769" s="13">
        <v>10210</v>
      </c>
    </row>
    <row r="770" spans="10:11" x14ac:dyDescent="0.25">
      <c r="J770" s="13" t="s">
        <v>4220</v>
      </c>
      <c r="K770" s="13">
        <v>10310</v>
      </c>
    </row>
    <row r="771" spans="10:11" x14ac:dyDescent="0.25">
      <c r="J771" s="13" t="s">
        <v>3785</v>
      </c>
      <c r="K771" s="13">
        <v>10150</v>
      </c>
    </row>
    <row r="772" spans="10:11" x14ac:dyDescent="0.25">
      <c r="J772" s="13" t="s">
        <v>4221</v>
      </c>
      <c r="K772" s="13">
        <v>23111</v>
      </c>
    </row>
    <row r="773" spans="10:11" x14ac:dyDescent="0.25">
      <c r="J773" s="13" t="s">
        <v>4222</v>
      </c>
      <c r="K773" s="13">
        <v>51244</v>
      </c>
    </row>
    <row r="774" spans="10:11" x14ac:dyDescent="0.25">
      <c r="J774" s="13" t="s">
        <v>4223</v>
      </c>
      <c r="K774" s="13">
        <v>24133</v>
      </c>
    </row>
    <row r="775" spans="10:11" x14ac:dyDescent="0.25">
      <c r="J775" s="13" t="s">
        <v>4224</v>
      </c>
      <c r="K775" s="13">
        <v>74111</v>
      </c>
    </row>
    <row r="776" spans="10:11" x14ac:dyDescent="0.25">
      <c r="J776" s="13" t="s">
        <v>4225</v>
      </c>
      <c r="K776" s="13">
        <v>10210</v>
      </c>
    </row>
    <row r="777" spans="10:11" x14ac:dyDescent="0.25">
      <c r="J777" s="13" t="s">
        <v>3553</v>
      </c>
      <c r="K777" s="13">
        <v>23211</v>
      </c>
    </row>
    <row r="778" spans="10:11" x14ac:dyDescent="0.25">
      <c r="J778" s="13" t="s">
        <v>3786</v>
      </c>
      <c r="K778" s="13">
        <v>10210</v>
      </c>
    </row>
    <row r="779" spans="10:11" x14ac:dyDescent="0.25">
      <c r="J779" s="13" t="s">
        <v>4226</v>
      </c>
      <c r="K779" s="13">
        <v>25475</v>
      </c>
    </row>
    <row r="780" spans="10:11" x14ac:dyDescent="0.25">
      <c r="J780" s="13" t="s">
        <v>3554</v>
      </c>
      <c r="K780" s="13">
        <v>25329</v>
      </c>
    </row>
    <row r="781" spans="10:11" x14ac:dyDescent="0.25">
      <c r="J781" s="13" t="s">
        <v>4227</v>
      </c>
      <c r="K781" s="13">
        <v>10110</v>
      </c>
    </row>
    <row r="782" spans="10:11" x14ac:dyDescent="0.25">
      <c r="J782" s="13" t="s">
        <v>3787</v>
      </c>
      <c r="K782" s="13">
        <v>10110</v>
      </c>
    </row>
    <row r="783" spans="10:11" x14ac:dyDescent="0.25">
      <c r="J783" s="13" t="s">
        <v>4228</v>
      </c>
      <c r="K783" s="13">
        <v>22555</v>
      </c>
    </row>
    <row r="784" spans="10:11" x14ac:dyDescent="0.25">
      <c r="J784" s="13" t="s">
        <v>4229</v>
      </c>
      <c r="K784" s="13">
        <v>51244</v>
      </c>
    </row>
    <row r="785" spans="10:11" x14ac:dyDescent="0.25">
      <c r="J785" s="13" t="s">
        <v>3555</v>
      </c>
      <c r="K785" s="13">
        <v>55124</v>
      </c>
    </row>
    <row r="786" spans="10:11" x14ac:dyDescent="0.25">
      <c r="J786" s="13" t="s">
        <v>4230</v>
      </c>
      <c r="K786" s="13">
        <v>22455</v>
      </c>
    </row>
    <row r="787" spans="10:11" x14ac:dyDescent="0.25">
      <c r="J787" s="13" t="s">
        <v>4231</v>
      </c>
      <c r="K787" s="13">
        <v>32141</v>
      </c>
    </row>
    <row r="788" spans="10:11" x14ac:dyDescent="0.25">
      <c r="J788" s="13" t="s">
        <v>3556</v>
      </c>
      <c r="K788" s="13">
        <v>34188</v>
      </c>
    </row>
    <row r="789" spans="10:11" x14ac:dyDescent="0.25">
      <c r="J789" s="13" t="s">
        <v>4232</v>
      </c>
      <c r="K789" s="13">
        <v>35187</v>
      </c>
    </row>
    <row r="790" spans="10:11" x14ac:dyDescent="0.25">
      <c r="J790" s="13" t="s">
        <v>4233</v>
      </c>
      <c r="K790" s="13">
        <v>35325</v>
      </c>
    </row>
    <row r="791" spans="10:11" x14ac:dyDescent="0.25">
      <c r="J791" s="13" t="s">
        <v>4234</v>
      </c>
      <c r="K791" s="13">
        <v>24337</v>
      </c>
    </row>
    <row r="792" spans="10:11" x14ac:dyDescent="0.25">
      <c r="J792" s="13" t="s">
        <v>3557</v>
      </c>
      <c r="K792" s="13">
        <v>22311</v>
      </c>
    </row>
    <row r="793" spans="10:11" x14ac:dyDescent="0.25">
      <c r="J793" s="13" t="s">
        <v>4235</v>
      </c>
      <c r="K793" s="13">
        <v>35215</v>
      </c>
    </row>
    <row r="794" spans="10:11" x14ac:dyDescent="0.25">
      <c r="J794" s="13" t="s">
        <v>4236</v>
      </c>
      <c r="K794" s="13">
        <v>35337</v>
      </c>
    </row>
    <row r="795" spans="10:11" x14ac:dyDescent="0.25">
      <c r="J795" s="13" t="s">
        <v>4237</v>
      </c>
      <c r="K795" s="13">
        <v>35245</v>
      </c>
    </row>
    <row r="796" spans="10:11" x14ac:dyDescent="0.25">
      <c r="J796" s="13" t="s">
        <v>4238</v>
      </c>
      <c r="K796" s="13">
        <v>35175</v>
      </c>
    </row>
    <row r="797" spans="10:11" x14ac:dyDescent="0.25">
      <c r="J797" s="13" t="s">
        <v>4239</v>
      </c>
      <c r="K797" s="13">
        <v>22511</v>
      </c>
    </row>
    <row r="798" spans="10:11" x14ac:dyDescent="0.25">
      <c r="J798" s="13" t="s">
        <v>4240</v>
      </c>
      <c r="K798" s="13">
        <v>35322</v>
      </c>
    </row>
    <row r="799" spans="10:11" x14ac:dyDescent="0.25">
      <c r="J799" s="13" t="s">
        <v>4241</v>
      </c>
      <c r="K799" s="13">
        <v>71113</v>
      </c>
    </row>
    <row r="800" spans="10:11" x14ac:dyDescent="0.25">
      <c r="J800" s="13" t="s">
        <v>3558</v>
      </c>
      <c r="K800" s="13">
        <v>32141</v>
      </c>
    </row>
    <row r="801" spans="10:11" x14ac:dyDescent="0.25">
      <c r="J801" s="13" t="s">
        <v>4242</v>
      </c>
      <c r="K801" s="13">
        <v>22754</v>
      </c>
    </row>
    <row r="802" spans="10:11" x14ac:dyDescent="0.25">
      <c r="J802" s="13" t="s">
        <v>4243</v>
      </c>
      <c r="K802" s="13">
        <v>25211</v>
      </c>
    </row>
    <row r="803" spans="10:11" x14ac:dyDescent="0.25">
      <c r="J803" s="13" t="s">
        <v>3788</v>
      </c>
      <c r="K803" s="13">
        <v>10150</v>
      </c>
    </row>
    <row r="804" spans="10:11" x14ac:dyDescent="0.25">
      <c r="J804" s="13" t="s">
        <v>3559</v>
      </c>
      <c r="K804" s="13">
        <v>22423</v>
      </c>
    </row>
    <row r="805" spans="10:11" x14ac:dyDescent="0.25">
      <c r="J805" s="13" t="s">
        <v>4244</v>
      </c>
      <c r="K805" s="13">
        <v>22611</v>
      </c>
    </row>
    <row r="806" spans="10:11" x14ac:dyDescent="0.25">
      <c r="J806" s="13" t="s">
        <v>4245</v>
      </c>
      <c r="K806" s="13">
        <v>22155</v>
      </c>
    </row>
    <row r="807" spans="10:11" x14ac:dyDescent="0.25">
      <c r="J807" s="13" t="s">
        <v>4246</v>
      </c>
      <c r="K807" s="13">
        <v>22733</v>
      </c>
    </row>
    <row r="808" spans="10:11" x14ac:dyDescent="0.25">
      <c r="J808" s="13" t="s">
        <v>4247</v>
      </c>
      <c r="K808" s="13">
        <v>35353</v>
      </c>
    </row>
    <row r="809" spans="10:11" x14ac:dyDescent="0.25">
      <c r="J809" s="13" t="s">
        <v>4248</v>
      </c>
      <c r="K809" s="13">
        <v>51347</v>
      </c>
    </row>
    <row r="810" spans="10:11" x14ac:dyDescent="0.25">
      <c r="J810" s="16" t="s">
        <v>3872</v>
      </c>
      <c r="K810" s="16">
        <v>24211</v>
      </c>
    </row>
    <row r="811" spans="10:11" x14ac:dyDescent="0.25">
      <c r="J811" s="13" t="s">
        <v>4249</v>
      </c>
      <c r="K811" s="13">
        <v>32131</v>
      </c>
    </row>
    <row r="812" spans="10:11" x14ac:dyDescent="0.25">
      <c r="J812" s="13" t="s">
        <v>4250</v>
      </c>
      <c r="K812" s="13">
        <v>22211</v>
      </c>
    </row>
    <row r="813" spans="10:11" x14ac:dyDescent="0.25">
      <c r="J813" s="13" t="s">
        <v>4251</v>
      </c>
      <c r="K813" s="13">
        <v>10999</v>
      </c>
    </row>
    <row r="814" spans="10:11" x14ac:dyDescent="0.25">
      <c r="J814" s="13" t="s">
        <v>4252</v>
      </c>
      <c r="K814" s="13">
        <v>51111</v>
      </c>
    </row>
    <row r="815" spans="10:11" x14ac:dyDescent="0.25">
      <c r="J815" s="13" t="s">
        <v>4253</v>
      </c>
      <c r="K815" s="13">
        <v>51111</v>
      </c>
    </row>
    <row r="816" spans="10:11" x14ac:dyDescent="0.25">
      <c r="J816" s="13" t="s">
        <v>4254</v>
      </c>
      <c r="K816" s="13">
        <v>51111</v>
      </c>
    </row>
    <row r="817" spans="10:11" x14ac:dyDescent="0.25">
      <c r="J817" s="13" t="s">
        <v>4255</v>
      </c>
      <c r="K817" s="13">
        <v>35439</v>
      </c>
    </row>
    <row r="818" spans="10:11" x14ac:dyDescent="0.25">
      <c r="J818" s="13" t="s">
        <v>4256</v>
      </c>
      <c r="K818" s="13">
        <v>35518</v>
      </c>
    </row>
    <row r="819" spans="10:11" x14ac:dyDescent="0.25">
      <c r="J819" s="13" t="s">
        <v>4257</v>
      </c>
      <c r="K819" s="13">
        <v>35516</v>
      </c>
    </row>
    <row r="820" spans="10:11" x14ac:dyDescent="0.25">
      <c r="J820" s="13" t="s">
        <v>4258</v>
      </c>
      <c r="K820" s="13">
        <v>35325</v>
      </c>
    </row>
    <row r="821" spans="10:11" x14ac:dyDescent="0.25">
      <c r="J821" s="13" t="s">
        <v>3560</v>
      </c>
      <c r="K821" s="13">
        <v>25357</v>
      </c>
    </row>
    <row r="822" spans="10:11" x14ac:dyDescent="0.25">
      <c r="J822" s="13" t="s">
        <v>3561</v>
      </c>
      <c r="K822" s="13">
        <v>21111</v>
      </c>
    </row>
    <row r="823" spans="10:11" x14ac:dyDescent="0.25">
      <c r="J823" s="13" t="s">
        <v>4259</v>
      </c>
      <c r="K823" s="13">
        <v>22111</v>
      </c>
    </row>
    <row r="824" spans="10:11" x14ac:dyDescent="0.25">
      <c r="J824" s="13" t="s">
        <v>4260</v>
      </c>
      <c r="K824" s="13">
        <v>24331</v>
      </c>
    </row>
    <row r="825" spans="10:11" x14ac:dyDescent="0.25">
      <c r="J825" s="13" t="s">
        <v>4261</v>
      </c>
      <c r="K825" s="13">
        <v>24343</v>
      </c>
    </row>
    <row r="826" spans="10:11" x14ac:dyDescent="0.25">
      <c r="J826" s="13" t="s">
        <v>4262</v>
      </c>
      <c r="K826" s="13">
        <v>24133</v>
      </c>
    </row>
    <row r="827" spans="10:11" x14ac:dyDescent="0.25">
      <c r="J827" s="13" t="s">
        <v>4263</v>
      </c>
      <c r="K827" s="13">
        <v>35511</v>
      </c>
    </row>
    <row r="828" spans="10:11" x14ac:dyDescent="0.25">
      <c r="J828" s="13" t="s">
        <v>4264</v>
      </c>
      <c r="K828" s="13">
        <v>55151</v>
      </c>
    </row>
    <row r="829" spans="10:11" x14ac:dyDescent="0.25">
      <c r="J829" s="13" t="s">
        <v>4265</v>
      </c>
      <c r="K829" s="13">
        <v>53231</v>
      </c>
    </row>
    <row r="830" spans="10:11" x14ac:dyDescent="0.25">
      <c r="J830" s="13" t="s">
        <v>4266</v>
      </c>
      <c r="K830" s="13">
        <v>53231</v>
      </c>
    </row>
    <row r="831" spans="10:11" x14ac:dyDescent="0.25">
      <c r="J831" s="13" t="s">
        <v>4267</v>
      </c>
      <c r="K831" s="13">
        <v>53231</v>
      </c>
    </row>
    <row r="832" spans="10:11" x14ac:dyDescent="0.25">
      <c r="J832" s="13" t="s">
        <v>4268</v>
      </c>
      <c r="K832" s="13">
        <v>53241</v>
      </c>
    </row>
    <row r="833" spans="10:11" x14ac:dyDescent="0.25">
      <c r="J833" s="13" t="s">
        <v>4269</v>
      </c>
      <c r="K833" s="13">
        <v>10350</v>
      </c>
    </row>
    <row r="834" spans="10:11" x14ac:dyDescent="0.25">
      <c r="J834" s="13" t="s">
        <v>4270</v>
      </c>
      <c r="K834" s="13">
        <v>22411</v>
      </c>
    </row>
    <row r="835" spans="10:11" x14ac:dyDescent="0.25">
      <c r="J835" s="13" t="s">
        <v>3789</v>
      </c>
      <c r="K835" s="13">
        <v>10110</v>
      </c>
    </row>
    <row r="836" spans="10:11" x14ac:dyDescent="0.25">
      <c r="J836" s="16" t="s">
        <v>3872</v>
      </c>
      <c r="K836" s="16">
        <v>10350</v>
      </c>
    </row>
    <row r="837" spans="10:11" x14ac:dyDescent="0.25">
      <c r="J837" s="13" t="s">
        <v>4271</v>
      </c>
      <c r="K837" s="13">
        <v>74111</v>
      </c>
    </row>
    <row r="838" spans="10:11" x14ac:dyDescent="0.25">
      <c r="J838" s="13" t="s">
        <v>3562</v>
      </c>
      <c r="K838" s="13">
        <v>25347</v>
      </c>
    </row>
    <row r="839" spans="10:11" x14ac:dyDescent="0.25">
      <c r="J839" s="13" t="s">
        <v>4272</v>
      </c>
      <c r="K839" s="13">
        <v>25211</v>
      </c>
    </row>
    <row r="840" spans="10:11" x14ac:dyDescent="0.25">
      <c r="J840" s="13" t="s">
        <v>3563</v>
      </c>
      <c r="K840" s="13">
        <v>23215</v>
      </c>
    </row>
    <row r="841" spans="10:11" x14ac:dyDescent="0.25">
      <c r="J841" s="13" t="s">
        <v>4273</v>
      </c>
      <c r="K841" s="13">
        <v>10110</v>
      </c>
    </row>
    <row r="842" spans="10:11" x14ac:dyDescent="0.25">
      <c r="J842" s="13" t="s">
        <v>3790</v>
      </c>
      <c r="K842" s="13">
        <v>10110</v>
      </c>
    </row>
    <row r="843" spans="10:11" x14ac:dyDescent="0.25">
      <c r="J843" s="13" t="s">
        <v>3791</v>
      </c>
      <c r="K843" s="13">
        <v>10110</v>
      </c>
    </row>
    <row r="844" spans="10:11" x14ac:dyDescent="0.25">
      <c r="J844" s="13" t="s">
        <v>4274</v>
      </c>
      <c r="K844" s="13">
        <v>24311</v>
      </c>
    </row>
    <row r="845" spans="10:11" x14ac:dyDescent="0.25">
      <c r="J845" s="13" t="s">
        <v>3792</v>
      </c>
      <c r="K845" s="13">
        <v>10110</v>
      </c>
    </row>
    <row r="846" spans="10:11" x14ac:dyDescent="0.25">
      <c r="J846" s="13" t="s">
        <v>4275</v>
      </c>
      <c r="K846" s="13">
        <v>10110</v>
      </c>
    </row>
    <row r="847" spans="10:11" x14ac:dyDescent="0.25">
      <c r="J847" s="13" t="s">
        <v>4276</v>
      </c>
      <c r="K847" s="13">
        <v>10110</v>
      </c>
    </row>
    <row r="848" spans="10:11" x14ac:dyDescent="0.25">
      <c r="J848" s="13" t="s">
        <v>4277</v>
      </c>
      <c r="K848" s="13">
        <v>10150</v>
      </c>
    </row>
    <row r="849" spans="10:11" x14ac:dyDescent="0.25">
      <c r="J849" s="13" t="s">
        <v>4278</v>
      </c>
      <c r="K849" s="13">
        <v>25319</v>
      </c>
    </row>
    <row r="850" spans="10:11" x14ac:dyDescent="0.25">
      <c r="J850" s="13" t="s">
        <v>4279</v>
      </c>
      <c r="K850" s="13">
        <v>51281</v>
      </c>
    </row>
    <row r="851" spans="10:11" x14ac:dyDescent="0.25">
      <c r="J851" s="13" t="s">
        <v>4280</v>
      </c>
      <c r="K851" s="13">
        <v>31111</v>
      </c>
    </row>
    <row r="852" spans="10:11" x14ac:dyDescent="0.25">
      <c r="J852" s="13" t="s">
        <v>4281</v>
      </c>
      <c r="K852" s="13">
        <v>22262</v>
      </c>
    </row>
    <row r="853" spans="10:11" x14ac:dyDescent="0.25">
      <c r="J853" s="13" t="s">
        <v>4282</v>
      </c>
      <c r="K853" s="13">
        <v>10350</v>
      </c>
    </row>
    <row r="854" spans="10:11" x14ac:dyDescent="0.25">
      <c r="J854" s="13" t="s">
        <v>4283</v>
      </c>
      <c r="K854" s="13">
        <v>25423</v>
      </c>
    </row>
    <row r="855" spans="10:11" x14ac:dyDescent="0.25">
      <c r="J855" s="13" t="s">
        <v>3564</v>
      </c>
      <c r="K855" s="13">
        <v>22667</v>
      </c>
    </row>
    <row r="856" spans="10:11" x14ac:dyDescent="0.25">
      <c r="J856" s="13" t="s">
        <v>3793</v>
      </c>
      <c r="K856" s="13">
        <v>10210</v>
      </c>
    </row>
    <row r="857" spans="10:11" x14ac:dyDescent="0.25">
      <c r="J857" s="13" t="s">
        <v>4284</v>
      </c>
      <c r="K857" s="13">
        <v>10310</v>
      </c>
    </row>
    <row r="858" spans="10:11" x14ac:dyDescent="0.25">
      <c r="J858" s="13" t="s">
        <v>4285</v>
      </c>
      <c r="K858" s="13">
        <v>10410</v>
      </c>
    </row>
    <row r="859" spans="10:11" x14ac:dyDescent="0.25">
      <c r="J859" s="13" t="s">
        <v>4286</v>
      </c>
      <c r="K859" s="13">
        <v>22411</v>
      </c>
    </row>
    <row r="860" spans="10:11" x14ac:dyDescent="0.25">
      <c r="J860" s="13" t="s">
        <v>4287</v>
      </c>
      <c r="K860" s="13">
        <v>51281</v>
      </c>
    </row>
    <row r="861" spans="10:11" x14ac:dyDescent="0.25">
      <c r="J861" s="13" t="s">
        <v>4288</v>
      </c>
      <c r="K861" s="13">
        <v>53111</v>
      </c>
    </row>
    <row r="862" spans="10:11" x14ac:dyDescent="0.25">
      <c r="J862" s="13" t="s">
        <v>4289</v>
      </c>
      <c r="K862" s="13">
        <v>52254</v>
      </c>
    </row>
    <row r="863" spans="10:11" x14ac:dyDescent="0.25">
      <c r="J863" s="13" t="s">
        <v>4290</v>
      </c>
      <c r="K863" s="13">
        <v>53111</v>
      </c>
    </row>
    <row r="864" spans="10:11" x14ac:dyDescent="0.25">
      <c r="J864" s="13" t="s">
        <v>4291</v>
      </c>
      <c r="K864" s="13">
        <v>61335</v>
      </c>
    </row>
    <row r="865" spans="10:11" x14ac:dyDescent="0.25">
      <c r="J865" s="13" t="s">
        <v>4292</v>
      </c>
      <c r="K865" s="13">
        <v>53221</v>
      </c>
    </row>
    <row r="866" spans="10:11" x14ac:dyDescent="0.25">
      <c r="J866" s="13" t="s">
        <v>4293</v>
      </c>
      <c r="K866" s="13">
        <v>31161</v>
      </c>
    </row>
    <row r="867" spans="10:11" x14ac:dyDescent="0.25">
      <c r="J867" s="13" t="s">
        <v>4294</v>
      </c>
      <c r="K867" s="13">
        <v>37351</v>
      </c>
    </row>
    <row r="868" spans="10:11" x14ac:dyDescent="0.25">
      <c r="J868" s="13" t="s">
        <v>4295</v>
      </c>
      <c r="K868" s="13">
        <v>24375</v>
      </c>
    </row>
    <row r="869" spans="10:11" x14ac:dyDescent="0.25">
      <c r="J869" s="13" t="s">
        <v>4296</v>
      </c>
      <c r="K869" s="13">
        <v>24211</v>
      </c>
    </row>
    <row r="870" spans="10:11" x14ac:dyDescent="0.25">
      <c r="J870" s="13" t="s">
        <v>4297</v>
      </c>
      <c r="K870" s="13">
        <v>35191</v>
      </c>
    </row>
    <row r="871" spans="10:11" x14ac:dyDescent="0.25">
      <c r="J871" s="13" t="s">
        <v>4298</v>
      </c>
      <c r="K871" s="13">
        <v>22262</v>
      </c>
    </row>
    <row r="872" spans="10:11" x14ac:dyDescent="0.25">
      <c r="J872" s="13" t="s">
        <v>3565</v>
      </c>
      <c r="K872" s="13">
        <v>23231</v>
      </c>
    </row>
    <row r="873" spans="10:11" x14ac:dyDescent="0.25">
      <c r="J873" s="15" t="s">
        <v>3566</v>
      </c>
      <c r="K873" s="15">
        <v>23231</v>
      </c>
    </row>
    <row r="874" spans="10:11" x14ac:dyDescent="0.25">
      <c r="J874" s="15" t="s">
        <v>3567</v>
      </c>
      <c r="K874" s="15">
        <v>23231</v>
      </c>
    </row>
    <row r="875" spans="10:11" x14ac:dyDescent="0.25">
      <c r="J875" s="13" t="s">
        <v>4299</v>
      </c>
      <c r="K875" s="13">
        <v>25353</v>
      </c>
    </row>
    <row r="876" spans="10:11" x14ac:dyDescent="0.25">
      <c r="J876" s="13" t="s">
        <v>3568</v>
      </c>
      <c r="K876" s="13">
        <v>23625</v>
      </c>
    </row>
    <row r="877" spans="10:11" x14ac:dyDescent="0.25">
      <c r="J877" s="13" t="s">
        <v>4300</v>
      </c>
      <c r="K877" s="13">
        <v>24411</v>
      </c>
    </row>
    <row r="878" spans="10:11" x14ac:dyDescent="0.25">
      <c r="J878" s="13" t="s">
        <v>4301</v>
      </c>
      <c r="K878" s="13">
        <v>24243</v>
      </c>
    </row>
    <row r="879" spans="10:11" x14ac:dyDescent="0.25">
      <c r="J879" s="13" t="s">
        <v>4302</v>
      </c>
      <c r="K879" s="13">
        <v>23243</v>
      </c>
    </row>
    <row r="880" spans="10:11" x14ac:dyDescent="0.25">
      <c r="J880" s="13" t="s">
        <v>4303</v>
      </c>
      <c r="K880" s="13">
        <v>53214</v>
      </c>
    </row>
    <row r="881" spans="10:11" x14ac:dyDescent="0.25">
      <c r="J881" s="13" t="s">
        <v>4304</v>
      </c>
      <c r="K881" s="13">
        <v>10150</v>
      </c>
    </row>
    <row r="882" spans="10:11" x14ac:dyDescent="0.25">
      <c r="J882" s="13" t="s">
        <v>4305</v>
      </c>
      <c r="K882" s="13">
        <v>10150</v>
      </c>
    </row>
    <row r="883" spans="10:11" x14ac:dyDescent="0.25">
      <c r="J883" s="13" t="s">
        <v>3570</v>
      </c>
      <c r="K883" s="13">
        <v>26141</v>
      </c>
    </row>
    <row r="884" spans="10:11" x14ac:dyDescent="0.25">
      <c r="J884" s="13" t="s">
        <v>3571</v>
      </c>
      <c r="K884" s="13">
        <v>26226</v>
      </c>
    </row>
    <row r="885" spans="10:11" x14ac:dyDescent="0.25">
      <c r="J885" s="13" t="s">
        <v>4306</v>
      </c>
      <c r="K885" s="13">
        <v>26243</v>
      </c>
    </row>
    <row r="886" spans="10:11" x14ac:dyDescent="0.25">
      <c r="J886" s="13" t="s">
        <v>4307</v>
      </c>
      <c r="K886" s="13">
        <v>23141</v>
      </c>
    </row>
    <row r="887" spans="10:11" x14ac:dyDescent="0.25">
      <c r="J887" s="13" t="s">
        <v>4308</v>
      </c>
      <c r="K887" s="13">
        <v>23141</v>
      </c>
    </row>
    <row r="888" spans="10:11" x14ac:dyDescent="0.25">
      <c r="J888" s="13" t="s">
        <v>3572</v>
      </c>
      <c r="K888" s="13">
        <v>23211</v>
      </c>
    </row>
    <row r="889" spans="10:11" x14ac:dyDescent="0.25">
      <c r="J889" s="13" t="s">
        <v>3842</v>
      </c>
      <c r="K889" s="13">
        <v>23211</v>
      </c>
    </row>
    <row r="890" spans="10:11" x14ac:dyDescent="0.25">
      <c r="J890" s="13" t="s">
        <v>3794</v>
      </c>
      <c r="K890" s="13">
        <v>10410</v>
      </c>
    </row>
    <row r="891" spans="10:11" x14ac:dyDescent="0.25">
      <c r="J891" s="13" t="s">
        <v>4309</v>
      </c>
      <c r="K891" s="13">
        <v>21219</v>
      </c>
    </row>
    <row r="892" spans="10:11" x14ac:dyDescent="0.25">
      <c r="J892" s="13" t="s">
        <v>3573</v>
      </c>
      <c r="K892" s="13">
        <v>26239</v>
      </c>
    </row>
    <row r="893" spans="10:11" x14ac:dyDescent="0.25">
      <c r="J893" s="13" t="s">
        <v>4310</v>
      </c>
      <c r="K893" s="13">
        <v>24343</v>
      </c>
    </row>
    <row r="894" spans="10:11" x14ac:dyDescent="0.25">
      <c r="J894" s="13" t="s">
        <v>3574</v>
      </c>
      <c r="K894" s="13">
        <v>26231</v>
      </c>
    </row>
    <row r="895" spans="10:11" x14ac:dyDescent="0.25">
      <c r="J895" s="13" t="s">
        <v>3575</v>
      </c>
      <c r="K895" s="13">
        <v>26231</v>
      </c>
    </row>
    <row r="896" spans="10:11" x14ac:dyDescent="0.25">
      <c r="J896" s="13" t="s">
        <v>4311</v>
      </c>
      <c r="K896" s="13">
        <v>10410</v>
      </c>
    </row>
    <row r="897" spans="10:11" x14ac:dyDescent="0.25">
      <c r="J897" s="13" t="s">
        <v>3576</v>
      </c>
      <c r="K897" s="13">
        <v>26229</v>
      </c>
    </row>
    <row r="898" spans="10:11" x14ac:dyDescent="0.25">
      <c r="J898" s="13" t="s">
        <v>3577</v>
      </c>
      <c r="K898" s="13">
        <v>26241</v>
      </c>
    </row>
    <row r="899" spans="10:11" x14ac:dyDescent="0.25">
      <c r="J899" s="13" t="s">
        <v>3578</v>
      </c>
      <c r="K899" s="13">
        <v>26243</v>
      </c>
    </row>
    <row r="900" spans="10:11" x14ac:dyDescent="0.25">
      <c r="J900" s="13" t="s">
        <v>4312</v>
      </c>
      <c r="K900" s="13">
        <v>26243</v>
      </c>
    </row>
    <row r="901" spans="10:11" x14ac:dyDescent="0.25">
      <c r="J901" s="13" t="s">
        <v>3579</v>
      </c>
      <c r="K901" s="13">
        <v>26243</v>
      </c>
    </row>
    <row r="902" spans="10:11" x14ac:dyDescent="0.25">
      <c r="J902" s="13" t="s">
        <v>4313</v>
      </c>
      <c r="K902" s="13">
        <v>26243</v>
      </c>
    </row>
    <row r="903" spans="10:11" x14ac:dyDescent="0.25">
      <c r="J903" s="13" t="s">
        <v>4314</v>
      </c>
      <c r="K903" s="13">
        <v>31111</v>
      </c>
    </row>
    <row r="904" spans="10:11" x14ac:dyDescent="0.25">
      <c r="J904" s="13" t="s">
        <v>4315</v>
      </c>
      <c r="K904" s="13">
        <v>22419</v>
      </c>
    </row>
    <row r="905" spans="10:11" x14ac:dyDescent="0.25">
      <c r="J905" s="13" t="s">
        <v>4316</v>
      </c>
      <c r="K905" s="13">
        <v>35416</v>
      </c>
    </row>
    <row r="906" spans="10:11" x14ac:dyDescent="0.25">
      <c r="J906" s="13" t="s">
        <v>3848</v>
      </c>
      <c r="K906" s="13">
        <v>23231</v>
      </c>
    </row>
    <row r="907" spans="10:11" x14ac:dyDescent="0.25">
      <c r="J907" s="13" t="s">
        <v>4317</v>
      </c>
      <c r="K907" s="13">
        <v>10150</v>
      </c>
    </row>
    <row r="908" spans="10:11" x14ac:dyDescent="0.25">
      <c r="J908" s="13" t="s">
        <v>3857</v>
      </c>
      <c r="K908" s="13">
        <v>10150</v>
      </c>
    </row>
    <row r="909" spans="10:11" x14ac:dyDescent="0.25">
      <c r="J909" s="13" t="s">
        <v>4318</v>
      </c>
      <c r="K909" s="13">
        <v>53231</v>
      </c>
    </row>
    <row r="910" spans="10:11" x14ac:dyDescent="0.25">
      <c r="J910" s="13" t="s">
        <v>3795</v>
      </c>
      <c r="K910" s="13">
        <v>10350</v>
      </c>
    </row>
    <row r="911" spans="10:11" x14ac:dyDescent="0.25">
      <c r="J911" s="13" t="s">
        <v>4319</v>
      </c>
      <c r="K911" s="13">
        <v>24133</v>
      </c>
    </row>
    <row r="912" spans="10:11" x14ac:dyDescent="0.25">
      <c r="J912" s="13" t="s">
        <v>4320</v>
      </c>
      <c r="K912" s="13">
        <v>51111</v>
      </c>
    </row>
    <row r="913" spans="10:11" x14ac:dyDescent="0.25">
      <c r="J913" s="13" t="s">
        <v>4321</v>
      </c>
      <c r="K913" s="13">
        <v>10150</v>
      </c>
    </row>
    <row r="914" spans="10:11" x14ac:dyDescent="0.25">
      <c r="J914" s="13" t="s">
        <v>3580</v>
      </c>
      <c r="K914" s="13">
        <v>26229</v>
      </c>
    </row>
    <row r="915" spans="10:11" x14ac:dyDescent="0.25">
      <c r="J915" s="13" t="s">
        <v>4322</v>
      </c>
      <c r="K915" s="13">
        <v>24243</v>
      </c>
    </row>
    <row r="916" spans="10:11" x14ac:dyDescent="0.25">
      <c r="J916" s="13" t="s">
        <v>4323</v>
      </c>
      <c r="K916" s="13">
        <v>26229</v>
      </c>
    </row>
    <row r="917" spans="10:11" x14ac:dyDescent="0.25">
      <c r="J917" s="13" t="s">
        <v>3581</v>
      </c>
      <c r="K917" s="13">
        <v>26229</v>
      </c>
    </row>
    <row r="918" spans="10:11" x14ac:dyDescent="0.25">
      <c r="J918" s="13" t="s">
        <v>3582</v>
      </c>
      <c r="K918" s="13">
        <v>26299</v>
      </c>
    </row>
    <row r="919" spans="10:11" x14ac:dyDescent="0.25">
      <c r="J919" s="13" t="s">
        <v>3583</v>
      </c>
      <c r="K919" s="13">
        <v>26217</v>
      </c>
    </row>
    <row r="920" spans="10:11" x14ac:dyDescent="0.25">
      <c r="J920" s="13" t="s">
        <v>3584</v>
      </c>
      <c r="K920" s="13">
        <v>52211</v>
      </c>
    </row>
    <row r="921" spans="10:11" x14ac:dyDescent="0.25">
      <c r="J921" s="13" t="s">
        <v>4324</v>
      </c>
      <c r="K921" s="13">
        <v>23251</v>
      </c>
    </row>
    <row r="922" spans="10:11" x14ac:dyDescent="0.25">
      <c r="J922" s="13" t="s">
        <v>3796</v>
      </c>
      <c r="K922" s="13">
        <v>10150</v>
      </c>
    </row>
    <row r="923" spans="10:11" x14ac:dyDescent="0.25">
      <c r="J923" s="13" t="s">
        <v>4325</v>
      </c>
      <c r="K923" s="13">
        <v>24133</v>
      </c>
    </row>
    <row r="924" spans="10:11" x14ac:dyDescent="0.25">
      <c r="J924" s="13" t="s">
        <v>3585</v>
      </c>
      <c r="K924" s="13">
        <v>61119</v>
      </c>
    </row>
    <row r="925" spans="10:11" x14ac:dyDescent="0.25">
      <c r="J925" s="13" t="s">
        <v>4326</v>
      </c>
      <c r="K925" s="13">
        <v>23321</v>
      </c>
    </row>
    <row r="926" spans="10:11" x14ac:dyDescent="0.25">
      <c r="J926" s="13" t="s">
        <v>3586</v>
      </c>
      <c r="K926" s="13">
        <v>24339</v>
      </c>
    </row>
    <row r="927" spans="10:11" x14ac:dyDescent="0.25">
      <c r="J927" s="13" t="s">
        <v>3587</v>
      </c>
      <c r="K927" s="13">
        <v>26221</v>
      </c>
    </row>
    <row r="928" spans="10:11" x14ac:dyDescent="0.25">
      <c r="J928" s="13" t="s">
        <v>3588</v>
      </c>
      <c r="K928" s="13">
        <v>26212</v>
      </c>
    </row>
    <row r="929" spans="10:11" x14ac:dyDescent="0.25">
      <c r="J929" s="13" t="s">
        <v>3589</v>
      </c>
      <c r="K929" s="13">
        <v>26212</v>
      </c>
    </row>
    <row r="930" spans="10:11" x14ac:dyDescent="0.25">
      <c r="J930" s="13" t="s">
        <v>3590</v>
      </c>
      <c r="K930" s="13">
        <v>26220</v>
      </c>
    </row>
    <row r="931" spans="10:11" x14ac:dyDescent="0.25">
      <c r="J931" s="13" t="s">
        <v>3591</v>
      </c>
      <c r="K931" s="13">
        <v>26223</v>
      </c>
    </row>
    <row r="932" spans="10:11" x14ac:dyDescent="0.25">
      <c r="J932" s="13" t="s">
        <v>4327</v>
      </c>
      <c r="K932" s="13">
        <v>26327</v>
      </c>
    </row>
    <row r="933" spans="10:11" x14ac:dyDescent="0.25">
      <c r="J933" s="13" t="s">
        <v>3592</v>
      </c>
      <c r="K933" s="13">
        <v>26327</v>
      </c>
    </row>
    <row r="934" spans="10:11" x14ac:dyDescent="0.25">
      <c r="J934" s="13" t="s">
        <v>3593</v>
      </c>
      <c r="K934" s="13">
        <v>26341</v>
      </c>
    </row>
    <row r="935" spans="10:11" x14ac:dyDescent="0.25">
      <c r="J935" s="13" t="s">
        <v>4328</v>
      </c>
      <c r="K935" s="13">
        <v>26341</v>
      </c>
    </row>
    <row r="936" spans="10:11" x14ac:dyDescent="0.25">
      <c r="J936" s="13" t="s">
        <v>3594</v>
      </c>
      <c r="K936" s="13">
        <v>26341</v>
      </c>
    </row>
    <row r="937" spans="10:11" x14ac:dyDescent="0.25">
      <c r="J937" s="13" t="s">
        <v>4329</v>
      </c>
      <c r="K937" s="13">
        <v>26364</v>
      </c>
    </row>
    <row r="938" spans="10:11" x14ac:dyDescent="0.25">
      <c r="J938" s="13" t="s">
        <v>3595</v>
      </c>
      <c r="K938" s="13">
        <v>26331</v>
      </c>
    </row>
    <row r="939" spans="10:11" x14ac:dyDescent="0.25">
      <c r="J939" s="13" t="s">
        <v>4330</v>
      </c>
      <c r="K939" s="13">
        <v>26331</v>
      </c>
    </row>
    <row r="940" spans="10:11" x14ac:dyDescent="0.25">
      <c r="J940" s="13" t="s">
        <v>4331</v>
      </c>
      <c r="K940" s="13">
        <v>26331</v>
      </c>
    </row>
    <row r="941" spans="10:11" x14ac:dyDescent="0.25">
      <c r="J941" s="13" t="s">
        <v>3596</v>
      </c>
      <c r="K941" s="13">
        <v>26331</v>
      </c>
    </row>
    <row r="942" spans="10:11" x14ac:dyDescent="0.25">
      <c r="J942" s="13" t="s">
        <v>3597</v>
      </c>
      <c r="K942" s="13">
        <v>63227</v>
      </c>
    </row>
    <row r="943" spans="10:11" x14ac:dyDescent="0.25">
      <c r="J943" s="16" t="s">
        <v>3872</v>
      </c>
      <c r="K943" s="16" t="e">
        <v>#N/A</v>
      </c>
    </row>
    <row r="944" spans="10:11" x14ac:dyDescent="0.25">
      <c r="J944" s="13" t="s">
        <v>3797</v>
      </c>
      <c r="K944" s="13">
        <v>10310</v>
      </c>
    </row>
    <row r="945" spans="10:11" x14ac:dyDescent="0.25">
      <c r="J945" s="13" t="s">
        <v>3598</v>
      </c>
      <c r="K945" s="13">
        <v>24133</v>
      </c>
    </row>
    <row r="946" spans="10:11" x14ac:dyDescent="0.25">
      <c r="J946" s="13" t="s">
        <v>3599</v>
      </c>
      <c r="K946" s="13">
        <v>21111</v>
      </c>
    </row>
    <row r="947" spans="10:11" x14ac:dyDescent="0.25">
      <c r="J947" s="13" t="s">
        <v>4332</v>
      </c>
      <c r="K947" s="13">
        <v>10410</v>
      </c>
    </row>
    <row r="948" spans="10:11" x14ac:dyDescent="0.25">
      <c r="J948" s="13" t="s">
        <v>4333</v>
      </c>
      <c r="K948" s="13">
        <v>24211</v>
      </c>
    </row>
    <row r="949" spans="10:11" x14ac:dyDescent="0.25">
      <c r="J949" s="13" t="s">
        <v>3600</v>
      </c>
      <c r="K949" s="13">
        <v>24311</v>
      </c>
    </row>
    <row r="950" spans="10:11" x14ac:dyDescent="0.25">
      <c r="J950" s="13" t="s">
        <v>3808</v>
      </c>
      <c r="K950" s="13">
        <v>10310</v>
      </c>
    </row>
    <row r="951" spans="10:11" x14ac:dyDescent="0.25">
      <c r="J951" s="13" t="s">
        <v>4334</v>
      </c>
      <c r="K951" s="13">
        <v>10210</v>
      </c>
    </row>
    <row r="952" spans="10:11" x14ac:dyDescent="0.25">
      <c r="J952" s="13" t="s">
        <v>4335</v>
      </c>
      <c r="K952" s="13">
        <v>10650</v>
      </c>
    </row>
    <row r="953" spans="10:11" x14ac:dyDescent="0.25">
      <c r="J953" s="13" t="s">
        <v>4336</v>
      </c>
      <c r="K953" s="13">
        <v>22733</v>
      </c>
    </row>
    <row r="954" spans="10:11" x14ac:dyDescent="0.25">
      <c r="J954" s="13" t="s">
        <v>4337</v>
      </c>
      <c r="K954" s="13">
        <v>23231</v>
      </c>
    </row>
    <row r="955" spans="10:11" x14ac:dyDescent="0.25">
      <c r="J955" s="13" t="s">
        <v>4338</v>
      </c>
      <c r="K955" s="13">
        <v>23331</v>
      </c>
    </row>
    <row r="956" spans="10:11" x14ac:dyDescent="0.25">
      <c r="J956" s="13" t="s">
        <v>4339</v>
      </c>
      <c r="K956" s="13">
        <v>23255</v>
      </c>
    </row>
    <row r="957" spans="10:11" x14ac:dyDescent="0.25">
      <c r="J957" s="13" t="s">
        <v>4340</v>
      </c>
      <c r="K957" s="13">
        <v>23211</v>
      </c>
    </row>
    <row r="958" spans="10:11" x14ac:dyDescent="0.25">
      <c r="J958" s="16" t="s">
        <v>3872</v>
      </c>
      <c r="K958" s="16">
        <v>52151</v>
      </c>
    </row>
    <row r="959" spans="10:11" x14ac:dyDescent="0.25">
      <c r="J959" s="13" t="s">
        <v>4341</v>
      </c>
      <c r="K959" s="13">
        <v>24331</v>
      </c>
    </row>
    <row r="960" spans="10:11" x14ac:dyDescent="0.25">
      <c r="J960" s="13" t="s">
        <v>3601</v>
      </c>
      <c r="K960" s="13">
        <v>21133</v>
      </c>
    </row>
    <row r="961" spans="10:11" x14ac:dyDescent="0.25">
      <c r="J961" s="13" t="s">
        <v>4342</v>
      </c>
      <c r="K961" s="13">
        <v>24414</v>
      </c>
    </row>
    <row r="962" spans="10:11" x14ac:dyDescent="0.25">
      <c r="J962" s="13" t="s">
        <v>4343</v>
      </c>
      <c r="K962" s="13">
        <v>22459</v>
      </c>
    </row>
    <row r="963" spans="10:11" x14ac:dyDescent="0.25">
      <c r="J963" s="13" t="s">
        <v>3798</v>
      </c>
      <c r="K963" s="13">
        <v>10610</v>
      </c>
    </row>
    <row r="964" spans="10:11" x14ac:dyDescent="0.25">
      <c r="J964" s="13" t="s">
        <v>4344</v>
      </c>
      <c r="K964" s="13">
        <v>21111</v>
      </c>
    </row>
    <row r="965" spans="10:11" x14ac:dyDescent="0.25">
      <c r="J965" s="13" t="s">
        <v>4345</v>
      </c>
      <c r="K965" s="13">
        <v>21111</v>
      </c>
    </row>
    <row r="966" spans="10:11" x14ac:dyDescent="0.25">
      <c r="J966" s="13" t="s">
        <v>4346</v>
      </c>
      <c r="K966" s="13">
        <v>21111</v>
      </c>
    </row>
    <row r="967" spans="10:11" x14ac:dyDescent="0.25">
      <c r="J967" s="13" t="s">
        <v>4347</v>
      </c>
      <c r="K967" s="13">
        <v>21111</v>
      </c>
    </row>
    <row r="968" spans="10:11" x14ac:dyDescent="0.25">
      <c r="J968" s="13" t="s">
        <v>3799</v>
      </c>
      <c r="K968" s="13">
        <v>10310</v>
      </c>
    </row>
    <row r="969" spans="10:11" x14ac:dyDescent="0.25">
      <c r="J969" s="13" t="s">
        <v>4348</v>
      </c>
      <c r="K969" s="13">
        <v>35185</v>
      </c>
    </row>
    <row r="970" spans="10:11" x14ac:dyDescent="0.25">
      <c r="J970" s="13" t="s">
        <v>4349</v>
      </c>
      <c r="K970" s="13">
        <v>35149</v>
      </c>
    </row>
    <row r="971" spans="10:11" x14ac:dyDescent="0.25">
      <c r="J971" s="13" t="s">
        <v>4350</v>
      </c>
      <c r="K971" s="13">
        <v>35235</v>
      </c>
    </row>
    <row r="972" spans="10:11" x14ac:dyDescent="0.25">
      <c r="J972" s="13" t="s">
        <v>3602</v>
      </c>
      <c r="K972" s="13">
        <v>52161</v>
      </c>
    </row>
    <row r="973" spans="10:11" x14ac:dyDescent="0.25">
      <c r="J973" s="13" t="s">
        <v>4351</v>
      </c>
      <c r="K973" s="13">
        <v>10150</v>
      </c>
    </row>
    <row r="974" spans="10:11" x14ac:dyDescent="0.25">
      <c r="J974" s="13" t="s">
        <v>4352</v>
      </c>
      <c r="K974" s="13">
        <v>10350</v>
      </c>
    </row>
    <row r="975" spans="10:11" x14ac:dyDescent="0.25">
      <c r="J975" s="13" t="s">
        <v>4353</v>
      </c>
      <c r="K975" s="13">
        <v>26111</v>
      </c>
    </row>
    <row r="976" spans="10:11" x14ac:dyDescent="0.25">
      <c r="J976" s="13" t="s">
        <v>4354</v>
      </c>
      <c r="K976" s="13">
        <v>26364</v>
      </c>
    </row>
    <row r="977" spans="10:11" x14ac:dyDescent="0.25">
      <c r="J977" s="13" t="s">
        <v>3800</v>
      </c>
      <c r="K977" s="13">
        <v>10110</v>
      </c>
    </row>
    <row r="978" spans="10:11" x14ac:dyDescent="0.25">
      <c r="J978" s="13" t="s">
        <v>4355</v>
      </c>
      <c r="K978" s="13">
        <v>24133</v>
      </c>
    </row>
    <row r="979" spans="10:11" x14ac:dyDescent="0.25">
      <c r="J979" s="13" t="s">
        <v>3603</v>
      </c>
      <c r="K979" s="13">
        <v>24133</v>
      </c>
    </row>
    <row r="980" spans="10:11" x14ac:dyDescent="0.25">
      <c r="J980" s="13" t="s">
        <v>4356</v>
      </c>
      <c r="K980" s="13">
        <v>10310</v>
      </c>
    </row>
    <row r="981" spans="10:11" x14ac:dyDescent="0.25">
      <c r="J981" s="13" t="s">
        <v>4357</v>
      </c>
      <c r="K981" s="13">
        <v>34111</v>
      </c>
    </row>
    <row r="982" spans="10:11" x14ac:dyDescent="0.25">
      <c r="J982" s="18" t="s">
        <v>4358</v>
      </c>
      <c r="K982" s="13">
        <v>34111</v>
      </c>
    </row>
    <row r="983" spans="10:11" x14ac:dyDescent="0.25">
      <c r="J983" s="13" t="s">
        <v>4359</v>
      </c>
      <c r="K983" s="13">
        <v>35277</v>
      </c>
    </row>
    <row r="984" spans="10:11" x14ac:dyDescent="0.25">
      <c r="J984" s="13" t="s">
        <v>3604</v>
      </c>
      <c r="K984" s="13">
        <v>24311</v>
      </c>
    </row>
    <row r="985" spans="10:11" x14ac:dyDescent="0.25">
      <c r="J985" s="13" t="s">
        <v>4360</v>
      </c>
      <c r="K985" s="13">
        <v>22627</v>
      </c>
    </row>
    <row r="986" spans="10:11" x14ac:dyDescent="0.25">
      <c r="J986" s="13" t="s">
        <v>4361</v>
      </c>
      <c r="K986" s="13">
        <v>53231</v>
      </c>
    </row>
    <row r="987" spans="10:11" x14ac:dyDescent="0.25">
      <c r="J987" s="16" t="s">
        <v>3872</v>
      </c>
      <c r="K987" s="16">
        <v>53221</v>
      </c>
    </row>
    <row r="988" spans="10:11" x14ac:dyDescent="0.25">
      <c r="J988" s="13" t="s">
        <v>4362</v>
      </c>
      <c r="K988" s="13">
        <v>53221</v>
      </c>
    </row>
    <row r="989" spans="10:11" x14ac:dyDescent="0.25">
      <c r="J989" s="13" t="s">
        <v>4363</v>
      </c>
      <c r="K989" s="13">
        <v>52244</v>
      </c>
    </row>
    <row r="990" spans="10:11" x14ac:dyDescent="0.25">
      <c r="J990" s="13" t="s">
        <v>3605</v>
      </c>
      <c r="K990" s="13">
        <v>52211</v>
      </c>
    </row>
    <row r="991" spans="10:11" x14ac:dyDescent="0.25">
      <c r="J991" s="13" t="s">
        <v>3606</v>
      </c>
      <c r="K991" s="13">
        <v>55111</v>
      </c>
    </row>
    <row r="992" spans="10:11" x14ac:dyDescent="0.25">
      <c r="J992" s="13" t="s">
        <v>4364</v>
      </c>
      <c r="K992" s="13">
        <v>55177</v>
      </c>
    </row>
    <row r="993" spans="10:11" x14ac:dyDescent="0.25">
      <c r="J993" s="13" t="s">
        <v>3607</v>
      </c>
      <c r="K993" s="13">
        <v>51234</v>
      </c>
    </row>
    <row r="994" spans="10:11" x14ac:dyDescent="0.25">
      <c r="J994" s="13" t="s">
        <v>3608</v>
      </c>
      <c r="K994" s="13">
        <v>51234</v>
      </c>
    </row>
    <row r="995" spans="10:11" x14ac:dyDescent="0.25">
      <c r="J995" s="13" t="s">
        <v>4365</v>
      </c>
      <c r="K995" s="13">
        <v>10210</v>
      </c>
    </row>
    <row r="996" spans="10:11" x14ac:dyDescent="0.25">
      <c r="J996" s="13" t="s">
        <v>4366</v>
      </c>
      <c r="K996" s="13">
        <v>61183</v>
      </c>
    </row>
    <row r="997" spans="10:11" x14ac:dyDescent="0.25">
      <c r="J997" s="13" t="s">
        <v>3609</v>
      </c>
      <c r="K997" s="13">
        <v>61115</v>
      </c>
    </row>
    <row r="998" spans="10:11" x14ac:dyDescent="0.25">
      <c r="J998" s="13" t="s">
        <v>4367</v>
      </c>
      <c r="K998" s="13">
        <v>21367</v>
      </c>
    </row>
    <row r="999" spans="10:11" x14ac:dyDescent="0.25">
      <c r="J999" s="13" t="s">
        <v>4368</v>
      </c>
      <c r="K999" s="13">
        <v>25116</v>
      </c>
    </row>
    <row r="1000" spans="10:11" x14ac:dyDescent="0.25">
      <c r="J1000" s="13" t="s">
        <v>4369</v>
      </c>
      <c r="K1000" s="13">
        <v>22375</v>
      </c>
    </row>
    <row r="1001" spans="10:11" x14ac:dyDescent="0.25">
      <c r="J1001" s="13" t="s">
        <v>4370</v>
      </c>
      <c r="K1001" s="13">
        <v>22155</v>
      </c>
    </row>
    <row r="1002" spans="10:11" x14ac:dyDescent="0.25">
      <c r="J1002" s="13" t="s">
        <v>3610</v>
      </c>
      <c r="K1002" s="13">
        <v>22262</v>
      </c>
    </row>
    <row r="1003" spans="10:11" x14ac:dyDescent="0.25">
      <c r="J1003" s="13" t="s">
        <v>4371</v>
      </c>
      <c r="K1003" s="13">
        <v>10210</v>
      </c>
    </row>
    <row r="1004" spans="10:11" x14ac:dyDescent="0.25">
      <c r="J1004" s="13" t="s">
        <v>4372</v>
      </c>
      <c r="K1004" s="13">
        <v>37313</v>
      </c>
    </row>
    <row r="1005" spans="10:11" x14ac:dyDescent="0.25">
      <c r="J1005" s="13" t="s">
        <v>3611</v>
      </c>
      <c r="K1005" s="13">
        <v>25319</v>
      </c>
    </row>
    <row r="1006" spans="10:11" x14ac:dyDescent="0.25">
      <c r="J1006" s="13" t="s">
        <v>4373</v>
      </c>
      <c r="K1006" s="13">
        <v>10350</v>
      </c>
    </row>
    <row r="1007" spans="10:11" x14ac:dyDescent="0.25">
      <c r="J1007" s="13" t="s">
        <v>4374</v>
      </c>
      <c r="K1007" s="13">
        <v>10150</v>
      </c>
    </row>
    <row r="1008" spans="10:11" x14ac:dyDescent="0.25">
      <c r="J1008" s="13" t="s">
        <v>4375</v>
      </c>
      <c r="K1008" s="13">
        <v>10310</v>
      </c>
    </row>
    <row r="1009" spans="10:11" x14ac:dyDescent="0.25">
      <c r="J1009" s="13" t="s">
        <v>4376</v>
      </c>
      <c r="K1009" s="13">
        <v>10310</v>
      </c>
    </row>
    <row r="1010" spans="10:11" x14ac:dyDescent="0.25">
      <c r="J1010" s="13" t="s">
        <v>4377</v>
      </c>
      <c r="K1010" s="13">
        <v>10150</v>
      </c>
    </row>
    <row r="1011" spans="10:11" x14ac:dyDescent="0.25">
      <c r="J1011" s="13" t="s">
        <v>4378</v>
      </c>
      <c r="K1011" s="13">
        <v>51241</v>
      </c>
    </row>
    <row r="1012" spans="10:11" x14ac:dyDescent="0.25">
      <c r="J1012" s="13" t="s">
        <v>4379</v>
      </c>
      <c r="K1012" s="13">
        <v>51241</v>
      </c>
    </row>
    <row r="1013" spans="10:11" x14ac:dyDescent="0.25">
      <c r="J1013" s="13" t="s">
        <v>4380</v>
      </c>
      <c r="K1013" s="13">
        <v>51244</v>
      </c>
    </row>
    <row r="1014" spans="10:11" x14ac:dyDescent="0.25">
      <c r="J1014" s="13" t="s">
        <v>4381</v>
      </c>
      <c r="K1014" s="13">
        <v>51244</v>
      </c>
    </row>
    <row r="1015" spans="10:11" x14ac:dyDescent="0.25">
      <c r="J1015" s="13" t="s">
        <v>4382</v>
      </c>
      <c r="K1015" s="13">
        <v>10350</v>
      </c>
    </row>
    <row r="1016" spans="10:11" x14ac:dyDescent="0.25">
      <c r="J1016" s="13" t="s">
        <v>3612</v>
      </c>
      <c r="K1016" s="13">
        <v>74111</v>
      </c>
    </row>
    <row r="1017" spans="10:11" x14ac:dyDescent="0.25">
      <c r="J1017" s="13" t="s">
        <v>3613</v>
      </c>
      <c r="K1017" s="13">
        <v>53311</v>
      </c>
    </row>
    <row r="1018" spans="10:11" x14ac:dyDescent="0.25">
      <c r="J1018" s="13" t="s">
        <v>4383</v>
      </c>
      <c r="K1018" s="13">
        <v>53311</v>
      </c>
    </row>
    <row r="1019" spans="10:11" x14ac:dyDescent="0.25">
      <c r="J1019" s="13" t="s">
        <v>4384</v>
      </c>
      <c r="K1019" s="13">
        <v>53311</v>
      </c>
    </row>
    <row r="1020" spans="10:11" x14ac:dyDescent="0.25">
      <c r="J1020" s="13" t="s">
        <v>4385</v>
      </c>
      <c r="K1020" s="13">
        <v>53241</v>
      </c>
    </row>
    <row r="1021" spans="10:11" x14ac:dyDescent="0.25">
      <c r="J1021" s="13" t="s">
        <v>4386</v>
      </c>
      <c r="K1021" s="13">
        <v>53231</v>
      </c>
    </row>
    <row r="1022" spans="10:11" x14ac:dyDescent="0.25">
      <c r="J1022" s="13" t="s">
        <v>4387</v>
      </c>
      <c r="K1022" s="13">
        <v>53241</v>
      </c>
    </row>
    <row r="1023" spans="10:11" x14ac:dyDescent="0.25">
      <c r="J1023" s="13" t="s">
        <v>3801</v>
      </c>
      <c r="K1023" s="13">
        <v>10210</v>
      </c>
    </row>
    <row r="1024" spans="10:11" x14ac:dyDescent="0.25">
      <c r="J1024" s="13" t="s">
        <v>4388</v>
      </c>
      <c r="K1024" s="13">
        <v>10410</v>
      </c>
    </row>
    <row r="1025" spans="10:11" x14ac:dyDescent="0.25">
      <c r="J1025" s="13" t="s">
        <v>4389</v>
      </c>
      <c r="K1025" s="13">
        <v>10310</v>
      </c>
    </row>
    <row r="1026" spans="10:11" x14ac:dyDescent="0.25">
      <c r="J1026" s="13" t="s">
        <v>4390</v>
      </c>
      <c r="K1026" s="13">
        <v>35328</v>
      </c>
    </row>
    <row r="1027" spans="10:11" x14ac:dyDescent="0.25">
      <c r="J1027" s="13" t="s">
        <v>3614</v>
      </c>
      <c r="K1027" s="13">
        <v>35147</v>
      </c>
    </row>
    <row r="1028" spans="10:11" x14ac:dyDescent="0.25">
      <c r="J1028" s="13" t="s">
        <v>4391</v>
      </c>
      <c r="K1028" s="13">
        <v>35427</v>
      </c>
    </row>
    <row r="1029" spans="10:11" x14ac:dyDescent="0.25">
      <c r="J1029" s="17" t="s">
        <v>3615</v>
      </c>
      <c r="K1029" s="13">
        <v>61115</v>
      </c>
    </row>
    <row r="1030" spans="10:11" x14ac:dyDescent="0.25">
      <c r="J1030" s="13" t="s">
        <v>4392</v>
      </c>
      <c r="K1030" s="13">
        <v>35357</v>
      </c>
    </row>
    <row r="1031" spans="10:11" x14ac:dyDescent="0.25">
      <c r="J1031" s="13" t="s">
        <v>4393</v>
      </c>
      <c r="K1031" s="13">
        <v>21111</v>
      </c>
    </row>
    <row r="1032" spans="10:11" x14ac:dyDescent="0.25">
      <c r="J1032" s="13" t="s">
        <v>3616</v>
      </c>
      <c r="K1032" s="13">
        <v>61119</v>
      </c>
    </row>
    <row r="1033" spans="10:11" x14ac:dyDescent="0.25">
      <c r="J1033" s="13" t="s">
        <v>4394</v>
      </c>
      <c r="K1033" s="13">
        <v>37343</v>
      </c>
    </row>
    <row r="1034" spans="10:11" x14ac:dyDescent="0.25">
      <c r="J1034" s="13" t="s">
        <v>4395</v>
      </c>
      <c r="K1034" s="13">
        <v>35325</v>
      </c>
    </row>
    <row r="1035" spans="10:11" x14ac:dyDescent="0.25">
      <c r="J1035" s="13" t="s">
        <v>4396</v>
      </c>
      <c r="K1035" s="13">
        <v>35445</v>
      </c>
    </row>
    <row r="1036" spans="10:11" x14ac:dyDescent="0.25">
      <c r="J1036" s="13" t="s">
        <v>4397</v>
      </c>
      <c r="K1036" s="13">
        <v>25375</v>
      </c>
    </row>
    <row r="1037" spans="10:11" x14ac:dyDescent="0.25">
      <c r="J1037" s="13" t="s">
        <v>4398</v>
      </c>
      <c r="K1037" s="13">
        <v>10150</v>
      </c>
    </row>
    <row r="1038" spans="10:11" x14ac:dyDescent="0.25">
      <c r="J1038" s="13" t="s">
        <v>3802</v>
      </c>
      <c r="K1038" s="13">
        <v>10150</v>
      </c>
    </row>
    <row r="1039" spans="10:11" x14ac:dyDescent="0.25">
      <c r="J1039" s="13" t="s">
        <v>4399</v>
      </c>
      <c r="K1039" s="13">
        <v>25357</v>
      </c>
    </row>
    <row r="1040" spans="10:11" x14ac:dyDescent="0.25">
      <c r="J1040" s="13" t="s">
        <v>4400</v>
      </c>
      <c r="K1040" s="13">
        <v>35467</v>
      </c>
    </row>
    <row r="1041" spans="10:11" x14ac:dyDescent="0.25">
      <c r="J1041" s="13" t="s">
        <v>4401</v>
      </c>
      <c r="K1041" s="13">
        <v>35414</v>
      </c>
    </row>
    <row r="1042" spans="10:11" x14ac:dyDescent="0.25">
      <c r="J1042" s="13" t="s">
        <v>4402</v>
      </c>
      <c r="K1042" s="13">
        <v>35320</v>
      </c>
    </row>
    <row r="1043" spans="10:11" x14ac:dyDescent="0.25">
      <c r="J1043" s="13" t="s">
        <v>4403</v>
      </c>
      <c r="K1043" s="13">
        <v>35512</v>
      </c>
    </row>
    <row r="1044" spans="10:11" x14ac:dyDescent="0.25">
      <c r="J1044" s="13" t="s">
        <v>4404</v>
      </c>
      <c r="K1044" s="13">
        <v>35185</v>
      </c>
    </row>
    <row r="1045" spans="10:11" x14ac:dyDescent="0.25">
      <c r="J1045" s="16" t="s">
        <v>3872</v>
      </c>
      <c r="K1045" s="16" t="e">
        <v>#N/A</v>
      </c>
    </row>
    <row r="1046" spans="10:11" x14ac:dyDescent="0.25">
      <c r="J1046" s="13" t="s">
        <v>3803</v>
      </c>
      <c r="K1046" s="13">
        <v>10350</v>
      </c>
    </row>
    <row r="1047" spans="10:11" x14ac:dyDescent="0.25">
      <c r="J1047" s="13" t="s">
        <v>3617</v>
      </c>
      <c r="K1047" s="13">
        <v>21111</v>
      </c>
    </row>
    <row r="1048" spans="10:11" x14ac:dyDescent="0.25">
      <c r="J1048" s="13" t="s">
        <v>4405</v>
      </c>
      <c r="K1048" s="13">
        <v>10110</v>
      </c>
    </row>
    <row r="1049" spans="10:11" x14ac:dyDescent="0.25">
      <c r="J1049" s="13" t="s">
        <v>4406</v>
      </c>
      <c r="K1049" s="13">
        <v>10110</v>
      </c>
    </row>
    <row r="1050" spans="10:11" x14ac:dyDescent="0.25">
      <c r="J1050" s="13" t="s">
        <v>4407</v>
      </c>
      <c r="K1050" s="13">
        <v>24411</v>
      </c>
    </row>
    <row r="1051" spans="10:11" x14ac:dyDescent="0.25">
      <c r="J1051" s="13" t="s">
        <v>4408</v>
      </c>
      <c r="K1051" s="13">
        <v>37391</v>
      </c>
    </row>
    <row r="1052" spans="10:11" x14ac:dyDescent="0.25">
      <c r="J1052" s="13" t="s">
        <v>4409</v>
      </c>
      <c r="K1052" s="13">
        <v>34269</v>
      </c>
    </row>
    <row r="1053" spans="10:11" x14ac:dyDescent="0.25">
      <c r="J1053" s="13" t="s">
        <v>4410</v>
      </c>
      <c r="K1053" s="13">
        <v>22335</v>
      </c>
    </row>
    <row r="1054" spans="10:11" x14ac:dyDescent="0.25">
      <c r="J1054" s="13" t="s">
        <v>3618</v>
      </c>
      <c r="K1054" s="13">
        <v>21324</v>
      </c>
    </row>
    <row r="1055" spans="10:11" x14ac:dyDescent="0.25">
      <c r="J1055" s="13" t="s">
        <v>3619</v>
      </c>
      <c r="K1055" s="13">
        <v>21441</v>
      </c>
    </row>
    <row r="1056" spans="10:11" x14ac:dyDescent="0.25">
      <c r="J1056" s="13" t="s">
        <v>3620</v>
      </c>
      <c r="K1056" s="13">
        <v>21431</v>
      </c>
    </row>
    <row r="1057" spans="10:11" x14ac:dyDescent="0.25">
      <c r="J1057" s="19" t="s">
        <v>4411</v>
      </c>
      <c r="K1057" s="15">
        <v>10150</v>
      </c>
    </row>
    <row r="1058" spans="10:11" x14ac:dyDescent="0.25">
      <c r="J1058" s="16" t="s">
        <v>3872</v>
      </c>
      <c r="K1058" s="16" t="e">
        <v>#N/A</v>
      </c>
    </row>
    <row r="1059" spans="10:11" x14ac:dyDescent="0.25">
      <c r="J1059" s="13" t="s">
        <v>3621</v>
      </c>
      <c r="K1059" s="13">
        <v>24329</v>
      </c>
    </row>
    <row r="1060" spans="10:11" x14ac:dyDescent="0.25">
      <c r="J1060" s="13" t="s">
        <v>3622</v>
      </c>
      <c r="K1060" s="13">
        <v>74111</v>
      </c>
    </row>
    <row r="1061" spans="10:11" x14ac:dyDescent="0.25">
      <c r="J1061" s="13" t="s">
        <v>3623</v>
      </c>
      <c r="K1061" s="13">
        <v>23321</v>
      </c>
    </row>
    <row r="1062" spans="10:11" x14ac:dyDescent="0.25">
      <c r="J1062" s="15" t="s">
        <v>3624</v>
      </c>
      <c r="K1062" s="15">
        <v>23675</v>
      </c>
    </row>
    <row r="1063" spans="10:11" x14ac:dyDescent="0.25">
      <c r="J1063" s="13" t="s">
        <v>3625</v>
      </c>
      <c r="K1063" s="13">
        <v>62111</v>
      </c>
    </row>
    <row r="1064" spans="10:11" x14ac:dyDescent="0.25">
      <c r="J1064" s="16" t="s">
        <v>3872</v>
      </c>
      <c r="K1064" s="16">
        <v>26111</v>
      </c>
    </row>
    <row r="1065" spans="10:11" x14ac:dyDescent="0.25">
      <c r="J1065" s="15" t="s">
        <v>3687</v>
      </c>
      <c r="K1065" s="15">
        <v>23447</v>
      </c>
    </row>
    <row r="1066" spans="10:11" x14ac:dyDescent="0.25">
      <c r="J1066" s="13" t="s">
        <v>3626</v>
      </c>
      <c r="K1066" s="13">
        <v>31121</v>
      </c>
    </row>
    <row r="1067" spans="10:11" x14ac:dyDescent="0.25">
      <c r="J1067" s="13" t="s">
        <v>3804</v>
      </c>
      <c r="K1067" s="13">
        <v>10350</v>
      </c>
    </row>
    <row r="1068" spans="10:11" x14ac:dyDescent="0.25">
      <c r="J1068" s="15" t="s">
        <v>3805</v>
      </c>
      <c r="K1068" s="15">
        <v>10310</v>
      </c>
    </row>
    <row r="1069" spans="10:11" x14ac:dyDescent="0.25">
      <c r="J1069" s="13" t="s">
        <v>3806</v>
      </c>
      <c r="K1069" s="13">
        <v>10310</v>
      </c>
    </row>
    <row r="1070" spans="10:11" x14ac:dyDescent="0.25">
      <c r="J1070" s="13" t="s">
        <v>3627</v>
      </c>
      <c r="K1070" s="13">
        <v>52224</v>
      </c>
    </row>
    <row r="1071" spans="10:11" x14ac:dyDescent="0.25">
      <c r="J1071" s="15" t="s">
        <v>3628</v>
      </c>
      <c r="K1071" s="13">
        <v>24477</v>
      </c>
    </row>
    <row r="1072" spans="10:11" x14ac:dyDescent="0.25">
      <c r="J1072" s="13" t="s">
        <v>3629</v>
      </c>
      <c r="K1072" s="13">
        <v>24315</v>
      </c>
    </row>
    <row r="1073" spans="10:11" x14ac:dyDescent="0.25">
      <c r="J1073" s="13" t="s">
        <v>3630</v>
      </c>
      <c r="K1073" s="13">
        <v>24315</v>
      </c>
    </row>
    <row r="1074" spans="10:11" x14ac:dyDescent="0.25">
      <c r="J1074" s="16" t="s">
        <v>3872</v>
      </c>
      <c r="K1074" s="16">
        <v>23623</v>
      </c>
    </row>
    <row r="1075" spans="10:11" x14ac:dyDescent="0.25">
      <c r="J1075" s="13" t="s">
        <v>4412</v>
      </c>
      <c r="K1075" s="13">
        <v>23459</v>
      </c>
    </row>
    <row r="1076" spans="10:11" x14ac:dyDescent="0.25">
      <c r="J1076" s="13" t="s">
        <v>3631</v>
      </c>
      <c r="K1076" s="13">
        <v>23239</v>
      </c>
    </row>
    <row r="1077" spans="10:11" x14ac:dyDescent="0.25">
      <c r="J1077" s="13" t="s">
        <v>3632</v>
      </c>
      <c r="K1077" s="13">
        <v>23663</v>
      </c>
    </row>
    <row r="1078" spans="10:11" x14ac:dyDescent="0.25">
      <c r="J1078" s="13" t="s">
        <v>4413</v>
      </c>
      <c r="K1078" s="13">
        <v>23663</v>
      </c>
    </row>
    <row r="1079" spans="10:11" x14ac:dyDescent="0.25">
      <c r="J1079" s="13" t="s">
        <v>3633</v>
      </c>
      <c r="K1079" s="13">
        <v>62276</v>
      </c>
    </row>
    <row r="1080" spans="10:11" x14ac:dyDescent="0.25">
      <c r="J1080" s="16" t="s">
        <v>3872</v>
      </c>
      <c r="K1080" s="16">
        <v>23231</v>
      </c>
    </row>
    <row r="1081" spans="10:11" x14ac:dyDescent="0.25">
      <c r="J1081" s="13" t="s">
        <v>3634</v>
      </c>
      <c r="K1081" s="13">
        <v>23623</v>
      </c>
    </row>
    <row r="1082" spans="10:11" x14ac:dyDescent="0.25">
      <c r="J1082" s="16" t="s">
        <v>3872</v>
      </c>
      <c r="K1082" s="16">
        <v>23435</v>
      </c>
    </row>
    <row r="1083" spans="10:11" x14ac:dyDescent="0.25">
      <c r="J1083" s="20" t="s">
        <v>3872</v>
      </c>
      <c r="K1083" s="16">
        <v>10210</v>
      </c>
    </row>
    <row r="1084" spans="10:11" x14ac:dyDescent="0.25">
      <c r="J1084" s="15" t="s">
        <v>3815</v>
      </c>
      <c r="K1084" s="13">
        <v>10310</v>
      </c>
    </row>
    <row r="1085" spans="10:11" x14ac:dyDescent="0.25">
      <c r="J1085" s="13" t="s">
        <v>3807</v>
      </c>
      <c r="K1085" s="13">
        <v>10410</v>
      </c>
    </row>
    <row r="1086" spans="10:11" x14ac:dyDescent="0.25">
      <c r="J1086" s="21" t="s">
        <v>4414</v>
      </c>
      <c r="K1086" s="21" t="e">
        <v>#N/A</v>
      </c>
    </row>
    <row r="1087" spans="10:11" x14ac:dyDescent="0.25">
      <c r="J1087" s="15" t="s">
        <v>3809</v>
      </c>
      <c r="K1087" s="15">
        <v>10350</v>
      </c>
    </row>
    <row r="1088" spans="10:11" x14ac:dyDescent="0.25">
      <c r="J1088" s="15" t="s">
        <v>4415</v>
      </c>
      <c r="K1088" s="15">
        <v>10650</v>
      </c>
    </row>
    <row r="1089" spans="10:11" x14ac:dyDescent="0.25">
      <c r="J1089" s="13" t="s">
        <v>3811</v>
      </c>
      <c r="K1089" s="13">
        <v>10210</v>
      </c>
    </row>
    <row r="1090" spans="10:11" x14ac:dyDescent="0.25">
      <c r="J1090" s="15" t="s">
        <v>3812</v>
      </c>
      <c r="K1090" s="15">
        <v>10110</v>
      </c>
    </row>
    <row r="1091" spans="10:11" x14ac:dyDescent="0.25">
      <c r="J1091" s="13" t="s">
        <v>3635</v>
      </c>
      <c r="K1091" s="13">
        <v>25357</v>
      </c>
    </row>
    <row r="1092" spans="10:11" x14ac:dyDescent="0.25">
      <c r="J1092" s="13" t="s">
        <v>3636</v>
      </c>
      <c r="K1092" s="13">
        <v>25121</v>
      </c>
    </row>
    <row r="1093" spans="10:11" x14ac:dyDescent="0.25">
      <c r="J1093" s="15" t="s">
        <v>4416</v>
      </c>
      <c r="K1093" s="15">
        <v>21219</v>
      </c>
    </row>
    <row r="1094" spans="10:11" x14ac:dyDescent="0.25">
      <c r="J1094" s="21" t="s">
        <v>4414</v>
      </c>
      <c r="K1094" s="21" t="e">
        <v>#N/A</v>
      </c>
    </row>
    <row r="1095" spans="10:11" x14ac:dyDescent="0.25">
      <c r="J1095" s="15" t="s">
        <v>3637</v>
      </c>
      <c r="K1095" s="15">
        <v>61453</v>
      </c>
    </row>
    <row r="1096" spans="10:11" x14ac:dyDescent="0.25">
      <c r="J1096" s="13" t="s">
        <v>3638</v>
      </c>
      <c r="K1096" s="13">
        <v>61453</v>
      </c>
    </row>
    <row r="1097" spans="10:11" x14ac:dyDescent="0.25">
      <c r="J1097" s="15" t="s">
        <v>4417</v>
      </c>
      <c r="K1097" s="15">
        <v>21219</v>
      </c>
    </row>
    <row r="1098" spans="10:11" x14ac:dyDescent="0.25">
      <c r="J1098" s="15" t="s">
        <v>4418</v>
      </c>
      <c r="K1098" s="15">
        <v>21219</v>
      </c>
    </row>
    <row r="1099" spans="10:11" x14ac:dyDescent="0.25">
      <c r="J1099" s="15" t="s">
        <v>4419</v>
      </c>
      <c r="K1099" s="15">
        <v>21251</v>
      </c>
    </row>
    <row r="1100" spans="10:11" x14ac:dyDescent="0.25">
      <c r="J1100" s="15" t="s">
        <v>4420</v>
      </c>
      <c r="K1100" s="15">
        <v>21466</v>
      </c>
    </row>
    <row r="1101" spans="10:11" x14ac:dyDescent="0.25">
      <c r="J1101" s="15" t="s">
        <v>4421</v>
      </c>
      <c r="K1101" s="15">
        <v>21446</v>
      </c>
    </row>
    <row r="1102" spans="10:11" x14ac:dyDescent="0.25">
      <c r="J1102" s="15" t="s">
        <v>4422</v>
      </c>
      <c r="K1102" s="15">
        <v>21446</v>
      </c>
    </row>
    <row r="1103" spans="10:11" x14ac:dyDescent="0.25">
      <c r="J1103" s="15" t="s">
        <v>4423</v>
      </c>
      <c r="K1103" s="15">
        <v>21357</v>
      </c>
    </row>
    <row r="1104" spans="10:11" x14ac:dyDescent="0.25">
      <c r="J1104" s="22" t="s">
        <v>4424</v>
      </c>
      <c r="K1104" s="15">
        <v>21188</v>
      </c>
    </row>
    <row r="1105" spans="10:11" x14ac:dyDescent="0.25">
      <c r="J1105" s="15" t="s">
        <v>4425</v>
      </c>
      <c r="K1105" s="15">
        <v>21177</v>
      </c>
    </row>
    <row r="1106" spans="10:11" x14ac:dyDescent="0.25">
      <c r="J1106" s="15" t="s">
        <v>4426</v>
      </c>
      <c r="K1106" s="15">
        <v>21177</v>
      </c>
    </row>
    <row r="1107" spans="10:11" x14ac:dyDescent="0.25">
      <c r="J1107" s="15" t="s">
        <v>4427</v>
      </c>
      <c r="K1107" s="15">
        <v>21111</v>
      </c>
    </row>
    <row r="1108" spans="10:11" x14ac:dyDescent="0.25">
      <c r="J1108" s="15" t="s">
        <v>4428</v>
      </c>
      <c r="K1108" s="15">
        <v>21111</v>
      </c>
    </row>
    <row r="1109" spans="10:11" x14ac:dyDescent="0.25">
      <c r="J1109" s="15" t="s">
        <v>4429</v>
      </c>
      <c r="K1109" s="15">
        <v>21133</v>
      </c>
    </row>
    <row r="1110" spans="10:11" x14ac:dyDescent="0.25">
      <c r="J1110" s="15" t="s">
        <v>4430</v>
      </c>
      <c r="K1110" s="15">
        <v>21111</v>
      </c>
    </row>
    <row r="1111" spans="10:11" x14ac:dyDescent="0.25">
      <c r="J1111" s="15" t="s">
        <v>3639</v>
      </c>
      <c r="K1111" s="15">
        <v>24111</v>
      </c>
    </row>
    <row r="1112" spans="10:11" x14ac:dyDescent="0.25">
      <c r="J1112" s="15" t="s">
        <v>4431</v>
      </c>
      <c r="K1112" s="15">
        <v>21411</v>
      </c>
    </row>
    <row r="1113" spans="10:11" x14ac:dyDescent="0.25">
      <c r="J1113" s="15" t="s">
        <v>4432</v>
      </c>
      <c r="K1113" s="15">
        <v>21111</v>
      </c>
    </row>
    <row r="1114" spans="10:11" x14ac:dyDescent="0.25">
      <c r="J1114" s="15" t="s">
        <v>4433</v>
      </c>
      <c r="K1114" s="15">
        <v>21251</v>
      </c>
    </row>
    <row r="1115" spans="10:11" x14ac:dyDescent="0.25">
      <c r="J1115" s="15" t="s">
        <v>4434</v>
      </c>
      <c r="K1115" s="15">
        <v>21267</v>
      </c>
    </row>
    <row r="1116" spans="10:11" x14ac:dyDescent="0.25">
      <c r="J1116" s="15" t="s">
        <v>4435</v>
      </c>
      <c r="K1116" s="15">
        <v>21351</v>
      </c>
    </row>
    <row r="1117" spans="10:11" x14ac:dyDescent="0.25">
      <c r="J1117" s="15" t="s">
        <v>4436</v>
      </c>
      <c r="K1117" s="15">
        <v>21426</v>
      </c>
    </row>
    <row r="1118" spans="10:11" x14ac:dyDescent="0.25">
      <c r="J1118" s="15" t="s">
        <v>4437</v>
      </c>
      <c r="K1118" s="15">
        <v>21351</v>
      </c>
    </row>
    <row r="1119" spans="10:11" x14ac:dyDescent="0.25">
      <c r="J1119" s="13" t="s">
        <v>3640</v>
      </c>
      <c r="K1119" s="13">
        <v>24311</v>
      </c>
    </row>
    <row r="1120" spans="10:11" x14ac:dyDescent="0.25">
      <c r="J1120" s="13" t="s">
        <v>3641</v>
      </c>
      <c r="K1120" s="13">
        <v>61483</v>
      </c>
    </row>
    <row r="1121" spans="10:11" x14ac:dyDescent="0.25">
      <c r="J1121" s="13" t="s">
        <v>3642</v>
      </c>
      <c r="K1121" s="13">
        <v>61311</v>
      </c>
    </row>
    <row r="1122" spans="10:11" x14ac:dyDescent="0.25">
      <c r="J1122" s="13" t="s">
        <v>3643</v>
      </c>
      <c r="K1122" s="13">
        <v>61493</v>
      </c>
    </row>
    <row r="1123" spans="10:11" x14ac:dyDescent="0.25">
      <c r="J1123" s="16" t="s">
        <v>3872</v>
      </c>
      <c r="K1123" s="16" t="e">
        <v>#N/A</v>
      </c>
    </row>
    <row r="1124" spans="10:11" x14ac:dyDescent="0.25">
      <c r="J1124" s="15" t="s">
        <v>3644</v>
      </c>
      <c r="K1124" s="15">
        <v>35357</v>
      </c>
    </row>
    <row r="1125" spans="10:11" x14ac:dyDescent="0.25">
      <c r="J1125" s="13" t="s">
        <v>3645</v>
      </c>
      <c r="K1125" s="13">
        <v>25319</v>
      </c>
    </row>
    <row r="1126" spans="10:11" x14ac:dyDescent="0.25">
      <c r="J1126" s="13" t="s">
        <v>3646</v>
      </c>
      <c r="K1126" s="13">
        <v>25347</v>
      </c>
    </row>
    <row r="1127" spans="10:11" x14ac:dyDescent="0.25">
      <c r="J1127" s="13" t="s">
        <v>3647</v>
      </c>
      <c r="K1127" s="13">
        <v>25121</v>
      </c>
    </row>
    <row r="1128" spans="10:11" x14ac:dyDescent="0.25">
      <c r="J1128" s="15" t="s">
        <v>3648</v>
      </c>
      <c r="K1128" s="13">
        <v>25131</v>
      </c>
    </row>
    <row r="1129" spans="10:11" x14ac:dyDescent="0.25">
      <c r="J1129" s="13" t="s">
        <v>3649</v>
      </c>
      <c r="K1129" s="13">
        <v>25423</v>
      </c>
    </row>
    <row r="1130" spans="10:11" x14ac:dyDescent="0.25">
      <c r="J1130" s="13" t="s">
        <v>3650</v>
      </c>
      <c r="K1130" s="13">
        <v>25211</v>
      </c>
    </row>
    <row r="1131" spans="10:11" x14ac:dyDescent="0.25">
      <c r="J1131" s="15" t="s">
        <v>4438</v>
      </c>
      <c r="K1131" s="15">
        <v>53221</v>
      </c>
    </row>
    <row r="1132" spans="10:11" x14ac:dyDescent="0.25">
      <c r="J1132" s="16" t="s">
        <v>3872</v>
      </c>
      <c r="K1132" s="16" t="e">
        <v>#N/A</v>
      </c>
    </row>
    <row r="1133" spans="10:11" x14ac:dyDescent="0.25">
      <c r="J1133" s="15" t="s">
        <v>3651</v>
      </c>
      <c r="K1133" s="15">
        <v>53241</v>
      </c>
    </row>
    <row r="1134" spans="10:11" x14ac:dyDescent="0.25">
      <c r="J1134" s="13" t="s">
        <v>3652</v>
      </c>
      <c r="K1134" s="13">
        <v>25311</v>
      </c>
    </row>
    <row r="1135" spans="10:11" x14ac:dyDescent="0.25">
      <c r="J1135" s="13" t="s">
        <v>3653</v>
      </c>
      <c r="K1135" s="13">
        <v>25471</v>
      </c>
    </row>
    <row r="1136" spans="10:11" x14ac:dyDescent="0.25">
      <c r="J1136" s="15" t="s">
        <v>3505</v>
      </c>
      <c r="K1136" s="15">
        <v>25329</v>
      </c>
    </row>
    <row r="1137" spans="10:11" x14ac:dyDescent="0.25">
      <c r="J1137" s="15" t="s">
        <v>3654</v>
      </c>
      <c r="K1137" s="15">
        <v>23623</v>
      </c>
    </row>
    <row r="1138" spans="10:11" x14ac:dyDescent="0.25">
      <c r="J1138" s="15" t="s">
        <v>3655</v>
      </c>
      <c r="K1138" s="15">
        <v>23435</v>
      </c>
    </row>
    <row r="1139" spans="10:11" x14ac:dyDescent="0.25">
      <c r="J1139" s="16" t="s">
        <v>3872</v>
      </c>
      <c r="K1139" s="16">
        <v>23675</v>
      </c>
    </row>
    <row r="1140" spans="10:11" x14ac:dyDescent="0.25">
      <c r="J1140" s="15" t="s">
        <v>3656</v>
      </c>
      <c r="K1140" s="15">
        <v>23511</v>
      </c>
    </row>
    <row r="1141" spans="10:11" x14ac:dyDescent="0.25">
      <c r="J1141" s="16" t="s">
        <v>3872</v>
      </c>
      <c r="K1141" s="16">
        <v>23255</v>
      </c>
    </row>
    <row r="1142" spans="10:11" x14ac:dyDescent="0.25">
      <c r="J1142" s="16" t="s">
        <v>3872</v>
      </c>
      <c r="K1142" s="16">
        <v>23577</v>
      </c>
    </row>
    <row r="1143" spans="10:11" x14ac:dyDescent="0.25">
      <c r="J1143" s="13" t="s">
        <v>3657</v>
      </c>
      <c r="K1143" s="13">
        <v>26286</v>
      </c>
    </row>
    <row r="1144" spans="10:11" x14ac:dyDescent="0.25">
      <c r="J1144" s="16" t="s">
        <v>3872</v>
      </c>
      <c r="K1144" s="16">
        <v>61323</v>
      </c>
    </row>
    <row r="1145" spans="10:11" x14ac:dyDescent="0.25">
      <c r="J1145" s="16" t="s">
        <v>3872</v>
      </c>
      <c r="K1145" s="16" t="e">
        <v>#N/A</v>
      </c>
    </row>
    <row r="1146" spans="10:11" x14ac:dyDescent="0.25">
      <c r="J1146" s="16" t="s">
        <v>3872</v>
      </c>
      <c r="K1146" s="16">
        <v>61119</v>
      </c>
    </row>
    <row r="1147" spans="10:11" x14ac:dyDescent="0.25">
      <c r="J1147" s="15" t="s">
        <v>3659</v>
      </c>
      <c r="K1147" s="15">
        <v>61323</v>
      </c>
    </row>
    <row r="1148" spans="10:11" x14ac:dyDescent="0.25">
      <c r="J1148" s="16" t="s">
        <v>3872</v>
      </c>
      <c r="K1148" s="16">
        <v>23627</v>
      </c>
    </row>
    <row r="1149" spans="10:11" x14ac:dyDescent="0.25">
      <c r="J1149" s="21" t="s">
        <v>4414</v>
      </c>
      <c r="K1149" s="21" t="e">
        <v>#N/A</v>
      </c>
    </row>
    <row r="1150" spans="10:11" x14ac:dyDescent="0.25">
      <c r="J1150" s="16" t="s">
        <v>4439</v>
      </c>
      <c r="K1150" s="16" t="e">
        <v>#N/A</v>
      </c>
    </row>
    <row r="1151" spans="10:11" x14ac:dyDescent="0.25">
      <c r="J1151" s="15" t="s">
        <v>4440</v>
      </c>
      <c r="K1151" s="15">
        <v>53254</v>
      </c>
    </row>
    <row r="1152" spans="10:11" x14ac:dyDescent="0.25">
      <c r="J1152" s="16" t="s">
        <v>3872</v>
      </c>
      <c r="K1152" s="16" t="e">
        <v>#N/A</v>
      </c>
    </row>
    <row r="1153" spans="10:11" x14ac:dyDescent="0.25">
      <c r="J1153" s="16" t="s">
        <v>3872</v>
      </c>
      <c r="K1153" s="16" t="e">
        <v>#N/A</v>
      </c>
    </row>
    <row r="1154" spans="10:11" x14ac:dyDescent="0.25">
      <c r="J1154" s="16" t="s">
        <v>3872</v>
      </c>
      <c r="K1154" s="16">
        <v>53211</v>
      </c>
    </row>
    <row r="1155" spans="10:11" x14ac:dyDescent="0.25">
      <c r="J1155" s="13" t="s">
        <v>3663</v>
      </c>
      <c r="K1155" s="13">
        <v>25311</v>
      </c>
    </row>
    <row r="1156" spans="10:11" x14ac:dyDescent="0.25">
      <c r="J1156" s="16" t="s">
        <v>3872</v>
      </c>
      <c r="K1156" s="16">
        <v>23623</v>
      </c>
    </row>
    <row r="1157" spans="10:11" x14ac:dyDescent="0.25">
      <c r="J1157" s="16" t="s">
        <v>4439</v>
      </c>
      <c r="K1157" s="16" t="e">
        <v>#N/A</v>
      </c>
    </row>
    <row r="1158" spans="10:11" x14ac:dyDescent="0.25">
      <c r="J1158" s="15" t="s">
        <v>3664</v>
      </c>
      <c r="K1158" s="15">
        <v>26147</v>
      </c>
    </row>
    <row r="1159" spans="10:11" x14ac:dyDescent="0.25">
      <c r="J1159" s="16" t="s">
        <v>4439</v>
      </c>
      <c r="K1159" s="16">
        <v>74112</v>
      </c>
    </row>
    <row r="1160" spans="10:11" x14ac:dyDescent="0.25">
      <c r="J1160" s="15" t="s">
        <v>4441</v>
      </c>
      <c r="K1160" s="15">
        <v>74112</v>
      </c>
    </row>
    <row r="1161" spans="10:11" x14ac:dyDescent="0.25">
      <c r="J1161" s="15" t="s">
        <v>3665</v>
      </c>
      <c r="K1161" s="13">
        <v>24365</v>
      </c>
    </row>
    <row r="1162" spans="10:11" x14ac:dyDescent="0.25">
      <c r="J1162" s="16" t="s">
        <v>3872</v>
      </c>
      <c r="K1162" s="16" t="e">
        <v>#N/A</v>
      </c>
    </row>
    <row r="1163" spans="10:11" x14ac:dyDescent="0.25">
      <c r="J1163" s="16" t="s">
        <v>3872</v>
      </c>
      <c r="K1163" s="16" t="e">
        <v>#N/A</v>
      </c>
    </row>
    <row r="1164" spans="10:11" x14ac:dyDescent="0.25">
      <c r="J1164" s="15" t="s">
        <v>3666</v>
      </c>
      <c r="K1164" s="15">
        <v>51234</v>
      </c>
    </row>
    <row r="1165" spans="10:11" x14ac:dyDescent="0.25">
      <c r="J1165" s="15" t="s">
        <v>3667</v>
      </c>
      <c r="K1165" s="15">
        <v>26244</v>
      </c>
    </row>
    <row r="1166" spans="10:11" x14ac:dyDescent="0.25">
      <c r="J1166" s="23" t="s">
        <v>3668</v>
      </c>
      <c r="K1166" s="23">
        <v>24211</v>
      </c>
    </row>
    <row r="1167" spans="10:11" x14ac:dyDescent="0.25">
      <c r="J1167" s="15" t="s">
        <v>4442</v>
      </c>
      <c r="K1167" s="15">
        <v>22455</v>
      </c>
    </row>
    <row r="1168" spans="10:11" x14ac:dyDescent="0.25">
      <c r="J1168" s="16" t="s">
        <v>3872</v>
      </c>
      <c r="K1168" s="16" t="e">
        <v>#N/A</v>
      </c>
    </row>
    <row r="1169" spans="10:11" x14ac:dyDescent="0.25">
      <c r="J1169" s="15" t="s">
        <v>3669</v>
      </c>
      <c r="K1169" s="13">
        <v>24451</v>
      </c>
    </row>
    <row r="1170" spans="10:11" x14ac:dyDescent="0.25">
      <c r="J1170" s="15" t="s">
        <v>3390</v>
      </c>
      <c r="K1170" s="15">
        <v>23566</v>
      </c>
    </row>
    <row r="1171" spans="10:11" x14ac:dyDescent="0.25">
      <c r="J1171" s="21" t="s">
        <v>4414</v>
      </c>
      <c r="K1171" s="21" t="e">
        <v>#N/A</v>
      </c>
    </row>
    <row r="1172" spans="10:11" x14ac:dyDescent="0.25">
      <c r="J1172" s="24" t="s">
        <v>3872</v>
      </c>
      <c r="K1172" s="16" t="e">
        <v>#N/A</v>
      </c>
    </row>
    <row r="1173" spans="10:11" x14ac:dyDescent="0.25">
      <c r="J1173" s="25" t="s">
        <v>3872</v>
      </c>
      <c r="K1173" s="16" t="e">
        <v>#N/A</v>
      </c>
    </row>
    <row r="1174" spans="10:11" x14ac:dyDescent="0.25">
      <c r="J1174" s="13" t="s">
        <v>3670</v>
      </c>
      <c r="K1174" s="13">
        <v>51234</v>
      </c>
    </row>
    <row r="1175" spans="10:11" x14ac:dyDescent="0.25">
      <c r="J1175" s="16" t="s">
        <v>3872</v>
      </c>
      <c r="K1175" s="16" t="e">
        <v>#N/A</v>
      </c>
    </row>
    <row r="1176" spans="10:11" x14ac:dyDescent="0.25">
      <c r="J1176" s="22" t="s">
        <v>4443</v>
      </c>
      <c r="K1176" s="15">
        <v>24133</v>
      </c>
    </row>
    <row r="1177" spans="10:11" x14ac:dyDescent="0.25">
      <c r="J1177" s="13" t="s">
        <v>3671</v>
      </c>
      <c r="K1177" s="13">
        <v>35149</v>
      </c>
    </row>
    <row r="1178" spans="10:11" x14ac:dyDescent="0.25">
      <c r="J1178" s="16" t="s">
        <v>3872</v>
      </c>
      <c r="K1178" s="16">
        <v>23255</v>
      </c>
    </row>
    <row r="1179" spans="10:11" x14ac:dyDescent="0.25">
      <c r="J1179" s="13" t="s">
        <v>3673</v>
      </c>
      <c r="K1179" s="13">
        <v>26135</v>
      </c>
    </row>
    <row r="1180" spans="10:11" x14ac:dyDescent="0.25">
      <c r="J1180" s="26" t="s">
        <v>4444</v>
      </c>
      <c r="K1180" s="15">
        <v>74158</v>
      </c>
    </row>
    <row r="1181" spans="10:11" x14ac:dyDescent="0.25">
      <c r="J1181" s="13" t="s">
        <v>3674</v>
      </c>
      <c r="K1181" s="13">
        <v>26111</v>
      </c>
    </row>
    <row r="1182" spans="10:11" x14ac:dyDescent="0.25">
      <c r="J1182" s="13" t="s">
        <v>3675</v>
      </c>
      <c r="K1182" s="13">
        <v>74114</v>
      </c>
    </row>
    <row r="1183" spans="10:11" x14ac:dyDescent="0.25">
      <c r="J1183" s="15" t="s">
        <v>3676</v>
      </c>
      <c r="K1183" s="15">
        <v>72143</v>
      </c>
    </row>
    <row r="1184" spans="10:11" x14ac:dyDescent="0.25">
      <c r="J1184" s="16" t="s">
        <v>3872</v>
      </c>
      <c r="K1184" s="16" t="e">
        <v>#N/A</v>
      </c>
    </row>
    <row r="1185" spans="10:11" x14ac:dyDescent="0.25">
      <c r="J1185" s="16" t="s">
        <v>3872</v>
      </c>
      <c r="K1185" s="16" t="e">
        <v>#N/A</v>
      </c>
    </row>
    <row r="1186" spans="10:11" x14ac:dyDescent="0.25">
      <c r="J1186" s="26" t="s">
        <v>3662</v>
      </c>
      <c r="K1186" s="15">
        <v>35221</v>
      </c>
    </row>
    <row r="1187" spans="10:11" x14ac:dyDescent="0.25">
      <c r="J1187" s="15" t="s">
        <v>3678</v>
      </c>
      <c r="K1187" s="13">
        <v>22262</v>
      </c>
    </row>
    <row r="1188" spans="10:11" x14ac:dyDescent="0.25">
      <c r="J1188" s="15" t="s">
        <v>3679</v>
      </c>
      <c r="K1188" s="15">
        <v>23413</v>
      </c>
    </row>
    <row r="1189" spans="10:11" x14ac:dyDescent="0.25">
      <c r="J1189" s="16" t="s">
        <v>3872</v>
      </c>
      <c r="K1189" s="16" t="e">
        <v>#N/A</v>
      </c>
    </row>
    <row r="1190" spans="10:11" x14ac:dyDescent="0.25">
      <c r="J1190" s="15" t="s">
        <v>3680</v>
      </c>
      <c r="K1190" s="13">
        <v>31186</v>
      </c>
    </row>
    <row r="1191" spans="10:11" x14ac:dyDescent="0.25">
      <c r="J1191" s="26" t="s">
        <v>4445</v>
      </c>
      <c r="K1191" s="15">
        <v>34188</v>
      </c>
    </row>
    <row r="1192" spans="10:11" x14ac:dyDescent="0.25">
      <c r="J1192" s="16" t="s">
        <v>3872</v>
      </c>
      <c r="K1192" s="16" t="e">
        <v>#N/A</v>
      </c>
    </row>
    <row r="1193" spans="10:11" x14ac:dyDescent="0.25">
      <c r="J1193" s="15" t="s">
        <v>3660</v>
      </c>
      <c r="K1193" s="15">
        <v>23627</v>
      </c>
    </row>
    <row r="1194" spans="10:11" x14ac:dyDescent="0.25">
      <c r="J1194" s="15" t="s">
        <v>3681</v>
      </c>
      <c r="K1194" s="15">
        <v>51234</v>
      </c>
    </row>
    <row r="1195" spans="10:11" x14ac:dyDescent="0.25">
      <c r="J1195" s="15" t="s">
        <v>3760</v>
      </c>
      <c r="K1195" s="13">
        <v>10310</v>
      </c>
    </row>
    <row r="1196" spans="10:11" x14ac:dyDescent="0.25">
      <c r="J1196" s="15" t="s">
        <v>3682</v>
      </c>
      <c r="K1196" s="15">
        <v>62111</v>
      </c>
    </row>
    <row r="1197" spans="10:11" x14ac:dyDescent="0.25">
      <c r="J1197" s="15" t="s">
        <v>3764</v>
      </c>
      <c r="K1197" s="15">
        <v>10310</v>
      </c>
    </row>
    <row r="1198" spans="10:11" x14ac:dyDescent="0.25">
      <c r="J1198" s="16" t="s">
        <v>3872</v>
      </c>
      <c r="K1198" s="16">
        <v>51267</v>
      </c>
    </row>
    <row r="1199" spans="10:11" x14ac:dyDescent="0.25">
      <c r="J1199" s="15" t="s">
        <v>3683</v>
      </c>
      <c r="K1199" s="13">
        <v>74131</v>
      </c>
    </row>
    <row r="1200" spans="10:11" x14ac:dyDescent="0.25">
      <c r="J1200" s="15" t="s">
        <v>3684</v>
      </c>
      <c r="K1200" s="15">
        <v>52277</v>
      </c>
    </row>
    <row r="1201" spans="10:11" x14ac:dyDescent="0.25">
      <c r="J1201" s="16" t="s">
        <v>3872</v>
      </c>
      <c r="K1201" s="16" t="e">
        <v>#N/A</v>
      </c>
    </row>
    <row r="1202" spans="10:11" x14ac:dyDescent="0.25">
      <c r="J1202" s="15" t="s">
        <v>3685</v>
      </c>
      <c r="K1202" s="13">
        <v>52264</v>
      </c>
    </row>
    <row r="1203" spans="10:11" x14ac:dyDescent="0.25">
      <c r="J1203" s="16" t="s">
        <v>3872</v>
      </c>
      <c r="K1203" s="16" t="e">
        <v>#N/A</v>
      </c>
    </row>
    <row r="1204" spans="10:11" x14ac:dyDescent="0.25">
      <c r="J1204" s="15" t="s">
        <v>3686</v>
      </c>
      <c r="K1204" s="15">
        <v>52151</v>
      </c>
    </row>
    <row r="1205" spans="10:11" x14ac:dyDescent="0.25">
      <c r="J1205" s="13" t="s">
        <v>4446</v>
      </c>
      <c r="K1205" s="13">
        <v>26141</v>
      </c>
    </row>
    <row r="1206" spans="10:11" x14ac:dyDescent="0.25">
      <c r="J1206" s="13" t="s">
        <v>4447</v>
      </c>
      <c r="K1206" s="13">
        <v>25231</v>
      </c>
    </row>
    <row r="1207" spans="10:11" x14ac:dyDescent="0.25">
      <c r="J1207" s="16" t="s">
        <v>3872</v>
      </c>
      <c r="K1207" s="16" t="e">
        <v>#N/A</v>
      </c>
    </row>
    <row r="1208" spans="10:11" x14ac:dyDescent="0.25">
      <c r="J1208" s="15" t="s">
        <v>4448</v>
      </c>
      <c r="K1208" s="13">
        <v>24111</v>
      </c>
    </row>
    <row r="1209" spans="10:11" x14ac:dyDescent="0.25">
      <c r="J1209" s="15" t="s">
        <v>3813</v>
      </c>
      <c r="K1209" s="15">
        <v>10210</v>
      </c>
    </row>
    <row r="1210" spans="10:11" x14ac:dyDescent="0.25">
      <c r="J1210" s="27" t="s">
        <v>3872</v>
      </c>
      <c r="K1210" s="16"/>
    </row>
    <row r="1211" spans="10:11" x14ac:dyDescent="0.25">
      <c r="J1211" s="15" t="s">
        <v>4449</v>
      </c>
      <c r="K1211" s="15">
        <v>23215</v>
      </c>
    </row>
    <row r="1212" spans="10:11" x14ac:dyDescent="0.25">
      <c r="J1212" s="13" t="s">
        <v>4450</v>
      </c>
      <c r="K1212" s="13">
        <v>23111</v>
      </c>
    </row>
    <row r="1213" spans="10:11" x14ac:dyDescent="0.25">
      <c r="J1213" s="16" t="s">
        <v>3872</v>
      </c>
      <c r="K1213" s="16" t="e">
        <v>#N/A</v>
      </c>
    </row>
    <row r="1214" spans="10:11" x14ac:dyDescent="0.25">
      <c r="J1214" s="15" t="s">
        <v>4451</v>
      </c>
      <c r="K1214" s="15">
        <v>24427</v>
      </c>
    </row>
    <row r="1215" spans="10:11" x14ac:dyDescent="0.25">
      <c r="J1215" s="15" t="s">
        <v>4452</v>
      </c>
      <c r="K1215" s="15">
        <v>24133</v>
      </c>
    </row>
    <row r="1216" spans="10:11" x14ac:dyDescent="0.25">
      <c r="J1216" s="13" t="s">
        <v>3689</v>
      </c>
      <c r="K1216" s="13">
        <v>61489</v>
      </c>
    </row>
    <row r="1217" spans="10:11" x14ac:dyDescent="0.25">
      <c r="J1217" s="13" t="s">
        <v>3690</v>
      </c>
      <c r="K1217" s="13">
        <v>61489</v>
      </c>
    </row>
    <row r="1218" spans="10:11" x14ac:dyDescent="0.25">
      <c r="J1218" s="15" t="s">
        <v>3691</v>
      </c>
      <c r="K1218" s="15">
        <v>61159</v>
      </c>
    </row>
    <row r="1219" spans="10:11" x14ac:dyDescent="0.25">
      <c r="J1219" s="15" t="s">
        <v>3816</v>
      </c>
      <c r="K1219" s="15">
        <v>10310</v>
      </c>
    </row>
    <row r="1220" spans="10:11" x14ac:dyDescent="0.25">
      <c r="J1220" s="15" t="s">
        <v>4453</v>
      </c>
      <c r="K1220" s="15">
        <v>10210</v>
      </c>
    </row>
    <row r="1221" spans="10:11" x14ac:dyDescent="0.25">
      <c r="J1221" s="28" t="s">
        <v>3817</v>
      </c>
      <c r="K1221" s="15">
        <v>10310</v>
      </c>
    </row>
    <row r="1222" spans="10:11" x14ac:dyDescent="0.25">
      <c r="J1222" s="15" t="s">
        <v>3818</v>
      </c>
      <c r="K1222" s="15">
        <v>10310</v>
      </c>
    </row>
    <row r="1223" spans="10:11" x14ac:dyDescent="0.25">
      <c r="J1223" s="16" t="s">
        <v>3872</v>
      </c>
      <c r="K1223" s="16">
        <v>23336</v>
      </c>
    </row>
    <row r="1224" spans="10:11" x14ac:dyDescent="0.25">
      <c r="J1224" s="15" t="s">
        <v>3692</v>
      </c>
      <c r="K1224" s="13">
        <v>23211</v>
      </c>
    </row>
    <row r="1225" spans="10:11" x14ac:dyDescent="0.25">
      <c r="J1225" s="15" t="s">
        <v>3693</v>
      </c>
      <c r="K1225" s="15">
        <v>23267</v>
      </c>
    </row>
    <row r="1226" spans="10:11" x14ac:dyDescent="0.25">
      <c r="J1226" s="15" t="s">
        <v>3694</v>
      </c>
      <c r="K1226" s="15">
        <v>23251</v>
      </c>
    </row>
    <row r="1227" spans="10:11" x14ac:dyDescent="0.25">
      <c r="J1227" s="15" t="s">
        <v>3695</v>
      </c>
      <c r="K1227" s="15">
        <v>23227</v>
      </c>
    </row>
    <row r="1228" spans="10:11" x14ac:dyDescent="0.25">
      <c r="J1228" s="15" t="s">
        <v>3696</v>
      </c>
      <c r="K1228" s="15">
        <v>23227</v>
      </c>
    </row>
    <row r="1229" spans="10:11" x14ac:dyDescent="0.25">
      <c r="J1229" s="16" t="s">
        <v>3872</v>
      </c>
      <c r="K1229" s="16">
        <v>23231</v>
      </c>
    </row>
    <row r="1230" spans="10:11" x14ac:dyDescent="0.25">
      <c r="J1230" s="15" t="s">
        <v>3450</v>
      </c>
      <c r="K1230" s="15">
        <v>52221</v>
      </c>
    </row>
    <row r="1231" spans="10:11" x14ac:dyDescent="0.25">
      <c r="J1231" s="15" t="s">
        <v>4454</v>
      </c>
      <c r="K1231" s="15">
        <v>35187</v>
      </c>
    </row>
    <row r="1232" spans="10:11" x14ac:dyDescent="0.25">
      <c r="J1232" s="13" t="s">
        <v>3697</v>
      </c>
      <c r="K1232" s="13">
        <v>31186</v>
      </c>
    </row>
    <row r="1233" spans="10:11" x14ac:dyDescent="0.25">
      <c r="J1233" s="15" t="s">
        <v>3698</v>
      </c>
      <c r="K1233" s="15">
        <v>24315</v>
      </c>
    </row>
    <row r="1234" spans="10:11" x14ac:dyDescent="0.25">
      <c r="J1234" s="16" t="s">
        <v>3872</v>
      </c>
      <c r="K1234" s="16">
        <v>32133</v>
      </c>
    </row>
    <row r="1235" spans="10:11" x14ac:dyDescent="0.25">
      <c r="J1235" s="15" t="s">
        <v>3699</v>
      </c>
      <c r="K1235" s="15">
        <v>32121</v>
      </c>
    </row>
    <row r="1236" spans="10:11" x14ac:dyDescent="0.25">
      <c r="J1236" s="16" t="s">
        <v>3872</v>
      </c>
      <c r="K1236" s="16" t="e">
        <v>#N/A</v>
      </c>
    </row>
    <row r="1237" spans="10:11" x14ac:dyDescent="0.25">
      <c r="J1237" s="16" t="s">
        <v>3872</v>
      </c>
      <c r="K1237" s="16"/>
    </row>
    <row r="1238" spans="10:11" x14ac:dyDescent="0.25">
      <c r="J1238" s="29" t="s">
        <v>4455</v>
      </c>
      <c r="K1238" s="29">
        <v>55121</v>
      </c>
    </row>
    <row r="1239" spans="10:11" x14ac:dyDescent="0.25">
      <c r="J1239" s="29" t="s">
        <v>4456</v>
      </c>
      <c r="K1239" s="29">
        <v>52227</v>
      </c>
    </row>
    <row r="1240" spans="10:11" x14ac:dyDescent="0.25">
      <c r="J1240" s="29" t="s">
        <v>3704</v>
      </c>
      <c r="K1240" s="29">
        <v>51284</v>
      </c>
    </row>
    <row r="1241" spans="10:11" x14ac:dyDescent="0.25">
      <c r="J1241" s="29" t="s">
        <v>3705</v>
      </c>
      <c r="K1241" s="29">
        <v>52277</v>
      </c>
    </row>
    <row r="1242" spans="10:11" x14ac:dyDescent="0.25">
      <c r="J1242" s="29" t="s">
        <v>4457</v>
      </c>
      <c r="K1242" s="29">
        <v>25161</v>
      </c>
    </row>
    <row r="1243" spans="10:11" x14ac:dyDescent="0.25">
      <c r="J1243" s="29" t="s">
        <v>4458</v>
      </c>
      <c r="K1243" s="29">
        <v>52231</v>
      </c>
    </row>
    <row r="1244" spans="10:11" x14ac:dyDescent="0.25">
      <c r="J1244" s="29" t="s">
        <v>3703</v>
      </c>
      <c r="K1244" s="29">
        <v>51121</v>
      </c>
    </row>
    <row r="1245" spans="10:11" x14ac:dyDescent="0.25">
      <c r="J1245" s="30" t="s">
        <v>3701</v>
      </c>
      <c r="K1245" s="29">
        <v>21354</v>
      </c>
    </row>
    <row r="1246" spans="10:11" x14ac:dyDescent="0.25">
      <c r="J1246" s="31" t="s">
        <v>3872</v>
      </c>
      <c r="K1246" s="32"/>
    </row>
    <row r="1247" spans="10:11" x14ac:dyDescent="0.25">
      <c r="J1247" s="31" t="s">
        <v>3872</v>
      </c>
      <c r="K1247" s="32">
        <v>51267</v>
      </c>
    </row>
    <row r="1248" spans="10:11" x14ac:dyDescent="0.25">
      <c r="J1248" s="31" t="s">
        <v>3872</v>
      </c>
      <c r="K1248" s="32">
        <v>51234</v>
      </c>
    </row>
    <row r="1249" spans="10:11" x14ac:dyDescent="0.25">
      <c r="J1249" s="31" t="s">
        <v>3872</v>
      </c>
      <c r="K1249" s="32"/>
    </row>
    <row r="1250" spans="10:11" x14ac:dyDescent="0.25">
      <c r="J1250" s="31" t="s">
        <v>3872</v>
      </c>
      <c r="K1250" s="32">
        <v>61323</v>
      </c>
    </row>
    <row r="1251" spans="10:11" x14ac:dyDescent="0.25">
      <c r="J1251" s="33" t="s">
        <v>4459</v>
      </c>
      <c r="K1251" s="33">
        <v>21341</v>
      </c>
    </row>
    <row r="1252" spans="10:11" x14ac:dyDescent="0.25">
      <c r="J1252" s="29" t="s">
        <v>4460</v>
      </c>
      <c r="K1252" s="29">
        <v>71351</v>
      </c>
    </row>
    <row r="1253" spans="10:11" x14ac:dyDescent="0.25">
      <c r="J1253" s="29" t="s">
        <v>4461</v>
      </c>
      <c r="K1253" s="29">
        <v>62276</v>
      </c>
    </row>
    <row r="1254" spans="10:11" x14ac:dyDescent="0.25">
      <c r="J1254" s="29" t="s">
        <v>4462</v>
      </c>
      <c r="K1254" s="29">
        <v>62276</v>
      </c>
    </row>
    <row r="1255" spans="10:11" x14ac:dyDescent="0.25">
      <c r="J1255" s="29" t="s">
        <v>4463</v>
      </c>
      <c r="K1255" s="29">
        <v>62276</v>
      </c>
    </row>
    <row r="1256" spans="10:11" x14ac:dyDescent="0.25">
      <c r="J1256" s="29" t="s">
        <v>4464</v>
      </c>
      <c r="K1256" s="29">
        <v>62276</v>
      </c>
    </row>
    <row r="1257" spans="10:11" x14ac:dyDescent="0.25">
      <c r="J1257" s="29" t="s">
        <v>4465</v>
      </c>
      <c r="K1257" s="29">
        <v>62276</v>
      </c>
    </row>
    <row r="1258" spans="10:11" x14ac:dyDescent="0.25">
      <c r="J1258" s="29" t="s">
        <v>4466</v>
      </c>
      <c r="K1258" s="29">
        <v>62276</v>
      </c>
    </row>
    <row r="1259" spans="10:11" x14ac:dyDescent="0.25">
      <c r="J1259" s="29" t="s">
        <v>4467</v>
      </c>
      <c r="K1259" s="29">
        <v>62276</v>
      </c>
    </row>
    <row r="1260" spans="10:11" x14ac:dyDescent="0.25">
      <c r="J1260" s="29" t="s">
        <v>4468</v>
      </c>
      <c r="K1260" s="29">
        <v>62276</v>
      </c>
    </row>
    <row r="1261" spans="10:11" x14ac:dyDescent="0.25">
      <c r="J1261" s="29" t="s">
        <v>4469</v>
      </c>
      <c r="K1261" s="29">
        <v>62276</v>
      </c>
    </row>
    <row r="1262" spans="10:11" x14ac:dyDescent="0.25">
      <c r="J1262" s="29" t="s">
        <v>4470</v>
      </c>
      <c r="K1262" s="29">
        <v>62276</v>
      </c>
    </row>
    <row r="1263" spans="10:11" x14ac:dyDescent="0.25">
      <c r="J1263" s="29" t="s">
        <v>4471</v>
      </c>
      <c r="K1263" s="29">
        <v>62276</v>
      </c>
    </row>
    <row r="1264" spans="10:11" x14ac:dyDescent="0.25">
      <c r="J1264" s="29" t="s">
        <v>4472</v>
      </c>
      <c r="K1264" s="29">
        <v>62276</v>
      </c>
    </row>
    <row r="1265" spans="10:11" x14ac:dyDescent="0.25">
      <c r="J1265" s="29" t="s">
        <v>4473</v>
      </c>
      <c r="K1265" s="29">
        <v>62276</v>
      </c>
    </row>
    <row r="1266" spans="10:11" x14ac:dyDescent="0.25">
      <c r="J1266" s="29" t="s">
        <v>4474</v>
      </c>
      <c r="K1266" s="29">
        <v>62276</v>
      </c>
    </row>
    <row r="1267" spans="10:11" x14ac:dyDescent="0.25">
      <c r="J1267" s="29" t="s">
        <v>4475</v>
      </c>
      <c r="K1267" s="29">
        <v>62276</v>
      </c>
    </row>
    <row r="1268" spans="10:11" x14ac:dyDescent="0.25">
      <c r="J1268" s="29" t="s">
        <v>4476</v>
      </c>
      <c r="K1268" s="29">
        <v>62276</v>
      </c>
    </row>
    <row r="1269" spans="10:11" x14ac:dyDescent="0.25">
      <c r="J1269" s="29" t="s">
        <v>4477</v>
      </c>
      <c r="K1269" s="29">
        <v>36121</v>
      </c>
    </row>
    <row r="1270" spans="10:11" x14ac:dyDescent="0.25">
      <c r="J1270" s="29" t="s">
        <v>4478</v>
      </c>
      <c r="K1270" s="29">
        <v>24375</v>
      </c>
    </row>
    <row r="1271" spans="10:11" x14ac:dyDescent="0.25">
      <c r="J1271" s="29" t="s">
        <v>4479</v>
      </c>
      <c r="K1271" s="29">
        <v>24375</v>
      </c>
    </row>
    <row r="1272" spans="10:11" x14ac:dyDescent="0.25">
      <c r="J1272" s="29" t="s">
        <v>4480</v>
      </c>
      <c r="K1272" s="29">
        <v>24375</v>
      </c>
    </row>
    <row r="1273" spans="10:11" x14ac:dyDescent="0.25">
      <c r="J1273" s="29" t="s">
        <v>4481</v>
      </c>
      <c r="K1273" s="29">
        <v>61244</v>
      </c>
    </row>
    <row r="1274" spans="10:11" x14ac:dyDescent="0.25">
      <c r="J1274" s="29" t="s">
        <v>4482</v>
      </c>
      <c r="K1274" s="29">
        <v>61244</v>
      </c>
    </row>
    <row r="1275" spans="10:11" x14ac:dyDescent="0.25">
      <c r="J1275" s="29" t="s">
        <v>4483</v>
      </c>
      <c r="K1275" s="29">
        <v>61244</v>
      </c>
    </row>
    <row r="1276" spans="10:11" x14ac:dyDescent="0.25">
      <c r="J1276" s="29" t="s">
        <v>4484</v>
      </c>
      <c r="K1276" s="29">
        <v>34269</v>
      </c>
    </row>
    <row r="1277" spans="10:11" x14ac:dyDescent="0.25">
      <c r="J1277" s="29" t="s">
        <v>4485</v>
      </c>
      <c r="K1277" s="29">
        <v>33267</v>
      </c>
    </row>
    <row r="1278" spans="10:11" x14ac:dyDescent="0.25">
      <c r="J1278" s="29" t="s">
        <v>4486</v>
      </c>
      <c r="K1278" s="29">
        <v>33267</v>
      </c>
    </row>
    <row r="1279" spans="10:11" x14ac:dyDescent="0.25">
      <c r="J1279" s="29" t="s">
        <v>4487</v>
      </c>
      <c r="K1279" s="29">
        <v>25423</v>
      </c>
    </row>
    <row r="1280" spans="10:11" x14ac:dyDescent="0.25">
      <c r="J1280" s="29" t="s">
        <v>4488</v>
      </c>
      <c r="K1280" s="29">
        <v>25423</v>
      </c>
    </row>
    <row r="1281" spans="10:11" x14ac:dyDescent="0.25">
      <c r="J1281" s="29" t="s">
        <v>4489</v>
      </c>
      <c r="K1281" s="29">
        <v>73211</v>
      </c>
    </row>
    <row r="1282" spans="10:11" x14ac:dyDescent="0.25">
      <c r="J1282" s="29" t="s">
        <v>4490</v>
      </c>
      <c r="K1282" s="29">
        <v>71347</v>
      </c>
    </row>
    <row r="1283" spans="10:11" x14ac:dyDescent="0.25">
      <c r="J1283" s="29" t="s">
        <v>4491</v>
      </c>
      <c r="K1283" s="29">
        <v>61434</v>
      </c>
    </row>
    <row r="1284" spans="10:11" x14ac:dyDescent="0.25">
      <c r="J1284" s="29" t="s">
        <v>4492</v>
      </c>
      <c r="K1284" s="29">
        <v>61434</v>
      </c>
    </row>
    <row r="1285" spans="10:11" x14ac:dyDescent="0.25">
      <c r="J1285" s="29" t="s">
        <v>4493</v>
      </c>
      <c r="K1285" s="29">
        <v>61434</v>
      </c>
    </row>
    <row r="1286" spans="10:11" x14ac:dyDescent="0.25">
      <c r="J1286" s="29" t="s">
        <v>4494</v>
      </c>
      <c r="K1286" s="29">
        <v>61466</v>
      </c>
    </row>
    <row r="1287" spans="10:11" x14ac:dyDescent="0.25">
      <c r="J1287" s="29" t="s">
        <v>4495</v>
      </c>
      <c r="K1287" s="29">
        <v>73162</v>
      </c>
    </row>
    <row r="1288" spans="10:11" x14ac:dyDescent="0.25">
      <c r="J1288" s="29" t="s">
        <v>4496</v>
      </c>
      <c r="K1288" s="29">
        <v>62291</v>
      </c>
    </row>
    <row r="1289" spans="10:11" x14ac:dyDescent="0.25">
      <c r="J1289" s="29" t="s">
        <v>4497</v>
      </c>
      <c r="K1289" s="29">
        <v>62291</v>
      </c>
    </row>
    <row r="1290" spans="10:11" x14ac:dyDescent="0.25">
      <c r="J1290" s="29" t="s">
        <v>4498</v>
      </c>
      <c r="K1290" s="29">
        <v>62243</v>
      </c>
    </row>
    <row r="1291" spans="10:11" x14ac:dyDescent="0.25">
      <c r="J1291" s="29" t="s">
        <v>4499</v>
      </c>
      <c r="K1291" s="29">
        <v>62243</v>
      </c>
    </row>
    <row r="1292" spans="10:11" x14ac:dyDescent="0.25">
      <c r="J1292" s="29" t="s">
        <v>4500</v>
      </c>
      <c r="K1292" s="29">
        <v>62243</v>
      </c>
    </row>
    <row r="1293" spans="10:11" x14ac:dyDescent="0.25">
      <c r="J1293" s="29" t="s">
        <v>4501</v>
      </c>
      <c r="K1293" s="29">
        <v>62243</v>
      </c>
    </row>
    <row r="1294" spans="10:11" x14ac:dyDescent="0.25">
      <c r="J1294" s="29" t="s">
        <v>4502</v>
      </c>
      <c r="K1294" s="29">
        <v>62243</v>
      </c>
    </row>
    <row r="1295" spans="10:11" x14ac:dyDescent="0.25">
      <c r="J1295" s="29" t="s">
        <v>4503</v>
      </c>
      <c r="K1295" s="29">
        <v>62243</v>
      </c>
    </row>
    <row r="1296" spans="10:11" x14ac:dyDescent="0.25">
      <c r="J1296" s="29" t="s">
        <v>4504</v>
      </c>
      <c r="K1296" s="29">
        <v>53217</v>
      </c>
    </row>
    <row r="1297" spans="10:11" x14ac:dyDescent="0.25">
      <c r="J1297" s="29" t="s">
        <v>4505</v>
      </c>
      <c r="K1297" s="29">
        <v>53217</v>
      </c>
    </row>
    <row r="1298" spans="10:11" x14ac:dyDescent="0.25">
      <c r="J1298" s="29" t="s">
        <v>4506</v>
      </c>
      <c r="K1298" s="29">
        <v>53217</v>
      </c>
    </row>
    <row r="1299" spans="10:11" x14ac:dyDescent="0.25">
      <c r="J1299" s="29" t="s">
        <v>4507</v>
      </c>
      <c r="K1299" s="29">
        <v>53217</v>
      </c>
    </row>
    <row r="1300" spans="10:11" x14ac:dyDescent="0.25">
      <c r="J1300" s="29" t="s">
        <v>4508</v>
      </c>
      <c r="K1300" s="29">
        <v>53217</v>
      </c>
    </row>
    <row r="1301" spans="10:11" x14ac:dyDescent="0.25">
      <c r="J1301" s="29" t="s">
        <v>4509</v>
      </c>
      <c r="K1301" s="29">
        <v>53217</v>
      </c>
    </row>
    <row r="1302" spans="10:11" x14ac:dyDescent="0.25">
      <c r="J1302" s="29" t="s">
        <v>4510</v>
      </c>
      <c r="K1302" s="29">
        <v>53217</v>
      </c>
    </row>
    <row r="1303" spans="10:11" x14ac:dyDescent="0.25">
      <c r="J1303" s="29" t="s">
        <v>4511</v>
      </c>
      <c r="K1303" s="29">
        <v>53217</v>
      </c>
    </row>
    <row r="1304" spans="10:11" x14ac:dyDescent="0.25">
      <c r="J1304" s="29" t="s">
        <v>4512</v>
      </c>
      <c r="K1304" s="29">
        <v>53217</v>
      </c>
    </row>
    <row r="1305" spans="10:11" x14ac:dyDescent="0.25">
      <c r="J1305" s="29" t="s">
        <v>4513</v>
      </c>
      <c r="K1305" s="29">
        <v>53217</v>
      </c>
    </row>
    <row r="1306" spans="10:11" x14ac:dyDescent="0.25">
      <c r="J1306" s="29" t="s">
        <v>4514</v>
      </c>
      <c r="K1306" s="29">
        <v>53115</v>
      </c>
    </row>
    <row r="1307" spans="10:11" x14ac:dyDescent="0.25">
      <c r="J1307" s="29" t="s">
        <v>4515</v>
      </c>
      <c r="K1307" s="29">
        <v>53115</v>
      </c>
    </row>
    <row r="1308" spans="10:11" x14ac:dyDescent="0.25">
      <c r="J1308" s="29" t="s">
        <v>4516</v>
      </c>
      <c r="K1308" s="29">
        <v>53115</v>
      </c>
    </row>
    <row r="1309" spans="10:11" x14ac:dyDescent="0.25">
      <c r="J1309" s="29" t="s">
        <v>4517</v>
      </c>
      <c r="K1309" s="29">
        <v>24477</v>
      </c>
    </row>
    <row r="1310" spans="10:11" x14ac:dyDescent="0.25">
      <c r="J1310" s="29" t="s">
        <v>4518</v>
      </c>
      <c r="K1310" s="29">
        <v>61277</v>
      </c>
    </row>
    <row r="1311" spans="10:11" x14ac:dyDescent="0.25">
      <c r="J1311" s="29" t="s">
        <v>4519</v>
      </c>
      <c r="K1311" s="29">
        <v>22543</v>
      </c>
    </row>
    <row r="1312" spans="10:11" x14ac:dyDescent="0.25">
      <c r="J1312" s="29" t="s">
        <v>4520</v>
      </c>
      <c r="K1312" s="29">
        <v>22543</v>
      </c>
    </row>
    <row r="1313" spans="10:11" x14ac:dyDescent="0.25">
      <c r="J1313" s="29" t="s">
        <v>4521</v>
      </c>
      <c r="K1313" s="29">
        <v>10110</v>
      </c>
    </row>
    <row r="1314" spans="10:11" x14ac:dyDescent="0.25">
      <c r="J1314" s="29" t="s">
        <v>4522</v>
      </c>
      <c r="K1314" s="29">
        <v>10110</v>
      </c>
    </row>
    <row r="1315" spans="10:11" x14ac:dyDescent="0.25">
      <c r="J1315" s="29" t="s">
        <v>4523</v>
      </c>
      <c r="K1315" s="29">
        <v>10110</v>
      </c>
    </row>
    <row r="1316" spans="10:11" x14ac:dyDescent="0.25">
      <c r="J1316" s="29" t="s">
        <v>4524</v>
      </c>
      <c r="K1316" s="29">
        <v>10110</v>
      </c>
    </row>
    <row r="1317" spans="10:11" x14ac:dyDescent="0.25">
      <c r="J1317" s="29" t="s">
        <v>4525</v>
      </c>
      <c r="K1317" s="29">
        <v>10110</v>
      </c>
    </row>
    <row r="1318" spans="10:11" x14ac:dyDescent="0.25">
      <c r="J1318" s="29" t="s">
        <v>4526</v>
      </c>
      <c r="K1318" s="29">
        <v>10110</v>
      </c>
    </row>
    <row r="1319" spans="10:11" x14ac:dyDescent="0.25">
      <c r="J1319" s="29" t="s">
        <v>4527</v>
      </c>
      <c r="K1319" s="29">
        <v>10110</v>
      </c>
    </row>
    <row r="1320" spans="10:11" x14ac:dyDescent="0.25">
      <c r="J1320" s="29" t="s">
        <v>4528</v>
      </c>
      <c r="K1320" s="29">
        <v>10110</v>
      </c>
    </row>
    <row r="1321" spans="10:11" x14ac:dyDescent="0.25">
      <c r="J1321" s="29" t="s">
        <v>4529</v>
      </c>
      <c r="K1321" s="29">
        <v>10110</v>
      </c>
    </row>
    <row r="1322" spans="10:11" x14ac:dyDescent="0.25">
      <c r="J1322" s="29" t="s">
        <v>4530</v>
      </c>
      <c r="K1322" s="29">
        <v>10110</v>
      </c>
    </row>
    <row r="1323" spans="10:11" x14ac:dyDescent="0.25">
      <c r="J1323" s="29" t="s">
        <v>4531</v>
      </c>
      <c r="K1323" s="29">
        <v>25251</v>
      </c>
    </row>
    <row r="1324" spans="10:11" x14ac:dyDescent="0.25">
      <c r="J1324" s="29" t="s">
        <v>4532</v>
      </c>
      <c r="K1324" s="29">
        <v>25251</v>
      </c>
    </row>
    <row r="1325" spans="10:11" x14ac:dyDescent="0.25">
      <c r="J1325" s="29" t="s">
        <v>4533</v>
      </c>
      <c r="K1325" s="29">
        <v>52116</v>
      </c>
    </row>
    <row r="1326" spans="10:11" x14ac:dyDescent="0.25">
      <c r="J1326" s="29" t="s">
        <v>4534</v>
      </c>
      <c r="K1326" s="29">
        <v>37333</v>
      </c>
    </row>
    <row r="1327" spans="10:11" x14ac:dyDescent="0.25">
      <c r="J1327" s="29" t="s">
        <v>4535</v>
      </c>
      <c r="K1327" s="29">
        <v>35427</v>
      </c>
    </row>
    <row r="1328" spans="10:11" x14ac:dyDescent="0.25">
      <c r="J1328" s="29" t="s">
        <v>4536</v>
      </c>
      <c r="K1328" s="29">
        <v>72143</v>
      </c>
    </row>
    <row r="1329" spans="10:11" x14ac:dyDescent="0.25">
      <c r="J1329" s="29" t="s">
        <v>4537</v>
      </c>
      <c r="K1329" s="29">
        <v>72143</v>
      </c>
    </row>
    <row r="1330" spans="10:11" x14ac:dyDescent="0.25">
      <c r="J1330" s="29" t="s">
        <v>4538</v>
      </c>
      <c r="K1330" s="29">
        <v>51377</v>
      </c>
    </row>
    <row r="1331" spans="10:11" x14ac:dyDescent="0.25">
      <c r="J1331" s="29" t="s">
        <v>4539</v>
      </c>
      <c r="K1331" s="29">
        <v>24371</v>
      </c>
    </row>
    <row r="1332" spans="10:11" x14ac:dyDescent="0.25">
      <c r="J1332" s="29" t="s">
        <v>4540</v>
      </c>
      <c r="K1332" s="29">
        <v>71226</v>
      </c>
    </row>
    <row r="1333" spans="10:11" x14ac:dyDescent="0.25">
      <c r="J1333" s="29" t="s">
        <v>4541</v>
      </c>
      <c r="K1333" s="29">
        <v>22423</v>
      </c>
    </row>
    <row r="1334" spans="10:11" x14ac:dyDescent="0.25">
      <c r="J1334" s="29" t="s">
        <v>4542</v>
      </c>
      <c r="K1334" s="29">
        <v>22423</v>
      </c>
    </row>
    <row r="1335" spans="10:11" x14ac:dyDescent="0.25">
      <c r="J1335" s="29" t="s">
        <v>4543</v>
      </c>
      <c r="K1335" s="29">
        <v>22423</v>
      </c>
    </row>
    <row r="1336" spans="10:11" x14ac:dyDescent="0.25">
      <c r="J1336" s="29" t="s">
        <v>4544</v>
      </c>
      <c r="K1336" s="29">
        <v>35435</v>
      </c>
    </row>
    <row r="1337" spans="10:11" x14ac:dyDescent="0.25">
      <c r="J1337" s="29" t="s">
        <v>4545</v>
      </c>
      <c r="K1337" s="29">
        <v>35187</v>
      </c>
    </row>
    <row r="1338" spans="10:11" x14ac:dyDescent="0.25">
      <c r="J1338" s="29" t="s">
        <v>4546</v>
      </c>
      <c r="K1338" s="29">
        <v>23469</v>
      </c>
    </row>
    <row r="1339" spans="10:11" x14ac:dyDescent="0.25">
      <c r="J1339" s="29" t="s">
        <v>4547</v>
      </c>
      <c r="K1339" s="29">
        <v>72151</v>
      </c>
    </row>
    <row r="1340" spans="10:11" x14ac:dyDescent="0.25">
      <c r="J1340" s="29" t="s">
        <v>4548</v>
      </c>
      <c r="K1340" s="29">
        <v>72151</v>
      </c>
    </row>
    <row r="1341" spans="10:11" x14ac:dyDescent="0.25">
      <c r="J1341" s="29" t="s">
        <v>4549</v>
      </c>
      <c r="K1341" s="29">
        <v>72151</v>
      </c>
    </row>
    <row r="1342" spans="10:11" x14ac:dyDescent="0.25">
      <c r="J1342" s="29" t="s">
        <v>4550</v>
      </c>
      <c r="K1342" s="29">
        <v>72151</v>
      </c>
    </row>
    <row r="1343" spans="10:11" x14ac:dyDescent="0.25">
      <c r="J1343" s="29" t="s">
        <v>4551</v>
      </c>
      <c r="K1343" s="29">
        <v>72151</v>
      </c>
    </row>
    <row r="1344" spans="10:11" x14ac:dyDescent="0.25">
      <c r="J1344" s="29" t="s">
        <v>4552</v>
      </c>
      <c r="K1344" s="29">
        <v>72151</v>
      </c>
    </row>
    <row r="1345" spans="10:11" x14ac:dyDescent="0.25">
      <c r="J1345" s="29" t="s">
        <v>4553</v>
      </c>
      <c r="K1345" s="29">
        <v>72224</v>
      </c>
    </row>
    <row r="1346" spans="10:11" x14ac:dyDescent="0.25">
      <c r="J1346" s="29" t="s">
        <v>4554</v>
      </c>
      <c r="K1346" s="29">
        <v>62242</v>
      </c>
    </row>
    <row r="1347" spans="10:11" x14ac:dyDescent="0.25">
      <c r="J1347" s="29" t="s">
        <v>4555</v>
      </c>
      <c r="K1347" s="29">
        <v>62242</v>
      </c>
    </row>
    <row r="1348" spans="10:11" x14ac:dyDescent="0.25">
      <c r="J1348" s="29" t="s">
        <v>4556</v>
      </c>
      <c r="K1348" s="29">
        <v>25211</v>
      </c>
    </row>
    <row r="1349" spans="10:11" x14ac:dyDescent="0.25">
      <c r="J1349" s="29" t="s">
        <v>4557</v>
      </c>
      <c r="K1349" s="29">
        <v>25211</v>
      </c>
    </row>
    <row r="1350" spans="10:11" x14ac:dyDescent="0.25">
      <c r="J1350" s="29" t="s">
        <v>4558</v>
      </c>
      <c r="K1350" s="29">
        <v>25211</v>
      </c>
    </row>
    <row r="1351" spans="10:11" x14ac:dyDescent="0.25">
      <c r="J1351" s="29" t="s">
        <v>4559</v>
      </c>
      <c r="K1351" s="29">
        <v>25211</v>
      </c>
    </row>
    <row r="1352" spans="10:11" x14ac:dyDescent="0.25">
      <c r="J1352" s="29" t="s">
        <v>4560</v>
      </c>
      <c r="K1352" s="29">
        <v>35191</v>
      </c>
    </row>
    <row r="1353" spans="10:11" x14ac:dyDescent="0.25">
      <c r="J1353" s="29" t="s">
        <v>4561</v>
      </c>
      <c r="K1353" s="29">
        <v>35191</v>
      </c>
    </row>
    <row r="1354" spans="10:11" x14ac:dyDescent="0.25">
      <c r="J1354" s="29" t="s">
        <v>4562</v>
      </c>
      <c r="K1354" s="29">
        <v>35191</v>
      </c>
    </row>
    <row r="1355" spans="10:11" x14ac:dyDescent="0.25">
      <c r="J1355" s="29" t="s">
        <v>4563</v>
      </c>
      <c r="K1355" s="29">
        <v>35191</v>
      </c>
    </row>
    <row r="1356" spans="10:11" x14ac:dyDescent="0.25">
      <c r="J1356" s="29" t="s">
        <v>4564</v>
      </c>
      <c r="K1356" s="29">
        <v>35191</v>
      </c>
    </row>
    <row r="1357" spans="10:11" x14ac:dyDescent="0.25">
      <c r="J1357" s="29" t="s">
        <v>4565</v>
      </c>
      <c r="K1357" s="29">
        <v>35191</v>
      </c>
    </row>
    <row r="1358" spans="10:11" x14ac:dyDescent="0.25">
      <c r="J1358" s="29" t="s">
        <v>4566</v>
      </c>
      <c r="K1358" s="29">
        <v>35191</v>
      </c>
    </row>
    <row r="1359" spans="10:11" x14ac:dyDescent="0.25">
      <c r="J1359" s="29" t="s">
        <v>4567</v>
      </c>
      <c r="K1359" s="29">
        <v>35191</v>
      </c>
    </row>
    <row r="1360" spans="10:11" x14ac:dyDescent="0.25">
      <c r="J1360" s="29" t="s">
        <v>4568</v>
      </c>
      <c r="K1360" s="29">
        <v>35191</v>
      </c>
    </row>
    <row r="1361" spans="10:11" x14ac:dyDescent="0.25">
      <c r="J1361" s="29" t="s">
        <v>4569</v>
      </c>
      <c r="K1361" s="29">
        <v>24311</v>
      </c>
    </row>
    <row r="1362" spans="10:11" x14ac:dyDescent="0.25">
      <c r="J1362" s="29" t="s">
        <v>4570</v>
      </c>
      <c r="K1362" s="29">
        <v>24311</v>
      </c>
    </row>
    <row r="1363" spans="10:11" x14ac:dyDescent="0.25">
      <c r="J1363" s="29" t="s">
        <v>4571</v>
      </c>
      <c r="K1363" s="29">
        <v>24311</v>
      </c>
    </row>
    <row r="1364" spans="10:11" x14ac:dyDescent="0.25">
      <c r="J1364" s="29" t="s">
        <v>4572</v>
      </c>
      <c r="K1364" s="29">
        <v>24311</v>
      </c>
    </row>
    <row r="1365" spans="10:11" x14ac:dyDescent="0.25">
      <c r="J1365" s="29" t="s">
        <v>4573</v>
      </c>
      <c r="K1365" s="29">
        <v>24311</v>
      </c>
    </row>
    <row r="1366" spans="10:11" x14ac:dyDescent="0.25">
      <c r="J1366" s="29" t="s">
        <v>4574</v>
      </c>
      <c r="K1366" s="29">
        <v>24311</v>
      </c>
    </row>
    <row r="1367" spans="10:11" x14ac:dyDescent="0.25">
      <c r="J1367" s="29" t="s">
        <v>4575</v>
      </c>
      <c r="K1367" s="29">
        <v>24311</v>
      </c>
    </row>
    <row r="1368" spans="10:11" x14ac:dyDescent="0.25">
      <c r="J1368" s="29" t="s">
        <v>4576</v>
      </c>
      <c r="K1368" s="29">
        <v>24311</v>
      </c>
    </row>
    <row r="1369" spans="10:11" x14ac:dyDescent="0.25">
      <c r="J1369" s="29" t="s">
        <v>4577</v>
      </c>
      <c r="K1369" s="29">
        <v>24311</v>
      </c>
    </row>
    <row r="1370" spans="10:11" x14ac:dyDescent="0.25">
      <c r="J1370" s="29" t="s">
        <v>4578</v>
      </c>
      <c r="K1370" s="29">
        <v>24311</v>
      </c>
    </row>
    <row r="1371" spans="10:11" x14ac:dyDescent="0.25">
      <c r="J1371" s="29" t="s">
        <v>4579</v>
      </c>
      <c r="K1371" s="29">
        <v>24311</v>
      </c>
    </row>
    <row r="1372" spans="10:11" x14ac:dyDescent="0.25">
      <c r="J1372" s="29" t="s">
        <v>4580</v>
      </c>
      <c r="K1372" s="29">
        <v>24311</v>
      </c>
    </row>
    <row r="1373" spans="10:11" x14ac:dyDescent="0.25">
      <c r="J1373" s="29" t="s">
        <v>4581</v>
      </c>
      <c r="K1373" s="29">
        <v>24311</v>
      </c>
    </row>
    <row r="1374" spans="10:11" x14ac:dyDescent="0.25">
      <c r="J1374" s="29" t="s">
        <v>4582</v>
      </c>
      <c r="K1374" s="29">
        <v>24311</v>
      </c>
    </row>
    <row r="1375" spans="10:11" x14ac:dyDescent="0.25">
      <c r="J1375" s="29" t="s">
        <v>4583</v>
      </c>
      <c r="K1375" s="29">
        <v>24311</v>
      </c>
    </row>
    <row r="1376" spans="10:11" x14ac:dyDescent="0.25">
      <c r="J1376" s="29" t="s">
        <v>4584</v>
      </c>
      <c r="K1376" s="29">
        <v>24311</v>
      </c>
    </row>
    <row r="1377" spans="10:11" x14ac:dyDescent="0.25">
      <c r="J1377" s="29" t="s">
        <v>4585</v>
      </c>
      <c r="K1377" s="29">
        <v>24365</v>
      </c>
    </row>
    <row r="1378" spans="10:11" x14ac:dyDescent="0.25">
      <c r="J1378" s="29" t="s">
        <v>4586</v>
      </c>
      <c r="K1378" s="29">
        <v>51323</v>
      </c>
    </row>
    <row r="1379" spans="10:11" x14ac:dyDescent="0.25">
      <c r="J1379" s="29" t="s">
        <v>4587</v>
      </c>
      <c r="K1379" s="29">
        <v>51323</v>
      </c>
    </row>
    <row r="1380" spans="10:11" x14ac:dyDescent="0.25">
      <c r="J1380" s="29" t="s">
        <v>4588</v>
      </c>
      <c r="K1380" s="29">
        <v>51323</v>
      </c>
    </row>
    <row r="1381" spans="10:11" x14ac:dyDescent="0.25">
      <c r="J1381" s="29" t="s">
        <v>4589</v>
      </c>
      <c r="K1381" s="29">
        <v>51323</v>
      </c>
    </row>
    <row r="1382" spans="10:11" x14ac:dyDescent="0.25">
      <c r="J1382" s="29" t="s">
        <v>4590</v>
      </c>
      <c r="K1382" s="29">
        <v>51323</v>
      </c>
    </row>
    <row r="1383" spans="10:11" x14ac:dyDescent="0.25">
      <c r="J1383" s="29" t="s">
        <v>4591</v>
      </c>
      <c r="K1383" s="29">
        <v>51323</v>
      </c>
    </row>
    <row r="1384" spans="10:11" x14ac:dyDescent="0.25">
      <c r="J1384" s="29" t="s">
        <v>4592</v>
      </c>
      <c r="K1384" s="29">
        <v>51323</v>
      </c>
    </row>
    <row r="1385" spans="10:11" x14ac:dyDescent="0.25">
      <c r="J1385" s="29" t="s">
        <v>4593</v>
      </c>
      <c r="K1385" s="29">
        <v>51323</v>
      </c>
    </row>
    <row r="1386" spans="10:11" x14ac:dyDescent="0.25">
      <c r="J1386" s="29" t="s">
        <v>4594</v>
      </c>
      <c r="K1386" s="29">
        <v>51323</v>
      </c>
    </row>
    <row r="1387" spans="10:11" x14ac:dyDescent="0.25">
      <c r="J1387" s="29" t="s">
        <v>4595</v>
      </c>
      <c r="K1387" s="29">
        <v>33133</v>
      </c>
    </row>
    <row r="1388" spans="10:11" x14ac:dyDescent="0.25">
      <c r="J1388" s="29" t="s">
        <v>4596</v>
      </c>
      <c r="K1388" s="29">
        <v>33133</v>
      </c>
    </row>
    <row r="1389" spans="10:11" x14ac:dyDescent="0.25">
      <c r="J1389" s="29" t="s">
        <v>4597</v>
      </c>
      <c r="K1389" s="29">
        <v>62316</v>
      </c>
    </row>
    <row r="1390" spans="10:11" x14ac:dyDescent="0.25">
      <c r="J1390" s="29" t="s">
        <v>4598</v>
      </c>
      <c r="K1390" s="29">
        <v>62316</v>
      </c>
    </row>
    <row r="1391" spans="10:11" x14ac:dyDescent="0.25">
      <c r="J1391" s="29" t="s">
        <v>4599</v>
      </c>
      <c r="K1391" s="29">
        <v>62316</v>
      </c>
    </row>
    <row r="1392" spans="10:11" x14ac:dyDescent="0.25">
      <c r="J1392" s="29" t="s">
        <v>4600</v>
      </c>
      <c r="K1392" s="29">
        <v>35265</v>
      </c>
    </row>
    <row r="1393" spans="10:11" x14ac:dyDescent="0.25">
      <c r="J1393" s="29" t="s">
        <v>4601</v>
      </c>
      <c r="K1393" s="29">
        <v>35265</v>
      </c>
    </row>
    <row r="1394" spans="10:11" x14ac:dyDescent="0.25">
      <c r="J1394" s="29" t="s">
        <v>4602</v>
      </c>
      <c r="K1394" s="29">
        <v>35265</v>
      </c>
    </row>
    <row r="1395" spans="10:11" x14ac:dyDescent="0.25">
      <c r="J1395" s="29" t="s">
        <v>4603</v>
      </c>
      <c r="K1395" s="29">
        <v>35265</v>
      </c>
    </row>
    <row r="1396" spans="10:11" x14ac:dyDescent="0.25">
      <c r="J1396" s="29" t="s">
        <v>4604</v>
      </c>
      <c r="K1396" s="29">
        <v>35449</v>
      </c>
    </row>
    <row r="1397" spans="10:11" x14ac:dyDescent="0.25">
      <c r="J1397" s="29" t="s">
        <v>4605</v>
      </c>
      <c r="K1397" s="29">
        <v>35449</v>
      </c>
    </row>
    <row r="1398" spans="10:11" x14ac:dyDescent="0.25">
      <c r="J1398" s="29" t="s">
        <v>4606</v>
      </c>
      <c r="K1398" s="29">
        <v>35512</v>
      </c>
    </row>
    <row r="1399" spans="10:11" x14ac:dyDescent="0.25">
      <c r="J1399" s="29" t="s">
        <v>4607</v>
      </c>
      <c r="K1399" s="29">
        <v>35512</v>
      </c>
    </row>
    <row r="1400" spans="10:11" x14ac:dyDescent="0.25">
      <c r="J1400" s="29" t="s">
        <v>4608</v>
      </c>
      <c r="K1400" s="29">
        <v>35512</v>
      </c>
    </row>
    <row r="1401" spans="10:11" x14ac:dyDescent="0.25">
      <c r="J1401" s="29" t="s">
        <v>4609</v>
      </c>
      <c r="K1401" s="29">
        <v>35512</v>
      </c>
    </row>
    <row r="1402" spans="10:11" x14ac:dyDescent="0.25">
      <c r="J1402" s="29" t="s">
        <v>4610</v>
      </c>
      <c r="K1402" s="29">
        <v>35512</v>
      </c>
    </row>
    <row r="1403" spans="10:11" x14ac:dyDescent="0.25">
      <c r="J1403" s="29" t="s">
        <v>4611</v>
      </c>
      <c r="K1403" s="29">
        <v>35512</v>
      </c>
    </row>
    <row r="1404" spans="10:11" x14ac:dyDescent="0.25">
      <c r="J1404" s="29" t="s">
        <v>4612</v>
      </c>
      <c r="K1404" s="29">
        <v>35512</v>
      </c>
    </row>
    <row r="1405" spans="10:11" x14ac:dyDescent="0.25">
      <c r="J1405" s="29" t="s">
        <v>4613</v>
      </c>
      <c r="K1405" s="29">
        <v>35512</v>
      </c>
    </row>
    <row r="1406" spans="10:11" x14ac:dyDescent="0.25">
      <c r="J1406" s="29" t="s">
        <v>4614</v>
      </c>
      <c r="K1406" s="29">
        <v>35512</v>
      </c>
    </row>
    <row r="1407" spans="10:11" x14ac:dyDescent="0.25">
      <c r="J1407" s="29" t="s">
        <v>4615</v>
      </c>
      <c r="K1407" s="29">
        <v>35512</v>
      </c>
    </row>
    <row r="1408" spans="10:11" x14ac:dyDescent="0.25">
      <c r="J1408" s="29" t="s">
        <v>4616</v>
      </c>
      <c r="K1408" s="29">
        <v>35512</v>
      </c>
    </row>
    <row r="1409" spans="10:11" x14ac:dyDescent="0.25">
      <c r="J1409" s="29" t="s">
        <v>4617</v>
      </c>
      <c r="K1409" s="29">
        <v>35512</v>
      </c>
    </row>
    <row r="1410" spans="10:11" x14ac:dyDescent="0.25">
      <c r="J1410" s="29" t="s">
        <v>4618</v>
      </c>
      <c r="K1410" s="29">
        <v>26141</v>
      </c>
    </row>
    <row r="1411" spans="10:11" x14ac:dyDescent="0.25">
      <c r="J1411" s="29" t="s">
        <v>4619</v>
      </c>
      <c r="K1411" s="29">
        <v>26141</v>
      </c>
    </row>
    <row r="1412" spans="10:11" x14ac:dyDescent="0.25">
      <c r="J1412" s="29" t="s">
        <v>4620</v>
      </c>
      <c r="K1412" s="29">
        <v>26141</v>
      </c>
    </row>
    <row r="1413" spans="10:11" x14ac:dyDescent="0.25">
      <c r="J1413" s="29" t="s">
        <v>4621</v>
      </c>
      <c r="K1413" s="29">
        <v>35421</v>
      </c>
    </row>
    <row r="1414" spans="10:11" x14ac:dyDescent="0.25">
      <c r="J1414" s="29" t="s">
        <v>4622</v>
      </c>
      <c r="K1414" s="29">
        <v>35421</v>
      </c>
    </row>
    <row r="1415" spans="10:11" x14ac:dyDescent="0.25">
      <c r="J1415" s="29" t="s">
        <v>4623</v>
      </c>
      <c r="K1415" s="29">
        <v>52161</v>
      </c>
    </row>
    <row r="1416" spans="10:11" x14ac:dyDescent="0.25">
      <c r="J1416" s="29" t="s">
        <v>4624</v>
      </c>
      <c r="K1416" s="29">
        <v>35498</v>
      </c>
    </row>
    <row r="1417" spans="10:11" x14ac:dyDescent="0.25">
      <c r="J1417" s="29" t="s">
        <v>4625</v>
      </c>
      <c r="K1417" s="29">
        <v>35498</v>
      </c>
    </row>
    <row r="1418" spans="10:11" x14ac:dyDescent="0.25">
      <c r="J1418" s="29" t="s">
        <v>4626</v>
      </c>
      <c r="K1418" s="29">
        <v>51281</v>
      </c>
    </row>
    <row r="1419" spans="10:11" x14ac:dyDescent="0.25">
      <c r="J1419" s="29" t="s">
        <v>4627</v>
      </c>
      <c r="K1419" s="29">
        <v>51281</v>
      </c>
    </row>
    <row r="1420" spans="10:11" x14ac:dyDescent="0.25">
      <c r="J1420" s="29" t="s">
        <v>4628</v>
      </c>
      <c r="K1420" s="29">
        <v>51281</v>
      </c>
    </row>
    <row r="1421" spans="10:11" x14ac:dyDescent="0.25">
      <c r="J1421" s="29" t="s">
        <v>4629</v>
      </c>
      <c r="K1421" s="29">
        <v>51281</v>
      </c>
    </row>
    <row r="1422" spans="10:11" x14ac:dyDescent="0.25">
      <c r="J1422" s="29" t="s">
        <v>4630</v>
      </c>
      <c r="K1422" s="29">
        <v>51281</v>
      </c>
    </row>
    <row r="1423" spans="10:11" x14ac:dyDescent="0.25">
      <c r="J1423" s="29" t="s">
        <v>4631</v>
      </c>
      <c r="K1423" s="29">
        <v>23239</v>
      </c>
    </row>
    <row r="1424" spans="10:11" x14ac:dyDescent="0.25">
      <c r="J1424" s="29" t="s">
        <v>4632</v>
      </c>
      <c r="K1424" s="29">
        <v>23239</v>
      </c>
    </row>
    <row r="1425" spans="10:11" x14ac:dyDescent="0.25">
      <c r="J1425" s="29" t="s">
        <v>4633</v>
      </c>
      <c r="K1425" s="29">
        <v>23239</v>
      </c>
    </row>
    <row r="1426" spans="10:11" x14ac:dyDescent="0.25">
      <c r="J1426" s="29" t="s">
        <v>4634</v>
      </c>
      <c r="K1426" s="29">
        <v>23239</v>
      </c>
    </row>
    <row r="1427" spans="10:11" x14ac:dyDescent="0.25">
      <c r="J1427" s="29" t="s">
        <v>4635</v>
      </c>
      <c r="K1427" s="29">
        <v>61489</v>
      </c>
    </row>
    <row r="1428" spans="10:11" x14ac:dyDescent="0.25">
      <c r="J1428" s="29" t="s">
        <v>4636</v>
      </c>
      <c r="K1428" s="29">
        <v>25171</v>
      </c>
    </row>
    <row r="1429" spans="10:11" x14ac:dyDescent="0.25">
      <c r="J1429" s="29" t="s">
        <v>4637</v>
      </c>
      <c r="K1429" s="29">
        <v>26371</v>
      </c>
    </row>
    <row r="1430" spans="10:11" x14ac:dyDescent="0.25">
      <c r="J1430" s="29" t="s">
        <v>4638</v>
      </c>
      <c r="K1430" s="29">
        <v>71256</v>
      </c>
    </row>
    <row r="1431" spans="10:11" x14ac:dyDescent="0.25">
      <c r="J1431" s="29" t="s">
        <v>4639</v>
      </c>
      <c r="K1431" s="29">
        <v>71256</v>
      </c>
    </row>
    <row r="1432" spans="10:11" x14ac:dyDescent="0.25">
      <c r="J1432" s="29" t="s">
        <v>4640</v>
      </c>
      <c r="K1432" s="29">
        <v>61483</v>
      </c>
    </row>
    <row r="1433" spans="10:11" x14ac:dyDescent="0.25">
      <c r="J1433" s="29" t="s">
        <v>4641</v>
      </c>
      <c r="K1433" s="29">
        <v>21371</v>
      </c>
    </row>
    <row r="1434" spans="10:11" x14ac:dyDescent="0.25">
      <c r="J1434" s="29" t="s">
        <v>3537</v>
      </c>
      <c r="K1434" s="29">
        <v>24211</v>
      </c>
    </row>
    <row r="1435" spans="10:11" x14ac:dyDescent="0.25">
      <c r="J1435" s="29" t="s">
        <v>4642</v>
      </c>
      <c r="K1435" s="29">
        <v>24211</v>
      </c>
    </row>
    <row r="1436" spans="10:11" x14ac:dyDescent="0.25">
      <c r="J1436" s="29" t="s">
        <v>4643</v>
      </c>
      <c r="K1436" s="29">
        <v>24211</v>
      </c>
    </row>
    <row r="1437" spans="10:11" x14ac:dyDescent="0.25">
      <c r="J1437" s="29" t="s">
        <v>4644</v>
      </c>
      <c r="K1437" s="29">
        <v>24211</v>
      </c>
    </row>
    <row r="1438" spans="10:11" x14ac:dyDescent="0.25">
      <c r="J1438" s="29" t="s">
        <v>4645</v>
      </c>
      <c r="K1438" s="29">
        <v>24211</v>
      </c>
    </row>
    <row r="1439" spans="10:11" x14ac:dyDescent="0.25">
      <c r="J1439" s="29" t="s">
        <v>4646</v>
      </c>
      <c r="K1439" s="29">
        <v>24211</v>
      </c>
    </row>
    <row r="1440" spans="10:11" x14ac:dyDescent="0.25">
      <c r="J1440" s="29" t="s">
        <v>4647</v>
      </c>
      <c r="K1440" s="29">
        <v>24211</v>
      </c>
    </row>
    <row r="1441" spans="10:11" x14ac:dyDescent="0.25">
      <c r="J1441" s="29" t="s">
        <v>4648</v>
      </c>
      <c r="K1441" s="29">
        <v>24211</v>
      </c>
    </row>
    <row r="1442" spans="10:11" x14ac:dyDescent="0.25">
      <c r="J1442" s="29" t="s">
        <v>4649</v>
      </c>
      <c r="K1442" s="29">
        <v>33113</v>
      </c>
    </row>
    <row r="1443" spans="10:11" x14ac:dyDescent="0.25">
      <c r="J1443" s="29" t="s">
        <v>4650</v>
      </c>
      <c r="K1443" s="29">
        <v>33113</v>
      </c>
    </row>
    <row r="1444" spans="10:11" x14ac:dyDescent="0.25">
      <c r="J1444" s="29" t="s">
        <v>4651</v>
      </c>
      <c r="K1444" s="29">
        <v>35273</v>
      </c>
    </row>
    <row r="1445" spans="10:11" x14ac:dyDescent="0.25">
      <c r="J1445" s="29" t="s">
        <v>4652</v>
      </c>
      <c r="K1445" s="29">
        <v>35141</v>
      </c>
    </row>
    <row r="1446" spans="10:11" x14ac:dyDescent="0.25">
      <c r="J1446" s="29" t="s">
        <v>4653</v>
      </c>
      <c r="K1446" s="29">
        <v>35141</v>
      </c>
    </row>
    <row r="1447" spans="10:11" x14ac:dyDescent="0.25">
      <c r="J1447" s="29" t="s">
        <v>4654</v>
      </c>
      <c r="K1447" s="29">
        <v>53231</v>
      </c>
    </row>
    <row r="1448" spans="10:11" x14ac:dyDescent="0.25">
      <c r="J1448" s="29" t="s">
        <v>4655</v>
      </c>
      <c r="K1448" s="29">
        <v>53231</v>
      </c>
    </row>
    <row r="1449" spans="10:11" x14ac:dyDescent="0.25">
      <c r="J1449" s="29" t="s">
        <v>4656</v>
      </c>
      <c r="K1449" s="29">
        <v>53231</v>
      </c>
    </row>
    <row r="1450" spans="10:11" x14ac:dyDescent="0.25">
      <c r="J1450" s="29" t="s">
        <v>4657</v>
      </c>
      <c r="K1450" s="29">
        <v>53231</v>
      </c>
    </row>
    <row r="1451" spans="10:11" x14ac:dyDescent="0.25">
      <c r="J1451" s="29" t="s">
        <v>4658</v>
      </c>
      <c r="K1451" s="29">
        <v>53231</v>
      </c>
    </row>
    <row r="1452" spans="10:11" x14ac:dyDescent="0.25">
      <c r="J1452" s="29" t="s">
        <v>4659</v>
      </c>
      <c r="K1452" s="29">
        <v>53231</v>
      </c>
    </row>
    <row r="1453" spans="10:11" x14ac:dyDescent="0.25">
      <c r="J1453" s="29" t="s">
        <v>4660</v>
      </c>
      <c r="K1453" s="29">
        <v>53231</v>
      </c>
    </row>
    <row r="1454" spans="10:11" x14ac:dyDescent="0.25">
      <c r="J1454" s="29" t="s">
        <v>4661</v>
      </c>
      <c r="K1454" s="29">
        <v>53231</v>
      </c>
    </row>
    <row r="1455" spans="10:11" x14ac:dyDescent="0.25">
      <c r="J1455" s="29" t="s">
        <v>4662</v>
      </c>
      <c r="K1455" s="29">
        <v>53231</v>
      </c>
    </row>
    <row r="1456" spans="10:11" x14ac:dyDescent="0.25">
      <c r="J1456" s="29" t="s">
        <v>4663</v>
      </c>
      <c r="K1456" s="29">
        <v>53231</v>
      </c>
    </row>
    <row r="1457" spans="10:11" x14ac:dyDescent="0.25">
      <c r="J1457" s="29" t="s">
        <v>4664</v>
      </c>
      <c r="K1457" s="29">
        <v>37313</v>
      </c>
    </row>
    <row r="1458" spans="10:11" x14ac:dyDescent="0.25">
      <c r="J1458" s="29" t="s">
        <v>4665</v>
      </c>
      <c r="K1458" s="29">
        <v>37313</v>
      </c>
    </row>
    <row r="1459" spans="10:11" x14ac:dyDescent="0.25">
      <c r="J1459" s="29" t="s">
        <v>4666</v>
      </c>
      <c r="K1459" s="29">
        <v>37313</v>
      </c>
    </row>
    <row r="1460" spans="10:11" x14ac:dyDescent="0.25">
      <c r="J1460" s="29" t="s">
        <v>4667</v>
      </c>
      <c r="K1460" s="29">
        <v>37313</v>
      </c>
    </row>
    <row r="1461" spans="10:11" x14ac:dyDescent="0.25">
      <c r="J1461" s="29" t="s">
        <v>4668</v>
      </c>
      <c r="K1461" s="29">
        <v>37313</v>
      </c>
    </row>
    <row r="1462" spans="10:11" x14ac:dyDescent="0.25">
      <c r="J1462" s="29" t="s">
        <v>4669</v>
      </c>
      <c r="K1462" s="29">
        <v>37313</v>
      </c>
    </row>
    <row r="1463" spans="10:11" x14ac:dyDescent="0.25">
      <c r="J1463" s="29" t="s">
        <v>4670</v>
      </c>
      <c r="K1463" s="29">
        <v>22555</v>
      </c>
    </row>
    <row r="1464" spans="10:11" x14ac:dyDescent="0.25">
      <c r="J1464" s="29" t="s">
        <v>4671</v>
      </c>
      <c r="K1464" s="29">
        <v>23544</v>
      </c>
    </row>
    <row r="1465" spans="10:11" x14ac:dyDescent="0.25">
      <c r="J1465" s="29" t="s">
        <v>4672</v>
      </c>
      <c r="K1465" s="29">
        <v>55117</v>
      </c>
    </row>
    <row r="1466" spans="10:11" x14ac:dyDescent="0.25">
      <c r="J1466" s="29" t="s">
        <v>4673</v>
      </c>
      <c r="K1466" s="29">
        <v>72119</v>
      </c>
    </row>
    <row r="1467" spans="10:11" x14ac:dyDescent="0.25">
      <c r="J1467" s="29" t="s">
        <v>4674</v>
      </c>
      <c r="K1467" s="29">
        <v>72119</v>
      </c>
    </row>
    <row r="1468" spans="10:11" x14ac:dyDescent="0.25">
      <c r="J1468" s="29" t="s">
        <v>4675</v>
      </c>
      <c r="K1468" s="29">
        <v>72119</v>
      </c>
    </row>
    <row r="1469" spans="10:11" x14ac:dyDescent="0.25">
      <c r="J1469" s="29" t="s">
        <v>4676</v>
      </c>
      <c r="K1469" s="29">
        <v>72119</v>
      </c>
    </row>
    <row r="1470" spans="10:11" x14ac:dyDescent="0.25">
      <c r="J1470" s="29" t="s">
        <v>4677</v>
      </c>
      <c r="K1470" s="29">
        <v>72183</v>
      </c>
    </row>
    <row r="1471" spans="10:11" x14ac:dyDescent="0.25">
      <c r="J1471" s="29" t="s">
        <v>4678</v>
      </c>
      <c r="K1471" s="29">
        <v>72183</v>
      </c>
    </row>
    <row r="1472" spans="10:11" x14ac:dyDescent="0.25">
      <c r="J1472" s="29" t="s">
        <v>4679</v>
      </c>
      <c r="K1472" s="29">
        <v>72183</v>
      </c>
    </row>
    <row r="1473" spans="10:11" x14ac:dyDescent="0.25">
      <c r="J1473" s="29" t="s">
        <v>4680</v>
      </c>
      <c r="K1473" s="29">
        <v>72183</v>
      </c>
    </row>
    <row r="1474" spans="10:11" x14ac:dyDescent="0.25">
      <c r="J1474" s="29" t="s">
        <v>4681</v>
      </c>
      <c r="K1474" s="29">
        <v>72183</v>
      </c>
    </row>
    <row r="1475" spans="10:11" x14ac:dyDescent="0.25">
      <c r="J1475" s="29" t="s">
        <v>4682</v>
      </c>
      <c r="K1475" s="29">
        <v>72183</v>
      </c>
    </row>
    <row r="1476" spans="10:11" x14ac:dyDescent="0.25">
      <c r="J1476" s="29" t="s">
        <v>4683</v>
      </c>
      <c r="K1476" s="29">
        <v>55194</v>
      </c>
    </row>
    <row r="1477" spans="10:11" x14ac:dyDescent="0.25">
      <c r="J1477" s="29" t="s">
        <v>4684</v>
      </c>
      <c r="K1477" s="29">
        <v>52121</v>
      </c>
    </row>
    <row r="1478" spans="10:11" x14ac:dyDescent="0.25">
      <c r="J1478" s="29" t="s">
        <v>4685</v>
      </c>
      <c r="K1478" s="29">
        <v>52121</v>
      </c>
    </row>
    <row r="1479" spans="10:11" x14ac:dyDescent="0.25">
      <c r="J1479" s="29" t="s">
        <v>4686</v>
      </c>
      <c r="K1479" s="29">
        <v>62217</v>
      </c>
    </row>
    <row r="1480" spans="10:11" x14ac:dyDescent="0.25">
      <c r="J1480" s="29" t="s">
        <v>4687</v>
      </c>
      <c r="K1480" s="29">
        <v>62217</v>
      </c>
    </row>
    <row r="1481" spans="10:11" x14ac:dyDescent="0.25">
      <c r="J1481" s="29" t="s">
        <v>4688</v>
      </c>
      <c r="K1481" s="29">
        <v>62217</v>
      </c>
    </row>
    <row r="1482" spans="10:11" x14ac:dyDescent="0.25">
      <c r="J1482" s="29" t="s">
        <v>4689</v>
      </c>
      <c r="K1482" s="29">
        <v>37361</v>
      </c>
    </row>
    <row r="1483" spans="10:11" x14ac:dyDescent="0.25">
      <c r="J1483" s="29" t="s">
        <v>4690</v>
      </c>
      <c r="K1483" s="29">
        <v>37361</v>
      </c>
    </row>
    <row r="1484" spans="10:11" x14ac:dyDescent="0.25">
      <c r="J1484" s="29" t="s">
        <v>4691</v>
      </c>
      <c r="K1484" s="29">
        <v>51163</v>
      </c>
    </row>
    <row r="1485" spans="10:11" x14ac:dyDescent="0.25">
      <c r="J1485" s="29" t="s">
        <v>4692</v>
      </c>
      <c r="K1485" s="29">
        <v>51163</v>
      </c>
    </row>
    <row r="1486" spans="10:11" x14ac:dyDescent="0.25">
      <c r="J1486" s="29" t="s">
        <v>4693</v>
      </c>
      <c r="K1486" s="29">
        <v>10650</v>
      </c>
    </row>
    <row r="1487" spans="10:11" x14ac:dyDescent="0.25">
      <c r="J1487" s="29" t="s">
        <v>4694</v>
      </c>
      <c r="K1487" s="29">
        <v>10650</v>
      </c>
    </row>
    <row r="1488" spans="10:11" x14ac:dyDescent="0.25">
      <c r="J1488" s="29" t="s">
        <v>4695</v>
      </c>
      <c r="K1488" s="29">
        <v>10650</v>
      </c>
    </row>
    <row r="1489" spans="10:11" x14ac:dyDescent="0.25">
      <c r="J1489" s="29" t="s">
        <v>4696</v>
      </c>
      <c r="K1489" s="29">
        <v>10650</v>
      </c>
    </row>
    <row r="1490" spans="10:11" x14ac:dyDescent="0.25">
      <c r="J1490" s="29" t="s">
        <v>3837</v>
      </c>
      <c r="K1490" s="29">
        <v>10650</v>
      </c>
    </row>
    <row r="1491" spans="10:11" x14ac:dyDescent="0.25">
      <c r="J1491" s="29" t="s">
        <v>4697</v>
      </c>
      <c r="K1491" s="29">
        <v>10650</v>
      </c>
    </row>
    <row r="1492" spans="10:11" x14ac:dyDescent="0.25">
      <c r="J1492" s="29" t="s">
        <v>4698</v>
      </c>
      <c r="K1492" s="29">
        <v>10650</v>
      </c>
    </row>
    <row r="1493" spans="10:11" x14ac:dyDescent="0.25">
      <c r="J1493" s="29" t="s">
        <v>4699</v>
      </c>
      <c r="K1493" s="29">
        <v>10650</v>
      </c>
    </row>
    <row r="1494" spans="10:11" x14ac:dyDescent="0.25">
      <c r="J1494" s="29" t="s">
        <v>4700</v>
      </c>
      <c r="K1494" s="29">
        <v>10650</v>
      </c>
    </row>
    <row r="1495" spans="10:11" x14ac:dyDescent="0.25">
      <c r="J1495" s="29" t="s">
        <v>4701</v>
      </c>
      <c r="K1495" s="29">
        <v>10650</v>
      </c>
    </row>
    <row r="1496" spans="10:11" x14ac:dyDescent="0.25">
      <c r="J1496" s="29" t="s">
        <v>4702</v>
      </c>
      <c r="K1496" s="29">
        <v>10650</v>
      </c>
    </row>
    <row r="1497" spans="10:11" x14ac:dyDescent="0.25">
      <c r="J1497" s="29" t="s">
        <v>4703</v>
      </c>
      <c r="K1497" s="29">
        <v>10650</v>
      </c>
    </row>
    <row r="1498" spans="10:11" x14ac:dyDescent="0.25">
      <c r="J1498" s="29" t="s">
        <v>4704</v>
      </c>
      <c r="K1498" s="29">
        <v>10650</v>
      </c>
    </row>
    <row r="1499" spans="10:11" x14ac:dyDescent="0.25">
      <c r="J1499" s="29" t="s">
        <v>4705</v>
      </c>
      <c r="K1499" s="29">
        <v>10650</v>
      </c>
    </row>
    <row r="1500" spans="10:11" x14ac:dyDescent="0.25">
      <c r="J1500" s="29" t="s">
        <v>4706</v>
      </c>
      <c r="K1500" s="29">
        <v>10650</v>
      </c>
    </row>
    <row r="1501" spans="10:11" x14ac:dyDescent="0.25">
      <c r="J1501" s="29" t="s">
        <v>4707</v>
      </c>
      <c r="K1501" s="29">
        <v>10650</v>
      </c>
    </row>
    <row r="1502" spans="10:11" x14ac:dyDescent="0.25">
      <c r="J1502" s="29" t="s">
        <v>4708</v>
      </c>
      <c r="K1502" s="29">
        <v>10650</v>
      </c>
    </row>
    <row r="1503" spans="10:11" x14ac:dyDescent="0.25">
      <c r="J1503" s="29" t="s">
        <v>4709</v>
      </c>
      <c r="K1503" s="29">
        <v>10650</v>
      </c>
    </row>
    <row r="1504" spans="10:11" x14ac:dyDescent="0.25">
      <c r="J1504" s="29" t="s">
        <v>4710</v>
      </c>
      <c r="K1504" s="29">
        <v>10650</v>
      </c>
    </row>
    <row r="1505" spans="10:11" x14ac:dyDescent="0.25">
      <c r="J1505" s="29" t="s">
        <v>4711</v>
      </c>
      <c r="K1505" s="29">
        <v>10650</v>
      </c>
    </row>
    <row r="1506" spans="10:11" x14ac:dyDescent="0.25">
      <c r="J1506" s="29" t="s">
        <v>4712</v>
      </c>
      <c r="K1506" s="29">
        <v>25156</v>
      </c>
    </row>
    <row r="1507" spans="10:11" x14ac:dyDescent="0.25">
      <c r="J1507" s="29" t="s">
        <v>4713</v>
      </c>
      <c r="K1507" s="29">
        <v>26239</v>
      </c>
    </row>
    <row r="1508" spans="10:11" x14ac:dyDescent="0.25">
      <c r="J1508" s="29" t="s">
        <v>4714</v>
      </c>
      <c r="K1508" s="29">
        <v>25271</v>
      </c>
    </row>
    <row r="1509" spans="10:11" x14ac:dyDescent="0.25">
      <c r="J1509" s="29" t="s">
        <v>4715</v>
      </c>
      <c r="K1509" s="29">
        <v>25271</v>
      </c>
    </row>
    <row r="1510" spans="10:11" x14ac:dyDescent="0.25">
      <c r="J1510" s="29" t="s">
        <v>4716</v>
      </c>
      <c r="K1510" s="29">
        <v>32111</v>
      </c>
    </row>
    <row r="1511" spans="10:11" x14ac:dyDescent="0.25">
      <c r="J1511" s="29" t="s">
        <v>4717</v>
      </c>
      <c r="K1511" s="29">
        <v>32111</v>
      </c>
    </row>
    <row r="1512" spans="10:11" x14ac:dyDescent="0.25">
      <c r="J1512" s="29" t="s">
        <v>4718</v>
      </c>
      <c r="K1512" s="29">
        <v>32111</v>
      </c>
    </row>
    <row r="1513" spans="10:11" x14ac:dyDescent="0.25">
      <c r="J1513" s="29" t="s">
        <v>4719</v>
      </c>
      <c r="K1513" s="29">
        <v>32111</v>
      </c>
    </row>
    <row r="1514" spans="10:11" x14ac:dyDescent="0.25">
      <c r="J1514" s="29" t="s">
        <v>4720</v>
      </c>
      <c r="K1514" s="29">
        <v>71361</v>
      </c>
    </row>
    <row r="1515" spans="10:11" x14ac:dyDescent="0.25">
      <c r="J1515" s="29" t="s">
        <v>4721</v>
      </c>
      <c r="K1515" s="29">
        <v>71361</v>
      </c>
    </row>
    <row r="1516" spans="10:11" x14ac:dyDescent="0.25">
      <c r="J1516" s="29" t="s">
        <v>4722</v>
      </c>
      <c r="K1516" s="29">
        <v>71361</v>
      </c>
    </row>
    <row r="1517" spans="10:11" x14ac:dyDescent="0.25">
      <c r="J1517" s="29" t="s">
        <v>4723</v>
      </c>
      <c r="K1517" s="29">
        <v>71361</v>
      </c>
    </row>
    <row r="1518" spans="10:11" x14ac:dyDescent="0.25">
      <c r="J1518" s="29" t="s">
        <v>4724</v>
      </c>
      <c r="K1518" s="29">
        <v>71361</v>
      </c>
    </row>
    <row r="1519" spans="10:11" x14ac:dyDescent="0.25">
      <c r="J1519" s="29" t="s">
        <v>4725</v>
      </c>
      <c r="K1519" s="29">
        <v>22311</v>
      </c>
    </row>
    <row r="1520" spans="10:11" x14ac:dyDescent="0.25">
      <c r="J1520" s="29" t="s">
        <v>4726</v>
      </c>
      <c r="K1520" s="29">
        <v>22311</v>
      </c>
    </row>
    <row r="1521" spans="10:11" x14ac:dyDescent="0.25">
      <c r="J1521" s="29" t="s">
        <v>4727</v>
      </c>
      <c r="K1521" s="29">
        <v>33123</v>
      </c>
    </row>
    <row r="1522" spans="10:11" x14ac:dyDescent="0.25">
      <c r="J1522" s="29" t="s">
        <v>4728</v>
      </c>
      <c r="K1522" s="29">
        <v>33123</v>
      </c>
    </row>
    <row r="1523" spans="10:11" x14ac:dyDescent="0.25">
      <c r="J1523" s="29" t="s">
        <v>4729</v>
      </c>
      <c r="K1523" s="29">
        <v>33123</v>
      </c>
    </row>
    <row r="1524" spans="10:11" x14ac:dyDescent="0.25">
      <c r="J1524" s="29" t="s">
        <v>4730</v>
      </c>
      <c r="K1524" s="29">
        <v>33123</v>
      </c>
    </row>
    <row r="1525" spans="10:11" x14ac:dyDescent="0.25">
      <c r="J1525" s="29" t="s">
        <v>4731</v>
      </c>
      <c r="K1525" s="29">
        <v>33123</v>
      </c>
    </row>
    <row r="1526" spans="10:11" x14ac:dyDescent="0.25">
      <c r="J1526" s="29" t="s">
        <v>4732</v>
      </c>
      <c r="K1526" s="29">
        <v>71377</v>
      </c>
    </row>
    <row r="1527" spans="10:11" x14ac:dyDescent="0.25">
      <c r="J1527" s="29" t="s">
        <v>4733</v>
      </c>
      <c r="K1527" s="29">
        <v>21471</v>
      </c>
    </row>
    <row r="1528" spans="10:11" x14ac:dyDescent="0.25">
      <c r="J1528" s="29" t="s">
        <v>4734</v>
      </c>
      <c r="K1528" s="29">
        <v>61417</v>
      </c>
    </row>
    <row r="1529" spans="10:11" x14ac:dyDescent="0.25">
      <c r="J1529" s="29" t="s">
        <v>4735</v>
      </c>
      <c r="K1529" s="29">
        <v>61417</v>
      </c>
    </row>
    <row r="1530" spans="10:11" x14ac:dyDescent="0.25">
      <c r="J1530" s="29" t="s">
        <v>4736</v>
      </c>
      <c r="K1530" s="29">
        <v>61417</v>
      </c>
    </row>
    <row r="1531" spans="10:11" x14ac:dyDescent="0.25">
      <c r="J1531" s="29" t="s">
        <v>4737</v>
      </c>
      <c r="K1531" s="29">
        <v>61417</v>
      </c>
    </row>
    <row r="1532" spans="10:11" x14ac:dyDescent="0.25">
      <c r="J1532" s="29" t="s">
        <v>4738</v>
      </c>
      <c r="K1532" s="29">
        <v>34263</v>
      </c>
    </row>
    <row r="1533" spans="10:11" x14ac:dyDescent="0.25">
      <c r="J1533" s="29" t="s">
        <v>4739</v>
      </c>
      <c r="K1533" s="29">
        <v>21211</v>
      </c>
    </row>
    <row r="1534" spans="10:11" x14ac:dyDescent="0.25">
      <c r="J1534" s="29" t="s">
        <v>4740</v>
      </c>
      <c r="K1534" s="29">
        <v>21211</v>
      </c>
    </row>
    <row r="1535" spans="10:11" x14ac:dyDescent="0.25">
      <c r="J1535" s="29" t="s">
        <v>4741</v>
      </c>
      <c r="K1535" s="29">
        <v>21211</v>
      </c>
    </row>
    <row r="1536" spans="10:11" x14ac:dyDescent="0.25">
      <c r="J1536" s="29" t="s">
        <v>4742</v>
      </c>
      <c r="K1536" s="29">
        <v>21211</v>
      </c>
    </row>
    <row r="1537" spans="10:11" x14ac:dyDescent="0.25">
      <c r="J1537" s="29" t="s">
        <v>4743</v>
      </c>
      <c r="K1537" s="29">
        <v>21211</v>
      </c>
    </row>
    <row r="1538" spans="10:11" x14ac:dyDescent="0.25">
      <c r="J1538" s="29" t="s">
        <v>4744</v>
      </c>
      <c r="K1538" s="29">
        <v>21211</v>
      </c>
    </row>
    <row r="1539" spans="10:11" x14ac:dyDescent="0.25">
      <c r="J1539" s="29" t="s">
        <v>4745</v>
      </c>
      <c r="K1539" s="29">
        <v>21211</v>
      </c>
    </row>
    <row r="1540" spans="10:11" x14ac:dyDescent="0.25">
      <c r="J1540" s="29" t="s">
        <v>4746</v>
      </c>
      <c r="K1540" s="29">
        <v>21211</v>
      </c>
    </row>
    <row r="1541" spans="10:11" x14ac:dyDescent="0.25">
      <c r="J1541" s="29" t="s">
        <v>4747</v>
      </c>
      <c r="K1541" s="29">
        <v>21211</v>
      </c>
    </row>
    <row r="1542" spans="10:11" x14ac:dyDescent="0.25">
      <c r="J1542" s="29" t="s">
        <v>4748</v>
      </c>
      <c r="K1542" s="29">
        <v>21211</v>
      </c>
    </row>
    <row r="1543" spans="10:11" x14ac:dyDescent="0.25">
      <c r="J1543" s="29" t="s">
        <v>4749</v>
      </c>
      <c r="K1543" s="29">
        <v>21211</v>
      </c>
    </row>
    <row r="1544" spans="10:11" x14ac:dyDescent="0.25">
      <c r="J1544" s="29" t="s">
        <v>4750</v>
      </c>
      <c r="K1544" s="29">
        <v>21211</v>
      </c>
    </row>
    <row r="1545" spans="10:11" x14ac:dyDescent="0.25">
      <c r="J1545" s="29" t="s">
        <v>4751</v>
      </c>
      <c r="K1545" s="29">
        <v>21211</v>
      </c>
    </row>
    <row r="1546" spans="10:11" x14ac:dyDescent="0.25">
      <c r="J1546" s="29" t="s">
        <v>4752</v>
      </c>
      <c r="K1546" s="29">
        <v>21211</v>
      </c>
    </row>
    <row r="1547" spans="10:11" x14ac:dyDescent="0.25">
      <c r="J1547" s="29" t="s">
        <v>4753</v>
      </c>
      <c r="K1547" s="29">
        <v>21211</v>
      </c>
    </row>
    <row r="1548" spans="10:11" x14ac:dyDescent="0.25">
      <c r="J1548" s="29" t="s">
        <v>4754</v>
      </c>
      <c r="K1548" s="29">
        <v>21211</v>
      </c>
    </row>
    <row r="1549" spans="10:11" x14ac:dyDescent="0.25">
      <c r="J1549" s="29" t="s">
        <v>4755</v>
      </c>
      <c r="K1549" s="29">
        <v>22659</v>
      </c>
    </row>
    <row r="1550" spans="10:11" x14ac:dyDescent="0.25">
      <c r="J1550" s="29" t="s">
        <v>4756</v>
      </c>
      <c r="K1550" s="29">
        <v>22659</v>
      </c>
    </row>
    <row r="1551" spans="10:11" x14ac:dyDescent="0.25">
      <c r="J1551" s="29" t="s">
        <v>4757</v>
      </c>
      <c r="K1551" s="29">
        <v>53111</v>
      </c>
    </row>
    <row r="1552" spans="10:11" x14ac:dyDescent="0.25">
      <c r="J1552" s="29" t="s">
        <v>4758</v>
      </c>
      <c r="K1552" s="29">
        <v>53111</v>
      </c>
    </row>
    <row r="1553" spans="10:11" x14ac:dyDescent="0.25">
      <c r="J1553" s="29" t="s">
        <v>4759</v>
      </c>
      <c r="K1553" s="29">
        <v>53111</v>
      </c>
    </row>
    <row r="1554" spans="10:11" x14ac:dyDescent="0.25">
      <c r="J1554" s="29" t="s">
        <v>4760</v>
      </c>
      <c r="K1554" s="29">
        <v>53111</v>
      </c>
    </row>
    <row r="1555" spans="10:11" x14ac:dyDescent="0.25">
      <c r="J1555" s="29" t="s">
        <v>4761</v>
      </c>
      <c r="K1555" s="29">
        <v>53111</v>
      </c>
    </row>
    <row r="1556" spans="10:11" x14ac:dyDescent="0.25">
      <c r="J1556" s="29" t="s">
        <v>4762</v>
      </c>
      <c r="K1556" s="29">
        <v>53111</v>
      </c>
    </row>
    <row r="1557" spans="10:11" x14ac:dyDescent="0.25">
      <c r="J1557" s="29" t="s">
        <v>4763</v>
      </c>
      <c r="K1557" s="29">
        <v>53111</v>
      </c>
    </row>
    <row r="1558" spans="10:11" x14ac:dyDescent="0.25">
      <c r="J1558" s="29" t="s">
        <v>4764</v>
      </c>
      <c r="K1558" s="29">
        <v>53111</v>
      </c>
    </row>
    <row r="1559" spans="10:11" x14ac:dyDescent="0.25">
      <c r="J1559" s="29" t="s">
        <v>4765</v>
      </c>
      <c r="K1559" s="29">
        <v>53111</v>
      </c>
    </row>
    <row r="1560" spans="10:11" x14ac:dyDescent="0.25">
      <c r="J1560" s="29" t="s">
        <v>4766</v>
      </c>
      <c r="K1560" s="29">
        <v>53111</v>
      </c>
    </row>
    <row r="1561" spans="10:11" x14ac:dyDescent="0.25">
      <c r="J1561" s="29" t="s">
        <v>4767</v>
      </c>
      <c r="K1561" s="29">
        <v>53111</v>
      </c>
    </row>
    <row r="1562" spans="10:11" x14ac:dyDescent="0.25">
      <c r="J1562" s="29" t="s">
        <v>4768</v>
      </c>
      <c r="K1562" s="29">
        <v>53111</v>
      </c>
    </row>
    <row r="1563" spans="10:11" x14ac:dyDescent="0.25">
      <c r="J1563" s="29" t="s">
        <v>4769</v>
      </c>
      <c r="K1563" s="29">
        <v>53111</v>
      </c>
    </row>
    <row r="1564" spans="10:11" x14ac:dyDescent="0.25">
      <c r="J1564" s="29" t="s">
        <v>4770</v>
      </c>
      <c r="K1564" s="29">
        <v>53111</v>
      </c>
    </row>
    <row r="1565" spans="10:11" x14ac:dyDescent="0.25">
      <c r="J1565" s="29" t="s">
        <v>4771</v>
      </c>
      <c r="K1565" s="29">
        <v>53111</v>
      </c>
    </row>
    <row r="1566" spans="10:11" x14ac:dyDescent="0.25">
      <c r="J1566" s="29" t="s">
        <v>4772</v>
      </c>
      <c r="K1566" s="29">
        <v>53111</v>
      </c>
    </row>
    <row r="1567" spans="10:11" x14ac:dyDescent="0.25">
      <c r="J1567" s="29" t="s">
        <v>4773</v>
      </c>
      <c r="K1567" s="29">
        <v>53111</v>
      </c>
    </row>
    <row r="1568" spans="10:11" x14ac:dyDescent="0.25">
      <c r="J1568" s="29" t="s">
        <v>4774</v>
      </c>
      <c r="K1568" s="29">
        <v>53111</v>
      </c>
    </row>
    <row r="1569" spans="10:11" x14ac:dyDescent="0.25">
      <c r="J1569" s="29" t="s">
        <v>4775</v>
      </c>
      <c r="K1569" s="29">
        <v>53111</v>
      </c>
    </row>
    <row r="1570" spans="10:11" x14ac:dyDescent="0.25">
      <c r="J1570" s="29" t="s">
        <v>4776</v>
      </c>
      <c r="K1570" s="29">
        <v>53111</v>
      </c>
    </row>
    <row r="1571" spans="10:11" x14ac:dyDescent="0.25">
      <c r="J1571" s="29" t="s">
        <v>4777</v>
      </c>
      <c r="K1571" s="29">
        <v>53111</v>
      </c>
    </row>
    <row r="1572" spans="10:11" x14ac:dyDescent="0.25">
      <c r="J1572" s="29" t="s">
        <v>4778</v>
      </c>
      <c r="K1572" s="29">
        <v>53111</v>
      </c>
    </row>
    <row r="1573" spans="10:11" x14ac:dyDescent="0.25">
      <c r="J1573" s="29" t="s">
        <v>4779</v>
      </c>
      <c r="K1573" s="29">
        <v>53111</v>
      </c>
    </row>
    <row r="1574" spans="10:11" x14ac:dyDescent="0.25">
      <c r="J1574" s="29" t="s">
        <v>4780</v>
      </c>
      <c r="K1574" s="29">
        <v>53111</v>
      </c>
    </row>
    <row r="1575" spans="10:11" x14ac:dyDescent="0.25">
      <c r="J1575" s="29" t="s">
        <v>4781</v>
      </c>
      <c r="K1575" s="29">
        <v>53111</v>
      </c>
    </row>
    <row r="1576" spans="10:11" x14ac:dyDescent="0.25">
      <c r="J1576" s="29" t="s">
        <v>4782</v>
      </c>
      <c r="K1576" s="29">
        <v>53111</v>
      </c>
    </row>
    <row r="1577" spans="10:11" x14ac:dyDescent="0.25">
      <c r="J1577" s="29" t="s">
        <v>4783</v>
      </c>
      <c r="K1577" s="29">
        <v>53111</v>
      </c>
    </row>
    <row r="1578" spans="10:11" x14ac:dyDescent="0.25">
      <c r="J1578" s="29" t="s">
        <v>4784</v>
      </c>
      <c r="K1578" s="29">
        <v>53111</v>
      </c>
    </row>
    <row r="1579" spans="10:11" x14ac:dyDescent="0.25">
      <c r="J1579" s="29" t="s">
        <v>4785</v>
      </c>
      <c r="K1579" s="29">
        <v>53111</v>
      </c>
    </row>
    <row r="1580" spans="10:11" x14ac:dyDescent="0.25">
      <c r="J1580" s="29" t="s">
        <v>4786</v>
      </c>
      <c r="K1580" s="29">
        <v>53111</v>
      </c>
    </row>
    <row r="1581" spans="10:11" x14ac:dyDescent="0.25">
      <c r="J1581" s="29" t="s">
        <v>4787</v>
      </c>
      <c r="K1581" s="29">
        <v>53111</v>
      </c>
    </row>
    <row r="1582" spans="10:11" x14ac:dyDescent="0.25">
      <c r="J1582" s="29" t="s">
        <v>4788</v>
      </c>
      <c r="K1582" s="29">
        <v>53111</v>
      </c>
    </row>
    <row r="1583" spans="10:11" x14ac:dyDescent="0.25">
      <c r="J1583" s="29" t="s">
        <v>4789</v>
      </c>
      <c r="K1583" s="29">
        <v>53111</v>
      </c>
    </row>
    <row r="1584" spans="10:11" x14ac:dyDescent="0.25">
      <c r="J1584" s="29" t="s">
        <v>4790</v>
      </c>
      <c r="K1584" s="29">
        <v>53111</v>
      </c>
    </row>
    <row r="1585" spans="10:11" x14ac:dyDescent="0.25">
      <c r="J1585" s="29" t="s">
        <v>4791</v>
      </c>
      <c r="K1585" s="29">
        <v>53111</v>
      </c>
    </row>
    <row r="1586" spans="10:11" x14ac:dyDescent="0.25">
      <c r="J1586" s="29" t="s">
        <v>4792</v>
      </c>
      <c r="K1586" s="29">
        <v>53111</v>
      </c>
    </row>
    <row r="1587" spans="10:11" x14ac:dyDescent="0.25">
      <c r="J1587" s="29" t="s">
        <v>4793</v>
      </c>
      <c r="K1587" s="29">
        <v>23511</v>
      </c>
    </row>
    <row r="1588" spans="10:11" x14ac:dyDescent="0.25">
      <c r="J1588" s="29" t="s">
        <v>4794</v>
      </c>
      <c r="K1588" s="29">
        <v>23511</v>
      </c>
    </row>
    <row r="1589" spans="10:11" x14ac:dyDescent="0.25">
      <c r="J1589" s="29" t="s">
        <v>4795</v>
      </c>
      <c r="K1589" s="29">
        <v>23511</v>
      </c>
    </row>
    <row r="1590" spans="10:11" x14ac:dyDescent="0.25">
      <c r="J1590" s="29" t="s">
        <v>4796</v>
      </c>
      <c r="K1590" s="29">
        <v>23511</v>
      </c>
    </row>
    <row r="1591" spans="10:11" x14ac:dyDescent="0.25">
      <c r="J1591" s="29" t="s">
        <v>4797</v>
      </c>
      <c r="K1591" s="29">
        <v>23511</v>
      </c>
    </row>
    <row r="1592" spans="10:11" x14ac:dyDescent="0.25">
      <c r="J1592" s="29" t="s">
        <v>4798</v>
      </c>
      <c r="K1592" s="29">
        <v>23511</v>
      </c>
    </row>
    <row r="1593" spans="10:11" x14ac:dyDescent="0.25">
      <c r="J1593" s="29" t="s">
        <v>4799</v>
      </c>
      <c r="K1593" s="29">
        <v>23511</v>
      </c>
    </row>
    <row r="1594" spans="10:11" x14ac:dyDescent="0.25">
      <c r="J1594" s="29" t="s">
        <v>4800</v>
      </c>
      <c r="K1594" s="29">
        <v>23255</v>
      </c>
    </row>
    <row r="1595" spans="10:11" x14ac:dyDescent="0.25">
      <c r="J1595" s="29" t="s">
        <v>4801</v>
      </c>
      <c r="K1595" s="29">
        <v>61444</v>
      </c>
    </row>
    <row r="1596" spans="10:11" x14ac:dyDescent="0.25">
      <c r="J1596" s="29" t="s">
        <v>4802</v>
      </c>
      <c r="K1596" s="29">
        <v>61444</v>
      </c>
    </row>
    <row r="1597" spans="10:11" x14ac:dyDescent="0.25">
      <c r="J1597" s="29" t="s">
        <v>4803</v>
      </c>
      <c r="K1597" s="29">
        <v>10350</v>
      </c>
    </row>
    <row r="1598" spans="10:11" x14ac:dyDescent="0.25">
      <c r="J1598" s="29" t="s">
        <v>4804</v>
      </c>
      <c r="K1598" s="29">
        <v>10350</v>
      </c>
    </row>
    <row r="1599" spans="10:11" x14ac:dyDescent="0.25">
      <c r="J1599" s="29" t="s">
        <v>4805</v>
      </c>
      <c r="K1599" s="29">
        <v>10350</v>
      </c>
    </row>
    <row r="1600" spans="10:11" x14ac:dyDescent="0.25">
      <c r="J1600" s="29" t="s">
        <v>4806</v>
      </c>
      <c r="K1600" s="29">
        <v>10350</v>
      </c>
    </row>
    <row r="1601" spans="10:11" x14ac:dyDescent="0.25">
      <c r="J1601" s="29" t="s">
        <v>4807</v>
      </c>
      <c r="K1601" s="29">
        <v>10350</v>
      </c>
    </row>
    <row r="1602" spans="10:11" x14ac:dyDescent="0.25">
      <c r="J1602" s="29" t="s">
        <v>4808</v>
      </c>
      <c r="K1602" s="29">
        <v>10350</v>
      </c>
    </row>
    <row r="1603" spans="10:11" x14ac:dyDescent="0.25">
      <c r="J1603" s="29" t="s">
        <v>4809</v>
      </c>
      <c r="K1603" s="29">
        <v>10350</v>
      </c>
    </row>
    <row r="1604" spans="10:11" x14ac:dyDescent="0.25">
      <c r="J1604" s="29" t="s">
        <v>4810</v>
      </c>
      <c r="K1604" s="29">
        <v>10350</v>
      </c>
    </row>
    <row r="1605" spans="10:11" x14ac:dyDescent="0.25">
      <c r="J1605" s="29" t="s">
        <v>4811</v>
      </c>
      <c r="K1605" s="29">
        <v>10350</v>
      </c>
    </row>
    <row r="1606" spans="10:11" x14ac:dyDescent="0.25">
      <c r="J1606" s="29" t="s">
        <v>4812</v>
      </c>
      <c r="K1606" s="29">
        <v>10350</v>
      </c>
    </row>
    <row r="1607" spans="10:11" x14ac:dyDescent="0.25">
      <c r="J1607" s="29" t="s">
        <v>4813</v>
      </c>
      <c r="K1607" s="29">
        <v>10350</v>
      </c>
    </row>
    <row r="1608" spans="10:11" x14ac:dyDescent="0.25">
      <c r="J1608" s="29" t="s">
        <v>4814</v>
      </c>
      <c r="K1608" s="29">
        <v>10350</v>
      </c>
    </row>
    <row r="1609" spans="10:11" x14ac:dyDescent="0.25">
      <c r="J1609" s="29" t="s">
        <v>4815</v>
      </c>
      <c r="K1609" s="29">
        <v>10350</v>
      </c>
    </row>
    <row r="1610" spans="10:11" x14ac:dyDescent="0.25">
      <c r="J1610" s="29" t="s">
        <v>4816</v>
      </c>
      <c r="K1610" s="29">
        <v>10350</v>
      </c>
    </row>
    <row r="1611" spans="10:11" x14ac:dyDescent="0.25">
      <c r="J1611" s="29" t="s">
        <v>4817</v>
      </c>
      <c r="K1611" s="29">
        <v>10350</v>
      </c>
    </row>
    <row r="1612" spans="10:11" x14ac:dyDescent="0.25">
      <c r="J1612" s="29" t="s">
        <v>4818</v>
      </c>
      <c r="K1612" s="29">
        <v>10350</v>
      </c>
    </row>
    <row r="1613" spans="10:11" x14ac:dyDescent="0.25">
      <c r="J1613" s="29" t="s">
        <v>4819</v>
      </c>
      <c r="K1613" s="29">
        <v>10350</v>
      </c>
    </row>
    <row r="1614" spans="10:11" x14ac:dyDescent="0.25">
      <c r="J1614" s="29" t="s">
        <v>4820</v>
      </c>
      <c r="K1614" s="29">
        <v>62221</v>
      </c>
    </row>
    <row r="1615" spans="10:11" x14ac:dyDescent="0.25">
      <c r="J1615" s="29" t="s">
        <v>4821</v>
      </c>
      <c r="K1615" s="29">
        <v>35439</v>
      </c>
    </row>
    <row r="1616" spans="10:11" x14ac:dyDescent="0.25">
      <c r="J1616" s="29" t="s">
        <v>4822</v>
      </c>
      <c r="K1616" s="29">
        <v>35439</v>
      </c>
    </row>
    <row r="1617" spans="10:11" x14ac:dyDescent="0.25">
      <c r="J1617" s="29" t="s">
        <v>4823</v>
      </c>
      <c r="K1617" s="29">
        <v>35439</v>
      </c>
    </row>
    <row r="1618" spans="10:11" x14ac:dyDescent="0.25">
      <c r="J1618" s="29" t="s">
        <v>4824</v>
      </c>
      <c r="K1618" s="29">
        <v>53221</v>
      </c>
    </row>
    <row r="1619" spans="10:11" x14ac:dyDescent="0.25">
      <c r="J1619" s="29" t="s">
        <v>4825</v>
      </c>
      <c r="K1619" s="29">
        <v>53221</v>
      </c>
    </row>
    <row r="1620" spans="10:11" x14ac:dyDescent="0.25">
      <c r="J1620" s="29" t="s">
        <v>4826</v>
      </c>
      <c r="K1620" s="29">
        <v>37391</v>
      </c>
    </row>
    <row r="1621" spans="10:11" x14ac:dyDescent="0.25">
      <c r="J1621" s="29" t="s">
        <v>4827</v>
      </c>
      <c r="K1621" s="29">
        <v>37391</v>
      </c>
    </row>
    <row r="1622" spans="10:11" x14ac:dyDescent="0.25">
      <c r="J1622" s="29" t="s">
        <v>4828</v>
      </c>
      <c r="K1622" s="29">
        <v>37391</v>
      </c>
    </row>
    <row r="1623" spans="10:11" x14ac:dyDescent="0.25">
      <c r="J1623" s="29" t="s">
        <v>4829</v>
      </c>
      <c r="K1623" s="29">
        <v>37391</v>
      </c>
    </row>
    <row r="1624" spans="10:11" x14ac:dyDescent="0.25">
      <c r="J1624" s="29" t="s">
        <v>4830</v>
      </c>
      <c r="K1624" s="29">
        <v>37391</v>
      </c>
    </row>
    <row r="1625" spans="10:11" x14ac:dyDescent="0.25">
      <c r="J1625" s="29" t="s">
        <v>4831</v>
      </c>
      <c r="K1625" s="29">
        <v>35158</v>
      </c>
    </row>
    <row r="1626" spans="10:11" x14ac:dyDescent="0.25">
      <c r="J1626" s="29" t="s">
        <v>4832</v>
      </c>
      <c r="K1626" s="29">
        <v>22228</v>
      </c>
    </row>
    <row r="1627" spans="10:11" x14ac:dyDescent="0.25">
      <c r="J1627" s="29" t="s">
        <v>4833</v>
      </c>
      <c r="K1627" s="29">
        <v>22228</v>
      </c>
    </row>
    <row r="1628" spans="10:11" x14ac:dyDescent="0.25">
      <c r="J1628" s="29" t="s">
        <v>4834</v>
      </c>
      <c r="K1628" s="29">
        <v>22228</v>
      </c>
    </row>
    <row r="1629" spans="10:11" x14ac:dyDescent="0.25">
      <c r="J1629" s="29" t="s">
        <v>4835</v>
      </c>
      <c r="K1629" s="29">
        <v>22228</v>
      </c>
    </row>
    <row r="1630" spans="10:11" x14ac:dyDescent="0.25">
      <c r="J1630" s="29" t="s">
        <v>4836</v>
      </c>
      <c r="K1630" s="29">
        <v>22228</v>
      </c>
    </row>
    <row r="1631" spans="10:11" x14ac:dyDescent="0.25">
      <c r="J1631" s="29" t="s">
        <v>4837</v>
      </c>
      <c r="K1631" s="29">
        <v>22228</v>
      </c>
    </row>
    <row r="1632" spans="10:11" x14ac:dyDescent="0.25">
      <c r="J1632" s="29" t="s">
        <v>4838</v>
      </c>
      <c r="K1632" s="29">
        <v>22228</v>
      </c>
    </row>
    <row r="1633" spans="10:11" x14ac:dyDescent="0.25">
      <c r="J1633" s="29" t="s">
        <v>4839</v>
      </c>
      <c r="K1633" s="29">
        <v>22228</v>
      </c>
    </row>
    <row r="1634" spans="10:11" x14ac:dyDescent="0.25">
      <c r="J1634" s="29" t="s">
        <v>4840</v>
      </c>
      <c r="K1634" s="29">
        <v>22228</v>
      </c>
    </row>
    <row r="1635" spans="10:11" x14ac:dyDescent="0.25">
      <c r="J1635" s="29" t="s">
        <v>4841</v>
      </c>
      <c r="K1635" s="29">
        <v>22228</v>
      </c>
    </row>
    <row r="1636" spans="10:11" x14ac:dyDescent="0.25">
      <c r="J1636" s="29" t="s">
        <v>4842</v>
      </c>
      <c r="K1636" s="29">
        <v>22228</v>
      </c>
    </row>
    <row r="1637" spans="10:11" x14ac:dyDescent="0.25">
      <c r="J1637" s="29" t="s">
        <v>4843</v>
      </c>
      <c r="K1637" s="29">
        <v>22228</v>
      </c>
    </row>
    <row r="1638" spans="10:11" x14ac:dyDescent="0.25">
      <c r="J1638" s="29" t="s">
        <v>4844</v>
      </c>
      <c r="K1638" s="29">
        <v>22228</v>
      </c>
    </row>
    <row r="1639" spans="10:11" x14ac:dyDescent="0.25">
      <c r="J1639" s="29" t="s">
        <v>4845</v>
      </c>
      <c r="K1639" s="29">
        <v>22228</v>
      </c>
    </row>
    <row r="1640" spans="10:11" x14ac:dyDescent="0.25">
      <c r="J1640" s="29" t="s">
        <v>4846</v>
      </c>
      <c r="K1640" s="29">
        <v>72227</v>
      </c>
    </row>
    <row r="1641" spans="10:11" x14ac:dyDescent="0.25">
      <c r="J1641" s="29" t="s">
        <v>4847</v>
      </c>
      <c r="K1641" s="29">
        <v>72227</v>
      </c>
    </row>
    <row r="1642" spans="10:11" x14ac:dyDescent="0.25">
      <c r="J1642" s="29" t="s">
        <v>4848</v>
      </c>
      <c r="K1642" s="29">
        <v>62224</v>
      </c>
    </row>
    <row r="1643" spans="10:11" x14ac:dyDescent="0.25">
      <c r="J1643" s="29" t="s">
        <v>4849</v>
      </c>
      <c r="K1643" s="29">
        <v>23251</v>
      </c>
    </row>
    <row r="1644" spans="10:11" x14ac:dyDescent="0.25">
      <c r="J1644" s="29" t="s">
        <v>4850</v>
      </c>
      <c r="K1644" s="29">
        <v>23251</v>
      </c>
    </row>
    <row r="1645" spans="10:11" x14ac:dyDescent="0.25">
      <c r="J1645" s="29" t="s">
        <v>4851</v>
      </c>
      <c r="K1645" s="29">
        <v>23251</v>
      </c>
    </row>
    <row r="1646" spans="10:11" x14ac:dyDescent="0.25">
      <c r="J1646" s="29" t="s">
        <v>4852</v>
      </c>
      <c r="K1646" s="29">
        <v>23251</v>
      </c>
    </row>
    <row r="1647" spans="10:11" x14ac:dyDescent="0.25">
      <c r="J1647" s="29" t="s">
        <v>4853</v>
      </c>
      <c r="K1647" s="29">
        <v>23251</v>
      </c>
    </row>
    <row r="1648" spans="10:11" x14ac:dyDescent="0.25">
      <c r="J1648" s="29" t="s">
        <v>4854</v>
      </c>
      <c r="K1648" s="29">
        <v>23251</v>
      </c>
    </row>
    <row r="1649" spans="10:11" x14ac:dyDescent="0.25">
      <c r="J1649" s="29" t="s">
        <v>4855</v>
      </c>
      <c r="K1649" s="29">
        <v>23251</v>
      </c>
    </row>
    <row r="1650" spans="10:11" x14ac:dyDescent="0.25">
      <c r="J1650" s="29" t="s">
        <v>4856</v>
      </c>
      <c r="K1650" s="29">
        <v>23251</v>
      </c>
    </row>
    <row r="1651" spans="10:11" x14ac:dyDescent="0.25">
      <c r="J1651" s="29" t="s">
        <v>4857</v>
      </c>
      <c r="K1651" s="29">
        <v>23251</v>
      </c>
    </row>
    <row r="1652" spans="10:11" x14ac:dyDescent="0.25">
      <c r="J1652" s="29" t="s">
        <v>4858</v>
      </c>
      <c r="K1652" s="29">
        <v>23251</v>
      </c>
    </row>
    <row r="1653" spans="10:11" x14ac:dyDescent="0.25">
      <c r="J1653" s="29" t="s">
        <v>4859</v>
      </c>
      <c r="K1653" s="29">
        <v>23251</v>
      </c>
    </row>
    <row r="1654" spans="10:11" x14ac:dyDescent="0.25">
      <c r="J1654" s="29" t="s">
        <v>4860</v>
      </c>
      <c r="K1654" s="29">
        <v>23251</v>
      </c>
    </row>
    <row r="1655" spans="10:11" x14ac:dyDescent="0.25">
      <c r="J1655" s="29" t="s">
        <v>4861</v>
      </c>
      <c r="K1655" s="29">
        <v>23251</v>
      </c>
    </row>
    <row r="1656" spans="10:11" x14ac:dyDescent="0.25">
      <c r="J1656" s="29" t="s">
        <v>4862</v>
      </c>
      <c r="K1656" s="29">
        <v>23251</v>
      </c>
    </row>
    <row r="1657" spans="10:11" x14ac:dyDescent="0.25">
      <c r="J1657" s="29" t="s">
        <v>4863</v>
      </c>
      <c r="K1657" s="29">
        <v>23679</v>
      </c>
    </row>
    <row r="1658" spans="10:11" x14ac:dyDescent="0.25">
      <c r="J1658" s="29" t="s">
        <v>4864</v>
      </c>
      <c r="K1658" s="29">
        <v>51267</v>
      </c>
    </row>
    <row r="1659" spans="10:11" x14ac:dyDescent="0.25">
      <c r="J1659" s="29" t="s">
        <v>4865</v>
      </c>
      <c r="K1659" s="29">
        <v>51267</v>
      </c>
    </row>
    <row r="1660" spans="10:11" x14ac:dyDescent="0.25">
      <c r="J1660" s="29" t="s">
        <v>4866</v>
      </c>
      <c r="K1660" s="29">
        <v>51267</v>
      </c>
    </row>
    <row r="1661" spans="10:11" x14ac:dyDescent="0.25">
      <c r="J1661" s="29" t="s">
        <v>4867</v>
      </c>
      <c r="K1661" s="29">
        <v>51267</v>
      </c>
    </row>
    <row r="1662" spans="10:11" x14ac:dyDescent="0.25">
      <c r="J1662" s="29" t="s">
        <v>4868</v>
      </c>
      <c r="K1662" s="29">
        <v>51267</v>
      </c>
    </row>
    <row r="1663" spans="10:11" x14ac:dyDescent="0.25">
      <c r="J1663" s="29" t="s">
        <v>4869</v>
      </c>
      <c r="K1663" s="29">
        <v>51267</v>
      </c>
    </row>
    <row r="1664" spans="10:11" x14ac:dyDescent="0.25">
      <c r="J1664" s="29" t="s">
        <v>4870</v>
      </c>
      <c r="K1664" s="29">
        <v>51267</v>
      </c>
    </row>
    <row r="1665" spans="10:11" x14ac:dyDescent="0.25">
      <c r="J1665" s="29" t="s">
        <v>4871</v>
      </c>
      <c r="K1665" s="29">
        <v>51267</v>
      </c>
    </row>
    <row r="1666" spans="10:11" x14ac:dyDescent="0.25">
      <c r="J1666" s="29" t="s">
        <v>4872</v>
      </c>
      <c r="K1666" s="29">
        <v>51267</v>
      </c>
    </row>
    <row r="1667" spans="10:11" x14ac:dyDescent="0.25">
      <c r="J1667" s="29" t="s">
        <v>4873</v>
      </c>
      <c r="K1667" s="29">
        <v>51267</v>
      </c>
    </row>
    <row r="1668" spans="10:11" x14ac:dyDescent="0.25">
      <c r="J1668" s="29" t="s">
        <v>4874</v>
      </c>
      <c r="K1668" s="29">
        <v>51267</v>
      </c>
    </row>
    <row r="1669" spans="10:11" x14ac:dyDescent="0.25">
      <c r="J1669" s="29" t="s">
        <v>4875</v>
      </c>
      <c r="K1669" s="29">
        <v>51267</v>
      </c>
    </row>
    <row r="1670" spans="10:11" x14ac:dyDescent="0.25">
      <c r="J1670" s="29" t="s">
        <v>4876</v>
      </c>
      <c r="K1670" s="29">
        <v>51267</v>
      </c>
    </row>
    <row r="1671" spans="10:11" x14ac:dyDescent="0.25">
      <c r="J1671" s="29" t="s">
        <v>4877</v>
      </c>
      <c r="K1671" s="29">
        <v>51267</v>
      </c>
    </row>
    <row r="1672" spans="10:11" x14ac:dyDescent="0.25">
      <c r="J1672" s="29" t="s">
        <v>4878</v>
      </c>
      <c r="K1672" s="29">
        <v>51267</v>
      </c>
    </row>
    <row r="1673" spans="10:11" x14ac:dyDescent="0.25">
      <c r="J1673" s="29" t="s">
        <v>4879</v>
      </c>
      <c r="K1673" s="29">
        <v>51267</v>
      </c>
    </row>
    <row r="1674" spans="10:11" x14ac:dyDescent="0.25">
      <c r="J1674" s="29" t="s">
        <v>4880</v>
      </c>
      <c r="K1674" s="29">
        <v>51267</v>
      </c>
    </row>
    <row r="1675" spans="10:11" x14ac:dyDescent="0.25">
      <c r="J1675" s="29" t="s">
        <v>4881</v>
      </c>
      <c r="K1675" s="29">
        <v>51267</v>
      </c>
    </row>
    <row r="1676" spans="10:11" x14ac:dyDescent="0.25">
      <c r="J1676" s="29" t="s">
        <v>4882</v>
      </c>
      <c r="K1676" s="29">
        <v>32187</v>
      </c>
    </row>
    <row r="1677" spans="10:11" x14ac:dyDescent="0.25">
      <c r="J1677" s="29" t="s">
        <v>4883</v>
      </c>
      <c r="K1677" s="29">
        <v>32187</v>
      </c>
    </row>
    <row r="1678" spans="10:11" x14ac:dyDescent="0.25">
      <c r="J1678" s="29" t="s">
        <v>4884</v>
      </c>
      <c r="K1678" s="29">
        <v>32187</v>
      </c>
    </row>
    <row r="1679" spans="10:11" x14ac:dyDescent="0.25">
      <c r="J1679" s="29" t="s">
        <v>4885</v>
      </c>
      <c r="K1679" s="29">
        <v>22797</v>
      </c>
    </row>
    <row r="1680" spans="10:11" x14ac:dyDescent="0.25">
      <c r="J1680" s="29" t="s">
        <v>4886</v>
      </c>
      <c r="K1680" s="29">
        <v>22797</v>
      </c>
    </row>
    <row r="1681" spans="10:11" x14ac:dyDescent="0.25">
      <c r="J1681" s="29" t="s">
        <v>4887</v>
      </c>
      <c r="K1681" s="29">
        <v>22797</v>
      </c>
    </row>
    <row r="1682" spans="10:11" x14ac:dyDescent="0.25">
      <c r="J1682" s="29" t="s">
        <v>4888</v>
      </c>
      <c r="K1682" s="29">
        <v>22797</v>
      </c>
    </row>
    <row r="1683" spans="10:11" x14ac:dyDescent="0.25">
      <c r="J1683" s="29" t="s">
        <v>4889</v>
      </c>
      <c r="K1683" s="29">
        <v>23663</v>
      </c>
    </row>
    <row r="1684" spans="10:11" x14ac:dyDescent="0.25">
      <c r="J1684" s="29" t="s">
        <v>4890</v>
      </c>
      <c r="K1684" s="29">
        <v>23663</v>
      </c>
    </row>
    <row r="1685" spans="10:11" x14ac:dyDescent="0.25">
      <c r="J1685" s="29" t="s">
        <v>4891</v>
      </c>
      <c r="K1685" s="29">
        <v>62162</v>
      </c>
    </row>
    <row r="1686" spans="10:11" x14ac:dyDescent="0.25">
      <c r="J1686" s="29" t="s">
        <v>4892</v>
      </c>
      <c r="K1686" s="29">
        <v>32159</v>
      </c>
    </row>
    <row r="1687" spans="10:11" x14ac:dyDescent="0.25">
      <c r="J1687" s="29" t="s">
        <v>4893</v>
      </c>
      <c r="K1687" s="29">
        <v>34111</v>
      </c>
    </row>
    <row r="1688" spans="10:11" x14ac:dyDescent="0.25">
      <c r="J1688" s="29" t="s">
        <v>4894</v>
      </c>
      <c r="K1688" s="29">
        <v>34111</v>
      </c>
    </row>
    <row r="1689" spans="10:11" x14ac:dyDescent="0.25">
      <c r="J1689" s="29" t="s">
        <v>4895</v>
      </c>
      <c r="K1689" s="29">
        <v>34111</v>
      </c>
    </row>
    <row r="1690" spans="10:11" x14ac:dyDescent="0.25">
      <c r="J1690" s="29" t="s">
        <v>4896</v>
      </c>
      <c r="K1690" s="29">
        <v>34111</v>
      </c>
    </row>
    <row r="1691" spans="10:11" x14ac:dyDescent="0.25">
      <c r="J1691" s="29" t="s">
        <v>4897</v>
      </c>
      <c r="K1691" s="29">
        <v>34111</v>
      </c>
    </row>
    <row r="1692" spans="10:11" x14ac:dyDescent="0.25">
      <c r="J1692" s="29" t="s">
        <v>4898</v>
      </c>
      <c r="K1692" s="29">
        <v>24343</v>
      </c>
    </row>
    <row r="1693" spans="10:11" x14ac:dyDescent="0.25">
      <c r="J1693" s="29" t="s">
        <v>4899</v>
      </c>
      <c r="K1693" s="29">
        <v>62246</v>
      </c>
    </row>
    <row r="1694" spans="10:11" x14ac:dyDescent="0.25">
      <c r="J1694" s="29" t="s">
        <v>4900</v>
      </c>
      <c r="K1694" s="29">
        <v>62246</v>
      </c>
    </row>
    <row r="1695" spans="10:11" x14ac:dyDescent="0.25">
      <c r="J1695" s="29" t="s">
        <v>4901</v>
      </c>
      <c r="K1695" s="29">
        <v>62246</v>
      </c>
    </row>
    <row r="1696" spans="10:11" x14ac:dyDescent="0.25">
      <c r="J1696" s="29" t="s">
        <v>4902</v>
      </c>
      <c r="K1696" s="29">
        <v>62246</v>
      </c>
    </row>
    <row r="1697" spans="10:11" x14ac:dyDescent="0.25">
      <c r="J1697" s="29" t="s">
        <v>4903</v>
      </c>
      <c r="K1697" s="29">
        <v>62246</v>
      </c>
    </row>
    <row r="1698" spans="10:11" x14ac:dyDescent="0.25">
      <c r="J1698" s="29" t="s">
        <v>4904</v>
      </c>
      <c r="K1698" s="29">
        <v>62246</v>
      </c>
    </row>
    <row r="1699" spans="10:11" x14ac:dyDescent="0.25">
      <c r="J1699" s="29" t="s">
        <v>4905</v>
      </c>
      <c r="K1699" s="29">
        <v>24243</v>
      </c>
    </row>
    <row r="1700" spans="10:11" x14ac:dyDescent="0.25">
      <c r="J1700" s="29" t="s">
        <v>3232</v>
      </c>
      <c r="K1700" s="29">
        <v>24243</v>
      </c>
    </row>
    <row r="1701" spans="10:11" x14ac:dyDescent="0.25">
      <c r="J1701" s="29" t="s">
        <v>4906</v>
      </c>
      <c r="K1701" s="29">
        <v>24243</v>
      </c>
    </row>
    <row r="1702" spans="10:11" x14ac:dyDescent="0.25">
      <c r="J1702" s="29" t="s">
        <v>4907</v>
      </c>
      <c r="K1702" s="29">
        <v>24243</v>
      </c>
    </row>
    <row r="1703" spans="10:11" x14ac:dyDescent="0.25">
      <c r="J1703" s="29" t="s">
        <v>4908</v>
      </c>
      <c r="K1703" s="29">
        <v>24243</v>
      </c>
    </row>
    <row r="1704" spans="10:11" x14ac:dyDescent="0.25">
      <c r="J1704" s="29" t="s">
        <v>4909</v>
      </c>
      <c r="K1704" s="29">
        <v>24243</v>
      </c>
    </row>
    <row r="1705" spans="10:11" x14ac:dyDescent="0.25">
      <c r="J1705" s="29" t="s">
        <v>4910</v>
      </c>
      <c r="K1705" s="29">
        <v>24243</v>
      </c>
    </row>
    <row r="1706" spans="10:11" x14ac:dyDescent="0.25">
      <c r="J1706" s="29" t="s">
        <v>4911</v>
      </c>
      <c r="K1706" s="29">
        <v>24243</v>
      </c>
    </row>
    <row r="1707" spans="10:11" x14ac:dyDescent="0.25">
      <c r="J1707" s="29" t="s">
        <v>4912</v>
      </c>
      <c r="K1707" s="29">
        <v>24243</v>
      </c>
    </row>
    <row r="1708" spans="10:11" x14ac:dyDescent="0.25">
      <c r="J1708" s="29" t="s">
        <v>4913</v>
      </c>
      <c r="K1708" s="29">
        <v>24243</v>
      </c>
    </row>
    <row r="1709" spans="10:11" x14ac:dyDescent="0.25">
      <c r="J1709" s="29" t="s">
        <v>4914</v>
      </c>
      <c r="K1709" s="29">
        <v>36111</v>
      </c>
    </row>
    <row r="1710" spans="10:11" x14ac:dyDescent="0.25">
      <c r="J1710" s="29" t="s">
        <v>4915</v>
      </c>
      <c r="K1710" s="29">
        <v>36111</v>
      </c>
    </row>
    <row r="1711" spans="10:11" x14ac:dyDescent="0.25">
      <c r="J1711" s="29" t="s">
        <v>4916</v>
      </c>
      <c r="K1711" s="29">
        <v>36111</v>
      </c>
    </row>
    <row r="1712" spans="10:11" x14ac:dyDescent="0.25">
      <c r="J1712" s="29" t="s">
        <v>4917</v>
      </c>
      <c r="K1712" s="29">
        <v>36111</v>
      </c>
    </row>
    <row r="1713" spans="10:11" x14ac:dyDescent="0.25">
      <c r="J1713" s="29" t="s">
        <v>4918</v>
      </c>
      <c r="K1713" s="29">
        <v>24283</v>
      </c>
    </row>
    <row r="1714" spans="10:11" x14ac:dyDescent="0.25">
      <c r="J1714" s="29" t="s">
        <v>4919</v>
      </c>
      <c r="K1714" s="29">
        <v>35275</v>
      </c>
    </row>
    <row r="1715" spans="10:11" x14ac:dyDescent="0.25">
      <c r="J1715" s="29" t="s">
        <v>4920</v>
      </c>
      <c r="K1715" s="29">
        <v>35275</v>
      </c>
    </row>
    <row r="1716" spans="10:11" x14ac:dyDescent="0.25">
      <c r="J1716" s="29" t="s">
        <v>4921</v>
      </c>
      <c r="K1716" s="29">
        <v>35275</v>
      </c>
    </row>
    <row r="1717" spans="10:11" x14ac:dyDescent="0.25">
      <c r="J1717" s="29" t="s">
        <v>4922</v>
      </c>
      <c r="K1717" s="29">
        <v>35275</v>
      </c>
    </row>
    <row r="1718" spans="10:11" x14ac:dyDescent="0.25">
      <c r="J1718" s="29" t="s">
        <v>4923</v>
      </c>
      <c r="K1718" s="29">
        <v>35275</v>
      </c>
    </row>
    <row r="1719" spans="10:11" x14ac:dyDescent="0.25">
      <c r="J1719" s="29" t="s">
        <v>4924</v>
      </c>
      <c r="K1719" s="29">
        <v>35275</v>
      </c>
    </row>
    <row r="1720" spans="10:11" x14ac:dyDescent="0.25">
      <c r="J1720" s="29" t="s">
        <v>4925</v>
      </c>
      <c r="K1720" s="29">
        <v>35275</v>
      </c>
    </row>
    <row r="1721" spans="10:11" x14ac:dyDescent="0.25">
      <c r="J1721" s="29" t="s">
        <v>4926</v>
      </c>
      <c r="K1721" s="29">
        <v>35275</v>
      </c>
    </row>
    <row r="1722" spans="10:11" x14ac:dyDescent="0.25">
      <c r="J1722" s="29" t="s">
        <v>4927</v>
      </c>
      <c r="K1722" s="29">
        <v>35275</v>
      </c>
    </row>
    <row r="1723" spans="10:11" x14ac:dyDescent="0.25">
      <c r="J1723" s="29" t="s">
        <v>4928</v>
      </c>
      <c r="K1723" s="29">
        <v>35275</v>
      </c>
    </row>
    <row r="1724" spans="10:11" x14ac:dyDescent="0.25">
      <c r="J1724" s="29" t="s">
        <v>4929</v>
      </c>
      <c r="K1724" s="29">
        <v>35275</v>
      </c>
    </row>
    <row r="1725" spans="10:11" x14ac:dyDescent="0.25">
      <c r="J1725" s="29" t="s">
        <v>4930</v>
      </c>
      <c r="K1725" s="29">
        <v>35275</v>
      </c>
    </row>
    <row r="1726" spans="10:11" x14ac:dyDescent="0.25">
      <c r="J1726" s="29" t="s">
        <v>4931</v>
      </c>
      <c r="K1726" s="29">
        <v>35275</v>
      </c>
    </row>
    <row r="1727" spans="10:11" x14ac:dyDescent="0.25">
      <c r="J1727" s="29" t="s">
        <v>4932</v>
      </c>
      <c r="K1727" s="29">
        <v>35275</v>
      </c>
    </row>
    <row r="1728" spans="10:11" x14ac:dyDescent="0.25">
      <c r="J1728" s="29" t="s">
        <v>4933</v>
      </c>
      <c r="K1728" s="29">
        <v>35275</v>
      </c>
    </row>
    <row r="1729" spans="10:11" x14ac:dyDescent="0.25">
      <c r="J1729" s="29" t="s">
        <v>4934</v>
      </c>
      <c r="K1729" s="29">
        <v>37231</v>
      </c>
    </row>
    <row r="1730" spans="10:11" x14ac:dyDescent="0.25">
      <c r="J1730" s="29" t="s">
        <v>3846</v>
      </c>
      <c r="K1730" s="29">
        <v>37231</v>
      </c>
    </row>
    <row r="1731" spans="10:11" x14ac:dyDescent="0.25">
      <c r="J1731" s="29" t="s">
        <v>4935</v>
      </c>
      <c r="K1731" s="29">
        <v>37231</v>
      </c>
    </row>
    <row r="1732" spans="10:11" x14ac:dyDescent="0.25">
      <c r="J1732" s="29" t="s">
        <v>4936</v>
      </c>
      <c r="K1732" s="29">
        <v>37231</v>
      </c>
    </row>
    <row r="1733" spans="10:11" x14ac:dyDescent="0.25">
      <c r="J1733" s="29" t="s">
        <v>4937</v>
      </c>
      <c r="K1733" s="29">
        <v>37231</v>
      </c>
    </row>
    <row r="1734" spans="10:11" x14ac:dyDescent="0.25">
      <c r="J1734" s="29" t="s">
        <v>4938</v>
      </c>
      <c r="K1734" s="29">
        <v>37231</v>
      </c>
    </row>
    <row r="1735" spans="10:11" x14ac:dyDescent="0.25">
      <c r="J1735" s="29" t="s">
        <v>4939</v>
      </c>
      <c r="K1735" s="29">
        <v>37231</v>
      </c>
    </row>
    <row r="1736" spans="10:11" x14ac:dyDescent="0.25">
      <c r="J1736" s="29" t="s">
        <v>4940</v>
      </c>
      <c r="K1736" s="29">
        <v>37231</v>
      </c>
    </row>
    <row r="1737" spans="10:11" x14ac:dyDescent="0.25">
      <c r="J1737" s="29" t="s">
        <v>4941</v>
      </c>
      <c r="K1737" s="29">
        <v>37231</v>
      </c>
    </row>
    <row r="1738" spans="10:11" x14ac:dyDescent="0.25">
      <c r="J1738" s="29" t="s">
        <v>4942</v>
      </c>
      <c r="K1738" s="29">
        <v>37231</v>
      </c>
    </row>
    <row r="1739" spans="10:11" x14ac:dyDescent="0.25">
      <c r="J1739" s="29" t="s">
        <v>4943</v>
      </c>
      <c r="K1739" s="29">
        <v>37231</v>
      </c>
    </row>
    <row r="1740" spans="10:11" x14ac:dyDescent="0.25">
      <c r="J1740" s="29" t="s">
        <v>4944</v>
      </c>
      <c r="K1740" s="29">
        <v>37231</v>
      </c>
    </row>
    <row r="1741" spans="10:11" x14ac:dyDescent="0.25">
      <c r="J1741" s="29" t="s">
        <v>4945</v>
      </c>
      <c r="K1741" s="29">
        <v>37231</v>
      </c>
    </row>
    <row r="1742" spans="10:11" x14ac:dyDescent="0.25">
      <c r="J1742" s="29" t="s">
        <v>4946</v>
      </c>
      <c r="K1742" s="29">
        <v>37231</v>
      </c>
    </row>
    <row r="1743" spans="10:11" x14ac:dyDescent="0.25">
      <c r="J1743" s="29" t="s">
        <v>4947</v>
      </c>
      <c r="K1743" s="29">
        <v>37231</v>
      </c>
    </row>
    <row r="1744" spans="10:11" x14ac:dyDescent="0.25">
      <c r="J1744" s="29" t="s">
        <v>4948</v>
      </c>
      <c r="K1744" s="29">
        <v>37231</v>
      </c>
    </row>
    <row r="1745" spans="10:11" x14ac:dyDescent="0.25">
      <c r="J1745" s="29" t="s">
        <v>4949</v>
      </c>
      <c r="K1745" s="29">
        <v>37231</v>
      </c>
    </row>
    <row r="1746" spans="10:11" x14ac:dyDescent="0.25">
      <c r="J1746" s="29" t="s">
        <v>4950</v>
      </c>
      <c r="K1746" s="29">
        <v>37231</v>
      </c>
    </row>
    <row r="1747" spans="10:11" x14ac:dyDescent="0.25">
      <c r="J1747" s="29" t="s">
        <v>4951</v>
      </c>
      <c r="K1747" s="29">
        <v>37231</v>
      </c>
    </row>
    <row r="1748" spans="10:11" x14ac:dyDescent="0.25">
      <c r="J1748" s="29" t="s">
        <v>4952</v>
      </c>
      <c r="K1748" s="29">
        <v>37231</v>
      </c>
    </row>
    <row r="1749" spans="10:11" x14ac:dyDescent="0.25">
      <c r="J1749" s="29" t="s">
        <v>3460</v>
      </c>
      <c r="K1749" s="29">
        <v>24434</v>
      </c>
    </row>
    <row r="1750" spans="10:11" x14ac:dyDescent="0.25">
      <c r="J1750" s="29" t="s">
        <v>4953</v>
      </c>
      <c r="K1750" s="29">
        <v>62274</v>
      </c>
    </row>
    <row r="1751" spans="10:11" x14ac:dyDescent="0.25">
      <c r="J1751" s="29" t="s">
        <v>4954</v>
      </c>
      <c r="K1751" s="29">
        <v>53411</v>
      </c>
    </row>
    <row r="1752" spans="10:11" x14ac:dyDescent="0.25">
      <c r="J1752" s="29" t="s">
        <v>4955</v>
      </c>
      <c r="K1752" s="29">
        <v>10999</v>
      </c>
    </row>
    <row r="1753" spans="10:11" x14ac:dyDescent="0.25">
      <c r="J1753" s="29" t="s">
        <v>4956</v>
      </c>
      <c r="K1753" s="29">
        <v>22531</v>
      </c>
    </row>
    <row r="1754" spans="10:11" x14ac:dyDescent="0.25">
      <c r="J1754" s="29" t="s">
        <v>4957</v>
      </c>
      <c r="K1754" s="29">
        <v>22531</v>
      </c>
    </row>
    <row r="1755" spans="10:11" x14ac:dyDescent="0.25">
      <c r="J1755" s="29" t="s">
        <v>4958</v>
      </c>
      <c r="K1755" s="29">
        <v>22531</v>
      </c>
    </row>
    <row r="1756" spans="10:11" x14ac:dyDescent="0.25">
      <c r="J1756" s="29" t="s">
        <v>4959</v>
      </c>
      <c r="K1756" s="29">
        <v>22531</v>
      </c>
    </row>
    <row r="1757" spans="10:11" x14ac:dyDescent="0.25">
      <c r="J1757" s="29" t="s">
        <v>4960</v>
      </c>
      <c r="K1757" s="29">
        <v>22531</v>
      </c>
    </row>
    <row r="1758" spans="10:11" x14ac:dyDescent="0.25">
      <c r="J1758" s="29" t="s">
        <v>4961</v>
      </c>
      <c r="K1758" s="29">
        <v>53417</v>
      </c>
    </row>
    <row r="1759" spans="10:11" x14ac:dyDescent="0.25">
      <c r="J1759" s="29" t="s">
        <v>4962</v>
      </c>
      <c r="K1759" s="29">
        <v>23411</v>
      </c>
    </row>
    <row r="1760" spans="10:11" x14ac:dyDescent="0.25">
      <c r="J1760" s="29" t="s">
        <v>4963</v>
      </c>
      <c r="K1760" s="29">
        <v>23411</v>
      </c>
    </row>
    <row r="1761" spans="10:11" x14ac:dyDescent="0.25">
      <c r="J1761" s="29" t="s">
        <v>4964</v>
      </c>
      <c r="K1761" s="29">
        <v>26271</v>
      </c>
    </row>
    <row r="1762" spans="10:11" x14ac:dyDescent="0.25">
      <c r="J1762" s="29" t="s">
        <v>4965</v>
      </c>
      <c r="K1762" s="29">
        <v>26271</v>
      </c>
    </row>
    <row r="1763" spans="10:11" x14ac:dyDescent="0.25">
      <c r="J1763" s="29" t="s">
        <v>4966</v>
      </c>
      <c r="K1763" s="29">
        <v>37357</v>
      </c>
    </row>
    <row r="1764" spans="10:11" x14ac:dyDescent="0.25">
      <c r="J1764" s="29" t="s">
        <v>4967</v>
      </c>
      <c r="K1764" s="29">
        <v>55127</v>
      </c>
    </row>
    <row r="1765" spans="10:11" x14ac:dyDescent="0.25">
      <c r="J1765" s="29" t="s">
        <v>4968</v>
      </c>
      <c r="K1765" s="29">
        <v>35174</v>
      </c>
    </row>
    <row r="1766" spans="10:11" x14ac:dyDescent="0.25">
      <c r="J1766" s="29" t="s">
        <v>4969</v>
      </c>
      <c r="K1766" s="29">
        <v>22667</v>
      </c>
    </row>
    <row r="1767" spans="10:11" x14ac:dyDescent="0.25">
      <c r="J1767" s="29" t="s">
        <v>4970</v>
      </c>
      <c r="K1767" s="29">
        <v>22667</v>
      </c>
    </row>
    <row r="1768" spans="10:11" x14ac:dyDescent="0.25">
      <c r="J1768" s="29" t="s">
        <v>4971</v>
      </c>
      <c r="K1768" s="29">
        <v>22667</v>
      </c>
    </row>
    <row r="1769" spans="10:11" x14ac:dyDescent="0.25">
      <c r="J1769" s="29" t="s">
        <v>4972</v>
      </c>
      <c r="K1769" s="29">
        <v>22667</v>
      </c>
    </row>
    <row r="1770" spans="10:11" x14ac:dyDescent="0.25">
      <c r="J1770" s="29" t="s">
        <v>4973</v>
      </c>
      <c r="K1770" s="29">
        <v>35321</v>
      </c>
    </row>
    <row r="1771" spans="10:11" x14ac:dyDescent="0.25">
      <c r="J1771" s="29" t="s">
        <v>4974</v>
      </c>
      <c r="K1771" s="29">
        <v>35321</v>
      </c>
    </row>
    <row r="1772" spans="10:11" x14ac:dyDescent="0.25">
      <c r="J1772" s="29" t="s">
        <v>4975</v>
      </c>
      <c r="K1772" s="29">
        <v>37349</v>
      </c>
    </row>
    <row r="1773" spans="10:11" x14ac:dyDescent="0.25">
      <c r="J1773" s="29" t="s">
        <v>4976</v>
      </c>
      <c r="K1773" s="29">
        <v>37349</v>
      </c>
    </row>
    <row r="1774" spans="10:11" x14ac:dyDescent="0.25">
      <c r="J1774" s="29" t="s">
        <v>4977</v>
      </c>
      <c r="K1774" s="29">
        <v>72111</v>
      </c>
    </row>
    <row r="1775" spans="10:11" x14ac:dyDescent="0.25">
      <c r="J1775" s="29" t="s">
        <v>4978</v>
      </c>
      <c r="K1775" s="29">
        <v>72111</v>
      </c>
    </row>
    <row r="1776" spans="10:11" x14ac:dyDescent="0.25">
      <c r="J1776" s="29" t="s">
        <v>4979</v>
      </c>
      <c r="K1776" s="29">
        <v>72111</v>
      </c>
    </row>
    <row r="1777" spans="10:11" x14ac:dyDescent="0.25">
      <c r="J1777" s="29" t="s">
        <v>4980</v>
      </c>
      <c r="K1777" s="29">
        <v>72111</v>
      </c>
    </row>
    <row r="1778" spans="10:11" x14ac:dyDescent="0.25">
      <c r="J1778" s="29" t="s">
        <v>4981</v>
      </c>
      <c r="K1778" s="29">
        <v>72111</v>
      </c>
    </row>
    <row r="1779" spans="10:11" x14ac:dyDescent="0.25">
      <c r="J1779" s="29" t="s">
        <v>4982</v>
      </c>
      <c r="K1779" s="29">
        <v>72111</v>
      </c>
    </row>
    <row r="1780" spans="10:11" x14ac:dyDescent="0.25">
      <c r="J1780" s="29" t="s">
        <v>4983</v>
      </c>
      <c r="K1780" s="29">
        <v>25431</v>
      </c>
    </row>
    <row r="1781" spans="10:11" x14ac:dyDescent="0.25">
      <c r="J1781" s="29" t="s">
        <v>3847</v>
      </c>
      <c r="K1781" s="29">
        <v>35314</v>
      </c>
    </row>
    <row r="1782" spans="10:11" x14ac:dyDescent="0.25">
      <c r="J1782" s="29" t="s">
        <v>4984</v>
      </c>
      <c r="K1782" s="29">
        <v>35314</v>
      </c>
    </row>
    <row r="1783" spans="10:11" x14ac:dyDescent="0.25">
      <c r="J1783" s="29" t="s">
        <v>4985</v>
      </c>
      <c r="K1783" s="29">
        <v>35314</v>
      </c>
    </row>
    <row r="1784" spans="10:11" x14ac:dyDescent="0.25">
      <c r="J1784" s="29" t="s">
        <v>4986</v>
      </c>
      <c r="K1784" s="29">
        <v>35314</v>
      </c>
    </row>
    <row r="1785" spans="10:11" x14ac:dyDescent="0.25">
      <c r="J1785" s="29" t="s">
        <v>4987</v>
      </c>
      <c r="K1785" s="29">
        <v>35314</v>
      </c>
    </row>
    <row r="1786" spans="10:11" x14ac:dyDescent="0.25">
      <c r="J1786" s="29" t="s">
        <v>4988</v>
      </c>
      <c r="K1786" s="29">
        <v>35314</v>
      </c>
    </row>
    <row r="1787" spans="10:11" x14ac:dyDescent="0.25">
      <c r="J1787" s="29" t="s">
        <v>4989</v>
      </c>
      <c r="K1787" s="29">
        <v>35314</v>
      </c>
    </row>
    <row r="1788" spans="10:11" x14ac:dyDescent="0.25">
      <c r="J1788" s="29" t="s">
        <v>4990</v>
      </c>
      <c r="K1788" s="29">
        <v>35314</v>
      </c>
    </row>
    <row r="1789" spans="10:11" x14ac:dyDescent="0.25">
      <c r="J1789" s="29" t="s">
        <v>4991</v>
      </c>
      <c r="K1789" s="29">
        <v>62249</v>
      </c>
    </row>
    <row r="1790" spans="10:11" x14ac:dyDescent="0.25">
      <c r="J1790" s="29" t="s">
        <v>4992</v>
      </c>
      <c r="K1790" s="29">
        <v>35189</v>
      </c>
    </row>
    <row r="1791" spans="10:11" x14ac:dyDescent="0.25">
      <c r="J1791" s="29" t="s">
        <v>4993</v>
      </c>
      <c r="K1791" s="29">
        <v>35189</v>
      </c>
    </row>
    <row r="1792" spans="10:11" x14ac:dyDescent="0.25">
      <c r="J1792" s="29" t="s">
        <v>4994</v>
      </c>
      <c r="K1792" s="29">
        <v>35189</v>
      </c>
    </row>
    <row r="1793" spans="10:11" x14ac:dyDescent="0.25">
      <c r="J1793" s="29" t="s">
        <v>4995</v>
      </c>
      <c r="K1793" s="29">
        <v>32133</v>
      </c>
    </row>
    <row r="1794" spans="10:11" x14ac:dyDescent="0.25">
      <c r="J1794" s="29" t="s">
        <v>4996</v>
      </c>
      <c r="K1794" s="29">
        <v>24414</v>
      </c>
    </row>
    <row r="1795" spans="10:11" x14ac:dyDescent="0.25">
      <c r="J1795" s="29" t="s">
        <v>4997</v>
      </c>
      <c r="K1795" s="29">
        <v>24411</v>
      </c>
    </row>
    <row r="1796" spans="10:11" x14ac:dyDescent="0.25">
      <c r="J1796" s="29" t="s">
        <v>4998</v>
      </c>
      <c r="K1796" s="29">
        <v>22511</v>
      </c>
    </row>
    <row r="1797" spans="10:11" x14ac:dyDescent="0.25">
      <c r="J1797" s="29" t="s">
        <v>4999</v>
      </c>
      <c r="K1797" s="29">
        <v>22511</v>
      </c>
    </row>
    <row r="1798" spans="10:11" x14ac:dyDescent="0.25">
      <c r="J1798" s="29" t="s">
        <v>5000</v>
      </c>
      <c r="K1798" s="29">
        <v>22511</v>
      </c>
    </row>
    <row r="1799" spans="10:11" x14ac:dyDescent="0.25">
      <c r="J1799" s="29" t="s">
        <v>5001</v>
      </c>
      <c r="K1799" s="29">
        <v>22511</v>
      </c>
    </row>
    <row r="1800" spans="10:11" x14ac:dyDescent="0.25">
      <c r="J1800" s="29" t="s">
        <v>5002</v>
      </c>
      <c r="K1800" s="29">
        <v>22511</v>
      </c>
    </row>
    <row r="1801" spans="10:11" x14ac:dyDescent="0.25">
      <c r="J1801" s="29" t="s">
        <v>5003</v>
      </c>
      <c r="K1801" s="29">
        <v>26269</v>
      </c>
    </row>
    <row r="1802" spans="10:11" x14ac:dyDescent="0.25">
      <c r="J1802" s="29" t="s">
        <v>5004</v>
      </c>
      <c r="K1802" s="29">
        <v>35416</v>
      </c>
    </row>
    <row r="1803" spans="10:11" x14ac:dyDescent="0.25">
      <c r="J1803" s="29" t="s">
        <v>5005</v>
      </c>
      <c r="K1803" s="29">
        <v>35416</v>
      </c>
    </row>
    <row r="1804" spans="10:11" x14ac:dyDescent="0.25">
      <c r="J1804" s="29" t="s">
        <v>5006</v>
      </c>
      <c r="K1804" s="29">
        <v>35416</v>
      </c>
    </row>
    <row r="1805" spans="10:11" x14ac:dyDescent="0.25">
      <c r="J1805" s="29" t="s">
        <v>5007</v>
      </c>
      <c r="K1805" s="29">
        <v>61453</v>
      </c>
    </row>
    <row r="1806" spans="10:11" x14ac:dyDescent="0.25">
      <c r="J1806" s="29" t="s">
        <v>5008</v>
      </c>
      <c r="K1806" s="29">
        <v>61453</v>
      </c>
    </row>
    <row r="1807" spans="10:11" x14ac:dyDescent="0.25">
      <c r="J1807" s="29" t="s">
        <v>5009</v>
      </c>
      <c r="K1807" s="29">
        <v>62226</v>
      </c>
    </row>
    <row r="1808" spans="10:11" x14ac:dyDescent="0.25">
      <c r="J1808" s="29" t="s">
        <v>5010</v>
      </c>
      <c r="K1808" s="29">
        <v>63124</v>
      </c>
    </row>
    <row r="1809" spans="10:11" x14ac:dyDescent="0.25">
      <c r="J1809" s="29" t="s">
        <v>5011</v>
      </c>
      <c r="K1809" s="29">
        <v>32189</v>
      </c>
    </row>
    <row r="1810" spans="10:11" x14ac:dyDescent="0.25">
      <c r="J1810" s="29" t="s">
        <v>5012</v>
      </c>
      <c r="K1810" s="29">
        <v>26129</v>
      </c>
    </row>
    <row r="1811" spans="10:11" x14ac:dyDescent="0.25">
      <c r="J1811" s="29" t="s">
        <v>5013</v>
      </c>
      <c r="K1811" s="29">
        <v>26129</v>
      </c>
    </row>
    <row r="1812" spans="10:11" x14ac:dyDescent="0.25">
      <c r="J1812" s="29" t="s">
        <v>5014</v>
      </c>
      <c r="K1812" s="29">
        <v>26129</v>
      </c>
    </row>
    <row r="1813" spans="10:11" x14ac:dyDescent="0.25">
      <c r="J1813" s="29" t="s">
        <v>5015</v>
      </c>
      <c r="K1813" s="29">
        <v>26129</v>
      </c>
    </row>
    <row r="1814" spans="10:11" x14ac:dyDescent="0.25">
      <c r="J1814" s="29" t="s">
        <v>5016</v>
      </c>
      <c r="K1814" s="29">
        <v>73135</v>
      </c>
    </row>
    <row r="1815" spans="10:11" x14ac:dyDescent="0.25">
      <c r="J1815" s="29" t="s">
        <v>5017</v>
      </c>
      <c r="K1815" s="29">
        <v>24267</v>
      </c>
    </row>
    <row r="1816" spans="10:11" x14ac:dyDescent="0.25">
      <c r="J1816" s="29" t="s">
        <v>5018</v>
      </c>
      <c r="K1816" s="29">
        <v>73288</v>
      </c>
    </row>
    <row r="1817" spans="10:11" x14ac:dyDescent="0.25">
      <c r="J1817" s="29" t="s">
        <v>5019</v>
      </c>
      <c r="K1817" s="29">
        <v>24319</v>
      </c>
    </row>
    <row r="1818" spans="10:11" x14ac:dyDescent="0.25">
      <c r="J1818" s="29" t="s">
        <v>5020</v>
      </c>
      <c r="K1818" s="29">
        <v>61481</v>
      </c>
    </row>
    <row r="1819" spans="10:11" x14ac:dyDescent="0.25">
      <c r="J1819" s="29" t="s">
        <v>5021</v>
      </c>
      <c r="K1819" s="29">
        <v>62128</v>
      </c>
    </row>
    <row r="1820" spans="10:11" x14ac:dyDescent="0.25">
      <c r="J1820" s="29" t="s">
        <v>5022</v>
      </c>
      <c r="K1820" s="29">
        <v>62128</v>
      </c>
    </row>
    <row r="1821" spans="10:11" x14ac:dyDescent="0.25">
      <c r="J1821" s="29" t="s">
        <v>5023</v>
      </c>
      <c r="K1821" s="29">
        <v>62128</v>
      </c>
    </row>
    <row r="1822" spans="10:11" x14ac:dyDescent="0.25">
      <c r="J1822" s="29" t="s">
        <v>5024</v>
      </c>
      <c r="K1822" s="29">
        <v>62128</v>
      </c>
    </row>
    <row r="1823" spans="10:11" x14ac:dyDescent="0.25">
      <c r="J1823" s="29" t="s">
        <v>5025</v>
      </c>
      <c r="K1823" s="29">
        <v>62128</v>
      </c>
    </row>
    <row r="1824" spans="10:11" x14ac:dyDescent="0.25">
      <c r="J1824" s="29" t="s">
        <v>5026</v>
      </c>
      <c r="K1824" s="29">
        <v>62128</v>
      </c>
    </row>
    <row r="1825" spans="10:11" x14ac:dyDescent="0.25">
      <c r="J1825" s="29" t="s">
        <v>5027</v>
      </c>
      <c r="K1825" s="29">
        <v>62128</v>
      </c>
    </row>
    <row r="1826" spans="10:11" x14ac:dyDescent="0.25">
      <c r="J1826" s="29" t="s">
        <v>5028</v>
      </c>
      <c r="K1826" s="29">
        <v>62128</v>
      </c>
    </row>
    <row r="1827" spans="10:11" x14ac:dyDescent="0.25">
      <c r="J1827" s="29" t="s">
        <v>5029</v>
      </c>
      <c r="K1827" s="29">
        <v>62128</v>
      </c>
    </row>
    <row r="1828" spans="10:11" x14ac:dyDescent="0.25">
      <c r="J1828" s="29" t="s">
        <v>5030</v>
      </c>
      <c r="K1828" s="29">
        <v>62128</v>
      </c>
    </row>
    <row r="1829" spans="10:11" x14ac:dyDescent="0.25">
      <c r="J1829" s="29" t="s">
        <v>5031</v>
      </c>
      <c r="K1829" s="29">
        <v>62128</v>
      </c>
    </row>
    <row r="1830" spans="10:11" x14ac:dyDescent="0.25">
      <c r="J1830" s="29" t="s">
        <v>5032</v>
      </c>
      <c r="K1830" s="29">
        <v>62128</v>
      </c>
    </row>
    <row r="1831" spans="10:11" x14ac:dyDescent="0.25">
      <c r="J1831" s="29" t="s">
        <v>5033</v>
      </c>
      <c r="K1831" s="29">
        <v>62312</v>
      </c>
    </row>
    <row r="1832" spans="10:11" x14ac:dyDescent="0.25">
      <c r="J1832" s="29" t="s">
        <v>5034</v>
      </c>
      <c r="K1832" s="29">
        <v>62312</v>
      </c>
    </row>
    <row r="1833" spans="10:11" x14ac:dyDescent="0.25">
      <c r="J1833" s="29" t="s">
        <v>5035</v>
      </c>
      <c r="K1833" s="29">
        <v>62283</v>
      </c>
    </row>
    <row r="1834" spans="10:11" x14ac:dyDescent="0.25">
      <c r="J1834" s="29" t="s">
        <v>5036</v>
      </c>
      <c r="K1834" s="29">
        <v>25166</v>
      </c>
    </row>
    <row r="1835" spans="10:11" x14ac:dyDescent="0.25">
      <c r="J1835" s="29" t="s">
        <v>5037</v>
      </c>
      <c r="K1835" s="29">
        <v>25166</v>
      </c>
    </row>
    <row r="1836" spans="10:11" x14ac:dyDescent="0.25">
      <c r="J1836" s="29" t="s">
        <v>5038</v>
      </c>
      <c r="K1836" s="29">
        <v>53459</v>
      </c>
    </row>
    <row r="1837" spans="10:11" x14ac:dyDescent="0.25">
      <c r="J1837" s="29" t="s">
        <v>5039</v>
      </c>
      <c r="K1837" s="29">
        <v>53459</v>
      </c>
    </row>
    <row r="1838" spans="10:11" x14ac:dyDescent="0.25">
      <c r="J1838" s="29" t="s">
        <v>5040</v>
      </c>
      <c r="K1838" s="29">
        <v>53459</v>
      </c>
    </row>
    <row r="1839" spans="10:11" x14ac:dyDescent="0.25">
      <c r="J1839" s="29" t="s">
        <v>5041</v>
      </c>
      <c r="K1839" s="29">
        <v>53459</v>
      </c>
    </row>
    <row r="1840" spans="10:11" x14ac:dyDescent="0.25">
      <c r="J1840" s="29" t="s">
        <v>5042</v>
      </c>
      <c r="K1840" s="29">
        <v>53459</v>
      </c>
    </row>
    <row r="1841" spans="10:11" x14ac:dyDescent="0.25">
      <c r="J1841" s="29" t="s">
        <v>5043</v>
      </c>
      <c r="K1841" s="29">
        <v>74155</v>
      </c>
    </row>
    <row r="1842" spans="10:11" x14ac:dyDescent="0.25">
      <c r="J1842" s="29" t="s">
        <v>5044</v>
      </c>
      <c r="K1842" s="29">
        <v>74155</v>
      </c>
    </row>
    <row r="1843" spans="10:11" x14ac:dyDescent="0.25">
      <c r="J1843" s="29" t="s">
        <v>5045</v>
      </c>
      <c r="K1843" s="29">
        <v>21177</v>
      </c>
    </row>
    <row r="1844" spans="10:11" x14ac:dyDescent="0.25">
      <c r="J1844" s="29" t="s">
        <v>5046</v>
      </c>
      <c r="K1844" s="29">
        <v>21177</v>
      </c>
    </row>
    <row r="1845" spans="10:11" x14ac:dyDescent="0.25">
      <c r="J1845" s="29" t="s">
        <v>5047</v>
      </c>
      <c r="K1845" s="29">
        <v>21177</v>
      </c>
    </row>
    <row r="1846" spans="10:11" x14ac:dyDescent="0.25">
      <c r="J1846" s="29" t="s">
        <v>5048</v>
      </c>
      <c r="K1846" s="29">
        <v>21177</v>
      </c>
    </row>
    <row r="1847" spans="10:11" x14ac:dyDescent="0.25">
      <c r="J1847" s="29" t="s">
        <v>5049</v>
      </c>
      <c r="K1847" s="29">
        <v>21177</v>
      </c>
    </row>
    <row r="1848" spans="10:11" x14ac:dyDescent="0.25">
      <c r="J1848" s="29" t="s">
        <v>5050</v>
      </c>
      <c r="K1848" s="29">
        <v>21177</v>
      </c>
    </row>
    <row r="1849" spans="10:11" x14ac:dyDescent="0.25">
      <c r="J1849" s="29" t="s">
        <v>5051</v>
      </c>
      <c r="K1849" s="29">
        <v>21177</v>
      </c>
    </row>
    <row r="1850" spans="10:11" x14ac:dyDescent="0.25">
      <c r="J1850" s="29" t="s">
        <v>5052</v>
      </c>
      <c r="K1850" s="29">
        <v>21177</v>
      </c>
    </row>
    <row r="1851" spans="10:11" x14ac:dyDescent="0.25">
      <c r="J1851" s="29" t="s">
        <v>5053</v>
      </c>
      <c r="K1851" s="29">
        <v>21177</v>
      </c>
    </row>
    <row r="1852" spans="10:11" x14ac:dyDescent="0.25">
      <c r="J1852" s="29" t="s">
        <v>5054</v>
      </c>
      <c r="K1852" s="29">
        <v>21177</v>
      </c>
    </row>
    <row r="1853" spans="10:11" x14ac:dyDescent="0.25">
      <c r="J1853" s="29" t="s">
        <v>5055</v>
      </c>
      <c r="K1853" s="29">
        <v>21177</v>
      </c>
    </row>
    <row r="1854" spans="10:11" x14ac:dyDescent="0.25">
      <c r="J1854" s="29" t="s">
        <v>5056</v>
      </c>
      <c r="K1854" s="29">
        <v>21177</v>
      </c>
    </row>
    <row r="1855" spans="10:11" x14ac:dyDescent="0.25">
      <c r="J1855" s="29" t="s">
        <v>5057</v>
      </c>
      <c r="K1855" s="29">
        <v>21177</v>
      </c>
    </row>
    <row r="1856" spans="10:11" x14ac:dyDescent="0.25">
      <c r="J1856" s="29" t="s">
        <v>5058</v>
      </c>
      <c r="K1856" s="29">
        <v>21177</v>
      </c>
    </row>
    <row r="1857" spans="10:11" x14ac:dyDescent="0.25">
      <c r="J1857" s="29" t="s">
        <v>5059</v>
      </c>
      <c r="K1857" s="29">
        <v>21177</v>
      </c>
    </row>
    <row r="1858" spans="10:11" x14ac:dyDescent="0.25">
      <c r="J1858" s="29" t="s">
        <v>5060</v>
      </c>
      <c r="K1858" s="29">
        <v>21177</v>
      </c>
    </row>
    <row r="1859" spans="10:11" x14ac:dyDescent="0.25">
      <c r="J1859" s="29" t="s">
        <v>5061</v>
      </c>
      <c r="K1859" s="29">
        <v>21177</v>
      </c>
    </row>
    <row r="1860" spans="10:11" x14ac:dyDescent="0.25">
      <c r="J1860" s="29" t="s">
        <v>5062</v>
      </c>
      <c r="K1860" s="29">
        <v>21177</v>
      </c>
    </row>
    <row r="1861" spans="10:11" x14ac:dyDescent="0.25">
      <c r="J1861" s="29" t="s">
        <v>5063</v>
      </c>
      <c r="K1861" s="29">
        <v>21177</v>
      </c>
    </row>
    <row r="1862" spans="10:11" x14ac:dyDescent="0.25">
      <c r="J1862" s="29" t="s">
        <v>5064</v>
      </c>
      <c r="K1862" s="29">
        <v>21177</v>
      </c>
    </row>
    <row r="1863" spans="10:11" x14ac:dyDescent="0.25">
      <c r="J1863" s="29" t="s">
        <v>5065</v>
      </c>
      <c r="K1863" s="29">
        <v>21177</v>
      </c>
    </row>
    <row r="1864" spans="10:11" x14ac:dyDescent="0.25">
      <c r="J1864" s="29" t="s">
        <v>5066</v>
      </c>
      <c r="K1864" s="29">
        <v>21177</v>
      </c>
    </row>
    <row r="1865" spans="10:11" x14ac:dyDescent="0.25">
      <c r="J1865" s="29" t="s">
        <v>5067</v>
      </c>
      <c r="K1865" s="29">
        <v>21177</v>
      </c>
    </row>
    <row r="1866" spans="10:11" x14ac:dyDescent="0.25">
      <c r="J1866" s="29" t="s">
        <v>5068</v>
      </c>
      <c r="K1866" s="29">
        <v>21177</v>
      </c>
    </row>
    <row r="1867" spans="10:11" x14ac:dyDescent="0.25">
      <c r="J1867" s="29" t="s">
        <v>5069</v>
      </c>
      <c r="K1867" s="29">
        <v>21177</v>
      </c>
    </row>
    <row r="1868" spans="10:11" x14ac:dyDescent="0.25">
      <c r="J1868" s="29" t="s">
        <v>5070</v>
      </c>
      <c r="K1868" s="29">
        <v>21177</v>
      </c>
    </row>
    <row r="1869" spans="10:11" x14ac:dyDescent="0.25">
      <c r="J1869" s="29" t="s">
        <v>5071</v>
      </c>
      <c r="K1869" s="29">
        <v>21177</v>
      </c>
    </row>
    <row r="1870" spans="10:11" x14ac:dyDescent="0.25">
      <c r="J1870" s="29" t="s">
        <v>5072</v>
      </c>
      <c r="K1870" s="29">
        <v>21177</v>
      </c>
    </row>
    <row r="1871" spans="10:11" x14ac:dyDescent="0.25">
      <c r="J1871" s="29" t="s">
        <v>5073</v>
      </c>
      <c r="K1871" s="29">
        <v>21177</v>
      </c>
    </row>
    <row r="1872" spans="10:11" x14ac:dyDescent="0.25">
      <c r="J1872" s="29" t="s">
        <v>5074</v>
      </c>
      <c r="K1872" s="29">
        <v>21177</v>
      </c>
    </row>
    <row r="1873" spans="10:11" x14ac:dyDescent="0.25">
      <c r="J1873" s="29" t="s">
        <v>5075</v>
      </c>
      <c r="K1873" s="29">
        <v>21177</v>
      </c>
    </row>
    <row r="1874" spans="10:11" x14ac:dyDescent="0.25">
      <c r="J1874" s="29" t="s">
        <v>5076</v>
      </c>
      <c r="K1874" s="29">
        <v>21177</v>
      </c>
    </row>
    <row r="1875" spans="10:11" x14ac:dyDescent="0.25">
      <c r="J1875" s="29" t="s">
        <v>5077</v>
      </c>
      <c r="K1875" s="29">
        <v>21177</v>
      </c>
    </row>
    <row r="1876" spans="10:11" x14ac:dyDescent="0.25">
      <c r="J1876" s="29" t="s">
        <v>5078</v>
      </c>
      <c r="K1876" s="29">
        <v>21177</v>
      </c>
    </row>
    <row r="1877" spans="10:11" x14ac:dyDescent="0.25">
      <c r="J1877" s="29" t="s">
        <v>5079</v>
      </c>
      <c r="K1877" s="29">
        <v>21177</v>
      </c>
    </row>
    <row r="1878" spans="10:11" x14ac:dyDescent="0.25">
      <c r="J1878" s="29" t="s">
        <v>5080</v>
      </c>
      <c r="K1878" s="29">
        <v>21177</v>
      </c>
    </row>
    <row r="1879" spans="10:11" x14ac:dyDescent="0.25">
      <c r="J1879" s="29" t="s">
        <v>5081</v>
      </c>
      <c r="K1879" s="29">
        <v>21177</v>
      </c>
    </row>
    <row r="1880" spans="10:11" x14ac:dyDescent="0.25">
      <c r="J1880" s="29" t="s">
        <v>5082</v>
      </c>
      <c r="K1880" s="29">
        <v>21177</v>
      </c>
    </row>
    <row r="1881" spans="10:11" x14ac:dyDescent="0.25">
      <c r="J1881" s="29" t="s">
        <v>5083</v>
      </c>
      <c r="K1881" s="29">
        <v>21177</v>
      </c>
    </row>
    <row r="1882" spans="10:11" x14ac:dyDescent="0.25">
      <c r="J1882" s="29" t="s">
        <v>5084</v>
      </c>
      <c r="K1882" s="29">
        <v>21177</v>
      </c>
    </row>
    <row r="1883" spans="10:11" x14ac:dyDescent="0.25">
      <c r="J1883" s="29" t="s">
        <v>5085</v>
      </c>
      <c r="K1883" s="29">
        <v>21177</v>
      </c>
    </row>
    <row r="1884" spans="10:11" x14ac:dyDescent="0.25">
      <c r="J1884" s="29" t="s">
        <v>5086</v>
      </c>
      <c r="K1884" s="29">
        <v>21177</v>
      </c>
    </row>
    <row r="1885" spans="10:11" x14ac:dyDescent="0.25">
      <c r="J1885" s="29" t="s">
        <v>5087</v>
      </c>
      <c r="K1885" s="29">
        <v>21177</v>
      </c>
    </row>
    <row r="1886" spans="10:11" x14ac:dyDescent="0.25">
      <c r="J1886" s="29" t="s">
        <v>5088</v>
      </c>
      <c r="K1886" s="29">
        <v>21177</v>
      </c>
    </row>
    <row r="1887" spans="10:11" x14ac:dyDescent="0.25">
      <c r="J1887" s="29" t="s">
        <v>5089</v>
      </c>
      <c r="K1887" s="29">
        <v>21177</v>
      </c>
    </row>
    <row r="1888" spans="10:11" x14ac:dyDescent="0.25">
      <c r="J1888" s="29" t="s">
        <v>5090</v>
      </c>
      <c r="K1888" s="29">
        <v>21177</v>
      </c>
    </row>
    <row r="1889" spans="10:11" x14ac:dyDescent="0.25">
      <c r="J1889" s="29" t="s">
        <v>5091</v>
      </c>
      <c r="K1889" s="29">
        <v>21177</v>
      </c>
    </row>
    <row r="1890" spans="10:11" x14ac:dyDescent="0.25">
      <c r="J1890" s="29" t="s">
        <v>5092</v>
      </c>
      <c r="K1890" s="29">
        <v>21177</v>
      </c>
    </row>
    <row r="1891" spans="10:11" x14ac:dyDescent="0.25">
      <c r="J1891" s="29" t="s">
        <v>5093</v>
      </c>
      <c r="K1891" s="29">
        <v>21177</v>
      </c>
    </row>
    <row r="1892" spans="10:11" x14ac:dyDescent="0.25">
      <c r="J1892" s="29" t="s">
        <v>5094</v>
      </c>
      <c r="K1892" s="29">
        <v>21177</v>
      </c>
    </row>
    <row r="1893" spans="10:11" x14ac:dyDescent="0.25">
      <c r="J1893" s="29" t="s">
        <v>5095</v>
      </c>
      <c r="K1893" s="29">
        <v>21177</v>
      </c>
    </row>
    <row r="1894" spans="10:11" x14ac:dyDescent="0.25">
      <c r="J1894" s="29" t="s">
        <v>5096</v>
      </c>
      <c r="K1894" s="29">
        <v>21177</v>
      </c>
    </row>
    <row r="1895" spans="10:11" x14ac:dyDescent="0.25">
      <c r="J1895" s="29" t="s">
        <v>5097</v>
      </c>
      <c r="K1895" s="29">
        <v>21177</v>
      </c>
    </row>
    <row r="1896" spans="10:11" x14ac:dyDescent="0.25">
      <c r="J1896" s="29" t="s">
        <v>5098</v>
      </c>
      <c r="K1896" s="29">
        <v>21177</v>
      </c>
    </row>
    <row r="1897" spans="10:11" x14ac:dyDescent="0.25">
      <c r="J1897" s="29" t="s">
        <v>5099</v>
      </c>
      <c r="K1897" s="29">
        <v>21177</v>
      </c>
    </row>
    <row r="1898" spans="10:11" x14ac:dyDescent="0.25">
      <c r="J1898" s="29" t="s">
        <v>5100</v>
      </c>
      <c r="K1898" s="29">
        <v>21177</v>
      </c>
    </row>
    <row r="1899" spans="10:11" x14ac:dyDescent="0.25">
      <c r="J1899" s="29" t="s">
        <v>5101</v>
      </c>
      <c r="K1899" s="29">
        <v>21177</v>
      </c>
    </row>
    <row r="1900" spans="10:11" x14ac:dyDescent="0.25">
      <c r="J1900" s="29" t="s">
        <v>5102</v>
      </c>
      <c r="K1900" s="29">
        <v>21177</v>
      </c>
    </row>
    <row r="1901" spans="10:11" x14ac:dyDescent="0.25">
      <c r="J1901" s="29" t="s">
        <v>5103</v>
      </c>
      <c r="K1901" s="29">
        <v>21177</v>
      </c>
    </row>
    <row r="1902" spans="10:11" x14ac:dyDescent="0.25">
      <c r="J1902" s="29" t="s">
        <v>5104</v>
      </c>
      <c r="K1902" s="29">
        <v>21177</v>
      </c>
    </row>
    <row r="1903" spans="10:11" x14ac:dyDescent="0.25">
      <c r="J1903" s="29" t="s">
        <v>5105</v>
      </c>
      <c r="K1903" s="29">
        <v>21177</v>
      </c>
    </row>
    <row r="1904" spans="10:11" x14ac:dyDescent="0.25">
      <c r="J1904" s="29" t="s">
        <v>5106</v>
      </c>
      <c r="K1904" s="29">
        <v>25313</v>
      </c>
    </row>
    <row r="1905" spans="10:11" x14ac:dyDescent="0.25">
      <c r="J1905" s="29" t="s">
        <v>5107</v>
      </c>
      <c r="K1905" s="29">
        <v>22111</v>
      </c>
    </row>
    <row r="1906" spans="10:11" x14ac:dyDescent="0.25">
      <c r="J1906" s="29" t="s">
        <v>5108</v>
      </c>
      <c r="K1906" s="29">
        <v>22111</v>
      </c>
    </row>
    <row r="1907" spans="10:11" x14ac:dyDescent="0.25">
      <c r="J1907" s="29" t="s">
        <v>5109</v>
      </c>
      <c r="K1907" s="29">
        <v>22111</v>
      </c>
    </row>
    <row r="1908" spans="10:11" x14ac:dyDescent="0.25">
      <c r="J1908" s="29" t="s">
        <v>5110</v>
      </c>
      <c r="K1908" s="29">
        <v>22111</v>
      </c>
    </row>
    <row r="1909" spans="10:11" x14ac:dyDescent="0.25">
      <c r="J1909" s="29" t="s">
        <v>5111</v>
      </c>
      <c r="K1909" s="29">
        <v>22111</v>
      </c>
    </row>
    <row r="1910" spans="10:11" x14ac:dyDescent="0.25">
      <c r="J1910" s="29" t="s">
        <v>5112</v>
      </c>
      <c r="K1910" s="29">
        <v>22111</v>
      </c>
    </row>
    <row r="1911" spans="10:11" x14ac:dyDescent="0.25">
      <c r="J1911" s="29" t="s">
        <v>5113</v>
      </c>
      <c r="K1911" s="29">
        <v>22111</v>
      </c>
    </row>
    <row r="1912" spans="10:11" x14ac:dyDescent="0.25">
      <c r="J1912" s="29" t="s">
        <v>5114</v>
      </c>
      <c r="K1912" s="29">
        <v>22111</v>
      </c>
    </row>
    <row r="1913" spans="10:11" x14ac:dyDescent="0.25">
      <c r="J1913" s="29" t="s">
        <v>5115</v>
      </c>
      <c r="K1913" s="29">
        <v>22111</v>
      </c>
    </row>
    <row r="1914" spans="10:11" x14ac:dyDescent="0.25">
      <c r="J1914" s="29" t="s">
        <v>5116</v>
      </c>
      <c r="K1914" s="29">
        <v>22111</v>
      </c>
    </row>
    <row r="1915" spans="10:11" x14ac:dyDescent="0.25">
      <c r="J1915" s="29" t="s">
        <v>5117</v>
      </c>
      <c r="K1915" s="29">
        <v>22111</v>
      </c>
    </row>
    <row r="1916" spans="10:11" x14ac:dyDescent="0.25">
      <c r="J1916" s="29" t="s">
        <v>5118</v>
      </c>
      <c r="K1916" s="29">
        <v>22111</v>
      </c>
    </row>
    <row r="1917" spans="10:11" x14ac:dyDescent="0.25">
      <c r="J1917" s="29" t="s">
        <v>5119</v>
      </c>
      <c r="K1917" s="29">
        <v>22111</v>
      </c>
    </row>
    <row r="1918" spans="10:11" x14ac:dyDescent="0.25">
      <c r="J1918" s="29" t="s">
        <v>5120</v>
      </c>
      <c r="K1918" s="29">
        <v>22111</v>
      </c>
    </row>
    <row r="1919" spans="10:11" x14ac:dyDescent="0.25">
      <c r="J1919" s="29" t="s">
        <v>5121</v>
      </c>
      <c r="K1919" s="29">
        <v>22111</v>
      </c>
    </row>
    <row r="1920" spans="10:11" x14ac:dyDescent="0.25">
      <c r="J1920" s="29" t="s">
        <v>5122</v>
      </c>
      <c r="K1920" s="29">
        <v>22111</v>
      </c>
    </row>
    <row r="1921" spans="10:11" x14ac:dyDescent="0.25">
      <c r="J1921" s="29" t="s">
        <v>5123</v>
      </c>
      <c r="K1921" s="29">
        <v>22111</v>
      </c>
    </row>
    <row r="1922" spans="10:11" x14ac:dyDescent="0.25">
      <c r="J1922" s="29" t="s">
        <v>5124</v>
      </c>
      <c r="K1922" s="29">
        <v>22111</v>
      </c>
    </row>
    <row r="1923" spans="10:11" x14ac:dyDescent="0.25">
      <c r="J1923" s="29" t="s">
        <v>5125</v>
      </c>
      <c r="K1923" s="29">
        <v>22111</v>
      </c>
    </row>
    <row r="1924" spans="10:11" x14ac:dyDescent="0.25">
      <c r="J1924" s="29" t="s">
        <v>5126</v>
      </c>
      <c r="K1924" s="29">
        <v>22111</v>
      </c>
    </row>
    <row r="1925" spans="10:11" x14ac:dyDescent="0.25">
      <c r="J1925" s="29" t="s">
        <v>5127</v>
      </c>
      <c r="K1925" s="29">
        <v>22111</v>
      </c>
    </row>
    <row r="1926" spans="10:11" x14ac:dyDescent="0.25">
      <c r="J1926" s="29" t="s">
        <v>5128</v>
      </c>
      <c r="K1926" s="29">
        <v>23247</v>
      </c>
    </row>
    <row r="1927" spans="10:11" x14ac:dyDescent="0.25">
      <c r="J1927" s="29" t="s">
        <v>5129</v>
      </c>
      <c r="K1927" s="29">
        <v>23247</v>
      </c>
    </row>
    <row r="1928" spans="10:11" x14ac:dyDescent="0.25">
      <c r="J1928" s="29" t="s">
        <v>5130</v>
      </c>
      <c r="K1928" s="29">
        <v>23247</v>
      </c>
    </row>
    <row r="1929" spans="10:11" x14ac:dyDescent="0.25">
      <c r="J1929" s="29" t="s">
        <v>5131</v>
      </c>
      <c r="K1929" s="29">
        <v>37317</v>
      </c>
    </row>
    <row r="1930" spans="10:11" x14ac:dyDescent="0.25">
      <c r="J1930" s="29" t="s">
        <v>5132</v>
      </c>
      <c r="K1930" s="29">
        <v>37317</v>
      </c>
    </row>
    <row r="1931" spans="10:11" x14ac:dyDescent="0.25">
      <c r="J1931" s="29" t="s">
        <v>5133</v>
      </c>
      <c r="K1931" s="29">
        <v>25176</v>
      </c>
    </row>
    <row r="1932" spans="10:11" x14ac:dyDescent="0.25">
      <c r="J1932" s="29" t="s">
        <v>5134</v>
      </c>
      <c r="K1932" s="29">
        <v>37319</v>
      </c>
    </row>
    <row r="1933" spans="10:11" x14ac:dyDescent="0.25">
      <c r="J1933" s="29" t="s">
        <v>5135</v>
      </c>
      <c r="K1933" s="29">
        <v>22431</v>
      </c>
    </row>
    <row r="1934" spans="10:11" x14ac:dyDescent="0.25">
      <c r="J1934" s="29" t="s">
        <v>5136</v>
      </c>
      <c r="K1934" s="29">
        <v>22431</v>
      </c>
    </row>
    <row r="1935" spans="10:11" x14ac:dyDescent="0.25">
      <c r="J1935" s="29" t="s">
        <v>5137</v>
      </c>
      <c r="K1935" s="29">
        <v>35147</v>
      </c>
    </row>
    <row r="1936" spans="10:11" x14ac:dyDescent="0.25">
      <c r="J1936" s="29" t="s">
        <v>5138</v>
      </c>
      <c r="K1936" s="29">
        <v>35147</v>
      </c>
    </row>
    <row r="1937" spans="10:11" x14ac:dyDescent="0.25">
      <c r="J1937" s="29" t="s">
        <v>5139</v>
      </c>
      <c r="K1937" s="29">
        <v>61266</v>
      </c>
    </row>
    <row r="1938" spans="10:11" x14ac:dyDescent="0.25">
      <c r="J1938" s="29" t="s">
        <v>5140</v>
      </c>
      <c r="K1938" s="29">
        <v>61266</v>
      </c>
    </row>
    <row r="1939" spans="10:11" x14ac:dyDescent="0.25">
      <c r="J1939" s="29" t="s">
        <v>5141</v>
      </c>
      <c r="K1939" s="29">
        <v>71387</v>
      </c>
    </row>
    <row r="1940" spans="10:11" x14ac:dyDescent="0.25">
      <c r="J1940" s="29" t="s">
        <v>5142</v>
      </c>
      <c r="K1940" s="29">
        <v>61123</v>
      </c>
    </row>
    <row r="1941" spans="10:11" x14ac:dyDescent="0.25">
      <c r="J1941" s="29" t="s">
        <v>5143</v>
      </c>
      <c r="K1941" s="29">
        <v>61123</v>
      </c>
    </row>
    <row r="1942" spans="10:11" x14ac:dyDescent="0.25">
      <c r="J1942" s="29" t="s">
        <v>5144</v>
      </c>
      <c r="K1942" s="29">
        <v>61123</v>
      </c>
    </row>
    <row r="1943" spans="10:11" x14ac:dyDescent="0.25">
      <c r="J1943" s="29" t="s">
        <v>5145</v>
      </c>
      <c r="K1943" s="29">
        <v>53453</v>
      </c>
    </row>
    <row r="1944" spans="10:11" x14ac:dyDescent="0.25">
      <c r="J1944" s="29" t="s">
        <v>5146</v>
      </c>
      <c r="K1944" s="29">
        <v>53453</v>
      </c>
    </row>
    <row r="1945" spans="10:11" x14ac:dyDescent="0.25">
      <c r="J1945" s="29" t="s">
        <v>5147</v>
      </c>
      <c r="K1945" s="29">
        <v>53453</v>
      </c>
    </row>
    <row r="1946" spans="10:11" x14ac:dyDescent="0.25">
      <c r="J1946" s="29" t="s">
        <v>5148</v>
      </c>
      <c r="K1946" s="29">
        <v>53453</v>
      </c>
    </row>
    <row r="1947" spans="10:11" x14ac:dyDescent="0.25">
      <c r="J1947" s="29" t="s">
        <v>5149</v>
      </c>
      <c r="K1947" s="29">
        <v>53453</v>
      </c>
    </row>
    <row r="1948" spans="10:11" x14ac:dyDescent="0.25">
      <c r="J1948" s="29" t="s">
        <v>5150</v>
      </c>
      <c r="K1948" s="29">
        <v>53453</v>
      </c>
    </row>
    <row r="1949" spans="10:11" x14ac:dyDescent="0.25">
      <c r="J1949" s="29" t="s">
        <v>5151</v>
      </c>
      <c r="K1949" s="29">
        <v>53453</v>
      </c>
    </row>
    <row r="1950" spans="10:11" x14ac:dyDescent="0.25">
      <c r="J1950" s="29" t="s">
        <v>5152</v>
      </c>
      <c r="K1950" s="29">
        <v>53453</v>
      </c>
    </row>
    <row r="1951" spans="10:11" x14ac:dyDescent="0.25">
      <c r="J1951" s="29" t="s">
        <v>5153</v>
      </c>
      <c r="K1951" s="29">
        <v>22611</v>
      </c>
    </row>
    <row r="1952" spans="10:11" x14ac:dyDescent="0.25">
      <c r="J1952" s="29" t="s">
        <v>5154</v>
      </c>
      <c r="K1952" s="29">
        <v>22611</v>
      </c>
    </row>
    <row r="1953" spans="10:11" x14ac:dyDescent="0.25">
      <c r="J1953" s="29" t="s">
        <v>5155</v>
      </c>
      <c r="K1953" s="29">
        <v>22439</v>
      </c>
    </row>
    <row r="1954" spans="10:11" x14ac:dyDescent="0.25">
      <c r="J1954" s="29" t="s">
        <v>5156</v>
      </c>
      <c r="K1954" s="29">
        <v>22439</v>
      </c>
    </row>
    <row r="1955" spans="10:11" x14ac:dyDescent="0.25">
      <c r="J1955" s="29" t="s">
        <v>5157</v>
      </c>
      <c r="K1955" s="29">
        <v>22757</v>
      </c>
    </row>
    <row r="1956" spans="10:11" x14ac:dyDescent="0.25">
      <c r="J1956" s="29" t="s">
        <v>5158</v>
      </c>
      <c r="K1956" s="29">
        <v>22757</v>
      </c>
    </row>
    <row r="1957" spans="10:11" x14ac:dyDescent="0.25">
      <c r="J1957" s="29" t="s">
        <v>5159</v>
      </c>
      <c r="K1957" s="29">
        <v>32119</v>
      </c>
    </row>
    <row r="1958" spans="10:11" x14ac:dyDescent="0.25">
      <c r="J1958" s="29" t="s">
        <v>5160</v>
      </c>
      <c r="K1958" s="29">
        <v>32119</v>
      </c>
    </row>
    <row r="1959" spans="10:11" x14ac:dyDescent="0.25">
      <c r="J1959" s="29" t="s">
        <v>5161</v>
      </c>
      <c r="K1959" s="29">
        <v>32119</v>
      </c>
    </row>
    <row r="1960" spans="10:11" x14ac:dyDescent="0.25">
      <c r="J1960" s="29" t="s">
        <v>5162</v>
      </c>
      <c r="K1960" s="29">
        <v>32169</v>
      </c>
    </row>
    <row r="1961" spans="10:11" x14ac:dyDescent="0.25">
      <c r="J1961" s="29" t="s">
        <v>5163</v>
      </c>
      <c r="K1961" s="29">
        <v>32169</v>
      </c>
    </row>
    <row r="1962" spans="10:11" x14ac:dyDescent="0.25">
      <c r="J1962" s="29" t="s">
        <v>5164</v>
      </c>
      <c r="K1962" s="29">
        <v>32169</v>
      </c>
    </row>
    <row r="1963" spans="10:11" x14ac:dyDescent="0.25">
      <c r="J1963" s="29" t="s">
        <v>5165</v>
      </c>
      <c r="K1963" s="29">
        <v>35316</v>
      </c>
    </row>
    <row r="1964" spans="10:11" x14ac:dyDescent="0.25">
      <c r="J1964" s="29" t="s">
        <v>5166</v>
      </c>
      <c r="K1964" s="29">
        <v>32121</v>
      </c>
    </row>
    <row r="1965" spans="10:11" x14ac:dyDescent="0.25">
      <c r="J1965" s="29" t="s">
        <v>5167</v>
      </c>
      <c r="K1965" s="29">
        <v>25337</v>
      </c>
    </row>
    <row r="1966" spans="10:11" x14ac:dyDescent="0.25">
      <c r="J1966" s="29" t="s">
        <v>5168</v>
      </c>
      <c r="K1966" s="29">
        <v>25337</v>
      </c>
    </row>
    <row r="1967" spans="10:11" x14ac:dyDescent="0.25">
      <c r="J1967" s="29" t="s">
        <v>5169</v>
      </c>
      <c r="K1967" s="29">
        <v>53274</v>
      </c>
    </row>
    <row r="1968" spans="10:11" x14ac:dyDescent="0.25">
      <c r="J1968" s="29" t="s">
        <v>5170</v>
      </c>
      <c r="K1968" s="29">
        <v>53274</v>
      </c>
    </row>
    <row r="1969" spans="10:11" x14ac:dyDescent="0.25">
      <c r="J1969" s="29" t="s">
        <v>5171</v>
      </c>
      <c r="K1969" s="29">
        <v>53274</v>
      </c>
    </row>
    <row r="1970" spans="10:11" x14ac:dyDescent="0.25">
      <c r="J1970" s="29" t="s">
        <v>5172</v>
      </c>
      <c r="K1970" s="29">
        <v>53274</v>
      </c>
    </row>
    <row r="1971" spans="10:11" x14ac:dyDescent="0.25">
      <c r="J1971" s="29" t="s">
        <v>5173</v>
      </c>
      <c r="K1971" s="29">
        <v>53274</v>
      </c>
    </row>
    <row r="1972" spans="10:11" x14ac:dyDescent="0.25">
      <c r="J1972" s="29" t="s">
        <v>5174</v>
      </c>
      <c r="K1972" s="29">
        <v>53274</v>
      </c>
    </row>
    <row r="1973" spans="10:11" x14ac:dyDescent="0.25">
      <c r="J1973" s="29" t="s">
        <v>5175</v>
      </c>
      <c r="K1973" s="29">
        <v>53274</v>
      </c>
    </row>
    <row r="1974" spans="10:11" x14ac:dyDescent="0.25">
      <c r="J1974" s="29" t="s">
        <v>5176</v>
      </c>
      <c r="K1974" s="29">
        <v>53274</v>
      </c>
    </row>
    <row r="1975" spans="10:11" x14ac:dyDescent="0.25">
      <c r="J1975" s="29" t="s">
        <v>5177</v>
      </c>
      <c r="K1975" s="29">
        <v>72229</v>
      </c>
    </row>
    <row r="1976" spans="10:11" x14ac:dyDescent="0.25">
      <c r="J1976" s="29" t="s">
        <v>5178</v>
      </c>
      <c r="K1976" s="29">
        <v>72229</v>
      </c>
    </row>
    <row r="1977" spans="10:11" x14ac:dyDescent="0.25">
      <c r="J1977" s="29" t="s">
        <v>5179</v>
      </c>
      <c r="K1977" s="29">
        <v>72229</v>
      </c>
    </row>
    <row r="1978" spans="10:11" x14ac:dyDescent="0.25">
      <c r="J1978" s="29" t="s">
        <v>5180</v>
      </c>
      <c r="K1978" s="29">
        <v>54127</v>
      </c>
    </row>
    <row r="1979" spans="10:11" x14ac:dyDescent="0.25">
      <c r="J1979" s="29" t="s">
        <v>5181</v>
      </c>
      <c r="K1979" s="29">
        <v>54127</v>
      </c>
    </row>
    <row r="1980" spans="10:11" x14ac:dyDescent="0.25">
      <c r="J1980" s="29" t="s">
        <v>5182</v>
      </c>
      <c r="K1980" s="29">
        <v>54127</v>
      </c>
    </row>
    <row r="1981" spans="10:11" x14ac:dyDescent="0.25">
      <c r="J1981" s="29" t="s">
        <v>5183</v>
      </c>
      <c r="K1981" s="29">
        <v>54127</v>
      </c>
    </row>
    <row r="1982" spans="10:11" x14ac:dyDescent="0.25">
      <c r="J1982" s="29" t="s">
        <v>5184</v>
      </c>
      <c r="K1982" s="29">
        <v>71321</v>
      </c>
    </row>
    <row r="1983" spans="10:11" x14ac:dyDescent="0.25">
      <c r="J1983" s="29" t="s">
        <v>5185</v>
      </c>
      <c r="K1983" s="29">
        <v>71321</v>
      </c>
    </row>
    <row r="1984" spans="10:11" x14ac:dyDescent="0.25">
      <c r="J1984" s="29" t="s">
        <v>5186</v>
      </c>
      <c r="K1984" s="29">
        <v>71321</v>
      </c>
    </row>
    <row r="1985" spans="10:11" x14ac:dyDescent="0.25">
      <c r="J1985" s="29" t="s">
        <v>5187</v>
      </c>
      <c r="K1985" s="29">
        <v>71321</v>
      </c>
    </row>
    <row r="1986" spans="10:11" x14ac:dyDescent="0.25">
      <c r="J1986" s="29" t="s">
        <v>5188</v>
      </c>
      <c r="K1986" s="29">
        <v>74130</v>
      </c>
    </row>
    <row r="1987" spans="10:11" x14ac:dyDescent="0.25">
      <c r="J1987" s="29" t="s">
        <v>5189</v>
      </c>
      <c r="K1987" s="29">
        <v>74130</v>
      </c>
    </row>
    <row r="1988" spans="10:11" x14ac:dyDescent="0.25">
      <c r="J1988" s="29" t="s">
        <v>5190</v>
      </c>
      <c r="K1988" s="29">
        <v>62254</v>
      </c>
    </row>
    <row r="1989" spans="10:11" x14ac:dyDescent="0.25">
      <c r="J1989" s="29" t="s">
        <v>5191</v>
      </c>
      <c r="K1989" s="29">
        <v>62254</v>
      </c>
    </row>
    <row r="1990" spans="10:11" x14ac:dyDescent="0.25">
      <c r="J1990" s="29" t="s">
        <v>5192</v>
      </c>
      <c r="K1990" s="29">
        <v>62254</v>
      </c>
    </row>
    <row r="1991" spans="10:11" x14ac:dyDescent="0.25">
      <c r="J1991" s="29" t="s">
        <v>5193</v>
      </c>
      <c r="K1991" s="29">
        <v>62264</v>
      </c>
    </row>
    <row r="1992" spans="10:11" x14ac:dyDescent="0.25">
      <c r="J1992" s="29" t="s">
        <v>5194</v>
      </c>
      <c r="K1992" s="29">
        <v>62264</v>
      </c>
    </row>
    <row r="1993" spans="10:11" x14ac:dyDescent="0.25">
      <c r="J1993" s="29" t="s">
        <v>5195</v>
      </c>
      <c r="K1993" s="29">
        <v>35113</v>
      </c>
    </row>
    <row r="1994" spans="10:11" x14ac:dyDescent="0.25">
      <c r="J1994" s="29" t="s">
        <v>5196</v>
      </c>
      <c r="K1994" s="29">
        <v>35113</v>
      </c>
    </row>
    <row r="1995" spans="10:11" x14ac:dyDescent="0.25">
      <c r="J1995" s="29" t="s">
        <v>5197</v>
      </c>
      <c r="K1995" s="29">
        <v>35113</v>
      </c>
    </row>
    <row r="1996" spans="10:11" x14ac:dyDescent="0.25">
      <c r="J1996" s="29" t="s">
        <v>5198</v>
      </c>
      <c r="K1996" s="29">
        <v>35113</v>
      </c>
    </row>
    <row r="1997" spans="10:11" x14ac:dyDescent="0.25">
      <c r="J1997" s="29" t="s">
        <v>5199</v>
      </c>
      <c r="K1997" s="29">
        <v>35123</v>
      </c>
    </row>
    <row r="1998" spans="10:11" x14ac:dyDescent="0.25">
      <c r="J1998" s="29" t="s">
        <v>5200</v>
      </c>
      <c r="K1998" s="29">
        <v>35123</v>
      </c>
    </row>
    <row r="1999" spans="10:11" x14ac:dyDescent="0.25">
      <c r="J1999" s="29" t="s">
        <v>5201</v>
      </c>
      <c r="K1999" s="29">
        <v>35267</v>
      </c>
    </row>
    <row r="2000" spans="10:11" x14ac:dyDescent="0.25">
      <c r="J2000" s="29" t="s">
        <v>5202</v>
      </c>
      <c r="K2000" s="29">
        <v>23211</v>
      </c>
    </row>
    <row r="2001" spans="10:11" x14ac:dyDescent="0.25">
      <c r="J2001" s="29" t="s">
        <v>5203</v>
      </c>
      <c r="K2001" s="29">
        <v>23211</v>
      </c>
    </row>
    <row r="2002" spans="10:11" x14ac:dyDescent="0.25">
      <c r="J2002" s="29" t="s">
        <v>5204</v>
      </c>
      <c r="K2002" s="29">
        <v>23211</v>
      </c>
    </row>
    <row r="2003" spans="10:11" x14ac:dyDescent="0.25">
      <c r="J2003" s="29" t="s">
        <v>5205</v>
      </c>
      <c r="K2003" s="29">
        <v>23211</v>
      </c>
    </row>
    <row r="2004" spans="10:11" x14ac:dyDescent="0.25">
      <c r="J2004" s="29" t="s">
        <v>5206</v>
      </c>
      <c r="K2004" s="29">
        <v>23211</v>
      </c>
    </row>
    <row r="2005" spans="10:11" x14ac:dyDescent="0.25">
      <c r="J2005" s="29" t="s">
        <v>5207</v>
      </c>
      <c r="K2005" s="29">
        <v>23211</v>
      </c>
    </row>
    <row r="2006" spans="10:11" x14ac:dyDescent="0.25">
      <c r="J2006" s="29" t="s">
        <v>5208</v>
      </c>
      <c r="K2006" s="29">
        <v>23211</v>
      </c>
    </row>
    <row r="2007" spans="10:11" x14ac:dyDescent="0.25">
      <c r="J2007" s="29" t="s">
        <v>5209</v>
      </c>
      <c r="K2007" s="29">
        <v>34188</v>
      </c>
    </row>
    <row r="2008" spans="10:11" x14ac:dyDescent="0.25">
      <c r="J2008" s="29" t="s">
        <v>5210</v>
      </c>
      <c r="K2008" s="29">
        <v>34188</v>
      </c>
    </row>
    <row r="2009" spans="10:11" x14ac:dyDescent="0.25">
      <c r="J2009" s="29" t="s">
        <v>5211</v>
      </c>
      <c r="K2009" s="29">
        <v>34188</v>
      </c>
    </row>
    <row r="2010" spans="10:11" x14ac:dyDescent="0.25">
      <c r="J2010" s="29" t="s">
        <v>5212</v>
      </c>
      <c r="K2010" s="29">
        <v>34188</v>
      </c>
    </row>
    <row r="2011" spans="10:11" x14ac:dyDescent="0.25">
      <c r="J2011" s="29" t="s">
        <v>5213</v>
      </c>
      <c r="K2011" s="29">
        <v>34188</v>
      </c>
    </row>
    <row r="2012" spans="10:11" x14ac:dyDescent="0.25">
      <c r="J2012" s="29" t="s">
        <v>5214</v>
      </c>
      <c r="K2012" s="29">
        <v>34188</v>
      </c>
    </row>
    <row r="2013" spans="10:11" x14ac:dyDescent="0.25">
      <c r="J2013" s="29" t="s">
        <v>5215</v>
      </c>
      <c r="K2013" s="29">
        <v>35224</v>
      </c>
    </row>
    <row r="2014" spans="10:11" x14ac:dyDescent="0.25">
      <c r="J2014" s="29" t="s">
        <v>5216</v>
      </c>
      <c r="K2014" s="29">
        <v>21111</v>
      </c>
    </row>
    <row r="2015" spans="10:11" x14ac:dyDescent="0.25">
      <c r="J2015" s="29" t="s">
        <v>5217</v>
      </c>
      <c r="K2015" s="29">
        <v>21111</v>
      </c>
    </row>
    <row r="2016" spans="10:11" x14ac:dyDescent="0.25">
      <c r="J2016" s="29" t="s">
        <v>5218</v>
      </c>
      <c r="K2016" s="29">
        <v>21111</v>
      </c>
    </row>
    <row r="2017" spans="10:11" x14ac:dyDescent="0.25">
      <c r="J2017" s="29" t="s">
        <v>5219</v>
      </c>
      <c r="K2017" s="29">
        <v>21111</v>
      </c>
    </row>
    <row r="2018" spans="10:11" x14ac:dyDescent="0.25">
      <c r="J2018" s="29" t="s">
        <v>5220</v>
      </c>
      <c r="K2018" s="29">
        <v>21111</v>
      </c>
    </row>
    <row r="2019" spans="10:11" x14ac:dyDescent="0.25">
      <c r="J2019" s="29" t="s">
        <v>5221</v>
      </c>
      <c r="K2019" s="29">
        <v>21111</v>
      </c>
    </row>
    <row r="2020" spans="10:11" x14ac:dyDescent="0.25">
      <c r="J2020" s="29" t="s">
        <v>5222</v>
      </c>
      <c r="K2020" s="29">
        <v>21111</v>
      </c>
    </row>
    <row r="2021" spans="10:11" x14ac:dyDescent="0.25">
      <c r="J2021" s="29" t="s">
        <v>5223</v>
      </c>
      <c r="K2021" s="29">
        <v>21111</v>
      </c>
    </row>
    <row r="2022" spans="10:11" x14ac:dyDescent="0.25">
      <c r="J2022" s="29" t="s">
        <v>5224</v>
      </c>
      <c r="K2022" s="29">
        <v>21111</v>
      </c>
    </row>
    <row r="2023" spans="10:11" x14ac:dyDescent="0.25">
      <c r="J2023" s="29" t="s">
        <v>3856</v>
      </c>
      <c r="K2023" s="29">
        <v>21111</v>
      </c>
    </row>
    <row r="2024" spans="10:11" x14ac:dyDescent="0.25">
      <c r="J2024" s="29" t="s">
        <v>5225</v>
      </c>
      <c r="K2024" s="29">
        <v>21111</v>
      </c>
    </row>
    <row r="2025" spans="10:11" x14ac:dyDescent="0.25">
      <c r="J2025" s="29" t="s">
        <v>5226</v>
      </c>
      <c r="K2025" s="29">
        <v>21111</v>
      </c>
    </row>
    <row r="2026" spans="10:11" x14ac:dyDescent="0.25">
      <c r="J2026" s="29" t="s">
        <v>5227</v>
      </c>
      <c r="K2026" s="29">
        <v>21111</v>
      </c>
    </row>
    <row r="2027" spans="10:11" x14ac:dyDescent="0.25">
      <c r="J2027" s="29" t="s">
        <v>5228</v>
      </c>
      <c r="K2027" s="29">
        <v>21111</v>
      </c>
    </row>
    <row r="2028" spans="10:11" x14ac:dyDescent="0.25">
      <c r="J2028" s="29" t="s">
        <v>5229</v>
      </c>
      <c r="K2028" s="29">
        <v>21111</v>
      </c>
    </row>
    <row r="2029" spans="10:11" x14ac:dyDescent="0.25">
      <c r="J2029" s="29" t="s">
        <v>5230</v>
      </c>
      <c r="K2029" s="29">
        <v>21111</v>
      </c>
    </row>
    <row r="2030" spans="10:11" x14ac:dyDescent="0.25">
      <c r="J2030" s="29" t="s">
        <v>5231</v>
      </c>
      <c r="K2030" s="29">
        <v>21111</v>
      </c>
    </row>
    <row r="2031" spans="10:11" x14ac:dyDescent="0.25">
      <c r="J2031" s="29" t="s">
        <v>5232</v>
      </c>
      <c r="K2031" s="29">
        <v>21111</v>
      </c>
    </row>
    <row r="2032" spans="10:11" x14ac:dyDescent="0.25">
      <c r="J2032" s="29" t="s">
        <v>5233</v>
      </c>
      <c r="K2032" s="29">
        <v>21111</v>
      </c>
    </row>
    <row r="2033" spans="10:11" x14ac:dyDescent="0.25">
      <c r="J2033" s="29" t="s">
        <v>5234</v>
      </c>
      <c r="K2033" s="29">
        <v>21111</v>
      </c>
    </row>
    <row r="2034" spans="10:11" x14ac:dyDescent="0.25">
      <c r="J2034" s="29" t="s">
        <v>5235</v>
      </c>
      <c r="K2034" s="29">
        <v>21111</v>
      </c>
    </row>
    <row r="2035" spans="10:11" x14ac:dyDescent="0.25">
      <c r="J2035" s="29" t="s">
        <v>5236</v>
      </c>
      <c r="K2035" s="29">
        <v>21111</v>
      </c>
    </row>
    <row r="2036" spans="10:11" x14ac:dyDescent="0.25">
      <c r="J2036" s="29" t="s">
        <v>5237</v>
      </c>
      <c r="K2036" s="29">
        <v>21111</v>
      </c>
    </row>
    <row r="2037" spans="10:11" x14ac:dyDescent="0.25">
      <c r="J2037" s="29" t="s">
        <v>5238</v>
      </c>
      <c r="K2037" s="29">
        <v>21111</v>
      </c>
    </row>
    <row r="2038" spans="10:11" x14ac:dyDescent="0.25">
      <c r="J2038" s="29" t="s">
        <v>5239</v>
      </c>
      <c r="K2038" s="29">
        <v>21111</v>
      </c>
    </row>
    <row r="2039" spans="10:11" x14ac:dyDescent="0.25">
      <c r="J2039" s="29" t="s">
        <v>5240</v>
      </c>
      <c r="K2039" s="29">
        <v>21111</v>
      </c>
    </row>
    <row r="2040" spans="10:11" x14ac:dyDescent="0.25">
      <c r="J2040" s="29" t="s">
        <v>5241</v>
      </c>
      <c r="K2040" s="29">
        <v>21111</v>
      </c>
    </row>
    <row r="2041" spans="10:11" x14ac:dyDescent="0.25">
      <c r="J2041" s="29" t="s">
        <v>5242</v>
      </c>
      <c r="K2041" s="29">
        <v>21111</v>
      </c>
    </row>
    <row r="2042" spans="10:11" x14ac:dyDescent="0.25">
      <c r="J2042" s="29" t="s">
        <v>5243</v>
      </c>
      <c r="K2042" s="29">
        <v>21111</v>
      </c>
    </row>
    <row r="2043" spans="10:11" x14ac:dyDescent="0.25">
      <c r="J2043" s="29" t="s">
        <v>5244</v>
      </c>
      <c r="K2043" s="29">
        <v>21111</v>
      </c>
    </row>
    <row r="2044" spans="10:11" x14ac:dyDescent="0.25">
      <c r="J2044" s="29" t="s">
        <v>5245</v>
      </c>
      <c r="K2044" s="29">
        <v>21111</v>
      </c>
    </row>
    <row r="2045" spans="10:11" x14ac:dyDescent="0.25">
      <c r="J2045" s="29" t="s">
        <v>5246</v>
      </c>
      <c r="K2045" s="29">
        <v>21111</v>
      </c>
    </row>
    <row r="2046" spans="10:11" x14ac:dyDescent="0.25">
      <c r="J2046" s="29" t="s">
        <v>5247</v>
      </c>
      <c r="K2046" s="29">
        <v>21111</v>
      </c>
    </row>
    <row r="2047" spans="10:11" x14ac:dyDescent="0.25">
      <c r="J2047" s="29" t="s">
        <v>5248</v>
      </c>
      <c r="K2047" s="29">
        <v>21111</v>
      </c>
    </row>
    <row r="2048" spans="10:11" x14ac:dyDescent="0.25">
      <c r="J2048" s="29" t="s">
        <v>5249</v>
      </c>
      <c r="K2048" s="29">
        <v>21111</v>
      </c>
    </row>
    <row r="2049" spans="10:11" x14ac:dyDescent="0.25">
      <c r="J2049" s="29" t="s">
        <v>5250</v>
      </c>
      <c r="K2049" s="29">
        <v>21111</v>
      </c>
    </row>
    <row r="2050" spans="10:11" x14ac:dyDescent="0.25">
      <c r="J2050" s="29" t="s">
        <v>5251</v>
      </c>
      <c r="K2050" s="29">
        <v>21111</v>
      </c>
    </row>
    <row r="2051" spans="10:11" x14ac:dyDescent="0.25">
      <c r="J2051" s="29" t="s">
        <v>5252</v>
      </c>
      <c r="K2051" s="29">
        <v>21111</v>
      </c>
    </row>
    <row r="2052" spans="10:11" x14ac:dyDescent="0.25">
      <c r="J2052" s="29" t="s">
        <v>5253</v>
      </c>
      <c r="K2052" s="29">
        <v>21111</v>
      </c>
    </row>
    <row r="2053" spans="10:11" x14ac:dyDescent="0.25">
      <c r="J2053" s="29" t="s">
        <v>5254</v>
      </c>
      <c r="K2053" s="29">
        <v>21111</v>
      </c>
    </row>
    <row r="2054" spans="10:11" x14ac:dyDescent="0.25">
      <c r="J2054" s="29" t="s">
        <v>5255</v>
      </c>
      <c r="K2054" s="29">
        <v>21111</v>
      </c>
    </row>
    <row r="2055" spans="10:11" x14ac:dyDescent="0.25">
      <c r="J2055" s="29" t="s">
        <v>5256</v>
      </c>
      <c r="K2055" s="29">
        <v>21111</v>
      </c>
    </row>
    <row r="2056" spans="10:11" x14ac:dyDescent="0.25">
      <c r="J2056" s="29" t="s">
        <v>5257</v>
      </c>
      <c r="K2056" s="29">
        <v>21111</v>
      </c>
    </row>
    <row r="2057" spans="10:11" x14ac:dyDescent="0.25">
      <c r="J2057" s="29" t="s">
        <v>5258</v>
      </c>
      <c r="K2057" s="29">
        <v>21111</v>
      </c>
    </row>
    <row r="2058" spans="10:11" x14ac:dyDescent="0.25">
      <c r="J2058" s="29" t="s">
        <v>5259</v>
      </c>
      <c r="K2058" s="29">
        <v>21111</v>
      </c>
    </row>
    <row r="2059" spans="10:11" x14ac:dyDescent="0.25">
      <c r="J2059" s="29" t="s">
        <v>5260</v>
      </c>
      <c r="K2059" s="29">
        <v>21111</v>
      </c>
    </row>
    <row r="2060" spans="10:11" x14ac:dyDescent="0.25">
      <c r="J2060" s="29" t="s">
        <v>5261</v>
      </c>
      <c r="K2060" s="29">
        <v>21111</v>
      </c>
    </row>
    <row r="2061" spans="10:11" x14ac:dyDescent="0.25">
      <c r="J2061" s="29" t="s">
        <v>5262</v>
      </c>
      <c r="K2061" s="29">
        <v>21111</v>
      </c>
    </row>
    <row r="2062" spans="10:11" x14ac:dyDescent="0.25">
      <c r="J2062" s="29" t="s">
        <v>5263</v>
      </c>
      <c r="K2062" s="29">
        <v>21111</v>
      </c>
    </row>
    <row r="2063" spans="10:11" x14ac:dyDescent="0.25">
      <c r="J2063" s="29" t="s">
        <v>5264</v>
      </c>
      <c r="K2063" s="29">
        <v>21111</v>
      </c>
    </row>
    <row r="2064" spans="10:11" x14ac:dyDescent="0.25">
      <c r="J2064" s="29" t="s">
        <v>5265</v>
      </c>
      <c r="K2064" s="29">
        <v>21111</v>
      </c>
    </row>
    <row r="2065" spans="10:11" x14ac:dyDescent="0.25">
      <c r="J2065" s="29" t="s">
        <v>5266</v>
      </c>
      <c r="K2065" s="29">
        <v>21111</v>
      </c>
    </row>
    <row r="2066" spans="10:11" x14ac:dyDescent="0.25">
      <c r="J2066" s="29" t="s">
        <v>5267</v>
      </c>
      <c r="K2066" s="29">
        <v>21111</v>
      </c>
    </row>
    <row r="2067" spans="10:11" x14ac:dyDescent="0.25">
      <c r="J2067" s="29" t="s">
        <v>5268</v>
      </c>
      <c r="K2067" s="29">
        <v>21111</v>
      </c>
    </row>
    <row r="2068" spans="10:11" x14ac:dyDescent="0.25">
      <c r="J2068" s="29" t="s">
        <v>5269</v>
      </c>
      <c r="K2068" s="29">
        <v>21111</v>
      </c>
    </row>
    <row r="2069" spans="10:11" x14ac:dyDescent="0.25">
      <c r="J2069" s="29" t="s">
        <v>5270</v>
      </c>
      <c r="K2069" s="29">
        <v>21111</v>
      </c>
    </row>
    <row r="2070" spans="10:11" x14ac:dyDescent="0.25">
      <c r="J2070" s="29" t="s">
        <v>5271</v>
      </c>
      <c r="K2070" s="29">
        <v>21111</v>
      </c>
    </row>
    <row r="2071" spans="10:11" x14ac:dyDescent="0.25">
      <c r="J2071" s="29" t="s">
        <v>5272</v>
      </c>
      <c r="K2071" s="29">
        <v>21111</v>
      </c>
    </row>
    <row r="2072" spans="10:11" x14ac:dyDescent="0.25">
      <c r="J2072" s="29" t="s">
        <v>5273</v>
      </c>
      <c r="K2072" s="29">
        <v>21111</v>
      </c>
    </row>
    <row r="2073" spans="10:11" x14ac:dyDescent="0.25">
      <c r="J2073" s="29" t="s">
        <v>5274</v>
      </c>
      <c r="K2073" s="29">
        <v>21111</v>
      </c>
    </row>
    <row r="2074" spans="10:11" x14ac:dyDescent="0.25">
      <c r="J2074" s="29" t="s">
        <v>5275</v>
      </c>
      <c r="K2074" s="29">
        <v>21111</v>
      </c>
    </row>
    <row r="2075" spans="10:11" x14ac:dyDescent="0.25">
      <c r="J2075" s="29" t="s">
        <v>5276</v>
      </c>
      <c r="K2075" s="29">
        <v>21111</v>
      </c>
    </row>
    <row r="2076" spans="10:11" x14ac:dyDescent="0.25">
      <c r="J2076" s="29" t="s">
        <v>5277</v>
      </c>
      <c r="K2076" s="29">
        <v>21111</v>
      </c>
    </row>
    <row r="2077" spans="10:11" x14ac:dyDescent="0.25">
      <c r="J2077" s="29" t="s">
        <v>5278</v>
      </c>
      <c r="K2077" s="29">
        <v>21111</v>
      </c>
    </row>
    <row r="2078" spans="10:11" x14ac:dyDescent="0.25">
      <c r="J2078" s="29" t="s">
        <v>5279</v>
      </c>
      <c r="K2078" s="29">
        <v>21111</v>
      </c>
    </row>
    <row r="2079" spans="10:11" x14ac:dyDescent="0.25">
      <c r="J2079" s="29" t="s">
        <v>5280</v>
      </c>
      <c r="K2079" s="29">
        <v>21111</v>
      </c>
    </row>
    <row r="2080" spans="10:11" x14ac:dyDescent="0.25">
      <c r="J2080" s="29" t="s">
        <v>5281</v>
      </c>
      <c r="K2080" s="29">
        <v>21111</v>
      </c>
    </row>
    <row r="2081" spans="10:11" x14ac:dyDescent="0.25">
      <c r="J2081" s="29" t="s">
        <v>5282</v>
      </c>
      <c r="K2081" s="29">
        <v>21111</v>
      </c>
    </row>
    <row r="2082" spans="10:11" x14ac:dyDescent="0.25">
      <c r="J2082" s="29" t="s">
        <v>5283</v>
      </c>
      <c r="K2082" s="29">
        <v>21111</v>
      </c>
    </row>
    <row r="2083" spans="10:11" x14ac:dyDescent="0.25">
      <c r="J2083" s="29" t="s">
        <v>5284</v>
      </c>
      <c r="K2083" s="29">
        <v>21111</v>
      </c>
    </row>
    <row r="2084" spans="10:11" x14ac:dyDescent="0.25">
      <c r="J2084" s="29" t="s">
        <v>5285</v>
      </c>
      <c r="K2084" s="29">
        <v>21111</v>
      </c>
    </row>
    <row r="2085" spans="10:11" x14ac:dyDescent="0.25">
      <c r="J2085" s="29" t="s">
        <v>5286</v>
      </c>
      <c r="K2085" s="29">
        <v>21111</v>
      </c>
    </row>
    <row r="2086" spans="10:11" x14ac:dyDescent="0.25">
      <c r="J2086" s="29" t="s">
        <v>5287</v>
      </c>
      <c r="K2086" s="29">
        <v>21111</v>
      </c>
    </row>
    <row r="2087" spans="10:11" x14ac:dyDescent="0.25">
      <c r="J2087" s="29" t="s">
        <v>5288</v>
      </c>
      <c r="K2087" s="29">
        <v>21111</v>
      </c>
    </row>
    <row r="2088" spans="10:11" x14ac:dyDescent="0.25">
      <c r="J2088" s="29" t="s">
        <v>5289</v>
      </c>
      <c r="K2088" s="29">
        <v>21111</v>
      </c>
    </row>
    <row r="2089" spans="10:11" x14ac:dyDescent="0.25">
      <c r="J2089" s="29" t="s">
        <v>5290</v>
      </c>
      <c r="K2089" s="29">
        <v>21111</v>
      </c>
    </row>
    <row r="2090" spans="10:11" x14ac:dyDescent="0.25">
      <c r="J2090" s="29" t="s">
        <v>5291</v>
      </c>
      <c r="K2090" s="29">
        <v>21111</v>
      </c>
    </row>
    <row r="2091" spans="10:11" x14ac:dyDescent="0.25">
      <c r="J2091" s="29" t="s">
        <v>5292</v>
      </c>
      <c r="K2091" s="29">
        <v>21111</v>
      </c>
    </row>
    <row r="2092" spans="10:11" x14ac:dyDescent="0.25">
      <c r="J2092" s="29" t="s">
        <v>5293</v>
      </c>
      <c r="K2092" s="29">
        <v>21111</v>
      </c>
    </row>
    <row r="2093" spans="10:11" x14ac:dyDescent="0.25">
      <c r="J2093" s="29" t="s">
        <v>5294</v>
      </c>
      <c r="K2093" s="29">
        <v>21111</v>
      </c>
    </row>
    <row r="2094" spans="10:11" x14ac:dyDescent="0.25">
      <c r="J2094" s="29" t="s">
        <v>5295</v>
      </c>
      <c r="K2094" s="29">
        <v>21111</v>
      </c>
    </row>
    <row r="2095" spans="10:11" x14ac:dyDescent="0.25">
      <c r="J2095" s="29" t="s">
        <v>5296</v>
      </c>
      <c r="K2095" s="29">
        <v>53429</v>
      </c>
    </row>
    <row r="2096" spans="10:11" x14ac:dyDescent="0.25">
      <c r="J2096" s="29" t="s">
        <v>5297</v>
      </c>
      <c r="K2096" s="29">
        <v>53429</v>
      </c>
    </row>
    <row r="2097" spans="10:11" x14ac:dyDescent="0.25">
      <c r="J2097" s="29" t="s">
        <v>5298</v>
      </c>
      <c r="K2097" s="29">
        <v>53429</v>
      </c>
    </row>
    <row r="2098" spans="10:11" x14ac:dyDescent="0.25">
      <c r="J2098" s="29" t="s">
        <v>5299</v>
      </c>
      <c r="K2098" s="29">
        <v>53429</v>
      </c>
    </row>
    <row r="2099" spans="10:11" x14ac:dyDescent="0.25">
      <c r="J2099" s="29" t="s">
        <v>5300</v>
      </c>
      <c r="K2099" s="29">
        <v>53429</v>
      </c>
    </row>
    <row r="2100" spans="10:11" x14ac:dyDescent="0.25">
      <c r="J2100" s="29" t="s">
        <v>5301</v>
      </c>
      <c r="K2100" s="29">
        <v>53429</v>
      </c>
    </row>
    <row r="2101" spans="10:11" x14ac:dyDescent="0.25">
      <c r="J2101" s="29" t="s">
        <v>5302</v>
      </c>
      <c r="K2101" s="29">
        <v>24111</v>
      </c>
    </row>
    <row r="2102" spans="10:11" x14ac:dyDescent="0.25">
      <c r="J2102" s="29" t="s">
        <v>5303</v>
      </c>
      <c r="K2102" s="29">
        <v>24111</v>
      </c>
    </row>
    <row r="2103" spans="10:11" x14ac:dyDescent="0.25">
      <c r="J2103" s="29" t="s">
        <v>5304</v>
      </c>
      <c r="K2103" s="29">
        <v>24111</v>
      </c>
    </row>
    <row r="2104" spans="10:11" x14ac:dyDescent="0.25">
      <c r="J2104" s="29" t="s">
        <v>5305</v>
      </c>
      <c r="K2104" s="29">
        <v>24111</v>
      </c>
    </row>
    <row r="2105" spans="10:11" x14ac:dyDescent="0.25">
      <c r="J2105" s="29" t="s">
        <v>5306</v>
      </c>
      <c r="K2105" s="29">
        <v>24111</v>
      </c>
    </row>
    <row r="2106" spans="10:11" x14ac:dyDescent="0.25">
      <c r="J2106" s="29" t="s">
        <v>5307</v>
      </c>
      <c r="K2106" s="29">
        <v>24111</v>
      </c>
    </row>
    <row r="2107" spans="10:11" x14ac:dyDescent="0.25">
      <c r="J2107" s="29" t="s">
        <v>5308</v>
      </c>
      <c r="K2107" s="29">
        <v>24111</v>
      </c>
    </row>
    <row r="2108" spans="10:11" x14ac:dyDescent="0.25">
      <c r="J2108" s="29" t="s">
        <v>5309</v>
      </c>
      <c r="K2108" s="29">
        <v>24111</v>
      </c>
    </row>
    <row r="2109" spans="10:11" x14ac:dyDescent="0.25">
      <c r="J2109" s="29" t="s">
        <v>5310</v>
      </c>
      <c r="K2109" s="29">
        <v>24111</v>
      </c>
    </row>
    <row r="2110" spans="10:11" x14ac:dyDescent="0.25">
      <c r="J2110" s="29" t="s">
        <v>5311</v>
      </c>
      <c r="K2110" s="29">
        <v>24111</v>
      </c>
    </row>
    <row r="2111" spans="10:11" x14ac:dyDescent="0.25">
      <c r="J2111" s="29" t="s">
        <v>5312</v>
      </c>
      <c r="K2111" s="29">
        <v>24111</v>
      </c>
    </row>
    <row r="2112" spans="10:11" x14ac:dyDescent="0.25">
      <c r="J2112" s="29" t="s">
        <v>5313</v>
      </c>
      <c r="K2112" s="29">
        <v>24111</v>
      </c>
    </row>
    <row r="2113" spans="10:11" x14ac:dyDescent="0.25">
      <c r="J2113" s="29" t="s">
        <v>5314</v>
      </c>
      <c r="K2113" s="29">
        <v>24111</v>
      </c>
    </row>
    <row r="2114" spans="10:11" x14ac:dyDescent="0.25">
      <c r="J2114" s="29" t="s">
        <v>5315</v>
      </c>
      <c r="K2114" s="29">
        <v>24111</v>
      </c>
    </row>
    <row r="2115" spans="10:11" x14ac:dyDescent="0.25">
      <c r="J2115" s="29" t="s">
        <v>5316</v>
      </c>
      <c r="K2115" s="29">
        <v>24111</v>
      </c>
    </row>
    <row r="2116" spans="10:11" x14ac:dyDescent="0.25">
      <c r="J2116" s="29" t="s">
        <v>5317</v>
      </c>
      <c r="K2116" s="29">
        <v>24111</v>
      </c>
    </row>
    <row r="2117" spans="10:11" x14ac:dyDescent="0.25">
      <c r="J2117" s="29" t="s">
        <v>5318</v>
      </c>
      <c r="K2117" s="29">
        <v>24111</v>
      </c>
    </row>
    <row r="2118" spans="10:11" x14ac:dyDescent="0.25">
      <c r="J2118" s="29" t="s">
        <v>5319</v>
      </c>
      <c r="K2118" s="29">
        <v>24111</v>
      </c>
    </row>
    <row r="2119" spans="10:11" x14ac:dyDescent="0.25">
      <c r="J2119" s="29" t="s">
        <v>5320</v>
      </c>
      <c r="K2119" s="29">
        <v>24111</v>
      </c>
    </row>
    <row r="2120" spans="10:11" x14ac:dyDescent="0.25">
      <c r="J2120" s="29" t="s">
        <v>5321</v>
      </c>
      <c r="K2120" s="29">
        <v>24111</v>
      </c>
    </row>
    <row r="2121" spans="10:11" x14ac:dyDescent="0.25">
      <c r="J2121" s="29" t="s">
        <v>5322</v>
      </c>
      <c r="K2121" s="29">
        <v>24111</v>
      </c>
    </row>
    <row r="2122" spans="10:11" x14ac:dyDescent="0.25">
      <c r="J2122" s="29" t="s">
        <v>5323</v>
      </c>
      <c r="K2122" s="29">
        <v>24111</v>
      </c>
    </row>
    <row r="2123" spans="10:11" x14ac:dyDescent="0.25">
      <c r="J2123" s="29" t="s">
        <v>5324</v>
      </c>
      <c r="K2123" s="29">
        <v>24111</v>
      </c>
    </row>
    <row r="2124" spans="10:11" x14ac:dyDescent="0.25">
      <c r="J2124" s="29" t="s">
        <v>5325</v>
      </c>
      <c r="K2124" s="29">
        <v>24111</v>
      </c>
    </row>
    <row r="2125" spans="10:11" x14ac:dyDescent="0.25">
      <c r="J2125" s="29" t="s">
        <v>5326</v>
      </c>
      <c r="K2125" s="29">
        <v>24111</v>
      </c>
    </row>
    <row r="2126" spans="10:11" x14ac:dyDescent="0.25">
      <c r="J2126" s="29" t="s">
        <v>5327</v>
      </c>
      <c r="K2126" s="29">
        <v>24111</v>
      </c>
    </row>
    <row r="2127" spans="10:11" x14ac:dyDescent="0.25">
      <c r="J2127" s="29" t="s">
        <v>5328</v>
      </c>
      <c r="K2127" s="29">
        <v>24111</v>
      </c>
    </row>
    <row r="2128" spans="10:11" x14ac:dyDescent="0.25">
      <c r="J2128" s="29" t="s">
        <v>5329</v>
      </c>
      <c r="K2128" s="29">
        <v>24111</v>
      </c>
    </row>
    <row r="2129" spans="10:11" x14ac:dyDescent="0.25">
      <c r="J2129" s="29" t="s">
        <v>5330</v>
      </c>
      <c r="K2129" s="29">
        <v>24111</v>
      </c>
    </row>
    <row r="2130" spans="10:11" x14ac:dyDescent="0.25">
      <c r="J2130" s="29" t="s">
        <v>5331</v>
      </c>
      <c r="K2130" s="29">
        <v>24111</v>
      </c>
    </row>
    <row r="2131" spans="10:11" x14ac:dyDescent="0.25">
      <c r="J2131" s="29" t="s">
        <v>5332</v>
      </c>
      <c r="K2131" s="29">
        <v>24111</v>
      </c>
    </row>
    <row r="2132" spans="10:11" x14ac:dyDescent="0.25">
      <c r="J2132" s="29" t="s">
        <v>5333</v>
      </c>
      <c r="K2132" s="29">
        <v>24111</v>
      </c>
    </row>
    <row r="2133" spans="10:11" x14ac:dyDescent="0.25">
      <c r="J2133" s="29" t="s">
        <v>5334</v>
      </c>
      <c r="K2133" s="29">
        <v>24111</v>
      </c>
    </row>
    <row r="2134" spans="10:11" x14ac:dyDescent="0.25">
      <c r="J2134" s="29" t="s">
        <v>5335</v>
      </c>
      <c r="K2134" s="29">
        <v>24111</v>
      </c>
    </row>
    <row r="2135" spans="10:11" x14ac:dyDescent="0.25">
      <c r="J2135" s="29" t="s">
        <v>5336</v>
      </c>
      <c r="K2135" s="29">
        <v>24111</v>
      </c>
    </row>
    <row r="2136" spans="10:11" x14ac:dyDescent="0.25">
      <c r="J2136" s="29" t="s">
        <v>5337</v>
      </c>
      <c r="K2136" s="29">
        <v>24111</v>
      </c>
    </row>
    <row r="2137" spans="10:11" x14ac:dyDescent="0.25">
      <c r="J2137" s="29" t="s">
        <v>5338</v>
      </c>
      <c r="K2137" s="29">
        <v>24111</v>
      </c>
    </row>
    <row r="2138" spans="10:11" x14ac:dyDescent="0.25">
      <c r="J2138" s="29" t="s">
        <v>5339</v>
      </c>
      <c r="K2138" s="29">
        <v>24111</v>
      </c>
    </row>
    <row r="2139" spans="10:11" x14ac:dyDescent="0.25">
      <c r="J2139" s="29" t="s">
        <v>5340</v>
      </c>
      <c r="K2139" s="29">
        <v>24111</v>
      </c>
    </row>
    <row r="2140" spans="10:11" x14ac:dyDescent="0.25">
      <c r="J2140" s="29" t="s">
        <v>5341</v>
      </c>
      <c r="K2140" s="29">
        <v>24111</v>
      </c>
    </row>
    <row r="2141" spans="10:11" x14ac:dyDescent="0.25">
      <c r="J2141" s="29" t="s">
        <v>5342</v>
      </c>
      <c r="K2141" s="29">
        <v>24111</v>
      </c>
    </row>
    <row r="2142" spans="10:11" x14ac:dyDescent="0.25">
      <c r="J2142" s="29" t="s">
        <v>5343</v>
      </c>
      <c r="K2142" s="29">
        <v>24111</v>
      </c>
    </row>
    <row r="2143" spans="10:11" x14ac:dyDescent="0.25">
      <c r="J2143" s="29" t="s">
        <v>5344</v>
      </c>
      <c r="K2143" s="29">
        <v>24111</v>
      </c>
    </row>
    <row r="2144" spans="10:11" x14ac:dyDescent="0.25">
      <c r="J2144" s="29" t="s">
        <v>5345</v>
      </c>
      <c r="K2144" s="29">
        <v>24155</v>
      </c>
    </row>
    <row r="2145" spans="10:11" x14ac:dyDescent="0.25">
      <c r="J2145" s="29" t="s">
        <v>5346</v>
      </c>
      <c r="K2145" s="29">
        <v>24155</v>
      </c>
    </row>
    <row r="2146" spans="10:11" x14ac:dyDescent="0.25">
      <c r="J2146" s="29" t="s">
        <v>5347</v>
      </c>
      <c r="K2146" s="29">
        <v>24155</v>
      </c>
    </row>
    <row r="2147" spans="10:11" x14ac:dyDescent="0.25">
      <c r="J2147" s="29" t="s">
        <v>5348</v>
      </c>
      <c r="K2147" s="29">
        <v>24155</v>
      </c>
    </row>
    <row r="2148" spans="10:11" x14ac:dyDescent="0.25">
      <c r="J2148" s="29" t="s">
        <v>5349</v>
      </c>
      <c r="K2148" s="29">
        <v>24155</v>
      </c>
    </row>
    <row r="2149" spans="10:11" x14ac:dyDescent="0.25">
      <c r="J2149" s="29" t="s">
        <v>5350</v>
      </c>
      <c r="K2149" s="29">
        <v>24155</v>
      </c>
    </row>
    <row r="2150" spans="10:11" x14ac:dyDescent="0.25">
      <c r="J2150" s="29" t="s">
        <v>5351</v>
      </c>
      <c r="K2150" s="29">
        <v>24155</v>
      </c>
    </row>
    <row r="2151" spans="10:11" x14ac:dyDescent="0.25">
      <c r="J2151" s="29" t="s">
        <v>5352</v>
      </c>
      <c r="K2151" s="29">
        <v>24133</v>
      </c>
    </row>
    <row r="2152" spans="10:11" x14ac:dyDescent="0.25">
      <c r="J2152" s="29" t="s">
        <v>5353</v>
      </c>
      <c r="K2152" s="29">
        <v>24133</v>
      </c>
    </row>
    <row r="2153" spans="10:11" x14ac:dyDescent="0.25">
      <c r="J2153" s="29" t="s">
        <v>5354</v>
      </c>
      <c r="K2153" s="29">
        <v>24133</v>
      </c>
    </row>
    <row r="2154" spans="10:11" x14ac:dyDescent="0.25">
      <c r="J2154" s="29" t="s">
        <v>3236</v>
      </c>
      <c r="K2154" s="29">
        <v>24133</v>
      </c>
    </row>
    <row r="2155" spans="10:11" x14ac:dyDescent="0.25">
      <c r="J2155" s="29" t="s">
        <v>5355</v>
      </c>
      <c r="K2155" s="29">
        <v>24133</v>
      </c>
    </row>
    <row r="2156" spans="10:11" x14ac:dyDescent="0.25">
      <c r="J2156" s="29" t="s">
        <v>5356</v>
      </c>
      <c r="K2156" s="29">
        <v>24133</v>
      </c>
    </row>
    <row r="2157" spans="10:11" x14ac:dyDescent="0.25">
      <c r="J2157" s="29" t="s">
        <v>5357</v>
      </c>
      <c r="K2157" s="29">
        <v>24133</v>
      </c>
    </row>
    <row r="2158" spans="10:11" x14ac:dyDescent="0.25">
      <c r="J2158" s="29" t="s">
        <v>5358</v>
      </c>
      <c r="K2158" s="29">
        <v>24133</v>
      </c>
    </row>
    <row r="2159" spans="10:11" x14ac:dyDescent="0.25">
      <c r="J2159" s="29" t="s">
        <v>5359</v>
      </c>
      <c r="K2159" s="29">
        <v>24133</v>
      </c>
    </row>
    <row r="2160" spans="10:11" x14ac:dyDescent="0.25">
      <c r="J2160" s="29" t="s">
        <v>5360</v>
      </c>
      <c r="K2160" s="29">
        <v>24133</v>
      </c>
    </row>
    <row r="2161" spans="10:11" x14ac:dyDescent="0.25">
      <c r="J2161" s="29" t="s">
        <v>5361</v>
      </c>
      <c r="K2161" s="29">
        <v>24133</v>
      </c>
    </row>
    <row r="2162" spans="10:11" x14ac:dyDescent="0.25">
      <c r="J2162" s="29" t="s">
        <v>5362</v>
      </c>
      <c r="K2162" s="29">
        <v>24133</v>
      </c>
    </row>
    <row r="2163" spans="10:11" x14ac:dyDescent="0.25">
      <c r="J2163" s="29" t="s">
        <v>5363</v>
      </c>
      <c r="K2163" s="29">
        <v>24133</v>
      </c>
    </row>
    <row r="2164" spans="10:11" x14ac:dyDescent="0.25">
      <c r="J2164" s="29" t="s">
        <v>5364</v>
      </c>
      <c r="K2164" s="29">
        <v>24133</v>
      </c>
    </row>
    <row r="2165" spans="10:11" x14ac:dyDescent="0.25">
      <c r="J2165" s="29" t="s">
        <v>5365</v>
      </c>
      <c r="K2165" s="29">
        <v>24133</v>
      </c>
    </row>
    <row r="2166" spans="10:11" x14ac:dyDescent="0.25">
      <c r="J2166" s="29" t="s">
        <v>5366</v>
      </c>
      <c r="K2166" s="29">
        <v>24133</v>
      </c>
    </row>
    <row r="2167" spans="10:11" x14ac:dyDescent="0.25">
      <c r="J2167" s="29" t="s">
        <v>5367</v>
      </c>
      <c r="K2167" s="29">
        <v>24133</v>
      </c>
    </row>
    <row r="2168" spans="10:11" x14ac:dyDescent="0.25">
      <c r="J2168" s="29" t="s">
        <v>5368</v>
      </c>
      <c r="K2168" s="29">
        <v>24133</v>
      </c>
    </row>
    <row r="2169" spans="10:11" x14ac:dyDescent="0.25">
      <c r="J2169" s="29" t="s">
        <v>5369</v>
      </c>
      <c r="K2169" s="29">
        <v>24133</v>
      </c>
    </row>
    <row r="2170" spans="10:11" x14ac:dyDescent="0.25">
      <c r="J2170" s="29" t="s">
        <v>5370</v>
      </c>
      <c r="K2170" s="29">
        <v>24133</v>
      </c>
    </row>
    <row r="2171" spans="10:11" x14ac:dyDescent="0.25">
      <c r="J2171" s="29" t="s">
        <v>5371</v>
      </c>
      <c r="K2171" s="29">
        <v>24133</v>
      </c>
    </row>
    <row r="2172" spans="10:11" x14ac:dyDescent="0.25">
      <c r="J2172" s="29" t="s">
        <v>5372</v>
      </c>
      <c r="K2172" s="29">
        <v>24133</v>
      </c>
    </row>
    <row r="2173" spans="10:11" x14ac:dyDescent="0.25">
      <c r="J2173" s="29" t="s">
        <v>5373</v>
      </c>
      <c r="K2173" s="29">
        <v>24133</v>
      </c>
    </row>
    <row r="2174" spans="10:11" x14ac:dyDescent="0.25">
      <c r="J2174" s="29" t="s">
        <v>5374</v>
      </c>
      <c r="K2174" s="29">
        <v>24133</v>
      </c>
    </row>
    <row r="2175" spans="10:11" x14ac:dyDescent="0.25">
      <c r="J2175" s="29" t="s">
        <v>5375</v>
      </c>
      <c r="K2175" s="29">
        <v>24133</v>
      </c>
    </row>
    <row r="2176" spans="10:11" x14ac:dyDescent="0.25">
      <c r="J2176" s="29" t="s">
        <v>5376</v>
      </c>
      <c r="K2176" s="29">
        <v>24133</v>
      </c>
    </row>
    <row r="2177" spans="10:11" x14ac:dyDescent="0.25">
      <c r="J2177" s="29" t="s">
        <v>5377</v>
      </c>
      <c r="K2177" s="29">
        <v>22754</v>
      </c>
    </row>
    <row r="2178" spans="10:11" x14ac:dyDescent="0.25">
      <c r="J2178" s="29" t="s">
        <v>5378</v>
      </c>
      <c r="K2178" s="29">
        <v>22754</v>
      </c>
    </row>
    <row r="2179" spans="10:11" x14ac:dyDescent="0.25">
      <c r="J2179" s="29" t="s">
        <v>5379</v>
      </c>
      <c r="K2179" s="29">
        <v>21354</v>
      </c>
    </row>
    <row r="2180" spans="10:11" x14ac:dyDescent="0.25">
      <c r="J2180" s="29" t="s">
        <v>5380</v>
      </c>
      <c r="K2180" s="29">
        <v>71144</v>
      </c>
    </row>
    <row r="2181" spans="10:11" x14ac:dyDescent="0.25">
      <c r="J2181" s="29" t="s">
        <v>5381</v>
      </c>
      <c r="K2181" s="29">
        <v>35419</v>
      </c>
    </row>
    <row r="2182" spans="10:11" x14ac:dyDescent="0.25">
      <c r="J2182" s="29" t="s">
        <v>5382</v>
      </c>
      <c r="K2182" s="29">
        <v>35419</v>
      </c>
    </row>
    <row r="2183" spans="10:11" x14ac:dyDescent="0.25">
      <c r="J2183" s="29" t="s">
        <v>5383</v>
      </c>
      <c r="K2183" s="29">
        <v>55124</v>
      </c>
    </row>
    <row r="2184" spans="10:11" x14ac:dyDescent="0.25">
      <c r="J2184" s="29" t="s">
        <v>5384</v>
      </c>
      <c r="K2184" s="29">
        <v>55124</v>
      </c>
    </row>
    <row r="2185" spans="10:11" x14ac:dyDescent="0.25">
      <c r="J2185" s="29" t="s">
        <v>5385</v>
      </c>
      <c r="K2185" s="29">
        <v>55124</v>
      </c>
    </row>
    <row r="2186" spans="10:11" x14ac:dyDescent="0.25">
      <c r="J2186" s="29" t="s">
        <v>5386</v>
      </c>
      <c r="K2186" s="29">
        <v>23219</v>
      </c>
    </row>
    <row r="2187" spans="10:11" x14ac:dyDescent="0.25">
      <c r="J2187" s="29" t="s">
        <v>5387</v>
      </c>
      <c r="K2187" s="29">
        <v>23111</v>
      </c>
    </row>
    <row r="2188" spans="10:11" x14ac:dyDescent="0.25">
      <c r="J2188" s="29" t="s">
        <v>5388</v>
      </c>
      <c r="K2188" s="29">
        <v>23111</v>
      </c>
    </row>
    <row r="2189" spans="10:11" x14ac:dyDescent="0.25">
      <c r="J2189" s="29" t="s">
        <v>5389</v>
      </c>
      <c r="K2189" s="29">
        <v>23111</v>
      </c>
    </row>
    <row r="2190" spans="10:11" x14ac:dyDescent="0.25">
      <c r="J2190" s="29" t="s">
        <v>5390</v>
      </c>
      <c r="K2190" s="29">
        <v>32131</v>
      </c>
    </row>
    <row r="2191" spans="10:11" x14ac:dyDescent="0.25">
      <c r="J2191" s="29" t="s">
        <v>5391</v>
      </c>
      <c r="K2191" s="29">
        <v>32131</v>
      </c>
    </row>
    <row r="2192" spans="10:11" x14ac:dyDescent="0.25">
      <c r="J2192" s="29" t="s">
        <v>5392</v>
      </c>
      <c r="K2192" s="29">
        <v>25347</v>
      </c>
    </row>
    <row r="2193" spans="10:11" x14ac:dyDescent="0.25">
      <c r="J2193" s="29" t="s">
        <v>5393</v>
      </c>
      <c r="K2193" s="29">
        <v>25347</v>
      </c>
    </row>
    <row r="2194" spans="10:11" x14ac:dyDescent="0.25">
      <c r="J2194" s="29" t="s">
        <v>5394</v>
      </c>
      <c r="K2194" s="29">
        <v>25347</v>
      </c>
    </row>
    <row r="2195" spans="10:11" x14ac:dyDescent="0.25">
      <c r="J2195" s="29" t="s">
        <v>5395</v>
      </c>
      <c r="K2195" s="29">
        <v>25347</v>
      </c>
    </row>
    <row r="2196" spans="10:11" x14ac:dyDescent="0.25">
      <c r="J2196" s="29" t="s">
        <v>5396</v>
      </c>
      <c r="K2196" s="29">
        <v>25347</v>
      </c>
    </row>
    <row r="2197" spans="10:11" x14ac:dyDescent="0.25">
      <c r="J2197" s="29" t="s">
        <v>5397</v>
      </c>
      <c r="K2197" s="29">
        <v>23227</v>
      </c>
    </row>
    <row r="2198" spans="10:11" x14ac:dyDescent="0.25">
      <c r="J2198" s="29" t="s">
        <v>5398</v>
      </c>
      <c r="K2198" s="29">
        <v>23227</v>
      </c>
    </row>
    <row r="2199" spans="10:11" x14ac:dyDescent="0.25">
      <c r="J2199" s="29" t="s">
        <v>5399</v>
      </c>
      <c r="K2199" s="29">
        <v>61335</v>
      </c>
    </row>
    <row r="2200" spans="10:11" x14ac:dyDescent="0.25">
      <c r="J2200" s="29" t="s">
        <v>5400</v>
      </c>
      <c r="K2200" s="29">
        <v>35511</v>
      </c>
    </row>
    <row r="2201" spans="10:11" x14ac:dyDescent="0.25">
      <c r="J2201" s="29" t="s">
        <v>5401</v>
      </c>
      <c r="K2201" s="29">
        <v>35511</v>
      </c>
    </row>
    <row r="2202" spans="10:11" x14ac:dyDescent="0.25">
      <c r="J2202" s="29" t="s">
        <v>5402</v>
      </c>
      <c r="K2202" s="29">
        <v>35511</v>
      </c>
    </row>
    <row r="2203" spans="10:11" x14ac:dyDescent="0.25">
      <c r="J2203" s="29" t="s">
        <v>5403</v>
      </c>
      <c r="K2203" s="29">
        <v>22375</v>
      </c>
    </row>
    <row r="2204" spans="10:11" x14ac:dyDescent="0.25">
      <c r="J2204" s="29" t="s">
        <v>5404</v>
      </c>
      <c r="K2204" s="29">
        <v>37356</v>
      </c>
    </row>
    <row r="2205" spans="10:11" x14ac:dyDescent="0.25">
      <c r="J2205" s="29" t="s">
        <v>5405</v>
      </c>
      <c r="K2205" s="29">
        <v>62212</v>
      </c>
    </row>
    <row r="2206" spans="10:11" x14ac:dyDescent="0.25">
      <c r="J2206" s="29" t="s">
        <v>5406</v>
      </c>
      <c r="K2206" s="29">
        <v>72281</v>
      </c>
    </row>
    <row r="2207" spans="10:11" x14ac:dyDescent="0.25">
      <c r="J2207" s="29" t="s">
        <v>5407</v>
      </c>
      <c r="K2207" s="29">
        <v>72281</v>
      </c>
    </row>
    <row r="2208" spans="10:11" x14ac:dyDescent="0.25">
      <c r="J2208" s="29" t="s">
        <v>5408</v>
      </c>
      <c r="K2208" s="29">
        <v>32179</v>
      </c>
    </row>
    <row r="2209" spans="10:11" x14ac:dyDescent="0.25">
      <c r="J2209" s="29" t="s">
        <v>5409</v>
      </c>
      <c r="K2209" s="29">
        <v>32179</v>
      </c>
    </row>
    <row r="2210" spans="10:11" x14ac:dyDescent="0.25">
      <c r="J2210" s="29" t="s">
        <v>5410</v>
      </c>
      <c r="K2210" s="29">
        <v>23346</v>
      </c>
    </row>
    <row r="2211" spans="10:11" x14ac:dyDescent="0.25">
      <c r="J2211" s="29" t="s">
        <v>5411</v>
      </c>
      <c r="K2211" s="29">
        <v>23346</v>
      </c>
    </row>
    <row r="2212" spans="10:11" x14ac:dyDescent="0.25">
      <c r="J2212" s="29" t="s">
        <v>5412</v>
      </c>
      <c r="K2212" s="29">
        <v>62223</v>
      </c>
    </row>
    <row r="2213" spans="10:11" x14ac:dyDescent="0.25">
      <c r="J2213" s="29" t="s">
        <v>5413</v>
      </c>
      <c r="K2213" s="29">
        <v>37241</v>
      </c>
    </row>
    <row r="2214" spans="10:11" x14ac:dyDescent="0.25">
      <c r="J2214" s="29" t="s">
        <v>5414</v>
      </c>
      <c r="K2214" s="29">
        <v>37241</v>
      </c>
    </row>
    <row r="2215" spans="10:11" x14ac:dyDescent="0.25">
      <c r="J2215" s="29" t="s">
        <v>5415</v>
      </c>
      <c r="K2215" s="29">
        <v>37241</v>
      </c>
    </row>
    <row r="2216" spans="10:11" x14ac:dyDescent="0.25">
      <c r="J2216" s="29" t="s">
        <v>5416</v>
      </c>
      <c r="K2216" s="29">
        <v>37241</v>
      </c>
    </row>
    <row r="2217" spans="10:11" x14ac:dyDescent="0.25">
      <c r="J2217" s="29" t="s">
        <v>5417</v>
      </c>
      <c r="K2217" s="29">
        <v>37241</v>
      </c>
    </row>
    <row r="2218" spans="10:11" x14ac:dyDescent="0.25">
      <c r="J2218" s="29" t="s">
        <v>5418</v>
      </c>
      <c r="K2218" s="29">
        <v>37241</v>
      </c>
    </row>
    <row r="2219" spans="10:11" x14ac:dyDescent="0.25">
      <c r="J2219" s="29" t="s">
        <v>5419</v>
      </c>
      <c r="K2219" s="29">
        <v>37241</v>
      </c>
    </row>
    <row r="2220" spans="10:11" x14ac:dyDescent="0.25">
      <c r="J2220" s="29" t="s">
        <v>5420</v>
      </c>
      <c r="K2220" s="29">
        <v>37241</v>
      </c>
    </row>
    <row r="2221" spans="10:11" x14ac:dyDescent="0.25">
      <c r="J2221" s="29" t="s">
        <v>3832</v>
      </c>
      <c r="K2221" s="29">
        <v>34374</v>
      </c>
    </row>
    <row r="2222" spans="10:11" x14ac:dyDescent="0.25">
      <c r="J2222" s="29" t="s">
        <v>5421</v>
      </c>
      <c r="K2222" s="29">
        <v>35149</v>
      </c>
    </row>
    <row r="2223" spans="10:11" x14ac:dyDescent="0.25">
      <c r="J2223" s="29" t="s">
        <v>5422</v>
      </c>
      <c r="K2223" s="29">
        <v>35149</v>
      </c>
    </row>
    <row r="2224" spans="10:11" x14ac:dyDescent="0.25">
      <c r="J2224" s="29" t="s">
        <v>5423</v>
      </c>
      <c r="K2224" s="29">
        <v>35149</v>
      </c>
    </row>
    <row r="2225" spans="10:11" x14ac:dyDescent="0.25">
      <c r="J2225" s="29" t="s">
        <v>5424</v>
      </c>
      <c r="K2225" s="29">
        <v>55187</v>
      </c>
    </row>
    <row r="2226" spans="10:11" x14ac:dyDescent="0.25">
      <c r="J2226" s="29" t="s">
        <v>5425</v>
      </c>
      <c r="K2226" s="29">
        <v>53311</v>
      </c>
    </row>
    <row r="2227" spans="10:11" x14ac:dyDescent="0.25">
      <c r="J2227" s="29" t="s">
        <v>5426</v>
      </c>
      <c r="K2227" s="29">
        <v>53311</v>
      </c>
    </row>
    <row r="2228" spans="10:11" x14ac:dyDescent="0.25">
      <c r="J2228" s="29" t="s">
        <v>5427</v>
      </c>
      <c r="K2228" s="29">
        <v>53311</v>
      </c>
    </row>
    <row r="2229" spans="10:11" x14ac:dyDescent="0.25">
      <c r="J2229" s="29" t="s">
        <v>5428</v>
      </c>
      <c r="K2229" s="29">
        <v>53311</v>
      </c>
    </row>
    <row r="2230" spans="10:11" x14ac:dyDescent="0.25">
      <c r="J2230" s="29" t="s">
        <v>5429</v>
      </c>
      <c r="K2230" s="29">
        <v>32173</v>
      </c>
    </row>
    <row r="2231" spans="10:11" x14ac:dyDescent="0.25">
      <c r="J2231" s="29" t="s">
        <v>5430</v>
      </c>
      <c r="K2231" s="29">
        <v>23413</v>
      </c>
    </row>
    <row r="2232" spans="10:11" x14ac:dyDescent="0.25">
      <c r="J2232" s="29" t="s">
        <v>5431</v>
      </c>
      <c r="K2232" s="29">
        <v>23413</v>
      </c>
    </row>
    <row r="2233" spans="10:11" x14ac:dyDescent="0.25">
      <c r="J2233" s="29" t="s">
        <v>5432</v>
      </c>
      <c r="K2233" s="29">
        <v>23413</v>
      </c>
    </row>
    <row r="2234" spans="10:11" x14ac:dyDescent="0.25">
      <c r="J2234" s="29" t="s">
        <v>5433</v>
      </c>
      <c r="K2234" s="29">
        <v>23413</v>
      </c>
    </row>
    <row r="2235" spans="10:11" x14ac:dyDescent="0.25">
      <c r="J2235" s="29" t="s">
        <v>5434</v>
      </c>
      <c r="K2235" s="29">
        <v>71311</v>
      </c>
    </row>
    <row r="2236" spans="10:11" x14ac:dyDescent="0.25">
      <c r="J2236" s="29" t="s">
        <v>5435</v>
      </c>
      <c r="K2236" s="29">
        <v>71311</v>
      </c>
    </row>
    <row r="2237" spans="10:11" x14ac:dyDescent="0.25">
      <c r="J2237" s="29" t="s">
        <v>5436</v>
      </c>
      <c r="K2237" s="29">
        <v>71311</v>
      </c>
    </row>
    <row r="2238" spans="10:11" x14ac:dyDescent="0.25">
      <c r="J2238" s="29" t="s">
        <v>5437</v>
      </c>
      <c r="K2238" s="29">
        <v>33137</v>
      </c>
    </row>
    <row r="2239" spans="10:11" x14ac:dyDescent="0.25">
      <c r="J2239" s="29" t="s">
        <v>5438</v>
      </c>
      <c r="K2239" s="29">
        <v>33137</v>
      </c>
    </row>
    <row r="2240" spans="10:11" x14ac:dyDescent="0.25">
      <c r="J2240" s="29" t="s">
        <v>5439</v>
      </c>
      <c r="K2240" s="29">
        <v>62251</v>
      </c>
    </row>
    <row r="2241" spans="10:11" x14ac:dyDescent="0.25">
      <c r="J2241" s="29" t="s">
        <v>5440</v>
      </c>
      <c r="K2241" s="29">
        <v>23429</v>
      </c>
    </row>
    <row r="2242" spans="10:11" x14ac:dyDescent="0.25">
      <c r="J2242" s="29" t="s">
        <v>5441</v>
      </c>
      <c r="K2242" s="29">
        <v>23429</v>
      </c>
    </row>
    <row r="2243" spans="10:11" x14ac:dyDescent="0.25">
      <c r="J2243" s="29" t="s">
        <v>5442</v>
      </c>
      <c r="K2243" s="29">
        <v>23429</v>
      </c>
    </row>
    <row r="2244" spans="10:11" x14ac:dyDescent="0.25">
      <c r="J2244" s="29" t="s">
        <v>5443</v>
      </c>
      <c r="K2244" s="29">
        <v>22245</v>
      </c>
    </row>
    <row r="2245" spans="10:11" x14ac:dyDescent="0.25">
      <c r="J2245" s="29" t="s">
        <v>5444</v>
      </c>
      <c r="K2245" s="29">
        <v>22245</v>
      </c>
    </row>
    <row r="2246" spans="10:11" x14ac:dyDescent="0.25">
      <c r="J2246" s="29" t="s">
        <v>5445</v>
      </c>
      <c r="K2246" s="29">
        <v>37377</v>
      </c>
    </row>
    <row r="2247" spans="10:11" x14ac:dyDescent="0.25">
      <c r="J2247" s="29" t="s">
        <v>5446</v>
      </c>
      <c r="K2247" s="29">
        <v>72244</v>
      </c>
    </row>
    <row r="2248" spans="10:11" x14ac:dyDescent="0.25">
      <c r="J2248" s="29" t="s">
        <v>5447</v>
      </c>
      <c r="K2248" s="29">
        <v>62179</v>
      </c>
    </row>
    <row r="2249" spans="10:11" x14ac:dyDescent="0.25">
      <c r="J2249" s="29" t="s">
        <v>5448</v>
      </c>
      <c r="K2249" s="29">
        <v>62179</v>
      </c>
    </row>
    <row r="2250" spans="10:11" x14ac:dyDescent="0.25">
      <c r="J2250" s="29" t="s">
        <v>5449</v>
      </c>
      <c r="K2250" s="29">
        <v>62263</v>
      </c>
    </row>
    <row r="2251" spans="10:11" x14ac:dyDescent="0.25">
      <c r="J2251" s="29" t="s">
        <v>5450</v>
      </c>
      <c r="K2251" s="29">
        <v>24177</v>
      </c>
    </row>
    <row r="2252" spans="10:11" x14ac:dyDescent="0.25">
      <c r="J2252" s="29" t="s">
        <v>5451</v>
      </c>
      <c r="K2252" s="29">
        <v>24177</v>
      </c>
    </row>
    <row r="2253" spans="10:11" x14ac:dyDescent="0.25">
      <c r="J2253" s="29" t="s">
        <v>5452</v>
      </c>
      <c r="K2253" s="29">
        <v>22262</v>
      </c>
    </row>
    <row r="2254" spans="10:11" x14ac:dyDescent="0.25">
      <c r="J2254" s="29" t="s">
        <v>5453</v>
      </c>
      <c r="K2254" s="29">
        <v>22262</v>
      </c>
    </row>
    <row r="2255" spans="10:11" x14ac:dyDescent="0.25">
      <c r="J2255" s="29" t="s">
        <v>5454</v>
      </c>
      <c r="K2255" s="29">
        <v>22262</v>
      </c>
    </row>
    <row r="2256" spans="10:11" x14ac:dyDescent="0.25">
      <c r="J2256" s="29" t="s">
        <v>5455</v>
      </c>
      <c r="K2256" s="29">
        <v>22262</v>
      </c>
    </row>
    <row r="2257" spans="10:11" x14ac:dyDescent="0.25">
      <c r="J2257" s="29" t="s">
        <v>5456</v>
      </c>
      <c r="K2257" s="29">
        <v>22262</v>
      </c>
    </row>
    <row r="2258" spans="10:11" x14ac:dyDescent="0.25">
      <c r="J2258" s="29" t="s">
        <v>5457</v>
      </c>
      <c r="K2258" s="29">
        <v>22262</v>
      </c>
    </row>
    <row r="2259" spans="10:11" x14ac:dyDescent="0.25">
      <c r="J2259" s="29" t="s">
        <v>5458</v>
      </c>
      <c r="K2259" s="29">
        <v>22262</v>
      </c>
    </row>
    <row r="2260" spans="10:11" x14ac:dyDescent="0.25">
      <c r="J2260" s="29" t="s">
        <v>5459</v>
      </c>
      <c r="K2260" s="29">
        <v>22262</v>
      </c>
    </row>
    <row r="2261" spans="10:11" x14ac:dyDescent="0.25">
      <c r="J2261" s="29" t="s">
        <v>5460</v>
      </c>
      <c r="K2261" s="29">
        <v>62239</v>
      </c>
    </row>
    <row r="2262" spans="10:11" x14ac:dyDescent="0.25">
      <c r="J2262" s="29" t="s">
        <v>5461</v>
      </c>
      <c r="K2262" s="29">
        <v>62239</v>
      </c>
    </row>
    <row r="2263" spans="10:11" x14ac:dyDescent="0.25">
      <c r="J2263" s="29" t="s">
        <v>5462</v>
      </c>
      <c r="K2263" s="29">
        <v>62239</v>
      </c>
    </row>
    <row r="2264" spans="10:11" x14ac:dyDescent="0.25">
      <c r="J2264" s="29" t="s">
        <v>5463</v>
      </c>
      <c r="K2264" s="29">
        <v>62341</v>
      </c>
    </row>
    <row r="2265" spans="10:11" x14ac:dyDescent="0.25">
      <c r="J2265" s="29" t="s">
        <v>5464</v>
      </c>
      <c r="K2265" s="29">
        <v>62341</v>
      </c>
    </row>
    <row r="2266" spans="10:11" x14ac:dyDescent="0.25">
      <c r="J2266" s="29" t="s">
        <v>5465</v>
      </c>
      <c r="K2266" s="29">
        <v>35432</v>
      </c>
    </row>
    <row r="2267" spans="10:11" x14ac:dyDescent="0.25">
      <c r="J2267" s="29" t="s">
        <v>5466</v>
      </c>
      <c r="K2267" s="29">
        <v>23259</v>
      </c>
    </row>
    <row r="2268" spans="10:11" x14ac:dyDescent="0.25">
      <c r="J2268" s="29" t="s">
        <v>5467</v>
      </c>
      <c r="K2268" s="29">
        <v>22463</v>
      </c>
    </row>
    <row r="2269" spans="10:11" x14ac:dyDescent="0.25">
      <c r="J2269" s="29" t="s">
        <v>5468</v>
      </c>
      <c r="K2269" s="29">
        <v>22463</v>
      </c>
    </row>
    <row r="2270" spans="10:11" x14ac:dyDescent="0.25">
      <c r="J2270" s="29" t="s">
        <v>5469</v>
      </c>
      <c r="K2270" s="29">
        <v>35318</v>
      </c>
    </row>
    <row r="2271" spans="10:11" x14ac:dyDescent="0.25">
      <c r="J2271" s="29" t="s">
        <v>5470</v>
      </c>
      <c r="K2271" s="29">
        <v>35318</v>
      </c>
    </row>
    <row r="2272" spans="10:11" x14ac:dyDescent="0.25">
      <c r="J2272" s="29" t="s">
        <v>5471</v>
      </c>
      <c r="K2272" s="29">
        <v>35318</v>
      </c>
    </row>
    <row r="2273" spans="10:11" x14ac:dyDescent="0.25">
      <c r="J2273" s="29" t="s">
        <v>5472</v>
      </c>
      <c r="K2273" s="29">
        <v>35318</v>
      </c>
    </row>
    <row r="2274" spans="10:11" x14ac:dyDescent="0.25">
      <c r="J2274" s="29" t="s">
        <v>5473</v>
      </c>
      <c r="K2274" s="29">
        <v>35318</v>
      </c>
    </row>
    <row r="2275" spans="10:11" x14ac:dyDescent="0.25">
      <c r="J2275" s="29" t="s">
        <v>5474</v>
      </c>
      <c r="K2275" s="29">
        <v>35318</v>
      </c>
    </row>
    <row r="2276" spans="10:11" x14ac:dyDescent="0.25">
      <c r="J2276" s="29" t="s">
        <v>5475</v>
      </c>
      <c r="K2276" s="29">
        <v>23447</v>
      </c>
    </row>
    <row r="2277" spans="10:11" x14ac:dyDescent="0.25">
      <c r="J2277" s="29" t="s">
        <v>5476</v>
      </c>
      <c r="K2277" s="29">
        <v>71334</v>
      </c>
    </row>
    <row r="2278" spans="10:11" x14ac:dyDescent="0.25">
      <c r="J2278" s="29" t="s">
        <v>5477</v>
      </c>
      <c r="K2278" s="29">
        <v>71334</v>
      </c>
    </row>
    <row r="2279" spans="10:11" x14ac:dyDescent="0.25">
      <c r="J2279" s="29" t="s">
        <v>5478</v>
      </c>
      <c r="K2279" s="29">
        <v>71334</v>
      </c>
    </row>
    <row r="2280" spans="10:11" x14ac:dyDescent="0.25">
      <c r="J2280" s="29" t="s">
        <v>5479</v>
      </c>
      <c r="K2280" s="29">
        <v>71334</v>
      </c>
    </row>
    <row r="2281" spans="10:11" x14ac:dyDescent="0.25">
      <c r="J2281" s="29" t="s">
        <v>5480</v>
      </c>
      <c r="K2281" s="29">
        <v>71334</v>
      </c>
    </row>
    <row r="2282" spans="10:11" x14ac:dyDescent="0.25">
      <c r="J2282" s="29" t="s">
        <v>5481</v>
      </c>
      <c r="K2282" s="29">
        <v>22761</v>
      </c>
    </row>
    <row r="2283" spans="10:11" x14ac:dyDescent="0.25">
      <c r="J2283" s="29" t="s">
        <v>5482</v>
      </c>
      <c r="K2283" s="29">
        <v>34311</v>
      </c>
    </row>
    <row r="2284" spans="10:11" x14ac:dyDescent="0.25">
      <c r="J2284" s="29" t="s">
        <v>5483</v>
      </c>
      <c r="K2284" s="29">
        <v>34311</v>
      </c>
    </row>
    <row r="2285" spans="10:11" x14ac:dyDescent="0.25">
      <c r="J2285" s="29" t="s">
        <v>5484</v>
      </c>
      <c r="K2285" s="29">
        <v>34311</v>
      </c>
    </row>
    <row r="2286" spans="10:11" x14ac:dyDescent="0.25">
      <c r="J2286" s="29" t="s">
        <v>5485</v>
      </c>
      <c r="K2286" s="29">
        <v>53119</v>
      </c>
    </row>
    <row r="2287" spans="10:11" x14ac:dyDescent="0.25">
      <c r="J2287" s="29" t="s">
        <v>5486</v>
      </c>
      <c r="K2287" s="29">
        <v>53119</v>
      </c>
    </row>
    <row r="2288" spans="10:11" x14ac:dyDescent="0.25">
      <c r="J2288" s="29" t="s">
        <v>5487</v>
      </c>
      <c r="K2288" s="29">
        <v>53119</v>
      </c>
    </row>
    <row r="2289" spans="10:11" x14ac:dyDescent="0.25">
      <c r="J2289" s="29" t="s">
        <v>5488</v>
      </c>
      <c r="K2289" s="29">
        <v>53119</v>
      </c>
    </row>
    <row r="2290" spans="10:11" x14ac:dyDescent="0.25">
      <c r="J2290" s="29" t="s">
        <v>5489</v>
      </c>
      <c r="K2290" s="29">
        <v>53119</v>
      </c>
    </row>
    <row r="2291" spans="10:11" x14ac:dyDescent="0.25">
      <c r="J2291" s="29" t="s">
        <v>5490</v>
      </c>
      <c r="K2291" s="29">
        <v>53119</v>
      </c>
    </row>
    <row r="2292" spans="10:11" x14ac:dyDescent="0.25">
      <c r="J2292" s="29" t="s">
        <v>5491</v>
      </c>
      <c r="K2292" s="29">
        <v>53119</v>
      </c>
    </row>
    <row r="2293" spans="10:11" x14ac:dyDescent="0.25">
      <c r="J2293" s="29" t="s">
        <v>5492</v>
      </c>
      <c r="K2293" s="29">
        <v>53119</v>
      </c>
    </row>
    <row r="2294" spans="10:11" x14ac:dyDescent="0.25">
      <c r="J2294" s="29" t="s">
        <v>5493</v>
      </c>
      <c r="K2294" s="29">
        <v>53119</v>
      </c>
    </row>
    <row r="2295" spans="10:11" x14ac:dyDescent="0.25">
      <c r="J2295" s="29" t="s">
        <v>5494</v>
      </c>
      <c r="K2295" s="29">
        <v>53119</v>
      </c>
    </row>
    <row r="2296" spans="10:11" x14ac:dyDescent="0.25">
      <c r="J2296" s="29" t="s">
        <v>5495</v>
      </c>
      <c r="K2296" s="29">
        <v>53119</v>
      </c>
    </row>
    <row r="2297" spans="10:11" x14ac:dyDescent="0.25">
      <c r="J2297" s="29" t="s">
        <v>5496</v>
      </c>
      <c r="K2297" s="29">
        <v>53119</v>
      </c>
    </row>
    <row r="2298" spans="10:11" x14ac:dyDescent="0.25">
      <c r="J2298" s="29" t="s">
        <v>5497</v>
      </c>
      <c r="K2298" s="29">
        <v>53119</v>
      </c>
    </row>
    <row r="2299" spans="10:11" x14ac:dyDescent="0.25">
      <c r="J2299" s="29" t="s">
        <v>5498</v>
      </c>
      <c r="K2299" s="29">
        <v>53119</v>
      </c>
    </row>
    <row r="2300" spans="10:11" x14ac:dyDescent="0.25">
      <c r="J2300" s="29" t="s">
        <v>5499</v>
      </c>
      <c r="K2300" s="29">
        <v>34259</v>
      </c>
    </row>
    <row r="2301" spans="10:11" x14ac:dyDescent="0.25">
      <c r="J2301" s="29" t="s">
        <v>5500</v>
      </c>
      <c r="K2301" s="29">
        <v>26135</v>
      </c>
    </row>
    <row r="2302" spans="10:11" x14ac:dyDescent="0.25">
      <c r="J2302" s="29" t="s">
        <v>5501</v>
      </c>
      <c r="K2302" s="29">
        <v>26211</v>
      </c>
    </row>
    <row r="2303" spans="10:11" x14ac:dyDescent="0.25">
      <c r="J2303" s="29" t="s">
        <v>5502</v>
      </c>
      <c r="K2303" s="29">
        <v>26211</v>
      </c>
    </row>
    <row r="2304" spans="10:11" x14ac:dyDescent="0.25">
      <c r="J2304" s="29" t="s">
        <v>5503</v>
      </c>
      <c r="K2304" s="29">
        <v>26211</v>
      </c>
    </row>
    <row r="2305" spans="10:11" x14ac:dyDescent="0.25">
      <c r="J2305" s="29" t="s">
        <v>5504</v>
      </c>
      <c r="K2305" s="29">
        <v>32181</v>
      </c>
    </row>
    <row r="2306" spans="10:11" x14ac:dyDescent="0.25">
      <c r="J2306" s="29" t="s">
        <v>5505</v>
      </c>
      <c r="K2306" s="29">
        <v>61479</v>
      </c>
    </row>
    <row r="2307" spans="10:11" x14ac:dyDescent="0.25">
      <c r="J2307" s="29" t="s">
        <v>5506</v>
      </c>
      <c r="K2307" s="29">
        <v>22419</v>
      </c>
    </row>
    <row r="2308" spans="10:11" x14ac:dyDescent="0.25">
      <c r="J2308" s="29" t="s">
        <v>5507</v>
      </c>
      <c r="K2308" s="29">
        <v>22419</v>
      </c>
    </row>
    <row r="2309" spans="10:11" x14ac:dyDescent="0.25">
      <c r="J2309" s="29" t="s">
        <v>5508</v>
      </c>
      <c r="K2309" s="29">
        <v>22419</v>
      </c>
    </row>
    <row r="2310" spans="10:11" x14ac:dyDescent="0.25">
      <c r="J2310" s="29" t="s">
        <v>5509</v>
      </c>
      <c r="K2310" s="29">
        <v>22419</v>
      </c>
    </row>
    <row r="2311" spans="10:11" x14ac:dyDescent="0.25">
      <c r="J2311" s="29" t="s">
        <v>5510</v>
      </c>
      <c r="K2311" s="29">
        <v>22419</v>
      </c>
    </row>
    <row r="2312" spans="10:11" x14ac:dyDescent="0.25">
      <c r="J2312" s="29" t="s">
        <v>5511</v>
      </c>
      <c r="K2312" s="29">
        <v>22419</v>
      </c>
    </row>
    <row r="2313" spans="10:11" x14ac:dyDescent="0.25">
      <c r="J2313" s="29" t="s">
        <v>5512</v>
      </c>
      <c r="K2313" s="29">
        <v>25427</v>
      </c>
    </row>
    <row r="2314" spans="10:11" x14ac:dyDescent="0.25">
      <c r="J2314" s="29" t="s">
        <v>5513</v>
      </c>
      <c r="K2314" s="29">
        <v>53214</v>
      </c>
    </row>
    <row r="2315" spans="10:11" x14ac:dyDescent="0.25">
      <c r="J2315" s="29" t="s">
        <v>5514</v>
      </c>
      <c r="K2315" s="29">
        <v>53214</v>
      </c>
    </row>
    <row r="2316" spans="10:11" x14ac:dyDescent="0.25">
      <c r="J2316" s="29" t="s">
        <v>5515</v>
      </c>
      <c r="K2316" s="29">
        <v>53214</v>
      </c>
    </row>
    <row r="2317" spans="10:11" x14ac:dyDescent="0.25">
      <c r="J2317" s="29" t="s">
        <v>5516</v>
      </c>
      <c r="K2317" s="29">
        <v>53214</v>
      </c>
    </row>
    <row r="2318" spans="10:11" x14ac:dyDescent="0.25">
      <c r="J2318" s="29" t="s">
        <v>5517</v>
      </c>
      <c r="K2318" s="29">
        <v>53214</v>
      </c>
    </row>
    <row r="2319" spans="10:11" x14ac:dyDescent="0.25">
      <c r="J2319" s="29" t="s">
        <v>5518</v>
      </c>
      <c r="K2319" s="29">
        <v>53214</v>
      </c>
    </row>
    <row r="2320" spans="10:11" x14ac:dyDescent="0.25">
      <c r="J2320" s="29" t="s">
        <v>5519</v>
      </c>
      <c r="K2320" s="29">
        <v>32147</v>
      </c>
    </row>
    <row r="2321" spans="10:11" x14ac:dyDescent="0.25">
      <c r="J2321" s="29" t="s">
        <v>5520</v>
      </c>
      <c r="K2321" s="29">
        <v>35353</v>
      </c>
    </row>
    <row r="2322" spans="10:11" x14ac:dyDescent="0.25">
      <c r="J2322" s="29" t="s">
        <v>5521</v>
      </c>
      <c r="K2322" s="29">
        <v>35353</v>
      </c>
    </row>
    <row r="2323" spans="10:11" x14ac:dyDescent="0.25">
      <c r="J2323" s="29" t="s">
        <v>5522</v>
      </c>
      <c r="K2323" s="29">
        <v>35353</v>
      </c>
    </row>
    <row r="2324" spans="10:11" x14ac:dyDescent="0.25">
      <c r="J2324" s="29" t="s">
        <v>5523</v>
      </c>
      <c r="K2324" s="29">
        <v>35353</v>
      </c>
    </row>
    <row r="2325" spans="10:11" x14ac:dyDescent="0.25">
      <c r="J2325" s="29" t="s">
        <v>5524</v>
      </c>
      <c r="K2325" s="29">
        <v>35353</v>
      </c>
    </row>
    <row r="2326" spans="10:11" x14ac:dyDescent="0.25">
      <c r="J2326" s="29" t="s">
        <v>5525</v>
      </c>
      <c r="K2326" s="29">
        <v>35353</v>
      </c>
    </row>
    <row r="2327" spans="10:11" x14ac:dyDescent="0.25">
      <c r="J2327" s="29" t="s">
        <v>5526</v>
      </c>
      <c r="K2327" s="29">
        <v>35353</v>
      </c>
    </row>
    <row r="2328" spans="10:11" x14ac:dyDescent="0.25">
      <c r="J2328" s="29" t="s">
        <v>5527</v>
      </c>
      <c r="K2328" s="29">
        <v>35353</v>
      </c>
    </row>
    <row r="2329" spans="10:11" x14ac:dyDescent="0.25">
      <c r="J2329" s="29" t="s">
        <v>5528</v>
      </c>
      <c r="K2329" s="29">
        <v>35353</v>
      </c>
    </row>
    <row r="2330" spans="10:11" x14ac:dyDescent="0.25">
      <c r="J2330" s="29" t="s">
        <v>5529</v>
      </c>
      <c r="K2330" s="29">
        <v>35353</v>
      </c>
    </row>
    <row r="2331" spans="10:11" x14ac:dyDescent="0.25">
      <c r="J2331" s="29" t="s">
        <v>5530</v>
      </c>
      <c r="K2331" s="29">
        <v>35353</v>
      </c>
    </row>
    <row r="2332" spans="10:11" x14ac:dyDescent="0.25">
      <c r="J2332" s="29" t="s">
        <v>5531</v>
      </c>
      <c r="K2332" s="29">
        <v>51139</v>
      </c>
    </row>
    <row r="2333" spans="10:11" x14ac:dyDescent="0.25">
      <c r="J2333" s="29" t="s">
        <v>5532</v>
      </c>
      <c r="K2333" s="29">
        <v>51139</v>
      </c>
    </row>
    <row r="2334" spans="10:11" x14ac:dyDescent="0.25">
      <c r="J2334" s="29" t="s">
        <v>5533</v>
      </c>
      <c r="K2334" s="29">
        <v>72276</v>
      </c>
    </row>
    <row r="2335" spans="10:11" x14ac:dyDescent="0.25">
      <c r="J2335" s="29" t="s">
        <v>5534</v>
      </c>
      <c r="K2335" s="29">
        <v>21133</v>
      </c>
    </row>
    <row r="2336" spans="10:11" x14ac:dyDescent="0.25">
      <c r="J2336" s="29" t="s">
        <v>5535</v>
      </c>
      <c r="K2336" s="29">
        <v>21133</v>
      </c>
    </row>
    <row r="2337" spans="10:11" x14ac:dyDescent="0.25">
      <c r="J2337" s="29" t="s">
        <v>5536</v>
      </c>
      <c r="K2337" s="29">
        <v>21133</v>
      </c>
    </row>
    <row r="2338" spans="10:11" x14ac:dyDescent="0.25">
      <c r="J2338" s="29" t="s">
        <v>5537</v>
      </c>
      <c r="K2338" s="29">
        <v>72274</v>
      </c>
    </row>
    <row r="2339" spans="10:11" x14ac:dyDescent="0.25">
      <c r="J2339" s="29" t="s">
        <v>5538</v>
      </c>
      <c r="K2339" s="29">
        <v>72274</v>
      </c>
    </row>
    <row r="2340" spans="10:11" x14ac:dyDescent="0.25">
      <c r="J2340" s="29" t="s">
        <v>5539</v>
      </c>
      <c r="K2340" s="29">
        <v>72274</v>
      </c>
    </row>
    <row r="2341" spans="10:11" x14ac:dyDescent="0.25">
      <c r="J2341" s="29" t="s">
        <v>5540</v>
      </c>
      <c r="K2341" s="29">
        <v>23566</v>
      </c>
    </row>
    <row r="2342" spans="10:11" x14ac:dyDescent="0.25">
      <c r="J2342" s="29" t="s">
        <v>5541</v>
      </c>
      <c r="K2342" s="29">
        <v>61447</v>
      </c>
    </row>
    <row r="2343" spans="10:11" x14ac:dyDescent="0.25">
      <c r="J2343" s="29" t="s">
        <v>5542</v>
      </c>
      <c r="K2343" s="29">
        <v>25311</v>
      </c>
    </row>
    <row r="2344" spans="10:11" x14ac:dyDescent="0.25">
      <c r="J2344" s="29" t="s">
        <v>5543</v>
      </c>
      <c r="K2344" s="29">
        <v>25311</v>
      </c>
    </row>
    <row r="2345" spans="10:11" x14ac:dyDescent="0.25">
      <c r="J2345" s="29" t="s">
        <v>5544</v>
      </c>
      <c r="K2345" s="29">
        <v>25311</v>
      </c>
    </row>
    <row r="2346" spans="10:11" x14ac:dyDescent="0.25">
      <c r="J2346" s="29" t="s">
        <v>3829</v>
      </c>
      <c r="K2346" s="29">
        <v>61311</v>
      </c>
    </row>
    <row r="2347" spans="10:11" x14ac:dyDescent="0.25">
      <c r="J2347" s="29" t="s">
        <v>5545</v>
      </c>
      <c r="K2347" s="29">
        <v>61311</v>
      </c>
    </row>
    <row r="2348" spans="10:11" x14ac:dyDescent="0.25">
      <c r="J2348" s="29" t="s">
        <v>5546</v>
      </c>
      <c r="K2348" s="29">
        <v>61311</v>
      </c>
    </row>
    <row r="2349" spans="10:11" x14ac:dyDescent="0.25">
      <c r="J2349" s="29" t="s">
        <v>5547</v>
      </c>
      <c r="K2349" s="29">
        <v>61311</v>
      </c>
    </row>
    <row r="2350" spans="10:11" x14ac:dyDescent="0.25">
      <c r="J2350" s="29" t="s">
        <v>5548</v>
      </c>
      <c r="K2350" s="29">
        <v>61311</v>
      </c>
    </row>
    <row r="2351" spans="10:11" x14ac:dyDescent="0.25">
      <c r="J2351" s="29" t="s">
        <v>5549</v>
      </c>
      <c r="K2351" s="29">
        <v>61311</v>
      </c>
    </row>
    <row r="2352" spans="10:11" x14ac:dyDescent="0.25">
      <c r="J2352" s="29" t="s">
        <v>5550</v>
      </c>
      <c r="K2352" s="29">
        <v>61311</v>
      </c>
    </row>
    <row r="2353" spans="10:11" x14ac:dyDescent="0.25">
      <c r="J2353" s="29" t="s">
        <v>5551</v>
      </c>
      <c r="K2353" s="29">
        <v>52227</v>
      </c>
    </row>
    <row r="2354" spans="10:11" x14ac:dyDescent="0.25">
      <c r="J2354" s="29" t="s">
        <v>5552</v>
      </c>
      <c r="K2354" s="29">
        <v>25363</v>
      </c>
    </row>
    <row r="2355" spans="10:11" x14ac:dyDescent="0.25">
      <c r="J2355" s="29" t="s">
        <v>5553</v>
      </c>
      <c r="K2355" s="29">
        <v>25319</v>
      </c>
    </row>
    <row r="2356" spans="10:11" x14ac:dyDescent="0.25">
      <c r="J2356" s="29" t="s">
        <v>5554</v>
      </c>
      <c r="K2356" s="29">
        <v>25319</v>
      </c>
    </row>
    <row r="2357" spans="10:11" x14ac:dyDescent="0.25">
      <c r="J2357" s="29" t="s">
        <v>5555</v>
      </c>
      <c r="K2357" s="29">
        <v>25319</v>
      </c>
    </row>
    <row r="2358" spans="10:11" x14ac:dyDescent="0.25">
      <c r="J2358" s="29" t="s">
        <v>5556</v>
      </c>
      <c r="K2358" s="29">
        <v>71155</v>
      </c>
    </row>
    <row r="2359" spans="10:11" x14ac:dyDescent="0.25">
      <c r="J2359" s="29" t="s">
        <v>5557</v>
      </c>
      <c r="K2359" s="29">
        <v>71155</v>
      </c>
    </row>
    <row r="2360" spans="10:11" x14ac:dyDescent="0.25">
      <c r="J2360" s="29" t="s">
        <v>5558</v>
      </c>
      <c r="K2360" s="29">
        <v>71155</v>
      </c>
    </row>
    <row r="2361" spans="10:11" x14ac:dyDescent="0.25">
      <c r="J2361" s="29" t="s">
        <v>5559</v>
      </c>
      <c r="K2361" s="29">
        <v>71155</v>
      </c>
    </row>
    <row r="2362" spans="10:11" x14ac:dyDescent="0.25">
      <c r="J2362" s="29" t="s">
        <v>5560</v>
      </c>
      <c r="K2362" s="29">
        <v>53183</v>
      </c>
    </row>
    <row r="2363" spans="10:11" x14ac:dyDescent="0.25">
      <c r="J2363" s="29" t="s">
        <v>5561</v>
      </c>
      <c r="K2363" s="29">
        <v>53183</v>
      </c>
    </row>
    <row r="2364" spans="10:11" x14ac:dyDescent="0.25">
      <c r="J2364" s="29" t="s">
        <v>5562</v>
      </c>
      <c r="K2364" s="29">
        <v>53183</v>
      </c>
    </row>
    <row r="2365" spans="10:11" x14ac:dyDescent="0.25">
      <c r="J2365" s="29" t="s">
        <v>5563</v>
      </c>
      <c r="K2365" s="29">
        <v>53183</v>
      </c>
    </row>
    <row r="2366" spans="10:11" x14ac:dyDescent="0.25">
      <c r="J2366" s="29" t="s">
        <v>5564</v>
      </c>
      <c r="K2366" s="29">
        <v>53183</v>
      </c>
    </row>
    <row r="2367" spans="10:11" x14ac:dyDescent="0.25">
      <c r="J2367" s="29" t="s">
        <v>5565</v>
      </c>
      <c r="K2367" s="29">
        <v>53183</v>
      </c>
    </row>
    <row r="2368" spans="10:11" x14ac:dyDescent="0.25">
      <c r="J2368" s="29" t="s">
        <v>5566</v>
      </c>
      <c r="K2368" s="29">
        <v>53183</v>
      </c>
    </row>
    <row r="2369" spans="10:11" x14ac:dyDescent="0.25">
      <c r="J2369" s="29" t="s">
        <v>5567</v>
      </c>
      <c r="K2369" s="29">
        <v>21219</v>
      </c>
    </row>
    <row r="2370" spans="10:11" x14ac:dyDescent="0.25">
      <c r="J2370" s="29" t="s">
        <v>5568</v>
      </c>
      <c r="K2370" s="29">
        <v>21219</v>
      </c>
    </row>
    <row r="2371" spans="10:11" x14ac:dyDescent="0.25">
      <c r="J2371" s="29" t="s">
        <v>5569</v>
      </c>
      <c r="K2371" s="29">
        <v>21219</v>
      </c>
    </row>
    <row r="2372" spans="10:11" x14ac:dyDescent="0.25">
      <c r="J2372" s="29" t="s">
        <v>5570</v>
      </c>
      <c r="K2372" s="29">
        <v>21219</v>
      </c>
    </row>
    <row r="2373" spans="10:11" x14ac:dyDescent="0.25">
      <c r="J2373" s="29" t="s">
        <v>5571</v>
      </c>
      <c r="K2373" s="29">
        <v>21219</v>
      </c>
    </row>
    <row r="2374" spans="10:11" x14ac:dyDescent="0.25">
      <c r="J2374" s="29" t="s">
        <v>5572</v>
      </c>
      <c r="K2374" s="29">
        <v>21219</v>
      </c>
    </row>
    <row r="2375" spans="10:11" x14ac:dyDescent="0.25">
      <c r="J2375" s="29" t="s">
        <v>5573</v>
      </c>
      <c r="K2375" s="29">
        <v>21219</v>
      </c>
    </row>
    <row r="2376" spans="10:11" x14ac:dyDescent="0.25">
      <c r="J2376" s="29" t="s">
        <v>5574</v>
      </c>
      <c r="K2376" s="29">
        <v>21219</v>
      </c>
    </row>
    <row r="2377" spans="10:11" x14ac:dyDescent="0.25">
      <c r="J2377" s="29" t="s">
        <v>5575</v>
      </c>
      <c r="K2377" s="29">
        <v>21219</v>
      </c>
    </row>
    <row r="2378" spans="10:11" x14ac:dyDescent="0.25">
      <c r="J2378" s="29" t="s">
        <v>5576</v>
      </c>
      <c r="K2378" s="29">
        <v>21219</v>
      </c>
    </row>
    <row r="2379" spans="10:11" x14ac:dyDescent="0.25">
      <c r="J2379" s="29" t="s">
        <v>5577</v>
      </c>
      <c r="K2379" s="29">
        <v>21219</v>
      </c>
    </row>
    <row r="2380" spans="10:11" x14ac:dyDescent="0.25">
      <c r="J2380" s="29" t="s">
        <v>5578</v>
      </c>
      <c r="K2380" s="29">
        <v>21219</v>
      </c>
    </row>
    <row r="2381" spans="10:11" x14ac:dyDescent="0.25">
      <c r="J2381" s="29" t="s">
        <v>5579</v>
      </c>
      <c r="K2381" s="29">
        <v>21219</v>
      </c>
    </row>
    <row r="2382" spans="10:11" x14ac:dyDescent="0.25">
      <c r="J2382" s="29" t="s">
        <v>5580</v>
      </c>
      <c r="K2382" s="29">
        <v>21219</v>
      </c>
    </row>
    <row r="2383" spans="10:11" x14ac:dyDescent="0.25">
      <c r="J2383" s="29" t="s">
        <v>5581</v>
      </c>
      <c r="K2383" s="29">
        <v>21219</v>
      </c>
    </row>
    <row r="2384" spans="10:11" x14ac:dyDescent="0.25">
      <c r="J2384" s="29" t="s">
        <v>5582</v>
      </c>
      <c r="K2384" s="29">
        <v>21219</v>
      </c>
    </row>
    <row r="2385" spans="10:11" x14ac:dyDescent="0.25">
      <c r="J2385" s="29" t="s">
        <v>5583</v>
      </c>
      <c r="K2385" s="29">
        <v>21219</v>
      </c>
    </row>
    <row r="2386" spans="10:11" x14ac:dyDescent="0.25">
      <c r="J2386" s="29" t="s">
        <v>5584</v>
      </c>
      <c r="K2386" s="29">
        <v>21219</v>
      </c>
    </row>
    <row r="2387" spans="10:11" x14ac:dyDescent="0.25">
      <c r="J2387" s="29" t="s">
        <v>5585</v>
      </c>
      <c r="K2387" s="29">
        <v>21219</v>
      </c>
    </row>
    <row r="2388" spans="10:11" x14ac:dyDescent="0.25">
      <c r="J2388" s="29" t="s">
        <v>5586</v>
      </c>
      <c r="K2388" s="29">
        <v>21219</v>
      </c>
    </row>
    <row r="2389" spans="10:11" x14ac:dyDescent="0.25">
      <c r="J2389" s="29" t="s">
        <v>5587</v>
      </c>
      <c r="K2389" s="29">
        <v>21219</v>
      </c>
    </row>
    <row r="2390" spans="10:11" x14ac:dyDescent="0.25">
      <c r="J2390" s="29" t="s">
        <v>5588</v>
      </c>
      <c r="K2390" s="29">
        <v>21219</v>
      </c>
    </row>
    <row r="2391" spans="10:11" x14ac:dyDescent="0.25">
      <c r="J2391" s="29" t="s">
        <v>5589</v>
      </c>
      <c r="K2391" s="29">
        <v>21219</v>
      </c>
    </row>
    <row r="2392" spans="10:11" x14ac:dyDescent="0.25">
      <c r="J2392" s="29" t="s">
        <v>5590</v>
      </c>
      <c r="K2392" s="29">
        <v>21219</v>
      </c>
    </row>
    <row r="2393" spans="10:11" x14ac:dyDescent="0.25">
      <c r="J2393" s="29" t="s">
        <v>5591</v>
      </c>
      <c r="K2393" s="29">
        <v>21219</v>
      </c>
    </row>
    <row r="2394" spans="10:11" x14ac:dyDescent="0.25">
      <c r="J2394" s="29" t="s">
        <v>5592</v>
      </c>
      <c r="K2394" s="29">
        <v>21219</v>
      </c>
    </row>
    <row r="2395" spans="10:11" x14ac:dyDescent="0.25">
      <c r="J2395" s="29" t="s">
        <v>5593</v>
      </c>
      <c r="K2395" s="29">
        <v>21219</v>
      </c>
    </row>
    <row r="2396" spans="10:11" x14ac:dyDescent="0.25">
      <c r="J2396" s="29" t="s">
        <v>5594</v>
      </c>
      <c r="K2396" s="29">
        <v>21219</v>
      </c>
    </row>
    <row r="2397" spans="10:11" x14ac:dyDescent="0.25">
      <c r="J2397" s="29" t="s">
        <v>5595</v>
      </c>
      <c r="K2397" s="29">
        <v>21219</v>
      </c>
    </row>
    <row r="2398" spans="10:11" x14ac:dyDescent="0.25">
      <c r="J2398" s="29" t="s">
        <v>5596</v>
      </c>
      <c r="K2398" s="29">
        <v>21219</v>
      </c>
    </row>
    <row r="2399" spans="10:11" x14ac:dyDescent="0.25">
      <c r="J2399" s="29" t="s">
        <v>5597</v>
      </c>
      <c r="K2399" s="29">
        <v>21219</v>
      </c>
    </row>
    <row r="2400" spans="10:11" x14ac:dyDescent="0.25">
      <c r="J2400" s="29" t="s">
        <v>5598</v>
      </c>
      <c r="K2400" s="29">
        <v>21219</v>
      </c>
    </row>
    <row r="2401" spans="10:11" x14ac:dyDescent="0.25">
      <c r="J2401" s="29" t="s">
        <v>5599</v>
      </c>
      <c r="K2401" s="29">
        <v>36177</v>
      </c>
    </row>
    <row r="2402" spans="10:11" x14ac:dyDescent="0.25">
      <c r="J2402" s="29" t="s">
        <v>5600</v>
      </c>
      <c r="K2402" s="29">
        <v>36177</v>
      </c>
    </row>
    <row r="2403" spans="10:11" x14ac:dyDescent="0.25">
      <c r="J2403" s="29" t="s">
        <v>5601</v>
      </c>
      <c r="K2403" s="29">
        <v>36177</v>
      </c>
    </row>
    <row r="2404" spans="10:11" x14ac:dyDescent="0.25">
      <c r="J2404" s="29" t="s">
        <v>5602</v>
      </c>
      <c r="K2404" s="29">
        <v>33275</v>
      </c>
    </row>
    <row r="2405" spans="10:11" x14ac:dyDescent="0.25">
      <c r="J2405" s="29" t="s">
        <v>5603</v>
      </c>
      <c r="K2405" s="29">
        <v>26147</v>
      </c>
    </row>
    <row r="2406" spans="10:11" x14ac:dyDescent="0.25">
      <c r="J2406" s="29" t="s">
        <v>5604</v>
      </c>
      <c r="K2406" s="29">
        <v>35111</v>
      </c>
    </row>
    <row r="2407" spans="10:11" x14ac:dyDescent="0.25">
      <c r="J2407" s="29" t="s">
        <v>5605</v>
      </c>
      <c r="K2407" s="29">
        <v>35111</v>
      </c>
    </row>
    <row r="2408" spans="10:11" x14ac:dyDescent="0.25">
      <c r="J2408" s="29" t="s">
        <v>5606</v>
      </c>
      <c r="K2408" s="29">
        <v>35111</v>
      </c>
    </row>
    <row r="2409" spans="10:11" x14ac:dyDescent="0.25">
      <c r="J2409" s="29" t="s">
        <v>5607</v>
      </c>
      <c r="K2409" s="29">
        <v>35111</v>
      </c>
    </row>
    <row r="2410" spans="10:11" x14ac:dyDescent="0.25">
      <c r="J2410" s="29" t="s">
        <v>5608</v>
      </c>
      <c r="K2410" s="29">
        <v>35111</v>
      </c>
    </row>
    <row r="2411" spans="10:11" x14ac:dyDescent="0.25">
      <c r="J2411" s="29" t="s">
        <v>5609</v>
      </c>
      <c r="K2411" s="29">
        <v>53463</v>
      </c>
    </row>
    <row r="2412" spans="10:11" x14ac:dyDescent="0.25">
      <c r="J2412" s="29" t="s">
        <v>5610</v>
      </c>
      <c r="K2412" s="29">
        <v>34287</v>
      </c>
    </row>
    <row r="2413" spans="10:11" x14ac:dyDescent="0.25">
      <c r="J2413" s="29" t="s">
        <v>5611</v>
      </c>
      <c r="K2413" s="29">
        <v>21411</v>
      </c>
    </row>
    <row r="2414" spans="10:11" x14ac:dyDescent="0.25">
      <c r="J2414" s="29" t="s">
        <v>5612</v>
      </c>
      <c r="K2414" s="29">
        <v>21411</v>
      </c>
    </row>
    <row r="2415" spans="10:11" x14ac:dyDescent="0.25">
      <c r="J2415" s="29" t="s">
        <v>5613</v>
      </c>
      <c r="K2415" s="29">
        <v>21411</v>
      </c>
    </row>
    <row r="2416" spans="10:11" x14ac:dyDescent="0.25">
      <c r="J2416" s="29" t="s">
        <v>5614</v>
      </c>
      <c r="K2416" s="29">
        <v>62247</v>
      </c>
    </row>
    <row r="2417" spans="10:11" x14ac:dyDescent="0.25">
      <c r="J2417" s="29" t="s">
        <v>5615</v>
      </c>
      <c r="K2417" s="29">
        <v>62247</v>
      </c>
    </row>
    <row r="2418" spans="10:11" x14ac:dyDescent="0.25">
      <c r="J2418" s="29" t="s">
        <v>5616</v>
      </c>
      <c r="K2418" s="29">
        <v>37355</v>
      </c>
    </row>
    <row r="2419" spans="10:11" x14ac:dyDescent="0.25">
      <c r="J2419" s="29" t="s">
        <v>5617</v>
      </c>
      <c r="K2419" s="29">
        <v>37355</v>
      </c>
    </row>
    <row r="2420" spans="10:11" x14ac:dyDescent="0.25">
      <c r="J2420" s="29" t="s">
        <v>5618</v>
      </c>
      <c r="K2420" s="29">
        <v>53159</v>
      </c>
    </row>
    <row r="2421" spans="10:11" x14ac:dyDescent="0.25">
      <c r="J2421" s="29" t="s">
        <v>5619</v>
      </c>
      <c r="K2421" s="29">
        <v>51329</v>
      </c>
    </row>
    <row r="2422" spans="10:11" x14ac:dyDescent="0.25">
      <c r="J2422" s="29" t="s">
        <v>5620</v>
      </c>
      <c r="K2422" s="29">
        <v>52254</v>
      </c>
    </row>
    <row r="2423" spans="10:11" x14ac:dyDescent="0.25">
      <c r="J2423" s="29" t="s">
        <v>5621</v>
      </c>
      <c r="K2423" s="29">
        <v>53419</v>
      </c>
    </row>
    <row r="2424" spans="10:11" x14ac:dyDescent="0.25">
      <c r="J2424" s="29" t="s">
        <v>5622</v>
      </c>
      <c r="K2424" s="29">
        <v>53419</v>
      </c>
    </row>
    <row r="2425" spans="10:11" x14ac:dyDescent="0.25">
      <c r="J2425" s="29" t="s">
        <v>5623</v>
      </c>
      <c r="K2425" s="29">
        <v>53419</v>
      </c>
    </row>
    <row r="2426" spans="10:11" x14ac:dyDescent="0.25">
      <c r="J2426" s="29" t="s">
        <v>5624</v>
      </c>
      <c r="K2426" s="29">
        <v>53419</v>
      </c>
    </row>
    <row r="2427" spans="10:11" x14ac:dyDescent="0.25">
      <c r="J2427" s="29" t="s">
        <v>5625</v>
      </c>
      <c r="K2427" s="29">
        <v>51317</v>
      </c>
    </row>
    <row r="2428" spans="10:11" x14ac:dyDescent="0.25">
      <c r="J2428" s="29" t="s">
        <v>5626</v>
      </c>
      <c r="K2428" s="29">
        <v>51317</v>
      </c>
    </row>
    <row r="2429" spans="10:11" x14ac:dyDescent="0.25">
      <c r="J2429" s="29" t="s">
        <v>5627</v>
      </c>
      <c r="K2429" s="29">
        <v>51317</v>
      </c>
    </row>
    <row r="2430" spans="10:11" x14ac:dyDescent="0.25">
      <c r="J2430" s="29" t="s">
        <v>5628</v>
      </c>
      <c r="K2430" s="29">
        <v>51317</v>
      </c>
    </row>
    <row r="2431" spans="10:11" x14ac:dyDescent="0.25">
      <c r="J2431" s="29" t="s">
        <v>5629</v>
      </c>
      <c r="K2431" s="29">
        <v>51317</v>
      </c>
    </row>
    <row r="2432" spans="10:11" x14ac:dyDescent="0.25">
      <c r="J2432" s="29" t="s">
        <v>5630</v>
      </c>
      <c r="K2432" s="29">
        <v>51317</v>
      </c>
    </row>
    <row r="2433" spans="10:11" x14ac:dyDescent="0.25">
      <c r="J2433" s="29" t="s">
        <v>5631</v>
      </c>
      <c r="K2433" s="29">
        <v>53433</v>
      </c>
    </row>
    <row r="2434" spans="10:11" x14ac:dyDescent="0.25">
      <c r="J2434" s="29" t="s">
        <v>5632</v>
      </c>
      <c r="K2434" s="29">
        <v>53433</v>
      </c>
    </row>
    <row r="2435" spans="10:11" x14ac:dyDescent="0.25">
      <c r="J2435" s="29" t="s">
        <v>5633</v>
      </c>
      <c r="K2435" s="29">
        <v>53433</v>
      </c>
    </row>
    <row r="2436" spans="10:11" x14ac:dyDescent="0.25">
      <c r="J2436" s="29" t="s">
        <v>5634</v>
      </c>
      <c r="K2436" s="29">
        <v>53135</v>
      </c>
    </row>
    <row r="2437" spans="10:11" x14ac:dyDescent="0.25">
      <c r="J2437" s="29" t="s">
        <v>5635</v>
      </c>
      <c r="K2437" s="29">
        <v>53451</v>
      </c>
    </row>
    <row r="2438" spans="10:11" x14ac:dyDescent="0.25">
      <c r="J2438" s="29" t="s">
        <v>5636</v>
      </c>
      <c r="K2438" s="29">
        <v>53451</v>
      </c>
    </row>
    <row r="2439" spans="10:11" x14ac:dyDescent="0.25">
      <c r="J2439" s="29" t="s">
        <v>5637</v>
      </c>
      <c r="K2439" s="29">
        <v>53451</v>
      </c>
    </row>
    <row r="2440" spans="10:11" x14ac:dyDescent="0.25">
      <c r="J2440" s="29" t="s">
        <v>5638</v>
      </c>
      <c r="K2440" s="29">
        <v>53451</v>
      </c>
    </row>
    <row r="2441" spans="10:11" x14ac:dyDescent="0.25">
      <c r="J2441" s="29" t="s">
        <v>5639</v>
      </c>
      <c r="K2441" s="29">
        <v>53451</v>
      </c>
    </row>
    <row r="2442" spans="10:11" x14ac:dyDescent="0.25">
      <c r="J2442" s="29" t="s">
        <v>5640</v>
      </c>
      <c r="K2442" s="29">
        <v>36131</v>
      </c>
    </row>
    <row r="2443" spans="10:11" x14ac:dyDescent="0.25">
      <c r="J2443" s="29" t="s">
        <v>5641</v>
      </c>
      <c r="K2443" s="29">
        <v>37327</v>
      </c>
    </row>
    <row r="2444" spans="10:11" x14ac:dyDescent="0.25">
      <c r="J2444" s="29" t="s">
        <v>5642</v>
      </c>
      <c r="K2444" s="29">
        <v>53264</v>
      </c>
    </row>
    <row r="2445" spans="10:11" x14ac:dyDescent="0.25">
      <c r="J2445" s="29" t="s">
        <v>5643</v>
      </c>
      <c r="K2445" s="29">
        <v>22383</v>
      </c>
    </row>
    <row r="2446" spans="10:11" x14ac:dyDescent="0.25">
      <c r="J2446" s="29" t="s">
        <v>5644</v>
      </c>
      <c r="K2446" s="29">
        <v>21144</v>
      </c>
    </row>
    <row r="2447" spans="10:11" x14ac:dyDescent="0.25">
      <c r="J2447" s="29" t="s">
        <v>5645</v>
      </c>
      <c r="K2447" s="29">
        <v>21144</v>
      </c>
    </row>
    <row r="2448" spans="10:11" x14ac:dyDescent="0.25">
      <c r="J2448" s="29" t="s">
        <v>5646</v>
      </c>
      <c r="K2448" s="29">
        <v>21144</v>
      </c>
    </row>
    <row r="2449" spans="10:11" x14ac:dyDescent="0.25">
      <c r="J2449" s="29" t="s">
        <v>5647</v>
      </c>
      <c r="K2449" s="29">
        <v>21144</v>
      </c>
    </row>
    <row r="2450" spans="10:11" x14ac:dyDescent="0.25">
      <c r="J2450" s="29" t="s">
        <v>5648</v>
      </c>
      <c r="K2450" s="29">
        <v>21144</v>
      </c>
    </row>
    <row r="2451" spans="10:11" x14ac:dyDescent="0.25">
      <c r="J2451" s="29" t="s">
        <v>5649</v>
      </c>
      <c r="K2451" s="29">
        <v>21144</v>
      </c>
    </row>
    <row r="2452" spans="10:11" x14ac:dyDescent="0.25">
      <c r="J2452" s="29" t="s">
        <v>5650</v>
      </c>
      <c r="K2452" s="29">
        <v>21144</v>
      </c>
    </row>
    <row r="2453" spans="10:11" x14ac:dyDescent="0.25">
      <c r="J2453" s="29" t="s">
        <v>5651</v>
      </c>
      <c r="K2453" s="29">
        <v>21144</v>
      </c>
    </row>
    <row r="2454" spans="10:11" x14ac:dyDescent="0.25">
      <c r="J2454" s="29" t="s">
        <v>5652</v>
      </c>
      <c r="K2454" s="29">
        <v>21144</v>
      </c>
    </row>
    <row r="2455" spans="10:11" x14ac:dyDescent="0.25">
      <c r="J2455" s="29" t="s">
        <v>5653</v>
      </c>
      <c r="K2455" s="29">
        <v>21144</v>
      </c>
    </row>
    <row r="2456" spans="10:11" x14ac:dyDescent="0.25">
      <c r="J2456" s="29" t="s">
        <v>5654</v>
      </c>
      <c r="K2456" s="29">
        <v>21144</v>
      </c>
    </row>
    <row r="2457" spans="10:11" x14ac:dyDescent="0.25">
      <c r="J2457" s="29" t="s">
        <v>5655</v>
      </c>
      <c r="K2457" s="29">
        <v>21144</v>
      </c>
    </row>
    <row r="2458" spans="10:11" x14ac:dyDescent="0.25">
      <c r="J2458" s="29" t="s">
        <v>5656</v>
      </c>
      <c r="K2458" s="29">
        <v>21144</v>
      </c>
    </row>
    <row r="2459" spans="10:11" x14ac:dyDescent="0.25">
      <c r="J2459" s="29" t="s">
        <v>5657</v>
      </c>
      <c r="K2459" s="29">
        <v>21144</v>
      </c>
    </row>
    <row r="2460" spans="10:11" x14ac:dyDescent="0.25">
      <c r="J2460" s="29" t="s">
        <v>5658</v>
      </c>
      <c r="K2460" s="29">
        <v>21144</v>
      </c>
    </row>
    <row r="2461" spans="10:11" x14ac:dyDescent="0.25">
      <c r="J2461" s="29" t="s">
        <v>5659</v>
      </c>
      <c r="K2461" s="29">
        <v>21144</v>
      </c>
    </row>
    <row r="2462" spans="10:11" x14ac:dyDescent="0.25">
      <c r="J2462" s="29" t="s">
        <v>5660</v>
      </c>
      <c r="K2462" s="29">
        <v>21144</v>
      </c>
    </row>
    <row r="2463" spans="10:11" x14ac:dyDescent="0.25">
      <c r="J2463" s="29" t="s">
        <v>5661</v>
      </c>
      <c r="K2463" s="29">
        <v>21144</v>
      </c>
    </row>
    <row r="2464" spans="10:11" x14ac:dyDescent="0.25">
      <c r="J2464" s="29" t="s">
        <v>5662</v>
      </c>
      <c r="K2464" s="29">
        <v>21144</v>
      </c>
    </row>
    <row r="2465" spans="10:11" x14ac:dyDescent="0.25">
      <c r="J2465" s="29" t="s">
        <v>5663</v>
      </c>
      <c r="K2465" s="29">
        <v>21144</v>
      </c>
    </row>
    <row r="2466" spans="10:11" x14ac:dyDescent="0.25">
      <c r="J2466" s="29" t="s">
        <v>5664</v>
      </c>
      <c r="K2466" s="29">
        <v>21144</v>
      </c>
    </row>
    <row r="2467" spans="10:11" x14ac:dyDescent="0.25">
      <c r="J2467" s="29" t="s">
        <v>5665</v>
      </c>
      <c r="K2467" s="29">
        <v>21144</v>
      </c>
    </row>
    <row r="2468" spans="10:11" x14ac:dyDescent="0.25">
      <c r="J2468" s="29" t="s">
        <v>5666</v>
      </c>
      <c r="K2468" s="29">
        <v>23647</v>
      </c>
    </row>
    <row r="2469" spans="10:11" x14ac:dyDescent="0.25">
      <c r="J2469" s="29" t="s">
        <v>5667</v>
      </c>
      <c r="K2469" s="29">
        <v>61159</v>
      </c>
    </row>
    <row r="2470" spans="10:11" x14ac:dyDescent="0.25">
      <c r="J2470" s="29" t="s">
        <v>5668</v>
      </c>
      <c r="K2470" s="29">
        <v>37345</v>
      </c>
    </row>
    <row r="2471" spans="10:11" x14ac:dyDescent="0.25">
      <c r="J2471" s="29" t="s">
        <v>5669</v>
      </c>
      <c r="K2471" s="29">
        <v>63171</v>
      </c>
    </row>
    <row r="2472" spans="10:11" x14ac:dyDescent="0.25">
      <c r="J2472" s="29" t="s">
        <v>5670</v>
      </c>
      <c r="K2472" s="29">
        <v>72241</v>
      </c>
    </row>
    <row r="2473" spans="10:11" x14ac:dyDescent="0.25">
      <c r="J2473" s="29" t="s">
        <v>5671</v>
      </c>
      <c r="K2473" s="29">
        <v>72241</v>
      </c>
    </row>
    <row r="2474" spans="10:11" x14ac:dyDescent="0.25">
      <c r="J2474" s="29" t="s">
        <v>5672</v>
      </c>
      <c r="K2474" s="29">
        <v>71331</v>
      </c>
    </row>
    <row r="2475" spans="10:11" x14ac:dyDescent="0.25">
      <c r="J2475" s="29" t="s">
        <v>5673</v>
      </c>
      <c r="K2475" s="29">
        <v>71331</v>
      </c>
    </row>
    <row r="2476" spans="10:11" x14ac:dyDescent="0.25">
      <c r="J2476" s="29" t="s">
        <v>5674</v>
      </c>
      <c r="K2476" s="29">
        <v>71331</v>
      </c>
    </row>
    <row r="2477" spans="10:11" x14ac:dyDescent="0.25">
      <c r="J2477" s="29" t="s">
        <v>5675</v>
      </c>
      <c r="K2477" s="29">
        <v>71331</v>
      </c>
    </row>
    <row r="2478" spans="10:11" x14ac:dyDescent="0.25">
      <c r="J2478" s="29" t="s">
        <v>5676</v>
      </c>
      <c r="K2478" s="29">
        <v>71331</v>
      </c>
    </row>
    <row r="2479" spans="10:11" x14ac:dyDescent="0.25">
      <c r="J2479" s="29" t="s">
        <v>5677</v>
      </c>
      <c r="K2479" s="29">
        <v>71331</v>
      </c>
    </row>
    <row r="2480" spans="10:11" x14ac:dyDescent="0.25">
      <c r="J2480" s="29" t="s">
        <v>5678</v>
      </c>
      <c r="K2480" s="29">
        <v>74111</v>
      </c>
    </row>
    <row r="2481" spans="10:11" x14ac:dyDescent="0.25">
      <c r="J2481" s="29" t="s">
        <v>5679</v>
      </c>
      <c r="K2481" s="29">
        <v>74111</v>
      </c>
    </row>
    <row r="2482" spans="10:11" x14ac:dyDescent="0.25">
      <c r="J2482" s="29" t="s">
        <v>5680</v>
      </c>
      <c r="K2482" s="29">
        <v>74111</v>
      </c>
    </row>
    <row r="2483" spans="10:11" x14ac:dyDescent="0.25">
      <c r="J2483" s="29" t="s">
        <v>5681</v>
      </c>
      <c r="K2483" s="29">
        <v>74111</v>
      </c>
    </row>
    <row r="2484" spans="10:11" x14ac:dyDescent="0.25">
      <c r="J2484" s="29" t="s">
        <v>5682</v>
      </c>
      <c r="K2484" s="29">
        <v>74111</v>
      </c>
    </row>
    <row r="2485" spans="10:11" x14ac:dyDescent="0.25">
      <c r="J2485" s="29" t="s">
        <v>5683</v>
      </c>
      <c r="K2485" s="29">
        <v>74111</v>
      </c>
    </row>
    <row r="2486" spans="10:11" x14ac:dyDescent="0.25">
      <c r="J2486" s="29" t="s">
        <v>5684</v>
      </c>
      <c r="K2486" s="29">
        <v>74111</v>
      </c>
    </row>
    <row r="2487" spans="10:11" x14ac:dyDescent="0.25">
      <c r="J2487" s="29" t="s">
        <v>5685</v>
      </c>
      <c r="K2487" s="29">
        <v>74111</v>
      </c>
    </row>
    <row r="2488" spans="10:11" x14ac:dyDescent="0.25">
      <c r="J2488" s="29" t="s">
        <v>5686</v>
      </c>
      <c r="K2488" s="29">
        <v>74111</v>
      </c>
    </row>
    <row r="2489" spans="10:11" x14ac:dyDescent="0.25">
      <c r="J2489" s="29" t="s">
        <v>5687</v>
      </c>
      <c r="K2489" s="29">
        <v>74111</v>
      </c>
    </row>
    <row r="2490" spans="10:11" x14ac:dyDescent="0.25">
      <c r="J2490" s="29" t="s">
        <v>5688</v>
      </c>
      <c r="K2490" s="29">
        <v>74111</v>
      </c>
    </row>
    <row r="2491" spans="10:11" x14ac:dyDescent="0.25">
      <c r="J2491" s="29" t="s">
        <v>5689</v>
      </c>
      <c r="K2491" s="29">
        <v>36171</v>
      </c>
    </row>
    <row r="2492" spans="10:11" x14ac:dyDescent="0.25">
      <c r="J2492" s="29" t="s">
        <v>5690</v>
      </c>
      <c r="K2492" s="29">
        <v>36171</v>
      </c>
    </row>
    <row r="2493" spans="10:11" x14ac:dyDescent="0.25">
      <c r="J2493" s="29" t="s">
        <v>5691</v>
      </c>
      <c r="K2493" s="29">
        <v>36171</v>
      </c>
    </row>
    <row r="2494" spans="10:11" x14ac:dyDescent="0.25">
      <c r="J2494" s="29" t="s">
        <v>5692</v>
      </c>
      <c r="K2494" s="29">
        <v>23588</v>
      </c>
    </row>
    <row r="2495" spans="10:11" x14ac:dyDescent="0.25">
      <c r="J2495" s="29" t="s">
        <v>5693</v>
      </c>
      <c r="K2495" s="29">
        <v>35463</v>
      </c>
    </row>
    <row r="2496" spans="10:11" x14ac:dyDescent="0.25">
      <c r="J2496" s="29" t="s">
        <v>5694</v>
      </c>
      <c r="K2496" s="29">
        <v>35139</v>
      </c>
    </row>
    <row r="2497" spans="10:11" x14ac:dyDescent="0.25">
      <c r="J2497" s="29" t="s">
        <v>5695</v>
      </c>
      <c r="K2497" s="29">
        <v>35139</v>
      </c>
    </row>
    <row r="2498" spans="10:11" x14ac:dyDescent="0.25">
      <c r="J2498" s="29" t="s">
        <v>3843</v>
      </c>
      <c r="K2498" s="29">
        <v>51157</v>
      </c>
    </row>
    <row r="2499" spans="10:11" x14ac:dyDescent="0.25">
      <c r="J2499" s="29" t="s">
        <v>5696</v>
      </c>
      <c r="K2499" s="29">
        <v>22583</v>
      </c>
    </row>
    <row r="2500" spans="10:11" x14ac:dyDescent="0.25">
      <c r="J2500" s="29" t="s">
        <v>5697</v>
      </c>
      <c r="K2500" s="29">
        <v>22583</v>
      </c>
    </row>
    <row r="2501" spans="10:11" x14ac:dyDescent="0.25">
      <c r="J2501" s="29" t="s">
        <v>5698</v>
      </c>
      <c r="K2501" s="29">
        <v>74122</v>
      </c>
    </row>
    <row r="2502" spans="10:11" x14ac:dyDescent="0.25">
      <c r="J2502" s="29" t="s">
        <v>5699</v>
      </c>
      <c r="K2502" s="29">
        <v>74122</v>
      </c>
    </row>
    <row r="2503" spans="10:11" x14ac:dyDescent="0.25">
      <c r="J2503" s="29" t="s">
        <v>5700</v>
      </c>
      <c r="K2503" s="29">
        <v>54111</v>
      </c>
    </row>
    <row r="2504" spans="10:11" x14ac:dyDescent="0.25">
      <c r="J2504" s="29" t="s">
        <v>5701</v>
      </c>
      <c r="K2504" s="29">
        <v>54111</v>
      </c>
    </row>
    <row r="2505" spans="10:11" x14ac:dyDescent="0.25">
      <c r="J2505" s="29" t="s">
        <v>5702</v>
      </c>
      <c r="K2505" s="29">
        <v>54111</v>
      </c>
    </row>
    <row r="2506" spans="10:11" x14ac:dyDescent="0.25">
      <c r="J2506" s="29" t="s">
        <v>5703</v>
      </c>
      <c r="K2506" s="29">
        <v>54111</v>
      </c>
    </row>
    <row r="2507" spans="10:11" x14ac:dyDescent="0.25">
      <c r="J2507" s="29" t="s">
        <v>5704</v>
      </c>
      <c r="K2507" s="29">
        <v>54111</v>
      </c>
    </row>
    <row r="2508" spans="10:11" x14ac:dyDescent="0.25">
      <c r="J2508" s="29" t="s">
        <v>5705</v>
      </c>
      <c r="K2508" s="29">
        <v>54111</v>
      </c>
    </row>
    <row r="2509" spans="10:11" x14ac:dyDescent="0.25">
      <c r="J2509" s="29" t="s">
        <v>5706</v>
      </c>
      <c r="K2509" s="29">
        <v>54111</v>
      </c>
    </row>
    <row r="2510" spans="10:11" x14ac:dyDescent="0.25">
      <c r="J2510" s="29" t="s">
        <v>5707</v>
      </c>
      <c r="K2510" s="29">
        <v>54111</v>
      </c>
    </row>
    <row r="2511" spans="10:11" x14ac:dyDescent="0.25">
      <c r="J2511" s="29" t="s">
        <v>5708</v>
      </c>
      <c r="K2511" s="29">
        <v>54111</v>
      </c>
    </row>
    <row r="2512" spans="10:11" x14ac:dyDescent="0.25">
      <c r="J2512" s="29" t="s">
        <v>5709</v>
      </c>
      <c r="K2512" s="29">
        <v>54111</v>
      </c>
    </row>
    <row r="2513" spans="10:11" x14ac:dyDescent="0.25">
      <c r="J2513" s="29" t="s">
        <v>5710</v>
      </c>
      <c r="K2513" s="29">
        <v>54111</v>
      </c>
    </row>
    <row r="2514" spans="10:11" x14ac:dyDescent="0.25">
      <c r="J2514" s="29" t="s">
        <v>5711</v>
      </c>
      <c r="K2514" s="29">
        <v>54111</v>
      </c>
    </row>
    <row r="2515" spans="10:11" x14ac:dyDescent="0.25">
      <c r="J2515" s="29" t="s">
        <v>5712</v>
      </c>
      <c r="K2515" s="29">
        <v>54111</v>
      </c>
    </row>
    <row r="2516" spans="10:11" x14ac:dyDescent="0.25">
      <c r="J2516" s="29" t="s">
        <v>5713</v>
      </c>
      <c r="K2516" s="29">
        <v>54111</v>
      </c>
    </row>
    <row r="2517" spans="10:11" x14ac:dyDescent="0.25">
      <c r="J2517" s="29" t="s">
        <v>5714</v>
      </c>
      <c r="K2517" s="29">
        <v>54111</v>
      </c>
    </row>
    <row r="2518" spans="10:11" x14ac:dyDescent="0.25">
      <c r="J2518" s="29" t="s">
        <v>5715</v>
      </c>
      <c r="K2518" s="29">
        <v>54111</v>
      </c>
    </row>
    <row r="2519" spans="10:11" x14ac:dyDescent="0.25">
      <c r="J2519" s="29" t="s">
        <v>5716</v>
      </c>
      <c r="K2519" s="29">
        <v>54111</v>
      </c>
    </row>
    <row r="2520" spans="10:11" x14ac:dyDescent="0.25">
      <c r="J2520" s="29" t="s">
        <v>5717</v>
      </c>
      <c r="K2520" s="29">
        <v>54111</v>
      </c>
    </row>
    <row r="2521" spans="10:11" x14ac:dyDescent="0.25">
      <c r="J2521" s="29" t="s">
        <v>5718</v>
      </c>
      <c r="K2521" s="29">
        <v>54111</v>
      </c>
    </row>
    <row r="2522" spans="10:11" x14ac:dyDescent="0.25">
      <c r="J2522" s="29" t="s">
        <v>5719</v>
      </c>
      <c r="K2522" s="29">
        <v>54111</v>
      </c>
    </row>
    <row r="2523" spans="10:11" x14ac:dyDescent="0.25">
      <c r="J2523" s="29" t="s">
        <v>5720</v>
      </c>
      <c r="K2523" s="29">
        <v>54111</v>
      </c>
    </row>
    <row r="2524" spans="10:11" x14ac:dyDescent="0.25">
      <c r="J2524" s="29" t="s">
        <v>5721</v>
      </c>
      <c r="K2524" s="29">
        <v>54111</v>
      </c>
    </row>
    <row r="2525" spans="10:11" x14ac:dyDescent="0.25">
      <c r="J2525" s="29" t="s">
        <v>5722</v>
      </c>
      <c r="K2525" s="29">
        <v>54111</v>
      </c>
    </row>
    <row r="2526" spans="10:11" x14ac:dyDescent="0.25">
      <c r="J2526" s="29" t="s">
        <v>5723</v>
      </c>
      <c r="K2526" s="29">
        <v>54111</v>
      </c>
    </row>
    <row r="2527" spans="10:11" x14ac:dyDescent="0.25">
      <c r="J2527" s="29" t="s">
        <v>5724</v>
      </c>
      <c r="K2527" s="29">
        <v>54111</v>
      </c>
    </row>
    <row r="2528" spans="10:11" x14ac:dyDescent="0.25">
      <c r="J2528" s="29" t="s">
        <v>5725</v>
      </c>
      <c r="K2528" s="29">
        <v>54111</v>
      </c>
    </row>
    <row r="2529" spans="10:11" x14ac:dyDescent="0.25">
      <c r="J2529" s="29" t="s">
        <v>5726</v>
      </c>
      <c r="K2529" s="29">
        <v>54111</v>
      </c>
    </row>
    <row r="2530" spans="10:11" x14ac:dyDescent="0.25">
      <c r="J2530" s="29" t="s">
        <v>5727</v>
      </c>
      <c r="K2530" s="29">
        <v>54111</v>
      </c>
    </row>
    <row r="2531" spans="10:11" x14ac:dyDescent="0.25">
      <c r="J2531" s="29" t="s">
        <v>5728</v>
      </c>
      <c r="K2531" s="29">
        <v>54111</v>
      </c>
    </row>
    <row r="2532" spans="10:11" x14ac:dyDescent="0.25">
      <c r="J2532" s="29" t="s">
        <v>5729</v>
      </c>
      <c r="K2532" s="29">
        <v>54111</v>
      </c>
    </row>
    <row r="2533" spans="10:11" x14ac:dyDescent="0.25">
      <c r="J2533" s="29" t="s">
        <v>5730</v>
      </c>
      <c r="K2533" s="29">
        <v>61147</v>
      </c>
    </row>
    <row r="2534" spans="10:11" x14ac:dyDescent="0.25">
      <c r="J2534" s="29" t="s">
        <v>5731</v>
      </c>
      <c r="K2534" s="29">
        <v>62244</v>
      </c>
    </row>
    <row r="2535" spans="10:11" x14ac:dyDescent="0.25">
      <c r="J2535" s="29" t="s">
        <v>5732</v>
      </c>
      <c r="K2535" s="29">
        <v>35514</v>
      </c>
    </row>
    <row r="2536" spans="10:11" x14ac:dyDescent="0.25">
      <c r="J2536" s="29" t="s">
        <v>5733</v>
      </c>
      <c r="K2536" s="29">
        <v>35514</v>
      </c>
    </row>
    <row r="2537" spans="10:11" x14ac:dyDescent="0.25">
      <c r="J2537" s="29" t="s">
        <v>5734</v>
      </c>
      <c r="K2537" s="29">
        <v>73234</v>
      </c>
    </row>
    <row r="2538" spans="10:11" x14ac:dyDescent="0.25">
      <c r="J2538" s="29" t="s">
        <v>5735</v>
      </c>
      <c r="K2538" s="29">
        <v>73234</v>
      </c>
    </row>
    <row r="2539" spans="10:11" x14ac:dyDescent="0.25">
      <c r="J2539" s="29" t="s">
        <v>5736</v>
      </c>
      <c r="K2539" s="29">
        <v>73234</v>
      </c>
    </row>
    <row r="2540" spans="10:11" x14ac:dyDescent="0.25">
      <c r="J2540" s="29" t="s">
        <v>5737</v>
      </c>
      <c r="K2540" s="29">
        <v>73234</v>
      </c>
    </row>
    <row r="2541" spans="10:11" x14ac:dyDescent="0.25">
      <c r="J2541" s="29" t="s">
        <v>5738</v>
      </c>
      <c r="K2541" s="29">
        <v>71246</v>
      </c>
    </row>
    <row r="2542" spans="10:11" x14ac:dyDescent="0.25">
      <c r="J2542" s="29" t="s">
        <v>5739</v>
      </c>
      <c r="K2542" s="29">
        <v>71266</v>
      </c>
    </row>
    <row r="2543" spans="10:11" x14ac:dyDescent="0.25">
      <c r="J2543" s="29" t="s">
        <v>5740</v>
      </c>
      <c r="K2543" s="29">
        <v>33287</v>
      </c>
    </row>
    <row r="2544" spans="10:11" x14ac:dyDescent="0.25">
      <c r="J2544" s="29" t="s">
        <v>5741</v>
      </c>
      <c r="K2544" s="29">
        <v>25471</v>
      </c>
    </row>
    <row r="2545" spans="10:11" x14ac:dyDescent="0.25">
      <c r="J2545" s="29" t="s">
        <v>5742</v>
      </c>
      <c r="K2545" s="29">
        <v>35328</v>
      </c>
    </row>
    <row r="2546" spans="10:11" x14ac:dyDescent="0.25">
      <c r="J2546" s="29" t="s">
        <v>5743</v>
      </c>
      <c r="K2546" s="29">
        <v>35328</v>
      </c>
    </row>
    <row r="2547" spans="10:11" x14ac:dyDescent="0.25">
      <c r="J2547" s="29" t="s">
        <v>5744</v>
      </c>
      <c r="K2547" s="29">
        <v>35328</v>
      </c>
    </row>
    <row r="2548" spans="10:11" x14ac:dyDescent="0.25">
      <c r="J2548" s="29" t="s">
        <v>5745</v>
      </c>
      <c r="K2548" s="29">
        <v>35328</v>
      </c>
    </row>
    <row r="2549" spans="10:11" x14ac:dyDescent="0.25">
      <c r="J2549" s="29" t="s">
        <v>5746</v>
      </c>
      <c r="K2549" s="29">
        <v>35328</v>
      </c>
    </row>
    <row r="2550" spans="10:11" x14ac:dyDescent="0.25">
      <c r="J2550" s="29" t="s">
        <v>5747</v>
      </c>
      <c r="K2550" s="29">
        <v>26286</v>
      </c>
    </row>
    <row r="2551" spans="10:11" x14ac:dyDescent="0.25">
      <c r="J2551" s="29" t="s">
        <v>5748</v>
      </c>
      <c r="K2551" s="29">
        <v>53123</v>
      </c>
    </row>
    <row r="2552" spans="10:11" x14ac:dyDescent="0.25">
      <c r="J2552" s="29" t="s">
        <v>5749</v>
      </c>
      <c r="K2552" s="29">
        <v>53123</v>
      </c>
    </row>
    <row r="2553" spans="10:11" x14ac:dyDescent="0.25">
      <c r="J2553" s="29" t="s">
        <v>5750</v>
      </c>
      <c r="K2553" s="29">
        <v>53123</v>
      </c>
    </row>
    <row r="2554" spans="10:11" x14ac:dyDescent="0.25">
      <c r="J2554" s="29" t="s">
        <v>5751</v>
      </c>
      <c r="K2554" s="29">
        <v>35117</v>
      </c>
    </row>
    <row r="2555" spans="10:11" x14ac:dyDescent="0.25">
      <c r="J2555" s="29" t="s">
        <v>5752</v>
      </c>
      <c r="K2555" s="29">
        <v>35145</v>
      </c>
    </row>
    <row r="2556" spans="10:11" x14ac:dyDescent="0.25">
      <c r="J2556" s="29" t="s">
        <v>5753</v>
      </c>
      <c r="K2556" s="29">
        <v>61436</v>
      </c>
    </row>
    <row r="2557" spans="10:11" x14ac:dyDescent="0.25">
      <c r="J2557" s="29" t="s">
        <v>5754</v>
      </c>
      <c r="K2557" s="29">
        <v>61436</v>
      </c>
    </row>
    <row r="2558" spans="10:11" x14ac:dyDescent="0.25">
      <c r="J2558" s="29" t="s">
        <v>5755</v>
      </c>
      <c r="K2558" s="29">
        <v>37341</v>
      </c>
    </row>
    <row r="2559" spans="10:11" x14ac:dyDescent="0.25">
      <c r="J2559" s="29" t="s">
        <v>5756</v>
      </c>
      <c r="K2559" s="29">
        <v>37341</v>
      </c>
    </row>
    <row r="2560" spans="10:11" x14ac:dyDescent="0.25">
      <c r="J2560" s="29" t="s">
        <v>5757</v>
      </c>
      <c r="K2560" s="29">
        <v>37341</v>
      </c>
    </row>
    <row r="2561" spans="10:11" x14ac:dyDescent="0.25">
      <c r="J2561" s="29" t="s">
        <v>5758</v>
      </c>
      <c r="K2561" s="29">
        <v>37341</v>
      </c>
    </row>
    <row r="2562" spans="10:11" x14ac:dyDescent="0.25">
      <c r="J2562" s="29" t="s">
        <v>5759</v>
      </c>
      <c r="K2562" s="29">
        <v>37341</v>
      </c>
    </row>
    <row r="2563" spans="10:11" x14ac:dyDescent="0.25">
      <c r="J2563" s="29" t="s">
        <v>5760</v>
      </c>
      <c r="K2563" s="29">
        <v>37341</v>
      </c>
    </row>
    <row r="2564" spans="10:11" x14ac:dyDescent="0.25">
      <c r="J2564" s="29" t="s">
        <v>5761</v>
      </c>
      <c r="K2564" s="29">
        <v>23271</v>
      </c>
    </row>
    <row r="2565" spans="10:11" x14ac:dyDescent="0.25">
      <c r="J2565" s="29" t="s">
        <v>5762</v>
      </c>
      <c r="K2565" s="29">
        <v>23577</v>
      </c>
    </row>
    <row r="2566" spans="10:11" x14ac:dyDescent="0.25">
      <c r="J2566" s="29" t="s">
        <v>5763</v>
      </c>
      <c r="K2566" s="29">
        <v>22327</v>
      </c>
    </row>
    <row r="2567" spans="10:11" x14ac:dyDescent="0.25">
      <c r="J2567" s="29" t="s">
        <v>5764</v>
      </c>
      <c r="K2567" s="29">
        <v>71231</v>
      </c>
    </row>
    <row r="2568" spans="10:11" x14ac:dyDescent="0.25">
      <c r="J2568" s="29" t="s">
        <v>5765</v>
      </c>
      <c r="K2568" s="29">
        <v>37358</v>
      </c>
    </row>
    <row r="2569" spans="10:11" x14ac:dyDescent="0.25">
      <c r="J2569" s="29" t="s">
        <v>5766</v>
      </c>
      <c r="K2569" s="29">
        <v>61411</v>
      </c>
    </row>
    <row r="2570" spans="10:11" x14ac:dyDescent="0.25">
      <c r="J2570" s="29" t="s">
        <v>5767</v>
      </c>
      <c r="K2570" s="29">
        <v>23671</v>
      </c>
    </row>
    <row r="2571" spans="10:11" x14ac:dyDescent="0.25">
      <c r="J2571" s="29" t="s">
        <v>5768</v>
      </c>
      <c r="K2571" s="29">
        <v>71211</v>
      </c>
    </row>
    <row r="2572" spans="10:11" x14ac:dyDescent="0.25">
      <c r="J2572" s="29" t="s">
        <v>5769</v>
      </c>
      <c r="K2572" s="29">
        <v>71211</v>
      </c>
    </row>
    <row r="2573" spans="10:11" x14ac:dyDescent="0.25">
      <c r="J2573" s="29" t="s">
        <v>5770</v>
      </c>
      <c r="K2573" s="29">
        <v>71211</v>
      </c>
    </row>
    <row r="2574" spans="10:11" x14ac:dyDescent="0.25">
      <c r="J2574" s="29" t="s">
        <v>5771</v>
      </c>
      <c r="K2574" s="29">
        <v>71211</v>
      </c>
    </row>
    <row r="2575" spans="10:11" x14ac:dyDescent="0.25">
      <c r="J2575" s="29" t="s">
        <v>5772</v>
      </c>
      <c r="K2575" s="29">
        <v>62279</v>
      </c>
    </row>
    <row r="2576" spans="10:11" x14ac:dyDescent="0.25">
      <c r="J2576" s="29" t="s">
        <v>5773</v>
      </c>
      <c r="K2576" s="29">
        <v>26111</v>
      </c>
    </row>
    <row r="2577" spans="10:11" x14ac:dyDescent="0.25">
      <c r="J2577" s="29" t="s">
        <v>5774</v>
      </c>
      <c r="K2577" s="29">
        <v>26111</v>
      </c>
    </row>
    <row r="2578" spans="10:11" x14ac:dyDescent="0.25">
      <c r="J2578" s="29" t="s">
        <v>5775</v>
      </c>
      <c r="K2578" s="29">
        <v>26111</v>
      </c>
    </row>
    <row r="2579" spans="10:11" x14ac:dyDescent="0.25">
      <c r="J2579" s="29" t="s">
        <v>5776</v>
      </c>
      <c r="K2579" s="29">
        <v>26111</v>
      </c>
    </row>
    <row r="2580" spans="10:11" x14ac:dyDescent="0.25">
      <c r="J2580" s="29" t="s">
        <v>5777</v>
      </c>
      <c r="K2580" s="29">
        <v>26111</v>
      </c>
    </row>
    <row r="2581" spans="10:11" x14ac:dyDescent="0.25">
      <c r="J2581" s="29" t="s">
        <v>5778</v>
      </c>
      <c r="K2581" s="29">
        <v>26111</v>
      </c>
    </row>
    <row r="2582" spans="10:11" x14ac:dyDescent="0.25">
      <c r="J2582" s="29" t="s">
        <v>5779</v>
      </c>
      <c r="K2582" s="29">
        <v>26111</v>
      </c>
    </row>
    <row r="2583" spans="10:11" x14ac:dyDescent="0.25">
      <c r="J2583" s="29" t="s">
        <v>5780</v>
      </c>
      <c r="K2583" s="29">
        <v>22211</v>
      </c>
    </row>
    <row r="2584" spans="10:11" x14ac:dyDescent="0.25">
      <c r="J2584" s="29" t="s">
        <v>5781</v>
      </c>
      <c r="K2584" s="29">
        <v>22211</v>
      </c>
    </row>
    <row r="2585" spans="10:11" x14ac:dyDescent="0.25">
      <c r="J2585" s="29" t="s">
        <v>5782</v>
      </c>
      <c r="K2585" s="29">
        <v>22211</v>
      </c>
    </row>
    <row r="2586" spans="10:11" x14ac:dyDescent="0.25">
      <c r="J2586" s="29" t="s">
        <v>5783</v>
      </c>
      <c r="K2586" s="29">
        <v>22211</v>
      </c>
    </row>
    <row r="2587" spans="10:11" x14ac:dyDescent="0.25">
      <c r="J2587" s="29" t="s">
        <v>5784</v>
      </c>
      <c r="K2587" s="29">
        <v>23623</v>
      </c>
    </row>
    <row r="2588" spans="10:11" x14ac:dyDescent="0.25">
      <c r="J2588" s="29" t="s">
        <v>5785</v>
      </c>
      <c r="K2588" s="29">
        <v>23623</v>
      </c>
    </row>
    <row r="2589" spans="10:11" x14ac:dyDescent="0.25">
      <c r="J2589" s="29" t="s">
        <v>5786</v>
      </c>
      <c r="K2589" s="29">
        <v>51224</v>
      </c>
    </row>
    <row r="2590" spans="10:11" x14ac:dyDescent="0.25">
      <c r="J2590" s="29" t="s">
        <v>5787</v>
      </c>
      <c r="K2590" s="29">
        <v>35163</v>
      </c>
    </row>
    <row r="2591" spans="10:11" x14ac:dyDescent="0.25">
      <c r="J2591" s="29" t="s">
        <v>5788</v>
      </c>
      <c r="K2591" s="29">
        <v>62237</v>
      </c>
    </row>
    <row r="2592" spans="10:11" x14ac:dyDescent="0.25">
      <c r="J2592" s="29" t="s">
        <v>5789</v>
      </c>
      <c r="K2592" s="29">
        <v>63261</v>
      </c>
    </row>
    <row r="2593" spans="10:11" x14ac:dyDescent="0.25">
      <c r="J2593" s="29" t="s">
        <v>5790</v>
      </c>
      <c r="K2593" s="29">
        <v>53447</v>
      </c>
    </row>
    <row r="2594" spans="10:11" x14ac:dyDescent="0.25">
      <c r="J2594" s="29" t="s">
        <v>5791</v>
      </c>
      <c r="K2594" s="29">
        <v>63111</v>
      </c>
    </row>
    <row r="2595" spans="10:11" x14ac:dyDescent="0.25">
      <c r="J2595" s="29" t="s">
        <v>5792</v>
      </c>
      <c r="K2595" s="29">
        <v>63111</v>
      </c>
    </row>
    <row r="2596" spans="10:11" x14ac:dyDescent="0.25">
      <c r="J2596" s="29" t="s">
        <v>5793</v>
      </c>
      <c r="K2596" s="29">
        <v>71337</v>
      </c>
    </row>
    <row r="2597" spans="10:11" x14ac:dyDescent="0.25">
      <c r="J2597" s="29" t="s">
        <v>5794</v>
      </c>
      <c r="K2597" s="29">
        <v>71337</v>
      </c>
    </row>
    <row r="2598" spans="10:11" x14ac:dyDescent="0.25">
      <c r="J2598" s="29" t="s">
        <v>5795</v>
      </c>
      <c r="K2598" s="29">
        <v>71337</v>
      </c>
    </row>
    <row r="2599" spans="10:11" x14ac:dyDescent="0.25">
      <c r="J2599" s="29" t="s">
        <v>5796</v>
      </c>
      <c r="K2599" s="29">
        <v>71337</v>
      </c>
    </row>
    <row r="2600" spans="10:11" x14ac:dyDescent="0.25">
      <c r="J2600" s="29" t="s">
        <v>5797</v>
      </c>
      <c r="K2600" s="29">
        <v>71337</v>
      </c>
    </row>
    <row r="2601" spans="10:11" x14ac:dyDescent="0.25">
      <c r="J2601" s="29" t="s">
        <v>5798</v>
      </c>
      <c r="K2601" s="29">
        <v>71337</v>
      </c>
    </row>
    <row r="2602" spans="10:11" x14ac:dyDescent="0.25">
      <c r="J2602" s="29" t="s">
        <v>5799</v>
      </c>
      <c r="K2602" s="29">
        <v>71337</v>
      </c>
    </row>
    <row r="2603" spans="10:11" x14ac:dyDescent="0.25">
      <c r="J2603" s="29" t="s">
        <v>5800</v>
      </c>
      <c r="K2603" s="29">
        <v>71337</v>
      </c>
    </row>
    <row r="2604" spans="10:11" x14ac:dyDescent="0.25">
      <c r="J2604" s="29" t="s">
        <v>5801</v>
      </c>
      <c r="K2604" s="29">
        <v>23267</v>
      </c>
    </row>
    <row r="2605" spans="10:11" x14ac:dyDescent="0.25">
      <c r="J2605" s="29" t="s">
        <v>5802</v>
      </c>
      <c r="K2605" s="29">
        <v>23267</v>
      </c>
    </row>
    <row r="2606" spans="10:11" x14ac:dyDescent="0.25">
      <c r="J2606" s="29" t="s">
        <v>5803</v>
      </c>
      <c r="K2606" s="29">
        <v>72221</v>
      </c>
    </row>
    <row r="2607" spans="10:11" x14ac:dyDescent="0.25">
      <c r="J2607" s="29" t="s">
        <v>5804</v>
      </c>
      <c r="K2607" s="29">
        <v>72221</v>
      </c>
    </row>
    <row r="2608" spans="10:11" x14ac:dyDescent="0.25">
      <c r="J2608" s="29" t="s">
        <v>5805</v>
      </c>
      <c r="K2608" s="29">
        <v>72221</v>
      </c>
    </row>
    <row r="2609" spans="10:11" x14ac:dyDescent="0.25">
      <c r="J2609" s="29" t="s">
        <v>5806</v>
      </c>
      <c r="K2609" s="29">
        <v>72221</v>
      </c>
    </row>
    <row r="2610" spans="10:11" x14ac:dyDescent="0.25">
      <c r="J2610" s="29" t="s">
        <v>5807</v>
      </c>
      <c r="K2610" s="29">
        <v>62211</v>
      </c>
    </row>
    <row r="2611" spans="10:11" x14ac:dyDescent="0.25">
      <c r="J2611" s="29" t="s">
        <v>5808</v>
      </c>
      <c r="K2611" s="29">
        <v>62211</v>
      </c>
    </row>
    <row r="2612" spans="10:11" x14ac:dyDescent="0.25">
      <c r="J2612" s="29" t="s">
        <v>5809</v>
      </c>
      <c r="K2612" s="29">
        <v>62211</v>
      </c>
    </row>
    <row r="2613" spans="10:11" x14ac:dyDescent="0.25">
      <c r="J2613" s="29" t="s">
        <v>5810</v>
      </c>
      <c r="K2613" s="29">
        <v>62211</v>
      </c>
    </row>
    <row r="2614" spans="10:11" x14ac:dyDescent="0.25">
      <c r="J2614" s="29" t="s">
        <v>5811</v>
      </c>
      <c r="K2614" s="29">
        <v>62211</v>
      </c>
    </row>
    <row r="2615" spans="10:11" x14ac:dyDescent="0.25">
      <c r="J2615" s="29" t="s">
        <v>5812</v>
      </c>
      <c r="K2615" s="29">
        <v>52211</v>
      </c>
    </row>
    <row r="2616" spans="10:11" x14ac:dyDescent="0.25">
      <c r="J2616" s="29" t="s">
        <v>5813</v>
      </c>
      <c r="K2616" s="29">
        <v>52211</v>
      </c>
    </row>
    <row r="2617" spans="10:11" x14ac:dyDescent="0.25">
      <c r="J2617" s="29" t="s">
        <v>5814</v>
      </c>
      <c r="K2617" s="29">
        <v>52211</v>
      </c>
    </row>
    <row r="2618" spans="10:11" x14ac:dyDescent="0.25">
      <c r="J2618" s="29" t="s">
        <v>5815</v>
      </c>
      <c r="K2618" s="29">
        <v>52211</v>
      </c>
    </row>
    <row r="2619" spans="10:11" x14ac:dyDescent="0.25">
      <c r="J2619" s="29" t="s">
        <v>5816</v>
      </c>
      <c r="K2619" s="29">
        <v>25121</v>
      </c>
    </row>
    <row r="2620" spans="10:11" x14ac:dyDescent="0.25">
      <c r="J2620" s="29" t="s">
        <v>5817</v>
      </c>
      <c r="K2620" s="29">
        <v>25121</v>
      </c>
    </row>
    <row r="2621" spans="10:11" x14ac:dyDescent="0.25">
      <c r="J2621" s="29" t="s">
        <v>5818</v>
      </c>
      <c r="K2621" s="29">
        <v>25121</v>
      </c>
    </row>
    <row r="2622" spans="10:11" x14ac:dyDescent="0.25">
      <c r="J2622" s="29" t="s">
        <v>5819</v>
      </c>
      <c r="K2622" s="29">
        <v>25121</v>
      </c>
    </row>
    <row r="2623" spans="10:11" x14ac:dyDescent="0.25">
      <c r="J2623" s="29" t="s">
        <v>5820</v>
      </c>
      <c r="K2623" s="29">
        <v>25121</v>
      </c>
    </row>
    <row r="2624" spans="10:11" x14ac:dyDescent="0.25">
      <c r="J2624" s="29" t="s">
        <v>5821</v>
      </c>
      <c r="K2624" s="29">
        <v>25131</v>
      </c>
    </row>
    <row r="2625" spans="10:11" x14ac:dyDescent="0.25">
      <c r="J2625" s="29" t="s">
        <v>5822</v>
      </c>
      <c r="K2625" s="29">
        <v>25131</v>
      </c>
    </row>
    <row r="2626" spans="10:11" x14ac:dyDescent="0.25">
      <c r="J2626" s="29" t="s">
        <v>5823</v>
      </c>
      <c r="K2626" s="29">
        <v>25131</v>
      </c>
    </row>
    <row r="2627" spans="10:11" x14ac:dyDescent="0.25">
      <c r="J2627" s="29" t="s">
        <v>5824</v>
      </c>
      <c r="K2627" s="29">
        <v>25131</v>
      </c>
    </row>
    <row r="2628" spans="10:11" x14ac:dyDescent="0.25">
      <c r="J2628" s="29" t="s">
        <v>5825</v>
      </c>
      <c r="K2628" s="29">
        <v>22619</v>
      </c>
    </row>
    <row r="2629" spans="10:11" x14ac:dyDescent="0.25">
      <c r="J2629" s="29" t="s">
        <v>5826</v>
      </c>
      <c r="K2629" s="29">
        <v>34234</v>
      </c>
    </row>
    <row r="2630" spans="10:11" x14ac:dyDescent="0.25">
      <c r="J2630" s="29" t="s">
        <v>5827</v>
      </c>
      <c r="K2630" s="29">
        <v>72257</v>
      </c>
    </row>
    <row r="2631" spans="10:11" x14ac:dyDescent="0.25">
      <c r="J2631" s="29" t="s">
        <v>5828</v>
      </c>
      <c r="K2631" s="29">
        <v>72257</v>
      </c>
    </row>
    <row r="2632" spans="10:11" x14ac:dyDescent="0.25">
      <c r="J2632" s="29" t="s">
        <v>5829</v>
      </c>
      <c r="K2632" s="29">
        <v>72257</v>
      </c>
    </row>
    <row r="2633" spans="10:11" x14ac:dyDescent="0.25">
      <c r="J2633" s="29" t="s">
        <v>5830</v>
      </c>
      <c r="K2633" s="29">
        <v>24313</v>
      </c>
    </row>
    <row r="2634" spans="10:11" x14ac:dyDescent="0.25">
      <c r="J2634" s="29" t="s">
        <v>5831</v>
      </c>
      <c r="K2634" s="29">
        <v>52217</v>
      </c>
    </row>
    <row r="2635" spans="10:11" x14ac:dyDescent="0.25">
      <c r="J2635" s="29" t="s">
        <v>5832</v>
      </c>
      <c r="K2635" s="29">
        <v>52217</v>
      </c>
    </row>
    <row r="2636" spans="10:11" x14ac:dyDescent="0.25">
      <c r="J2636" s="29" t="s">
        <v>5833</v>
      </c>
      <c r="K2636" s="29">
        <v>55144</v>
      </c>
    </row>
    <row r="2637" spans="10:11" x14ac:dyDescent="0.25">
      <c r="J2637" s="29" t="s">
        <v>5834</v>
      </c>
      <c r="K2637" s="29">
        <v>61454</v>
      </c>
    </row>
    <row r="2638" spans="10:11" x14ac:dyDescent="0.25">
      <c r="J2638" s="29" t="s">
        <v>5835</v>
      </c>
      <c r="K2638" s="29">
        <v>61454</v>
      </c>
    </row>
    <row r="2639" spans="10:11" x14ac:dyDescent="0.25">
      <c r="J2639" s="29" t="s">
        <v>5836</v>
      </c>
      <c r="K2639" s="29">
        <v>37347</v>
      </c>
    </row>
    <row r="2640" spans="10:11" x14ac:dyDescent="0.25">
      <c r="J2640" s="29" t="s">
        <v>5837</v>
      </c>
      <c r="K2640" s="29">
        <v>33169</v>
      </c>
    </row>
    <row r="2641" spans="10:11" x14ac:dyDescent="0.25">
      <c r="J2641" s="29" t="s">
        <v>5838</v>
      </c>
      <c r="K2641" s="29">
        <v>33169</v>
      </c>
    </row>
    <row r="2642" spans="10:11" x14ac:dyDescent="0.25">
      <c r="J2642" s="29" t="s">
        <v>5839</v>
      </c>
      <c r="K2642" s="29">
        <v>23231</v>
      </c>
    </row>
    <row r="2643" spans="10:11" x14ac:dyDescent="0.25">
      <c r="J2643" s="29" t="s">
        <v>5840</v>
      </c>
      <c r="K2643" s="29">
        <v>23231</v>
      </c>
    </row>
    <row r="2644" spans="10:11" x14ac:dyDescent="0.25">
      <c r="J2644" s="29" t="s">
        <v>5841</v>
      </c>
      <c r="K2644" s="29">
        <v>32113</v>
      </c>
    </row>
    <row r="2645" spans="10:11" x14ac:dyDescent="0.25">
      <c r="J2645" s="29" t="s">
        <v>5842</v>
      </c>
      <c r="K2645" s="29">
        <v>32113</v>
      </c>
    </row>
    <row r="2646" spans="10:11" x14ac:dyDescent="0.25">
      <c r="J2646" s="29" t="s">
        <v>5843</v>
      </c>
      <c r="K2646" s="29">
        <v>37395</v>
      </c>
    </row>
    <row r="2647" spans="10:11" x14ac:dyDescent="0.25">
      <c r="J2647" s="29" t="s">
        <v>5844</v>
      </c>
      <c r="K2647" s="29">
        <v>21251</v>
      </c>
    </row>
    <row r="2648" spans="10:11" x14ac:dyDescent="0.25">
      <c r="J2648" s="29" t="s">
        <v>5845</v>
      </c>
      <c r="K2648" s="29">
        <v>21251</v>
      </c>
    </row>
    <row r="2649" spans="10:11" x14ac:dyDescent="0.25">
      <c r="J2649" s="29" t="s">
        <v>5846</v>
      </c>
      <c r="K2649" s="29">
        <v>21251</v>
      </c>
    </row>
    <row r="2650" spans="10:11" x14ac:dyDescent="0.25">
      <c r="J2650" s="29" t="s">
        <v>5847</v>
      </c>
      <c r="K2650" s="29">
        <v>21251</v>
      </c>
    </row>
    <row r="2651" spans="10:11" x14ac:dyDescent="0.25">
      <c r="J2651" s="29" t="s">
        <v>5848</v>
      </c>
      <c r="K2651" s="29">
        <v>21251</v>
      </c>
    </row>
    <row r="2652" spans="10:11" x14ac:dyDescent="0.25">
      <c r="J2652" s="29" t="s">
        <v>5849</v>
      </c>
      <c r="K2652" s="29">
        <v>21251</v>
      </c>
    </row>
    <row r="2653" spans="10:11" x14ac:dyDescent="0.25">
      <c r="J2653" s="29" t="s">
        <v>5850</v>
      </c>
      <c r="K2653" s="29">
        <v>21251</v>
      </c>
    </row>
    <row r="2654" spans="10:11" x14ac:dyDescent="0.25">
      <c r="J2654" s="29" t="s">
        <v>5851</v>
      </c>
      <c r="K2654" s="29">
        <v>21251</v>
      </c>
    </row>
    <row r="2655" spans="10:11" x14ac:dyDescent="0.25">
      <c r="J2655" s="29" t="s">
        <v>5852</v>
      </c>
      <c r="K2655" s="29">
        <v>21251</v>
      </c>
    </row>
    <row r="2656" spans="10:11" x14ac:dyDescent="0.25">
      <c r="J2656" s="29" t="s">
        <v>5853</v>
      </c>
      <c r="K2656" s="29">
        <v>21251</v>
      </c>
    </row>
    <row r="2657" spans="10:11" x14ac:dyDescent="0.25">
      <c r="J2657" s="29" t="s">
        <v>5854</v>
      </c>
      <c r="K2657" s="29">
        <v>74160</v>
      </c>
    </row>
    <row r="2658" spans="10:11" x14ac:dyDescent="0.25">
      <c r="J2658" s="29" t="s">
        <v>5855</v>
      </c>
      <c r="K2658" s="29">
        <v>74160</v>
      </c>
    </row>
    <row r="2659" spans="10:11" x14ac:dyDescent="0.25">
      <c r="J2659" s="29" t="s">
        <v>5856</v>
      </c>
      <c r="K2659" s="29">
        <v>74160</v>
      </c>
    </row>
    <row r="2660" spans="10:11" x14ac:dyDescent="0.25">
      <c r="J2660" s="29" t="s">
        <v>5857</v>
      </c>
      <c r="K2660" s="29">
        <v>53179</v>
      </c>
    </row>
    <row r="2661" spans="10:11" x14ac:dyDescent="0.25">
      <c r="J2661" s="29" t="s">
        <v>5858</v>
      </c>
      <c r="K2661" s="29">
        <v>25439</v>
      </c>
    </row>
    <row r="2662" spans="10:11" x14ac:dyDescent="0.25">
      <c r="J2662" s="29" t="s">
        <v>5859</v>
      </c>
      <c r="K2662" s="29">
        <v>25439</v>
      </c>
    </row>
    <row r="2663" spans="10:11" x14ac:dyDescent="0.25">
      <c r="J2663" s="29" t="s">
        <v>5860</v>
      </c>
      <c r="K2663" s="29">
        <v>25439</v>
      </c>
    </row>
    <row r="2664" spans="10:11" x14ac:dyDescent="0.25">
      <c r="J2664" s="29" t="s">
        <v>5861</v>
      </c>
      <c r="K2664" s="29">
        <v>25439</v>
      </c>
    </row>
    <row r="2665" spans="10:11" x14ac:dyDescent="0.25">
      <c r="J2665" s="29" t="s">
        <v>5862</v>
      </c>
      <c r="K2665" s="29">
        <v>72247</v>
      </c>
    </row>
    <row r="2666" spans="10:11" x14ac:dyDescent="0.25">
      <c r="J2666" s="29" t="s">
        <v>5863</v>
      </c>
      <c r="K2666" s="29">
        <v>37365</v>
      </c>
    </row>
    <row r="2667" spans="10:11" x14ac:dyDescent="0.25">
      <c r="J2667" s="29" t="s">
        <v>3859</v>
      </c>
      <c r="K2667" s="29">
        <v>32155</v>
      </c>
    </row>
    <row r="2668" spans="10:11" x14ac:dyDescent="0.25">
      <c r="J2668" s="29" t="s">
        <v>5864</v>
      </c>
      <c r="K2668" s="29">
        <v>61493</v>
      </c>
    </row>
    <row r="2669" spans="10:11" x14ac:dyDescent="0.25">
      <c r="J2669" s="29" t="s">
        <v>5865</v>
      </c>
      <c r="K2669" s="29">
        <v>23439</v>
      </c>
    </row>
    <row r="2670" spans="10:11" x14ac:dyDescent="0.25">
      <c r="J2670" s="29" t="s">
        <v>5866</v>
      </c>
      <c r="K2670" s="29">
        <v>23439</v>
      </c>
    </row>
    <row r="2671" spans="10:11" x14ac:dyDescent="0.25">
      <c r="J2671" s="29" t="s">
        <v>5867</v>
      </c>
      <c r="K2671" s="29">
        <v>23439</v>
      </c>
    </row>
    <row r="2672" spans="10:11" x14ac:dyDescent="0.25">
      <c r="J2672" s="29" t="s">
        <v>5868</v>
      </c>
      <c r="K2672" s="29">
        <v>73228</v>
      </c>
    </row>
    <row r="2673" spans="10:11" x14ac:dyDescent="0.25">
      <c r="J2673" s="29" t="s">
        <v>5869</v>
      </c>
      <c r="K2673" s="29">
        <v>73228</v>
      </c>
    </row>
    <row r="2674" spans="10:11" x14ac:dyDescent="0.25">
      <c r="J2674" s="29" t="s">
        <v>5870</v>
      </c>
      <c r="K2674" s="29">
        <v>73228</v>
      </c>
    </row>
    <row r="2675" spans="10:11" x14ac:dyDescent="0.25">
      <c r="J2675" s="29" t="s">
        <v>5871</v>
      </c>
      <c r="K2675" s="29">
        <v>55154</v>
      </c>
    </row>
    <row r="2676" spans="10:11" x14ac:dyDescent="0.25">
      <c r="J2676" s="29" t="s">
        <v>5872</v>
      </c>
      <c r="K2676" s="29">
        <v>35234</v>
      </c>
    </row>
    <row r="2677" spans="10:11" x14ac:dyDescent="0.25">
      <c r="J2677" s="29" t="s">
        <v>5873</v>
      </c>
      <c r="K2677" s="29">
        <v>61496</v>
      </c>
    </row>
    <row r="2678" spans="10:11" x14ac:dyDescent="0.25">
      <c r="J2678" s="29" t="s">
        <v>5874</v>
      </c>
      <c r="K2678" s="29">
        <v>61496</v>
      </c>
    </row>
    <row r="2679" spans="10:11" x14ac:dyDescent="0.25">
      <c r="J2679" s="29" t="s">
        <v>5875</v>
      </c>
      <c r="K2679" s="29">
        <v>35406</v>
      </c>
    </row>
    <row r="2680" spans="10:11" x14ac:dyDescent="0.25">
      <c r="J2680" s="29" t="s">
        <v>5876</v>
      </c>
      <c r="K2680" s="29">
        <v>23419</v>
      </c>
    </row>
    <row r="2681" spans="10:11" x14ac:dyDescent="0.25">
      <c r="J2681" s="29" t="s">
        <v>5877</v>
      </c>
      <c r="K2681" s="29">
        <v>55134</v>
      </c>
    </row>
    <row r="2682" spans="10:11" x14ac:dyDescent="0.25">
      <c r="J2682" s="29" t="s">
        <v>5878</v>
      </c>
      <c r="K2682" s="29">
        <v>71133</v>
      </c>
    </row>
    <row r="2683" spans="10:11" x14ac:dyDescent="0.25">
      <c r="J2683" s="29" t="s">
        <v>5879</v>
      </c>
      <c r="K2683" s="29">
        <v>71133</v>
      </c>
    </row>
    <row r="2684" spans="10:11" x14ac:dyDescent="0.25">
      <c r="J2684" s="29" t="s">
        <v>5880</v>
      </c>
      <c r="K2684" s="29">
        <v>71133</v>
      </c>
    </row>
    <row r="2685" spans="10:11" x14ac:dyDescent="0.25">
      <c r="J2685" s="29" t="s">
        <v>5881</v>
      </c>
      <c r="K2685" s="29">
        <v>71133</v>
      </c>
    </row>
    <row r="2686" spans="10:11" x14ac:dyDescent="0.25">
      <c r="J2686" s="29" t="s">
        <v>5882</v>
      </c>
      <c r="K2686" s="29">
        <v>71391</v>
      </c>
    </row>
    <row r="2687" spans="10:11" x14ac:dyDescent="0.25">
      <c r="J2687" s="29" t="s">
        <v>5883</v>
      </c>
      <c r="K2687" s="29">
        <v>71391</v>
      </c>
    </row>
    <row r="2688" spans="10:11" x14ac:dyDescent="0.25">
      <c r="J2688" s="29" t="s">
        <v>5884</v>
      </c>
      <c r="K2688" s="29">
        <v>71391</v>
      </c>
    </row>
    <row r="2689" spans="10:11" x14ac:dyDescent="0.25">
      <c r="J2689" s="29" t="s">
        <v>5885</v>
      </c>
      <c r="K2689" s="29">
        <v>71166</v>
      </c>
    </row>
    <row r="2690" spans="10:11" x14ac:dyDescent="0.25">
      <c r="J2690" s="29" t="s">
        <v>5886</v>
      </c>
      <c r="K2690" s="29">
        <v>25146</v>
      </c>
    </row>
    <row r="2691" spans="10:11" x14ac:dyDescent="0.25">
      <c r="J2691" s="29" t="s">
        <v>5887</v>
      </c>
      <c r="K2691" s="29">
        <v>71221</v>
      </c>
    </row>
    <row r="2692" spans="10:11" x14ac:dyDescent="0.25">
      <c r="J2692" s="29" t="s">
        <v>5888</v>
      </c>
      <c r="K2692" s="29">
        <v>71221</v>
      </c>
    </row>
    <row r="2693" spans="10:11" x14ac:dyDescent="0.25">
      <c r="J2693" s="29" t="s">
        <v>5889</v>
      </c>
      <c r="K2693" s="29">
        <v>71221</v>
      </c>
    </row>
    <row r="2694" spans="10:11" x14ac:dyDescent="0.25">
      <c r="J2694" s="29" t="s">
        <v>5890</v>
      </c>
      <c r="K2694" s="29">
        <v>33153</v>
      </c>
    </row>
    <row r="2695" spans="10:11" x14ac:dyDescent="0.25">
      <c r="J2695" s="29" t="s">
        <v>5891</v>
      </c>
      <c r="K2695" s="29">
        <v>51389</v>
      </c>
    </row>
    <row r="2696" spans="10:11" x14ac:dyDescent="0.25">
      <c r="J2696" s="29" t="s">
        <v>5892</v>
      </c>
      <c r="K2696" s="29">
        <v>51389</v>
      </c>
    </row>
    <row r="2697" spans="10:11" x14ac:dyDescent="0.25">
      <c r="J2697" s="29" t="s">
        <v>5893</v>
      </c>
      <c r="K2697" s="29">
        <v>51389</v>
      </c>
    </row>
    <row r="2698" spans="10:11" x14ac:dyDescent="0.25">
      <c r="J2698" s="29" t="s">
        <v>5894</v>
      </c>
      <c r="K2698" s="29">
        <v>51389</v>
      </c>
    </row>
    <row r="2699" spans="10:11" x14ac:dyDescent="0.25">
      <c r="J2699" s="29" t="s">
        <v>5895</v>
      </c>
      <c r="K2699" s="29">
        <v>33145</v>
      </c>
    </row>
    <row r="2700" spans="10:11" x14ac:dyDescent="0.25">
      <c r="J2700" s="29" t="s">
        <v>5896</v>
      </c>
      <c r="K2700" s="29">
        <v>74175</v>
      </c>
    </row>
    <row r="2701" spans="10:11" x14ac:dyDescent="0.25">
      <c r="J2701" s="29" t="s">
        <v>5897</v>
      </c>
      <c r="K2701" s="29">
        <v>25329</v>
      </c>
    </row>
    <row r="2702" spans="10:11" x14ac:dyDescent="0.25">
      <c r="J2702" s="29" t="s">
        <v>5898</v>
      </c>
      <c r="K2702" s="29">
        <v>33139</v>
      </c>
    </row>
    <row r="2703" spans="10:11" x14ac:dyDescent="0.25">
      <c r="J2703" s="29" t="s">
        <v>5899</v>
      </c>
      <c r="K2703" s="29">
        <v>21421</v>
      </c>
    </row>
    <row r="2704" spans="10:11" x14ac:dyDescent="0.25">
      <c r="J2704" s="29" t="s">
        <v>5900</v>
      </c>
      <c r="K2704" s="29">
        <v>74168</v>
      </c>
    </row>
    <row r="2705" spans="10:11" x14ac:dyDescent="0.25">
      <c r="J2705" s="29" t="s">
        <v>5901</v>
      </c>
      <c r="K2705" s="29">
        <v>61419</v>
      </c>
    </row>
    <row r="2706" spans="10:11" x14ac:dyDescent="0.25">
      <c r="J2706" s="29" t="s">
        <v>5902</v>
      </c>
      <c r="K2706" s="29">
        <v>61419</v>
      </c>
    </row>
    <row r="2707" spans="10:11" x14ac:dyDescent="0.25">
      <c r="J2707" s="29" t="s">
        <v>5903</v>
      </c>
      <c r="K2707" s="29">
        <v>23635</v>
      </c>
    </row>
    <row r="2708" spans="10:11" x14ac:dyDescent="0.25">
      <c r="J2708" s="29" t="s">
        <v>5904</v>
      </c>
      <c r="K2708" s="29">
        <v>52234</v>
      </c>
    </row>
    <row r="2709" spans="10:11" x14ac:dyDescent="0.25">
      <c r="J2709" s="29" t="s">
        <v>5905</v>
      </c>
      <c r="K2709" s="29">
        <v>22747</v>
      </c>
    </row>
    <row r="2710" spans="10:11" x14ac:dyDescent="0.25">
      <c r="J2710" s="29" t="s">
        <v>5906</v>
      </c>
      <c r="K2710" s="29">
        <v>61467</v>
      </c>
    </row>
    <row r="2711" spans="10:11" x14ac:dyDescent="0.25">
      <c r="J2711" s="29" t="s">
        <v>5907</v>
      </c>
      <c r="K2711" s="29">
        <v>52151</v>
      </c>
    </row>
    <row r="2712" spans="10:11" x14ac:dyDescent="0.25">
      <c r="J2712" s="29" t="s">
        <v>5908</v>
      </c>
      <c r="K2712" s="29">
        <v>52151</v>
      </c>
    </row>
    <row r="2713" spans="10:11" x14ac:dyDescent="0.25">
      <c r="J2713" s="29" t="s">
        <v>5909</v>
      </c>
      <c r="K2713" s="29">
        <v>52151</v>
      </c>
    </row>
    <row r="2714" spans="10:11" x14ac:dyDescent="0.25">
      <c r="J2714" s="29" t="s">
        <v>5910</v>
      </c>
      <c r="K2714" s="29">
        <v>52151</v>
      </c>
    </row>
    <row r="2715" spans="10:11" x14ac:dyDescent="0.25">
      <c r="J2715" s="29" t="s">
        <v>5911</v>
      </c>
      <c r="K2715" s="29">
        <v>52151</v>
      </c>
    </row>
    <row r="2716" spans="10:11" x14ac:dyDescent="0.25">
      <c r="J2716" s="29" t="s">
        <v>5912</v>
      </c>
      <c r="K2716" s="29">
        <v>55151</v>
      </c>
    </row>
    <row r="2717" spans="10:11" x14ac:dyDescent="0.25">
      <c r="J2717" s="29" t="s">
        <v>5913</v>
      </c>
      <c r="K2717" s="29">
        <v>72234</v>
      </c>
    </row>
    <row r="2718" spans="10:11" x14ac:dyDescent="0.25">
      <c r="J2718" s="29" t="s">
        <v>5914</v>
      </c>
      <c r="K2718" s="29">
        <v>73159</v>
      </c>
    </row>
    <row r="2719" spans="10:11" x14ac:dyDescent="0.25">
      <c r="J2719" s="29" t="s">
        <v>5915</v>
      </c>
      <c r="K2719" s="29">
        <v>73159</v>
      </c>
    </row>
    <row r="2720" spans="10:11" x14ac:dyDescent="0.25">
      <c r="J2720" s="29" t="s">
        <v>5916</v>
      </c>
      <c r="K2720" s="29">
        <v>73159</v>
      </c>
    </row>
    <row r="2721" spans="10:11" x14ac:dyDescent="0.25">
      <c r="J2721" s="29" t="s">
        <v>5917</v>
      </c>
      <c r="K2721" s="29">
        <v>73159</v>
      </c>
    </row>
    <row r="2722" spans="10:11" x14ac:dyDescent="0.25">
      <c r="J2722" s="29" t="s">
        <v>5918</v>
      </c>
      <c r="K2722" s="29">
        <v>73159</v>
      </c>
    </row>
    <row r="2723" spans="10:11" x14ac:dyDescent="0.25">
      <c r="J2723" s="29" t="s">
        <v>5919</v>
      </c>
      <c r="K2723" s="29">
        <v>53443</v>
      </c>
    </row>
    <row r="2724" spans="10:11" x14ac:dyDescent="0.25">
      <c r="J2724" s="29" t="s">
        <v>5920</v>
      </c>
      <c r="K2724" s="29">
        <v>53443</v>
      </c>
    </row>
    <row r="2725" spans="10:11" x14ac:dyDescent="0.25">
      <c r="J2725" s="29" t="s">
        <v>5921</v>
      </c>
      <c r="K2725" s="29">
        <v>35330</v>
      </c>
    </row>
    <row r="2726" spans="10:11" x14ac:dyDescent="0.25">
      <c r="J2726" s="29" t="s">
        <v>5922</v>
      </c>
      <c r="K2726" s="29">
        <v>35216</v>
      </c>
    </row>
    <row r="2727" spans="10:11" x14ac:dyDescent="0.25">
      <c r="J2727" s="29" t="s">
        <v>5923</v>
      </c>
      <c r="K2727" s="29">
        <v>35216</v>
      </c>
    </row>
    <row r="2728" spans="10:11" x14ac:dyDescent="0.25">
      <c r="J2728" s="29" t="s">
        <v>5924</v>
      </c>
      <c r="K2728" s="29">
        <v>35216</v>
      </c>
    </row>
    <row r="2729" spans="10:11" x14ac:dyDescent="0.25">
      <c r="J2729" s="29" t="s">
        <v>5925</v>
      </c>
      <c r="K2729" s="29">
        <v>35216</v>
      </c>
    </row>
    <row r="2730" spans="10:11" x14ac:dyDescent="0.25">
      <c r="J2730" s="29" t="s">
        <v>5926</v>
      </c>
      <c r="K2730" s="29">
        <v>35515</v>
      </c>
    </row>
    <row r="2731" spans="10:11" x14ac:dyDescent="0.25">
      <c r="J2731" s="29" t="s">
        <v>5927</v>
      </c>
      <c r="K2731" s="29">
        <v>62267</v>
      </c>
    </row>
    <row r="2732" spans="10:11" x14ac:dyDescent="0.25">
      <c r="J2732" s="29" t="s">
        <v>5928</v>
      </c>
      <c r="K2732" s="29">
        <v>62267</v>
      </c>
    </row>
    <row r="2733" spans="10:11" x14ac:dyDescent="0.25">
      <c r="J2733" s="29" t="s">
        <v>5929</v>
      </c>
      <c r="K2733" s="29">
        <v>35429</v>
      </c>
    </row>
    <row r="2734" spans="10:11" x14ac:dyDescent="0.25">
      <c r="J2734" s="29" t="s">
        <v>5930</v>
      </c>
      <c r="K2734" s="29">
        <v>35429</v>
      </c>
    </row>
    <row r="2735" spans="10:11" x14ac:dyDescent="0.25">
      <c r="J2735" s="29" t="s">
        <v>5931</v>
      </c>
      <c r="K2735" s="29">
        <v>35119</v>
      </c>
    </row>
    <row r="2736" spans="10:11" x14ac:dyDescent="0.25">
      <c r="J2736" s="29" t="s">
        <v>5932</v>
      </c>
      <c r="K2736" s="29">
        <v>53234</v>
      </c>
    </row>
    <row r="2737" spans="10:11" x14ac:dyDescent="0.25">
      <c r="J2737" s="29" t="s">
        <v>5933</v>
      </c>
      <c r="K2737" s="29">
        <v>53234</v>
      </c>
    </row>
    <row r="2738" spans="10:11" x14ac:dyDescent="0.25">
      <c r="J2738" s="29" t="s">
        <v>5934</v>
      </c>
      <c r="K2738" s="29">
        <v>53234</v>
      </c>
    </row>
    <row r="2739" spans="10:11" x14ac:dyDescent="0.25">
      <c r="J2739" s="29" t="s">
        <v>5935</v>
      </c>
      <c r="K2739" s="29">
        <v>53234</v>
      </c>
    </row>
    <row r="2740" spans="10:11" x14ac:dyDescent="0.25">
      <c r="J2740" s="29" t="s">
        <v>5936</v>
      </c>
      <c r="K2740" s="29">
        <v>53234</v>
      </c>
    </row>
    <row r="2741" spans="10:11" x14ac:dyDescent="0.25">
      <c r="J2741" s="29" t="s">
        <v>5937</v>
      </c>
      <c r="K2741" s="29">
        <v>53234</v>
      </c>
    </row>
    <row r="2742" spans="10:11" x14ac:dyDescent="0.25">
      <c r="J2742" s="29" t="s">
        <v>5938</v>
      </c>
      <c r="K2742" s="29">
        <v>21166</v>
      </c>
    </row>
    <row r="2743" spans="10:11" x14ac:dyDescent="0.25">
      <c r="J2743" s="29" t="s">
        <v>5939</v>
      </c>
      <c r="K2743" s="29">
        <v>52274</v>
      </c>
    </row>
    <row r="2744" spans="10:11" x14ac:dyDescent="0.25">
      <c r="J2744" s="29" t="s">
        <v>5940</v>
      </c>
      <c r="K2744" s="29">
        <v>52274</v>
      </c>
    </row>
    <row r="2745" spans="10:11" x14ac:dyDescent="0.25">
      <c r="J2745" s="29" t="s">
        <v>5941</v>
      </c>
      <c r="K2745" s="29">
        <v>21243</v>
      </c>
    </row>
    <row r="2746" spans="10:11" x14ac:dyDescent="0.25">
      <c r="J2746" s="29" t="s">
        <v>5942</v>
      </c>
      <c r="K2746" s="29">
        <v>21243</v>
      </c>
    </row>
    <row r="2747" spans="10:11" x14ac:dyDescent="0.25">
      <c r="J2747" s="29" t="s">
        <v>5943</v>
      </c>
      <c r="K2747" s="29">
        <v>21243</v>
      </c>
    </row>
    <row r="2748" spans="10:11" x14ac:dyDescent="0.25">
      <c r="J2748" s="29" t="s">
        <v>5944</v>
      </c>
      <c r="K2748" s="29">
        <v>61439</v>
      </c>
    </row>
    <row r="2749" spans="10:11" x14ac:dyDescent="0.25">
      <c r="J2749" s="29" t="s">
        <v>5945</v>
      </c>
      <c r="K2749" s="29">
        <v>26293</v>
      </c>
    </row>
    <row r="2750" spans="10:11" x14ac:dyDescent="0.25">
      <c r="J2750" s="29" t="s">
        <v>5946</v>
      </c>
      <c r="K2750" s="29">
        <v>61476</v>
      </c>
    </row>
    <row r="2751" spans="10:11" x14ac:dyDescent="0.25">
      <c r="J2751" s="29" t="s">
        <v>5947</v>
      </c>
      <c r="K2751" s="29">
        <v>62231</v>
      </c>
    </row>
    <row r="2752" spans="10:11" x14ac:dyDescent="0.25">
      <c r="J2752" s="29" t="s">
        <v>5948</v>
      </c>
      <c r="K2752" s="29">
        <v>62231</v>
      </c>
    </row>
    <row r="2753" spans="10:11" x14ac:dyDescent="0.25">
      <c r="J2753" s="29" t="s">
        <v>5949</v>
      </c>
      <c r="K2753" s="29">
        <v>62231</v>
      </c>
    </row>
    <row r="2754" spans="10:11" x14ac:dyDescent="0.25">
      <c r="J2754" s="29" t="s">
        <v>5950</v>
      </c>
      <c r="K2754" s="29">
        <v>62234</v>
      </c>
    </row>
    <row r="2755" spans="10:11" x14ac:dyDescent="0.25">
      <c r="J2755" s="29" t="s">
        <v>5951</v>
      </c>
      <c r="K2755" s="29">
        <v>25357</v>
      </c>
    </row>
    <row r="2756" spans="10:11" x14ac:dyDescent="0.25">
      <c r="J2756" s="29" t="s">
        <v>5952</v>
      </c>
      <c r="K2756" s="29">
        <v>25357</v>
      </c>
    </row>
    <row r="2757" spans="10:11" x14ac:dyDescent="0.25">
      <c r="J2757" s="29" t="s">
        <v>5953</v>
      </c>
      <c r="K2757" s="29">
        <v>25357</v>
      </c>
    </row>
    <row r="2758" spans="10:11" x14ac:dyDescent="0.25">
      <c r="J2758" s="29" t="s">
        <v>5954</v>
      </c>
      <c r="K2758" s="29">
        <v>25357</v>
      </c>
    </row>
    <row r="2759" spans="10:11" x14ac:dyDescent="0.25">
      <c r="J2759" s="29" t="s">
        <v>5955</v>
      </c>
      <c r="K2759" s="29">
        <v>52111</v>
      </c>
    </row>
    <row r="2760" spans="10:11" x14ac:dyDescent="0.25">
      <c r="J2760" s="29" t="s">
        <v>5956</v>
      </c>
      <c r="K2760" s="29">
        <v>52111</v>
      </c>
    </row>
    <row r="2761" spans="10:11" x14ac:dyDescent="0.25">
      <c r="J2761" s="29" t="s">
        <v>5957</v>
      </c>
      <c r="K2761" s="29">
        <v>52111</v>
      </c>
    </row>
    <row r="2762" spans="10:11" x14ac:dyDescent="0.25">
      <c r="J2762" s="29" t="s">
        <v>5958</v>
      </c>
      <c r="K2762" s="29">
        <v>52111</v>
      </c>
    </row>
    <row r="2763" spans="10:11" x14ac:dyDescent="0.25">
      <c r="J2763" s="29" t="s">
        <v>5959</v>
      </c>
      <c r="K2763" s="29">
        <v>52111</v>
      </c>
    </row>
    <row r="2764" spans="10:11" x14ac:dyDescent="0.25">
      <c r="J2764" s="29" t="s">
        <v>5960</v>
      </c>
      <c r="K2764" s="29">
        <v>52111</v>
      </c>
    </row>
    <row r="2765" spans="10:11" x14ac:dyDescent="0.25">
      <c r="J2765" s="29" t="s">
        <v>5961</v>
      </c>
      <c r="K2765" s="29">
        <v>52111</v>
      </c>
    </row>
    <row r="2766" spans="10:11" x14ac:dyDescent="0.25">
      <c r="J2766" s="29" t="s">
        <v>5962</v>
      </c>
      <c r="K2766" s="29">
        <v>35137</v>
      </c>
    </row>
    <row r="2767" spans="10:11" x14ac:dyDescent="0.25">
      <c r="J2767" s="29" t="s">
        <v>5963</v>
      </c>
      <c r="K2767" s="29">
        <v>35137</v>
      </c>
    </row>
    <row r="2768" spans="10:11" x14ac:dyDescent="0.25">
      <c r="J2768" s="29" t="s">
        <v>5964</v>
      </c>
      <c r="K2768" s="29">
        <v>35137</v>
      </c>
    </row>
    <row r="2769" spans="10:11" x14ac:dyDescent="0.25">
      <c r="J2769" s="29" t="s">
        <v>5965</v>
      </c>
      <c r="K2769" s="29">
        <v>35137</v>
      </c>
    </row>
    <row r="2770" spans="10:11" x14ac:dyDescent="0.25">
      <c r="J2770" s="29" t="s">
        <v>5966</v>
      </c>
      <c r="K2770" s="29">
        <v>35437</v>
      </c>
    </row>
    <row r="2771" spans="10:11" x14ac:dyDescent="0.25">
      <c r="J2771" s="29" t="s">
        <v>5967</v>
      </c>
      <c r="K2771" s="29">
        <v>35437</v>
      </c>
    </row>
    <row r="2772" spans="10:11" x14ac:dyDescent="0.25">
      <c r="J2772" s="29" t="s">
        <v>5968</v>
      </c>
      <c r="K2772" s="29">
        <v>35437</v>
      </c>
    </row>
    <row r="2773" spans="10:11" x14ac:dyDescent="0.25">
      <c r="J2773" s="29" t="s">
        <v>5969</v>
      </c>
      <c r="K2773" s="29">
        <v>35437</v>
      </c>
    </row>
    <row r="2774" spans="10:11" x14ac:dyDescent="0.25">
      <c r="J2774" s="29" t="s">
        <v>5970</v>
      </c>
      <c r="K2774" s="29">
        <v>35437</v>
      </c>
    </row>
    <row r="2775" spans="10:11" x14ac:dyDescent="0.25">
      <c r="J2775" s="29" t="s">
        <v>5971</v>
      </c>
      <c r="K2775" s="29">
        <v>35437</v>
      </c>
    </row>
    <row r="2776" spans="10:11" x14ac:dyDescent="0.25">
      <c r="J2776" s="29" t="s">
        <v>5972</v>
      </c>
      <c r="K2776" s="29">
        <v>35437</v>
      </c>
    </row>
    <row r="2777" spans="10:11" x14ac:dyDescent="0.25">
      <c r="J2777" s="29" t="s">
        <v>5973</v>
      </c>
      <c r="K2777" s="29">
        <v>35437</v>
      </c>
    </row>
    <row r="2778" spans="10:11" x14ac:dyDescent="0.25">
      <c r="J2778" s="29" t="s">
        <v>5974</v>
      </c>
      <c r="K2778" s="29">
        <v>35437</v>
      </c>
    </row>
    <row r="2779" spans="10:11" x14ac:dyDescent="0.25">
      <c r="J2779" s="29" t="s">
        <v>5975</v>
      </c>
      <c r="K2779" s="29">
        <v>35437</v>
      </c>
    </row>
    <row r="2780" spans="10:11" x14ac:dyDescent="0.25">
      <c r="J2780" s="29" t="s">
        <v>5976</v>
      </c>
      <c r="K2780" s="29">
        <v>61323</v>
      </c>
    </row>
    <row r="2781" spans="10:11" x14ac:dyDescent="0.25">
      <c r="J2781" s="29" t="s">
        <v>5977</v>
      </c>
      <c r="K2781" s="29">
        <v>61323</v>
      </c>
    </row>
    <row r="2782" spans="10:11" x14ac:dyDescent="0.25">
      <c r="J2782" s="29" t="s">
        <v>5978</v>
      </c>
      <c r="K2782" s="29">
        <v>61323</v>
      </c>
    </row>
    <row r="2783" spans="10:11" x14ac:dyDescent="0.25">
      <c r="J2783" s="29" t="s">
        <v>5979</v>
      </c>
      <c r="K2783" s="29">
        <v>62214</v>
      </c>
    </row>
    <row r="2784" spans="10:11" x14ac:dyDescent="0.25">
      <c r="J2784" s="29" t="s">
        <v>5980</v>
      </c>
      <c r="K2784" s="29">
        <v>62214</v>
      </c>
    </row>
    <row r="2785" spans="10:11" x14ac:dyDescent="0.25">
      <c r="J2785" s="29" t="s">
        <v>5981</v>
      </c>
      <c r="K2785" s="29">
        <v>62214</v>
      </c>
    </row>
    <row r="2786" spans="10:11" x14ac:dyDescent="0.25">
      <c r="J2786" s="29" t="s">
        <v>5982</v>
      </c>
      <c r="K2786" s="29">
        <v>51284</v>
      </c>
    </row>
    <row r="2787" spans="10:11" x14ac:dyDescent="0.25">
      <c r="J2787" s="29" t="s">
        <v>5983</v>
      </c>
      <c r="K2787" s="29">
        <v>51284</v>
      </c>
    </row>
    <row r="2788" spans="10:11" x14ac:dyDescent="0.25">
      <c r="J2788" s="29" t="s">
        <v>5984</v>
      </c>
      <c r="K2788" s="29">
        <v>51284</v>
      </c>
    </row>
    <row r="2789" spans="10:11" x14ac:dyDescent="0.25">
      <c r="J2789" s="29" t="s">
        <v>5985</v>
      </c>
      <c r="K2789" s="29">
        <v>51284</v>
      </c>
    </row>
    <row r="2790" spans="10:11" x14ac:dyDescent="0.25">
      <c r="J2790" s="29" t="s">
        <v>5986</v>
      </c>
      <c r="K2790" s="29">
        <v>51284</v>
      </c>
    </row>
    <row r="2791" spans="10:11" x14ac:dyDescent="0.25">
      <c r="J2791" s="29" t="s">
        <v>5987</v>
      </c>
      <c r="K2791" s="29">
        <v>51284</v>
      </c>
    </row>
    <row r="2792" spans="10:11" x14ac:dyDescent="0.25">
      <c r="J2792" s="29" t="s">
        <v>5988</v>
      </c>
      <c r="K2792" s="29">
        <v>51284</v>
      </c>
    </row>
    <row r="2793" spans="10:11" x14ac:dyDescent="0.25">
      <c r="J2793" s="29" t="s">
        <v>5989</v>
      </c>
      <c r="K2793" s="29">
        <v>51284</v>
      </c>
    </row>
    <row r="2794" spans="10:11" x14ac:dyDescent="0.25">
      <c r="J2794" s="29" t="s">
        <v>5990</v>
      </c>
      <c r="K2794" s="29">
        <v>51284</v>
      </c>
    </row>
    <row r="2795" spans="10:11" x14ac:dyDescent="0.25">
      <c r="J2795" s="29" t="s">
        <v>5991</v>
      </c>
      <c r="K2795" s="29">
        <v>51284</v>
      </c>
    </row>
    <row r="2796" spans="10:11" x14ac:dyDescent="0.25">
      <c r="J2796" s="29" t="s">
        <v>5992</v>
      </c>
      <c r="K2796" s="29">
        <v>51284</v>
      </c>
    </row>
    <row r="2797" spans="10:11" x14ac:dyDescent="0.25">
      <c r="J2797" s="29" t="s">
        <v>5993</v>
      </c>
      <c r="K2797" s="29">
        <v>24424</v>
      </c>
    </row>
    <row r="2798" spans="10:11" x14ac:dyDescent="0.25">
      <c r="J2798" s="29" t="s">
        <v>5994</v>
      </c>
      <c r="K2798" s="29">
        <v>24424</v>
      </c>
    </row>
    <row r="2799" spans="10:11" x14ac:dyDescent="0.25">
      <c r="J2799" s="29" t="s">
        <v>5995</v>
      </c>
      <c r="K2799" s="29">
        <v>23445</v>
      </c>
    </row>
    <row r="2800" spans="10:11" x14ac:dyDescent="0.25">
      <c r="J2800" s="29" t="s">
        <v>5996</v>
      </c>
      <c r="K2800" s="29">
        <v>23445</v>
      </c>
    </row>
    <row r="2801" spans="10:11" x14ac:dyDescent="0.25">
      <c r="J2801" s="29" t="s">
        <v>5997</v>
      </c>
      <c r="K2801" s="29">
        <v>73279</v>
      </c>
    </row>
    <row r="2802" spans="10:11" x14ac:dyDescent="0.25">
      <c r="J2802" s="29" t="s">
        <v>5998</v>
      </c>
      <c r="K2802" s="29">
        <v>73279</v>
      </c>
    </row>
    <row r="2803" spans="10:11" x14ac:dyDescent="0.25">
      <c r="J2803" s="29" t="s">
        <v>5999</v>
      </c>
      <c r="K2803" s="29">
        <v>73279</v>
      </c>
    </row>
    <row r="2804" spans="10:11" x14ac:dyDescent="0.25">
      <c r="J2804" s="29" t="s">
        <v>6000</v>
      </c>
      <c r="K2804" s="29">
        <v>62297</v>
      </c>
    </row>
    <row r="2805" spans="10:11" x14ac:dyDescent="0.25">
      <c r="J2805" s="29" t="s">
        <v>6001</v>
      </c>
      <c r="K2805" s="29">
        <v>22435</v>
      </c>
    </row>
    <row r="2806" spans="10:11" x14ac:dyDescent="0.25">
      <c r="J2806" s="29" t="s">
        <v>6002</v>
      </c>
      <c r="K2806" s="29">
        <v>51217</v>
      </c>
    </row>
    <row r="2807" spans="10:11" x14ac:dyDescent="0.25">
      <c r="J2807" s="29" t="s">
        <v>6003</v>
      </c>
      <c r="K2807" s="29">
        <v>51217</v>
      </c>
    </row>
    <row r="2808" spans="10:11" x14ac:dyDescent="0.25">
      <c r="J2808" s="29" t="s">
        <v>6004</v>
      </c>
      <c r="K2808" s="29">
        <v>51217</v>
      </c>
    </row>
    <row r="2809" spans="10:11" x14ac:dyDescent="0.25">
      <c r="J2809" s="29" t="s">
        <v>3864</v>
      </c>
      <c r="K2809" s="29">
        <v>52244</v>
      </c>
    </row>
    <row r="2810" spans="10:11" x14ac:dyDescent="0.25">
      <c r="J2810" s="29" t="s">
        <v>6005</v>
      </c>
      <c r="K2810" s="29">
        <v>52244</v>
      </c>
    </row>
    <row r="2811" spans="10:11" x14ac:dyDescent="0.25">
      <c r="J2811" s="29" t="s">
        <v>6006</v>
      </c>
      <c r="K2811" s="29">
        <v>52244</v>
      </c>
    </row>
    <row r="2812" spans="10:11" x14ac:dyDescent="0.25">
      <c r="J2812" s="29" t="s">
        <v>6007</v>
      </c>
      <c r="K2812" s="29">
        <v>52244</v>
      </c>
    </row>
    <row r="2813" spans="10:11" x14ac:dyDescent="0.25">
      <c r="J2813" s="29" t="s">
        <v>6008</v>
      </c>
      <c r="K2813" s="29">
        <v>62296</v>
      </c>
    </row>
    <row r="2814" spans="10:11" x14ac:dyDescent="0.25">
      <c r="J2814" s="29" t="s">
        <v>6009</v>
      </c>
      <c r="K2814" s="29">
        <v>22411</v>
      </c>
    </row>
    <row r="2815" spans="10:11" x14ac:dyDescent="0.25">
      <c r="J2815" s="29" t="s">
        <v>6010</v>
      </c>
      <c r="K2815" s="29">
        <v>22411</v>
      </c>
    </row>
    <row r="2816" spans="10:11" x14ac:dyDescent="0.25">
      <c r="J2816" s="29" t="s">
        <v>6011</v>
      </c>
      <c r="K2816" s="29">
        <v>22411</v>
      </c>
    </row>
    <row r="2817" spans="10:11" x14ac:dyDescent="0.25">
      <c r="J2817" s="29" t="s">
        <v>6012</v>
      </c>
      <c r="K2817" s="29">
        <v>53155</v>
      </c>
    </row>
    <row r="2818" spans="10:11" x14ac:dyDescent="0.25">
      <c r="J2818" s="29" t="s">
        <v>6013</v>
      </c>
      <c r="K2818" s="29">
        <v>35167</v>
      </c>
    </row>
    <row r="2819" spans="10:11" x14ac:dyDescent="0.25">
      <c r="J2819" s="29" t="s">
        <v>6014</v>
      </c>
      <c r="K2819" s="29">
        <v>52277</v>
      </c>
    </row>
    <row r="2820" spans="10:11" x14ac:dyDescent="0.25">
      <c r="J2820" s="29" t="s">
        <v>6015</v>
      </c>
      <c r="K2820" s="29">
        <v>52277</v>
      </c>
    </row>
    <row r="2821" spans="10:11" x14ac:dyDescent="0.25">
      <c r="J2821" s="29" t="s">
        <v>6016</v>
      </c>
      <c r="K2821" s="29">
        <v>52277</v>
      </c>
    </row>
    <row r="2822" spans="10:11" x14ac:dyDescent="0.25">
      <c r="J2822" s="29" t="s">
        <v>6017</v>
      </c>
      <c r="K2822" s="29">
        <v>52277</v>
      </c>
    </row>
    <row r="2823" spans="10:11" x14ac:dyDescent="0.25">
      <c r="J2823" s="29" t="s">
        <v>6018</v>
      </c>
      <c r="K2823" s="29">
        <v>74131</v>
      </c>
    </row>
    <row r="2824" spans="10:11" x14ac:dyDescent="0.25">
      <c r="J2824" s="29" t="s">
        <v>6019</v>
      </c>
      <c r="K2824" s="29">
        <v>73111</v>
      </c>
    </row>
    <row r="2825" spans="10:11" x14ac:dyDescent="0.25">
      <c r="J2825" s="29" t="s">
        <v>6020</v>
      </c>
      <c r="K2825" s="29">
        <v>73111</v>
      </c>
    </row>
    <row r="2826" spans="10:11" x14ac:dyDescent="0.25">
      <c r="J2826" s="29" t="s">
        <v>6021</v>
      </c>
      <c r="K2826" s="29">
        <v>73111</v>
      </c>
    </row>
    <row r="2827" spans="10:11" x14ac:dyDescent="0.25">
      <c r="J2827" s="29" t="s">
        <v>6022</v>
      </c>
      <c r="K2827" s="29">
        <v>73111</v>
      </c>
    </row>
    <row r="2828" spans="10:11" x14ac:dyDescent="0.25">
      <c r="J2828" s="29" t="s">
        <v>6023</v>
      </c>
      <c r="K2828" s="29">
        <v>73111</v>
      </c>
    </row>
    <row r="2829" spans="10:11" x14ac:dyDescent="0.25">
      <c r="J2829" s="29" t="s">
        <v>6024</v>
      </c>
      <c r="K2829" s="29">
        <v>73245</v>
      </c>
    </row>
    <row r="2830" spans="10:11" x14ac:dyDescent="0.25">
      <c r="J2830" s="29" t="s">
        <v>6025</v>
      </c>
      <c r="K2830" s="29">
        <v>51371</v>
      </c>
    </row>
    <row r="2831" spans="10:11" x14ac:dyDescent="0.25">
      <c r="J2831" s="29" t="s">
        <v>6026</v>
      </c>
      <c r="K2831" s="29">
        <v>61415</v>
      </c>
    </row>
    <row r="2832" spans="10:11" x14ac:dyDescent="0.25">
      <c r="J2832" s="29" t="s">
        <v>6027</v>
      </c>
      <c r="K2832" s="29">
        <v>52287</v>
      </c>
    </row>
    <row r="2833" spans="10:11" x14ac:dyDescent="0.25">
      <c r="J2833" s="29" t="s">
        <v>6028</v>
      </c>
      <c r="K2833" s="29">
        <v>71344</v>
      </c>
    </row>
    <row r="2834" spans="10:11" x14ac:dyDescent="0.25">
      <c r="J2834" s="29" t="s">
        <v>6029</v>
      </c>
      <c r="K2834" s="29">
        <v>71344</v>
      </c>
    </row>
    <row r="2835" spans="10:11" x14ac:dyDescent="0.25">
      <c r="J2835" s="29" t="s">
        <v>6030</v>
      </c>
      <c r="K2835" s="29">
        <v>71344</v>
      </c>
    </row>
    <row r="2836" spans="10:11" x14ac:dyDescent="0.25">
      <c r="J2836" s="29" t="s">
        <v>6031</v>
      </c>
      <c r="K2836" s="29">
        <v>26257</v>
      </c>
    </row>
    <row r="2837" spans="10:11" x14ac:dyDescent="0.25">
      <c r="J2837" s="29" t="s">
        <v>6032</v>
      </c>
      <c r="K2837" s="29">
        <v>26257</v>
      </c>
    </row>
    <row r="2838" spans="10:11" x14ac:dyDescent="0.25">
      <c r="J2838" s="29" t="s">
        <v>6033</v>
      </c>
      <c r="K2838" s="29">
        <v>35516</v>
      </c>
    </row>
    <row r="2839" spans="10:11" x14ac:dyDescent="0.25">
      <c r="J2839" s="29" t="s">
        <v>6034</v>
      </c>
      <c r="K2839" s="29">
        <v>35516</v>
      </c>
    </row>
    <row r="2840" spans="10:11" x14ac:dyDescent="0.25">
      <c r="J2840" s="29" t="s">
        <v>6035</v>
      </c>
      <c r="K2840" s="29">
        <v>35516</v>
      </c>
    </row>
    <row r="2841" spans="10:11" x14ac:dyDescent="0.25">
      <c r="J2841" s="29" t="s">
        <v>6036</v>
      </c>
      <c r="K2841" s="29">
        <v>35516</v>
      </c>
    </row>
    <row r="2842" spans="10:11" x14ac:dyDescent="0.25">
      <c r="J2842" s="29" t="s">
        <v>6037</v>
      </c>
      <c r="K2842" s="29">
        <v>35516</v>
      </c>
    </row>
    <row r="2843" spans="10:11" x14ac:dyDescent="0.25">
      <c r="J2843" s="29" t="s">
        <v>6038</v>
      </c>
      <c r="K2843" s="29">
        <v>35516</v>
      </c>
    </row>
    <row r="2844" spans="10:11" x14ac:dyDescent="0.25">
      <c r="J2844" s="29" t="s">
        <v>6039</v>
      </c>
      <c r="K2844" s="29">
        <v>35516</v>
      </c>
    </row>
    <row r="2845" spans="10:11" x14ac:dyDescent="0.25">
      <c r="J2845" s="29" t="s">
        <v>6040</v>
      </c>
      <c r="K2845" s="29">
        <v>35516</v>
      </c>
    </row>
    <row r="2846" spans="10:11" x14ac:dyDescent="0.25">
      <c r="J2846" s="29" t="s">
        <v>6041</v>
      </c>
      <c r="K2846" s="29">
        <v>35516</v>
      </c>
    </row>
    <row r="2847" spans="10:11" x14ac:dyDescent="0.25">
      <c r="J2847" s="29" t="s">
        <v>6042</v>
      </c>
      <c r="K2847" s="29">
        <v>35516</v>
      </c>
    </row>
    <row r="2848" spans="10:11" x14ac:dyDescent="0.25">
      <c r="J2848" s="29" t="s">
        <v>6043</v>
      </c>
      <c r="K2848" s="29">
        <v>35516</v>
      </c>
    </row>
    <row r="2849" spans="10:11" x14ac:dyDescent="0.25">
      <c r="J2849" s="29" t="s">
        <v>6044</v>
      </c>
      <c r="K2849" s="29">
        <v>35516</v>
      </c>
    </row>
    <row r="2850" spans="10:11" x14ac:dyDescent="0.25">
      <c r="J2850" s="29" t="s">
        <v>6045</v>
      </c>
      <c r="K2850" s="29">
        <v>23215</v>
      </c>
    </row>
    <row r="2851" spans="10:11" x14ac:dyDescent="0.25">
      <c r="J2851" s="29" t="s">
        <v>6046</v>
      </c>
      <c r="K2851" s="29">
        <v>10310</v>
      </c>
    </row>
    <row r="2852" spans="10:11" x14ac:dyDescent="0.25">
      <c r="J2852" s="29" t="s">
        <v>6047</v>
      </c>
      <c r="K2852" s="29">
        <v>10310</v>
      </c>
    </row>
    <row r="2853" spans="10:11" x14ac:dyDescent="0.25">
      <c r="J2853" s="29" t="s">
        <v>6048</v>
      </c>
      <c r="K2853" s="29">
        <v>10310</v>
      </c>
    </row>
    <row r="2854" spans="10:11" x14ac:dyDescent="0.25">
      <c r="J2854" s="29" t="s">
        <v>6049</v>
      </c>
      <c r="K2854" s="29">
        <v>10310</v>
      </c>
    </row>
    <row r="2855" spans="10:11" x14ac:dyDescent="0.25">
      <c r="J2855" s="29" t="s">
        <v>6050</v>
      </c>
      <c r="K2855" s="29">
        <v>10310</v>
      </c>
    </row>
    <row r="2856" spans="10:11" x14ac:dyDescent="0.25">
      <c r="J2856" s="29" t="s">
        <v>6051</v>
      </c>
      <c r="K2856" s="29">
        <v>10310</v>
      </c>
    </row>
    <row r="2857" spans="10:11" x14ac:dyDescent="0.25">
      <c r="J2857" s="29" t="s">
        <v>6052</v>
      </c>
      <c r="K2857" s="29">
        <v>10310</v>
      </c>
    </row>
    <row r="2858" spans="10:11" x14ac:dyDescent="0.25">
      <c r="J2858" s="29" t="s">
        <v>6053</v>
      </c>
      <c r="K2858" s="29">
        <v>10310</v>
      </c>
    </row>
    <row r="2859" spans="10:11" x14ac:dyDescent="0.25">
      <c r="J2859" s="29" t="s">
        <v>6054</v>
      </c>
      <c r="K2859" s="29">
        <v>10310</v>
      </c>
    </row>
    <row r="2860" spans="10:11" x14ac:dyDescent="0.25">
      <c r="J2860" s="29" t="s">
        <v>6055</v>
      </c>
      <c r="K2860" s="29">
        <v>10310</v>
      </c>
    </row>
    <row r="2861" spans="10:11" x14ac:dyDescent="0.25">
      <c r="J2861" s="29" t="s">
        <v>6056</v>
      </c>
      <c r="K2861" s="29">
        <v>10310</v>
      </c>
    </row>
    <row r="2862" spans="10:11" x14ac:dyDescent="0.25">
      <c r="J2862" s="29" t="s">
        <v>6057</v>
      </c>
      <c r="K2862" s="29">
        <v>10310</v>
      </c>
    </row>
    <row r="2863" spans="10:11" x14ac:dyDescent="0.25">
      <c r="J2863" s="29" t="s">
        <v>6058</v>
      </c>
      <c r="K2863" s="29">
        <v>10310</v>
      </c>
    </row>
    <row r="2864" spans="10:11" x14ac:dyDescent="0.25">
      <c r="J2864" s="29" t="s">
        <v>6059</v>
      </c>
      <c r="K2864" s="29">
        <v>10310</v>
      </c>
    </row>
    <row r="2865" spans="10:11" x14ac:dyDescent="0.25">
      <c r="J2865" s="29" t="s">
        <v>6060</v>
      </c>
      <c r="K2865" s="29">
        <v>10310</v>
      </c>
    </row>
    <row r="2866" spans="10:11" x14ac:dyDescent="0.25">
      <c r="J2866" s="29" t="s">
        <v>6061</v>
      </c>
      <c r="K2866" s="29">
        <v>10310</v>
      </c>
    </row>
    <row r="2867" spans="10:11" x14ac:dyDescent="0.25">
      <c r="J2867" s="29" t="s">
        <v>6062</v>
      </c>
      <c r="K2867" s="29">
        <v>10310</v>
      </c>
    </row>
    <row r="2868" spans="10:11" x14ac:dyDescent="0.25">
      <c r="J2868" s="29" t="s">
        <v>6063</v>
      </c>
      <c r="K2868" s="29">
        <v>10310</v>
      </c>
    </row>
    <row r="2869" spans="10:11" x14ac:dyDescent="0.25">
      <c r="J2869" s="29" t="s">
        <v>6064</v>
      </c>
      <c r="K2869" s="29">
        <v>10310</v>
      </c>
    </row>
    <row r="2870" spans="10:11" x14ac:dyDescent="0.25">
      <c r="J2870" s="29" t="s">
        <v>6065</v>
      </c>
      <c r="K2870" s="29">
        <v>10310</v>
      </c>
    </row>
    <row r="2871" spans="10:11" x14ac:dyDescent="0.25">
      <c r="J2871" s="29" t="s">
        <v>6066</v>
      </c>
      <c r="K2871" s="29">
        <v>10310</v>
      </c>
    </row>
    <row r="2872" spans="10:11" x14ac:dyDescent="0.25">
      <c r="J2872" s="29" t="s">
        <v>6067</v>
      </c>
      <c r="K2872" s="29">
        <v>10310</v>
      </c>
    </row>
    <row r="2873" spans="10:11" x14ac:dyDescent="0.25">
      <c r="J2873" s="29" t="s">
        <v>6068</v>
      </c>
      <c r="K2873" s="29">
        <v>10310</v>
      </c>
    </row>
    <row r="2874" spans="10:11" x14ac:dyDescent="0.25">
      <c r="J2874" s="29" t="s">
        <v>6069</v>
      </c>
      <c r="K2874" s="29">
        <v>10310</v>
      </c>
    </row>
    <row r="2875" spans="10:11" x14ac:dyDescent="0.25">
      <c r="J2875" s="29" t="s">
        <v>6070</v>
      </c>
      <c r="K2875" s="29">
        <v>10310</v>
      </c>
    </row>
    <row r="2876" spans="10:11" x14ac:dyDescent="0.25">
      <c r="J2876" s="29" t="s">
        <v>6071</v>
      </c>
      <c r="K2876" s="29">
        <v>10310</v>
      </c>
    </row>
    <row r="2877" spans="10:11" x14ac:dyDescent="0.25">
      <c r="J2877" s="29" t="s">
        <v>6072</v>
      </c>
      <c r="K2877" s="29">
        <v>10310</v>
      </c>
    </row>
    <row r="2878" spans="10:11" x14ac:dyDescent="0.25">
      <c r="J2878" s="29" t="s">
        <v>6073</v>
      </c>
      <c r="K2878" s="29">
        <v>10310</v>
      </c>
    </row>
    <row r="2879" spans="10:11" x14ac:dyDescent="0.25">
      <c r="J2879" s="29" t="s">
        <v>6074</v>
      </c>
      <c r="K2879" s="29">
        <v>10310</v>
      </c>
    </row>
    <row r="2880" spans="10:11" x14ac:dyDescent="0.25">
      <c r="J2880" s="29" t="s">
        <v>6075</v>
      </c>
      <c r="K2880" s="29">
        <v>10310</v>
      </c>
    </row>
    <row r="2881" spans="10:11" x14ac:dyDescent="0.25">
      <c r="J2881" s="29" t="s">
        <v>6076</v>
      </c>
      <c r="K2881" s="29">
        <v>10310</v>
      </c>
    </row>
    <row r="2882" spans="10:11" x14ac:dyDescent="0.25">
      <c r="J2882" s="29" t="s">
        <v>6077</v>
      </c>
      <c r="K2882" s="29">
        <v>10310</v>
      </c>
    </row>
    <row r="2883" spans="10:11" x14ac:dyDescent="0.25">
      <c r="J2883" s="29" t="s">
        <v>6078</v>
      </c>
      <c r="K2883" s="29">
        <v>10310</v>
      </c>
    </row>
    <row r="2884" spans="10:11" x14ac:dyDescent="0.25">
      <c r="J2884" s="29" t="s">
        <v>6079</v>
      </c>
      <c r="K2884" s="29">
        <v>10310</v>
      </c>
    </row>
    <row r="2885" spans="10:11" x14ac:dyDescent="0.25">
      <c r="J2885" s="29" t="s">
        <v>6080</v>
      </c>
      <c r="K2885" s="29">
        <v>10310</v>
      </c>
    </row>
    <row r="2886" spans="10:11" x14ac:dyDescent="0.25">
      <c r="J2886" s="29" t="s">
        <v>6081</v>
      </c>
      <c r="K2886" s="29">
        <v>10310</v>
      </c>
    </row>
    <row r="2887" spans="10:11" x14ac:dyDescent="0.25">
      <c r="J2887" s="29" t="s">
        <v>6082</v>
      </c>
      <c r="K2887" s="29">
        <v>10310</v>
      </c>
    </row>
    <row r="2888" spans="10:11" x14ac:dyDescent="0.25">
      <c r="J2888" s="29" t="s">
        <v>6083</v>
      </c>
      <c r="K2888" s="29">
        <v>10310</v>
      </c>
    </row>
    <row r="2889" spans="10:11" x14ac:dyDescent="0.25">
      <c r="J2889" s="29" t="s">
        <v>6084</v>
      </c>
      <c r="K2889" s="29">
        <v>10310</v>
      </c>
    </row>
    <row r="2890" spans="10:11" x14ac:dyDescent="0.25">
      <c r="J2890" s="29" t="s">
        <v>6085</v>
      </c>
      <c r="K2890" s="29">
        <v>10310</v>
      </c>
    </row>
    <row r="2891" spans="10:11" x14ac:dyDescent="0.25">
      <c r="J2891" s="29" t="s">
        <v>6086</v>
      </c>
      <c r="K2891" s="29">
        <v>10310</v>
      </c>
    </row>
    <row r="2892" spans="10:11" x14ac:dyDescent="0.25">
      <c r="J2892" s="29" t="s">
        <v>6087</v>
      </c>
      <c r="K2892" s="29">
        <v>10310</v>
      </c>
    </row>
    <row r="2893" spans="10:11" x14ac:dyDescent="0.25">
      <c r="J2893" s="29" t="s">
        <v>6088</v>
      </c>
      <c r="K2893" s="29">
        <v>10310</v>
      </c>
    </row>
    <row r="2894" spans="10:11" x14ac:dyDescent="0.25">
      <c r="J2894" s="29" t="s">
        <v>6089</v>
      </c>
      <c r="K2894" s="29">
        <v>22391</v>
      </c>
    </row>
    <row r="2895" spans="10:11" x14ac:dyDescent="0.25">
      <c r="J2895" s="29" t="s">
        <v>6090</v>
      </c>
      <c r="K2895" s="29">
        <v>22391</v>
      </c>
    </row>
    <row r="2896" spans="10:11" x14ac:dyDescent="0.25">
      <c r="J2896" s="29" t="s">
        <v>6091</v>
      </c>
      <c r="K2896" s="29">
        <v>35486</v>
      </c>
    </row>
    <row r="2897" spans="10:11" x14ac:dyDescent="0.25">
      <c r="J2897" s="29" t="s">
        <v>6092</v>
      </c>
      <c r="K2897" s="29">
        <v>35486</v>
      </c>
    </row>
    <row r="2898" spans="10:11" x14ac:dyDescent="0.25">
      <c r="J2898" s="29" t="s">
        <v>6093</v>
      </c>
      <c r="K2898" s="29">
        <v>35486</v>
      </c>
    </row>
    <row r="2899" spans="10:11" x14ac:dyDescent="0.25">
      <c r="J2899" s="29" t="s">
        <v>6094</v>
      </c>
      <c r="K2899" s="29">
        <v>35486</v>
      </c>
    </row>
    <row r="2900" spans="10:11" x14ac:dyDescent="0.25">
      <c r="J2900" s="29" t="s">
        <v>6095</v>
      </c>
      <c r="K2900" s="29">
        <v>35486</v>
      </c>
    </row>
    <row r="2901" spans="10:11" x14ac:dyDescent="0.25">
      <c r="J2901" s="29" t="s">
        <v>6096</v>
      </c>
      <c r="K2901" s="29">
        <v>25281</v>
      </c>
    </row>
    <row r="2902" spans="10:11" x14ac:dyDescent="0.25">
      <c r="J2902" s="29" t="s">
        <v>6097</v>
      </c>
      <c r="K2902" s="29">
        <v>51185</v>
      </c>
    </row>
    <row r="2903" spans="10:11" x14ac:dyDescent="0.25">
      <c r="J2903" s="29" t="s">
        <v>6098</v>
      </c>
      <c r="K2903" s="29">
        <v>62351</v>
      </c>
    </row>
    <row r="2904" spans="10:11" x14ac:dyDescent="0.25">
      <c r="J2904" s="29" t="s">
        <v>6099</v>
      </c>
      <c r="K2904" s="29">
        <v>62351</v>
      </c>
    </row>
    <row r="2905" spans="10:11" x14ac:dyDescent="0.25">
      <c r="J2905" s="29" t="s">
        <v>6100</v>
      </c>
      <c r="K2905" s="29">
        <v>71117</v>
      </c>
    </row>
    <row r="2906" spans="10:11" x14ac:dyDescent="0.25">
      <c r="J2906" s="29" t="s">
        <v>6101</v>
      </c>
      <c r="K2906" s="29">
        <v>71117</v>
      </c>
    </row>
    <row r="2907" spans="10:11" x14ac:dyDescent="0.25">
      <c r="J2907" s="29" t="s">
        <v>6102</v>
      </c>
      <c r="K2907" s="29">
        <v>62215</v>
      </c>
    </row>
    <row r="2908" spans="10:11" x14ac:dyDescent="0.25">
      <c r="J2908" s="29" t="s">
        <v>6103</v>
      </c>
      <c r="K2908" s="29">
        <v>62215</v>
      </c>
    </row>
    <row r="2909" spans="10:11" x14ac:dyDescent="0.25">
      <c r="J2909" s="29" t="s">
        <v>6104</v>
      </c>
      <c r="K2909" s="29">
        <v>25419</v>
      </c>
    </row>
    <row r="2910" spans="10:11" x14ac:dyDescent="0.25">
      <c r="J2910" s="29" t="s">
        <v>6105</v>
      </c>
      <c r="K2910" s="29">
        <v>61429</v>
      </c>
    </row>
    <row r="2911" spans="10:11" x14ac:dyDescent="0.25">
      <c r="J2911" s="29" t="s">
        <v>6106</v>
      </c>
      <c r="K2911" s="29">
        <v>61437</v>
      </c>
    </row>
    <row r="2912" spans="10:11" x14ac:dyDescent="0.25">
      <c r="J2912" s="29" t="s">
        <v>6107</v>
      </c>
      <c r="K2912" s="29">
        <v>22475</v>
      </c>
    </row>
    <row r="2913" spans="10:11" x14ac:dyDescent="0.25">
      <c r="J2913" s="29" t="s">
        <v>6108</v>
      </c>
      <c r="K2913" s="29">
        <v>22475</v>
      </c>
    </row>
    <row r="2914" spans="10:11" x14ac:dyDescent="0.25">
      <c r="J2914" s="29" t="s">
        <v>6109</v>
      </c>
      <c r="K2914" s="29">
        <v>22475</v>
      </c>
    </row>
    <row r="2915" spans="10:11" x14ac:dyDescent="0.25">
      <c r="J2915" s="29" t="s">
        <v>3525</v>
      </c>
      <c r="K2915" s="29">
        <v>24457</v>
      </c>
    </row>
    <row r="2916" spans="10:11" x14ac:dyDescent="0.25">
      <c r="J2916" s="29" t="s">
        <v>6110</v>
      </c>
      <c r="K2916" s="29">
        <v>10610</v>
      </c>
    </row>
    <row r="2917" spans="10:11" x14ac:dyDescent="0.25">
      <c r="J2917" s="29" t="s">
        <v>6111</v>
      </c>
      <c r="K2917" s="29">
        <v>10610</v>
      </c>
    </row>
    <row r="2918" spans="10:11" x14ac:dyDescent="0.25">
      <c r="J2918" s="29" t="s">
        <v>6112</v>
      </c>
      <c r="K2918" s="29">
        <v>10610</v>
      </c>
    </row>
    <row r="2919" spans="10:11" x14ac:dyDescent="0.25">
      <c r="J2919" s="29" t="s">
        <v>6113</v>
      </c>
      <c r="K2919" s="29">
        <v>10610</v>
      </c>
    </row>
    <row r="2920" spans="10:11" x14ac:dyDescent="0.25">
      <c r="J2920" s="29" t="s">
        <v>6114</v>
      </c>
      <c r="K2920" s="29">
        <v>10610</v>
      </c>
    </row>
    <row r="2921" spans="10:11" x14ac:dyDescent="0.25">
      <c r="J2921" s="29" t="s">
        <v>6115</v>
      </c>
      <c r="K2921" s="29">
        <v>73250</v>
      </c>
    </row>
    <row r="2922" spans="10:11" x14ac:dyDescent="0.25">
      <c r="J2922" s="29" t="s">
        <v>6116</v>
      </c>
      <c r="K2922" s="29">
        <v>73250</v>
      </c>
    </row>
    <row r="2923" spans="10:11" x14ac:dyDescent="0.25">
      <c r="J2923" s="29" t="s">
        <v>6117</v>
      </c>
      <c r="K2923" s="29">
        <v>73250</v>
      </c>
    </row>
    <row r="2924" spans="10:11" x14ac:dyDescent="0.25">
      <c r="J2924" s="29" t="s">
        <v>6118</v>
      </c>
      <c r="K2924" s="29">
        <v>24349</v>
      </c>
    </row>
    <row r="2925" spans="10:11" x14ac:dyDescent="0.25">
      <c r="J2925" s="29" t="s">
        <v>6119</v>
      </c>
      <c r="K2925" s="29">
        <v>33129</v>
      </c>
    </row>
    <row r="2926" spans="10:11" x14ac:dyDescent="0.25">
      <c r="J2926" s="29" t="s">
        <v>6120</v>
      </c>
      <c r="K2926" s="29">
        <v>33129</v>
      </c>
    </row>
    <row r="2927" spans="10:11" x14ac:dyDescent="0.25">
      <c r="J2927" s="29" t="s">
        <v>6121</v>
      </c>
      <c r="K2927" s="29">
        <v>33129</v>
      </c>
    </row>
    <row r="2928" spans="10:11" x14ac:dyDescent="0.25">
      <c r="J2928" s="29" t="s">
        <v>6122</v>
      </c>
      <c r="K2928" s="29">
        <v>33129</v>
      </c>
    </row>
    <row r="2929" spans="10:11" x14ac:dyDescent="0.25">
      <c r="J2929" s="29" t="s">
        <v>6123</v>
      </c>
      <c r="K2929" s="29">
        <v>33129</v>
      </c>
    </row>
    <row r="2930" spans="10:11" x14ac:dyDescent="0.25">
      <c r="J2930" s="29" t="s">
        <v>6124</v>
      </c>
      <c r="K2930" s="29">
        <v>33129</v>
      </c>
    </row>
    <row r="2931" spans="10:11" x14ac:dyDescent="0.25">
      <c r="J2931" s="29" t="s">
        <v>6125</v>
      </c>
      <c r="K2931" s="29">
        <v>33129</v>
      </c>
    </row>
    <row r="2932" spans="10:11" x14ac:dyDescent="0.25">
      <c r="J2932" s="29" t="s">
        <v>6126</v>
      </c>
      <c r="K2932" s="29">
        <v>33129</v>
      </c>
    </row>
    <row r="2933" spans="10:11" x14ac:dyDescent="0.25">
      <c r="J2933" s="29" t="s">
        <v>6127</v>
      </c>
      <c r="K2933" s="29">
        <v>37381</v>
      </c>
    </row>
    <row r="2934" spans="10:11" x14ac:dyDescent="0.25">
      <c r="J2934" s="29" t="s">
        <v>6128</v>
      </c>
      <c r="K2934" s="29">
        <v>37381</v>
      </c>
    </row>
    <row r="2935" spans="10:11" x14ac:dyDescent="0.25">
      <c r="J2935" s="29" t="s">
        <v>6129</v>
      </c>
      <c r="K2935" s="29">
        <v>62311</v>
      </c>
    </row>
    <row r="2936" spans="10:11" x14ac:dyDescent="0.25">
      <c r="J2936" s="29" t="s">
        <v>6130</v>
      </c>
      <c r="K2936" s="29">
        <v>61463</v>
      </c>
    </row>
    <row r="2937" spans="10:11" x14ac:dyDescent="0.25">
      <c r="J2937" s="29" t="s">
        <v>3863</v>
      </c>
      <c r="K2937" s="29">
        <v>61463</v>
      </c>
    </row>
    <row r="2938" spans="10:11" x14ac:dyDescent="0.25">
      <c r="J2938" s="29" t="s">
        <v>6131</v>
      </c>
      <c r="K2938" s="29">
        <v>61463</v>
      </c>
    </row>
    <row r="2939" spans="10:11" x14ac:dyDescent="0.25">
      <c r="J2939" s="29" t="s">
        <v>6132</v>
      </c>
      <c r="K2939" s="29">
        <v>61463</v>
      </c>
    </row>
    <row r="2940" spans="10:11" x14ac:dyDescent="0.25">
      <c r="J2940" s="29" t="s">
        <v>6133</v>
      </c>
      <c r="K2940" s="29">
        <v>61463</v>
      </c>
    </row>
    <row r="2941" spans="10:11" x14ac:dyDescent="0.25">
      <c r="J2941" s="29" t="s">
        <v>6134</v>
      </c>
      <c r="K2941" s="29">
        <v>61463</v>
      </c>
    </row>
    <row r="2942" spans="10:11" x14ac:dyDescent="0.25">
      <c r="J2942" s="29" t="s">
        <v>6135</v>
      </c>
      <c r="K2942" s="29">
        <v>61463</v>
      </c>
    </row>
    <row r="2943" spans="10:11" x14ac:dyDescent="0.25">
      <c r="J2943" s="29" t="s">
        <v>6136</v>
      </c>
      <c r="K2943" s="29">
        <v>23341</v>
      </c>
    </row>
    <row r="2944" spans="10:11" x14ac:dyDescent="0.25">
      <c r="J2944" s="29" t="s">
        <v>6137</v>
      </c>
      <c r="K2944" s="29">
        <v>55141</v>
      </c>
    </row>
    <row r="2945" spans="10:11" x14ac:dyDescent="0.25">
      <c r="J2945" s="29" t="s">
        <v>6138</v>
      </c>
      <c r="K2945" s="29">
        <v>55141</v>
      </c>
    </row>
    <row r="2946" spans="10:11" x14ac:dyDescent="0.25">
      <c r="J2946" s="29" t="s">
        <v>6139</v>
      </c>
      <c r="K2946" s="29">
        <v>35277</v>
      </c>
    </row>
    <row r="2947" spans="10:11" x14ac:dyDescent="0.25">
      <c r="J2947" s="29" t="s">
        <v>6140</v>
      </c>
      <c r="K2947" s="29">
        <v>35277</v>
      </c>
    </row>
    <row r="2948" spans="10:11" x14ac:dyDescent="0.25">
      <c r="J2948" s="29" t="s">
        <v>6141</v>
      </c>
      <c r="K2948" s="29">
        <v>35277</v>
      </c>
    </row>
    <row r="2949" spans="10:11" x14ac:dyDescent="0.25">
      <c r="J2949" s="29" t="s">
        <v>6142</v>
      </c>
      <c r="K2949" s="29">
        <v>35277</v>
      </c>
    </row>
    <row r="2950" spans="10:11" x14ac:dyDescent="0.25">
      <c r="J2950" s="29" t="s">
        <v>6143</v>
      </c>
      <c r="K2950" s="29">
        <v>35277</v>
      </c>
    </row>
    <row r="2951" spans="10:11" x14ac:dyDescent="0.25">
      <c r="J2951" s="29" t="s">
        <v>6144</v>
      </c>
      <c r="K2951" s="29">
        <v>35277</v>
      </c>
    </row>
    <row r="2952" spans="10:11" x14ac:dyDescent="0.25">
      <c r="J2952" s="29" t="s">
        <v>6145</v>
      </c>
      <c r="K2952" s="29">
        <v>35277</v>
      </c>
    </row>
    <row r="2953" spans="10:11" x14ac:dyDescent="0.25">
      <c r="J2953" s="29" t="s">
        <v>6146</v>
      </c>
      <c r="K2953" s="29">
        <v>35277</v>
      </c>
    </row>
    <row r="2954" spans="10:11" x14ac:dyDescent="0.25">
      <c r="J2954" s="29" t="s">
        <v>6147</v>
      </c>
      <c r="K2954" s="29">
        <v>35277</v>
      </c>
    </row>
    <row r="2955" spans="10:11" x14ac:dyDescent="0.25">
      <c r="J2955" s="29" t="s">
        <v>6148</v>
      </c>
      <c r="K2955" s="29">
        <v>35277</v>
      </c>
    </row>
    <row r="2956" spans="10:11" x14ac:dyDescent="0.25">
      <c r="J2956" s="29" t="s">
        <v>6149</v>
      </c>
      <c r="K2956" s="29">
        <v>35277</v>
      </c>
    </row>
    <row r="2957" spans="10:11" x14ac:dyDescent="0.25">
      <c r="J2957" s="29" t="s">
        <v>6150</v>
      </c>
      <c r="K2957" s="29">
        <v>35277</v>
      </c>
    </row>
    <row r="2958" spans="10:11" x14ac:dyDescent="0.25">
      <c r="J2958" s="29" t="s">
        <v>3833</v>
      </c>
      <c r="K2958" s="29">
        <v>62245</v>
      </c>
    </row>
    <row r="2959" spans="10:11" x14ac:dyDescent="0.25">
      <c r="J2959" s="29" t="s">
        <v>6151</v>
      </c>
      <c r="K2959" s="29">
        <v>62245</v>
      </c>
    </row>
    <row r="2960" spans="10:11" x14ac:dyDescent="0.25">
      <c r="J2960" s="29" t="s">
        <v>6152</v>
      </c>
      <c r="K2960" s="29">
        <v>54114</v>
      </c>
    </row>
    <row r="2961" spans="10:11" x14ac:dyDescent="0.25">
      <c r="J2961" s="29" t="s">
        <v>6153</v>
      </c>
      <c r="K2961" s="29">
        <v>35351</v>
      </c>
    </row>
    <row r="2962" spans="10:11" x14ac:dyDescent="0.25">
      <c r="J2962" s="29" t="s">
        <v>6154</v>
      </c>
      <c r="K2962" s="29">
        <v>35351</v>
      </c>
    </row>
    <row r="2963" spans="10:11" x14ac:dyDescent="0.25">
      <c r="J2963" s="29" t="s">
        <v>6155</v>
      </c>
      <c r="K2963" s="29">
        <v>35351</v>
      </c>
    </row>
    <row r="2964" spans="10:11" x14ac:dyDescent="0.25">
      <c r="J2964" s="29" t="s">
        <v>6156</v>
      </c>
      <c r="K2964" s="29">
        <v>35351</v>
      </c>
    </row>
    <row r="2965" spans="10:11" x14ac:dyDescent="0.25">
      <c r="J2965" s="29" t="s">
        <v>6157</v>
      </c>
      <c r="K2965" s="29">
        <v>35351</v>
      </c>
    </row>
    <row r="2966" spans="10:11" x14ac:dyDescent="0.25">
      <c r="J2966" s="29" t="s">
        <v>6158</v>
      </c>
      <c r="K2966" s="29">
        <v>26218</v>
      </c>
    </row>
    <row r="2967" spans="10:11" x14ac:dyDescent="0.25">
      <c r="J2967" s="29" t="s">
        <v>6159</v>
      </c>
      <c r="K2967" s="29">
        <v>37325</v>
      </c>
    </row>
    <row r="2968" spans="10:11" x14ac:dyDescent="0.25">
      <c r="J2968" s="29" t="s">
        <v>6160</v>
      </c>
      <c r="K2968" s="29">
        <v>37325</v>
      </c>
    </row>
    <row r="2969" spans="10:11" x14ac:dyDescent="0.25">
      <c r="J2969" s="29" t="s">
        <v>6161</v>
      </c>
      <c r="K2969" s="29">
        <v>10250</v>
      </c>
    </row>
    <row r="2970" spans="10:11" x14ac:dyDescent="0.25">
      <c r="J2970" s="29" t="s">
        <v>6162</v>
      </c>
      <c r="K2970" s="29">
        <v>10250</v>
      </c>
    </row>
    <row r="2971" spans="10:11" x14ac:dyDescent="0.25">
      <c r="J2971" s="29" t="s">
        <v>6163</v>
      </c>
      <c r="K2971" s="29">
        <v>10250</v>
      </c>
    </row>
    <row r="2972" spans="10:11" x14ac:dyDescent="0.25">
      <c r="J2972" s="29" t="s">
        <v>6164</v>
      </c>
      <c r="K2972" s="29">
        <v>10250</v>
      </c>
    </row>
    <row r="2973" spans="10:11" x14ac:dyDescent="0.25">
      <c r="J2973" s="29" t="s">
        <v>6165</v>
      </c>
      <c r="K2973" s="29">
        <v>10250</v>
      </c>
    </row>
    <row r="2974" spans="10:11" x14ac:dyDescent="0.25">
      <c r="J2974" s="29" t="s">
        <v>6166</v>
      </c>
      <c r="K2974" s="29">
        <v>31186</v>
      </c>
    </row>
    <row r="2975" spans="10:11" x14ac:dyDescent="0.25">
      <c r="J2975" s="29" t="s">
        <v>6167</v>
      </c>
      <c r="K2975" s="29">
        <v>31186</v>
      </c>
    </row>
    <row r="2976" spans="10:11" x14ac:dyDescent="0.25">
      <c r="J2976" s="29" t="s">
        <v>6168</v>
      </c>
      <c r="K2976" s="29">
        <v>31186</v>
      </c>
    </row>
    <row r="2977" spans="10:11" x14ac:dyDescent="0.25">
      <c r="J2977" s="29" t="s">
        <v>6169</v>
      </c>
      <c r="K2977" s="29">
        <v>31186</v>
      </c>
    </row>
    <row r="2978" spans="10:11" x14ac:dyDescent="0.25">
      <c r="J2978" s="29" t="s">
        <v>6170</v>
      </c>
      <c r="K2978" s="29">
        <v>31186</v>
      </c>
    </row>
    <row r="2979" spans="10:11" x14ac:dyDescent="0.25">
      <c r="J2979" s="29" t="s">
        <v>6171</v>
      </c>
      <c r="K2979" s="29">
        <v>31171</v>
      </c>
    </row>
    <row r="2980" spans="10:11" x14ac:dyDescent="0.25">
      <c r="J2980" s="29" t="s">
        <v>6172</v>
      </c>
      <c r="K2980" s="29">
        <v>31171</v>
      </c>
    </row>
    <row r="2981" spans="10:11" x14ac:dyDescent="0.25">
      <c r="J2981" s="29" t="s">
        <v>6173</v>
      </c>
      <c r="K2981" s="29">
        <v>31176</v>
      </c>
    </row>
    <row r="2982" spans="10:11" x14ac:dyDescent="0.25">
      <c r="J2982" s="29" t="s">
        <v>6174</v>
      </c>
      <c r="K2982" s="29">
        <v>31176</v>
      </c>
    </row>
    <row r="2983" spans="10:11" x14ac:dyDescent="0.25">
      <c r="J2983" s="29" t="s">
        <v>6175</v>
      </c>
      <c r="K2983" s="29">
        <v>31176</v>
      </c>
    </row>
    <row r="2984" spans="10:11" x14ac:dyDescent="0.25">
      <c r="J2984" s="29" t="s">
        <v>6176</v>
      </c>
      <c r="K2984" s="29">
        <v>31176</v>
      </c>
    </row>
    <row r="2985" spans="10:11" x14ac:dyDescent="0.25">
      <c r="J2985" s="29" t="s">
        <v>6177</v>
      </c>
      <c r="K2985" s="29">
        <v>31176</v>
      </c>
    </row>
    <row r="2986" spans="10:11" x14ac:dyDescent="0.25">
      <c r="J2986" s="29" t="s">
        <v>6178</v>
      </c>
      <c r="K2986" s="29">
        <v>31176</v>
      </c>
    </row>
    <row r="2987" spans="10:11" x14ac:dyDescent="0.25">
      <c r="J2987" s="29" t="s">
        <v>6179</v>
      </c>
      <c r="K2987" s="29">
        <v>31176</v>
      </c>
    </row>
    <row r="2988" spans="10:11" x14ac:dyDescent="0.25">
      <c r="J2988" s="29" t="s">
        <v>6180</v>
      </c>
      <c r="K2988" s="29">
        <v>31181</v>
      </c>
    </row>
    <row r="2989" spans="10:11" x14ac:dyDescent="0.25">
      <c r="J2989" s="29" t="s">
        <v>6181</v>
      </c>
      <c r="K2989" s="29">
        <v>31181</v>
      </c>
    </row>
    <row r="2990" spans="10:11" x14ac:dyDescent="0.25">
      <c r="J2990" s="29" t="s">
        <v>6182</v>
      </c>
      <c r="K2990" s="29">
        <v>31181</v>
      </c>
    </row>
    <row r="2991" spans="10:11" x14ac:dyDescent="0.25">
      <c r="J2991" s="29" t="s">
        <v>6183</v>
      </c>
      <c r="K2991" s="29">
        <v>31181</v>
      </c>
    </row>
    <row r="2992" spans="10:11" x14ac:dyDescent="0.25">
      <c r="J2992" s="29" t="s">
        <v>6184</v>
      </c>
      <c r="K2992" s="29">
        <v>31181</v>
      </c>
    </row>
    <row r="2993" spans="10:11" x14ac:dyDescent="0.25">
      <c r="J2993" s="29" t="s">
        <v>6185</v>
      </c>
      <c r="K2993" s="29">
        <v>31181</v>
      </c>
    </row>
    <row r="2994" spans="10:11" x14ac:dyDescent="0.25">
      <c r="J2994" s="29" t="s">
        <v>6186</v>
      </c>
      <c r="K2994" s="29">
        <v>37271</v>
      </c>
    </row>
    <row r="2995" spans="10:11" x14ac:dyDescent="0.25">
      <c r="J2995" s="29" t="s">
        <v>6187</v>
      </c>
      <c r="K2995" s="29">
        <v>37271</v>
      </c>
    </row>
    <row r="2996" spans="10:11" x14ac:dyDescent="0.25">
      <c r="J2996" s="29" t="s">
        <v>6188</v>
      </c>
      <c r="K2996" s="29">
        <v>37271</v>
      </c>
    </row>
    <row r="2997" spans="10:11" x14ac:dyDescent="0.25">
      <c r="J2997" s="29" t="s">
        <v>6189</v>
      </c>
      <c r="K2997" s="29">
        <v>37271</v>
      </c>
    </row>
    <row r="2998" spans="10:11" x14ac:dyDescent="0.25">
      <c r="J2998" s="29" t="s">
        <v>6190</v>
      </c>
      <c r="K2998" s="29">
        <v>37271</v>
      </c>
    </row>
    <row r="2999" spans="10:11" x14ac:dyDescent="0.25">
      <c r="J2999" s="29" t="s">
        <v>6191</v>
      </c>
      <c r="K2999" s="29">
        <v>37271</v>
      </c>
    </row>
    <row r="3000" spans="10:11" x14ac:dyDescent="0.25">
      <c r="J3000" s="29" t="s">
        <v>6192</v>
      </c>
      <c r="K3000" s="29">
        <v>37271</v>
      </c>
    </row>
    <row r="3001" spans="10:11" x14ac:dyDescent="0.25">
      <c r="J3001" s="29" t="s">
        <v>6193</v>
      </c>
      <c r="K3001" s="29">
        <v>37271</v>
      </c>
    </row>
    <row r="3002" spans="10:11" x14ac:dyDescent="0.25">
      <c r="J3002" s="29" t="s">
        <v>6194</v>
      </c>
      <c r="K3002" s="29">
        <v>37271</v>
      </c>
    </row>
    <row r="3003" spans="10:11" x14ac:dyDescent="0.25">
      <c r="J3003" s="29" t="s">
        <v>6195</v>
      </c>
      <c r="K3003" s="29">
        <v>37271</v>
      </c>
    </row>
    <row r="3004" spans="10:11" x14ac:dyDescent="0.25">
      <c r="J3004" s="29" t="s">
        <v>6196</v>
      </c>
      <c r="K3004" s="29">
        <v>37271</v>
      </c>
    </row>
    <row r="3005" spans="10:11" x14ac:dyDescent="0.25">
      <c r="J3005" s="29" t="s">
        <v>6197</v>
      </c>
      <c r="K3005" s="29">
        <v>37271</v>
      </c>
    </row>
    <row r="3006" spans="10:11" x14ac:dyDescent="0.25">
      <c r="J3006" s="29" t="s">
        <v>6198</v>
      </c>
      <c r="K3006" s="29">
        <v>37271</v>
      </c>
    </row>
    <row r="3007" spans="10:11" x14ac:dyDescent="0.25">
      <c r="J3007" s="29" t="s">
        <v>6199</v>
      </c>
      <c r="K3007" s="29">
        <v>37271</v>
      </c>
    </row>
    <row r="3008" spans="10:11" x14ac:dyDescent="0.25">
      <c r="J3008" s="29" t="s">
        <v>6200</v>
      </c>
      <c r="K3008" s="29">
        <v>37271</v>
      </c>
    </row>
    <row r="3009" spans="10:11" x14ac:dyDescent="0.25">
      <c r="J3009" s="29" t="s">
        <v>6201</v>
      </c>
      <c r="K3009" s="29">
        <v>35129</v>
      </c>
    </row>
    <row r="3010" spans="10:11" x14ac:dyDescent="0.25">
      <c r="J3010" s="29" t="s">
        <v>6202</v>
      </c>
      <c r="K3010" s="29">
        <v>35129</v>
      </c>
    </row>
    <row r="3011" spans="10:11" x14ac:dyDescent="0.25">
      <c r="J3011" s="29" t="s">
        <v>6203</v>
      </c>
      <c r="K3011" s="29">
        <v>35129</v>
      </c>
    </row>
    <row r="3012" spans="10:11" x14ac:dyDescent="0.25">
      <c r="J3012" s="29" t="s">
        <v>6204</v>
      </c>
      <c r="K3012" s="29">
        <v>35129</v>
      </c>
    </row>
    <row r="3013" spans="10:11" x14ac:dyDescent="0.25">
      <c r="J3013" s="29" t="s">
        <v>6205</v>
      </c>
      <c r="K3013" s="29">
        <v>35129</v>
      </c>
    </row>
    <row r="3014" spans="10:11" x14ac:dyDescent="0.25">
      <c r="J3014" s="29" t="s">
        <v>6206</v>
      </c>
      <c r="K3014" s="29">
        <v>33271</v>
      </c>
    </row>
    <row r="3015" spans="10:11" x14ac:dyDescent="0.25">
      <c r="J3015" s="29" t="s">
        <v>6207</v>
      </c>
      <c r="K3015" s="29">
        <v>33271</v>
      </c>
    </row>
    <row r="3016" spans="10:11" x14ac:dyDescent="0.25">
      <c r="J3016" s="29" t="s">
        <v>6208</v>
      </c>
      <c r="K3016" s="29">
        <v>33271</v>
      </c>
    </row>
    <row r="3017" spans="10:11" x14ac:dyDescent="0.25">
      <c r="J3017" s="29" t="s">
        <v>6209</v>
      </c>
      <c r="K3017" s="29">
        <v>61183</v>
      </c>
    </row>
    <row r="3018" spans="10:11" x14ac:dyDescent="0.25">
      <c r="J3018" s="29" t="s">
        <v>6210</v>
      </c>
      <c r="K3018" s="29">
        <v>61183</v>
      </c>
    </row>
    <row r="3019" spans="10:11" x14ac:dyDescent="0.25">
      <c r="J3019" s="29" t="s">
        <v>6211</v>
      </c>
      <c r="K3019" s="29">
        <v>61183</v>
      </c>
    </row>
    <row r="3020" spans="10:11" x14ac:dyDescent="0.25">
      <c r="J3020" s="29" t="s">
        <v>6212</v>
      </c>
      <c r="K3020" s="29">
        <v>61183</v>
      </c>
    </row>
    <row r="3021" spans="10:11" x14ac:dyDescent="0.25">
      <c r="J3021" s="29" t="s">
        <v>6213</v>
      </c>
      <c r="K3021" s="29">
        <v>61183</v>
      </c>
    </row>
    <row r="3022" spans="10:11" x14ac:dyDescent="0.25">
      <c r="J3022" s="29" t="s">
        <v>6214</v>
      </c>
      <c r="K3022" s="29">
        <v>61183</v>
      </c>
    </row>
    <row r="3023" spans="10:11" x14ac:dyDescent="0.25">
      <c r="J3023" s="29" t="s">
        <v>6215</v>
      </c>
      <c r="K3023" s="29">
        <v>33251</v>
      </c>
    </row>
    <row r="3024" spans="10:11" x14ac:dyDescent="0.25">
      <c r="J3024" s="29" t="s">
        <v>6216</v>
      </c>
      <c r="K3024" s="29">
        <v>63254</v>
      </c>
    </row>
    <row r="3025" spans="10:11" x14ac:dyDescent="0.25">
      <c r="J3025" s="29" t="s">
        <v>6217</v>
      </c>
      <c r="K3025" s="29">
        <v>22279</v>
      </c>
    </row>
    <row r="3026" spans="10:11" x14ac:dyDescent="0.25">
      <c r="J3026" s="29" t="s">
        <v>6218</v>
      </c>
      <c r="K3026" s="29">
        <v>22279</v>
      </c>
    </row>
    <row r="3027" spans="10:11" x14ac:dyDescent="0.25">
      <c r="J3027" s="29" t="s">
        <v>6219</v>
      </c>
      <c r="K3027" s="29">
        <v>23611</v>
      </c>
    </row>
    <row r="3028" spans="10:11" x14ac:dyDescent="0.25">
      <c r="J3028" s="29" t="s">
        <v>6220</v>
      </c>
      <c r="K3028" s="29">
        <v>35414</v>
      </c>
    </row>
    <row r="3029" spans="10:11" x14ac:dyDescent="0.25">
      <c r="J3029" s="29" t="s">
        <v>6221</v>
      </c>
      <c r="K3029" s="29">
        <v>26177</v>
      </c>
    </row>
    <row r="3030" spans="10:11" x14ac:dyDescent="0.25">
      <c r="J3030" s="29" t="s">
        <v>6222</v>
      </c>
      <c r="K3030" s="29">
        <v>35261</v>
      </c>
    </row>
    <row r="3031" spans="10:11" x14ac:dyDescent="0.25">
      <c r="J3031" s="29" t="s">
        <v>6223</v>
      </c>
      <c r="K3031" s="29">
        <v>25367</v>
      </c>
    </row>
    <row r="3032" spans="10:11" x14ac:dyDescent="0.25">
      <c r="J3032" s="29" t="s">
        <v>6224</v>
      </c>
      <c r="K3032" s="29">
        <v>37351</v>
      </c>
    </row>
    <row r="3033" spans="10:11" x14ac:dyDescent="0.25">
      <c r="J3033" s="29" t="s">
        <v>6225</v>
      </c>
      <c r="K3033" s="29">
        <v>51241</v>
      </c>
    </row>
    <row r="3034" spans="10:11" x14ac:dyDescent="0.25">
      <c r="J3034" s="29" t="s">
        <v>6226</v>
      </c>
      <c r="K3034" s="29">
        <v>51241</v>
      </c>
    </row>
    <row r="3035" spans="10:11" x14ac:dyDescent="0.25">
      <c r="J3035" s="29" t="s">
        <v>6227</v>
      </c>
      <c r="K3035" s="29">
        <v>23659</v>
      </c>
    </row>
    <row r="3036" spans="10:11" x14ac:dyDescent="0.25">
      <c r="J3036" s="29" t="s">
        <v>6228</v>
      </c>
      <c r="K3036" s="29">
        <v>22733</v>
      </c>
    </row>
    <row r="3037" spans="10:11" x14ac:dyDescent="0.25">
      <c r="J3037" s="29" t="s">
        <v>6229</v>
      </c>
      <c r="K3037" s="29">
        <v>22733</v>
      </c>
    </row>
    <row r="3038" spans="10:11" x14ac:dyDescent="0.25">
      <c r="J3038" s="29" t="s">
        <v>6230</v>
      </c>
      <c r="K3038" s="29">
        <v>10210</v>
      </c>
    </row>
    <row r="3039" spans="10:11" x14ac:dyDescent="0.25">
      <c r="J3039" s="29" t="s">
        <v>6231</v>
      </c>
      <c r="K3039" s="29">
        <v>10210</v>
      </c>
    </row>
    <row r="3040" spans="10:11" x14ac:dyDescent="0.25">
      <c r="J3040" s="29" t="s">
        <v>6232</v>
      </c>
      <c r="K3040" s="29">
        <v>10210</v>
      </c>
    </row>
    <row r="3041" spans="10:11" x14ac:dyDescent="0.25">
      <c r="J3041" s="29" t="s">
        <v>6233</v>
      </c>
      <c r="K3041" s="29">
        <v>10210</v>
      </c>
    </row>
    <row r="3042" spans="10:11" x14ac:dyDescent="0.25">
      <c r="J3042" s="29" t="s">
        <v>6234</v>
      </c>
      <c r="K3042" s="29">
        <v>10210</v>
      </c>
    </row>
    <row r="3043" spans="10:11" x14ac:dyDescent="0.25">
      <c r="J3043" s="29" t="s">
        <v>6235</v>
      </c>
      <c r="K3043" s="29">
        <v>10210</v>
      </c>
    </row>
    <row r="3044" spans="10:11" x14ac:dyDescent="0.25">
      <c r="J3044" s="29" t="s">
        <v>6236</v>
      </c>
      <c r="K3044" s="29">
        <v>10210</v>
      </c>
    </row>
    <row r="3045" spans="10:11" x14ac:dyDescent="0.25">
      <c r="J3045" s="29" t="s">
        <v>6237</v>
      </c>
      <c r="K3045" s="29">
        <v>10210</v>
      </c>
    </row>
    <row r="3046" spans="10:11" x14ac:dyDescent="0.25">
      <c r="J3046" s="29" t="s">
        <v>6238</v>
      </c>
      <c r="K3046" s="29">
        <v>10210</v>
      </c>
    </row>
    <row r="3047" spans="10:11" x14ac:dyDescent="0.25">
      <c r="J3047" s="29" t="s">
        <v>6239</v>
      </c>
      <c r="K3047" s="29">
        <v>10210</v>
      </c>
    </row>
    <row r="3048" spans="10:11" x14ac:dyDescent="0.25">
      <c r="J3048" s="29" t="s">
        <v>6240</v>
      </c>
      <c r="K3048" s="29">
        <v>10210</v>
      </c>
    </row>
    <row r="3049" spans="10:11" x14ac:dyDescent="0.25">
      <c r="J3049" s="29" t="s">
        <v>6241</v>
      </c>
      <c r="K3049" s="29">
        <v>10210</v>
      </c>
    </row>
    <row r="3050" spans="10:11" x14ac:dyDescent="0.25">
      <c r="J3050" s="29" t="s">
        <v>6242</v>
      </c>
      <c r="K3050" s="29">
        <v>10210</v>
      </c>
    </row>
    <row r="3051" spans="10:11" x14ac:dyDescent="0.25">
      <c r="J3051" s="29" t="s">
        <v>6243</v>
      </c>
      <c r="K3051" s="29">
        <v>10210</v>
      </c>
    </row>
    <row r="3052" spans="10:11" x14ac:dyDescent="0.25">
      <c r="J3052" s="29" t="s">
        <v>6244</v>
      </c>
      <c r="K3052" s="29">
        <v>10210</v>
      </c>
    </row>
    <row r="3053" spans="10:11" x14ac:dyDescent="0.25">
      <c r="J3053" s="29" t="s">
        <v>6245</v>
      </c>
      <c r="K3053" s="29">
        <v>10210</v>
      </c>
    </row>
    <row r="3054" spans="10:11" x14ac:dyDescent="0.25">
      <c r="J3054" s="29" t="s">
        <v>6246</v>
      </c>
      <c r="K3054" s="29">
        <v>10210</v>
      </c>
    </row>
    <row r="3055" spans="10:11" x14ac:dyDescent="0.25">
      <c r="J3055" s="29" t="s">
        <v>6247</v>
      </c>
      <c r="K3055" s="29">
        <v>10210</v>
      </c>
    </row>
    <row r="3056" spans="10:11" x14ac:dyDescent="0.25">
      <c r="J3056" s="29" t="s">
        <v>6248</v>
      </c>
      <c r="K3056" s="29">
        <v>10210</v>
      </c>
    </row>
    <row r="3057" spans="10:11" x14ac:dyDescent="0.25">
      <c r="J3057" s="29" t="s">
        <v>6249</v>
      </c>
      <c r="K3057" s="29">
        <v>10210</v>
      </c>
    </row>
    <row r="3058" spans="10:11" x14ac:dyDescent="0.25">
      <c r="J3058" s="29" t="s">
        <v>6250</v>
      </c>
      <c r="K3058" s="29">
        <v>10210</v>
      </c>
    </row>
    <row r="3059" spans="10:11" x14ac:dyDescent="0.25">
      <c r="J3059" s="29" t="s">
        <v>6251</v>
      </c>
      <c r="K3059" s="29">
        <v>10210</v>
      </c>
    </row>
    <row r="3060" spans="10:11" x14ac:dyDescent="0.25">
      <c r="J3060" s="29" t="s">
        <v>6252</v>
      </c>
      <c r="K3060" s="29">
        <v>10210</v>
      </c>
    </row>
    <row r="3061" spans="10:11" x14ac:dyDescent="0.25">
      <c r="J3061" s="29" t="s">
        <v>6253</v>
      </c>
      <c r="K3061" s="29">
        <v>10210</v>
      </c>
    </row>
    <row r="3062" spans="10:11" x14ac:dyDescent="0.25">
      <c r="J3062" s="29" t="s">
        <v>6254</v>
      </c>
      <c r="K3062" s="29">
        <v>22711</v>
      </c>
    </row>
    <row r="3063" spans="10:11" x14ac:dyDescent="0.25">
      <c r="J3063" s="29" t="s">
        <v>6255</v>
      </c>
      <c r="K3063" s="29">
        <v>22711</v>
      </c>
    </row>
    <row r="3064" spans="10:11" x14ac:dyDescent="0.25">
      <c r="J3064" s="29" t="s">
        <v>6256</v>
      </c>
      <c r="K3064" s="29">
        <v>22711</v>
      </c>
    </row>
    <row r="3065" spans="10:11" x14ac:dyDescent="0.25">
      <c r="J3065" s="29" t="s">
        <v>6257</v>
      </c>
      <c r="K3065" s="29">
        <v>22711</v>
      </c>
    </row>
    <row r="3066" spans="10:11" x14ac:dyDescent="0.25">
      <c r="J3066" s="29" t="s">
        <v>6258</v>
      </c>
      <c r="K3066" s="29">
        <v>22447</v>
      </c>
    </row>
    <row r="3067" spans="10:11" x14ac:dyDescent="0.25">
      <c r="J3067" s="29" t="s">
        <v>6259</v>
      </c>
      <c r="K3067" s="29">
        <v>23365</v>
      </c>
    </row>
    <row r="3068" spans="10:11" x14ac:dyDescent="0.25">
      <c r="J3068" s="29" t="s">
        <v>6260</v>
      </c>
      <c r="K3068" s="29">
        <v>51271</v>
      </c>
    </row>
    <row r="3069" spans="10:11" x14ac:dyDescent="0.25">
      <c r="J3069" s="29" t="s">
        <v>6261</v>
      </c>
      <c r="K3069" s="29">
        <v>23141</v>
      </c>
    </row>
    <row r="3070" spans="10:11" x14ac:dyDescent="0.25">
      <c r="J3070" s="29" t="s">
        <v>6262</v>
      </c>
      <c r="K3070" s="29">
        <v>23141</v>
      </c>
    </row>
    <row r="3071" spans="10:11" x14ac:dyDescent="0.25">
      <c r="J3071" s="29" t="s">
        <v>6263</v>
      </c>
      <c r="K3071" s="29">
        <v>23141</v>
      </c>
    </row>
    <row r="3072" spans="10:11" x14ac:dyDescent="0.25">
      <c r="J3072" s="29" t="s">
        <v>6264</v>
      </c>
      <c r="K3072" s="29">
        <v>23141</v>
      </c>
    </row>
    <row r="3073" spans="10:11" x14ac:dyDescent="0.25">
      <c r="J3073" s="29" t="s">
        <v>6265</v>
      </c>
      <c r="K3073" s="29">
        <v>23141</v>
      </c>
    </row>
    <row r="3074" spans="10:11" x14ac:dyDescent="0.25">
      <c r="J3074" s="29" t="s">
        <v>6266</v>
      </c>
      <c r="K3074" s="29">
        <v>23141</v>
      </c>
    </row>
    <row r="3075" spans="10:11" x14ac:dyDescent="0.25">
      <c r="J3075" s="29" t="s">
        <v>6267</v>
      </c>
      <c r="K3075" s="29">
        <v>23141</v>
      </c>
    </row>
    <row r="3076" spans="10:11" x14ac:dyDescent="0.25">
      <c r="J3076" s="29" t="s">
        <v>6268</v>
      </c>
      <c r="K3076" s="29">
        <v>71111</v>
      </c>
    </row>
    <row r="3077" spans="10:11" x14ac:dyDescent="0.25">
      <c r="J3077" s="29" t="s">
        <v>6269</v>
      </c>
      <c r="K3077" s="29">
        <v>71111</v>
      </c>
    </row>
    <row r="3078" spans="10:11" x14ac:dyDescent="0.25">
      <c r="J3078" s="29" t="s">
        <v>6270</v>
      </c>
      <c r="K3078" s="29">
        <v>71111</v>
      </c>
    </row>
    <row r="3079" spans="10:11" x14ac:dyDescent="0.25">
      <c r="J3079" s="29" t="s">
        <v>6271</v>
      </c>
      <c r="K3079" s="29">
        <v>71111</v>
      </c>
    </row>
    <row r="3080" spans="10:11" x14ac:dyDescent="0.25">
      <c r="J3080" s="29" t="s">
        <v>6272</v>
      </c>
      <c r="K3080" s="29">
        <v>71111</v>
      </c>
    </row>
    <row r="3081" spans="10:11" x14ac:dyDescent="0.25">
      <c r="J3081" s="29" t="s">
        <v>6273</v>
      </c>
      <c r="K3081" s="29">
        <v>71111</v>
      </c>
    </row>
    <row r="3082" spans="10:11" x14ac:dyDescent="0.25">
      <c r="J3082" s="29" t="s">
        <v>6274</v>
      </c>
      <c r="K3082" s="29">
        <v>71111</v>
      </c>
    </row>
    <row r="3083" spans="10:11" x14ac:dyDescent="0.25">
      <c r="J3083" s="29" t="s">
        <v>6275</v>
      </c>
      <c r="K3083" s="29">
        <v>71111</v>
      </c>
    </row>
    <row r="3084" spans="10:11" x14ac:dyDescent="0.25">
      <c r="J3084" s="29" t="s">
        <v>6276</v>
      </c>
      <c r="K3084" s="29">
        <v>71111</v>
      </c>
    </row>
    <row r="3085" spans="10:11" x14ac:dyDescent="0.25">
      <c r="J3085" s="29" t="s">
        <v>6277</v>
      </c>
      <c r="K3085" s="29">
        <v>71111</v>
      </c>
    </row>
    <row r="3086" spans="10:11" x14ac:dyDescent="0.25">
      <c r="J3086" s="29" t="s">
        <v>6278</v>
      </c>
      <c r="K3086" s="29">
        <v>71111</v>
      </c>
    </row>
    <row r="3087" spans="10:11" x14ac:dyDescent="0.25">
      <c r="J3087" s="29" t="s">
        <v>6279</v>
      </c>
      <c r="K3087" s="29">
        <v>71111</v>
      </c>
    </row>
    <row r="3088" spans="10:11" x14ac:dyDescent="0.25">
      <c r="J3088" s="29" t="s">
        <v>6280</v>
      </c>
      <c r="K3088" s="29">
        <v>71111</v>
      </c>
    </row>
    <row r="3089" spans="10:11" x14ac:dyDescent="0.25">
      <c r="J3089" s="29" t="s">
        <v>6281</v>
      </c>
      <c r="K3089" s="29">
        <v>71111</v>
      </c>
    </row>
    <row r="3090" spans="10:11" x14ac:dyDescent="0.25">
      <c r="J3090" s="29" t="s">
        <v>6282</v>
      </c>
      <c r="K3090" s="29">
        <v>71111</v>
      </c>
    </row>
    <row r="3091" spans="10:11" x14ac:dyDescent="0.25">
      <c r="J3091" s="29" t="s">
        <v>6283</v>
      </c>
      <c r="K3091" s="29">
        <v>71111</v>
      </c>
    </row>
    <row r="3092" spans="10:11" x14ac:dyDescent="0.25">
      <c r="J3092" s="29" t="s">
        <v>6284</v>
      </c>
      <c r="K3092" s="29">
        <v>71111</v>
      </c>
    </row>
    <row r="3093" spans="10:11" x14ac:dyDescent="0.25">
      <c r="J3093" s="29" t="s">
        <v>6285</v>
      </c>
      <c r="K3093" s="29">
        <v>71111</v>
      </c>
    </row>
    <row r="3094" spans="10:11" x14ac:dyDescent="0.25">
      <c r="J3094" s="29" t="s">
        <v>6286</v>
      </c>
      <c r="K3094" s="29">
        <v>71111</v>
      </c>
    </row>
    <row r="3095" spans="10:11" x14ac:dyDescent="0.25">
      <c r="J3095" s="29" t="s">
        <v>6287</v>
      </c>
      <c r="K3095" s="29">
        <v>71111</v>
      </c>
    </row>
    <row r="3096" spans="10:11" x14ac:dyDescent="0.25">
      <c r="J3096" s="29" t="s">
        <v>6288</v>
      </c>
      <c r="K3096" s="29">
        <v>71113</v>
      </c>
    </row>
    <row r="3097" spans="10:11" x14ac:dyDescent="0.25">
      <c r="J3097" s="29" t="s">
        <v>6289</v>
      </c>
      <c r="K3097" s="29">
        <v>71113</v>
      </c>
    </row>
    <row r="3098" spans="10:11" x14ac:dyDescent="0.25">
      <c r="J3098" s="29" t="s">
        <v>6290</v>
      </c>
      <c r="K3098" s="29">
        <v>71113</v>
      </c>
    </row>
    <row r="3099" spans="10:11" x14ac:dyDescent="0.25">
      <c r="J3099" s="29" t="s">
        <v>6291</v>
      </c>
      <c r="K3099" s="29">
        <v>71113</v>
      </c>
    </row>
    <row r="3100" spans="10:11" x14ac:dyDescent="0.25">
      <c r="J3100" s="29" t="s">
        <v>6292</v>
      </c>
      <c r="K3100" s="29">
        <v>71113</v>
      </c>
    </row>
    <row r="3101" spans="10:11" x14ac:dyDescent="0.25">
      <c r="J3101" s="29" t="s">
        <v>6293</v>
      </c>
      <c r="K3101" s="29">
        <v>22443</v>
      </c>
    </row>
    <row r="3102" spans="10:11" x14ac:dyDescent="0.25">
      <c r="J3102" s="29" t="s">
        <v>6294</v>
      </c>
      <c r="K3102" s="29">
        <v>53271</v>
      </c>
    </row>
    <row r="3103" spans="10:11" x14ac:dyDescent="0.25">
      <c r="J3103" s="29" t="s">
        <v>6295</v>
      </c>
      <c r="K3103" s="29">
        <v>53445</v>
      </c>
    </row>
    <row r="3104" spans="10:11" x14ac:dyDescent="0.25">
      <c r="J3104" s="29" t="s">
        <v>6296</v>
      </c>
      <c r="K3104" s="29">
        <v>53445</v>
      </c>
    </row>
    <row r="3105" spans="10:11" x14ac:dyDescent="0.25">
      <c r="J3105" s="29" t="s">
        <v>6297</v>
      </c>
      <c r="K3105" s="29">
        <v>53445</v>
      </c>
    </row>
    <row r="3106" spans="10:11" x14ac:dyDescent="0.25">
      <c r="J3106" s="29" t="s">
        <v>6298</v>
      </c>
      <c r="K3106" s="29">
        <v>53445</v>
      </c>
    </row>
    <row r="3107" spans="10:11" x14ac:dyDescent="0.25">
      <c r="J3107" s="29" t="s">
        <v>6299</v>
      </c>
      <c r="K3107" s="29">
        <v>53224</v>
      </c>
    </row>
    <row r="3108" spans="10:11" x14ac:dyDescent="0.25">
      <c r="J3108" s="29" t="s">
        <v>6300</v>
      </c>
      <c r="K3108" s="29">
        <v>37261</v>
      </c>
    </row>
    <row r="3109" spans="10:11" x14ac:dyDescent="0.25">
      <c r="J3109" s="29" t="s">
        <v>6301</v>
      </c>
      <c r="K3109" s="29">
        <v>37261</v>
      </c>
    </row>
    <row r="3110" spans="10:11" x14ac:dyDescent="0.25">
      <c r="J3110" s="29" t="s">
        <v>6302</v>
      </c>
      <c r="K3110" s="29">
        <v>53143</v>
      </c>
    </row>
    <row r="3111" spans="10:11" x14ac:dyDescent="0.25">
      <c r="J3111" s="29" t="s">
        <v>6303</v>
      </c>
      <c r="K3111" s="29">
        <v>32191</v>
      </c>
    </row>
    <row r="3112" spans="10:11" x14ac:dyDescent="0.25">
      <c r="J3112" s="29" t="s">
        <v>6304</v>
      </c>
      <c r="K3112" s="29">
        <v>32191</v>
      </c>
    </row>
    <row r="3113" spans="10:11" x14ac:dyDescent="0.25">
      <c r="J3113" s="29" t="s">
        <v>6305</v>
      </c>
      <c r="K3113" s="29">
        <v>22335</v>
      </c>
    </row>
    <row r="3114" spans="10:11" x14ac:dyDescent="0.25">
      <c r="J3114" s="29" t="s">
        <v>6306</v>
      </c>
      <c r="K3114" s="29">
        <v>22335</v>
      </c>
    </row>
    <row r="3115" spans="10:11" x14ac:dyDescent="0.25">
      <c r="J3115" s="29" t="s">
        <v>6307</v>
      </c>
      <c r="K3115" s="29">
        <v>22335</v>
      </c>
    </row>
    <row r="3116" spans="10:11" x14ac:dyDescent="0.25">
      <c r="J3116" s="29" t="s">
        <v>6308</v>
      </c>
      <c r="K3116" s="29">
        <v>22335</v>
      </c>
    </row>
    <row r="3117" spans="10:11" x14ac:dyDescent="0.25">
      <c r="J3117" s="29" t="s">
        <v>6309</v>
      </c>
      <c r="K3117" s="29">
        <v>51354</v>
      </c>
    </row>
    <row r="3118" spans="10:11" x14ac:dyDescent="0.25">
      <c r="J3118" s="29" t="s">
        <v>6310</v>
      </c>
      <c r="K3118" s="29">
        <v>62257</v>
      </c>
    </row>
    <row r="3119" spans="10:11" x14ac:dyDescent="0.25">
      <c r="J3119" s="29" t="s">
        <v>6311</v>
      </c>
      <c r="K3119" s="29">
        <v>51177</v>
      </c>
    </row>
    <row r="3120" spans="10:11" x14ac:dyDescent="0.25">
      <c r="J3120" s="29" t="s">
        <v>6312</v>
      </c>
      <c r="K3120" s="29">
        <v>71327</v>
      </c>
    </row>
    <row r="3121" spans="10:11" x14ac:dyDescent="0.25">
      <c r="J3121" s="29" t="s">
        <v>6313</v>
      </c>
      <c r="K3121" s="29">
        <v>21267</v>
      </c>
    </row>
    <row r="3122" spans="10:11" x14ac:dyDescent="0.25">
      <c r="J3122" s="29" t="s">
        <v>6314</v>
      </c>
      <c r="K3122" s="29">
        <v>21259</v>
      </c>
    </row>
    <row r="3123" spans="10:11" x14ac:dyDescent="0.25">
      <c r="J3123" s="29" t="s">
        <v>3830</v>
      </c>
      <c r="K3123" s="29">
        <v>51189</v>
      </c>
    </row>
    <row r="3124" spans="10:11" x14ac:dyDescent="0.25">
      <c r="J3124" s="29" t="s">
        <v>6315</v>
      </c>
      <c r="K3124" s="29">
        <v>51189</v>
      </c>
    </row>
    <row r="3125" spans="10:11" x14ac:dyDescent="0.25">
      <c r="J3125" s="29" t="s">
        <v>6316</v>
      </c>
      <c r="K3125" s="29">
        <v>35455</v>
      </c>
    </row>
    <row r="3126" spans="10:11" x14ac:dyDescent="0.25">
      <c r="J3126" s="29" t="s">
        <v>6317</v>
      </c>
      <c r="K3126" s="29">
        <v>35364</v>
      </c>
    </row>
    <row r="3127" spans="10:11" x14ac:dyDescent="0.25">
      <c r="J3127" s="29" t="s">
        <v>6318</v>
      </c>
      <c r="K3127" s="29">
        <v>35364</v>
      </c>
    </row>
    <row r="3128" spans="10:11" x14ac:dyDescent="0.25">
      <c r="J3128" s="29" t="s">
        <v>6319</v>
      </c>
      <c r="K3128" s="29">
        <v>35364</v>
      </c>
    </row>
    <row r="3129" spans="10:11" x14ac:dyDescent="0.25">
      <c r="J3129" s="29" t="s">
        <v>6320</v>
      </c>
      <c r="K3129" s="29">
        <v>35364</v>
      </c>
    </row>
    <row r="3130" spans="10:11" x14ac:dyDescent="0.25">
      <c r="J3130" s="29" t="s">
        <v>6321</v>
      </c>
      <c r="K3130" s="29">
        <v>62218</v>
      </c>
    </row>
    <row r="3131" spans="10:11" x14ac:dyDescent="0.25">
      <c r="J3131" s="29" t="s">
        <v>6322</v>
      </c>
      <c r="K3131" s="29">
        <v>23331</v>
      </c>
    </row>
    <row r="3132" spans="10:11" x14ac:dyDescent="0.25">
      <c r="J3132" s="29" t="s">
        <v>6323</v>
      </c>
      <c r="K3132" s="29">
        <v>23463</v>
      </c>
    </row>
    <row r="3133" spans="10:11" x14ac:dyDescent="0.25">
      <c r="J3133" s="29" t="s">
        <v>6324</v>
      </c>
      <c r="K3133" s="29">
        <v>22731</v>
      </c>
    </row>
    <row r="3134" spans="10:11" x14ac:dyDescent="0.25">
      <c r="J3134" s="29" t="s">
        <v>3661</v>
      </c>
      <c r="K3134" s="29">
        <v>53241</v>
      </c>
    </row>
    <row r="3135" spans="10:11" x14ac:dyDescent="0.25">
      <c r="J3135" s="29" t="s">
        <v>6325</v>
      </c>
      <c r="K3135" s="29">
        <v>53241</v>
      </c>
    </row>
    <row r="3136" spans="10:11" x14ac:dyDescent="0.25">
      <c r="J3136" s="29" t="s">
        <v>6326</v>
      </c>
      <c r="K3136" s="29">
        <v>53254</v>
      </c>
    </row>
    <row r="3137" spans="10:11" x14ac:dyDescent="0.25">
      <c r="J3137" s="29" t="s">
        <v>6327</v>
      </c>
      <c r="K3137" s="29">
        <v>35233</v>
      </c>
    </row>
    <row r="3138" spans="10:11" x14ac:dyDescent="0.25">
      <c r="J3138" s="29" t="s">
        <v>6328</v>
      </c>
      <c r="K3138" s="29">
        <v>71381</v>
      </c>
    </row>
    <row r="3139" spans="10:11" x14ac:dyDescent="0.25">
      <c r="J3139" s="29" t="s">
        <v>6329</v>
      </c>
      <c r="K3139" s="29">
        <v>71381</v>
      </c>
    </row>
    <row r="3140" spans="10:11" x14ac:dyDescent="0.25">
      <c r="J3140" s="29" t="s">
        <v>6330</v>
      </c>
      <c r="K3140" s="29">
        <v>61451</v>
      </c>
    </row>
    <row r="3141" spans="10:11" x14ac:dyDescent="0.25">
      <c r="J3141" s="29" t="s">
        <v>6331</v>
      </c>
      <c r="K3141" s="29">
        <v>61451</v>
      </c>
    </row>
    <row r="3142" spans="10:11" x14ac:dyDescent="0.25">
      <c r="J3142" s="29" t="s">
        <v>6332</v>
      </c>
      <c r="K3142" s="29">
        <v>61451</v>
      </c>
    </row>
    <row r="3143" spans="10:11" x14ac:dyDescent="0.25">
      <c r="J3143" s="29" t="s">
        <v>6333</v>
      </c>
      <c r="K3143" s="29">
        <v>51234</v>
      </c>
    </row>
    <row r="3144" spans="10:11" x14ac:dyDescent="0.25">
      <c r="J3144" s="29" t="s">
        <v>6334</v>
      </c>
      <c r="K3144" s="29">
        <v>51234</v>
      </c>
    </row>
    <row r="3145" spans="10:11" x14ac:dyDescent="0.25">
      <c r="J3145" s="29" t="s">
        <v>6335</v>
      </c>
      <c r="K3145" s="29">
        <v>51234</v>
      </c>
    </row>
    <row r="3146" spans="10:11" x14ac:dyDescent="0.25">
      <c r="J3146" s="29" t="s">
        <v>6336</v>
      </c>
      <c r="K3146" s="29">
        <v>51234</v>
      </c>
    </row>
    <row r="3147" spans="10:11" x14ac:dyDescent="0.25">
      <c r="J3147" s="29" t="s">
        <v>6337</v>
      </c>
      <c r="K3147" s="29">
        <v>51234</v>
      </c>
    </row>
    <row r="3148" spans="10:11" x14ac:dyDescent="0.25">
      <c r="J3148" s="29" t="s">
        <v>6338</v>
      </c>
      <c r="K3148" s="29">
        <v>73262</v>
      </c>
    </row>
    <row r="3149" spans="10:11" x14ac:dyDescent="0.25">
      <c r="J3149" s="29" t="s">
        <v>6339</v>
      </c>
      <c r="K3149" s="29">
        <v>31221</v>
      </c>
    </row>
    <row r="3150" spans="10:11" x14ac:dyDescent="0.25">
      <c r="J3150" s="29" t="s">
        <v>6340</v>
      </c>
      <c r="K3150" s="29">
        <v>31221</v>
      </c>
    </row>
    <row r="3151" spans="10:11" x14ac:dyDescent="0.25">
      <c r="J3151" s="29" t="s">
        <v>6341</v>
      </c>
      <c r="K3151" s="29">
        <v>31221</v>
      </c>
    </row>
    <row r="3152" spans="10:11" x14ac:dyDescent="0.25">
      <c r="J3152" s="29" t="s">
        <v>6342</v>
      </c>
      <c r="K3152" s="29">
        <v>31221</v>
      </c>
    </row>
    <row r="3153" spans="10:11" x14ac:dyDescent="0.25">
      <c r="J3153" s="29" t="s">
        <v>6343</v>
      </c>
      <c r="K3153" s="29">
        <v>31221</v>
      </c>
    </row>
    <row r="3154" spans="10:11" x14ac:dyDescent="0.25">
      <c r="J3154" s="29" t="s">
        <v>6344</v>
      </c>
      <c r="K3154" s="29">
        <v>31221</v>
      </c>
    </row>
    <row r="3155" spans="10:11" x14ac:dyDescent="0.25">
      <c r="J3155" s="29" t="s">
        <v>6345</v>
      </c>
      <c r="K3155" s="29">
        <v>72261</v>
      </c>
    </row>
    <row r="3156" spans="10:11" x14ac:dyDescent="0.25">
      <c r="J3156" s="29" t="s">
        <v>6346</v>
      </c>
      <c r="K3156" s="29">
        <v>62229</v>
      </c>
    </row>
    <row r="3157" spans="10:11" x14ac:dyDescent="0.25">
      <c r="J3157" s="29" t="s">
        <v>6347</v>
      </c>
      <c r="K3157" s="29">
        <v>62229</v>
      </c>
    </row>
    <row r="3158" spans="10:11" x14ac:dyDescent="0.25">
      <c r="J3158" s="29" t="s">
        <v>6348</v>
      </c>
      <c r="K3158" s="29">
        <v>62229</v>
      </c>
    </row>
    <row r="3159" spans="10:11" x14ac:dyDescent="0.25">
      <c r="J3159" s="29" t="s">
        <v>6349</v>
      </c>
      <c r="K3159" s="29">
        <v>72291</v>
      </c>
    </row>
    <row r="3160" spans="10:11" x14ac:dyDescent="0.25">
      <c r="J3160" s="29" t="s">
        <v>6350</v>
      </c>
      <c r="K3160" s="29">
        <v>52237</v>
      </c>
    </row>
    <row r="3161" spans="10:11" x14ac:dyDescent="0.25">
      <c r="J3161" s="29" t="s">
        <v>6351</v>
      </c>
      <c r="K3161" s="29">
        <v>52237</v>
      </c>
    </row>
    <row r="3162" spans="10:11" x14ac:dyDescent="0.25">
      <c r="J3162" s="29" t="s">
        <v>6352</v>
      </c>
      <c r="K3162" s="29">
        <v>52237</v>
      </c>
    </row>
    <row r="3163" spans="10:11" x14ac:dyDescent="0.25">
      <c r="J3163" s="29" t="s">
        <v>6353</v>
      </c>
      <c r="K3163" s="29">
        <v>52237</v>
      </c>
    </row>
    <row r="3164" spans="10:11" x14ac:dyDescent="0.25">
      <c r="J3164" s="29" t="s">
        <v>6354</v>
      </c>
      <c r="K3164" s="29">
        <v>52237</v>
      </c>
    </row>
    <row r="3165" spans="10:11" x14ac:dyDescent="0.25">
      <c r="J3165" s="29" t="s">
        <v>6355</v>
      </c>
      <c r="K3165" s="29">
        <v>35341</v>
      </c>
    </row>
    <row r="3166" spans="10:11" x14ac:dyDescent="0.25">
      <c r="J3166" s="29" t="s">
        <v>6356</v>
      </c>
      <c r="K3166" s="29">
        <v>35341</v>
      </c>
    </row>
    <row r="3167" spans="10:11" x14ac:dyDescent="0.25">
      <c r="J3167" s="29" t="s">
        <v>6357</v>
      </c>
      <c r="K3167" s="29">
        <v>37360</v>
      </c>
    </row>
    <row r="3168" spans="10:11" x14ac:dyDescent="0.25">
      <c r="J3168" s="29" t="s">
        <v>6358</v>
      </c>
      <c r="K3168" s="29">
        <v>37339</v>
      </c>
    </row>
    <row r="3169" spans="10:11" x14ac:dyDescent="0.25">
      <c r="J3169" s="29" t="s">
        <v>6359</v>
      </c>
      <c r="K3169" s="29">
        <v>26311</v>
      </c>
    </row>
    <row r="3170" spans="10:11" x14ac:dyDescent="0.25">
      <c r="J3170" s="29" t="s">
        <v>6360</v>
      </c>
      <c r="K3170" s="29">
        <v>26311</v>
      </c>
    </row>
    <row r="3171" spans="10:11" x14ac:dyDescent="0.25">
      <c r="J3171" s="29" t="s">
        <v>6361</v>
      </c>
      <c r="K3171" s="29">
        <v>37315</v>
      </c>
    </row>
    <row r="3172" spans="10:11" x14ac:dyDescent="0.25">
      <c r="J3172" s="29" t="s">
        <v>6362</v>
      </c>
      <c r="K3172" s="29">
        <v>35487</v>
      </c>
    </row>
    <row r="3173" spans="10:11" x14ac:dyDescent="0.25">
      <c r="J3173" s="29" t="s">
        <v>6363</v>
      </c>
      <c r="K3173" s="29">
        <v>35487</v>
      </c>
    </row>
    <row r="3174" spans="10:11" x14ac:dyDescent="0.25">
      <c r="J3174" s="29" t="s">
        <v>6364</v>
      </c>
      <c r="K3174" s="29">
        <v>35487</v>
      </c>
    </row>
    <row r="3175" spans="10:11" x14ac:dyDescent="0.25">
      <c r="J3175" s="29" t="s">
        <v>6365</v>
      </c>
      <c r="K3175" s="29">
        <v>35487</v>
      </c>
    </row>
    <row r="3176" spans="10:11" x14ac:dyDescent="0.25">
      <c r="J3176" s="29" t="s">
        <v>6366</v>
      </c>
      <c r="K3176" s="29">
        <v>35487</v>
      </c>
    </row>
    <row r="3177" spans="10:11" x14ac:dyDescent="0.25">
      <c r="J3177" s="29" t="s">
        <v>6367</v>
      </c>
      <c r="K3177" s="29">
        <v>35487</v>
      </c>
    </row>
    <row r="3178" spans="10:11" x14ac:dyDescent="0.25">
      <c r="J3178" s="29" t="s">
        <v>6368</v>
      </c>
      <c r="K3178" s="29">
        <v>35487</v>
      </c>
    </row>
    <row r="3179" spans="10:11" x14ac:dyDescent="0.25">
      <c r="J3179" s="29" t="s">
        <v>6369</v>
      </c>
      <c r="K3179" s="29">
        <v>35487</v>
      </c>
    </row>
    <row r="3180" spans="10:11" x14ac:dyDescent="0.25">
      <c r="J3180" s="29" t="s">
        <v>6370</v>
      </c>
      <c r="K3180" s="29">
        <v>35179</v>
      </c>
    </row>
    <row r="3181" spans="10:11" x14ac:dyDescent="0.25">
      <c r="J3181" s="29" t="s">
        <v>6371</v>
      </c>
      <c r="K3181" s="29">
        <v>52291</v>
      </c>
    </row>
    <row r="3182" spans="10:11" x14ac:dyDescent="0.25">
      <c r="J3182" s="29" t="s">
        <v>6372</v>
      </c>
      <c r="K3182" s="29">
        <v>37344</v>
      </c>
    </row>
    <row r="3183" spans="10:11" x14ac:dyDescent="0.25">
      <c r="J3183" s="29" t="s">
        <v>6373</v>
      </c>
      <c r="K3183" s="29">
        <v>61347</v>
      </c>
    </row>
    <row r="3184" spans="10:11" x14ac:dyDescent="0.25">
      <c r="J3184" s="29" t="s">
        <v>6374</v>
      </c>
      <c r="K3184" s="29">
        <v>73151</v>
      </c>
    </row>
    <row r="3185" spans="10:11" x14ac:dyDescent="0.25">
      <c r="J3185" s="29" t="s">
        <v>6375</v>
      </c>
      <c r="K3185" s="29">
        <v>73151</v>
      </c>
    </row>
    <row r="3186" spans="10:11" x14ac:dyDescent="0.25">
      <c r="J3186" s="29" t="s">
        <v>6376</v>
      </c>
      <c r="K3186" s="29">
        <v>73151</v>
      </c>
    </row>
    <row r="3187" spans="10:11" x14ac:dyDescent="0.25">
      <c r="J3187" s="29" t="s">
        <v>6377</v>
      </c>
      <c r="K3187" s="29">
        <v>62287</v>
      </c>
    </row>
    <row r="3188" spans="10:11" x14ac:dyDescent="0.25">
      <c r="J3188" s="29" t="s">
        <v>6378</v>
      </c>
      <c r="K3188" s="29">
        <v>62287</v>
      </c>
    </row>
    <row r="3189" spans="10:11" x14ac:dyDescent="0.25">
      <c r="J3189" s="29" t="s">
        <v>6379</v>
      </c>
      <c r="K3189" s="29">
        <v>62287</v>
      </c>
    </row>
    <row r="3190" spans="10:11" x14ac:dyDescent="0.25">
      <c r="J3190" s="29" t="s">
        <v>6380</v>
      </c>
      <c r="K3190" s="29">
        <v>24315</v>
      </c>
    </row>
    <row r="3191" spans="10:11" x14ac:dyDescent="0.25">
      <c r="J3191" s="29" t="s">
        <v>6381</v>
      </c>
      <c r="K3191" s="29">
        <v>21357</v>
      </c>
    </row>
    <row r="3192" spans="10:11" x14ac:dyDescent="0.25">
      <c r="J3192" s="29" t="s">
        <v>6382</v>
      </c>
      <c r="K3192" s="29">
        <v>21357</v>
      </c>
    </row>
    <row r="3193" spans="10:11" x14ac:dyDescent="0.25">
      <c r="J3193" s="29" t="s">
        <v>6383</v>
      </c>
      <c r="K3193" s="29">
        <v>21357</v>
      </c>
    </row>
    <row r="3194" spans="10:11" x14ac:dyDescent="0.25">
      <c r="J3194" s="29" t="s">
        <v>6384</v>
      </c>
      <c r="K3194" s="29">
        <v>21357</v>
      </c>
    </row>
    <row r="3195" spans="10:11" x14ac:dyDescent="0.25">
      <c r="J3195" s="29" t="s">
        <v>6385</v>
      </c>
      <c r="K3195" s="29">
        <v>21456</v>
      </c>
    </row>
    <row r="3196" spans="10:11" x14ac:dyDescent="0.25">
      <c r="J3196" s="29" t="s">
        <v>6386</v>
      </c>
      <c r="K3196" s="29">
        <v>21456</v>
      </c>
    </row>
    <row r="3197" spans="10:11" x14ac:dyDescent="0.25">
      <c r="J3197" s="29" t="s">
        <v>6387</v>
      </c>
      <c r="K3197" s="29">
        <v>35352</v>
      </c>
    </row>
    <row r="3198" spans="10:11" x14ac:dyDescent="0.25">
      <c r="J3198" s="29" t="s">
        <v>6388</v>
      </c>
      <c r="K3198" s="29">
        <v>35352</v>
      </c>
    </row>
    <row r="3199" spans="10:11" x14ac:dyDescent="0.25">
      <c r="J3199" s="29" t="s">
        <v>6389</v>
      </c>
      <c r="K3199" s="29">
        <v>22455</v>
      </c>
    </row>
    <row r="3200" spans="10:11" x14ac:dyDescent="0.25">
      <c r="J3200" s="29" t="s">
        <v>6390</v>
      </c>
      <c r="K3200" s="29">
        <v>22455</v>
      </c>
    </row>
    <row r="3201" spans="10:11" x14ac:dyDescent="0.25">
      <c r="J3201" s="29" t="s">
        <v>6391</v>
      </c>
      <c r="K3201" s="29">
        <v>22455</v>
      </c>
    </row>
    <row r="3202" spans="10:11" x14ac:dyDescent="0.25">
      <c r="J3202" s="29" t="s">
        <v>6392</v>
      </c>
      <c r="K3202" s="29">
        <v>26251</v>
      </c>
    </row>
    <row r="3203" spans="10:11" x14ac:dyDescent="0.25">
      <c r="J3203" s="29" t="s">
        <v>6393</v>
      </c>
      <c r="K3203" s="29">
        <v>35269</v>
      </c>
    </row>
    <row r="3204" spans="10:11" x14ac:dyDescent="0.25">
      <c r="J3204" s="29" t="s">
        <v>6394</v>
      </c>
      <c r="K3204" s="29">
        <v>35269</v>
      </c>
    </row>
    <row r="3205" spans="10:11" x14ac:dyDescent="0.25">
      <c r="J3205" s="29" t="s">
        <v>6395</v>
      </c>
      <c r="K3205" s="29">
        <v>35269</v>
      </c>
    </row>
    <row r="3206" spans="10:11" x14ac:dyDescent="0.25">
      <c r="J3206" s="29" t="s">
        <v>6396</v>
      </c>
      <c r="K3206" s="29">
        <v>35269</v>
      </c>
    </row>
    <row r="3207" spans="10:11" x14ac:dyDescent="0.25">
      <c r="J3207" s="29" t="s">
        <v>6397</v>
      </c>
      <c r="K3207" s="29">
        <v>37353</v>
      </c>
    </row>
    <row r="3208" spans="10:11" x14ac:dyDescent="0.25">
      <c r="J3208" s="29" t="s">
        <v>6398</v>
      </c>
      <c r="K3208" s="29">
        <v>37353</v>
      </c>
    </row>
    <row r="3209" spans="10:11" x14ac:dyDescent="0.25">
      <c r="J3209" s="29" t="s">
        <v>6399</v>
      </c>
      <c r="K3209" s="29">
        <v>37353</v>
      </c>
    </row>
    <row r="3210" spans="10:11" x14ac:dyDescent="0.25">
      <c r="J3210" s="29" t="s">
        <v>6400</v>
      </c>
      <c r="K3210" s="29">
        <v>37353</v>
      </c>
    </row>
    <row r="3211" spans="10:11" x14ac:dyDescent="0.25">
      <c r="J3211" s="29" t="s">
        <v>6401</v>
      </c>
      <c r="K3211" s="29">
        <v>61255</v>
      </c>
    </row>
    <row r="3212" spans="10:11" x14ac:dyDescent="0.25">
      <c r="J3212" s="29" t="s">
        <v>6402</v>
      </c>
      <c r="K3212" s="29">
        <v>71374</v>
      </c>
    </row>
    <row r="3213" spans="10:11" x14ac:dyDescent="0.25">
      <c r="J3213" s="29" t="s">
        <v>6403</v>
      </c>
      <c r="K3213" s="29">
        <v>71374</v>
      </c>
    </row>
    <row r="3214" spans="10:11" x14ac:dyDescent="0.25">
      <c r="J3214" s="29" t="s">
        <v>6404</v>
      </c>
      <c r="K3214" s="29">
        <v>71374</v>
      </c>
    </row>
    <row r="3215" spans="10:11" x14ac:dyDescent="0.25">
      <c r="J3215" s="29" t="s">
        <v>6405</v>
      </c>
      <c r="K3215" s="29">
        <v>71374</v>
      </c>
    </row>
    <row r="3216" spans="10:11" x14ac:dyDescent="0.25">
      <c r="J3216" s="29" t="s">
        <v>6406</v>
      </c>
      <c r="K3216" s="29">
        <v>71374</v>
      </c>
    </row>
    <row r="3217" spans="10:11" x14ac:dyDescent="0.25">
      <c r="J3217" s="29" t="s">
        <v>6407</v>
      </c>
      <c r="K3217" s="29">
        <v>71374</v>
      </c>
    </row>
    <row r="3218" spans="10:11" x14ac:dyDescent="0.25">
      <c r="J3218" s="29" t="s">
        <v>6408</v>
      </c>
      <c r="K3218" s="29">
        <v>71374</v>
      </c>
    </row>
    <row r="3219" spans="10:11" x14ac:dyDescent="0.25">
      <c r="J3219" s="29" t="s">
        <v>6409</v>
      </c>
      <c r="K3219" s="29">
        <v>71374</v>
      </c>
    </row>
    <row r="3220" spans="10:11" x14ac:dyDescent="0.25">
      <c r="J3220" s="29" t="s">
        <v>6410</v>
      </c>
      <c r="K3220" s="29">
        <v>53413</v>
      </c>
    </row>
    <row r="3221" spans="10:11" x14ac:dyDescent="0.25">
      <c r="J3221" s="29" t="s">
        <v>6411</v>
      </c>
      <c r="K3221" s="29">
        <v>53413</v>
      </c>
    </row>
    <row r="3222" spans="10:11" x14ac:dyDescent="0.25">
      <c r="J3222" s="29" t="s">
        <v>6412</v>
      </c>
      <c r="K3222" s="29">
        <v>53413</v>
      </c>
    </row>
    <row r="3223" spans="10:11" x14ac:dyDescent="0.25">
      <c r="J3223" s="29" t="s">
        <v>6413</v>
      </c>
      <c r="K3223" s="29">
        <v>25435</v>
      </c>
    </row>
    <row r="3224" spans="10:11" x14ac:dyDescent="0.25">
      <c r="J3224" s="29" t="s">
        <v>6414</v>
      </c>
      <c r="K3224" s="29">
        <v>25435</v>
      </c>
    </row>
    <row r="3225" spans="10:11" x14ac:dyDescent="0.25">
      <c r="J3225" s="29" t="s">
        <v>6415</v>
      </c>
      <c r="K3225" s="29">
        <v>51359</v>
      </c>
    </row>
    <row r="3226" spans="10:11" x14ac:dyDescent="0.25">
      <c r="J3226" s="29" t="s">
        <v>6416</v>
      </c>
      <c r="K3226" s="29">
        <v>55111</v>
      </c>
    </row>
    <row r="3227" spans="10:11" x14ac:dyDescent="0.25">
      <c r="J3227" s="29" t="s">
        <v>6417</v>
      </c>
      <c r="K3227" s="29">
        <v>55111</v>
      </c>
    </row>
    <row r="3228" spans="10:11" x14ac:dyDescent="0.25">
      <c r="J3228" s="29" t="s">
        <v>6418</v>
      </c>
      <c r="K3228" s="29">
        <v>55111</v>
      </c>
    </row>
    <row r="3229" spans="10:11" x14ac:dyDescent="0.25">
      <c r="J3229" s="29" t="s">
        <v>6419</v>
      </c>
      <c r="K3229" s="29">
        <v>55111</v>
      </c>
    </row>
    <row r="3230" spans="10:11" x14ac:dyDescent="0.25">
      <c r="J3230" s="29" t="s">
        <v>6420</v>
      </c>
      <c r="K3230" s="29">
        <v>55111</v>
      </c>
    </row>
    <row r="3231" spans="10:11" x14ac:dyDescent="0.25">
      <c r="J3231" s="29" t="s">
        <v>6421</v>
      </c>
      <c r="K3231" s="29">
        <v>55111</v>
      </c>
    </row>
    <row r="3232" spans="10:11" x14ac:dyDescent="0.25">
      <c r="J3232" s="29" t="s">
        <v>6422</v>
      </c>
      <c r="K3232" s="29">
        <v>55111</v>
      </c>
    </row>
    <row r="3233" spans="10:11" x14ac:dyDescent="0.25">
      <c r="J3233" s="29" t="s">
        <v>6423</v>
      </c>
      <c r="K3233" s="29">
        <v>34276</v>
      </c>
    </row>
    <row r="3234" spans="10:11" x14ac:dyDescent="0.25">
      <c r="J3234" s="29" t="s">
        <v>6424</v>
      </c>
      <c r="K3234" s="29">
        <v>55157</v>
      </c>
    </row>
    <row r="3235" spans="10:11" x14ac:dyDescent="0.25">
      <c r="J3235" s="29" t="s">
        <v>6425</v>
      </c>
      <c r="K3235" s="29">
        <v>35357</v>
      </c>
    </row>
    <row r="3236" spans="10:11" x14ac:dyDescent="0.25">
      <c r="J3236" s="29" t="s">
        <v>6426</v>
      </c>
      <c r="K3236" s="29">
        <v>35357</v>
      </c>
    </row>
    <row r="3237" spans="10:11" x14ac:dyDescent="0.25">
      <c r="J3237" s="29" t="s">
        <v>6427</v>
      </c>
      <c r="K3237" s="29">
        <v>35357</v>
      </c>
    </row>
    <row r="3238" spans="10:11" x14ac:dyDescent="0.25">
      <c r="J3238" s="29" t="s">
        <v>6428</v>
      </c>
      <c r="K3238" s="29">
        <v>35357</v>
      </c>
    </row>
    <row r="3239" spans="10:11" x14ac:dyDescent="0.25">
      <c r="J3239" s="29" t="s">
        <v>6429</v>
      </c>
      <c r="K3239" s="29">
        <v>72191</v>
      </c>
    </row>
    <row r="3240" spans="10:11" x14ac:dyDescent="0.25">
      <c r="J3240" s="29" t="s">
        <v>6430</v>
      </c>
      <c r="K3240" s="29">
        <v>37382</v>
      </c>
    </row>
    <row r="3241" spans="10:11" x14ac:dyDescent="0.25">
      <c r="J3241" s="29" t="s">
        <v>6431</v>
      </c>
      <c r="K3241" s="29">
        <v>53211</v>
      </c>
    </row>
    <row r="3242" spans="10:11" x14ac:dyDescent="0.25">
      <c r="J3242" s="29" t="s">
        <v>6432</v>
      </c>
      <c r="K3242" s="29">
        <v>10150</v>
      </c>
    </row>
    <row r="3243" spans="10:11" x14ac:dyDescent="0.25">
      <c r="J3243" s="29" t="s">
        <v>6433</v>
      </c>
      <c r="K3243" s="29">
        <v>10150</v>
      </c>
    </row>
    <row r="3244" spans="10:11" x14ac:dyDescent="0.25">
      <c r="J3244" s="29" t="s">
        <v>6434</v>
      </c>
      <c r="K3244" s="29">
        <v>10150</v>
      </c>
    </row>
    <row r="3245" spans="10:11" x14ac:dyDescent="0.25">
      <c r="J3245" s="29" t="s">
        <v>6435</v>
      </c>
      <c r="K3245" s="29">
        <v>10150</v>
      </c>
    </row>
    <row r="3246" spans="10:11" x14ac:dyDescent="0.25">
      <c r="J3246" s="29" t="s">
        <v>6436</v>
      </c>
      <c r="K3246" s="29">
        <v>10150</v>
      </c>
    </row>
    <row r="3247" spans="10:11" x14ac:dyDescent="0.25">
      <c r="J3247" s="29" t="s">
        <v>6437</v>
      </c>
      <c r="K3247" s="29">
        <v>10150</v>
      </c>
    </row>
    <row r="3248" spans="10:11" x14ac:dyDescent="0.25">
      <c r="J3248" s="29" t="s">
        <v>6438</v>
      </c>
      <c r="K3248" s="29">
        <v>10150</v>
      </c>
    </row>
    <row r="3249" spans="10:11" x14ac:dyDescent="0.25">
      <c r="J3249" s="29" t="s">
        <v>6439</v>
      </c>
      <c r="K3249" s="29">
        <v>10150</v>
      </c>
    </row>
    <row r="3250" spans="10:11" x14ac:dyDescent="0.25">
      <c r="J3250" s="29" t="s">
        <v>6440</v>
      </c>
      <c r="K3250" s="29">
        <v>10150</v>
      </c>
    </row>
    <row r="3251" spans="10:11" x14ac:dyDescent="0.25">
      <c r="J3251" s="29" t="s">
        <v>6441</v>
      </c>
      <c r="K3251" s="29">
        <v>10150</v>
      </c>
    </row>
    <row r="3252" spans="10:11" x14ac:dyDescent="0.25">
      <c r="J3252" s="29" t="s">
        <v>6442</v>
      </c>
      <c r="K3252" s="29">
        <v>10150</v>
      </c>
    </row>
    <row r="3253" spans="10:11" x14ac:dyDescent="0.25">
      <c r="J3253" s="29" t="s">
        <v>6443</v>
      </c>
      <c r="K3253" s="29">
        <v>10150</v>
      </c>
    </row>
    <row r="3254" spans="10:11" x14ac:dyDescent="0.25">
      <c r="J3254" s="29" t="s">
        <v>6444</v>
      </c>
      <c r="K3254" s="29">
        <v>10150</v>
      </c>
    </row>
    <row r="3255" spans="10:11" x14ac:dyDescent="0.25">
      <c r="J3255" s="29" t="s">
        <v>6445</v>
      </c>
      <c r="K3255" s="29">
        <v>10150</v>
      </c>
    </row>
    <row r="3256" spans="10:11" x14ac:dyDescent="0.25">
      <c r="J3256" s="29" t="s">
        <v>6446</v>
      </c>
      <c r="K3256" s="29">
        <v>32185</v>
      </c>
    </row>
    <row r="3257" spans="10:11" x14ac:dyDescent="0.25">
      <c r="J3257" s="29" t="s">
        <v>6447</v>
      </c>
      <c r="K3257" s="29">
        <v>32185</v>
      </c>
    </row>
    <row r="3258" spans="10:11" x14ac:dyDescent="0.25">
      <c r="J3258" s="29" t="s">
        <v>6448</v>
      </c>
      <c r="K3258" s="29">
        <v>32185</v>
      </c>
    </row>
    <row r="3259" spans="10:11" x14ac:dyDescent="0.25">
      <c r="J3259" s="29" t="s">
        <v>6449</v>
      </c>
      <c r="K3259" s="29">
        <v>32185</v>
      </c>
    </row>
    <row r="3260" spans="10:11" x14ac:dyDescent="0.25">
      <c r="J3260" s="29" t="s">
        <v>6450</v>
      </c>
      <c r="K3260" s="29">
        <v>32185</v>
      </c>
    </row>
    <row r="3261" spans="10:11" x14ac:dyDescent="0.25">
      <c r="J3261" s="29" t="s">
        <v>6451</v>
      </c>
      <c r="K3261" s="29">
        <v>25411</v>
      </c>
    </row>
    <row r="3262" spans="10:11" x14ac:dyDescent="0.25">
      <c r="J3262" s="29" t="s">
        <v>6452</v>
      </c>
      <c r="K3262" s="29">
        <v>62236</v>
      </c>
    </row>
    <row r="3263" spans="10:11" x14ac:dyDescent="0.25">
      <c r="J3263" s="29" t="s">
        <v>6453</v>
      </c>
      <c r="K3263" s="29">
        <v>24359</v>
      </c>
    </row>
    <row r="3264" spans="10:11" x14ac:dyDescent="0.25">
      <c r="J3264" s="29" t="s">
        <v>6454</v>
      </c>
      <c r="K3264" s="29">
        <v>24359</v>
      </c>
    </row>
    <row r="3265" spans="10:11" x14ac:dyDescent="0.25">
      <c r="J3265" s="29" t="s">
        <v>6455</v>
      </c>
      <c r="K3265" s="29">
        <v>63319</v>
      </c>
    </row>
    <row r="3266" spans="10:11" x14ac:dyDescent="0.25">
      <c r="J3266" s="29" t="s">
        <v>6456</v>
      </c>
      <c r="K3266" s="29">
        <v>37281</v>
      </c>
    </row>
    <row r="3267" spans="10:11" x14ac:dyDescent="0.25">
      <c r="J3267" s="29" t="s">
        <v>6457</v>
      </c>
      <c r="K3267" s="29">
        <v>37281</v>
      </c>
    </row>
    <row r="3268" spans="10:11" x14ac:dyDescent="0.25">
      <c r="J3268" s="29" t="s">
        <v>6458</v>
      </c>
      <c r="K3268" s="29">
        <v>24367</v>
      </c>
    </row>
    <row r="3269" spans="10:11" x14ac:dyDescent="0.25">
      <c r="J3269" s="29" t="s">
        <v>6459</v>
      </c>
      <c r="K3269" s="29">
        <v>24367</v>
      </c>
    </row>
    <row r="3270" spans="10:11" x14ac:dyDescent="0.25">
      <c r="J3270" s="29" t="s">
        <v>6460</v>
      </c>
      <c r="K3270" s="29">
        <v>24367</v>
      </c>
    </row>
    <row r="3271" spans="10:11" x14ac:dyDescent="0.25">
      <c r="J3271" s="29" t="s">
        <v>6461</v>
      </c>
      <c r="K3271" s="29">
        <v>24367</v>
      </c>
    </row>
    <row r="3272" spans="10:11" x14ac:dyDescent="0.25">
      <c r="J3272" s="29" t="s">
        <v>6462</v>
      </c>
      <c r="K3272" s="29">
        <v>24367</v>
      </c>
    </row>
    <row r="3273" spans="10:11" x14ac:dyDescent="0.25">
      <c r="J3273" s="29" t="s">
        <v>6463</v>
      </c>
      <c r="K3273" s="29">
        <v>51311</v>
      </c>
    </row>
    <row r="3274" spans="10:11" x14ac:dyDescent="0.25">
      <c r="J3274" s="29" t="s">
        <v>6464</v>
      </c>
      <c r="K3274" s="29">
        <v>51311</v>
      </c>
    </row>
    <row r="3275" spans="10:11" x14ac:dyDescent="0.25">
      <c r="J3275" s="29" t="s">
        <v>6465</v>
      </c>
      <c r="K3275" s="29">
        <v>51311</v>
      </c>
    </row>
    <row r="3276" spans="10:11" x14ac:dyDescent="0.25">
      <c r="J3276" s="29" t="s">
        <v>6466</v>
      </c>
      <c r="K3276" s="29">
        <v>51311</v>
      </c>
    </row>
    <row r="3277" spans="10:11" x14ac:dyDescent="0.25">
      <c r="J3277" s="29" t="s">
        <v>6467</v>
      </c>
      <c r="K3277" s="29">
        <v>51311</v>
      </c>
    </row>
    <row r="3278" spans="10:11" x14ac:dyDescent="0.25">
      <c r="J3278" s="29" t="s">
        <v>6468</v>
      </c>
      <c r="K3278" s="29">
        <v>62259</v>
      </c>
    </row>
    <row r="3279" spans="10:11" x14ac:dyDescent="0.25">
      <c r="J3279" s="29" t="s">
        <v>6469</v>
      </c>
      <c r="K3279" s="29">
        <v>35404</v>
      </c>
    </row>
    <row r="3280" spans="10:11" x14ac:dyDescent="0.25">
      <c r="J3280" s="29" t="s">
        <v>6470</v>
      </c>
      <c r="K3280" s="29">
        <v>72167</v>
      </c>
    </row>
    <row r="3281" spans="10:11" x14ac:dyDescent="0.25">
      <c r="J3281" s="29" t="s">
        <v>6471</v>
      </c>
      <c r="K3281" s="29">
        <v>72167</v>
      </c>
    </row>
    <row r="3282" spans="10:11" x14ac:dyDescent="0.25">
      <c r="J3282" s="29" t="s">
        <v>6472</v>
      </c>
      <c r="K3282" s="29">
        <v>72167</v>
      </c>
    </row>
    <row r="3283" spans="10:11" x14ac:dyDescent="0.25">
      <c r="J3283" s="29" t="s">
        <v>6473</v>
      </c>
      <c r="K3283" s="29">
        <v>72167</v>
      </c>
    </row>
    <row r="3284" spans="10:11" x14ac:dyDescent="0.25">
      <c r="J3284" s="29" t="s">
        <v>6474</v>
      </c>
      <c r="K3284" s="29">
        <v>72167</v>
      </c>
    </row>
    <row r="3285" spans="10:11" x14ac:dyDescent="0.25">
      <c r="J3285" s="29" t="s">
        <v>6475</v>
      </c>
      <c r="K3285" s="29">
        <v>10550</v>
      </c>
    </row>
    <row r="3286" spans="10:11" x14ac:dyDescent="0.25">
      <c r="J3286" s="29" t="s">
        <v>6476</v>
      </c>
      <c r="K3286" s="29">
        <v>10550</v>
      </c>
    </row>
    <row r="3287" spans="10:11" x14ac:dyDescent="0.25">
      <c r="J3287" s="29" t="s">
        <v>6477</v>
      </c>
      <c r="K3287" s="29">
        <v>10550</v>
      </c>
    </row>
    <row r="3288" spans="10:11" x14ac:dyDescent="0.25">
      <c r="J3288" s="29" t="s">
        <v>6478</v>
      </c>
      <c r="K3288" s="29">
        <v>10550</v>
      </c>
    </row>
    <row r="3289" spans="10:11" x14ac:dyDescent="0.25">
      <c r="J3289" s="29" t="s">
        <v>6479</v>
      </c>
      <c r="K3289" s="29">
        <v>10550</v>
      </c>
    </row>
    <row r="3290" spans="10:11" x14ac:dyDescent="0.25">
      <c r="J3290" s="29" t="s">
        <v>6480</v>
      </c>
      <c r="K3290" s="29">
        <v>10550</v>
      </c>
    </row>
    <row r="3291" spans="10:11" x14ac:dyDescent="0.25">
      <c r="J3291" s="29" t="s">
        <v>6481</v>
      </c>
      <c r="K3291" s="29">
        <v>10550</v>
      </c>
    </row>
    <row r="3292" spans="10:11" x14ac:dyDescent="0.25">
      <c r="J3292" s="29" t="s">
        <v>6482</v>
      </c>
      <c r="K3292" s="29">
        <v>10550</v>
      </c>
    </row>
    <row r="3293" spans="10:11" x14ac:dyDescent="0.25">
      <c r="J3293" s="29" t="s">
        <v>6483</v>
      </c>
      <c r="K3293" s="29">
        <v>10550</v>
      </c>
    </row>
    <row r="3294" spans="10:11" x14ac:dyDescent="0.25">
      <c r="J3294" s="29" t="s">
        <v>6484</v>
      </c>
      <c r="K3294" s="29">
        <v>10550</v>
      </c>
    </row>
    <row r="3295" spans="10:11" x14ac:dyDescent="0.25">
      <c r="J3295" s="29" t="s">
        <v>6485</v>
      </c>
      <c r="K3295" s="29">
        <v>10550</v>
      </c>
    </row>
    <row r="3296" spans="10:11" x14ac:dyDescent="0.25">
      <c r="J3296" s="29" t="s">
        <v>6486</v>
      </c>
      <c r="K3296" s="29">
        <v>10550</v>
      </c>
    </row>
    <row r="3297" spans="10:11" x14ac:dyDescent="0.25">
      <c r="J3297" s="29" t="s">
        <v>6487</v>
      </c>
      <c r="K3297" s="29">
        <v>10550</v>
      </c>
    </row>
    <row r="3298" spans="10:11" x14ac:dyDescent="0.25">
      <c r="J3298" s="29" t="s">
        <v>6488</v>
      </c>
      <c r="K3298" s="29">
        <v>23321</v>
      </c>
    </row>
    <row r="3299" spans="10:11" x14ac:dyDescent="0.25">
      <c r="J3299" s="29" t="s">
        <v>6489</v>
      </c>
      <c r="K3299" s="29">
        <v>23321</v>
      </c>
    </row>
    <row r="3300" spans="10:11" x14ac:dyDescent="0.25">
      <c r="J3300" s="29" t="s">
        <v>6490</v>
      </c>
      <c r="K3300" s="29">
        <v>35281</v>
      </c>
    </row>
    <row r="3301" spans="10:11" x14ac:dyDescent="0.25">
      <c r="J3301" s="29" t="s">
        <v>6491</v>
      </c>
      <c r="K3301" s="29">
        <v>22427</v>
      </c>
    </row>
    <row r="3302" spans="10:11" x14ac:dyDescent="0.25">
      <c r="J3302" s="29" t="s">
        <v>6492</v>
      </c>
      <c r="K3302" s="29">
        <v>22427</v>
      </c>
    </row>
    <row r="3303" spans="10:11" x14ac:dyDescent="0.25">
      <c r="J3303" s="29" t="s">
        <v>6493</v>
      </c>
      <c r="K3303" s="29">
        <v>22427</v>
      </c>
    </row>
    <row r="3304" spans="10:11" x14ac:dyDescent="0.25">
      <c r="J3304" s="29" t="s">
        <v>6494</v>
      </c>
      <c r="K3304" s="29">
        <v>71261</v>
      </c>
    </row>
    <row r="3305" spans="10:11" x14ac:dyDescent="0.25">
      <c r="J3305" s="29" t="s">
        <v>6495</v>
      </c>
      <c r="K3305" s="29">
        <v>71261</v>
      </c>
    </row>
    <row r="3306" spans="10:11" x14ac:dyDescent="0.25">
      <c r="J3306" s="29" t="s">
        <v>6496</v>
      </c>
      <c r="K3306" s="29">
        <v>51231</v>
      </c>
    </row>
    <row r="3307" spans="10:11" x14ac:dyDescent="0.25">
      <c r="J3307" s="29" t="s">
        <v>6497</v>
      </c>
      <c r="K3307" s="29">
        <v>51231</v>
      </c>
    </row>
    <row r="3308" spans="10:11" x14ac:dyDescent="0.25">
      <c r="J3308" s="29" t="s">
        <v>6498</v>
      </c>
      <c r="K3308" s="29">
        <v>51231</v>
      </c>
    </row>
    <row r="3309" spans="10:11" x14ac:dyDescent="0.25">
      <c r="J3309" s="29" t="s">
        <v>6499</v>
      </c>
      <c r="K3309" s="29">
        <v>51231</v>
      </c>
    </row>
    <row r="3310" spans="10:11" x14ac:dyDescent="0.25">
      <c r="J3310" s="29" t="s">
        <v>6500</v>
      </c>
      <c r="K3310" s="29">
        <v>51231</v>
      </c>
    </row>
    <row r="3311" spans="10:11" x14ac:dyDescent="0.25">
      <c r="J3311" s="29" t="s">
        <v>6501</v>
      </c>
      <c r="K3311" s="29">
        <v>51231</v>
      </c>
    </row>
    <row r="3312" spans="10:11" x14ac:dyDescent="0.25">
      <c r="J3312" s="29" t="s">
        <v>6502</v>
      </c>
      <c r="K3312" s="29">
        <v>51231</v>
      </c>
    </row>
    <row r="3313" spans="10:11" x14ac:dyDescent="0.25">
      <c r="J3313" s="29" t="s">
        <v>6503</v>
      </c>
      <c r="K3313" s="29">
        <v>51231</v>
      </c>
    </row>
    <row r="3314" spans="10:11" x14ac:dyDescent="0.25">
      <c r="J3314" s="29" t="s">
        <v>6504</v>
      </c>
      <c r="K3314" s="29">
        <v>25161</v>
      </c>
    </row>
    <row r="3315" spans="10:11" x14ac:dyDescent="0.25">
      <c r="J3315" s="29" t="s">
        <v>6505</v>
      </c>
      <c r="K3315" s="29">
        <v>25161</v>
      </c>
    </row>
    <row r="3316" spans="10:11" x14ac:dyDescent="0.25">
      <c r="J3316" s="29" t="s">
        <v>6506</v>
      </c>
      <c r="K3316" s="29">
        <v>25161</v>
      </c>
    </row>
    <row r="3317" spans="10:11" x14ac:dyDescent="0.25">
      <c r="J3317" s="29" t="s">
        <v>6507</v>
      </c>
      <c r="K3317" s="29">
        <v>52136</v>
      </c>
    </row>
    <row r="3318" spans="10:11" x14ac:dyDescent="0.25">
      <c r="J3318" s="29" t="s">
        <v>6508</v>
      </c>
      <c r="K3318" s="29">
        <v>25136</v>
      </c>
    </row>
    <row r="3319" spans="10:11" x14ac:dyDescent="0.25">
      <c r="J3319" s="29" t="s">
        <v>6509</v>
      </c>
      <c r="K3319" s="29">
        <v>25136</v>
      </c>
    </row>
    <row r="3320" spans="10:11" x14ac:dyDescent="0.25">
      <c r="J3320" s="29" t="s">
        <v>6510</v>
      </c>
      <c r="K3320" s="29">
        <v>61119</v>
      </c>
    </row>
    <row r="3321" spans="10:11" x14ac:dyDescent="0.25">
      <c r="J3321" s="29" t="s">
        <v>6511</v>
      </c>
      <c r="K3321" s="29">
        <v>61119</v>
      </c>
    </row>
    <row r="3322" spans="10:11" x14ac:dyDescent="0.25">
      <c r="J3322" s="29" t="s">
        <v>6512</v>
      </c>
      <c r="K3322" s="29">
        <v>61119</v>
      </c>
    </row>
    <row r="3323" spans="10:11" x14ac:dyDescent="0.25">
      <c r="J3323" s="29" t="s">
        <v>6513</v>
      </c>
      <c r="K3323" s="29">
        <v>61119</v>
      </c>
    </row>
    <row r="3324" spans="10:11" x14ac:dyDescent="0.25">
      <c r="J3324" s="29" t="s">
        <v>6514</v>
      </c>
      <c r="K3324" s="29">
        <v>61119</v>
      </c>
    </row>
    <row r="3325" spans="10:11" x14ac:dyDescent="0.25">
      <c r="J3325" s="29" t="s">
        <v>6515</v>
      </c>
      <c r="K3325" s="29">
        <v>61119</v>
      </c>
    </row>
    <row r="3326" spans="10:11" x14ac:dyDescent="0.25">
      <c r="J3326" s="29" t="s">
        <v>6516</v>
      </c>
      <c r="K3326" s="29">
        <v>61119</v>
      </c>
    </row>
    <row r="3327" spans="10:11" x14ac:dyDescent="0.25">
      <c r="J3327" s="29" t="s">
        <v>6517</v>
      </c>
      <c r="K3327" s="29">
        <v>61119</v>
      </c>
    </row>
    <row r="3328" spans="10:11" x14ac:dyDescent="0.25">
      <c r="J3328" s="29" t="s">
        <v>6518</v>
      </c>
      <c r="K3328" s="29">
        <v>61119</v>
      </c>
    </row>
    <row r="3329" spans="10:11" x14ac:dyDescent="0.25">
      <c r="J3329" s="29" t="s">
        <v>6519</v>
      </c>
      <c r="K3329" s="29">
        <v>61119</v>
      </c>
    </row>
    <row r="3330" spans="10:11" x14ac:dyDescent="0.25">
      <c r="J3330" s="29" t="s">
        <v>6520</v>
      </c>
      <c r="K3330" s="29">
        <v>61119</v>
      </c>
    </row>
    <row r="3331" spans="10:11" x14ac:dyDescent="0.25">
      <c r="J3331" s="29" t="s">
        <v>6521</v>
      </c>
      <c r="K3331" s="29">
        <v>61119</v>
      </c>
    </row>
    <row r="3332" spans="10:11" x14ac:dyDescent="0.25">
      <c r="J3332" s="29" t="s">
        <v>6522</v>
      </c>
      <c r="K3332" s="29">
        <v>61119</v>
      </c>
    </row>
    <row r="3333" spans="10:11" x14ac:dyDescent="0.25">
      <c r="J3333" s="29" t="s">
        <v>6523</v>
      </c>
      <c r="K3333" s="29">
        <v>61119</v>
      </c>
    </row>
    <row r="3334" spans="10:11" x14ac:dyDescent="0.25">
      <c r="J3334" s="29" t="s">
        <v>6524</v>
      </c>
      <c r="K3334" s="29">
        <v>61119</v>
      </c>
    </row>
    <row r="3335" spans="10:11" x14ac:dyDescent="0.25">
      <c r="J3335" s="29" t="s">
        <v>6525</v>
      </c>
      <c r="K3335" s="29">
        <v>61119</v>
      </c>
    </row>
    <row r="3336" spans="10:11" x14ac:dyDescent="0.25">
      <c r="J3336" s="29" t="s">
        <v>6526</v>
      </c>
      <c r="K3336" s="29">
        <v>61119</v>
      </c>
    </row>
    <row r="3337" spans="10:11" x14ac:dyDescent="0.25">
      <c r="J3337" s="29" t="s">
        <v>6527</v>
      </c>
      <c r="K3337" s="29">
        <v>61119</v>
      </c>
    </row>
    <row r="3338" spans="10:11" x14ac:dyDescent="0.25">
      <c r="J3338" s="29" t="s">
        <v>6528</v>
      </c>
      <c r="K3338" s="29">
        <v>61119</v>
      </c>
    </row>
    <row r="3339" spans="10:11" x14ac:dyDescent="0.25">
      <c r="J3339" s="29" t="s">
        <v>6529</v>
      </c>
      <c r="K3339" s="29">
        <v>61119</v>
      </c>
    </row>
    <row r="3340" spans="10:11" x14ac:dyDescent="0.25">
      <c r="J3340" s="29" t="s">
        <v>6530</v>
      </c>
      <c r="K3340" s="29">
        <v>61119</v>
      </c>
    </row>
    <row r="3341" spans="10:11" x14ac:dyDescent="0.25">
      <c r="J3341" s="29" t="s">
        <v>6531</v>
      </c>
      <c r="K3341" s="29">
        <v>61119</v>
      </c>
    </row>
    <row r="3342" spans="10:11" x14ac:dyDescent="0.25">
      <c r="J3342" s="29" t="s">
        <v>6532</v>
      </c>
      <c r="K3342" s="29">
        <v>61119</v>
      </c>
    </row>
    <row r="3343" spans="10:11" x14ac:dyDescent="0.25">
      <c r="J3343" s="29" t="s">
        <v>6533</v>
      </c>
      <c r="K3343" s="29">
        <v>61119</v>
      </c>
    </row>
    <row r="3344" spans="10:11" x14ac:dyDescent="0.25">
      <c r="J3344" s="29" t="s">
        <v>6534</v>
      </c>
      <c r="K3344" s="29">
        <v>61111</v>
      </c>
    </row>
    <row r="3345" spans="10:11" x14ac:dyDescent="0.25">
      <c r="J3345" s="29" t="s">
        <v>6535</v>
      </c>
      <c r="K3345" s="29">
        <v>61111</v>
      </c>
    </row>
    <row r="3346" spans="10:11" x14ac:dyDescent="0.25">
      <c r="J3346" s="29" t="s">
        <v>6536</v>
      </c>
      <c r="K3346" s="29">
        <v>61111</v>
      </c>
    </row>
    <row r="3347" spans="10:11" x14ac:dyDescent="0.25">
      <c r="J3347" s="29" t="s">
        <v>6537</v>
      </c>
      <c r="K3347" s="29">
        <v>61111</v>
      </c>
    </row>
    <row r="3348" spans="10:11" x14ac:dyDescent="0.25">
      <c r="J3348" s="29" t="s">
        <v>6538</v>
      </c>
      <c r="K3348" s="29">
        <v>61111</v>
      </c>
    </row>
    <row r="3349" spans="10:11" x14ac:dyDescent="0.25">
      <c r="J3349" s="29" t="s">
        <v>6539</v>
      </c>
      <c r="K3349" s="29">
        <v>61115</v>
      </c>
    </row>
    <row r="3350" spans="10:11" x14ac:dyDescent="0.25">
      <c r="J3350" s="29" t="s">
        <v>6540</v>
      </c>
      <c r="K3350" s="29">
        <v>61115</v>
      </c>
    </row>
    <row r="3351" spans="10:11" x14ac:dyDescent="0.25">
      <c r="J3351" s="29" t="s">
        <v>6541</v>
      </c>
      <c r="K3351" s="29">
        <v>61222</v>
      </c>
    </row>
    <row r="3352" spans="10:11" x14ac:dyDescent="0.25">
      <c r="J3352" s="29" t="s">
        <v>6542</v>
      </c>
      <c r="K3352" s="29">
        <v>10510</v>
      </c>
    </row>
    <row r="3353" spans="10:11" x14ac:dyDescent="0.25">
      <c r="J3353" s="29" t="s">
        <v>6543</v>
      </c>
      <c r="K3353" s="29">
        <v>10510</v>
      </c>
    </row>
    <row r="3354" spans="10:11" x14ac:dyDescent="0.25">
      <c r="J3354" s="29" t="s">
        <v>6544</v>
      </c>
      <c r="K3354" s="29">
        <v>10510</v>
      </c>
    </row>
    <row r="3355" spans="10:11" x14ac:dyDescent="0.25">
      <c r="J3355" s="29" t="s">
        <v>6545</v>
      </c>
      <c r="K3355" s="29">
        <v>61461</v>
      </c>
    </row>
    <row r="3356" spans="10:11" x14ac:dyDescent="0.25">
      <c r="J3356" s="29" t="s">
        <v>6546</v>
      </c>
      <c r="K3356" s="29">
        <v>61461</v>
      </c>
    </row>
    <row r="3357" spans="10:11" x14ac:dyDescent="0.25">
      <c r="J3357" s="29" t="s">
        <v>6547</v>
      </c>
      <c r="K3357" s="29">
        <v>61461</v>
      </c>
    </row>
    <row r="3358" spans="10:11" x14ac:dyDescent="0.25">
      <c r="J3358" s="29" t="s">
        <v>6548</v>
      </c>
      <c r="K3358" s="29">
        <v>61461</v>
      </c>
    </row>
    <row r="3359" spans="10:11" x14ac:dyDescent="0.25">
      <c r="J3359" s="29" t="s">
        <v>6549</v>
      </c>
      <c r="K3359" s="29">
        <v>73280</v>
      </c>
    </row>
    <row r="3360" spans="10:11" x14ac:dyDescent="0.25">
      <c r="J3360" s="29" t="s">
        <v>6550</v>
      </c>
      <c r="K3360" s="29">
        <v>73280</v>
      </c>
    </row>
    <row r="3361" spans="10:11" x14ac:dyDescent="0.25">
      <c r="J3361" s="29" t="s">
        <v>6551</v>
      </c>
      <c r="K3361" s="29">
        <v>24427</v>
      </c>
    </row>
    <row r="3362" spans="10:11" x14ac:dyDescent="0.25">
      <c r="J3362" s="29" t="s">
        <v>6552</v>
      </c>
      <c r="K3362" s="29">
        <v>24427</v>
      </c>
    </row>
    <row r="3363" spans="10:11" x14ac:dyDescent="0.25">
      <c r="J3363" s="29" t="s">
        <v>6553</v>
      </c>
      <c r="K3363" s="29">
        <v>24427</v>
      </c>
    </row>
    <row r="3364" spans="10:11" x14ac:dyDescent="0.25">
      <c r="J3364" s="29" t="s">
        <v>6554</v>
      </c>
      <c r="K3364" s="29">
        <v>24427</v>
      </c>
    </row>
    <row r="3365" spans="10:11" x14ac:dyDescent="0.25">
      <c r="J3365" s="29" t="s">
        <v>6555</v>
      </c>
      <c r="K3365" s="29">
        <v>24427</v>
      </c>
    </row>
    <row r="3366" spans="10:11" x14ac:dyDescent="0.25">
      <c r="J3366" s="29" t="s">
        <v>6556</v>
      </c>
      <c r="K3366" s="29">
        <v>61449</v>
      </c>
    </row>
    <row r="3367" spans="10:11" x14ac:dyDescent="0.25">
      <c r="J3367" s="29" t="s">
        <v>6557</v>
      </c>
      <c r="K3367" s="29">
        <v>61449</v>
      </c>
    </row>
    <row r="3368" spans="10:11" x14ac:dyDescent="0.25">
      <c r="J3368" s="29" t="s">
        <v>6558</v>
      </c>
      <c r="K3368" s="29">
        <v>61449</v>
      </c>
    </row>
    <row r="3369" spans="10:11" x14ac:dyDescent="0.25">
      <c r="J3369" s="29" t="s">
        <v>6559</v>
      </c>
      <c r="K3369" s="29">
        <v>61449</v>
      </c>
    </row>
    <row r="3370" spans="10:11" x14ac:dyDescent="0.25">
      <c r="J3370" s="29" t="s">
        <v>6560</v>
      </c>
      <c r="K3370" s="29">
        <v>61449</v>
      </c>
    </row>
    <row r="3371" spans="10:11" x14ac:dyDescent="0.25">
      <c r="J3371" s="29" t="s">
        <v>6561</v>
      </c>
      <c r="K3371" s="29">
        <v>61449</v>
      </c>
    </row>
    <row r="3372" spans="10:11" x14ac:dyDescent="0.25">
      <c r="J3372" s="29" t="s">
        <v>6562</v>
      </c>
      <c r="K3372" s="29">
        <v>61449</v>
      </c>
    </row>
    <row r="3373" spans="10:11" x14ac:dyDescent="0.25">
      <c r="J3373" s="29" t="s">
        <v>6563</v>
      </c>
      <c r="K3373" s="29">
        <v>61449</v>
      </c>
    </row>
    <row r="3374" spans="10:11" x14ac:dyDescent="0.25">
      <c r="J3374" s="29" t="s">
        <v>6564</v>
      </c>
      <c r="K3374" s="29">
        <v>61449</v>
      </c>
    </row>
    <row r="3375" spans="10:11" x14ac:dyDescent="0.25">
      <c r="J3375" s="29" t="s">
        <v>6565</v>
      </c>
      <c r="K3375" s="29">
        <v>61449</v>
      </c>
    </row>
    <row r="3376" spans="10:11" x14ac:dyDescent="0.25">
      <c r="J3376" s="29" t="s">
        <v>6566</v>
      </c>
      <c r="K3376" s="29">
        <v>61449</v>
      </c>
    </row>
    <row r="3377" spans="10:11" x14ac:dyDescent="0.25">
      <c r="J3377" s="29" t="s">
        <v>6567</v>
      </c>
      <c r="K3377" s="29">
        <v>33259</v>
      </c>
    </row>
    <row r="3378" spans="10:11" x14ac:dyDescent="0.25">
      <c r="J3378" s="29" t="s">
        <v>6568</v>
      </c>
      <c r="K3378" s="29">
        <v>23417</v>
      </c>
    </row>
    <row r="3379" spans="10:11" x14ac:dyDescent="0.25">
      <c r="J3379" s="29" t="s">
        <v>6569</v>
      </c>
      <c r="K3379" s="29">
        <v>23417</v>
      </c>
    </row>
    <row r="3380" spans="10:11" x14ac:dyDescent="0.25">
      <c r="J3380" s="29" t="s">
        <v>6570</v>
      </c>
      <c r="K3380" s="29">
        <v>23417</v>
      </c>
    </row>
    <row r="3381" spans="10:11" x14ac:dyDescent="0.25">
      <c r="J3381" s="29" t="s">
        <v>6571</v>
      </c>
      <c r="K3381" s="29">
        <v>23417</v>
      </c>
    </row>
    <row r="3382" spans="10:11" x14ac:dyDescent="0.25">
      <c r="J3382" s="29" t="s">
        <v>6572</v>
      </c>
      <c r="K3382" s="29">
        <v>53437</v>
      </c>
    </row>
    <row r="3383" spans="10:11" x14ac:dyDescent="0.25">
      <c r="J3383" s="29" t="s">
        <v>6573</v>
      </c>
      <c r="K3383" s="29">
        <v>53437</v>
      </c>
    </row>
    <row r="3384" spans="10:11" x14ac:dyDescent="0.25">
      <c r="J3384" s="29" t="s">
        <v>6574</v>
      </c>
      <c r="K3384" s="29">
        <v>53437</v>
      </c>
    </row>
    <row r="3385" spans="10:11" x14ac:dyDescent="0.25">
      <c r="J3385" s="29" t="s">
        <v>6575</v>
      </c>
      <c r="K3385" s="29">
        <v>53437</v>
      </c>
    </row>
    <row r="3386" spans="10:11" x14ac:dyDescent="0.25">
      <c r="J3386" s="29" t="s">
        <v>6576</v>
      </c>
      <c r="K3386" s="29">
        <v>63237</v>
      </c>
    </row>
    <row r="3387" spans="10:11" x14ac:dyDescent="0.25">
      <c r="J3387" s="29" t="s">
        <v>6577</v>
      </c>
      <c r="K3387" s="29">
        <v>63237</v>
      </c>
    </row>
    <row r="3388" spans="10:11" x14ac:dyDescent="0.25">
      <c r="J3388" s="29" t="s">
        <v>6578</v>
      </c>
      <c r="K3388" s="29">
        <v>35324</v>
      </c>
    </row>
    <row r="3389" spans="10:11" x14ac:dyDescent="0.25">
      <c r="J3389" s="29" t="s">
        <v>6579</v>
      </c>
      <c r="K3389" s="29">
        <v>22567</v>
      </c>
    </row>
    <row r="3390" spans="10:11" x14ac:dyDescent="0.25">
      <c r="J3390" s="29" t="s">
        <v>6580</v>
      </c>
      <c r="K3390" s="29">
        <v>37337</v>
      </c>
    </row>
    <row r="3391" spans="10:11" x14ac:dyDescent="0.25">
      <c r="J3391" s="29" t="s">
        <v>6581</v>
      </c>
      <c r="K3391" s="29">
        <v>37337</v>
      </c>
    </row>
    <row r="3392" spans="10:11" x14ac:dyDescent="0.25">
      <c r="J3392" s="29" t="s">
        <v>6582</v>
      </c>
      <c r="K3392" s="29">
        <v>37337</v>
      </c>
    </row>
    <row r="3393" spans="10:11" x14ac:dyDescent="0.25">
      <c r="J3393" s="29" t="s">
        <v>6583</v>
      </c>
      <c r="K3393" s="29">
        <v>37337</v>
      </c>
    </row>
    <row r="3394" spans="10:11" x14ac:dyDescent="0.25">
      <c r="J3394" s="29" t="s">
        <v>6584</v>
      </c>
      <c r="K3394" s="29">
        <v>25231</v>
      </c>
    </row>
    <row r="3395" spans="10:11" x14ac:dyDescent="0.25">
      <c r="J3395" s="29" t="s">
        <v>6585</v>
      </c>
      <c r="K3395" s="29">
        <v>25231</v>
      </c>
    </row>
    <row r="3396" spans="10:11" x14ac:dyDescent="0.25">
      <c r="J3396" s="29" t="s">
        <v>6586</v>
      </c>
      <c r="K3396" s="29">
        <v>23243</v>
      </c>
    </row>
    <row r="3397" spans="10:11" x14ac:dyDescent="0.25">
      <c r="J3397" s="29" t="s">
        <v>6587</v>
      </c>
      <c r="K3397" s="29">
        <v>23243</v>
      </c>
    </row>
    <row r="3398" spans="10:11" x14ac:dyDescent="0.25">
      <c r="J3398" s="29" t="s">
        <v>6588</v>
      </c>
      <c r="K3398" s="29">
        <v>23243</v>
      </c>
    </row>
    <row r="3399" spans="10:11" x14ac:dyDescent="0.25">
      <c r="J3399" s="29" t="s">
        <v>6589</v>
      </c>
      <c r="K3399" s="29">
        <v>23243</v>
      </c>
    </row>
    <row r="3400" spans="10:11" x14ac:dyDescent="0.25">
      <c r="J3400" s="29" t="s">
        <v>6590</v>
      </c>
      <c r="K3400" s="29">
        <v>23243</v>
      </c>
    </row>
    <row r="3401" spans="10:11" x14ac:dyDescent="0.25">
      <c r="J3401" s="29" t="s">
        <v>6591</v>
      </c>
      <c r="K3401" s="29">
        <v>23243</v>
      </c>
    </row>
    <row r="3402" spans="10:11" x14ac:dyDescent="0.25">
      <c r="J3402" s="29" t="s">
        <v>6592</v>
      </c>
      <c r="K3402" s="29">
        <v>22155</v>
      </c>
    </row>
    <row r="3403" spans="10:11" x14ac:dyDescent="0.25">
      <c r="J3403" s="29" t="s">
        <v>6593</v>
      </c>
      <c r="K3403" s="29">
        <v>22155</v>
      </c>
    </row>
    <row r="3404" spans="10:11" x14ac:dyDescent="0.25">
      <c r="J3404" s="29" t="s">
        <v>6594</v>
      </c>
      <c r="K3404" s="29">
        <v>22155</v>
      </c>
    </row>
    <row r="3405" spans="10:11" x14ac:dyDescent="0.25">
      <c r="J3405" s="29" t="s">
        <v>6595</v>
      </c>
      <c r="K3405" s="29">
        <v>22155</v>
      </c>
    </row>
    <row r="3406" spans="10:11" x14ac:dyDescent="0.25">
      <c r="J3406" s="29" t="s">
        <v>6596</v>
      </c>
      <c r="K3406" s="29">
        <v>22155</v>
      </c>
    </row>
    <row r="3407" spans="10:11" x14ac:dyDescent="0.25">
      <c r="J3407" s="29" t="s">
        <v>6597</v>
      </c>
      <c r="K3407" s="29">
        <v>22155</v>
      </c>
    </row>
    <row r="3408" spans="10:11" x14ac:dyDescent="0.25">
      <c r="J3408" s="29" t="s">
        <v>6598</v>
      </c>
      <c r="K3408" s="29">
        <v>22155</v>
      </c>
    </row>
    <row r="3409" spans="10:11" x14ac:dyDescent="0.25">
      <c r="J3409" s="29" t="s">
        <v>6599</v>
      </c>
      <c r="K3409" s="29">
        <v>22155</v>
      </c>
    </row>
    <row r="3410" spans="10:11" x14ac:dyDescent="0.25">
      <c r="J3410" s="29" t="s">
        <v>6600</v>
      </c>
      <c r="K3410" s="29">
        <v>22155</v>
      </c>
    </row>
    <row r="3411" spans="10:11" x14ac:dyDescent="0.25">
      <c r="J3411" s="29" t="s">
        <v>6601</v>
      </c>
      <c r="K3411" s="29">
        <v>22155</v>
      </c>
    </row>
    <row r="3412" spans="10:11" x14ac:dyDescent="0.25">
      <c r="J3412" s="29" t="s">
        <v>6602</v>
      </c>
      <c r="K3412" s="29">
        <v>22155</v>
      </c>
    </row>
    <row r="3413" spans="10:11" x14ac:dyDescent="0.25">
      <c r="J3413" s="29" t="s">
        <v>6603</v>
      </c>
      <c r="K3413" s="29">
        <v>37311</v>
      </c>
    </row>
    <row r="3414" spans="10:11" x14ac:dyDescent="0.25">
      <c r="J3414" s="29" t="s">
        <v>6604</v>
      </c>
      <c r="K3414" s="29">
        <v>37311</v>
      </c>
    </row>
    <row r="3415" spans="10:11" x14ac:dyDescent="0.25">
      <c r="J3415" s="29" t="s">
        <v>6605</v>
      </c>
      <c r="K3415" s="29">
        <v>37311</v>
      </c>
    </row>
    <row r="3416" spans="10:11" x14ac:dyDescent="0.25">
      <c r="J3416" s="29" t="s">
        <v>6606</v>
      </c>
      <c r="K3416" s="29">
        <v>37311</v>
      </c>
    </row>
    <row r="3417" spans="10:11" x14ac:dyDescent="0.25">
      <c r="J3417" s="29" t="s">
        <v>6607</v>
      </c>
      <c r="K3417" s="29">
        <v>37311</v>
      </c>
    </row>
    <row r="3418" spans="10:11" x14ac:dyDescent="0.25">
      <c r="J3418" s="29" t="s">
        <v>6608</v>
      </c>
      <c r="K3418" s="29">
        <v>71397</v>
      </c>
    </row>
    <row r="3419" spans="10:11" x14ac:dyDescent="0.25">
      <c r="J3419" s="29" t="s">
        <v>6609</v>
      </c>
      <c r="K3419" s="29">
        <v>24227</v>
      </c>
    </row>
    <row r="3420" spans="10:11" x14ac:dyDescent="0.25">
      <c r="J3420" s="29" t="s">
        <v>6610</v>
      </c>
      <c r="K3420" s="29">
        <v>23437</v>
      </c>
    </row>
    <row r="3421" spans="10:11" x14ac:dyDescent="0.25">
      <c r="J3421" s="29" t="s">
        <v>6611</v>
      </c>
      <c r="K3421" s="29">
        <v>23437</v>
      </c>
    </row>
    <row r="3422" spans="10:11" x14ac:dyDescent="0.25">
      <c r="J3422" s="29" t="s">
        <v>6612</v>
      </c>
      <c r="K3422" s="29">
        <v>52267</v>
      </c>
    </row>
    <row r="3423" spans="10:11" x14ac:dyDescent="0.25">
      <c r="J3423" s="29" t="s">
        <v>6613</v>
      </c>
      <c r="K3423" s="29">
        <v>52267</v>
      </c>
    </row>
    <row r="3424" spans="10:11" x14ac:dyDescent="0.25">
      <c r="J3424" s="29" t="s">
        <v>6614</v>
      </c>
      <c r="K3424" s="29">
        <v>52267</v>
      </c>
    </row>
    <row r="3425" spans="10:11" x14ac:dyDescent="0.25">
      <c r="J3425" s="29" t="s">
        <v>6615</v>
      </c>
      <c r="K3425" s="29">
        <v>52267</v>
      </c>
    </row>
    <row r="3426" spans="10:11" x14ac:dyDescent="0.25">
      <c r="J3426" s="29" t="s">
        <v>6616</v>
      </c>
      <c r="K3426" s="29">
        <v>52267</v>
      </c>
    </row>
    <row r="3427" spans="10:11" x14ac:dyDescent="0.25">
      <c r="J3427" s="29" t="s">
        <v>6617</v>
      </c>
      <c r="K3427" s="29">
        <v>52267</v>
      </c>
    </row>
    <row r="3428" spans="10:11" x14ac:dyDescent="0.25">
      <c r="J3428" s="29" t="s">
        <v>6618</v>
      </c>
      <c r="K3428" s="29">
        <v>52264</v>
      </c>
    </row>
    <row r="3429" spans="10:11" x14ac:dyDescent="0.25">
      <c r="J3429" s="29" t="s">
        <v>6619</v>
      </c>
      <c r="K3429" s="29">
        <v>52264</v>
      </c>
    </row>
    <row r="3430" spans="10:11" x14ac:dyDescent="0.25">
      <c r="J3430" s="29" t="s">
        <v>6620</v>
      </c>
      <c r="K3430" s="29">
        <v>52264</v>
      </c>
    </row>
    <row r="3431" spans="10:11" x14ac:dyDescent="0.25">
      <c r="J3431" s="29" t="s">
        <v>6621</v>
      </c>
      <c r="K3431" s="29">
        <v>52264</v>
      </c>
    </row>
    <row r="3432" spans="10:11" x14ac:dyDescent="0.25">
      <c r="J3432" s="29" t="s">
        <v>6622</v>
      </c>
      <c r="K3432" s="29">
        <v>52231</v>
      </c>
    </row>
    <row r="3433" spans="10:11" x14ac:dyDescent="0.25">
      <c r="J3433" s="29" t="s">
        <v>6623</v>
      </c>
      <c r="K3433" s="29">
        <v>72214</v>
      </c>
    </row>
    <row r="3434" spans="10:11" x14ac:dyDescent="0.25">
      <c r="J3434" s="29" t="s">
        <v>6624</v>
      </c>
      <c r="K3434" s="29">
        <v>72214</v>
      </c>
    </row>
    <row r="3435" spans="10:11" x14ac:dyDescent="0.25">
      <c r="J3435" s="29" t="s">
        <v>6625</v>
      </c>
      <c r="K3435" s="29">
        <v>72214</v>
      </c>
    </row>
    <row r="3436" spans="10:11" x14ac:dyDescent="0.25">
      <c r="J3436" s="29" t="s">
        <v>6626</v>
      </c>
      <c r="K3436" s="29">
        <v>72214</v>
      </c>
    </row>
    <row r="3437" spans="10:11" x14ac:dyDescent="0.25">
      <c r="J3437" s="29" t="s">
        <v>6627</v>
      </c>
      <c r="K3437" s="29">
        <v>24331</v>
      </c>
    </row>
    <row r="3438" spans="10:11" x14ac:dyDescent="0.25">
      <c r="J3438" s="29" t="s">
        <v>6628</v>
      </c>
      <c r="K3438" s="29">
        <v>62111</v>
      </c>
    </row>
    <row r="3439" spans="10:11" x14ac:dyDescent="0.25">
      <c r="J3439" s="29" t="s">
        <v>6629</v>
      </c>
      <c r="K3439" s="29">
        <v>62111</v>
      </c>
    </row>
    <row r="3440" spans="10:11" x14ac:dyDescent="0.25">
      <c r="J3440" s="29" t="s">
        <v>6630</v>
      </c>
      <c r="K3440" s="29">
        <v>62111</v>
      </c>
    </row>
    <row r="3441" spans="10:11" x14ac:dyDescent="0.25">
      <c r="J3441" s="29" t="s">
        <v>6631</v>
      </c>
      <c r="K3441" s="29">
        <v>62111</v>
      </c>
    </row>
    <row r="3442" spans="10:11" x14ac:dyDescent="0.25">
      <c r="J3442" s="29" t="s">
        <v>6632</v>
      </c>
      <c r="K3442" s="29">
        <v>62111</v>
      </c>
    </row>
    <row r="3443" spans="10:11" x14ac:dyDescent="0.25">
      <c r="J3443" s="29" t="s">
        <v>6633</v>
      </c>
      <c r="K3443" s="29">
        <v>62111</v>
      </c>
    </row>
    <row r="3444" spans="10:11" x14ac:dyDescent="0.25">
      <c r="J3444" s="29" t="s">
        <v>6634</v>
      </c>
      <c r="K3444" s="29">
        <v>62111</v>
      </c>
    </row>
    <row r="3445" spans="10:11" x14ac:dyDescent="0.25">
      <c r="J3445" s="29" t="s">
        <v>6635</v>
      </c>
      <c r="K3445" s="29">
        <v>62111</v>
      </c>
    </row>
    <row r="3446" spans="10:11" x14ac:dyDescent="0.25">
      <c r="J3446" s="29" t="s">
        <v>6636</v>
      </c>
      <c r="K3446" s="29">
        <v>62111</v>
      </c>
    </row>
    <row r="3447" spans="10:11" x14ac:dyDescent="0.25">
      <c r="J3447" s="29" t="s">
        <v>6637</v>
      </c>
      <c r="K3447" s="29">
        <v>62111</v>
      </c>
    </row>
    <row r="3448" spans="10:11" x14ac:dyDescent="0.25">
      <c r="J3448" s="29" t="s">
        <v>6638</v>
      </c>
      <c r="K3448" s="29">
        <v>62111</v>
      </c>
    </row>
    <row r="3449" spans="10:11" x14ac:dyDescent="0.25">
      <c r="J3449" s="29" t="s">
        <v>6639</v>
      </c>
      <c r="K3449" s="29">
        <v>62111</v>
      </c>
    </row>
    <row r="3450" spans="10:11" x14ac:dyDescent="0.25">
      <c r="J3450" s="29" t="s">
        <v>6640</v>
      </c>
      <c r="K3450" s="29">
        <v>62111</v>
      </c>
    </row>
    <row r="3451" spans="10:11" x14ac:dyDescent="0.25">
      <c r="J3451" s="29" t="s">
        <v>6641</v>
      </c>
      <c r="K3451" s="29">
        <v>62111</v>
      </c>
    </row>
    <row r="3452" spans="10:11" x14ac:dyDescent="0.25">
      <c r="J3452" s="29" t="s">
        <v>6642</v>
      </c>
      <c r="K3452" s="29">
        <v>62111</v>
      </c>
    </row>
    <row r="3453" spans="10:11" x14ac:dyDescent="0.25">
      <c r="J3453" s="29" t="s">
        <v>6643</v>
      </c>
      <c r="K3453" s="29">
        <v>62111</v>
      </c>
    </row>
    <row r="3454" spans="10:11" x14ac:dyDescent="0.25">
      <c r="J3454" s="29" t="s">
        <v>6644</v>
      </c>
      <c r="K3454" s="29">
        <v>62111</v>
      </c>
    </row>
    <row r="3455" spans="10:11" x14ac:dyDescent="0.25">
      <c r="J3455" s="29" t="s">
        <v>6645</v>
      </c>
      <c r="K3455" s="29">
        <v>62111</v>
      </c>
    </row>
    <row r="3456" spans="10:11" x14ac:dyDescent="0.25">
      <c r="J3456" s="29" t="s">
        <v>6646</v>
      </c>
      <c r="K3456" s="29">
        <v>62111</v>
      </c>
    </row>
    <row r="3457" spans="10:11" x14ac:dyDescent="0.25">
      <c r="J3457" s="29" t="s">
        <v>6647</v>
      </c>
      <c r="K3457" s="29">
        <v>62111</v>
      </c>
    </row>
    <row r="3458" spans="10:11" x14ac:dyDescent="0.25">
      <c r="J3458" s="29" t="s">
        <v>6648</v>
      </c>
      <c r="K3458" s="29">
        <v>34261</v>
      </c>
    </row>
    <row r="3459" spans="10:11" x14ac:dyDescent="0.25">
      <c r="J3459" s="29" t="s">
        <v>6649</v>
      </c>
      <c r="K3459" s="29">
        <v>62266</v>
      </c>
    </row>
    <row r="3460" spans="10:11" x14ac:dyDescent="0.25">
      <c r="J3460" s="29" t="s">
        <v>6650</v>
      </c>
      <c r="K3460" s="29">
        <v>62266</v>
      </c>
    </row>
    <row r="3461" spans="10:11" x14ac:dyDescent="0.25">
      <c r="J3461" s="29" t="s">
        <v>6651</v>
      </c>
      <c r="K3461" s="29">
        <v>51221</v>
      </c>
    </row>
    <row r="3462" spans="10:11" x14ac:dyDescent="0.25">
      <c r="J3462" s="29" t="s">
        <v>6652</v>
      </c>
      <c r="K3462" s="29">
        <v>51221</v>
      </c>
    </row>
    <row r="3463" spans="10:11" x14ac:dyDescent="0.25">
      <c r="J3463" s="29" t="s">
        <v>6653</v>
      </c>
      <c r="K3463" s="29">
        <v>51221</v>
      </c>
    </row>
    <row r="3464" spans="10:11" x14ac:dyDescent="0.25">
      <c r="J3464" s="29" t="s">
        <v>6654</v>
      </c>
      <c r="K3464" s="29">
        <v>51221</v>
      </c>
    </row>
    <row r="3465" spans="10:11" x14ac:dyDescent="0.25">
      <c r="J3465" s="29" t="s">
        <v>6655</v>
      </c>
      <c r="K3465" s="29">
        <v>51221</v>
      </c>
    </row>
    <row r="3466" spans="10:11" x14ac:dyDescent="0.25">
      <c r="J3466" s="29" t="s">
        <v>6656</v>
      </c>
      <c r="K3466" s="29">
        <v>51221</v>
      </c>
    </row>
    <row r="3467" spans="10:11" x14ac:dyDescent="0.25">
      <c r="J3467" s="29" t="s">
        <v>6657</v>
      </c>
      <c r="K3467" s="29">
        <v>51221</v>
      </c>
    </row>
    <row r="3468" spans="10:11" x14ac:dyDescent="0.25">
      <c r="J3468" s="29" t="s">
        <v>6658</v>
      </c>
      <c r="K3468" s="29">
        <v>51221</v>
      </c>
    </row>
    <row r="3469" spans="10:11" x14ac:dyDescent="0.25">
      <c r="J3469" s="29" t="s">
        <v>6659</v>
      </c>
      <c r="K3469" s="29">
        <v>51227</v>
      </c>
    </row>
    <row r="3470" spans="10:11" x14ac:dyDescent="0.25">
      <c r="J3470" s="29" t="s">
        <v>6660</v>
      </c>
      <c r="K3470" s="29">
        <v>51227</v>
      </c>
    </row>
    <row r="3471" spans="10:11" x14ac:dyDescent="0.25">
      <c r="J3471" s="29" t="s">
        <v>6661</v>
      </c>
      <c r="K3471" s="29">
        <v>21188</v>
      </c>
    </row>
    <row r="3472" spans="10:11" x14ac:dyDescent="0.25">
      <c r="J3472" s="29" t="s">
        <v>6662</v>
      </c>
      <c r="K3472" s="29">
        <v>21188</v>
      </c>
    </row>
    <row r="3473" spans="10:11" x14ac:dyDescent="0.25">
      <c r="J3473" s="29" t="s">
        <v>6663</v>
      </c>
      <c r="K3473" s="29">
        <v>21188</v>
      </c>
    </row>
    <row r="3474" spans="10:11" x14ac:dyDescent="0.25">
      <c r="J3474" s="29" t="s">
        <v>6664</v>
      </c>
      <c r="K3474" s="29">
        <v>21188</v>
      </c>
    </row>
    <row r="3475" spans="10:11" x14ac:dyDescent="0.25">
      <c r="J3475" s="29" t="s">
        <v>6665</v>
      </c>
      <c r="K3475" s="29">
        <v>21188</v>
      </c>
    </row>
    <row r="3476" spans="10:11" x14ac:dyDescent="0.25">
      <c r="J3476" s="29" t="s">
        <v>6666</v>
      </c>
      <c r="K3476" s="29">
        <v>21188</v>
      </c>
    </row>
    <row r="3477" spans="10:11" x14ac:dyDescent="0.25">
      <c r="J3477" s="29" t="s">
        <v>6667</v>
      </c>
      <c r="K3477" s="29">
        <v>21188</v>
      </c>
    </row>
    <row r="3478" spans="10:11" x14ac:dyDescent="0.25">
      <c r="J3478" s="29" t="s">
        <v>6668</v>
      </c>
      <c r="K3478" s="29">
        <v>21188</v>
      </c>
    </row>
    <row r="3479" spans="10:11" x14ac:dyDescent="0.25">
      <c r="J3479" s="29" t="s">
        <v>6669</v>
      </c>
      <c r="K3479" s="29">
        <v>21188</v>
      </c>
    </row>
    <row r="3480" spans="10:11" x14ac:dyDescent="0.25">
      <c r="J3480" s="29" t="s">
        <v>6670</v>
      </c>
      <c r="K3480" s="29">
        <v>21188</v>
      </c>
    </row>
    <row r="3481" spans="10:11" x14ac:dyDescent="0.25">
      <c r="J3481" s="29" t="s">
        <v>6671</v>
      </c>
      <c r="K3481" s="29">
        <v>53139</v>
      </c>
    </row>
    <row r="3482" spans="10:11" x14ac:dyDescent="0.25">
      <c r="J3482" s="29" t="s">
        <v>6672</v>
      </c>
      <c r="K3482" s="29">
        <v>53139</v>
      </c>
    </row>
    <row r="3483" spans="10:11" x14ac:dyDescent="0.25">
      <c r="J3483" s="29" t="s">
        <v>6673</v>
      </c>
      <c r="K3483" s="29">
        <v>35213</v>
      </c>
    </row>
    <row r="3484" spans="10:11" x14ac:dyDescent="0.25">
      <c r="J3484" s="29" t="s">
        <v>6674</v>
      </c>
      <c r="K3484" s="29">
        <v>35211</v>
      </c>
    </row>
    <row r="3485" spans="10:11" x14ac:dyDescent="0.25">
      <c r="J3485" s="29" t="s">
        <v>6675</v>
      </c>
      <c r="K3485" s="29">
        <v>52221</v>
      </c>
    </row>
    <row r="3486" spans="10:11" x14ac:dyDescent="0.25">
      <c r="J3486" s="29" t="s">
        <v>6676</v>
      </c>
      <c r="K3486" s="29">
        <v>55131</v>
      </c>
    </row>
    <row r="3487" spans="10:11" x14ac:dyDescent="0.25">
      <c r="J3487" s="29" t="s">
        <v>6677</v>
      </c>
      <c r="K3487" s="29">
        <v>34386</v>
      </c>
    </row>
    <row r="3488" spans="10:11" x14ac:dyDescent="0.25">
      <c r="J3488" s="29" t="s">
        <v>6678</v>
      </c>
      <c r="K3488" s="29">
        <v>34386</v>
      </c>
    </row>
    <row r="3489" spans="10:11" x14ac:dyDescent="0.25">
      <c r="J3489" s="29" t="s">
        <v>6679</v>
      </c>
      <c r="K3489" s="29">
        <v>34386</v>
      </c>
    </row>
    <row r="3490" spans="10:11" x14ac:dyDescent="0.25">
      <c r="J3490" s="29" t="s">
        <v>6680</v>
      </c>
      <c r="K3490" s="29">
        <v>53435</v>
      </c>
    </row>
    <row r="3491" spans="10:11" x14ac:dyDescent="0.25">
      <c r="J3491" s="29" t="s">
        <v>6681</v>
      </c>
      <c r="K3491" s="29">
        <v>53435</v>
      </c>
    </row>
    <row r="3492" spans="10:11" x14ac:dyDescent="0.25">
      <c r="J3492" s="29" t="s">
        <v>6682</v>
      </c>
      <c r="K3492" s="29">
        <v>53435</v>
      </c>
    </row>
    <row r="3493" spans="10:11" x14ac:dyDescent="0.25">
      <c r="J3493" s="29" t="s">
        <v>6683</v>
      </c>
      <c r="K3493" s="29">
        <v>37323</v>
      </c>
    </row>
    <row r="3494" spans="10:11" x14ac:dyDescent="0.25">
      <c r="J3494" s="29" t="s">
        <v>6684</v>
      </c>
      <c r="K3494" s="29">
        <v>73232</v>
      </c>
    </row>
    <row r="3495" spans="10:11" x14ac:dyDescent="0.25">
      <c r="J3495" s="29" t="s">
        <v>6685</v>
      </c>
      <c r="K3495" s="29">
        <v>73232</v>
      </c>
    </row>
    <row r="3496" spans="10:11" x14ac:dyDescent="0.25">
      <c r="J3496" s="29" t="s">
        <v>6686</v>
      </c>
      <c r="K3496" s="29">
        <v>73232</v>
      </c>
    </row>
    <row r="3497" spans="10:11" x14ac:dyDescent="0.25">
      <c r="J3497" s="29" t="s">
        <v>6687</v>
      </c>
      <c r="K3497" s="29">
        <v>73232</v>
      </c>
    </row>
    <row r="3498" spans="10:11" x14ac:dyDescent="0.25">
      <c r="J3498" s="29" t="s">
        <v>6688</v>
      </c>
      <c r="K3498" s="29">
        <v>62253</v>
      </c>
    </row>
    <row r="3499" spans="10:11" x14ac:dyDescent="0.25">
      <c r="J3499" s="29" t="s">
        <v>6689</v>
      </c>
      <c r="K3499" s="29">
        <v>62253</v>
      </c>
    </row>
    <row r="3500" spans="10:11" x14ac:dyDescent="0.25">
      <c r="J3500" s="29" t="s">
        <v>6690</v>
      </c>
      <c r="K3500" s="29">
        <v>62271</v>
      </c>
    </row>
    <row r="3501" spans="10:11" x14ac:dyDescent="0.25">
      <c r="J3501" s="29" t="s">
        <v>6691</v>
      </c>
      <c r="K3501" s="29">
        <v>62295</v>
      </c>
    </row>
    <row r="3502" spans="10:11" x14ac:dyDescent="0.25">
      <c r="J3502" s="29" t="s">
        <v>6692</v>
      </c>
      <c r="K3502" s="29">
        <v>61459</v>
      </c>
    </row>
    <row r="3503" spans="10:11" x14ac:dyDescent="0.25">
      <c r="J3503" s="29" t="s">
        <v>6693</v>
      </c>
      <c r="K3503" s="29">
        <v>53415</v>
      </c>
    </row>
    <row r="3504" spans="10:11" x14ac:dyDescent="0.25">
      <c r="J3504" s="29" t="s">
        <v>6694</v>
      </c>
      <c r="K3504" s="29">
        <v>53425</v>
      </c>
    </row>
    <row r="3505" spans="10:11" x14ac:dyDescent="0.25">
      <c r="J3505" s="29" t="s">
        <v>6695</v>
      </c>
      <c r="K3505" s="29">
        <v>53425</v>
      </c>
    </row>
    <row r="3506" spans="10:11" x14ac:dyDescent="0.25">
      <c r="J3506" s="29" t="s">
        <v>6696</v>
      </c>
      <c r="K3506" s="29">
        <v>53425</v>
      </c>
    </row>
    <row r="3507" spans="10:11" x14ac:dyDescent="0.25">
      <c r="J3507" s="29" t="s">
        <v>6697</v>
      </c>
      <c r="K3507" s="29">
        <v>51365</v>
      </c>
    </row>
    <row r="3508" spans="10:11" x14ac:dyDescent="0.25">
      <c r="J3508" s="29" t="s">
        <v>6698</v>
      </c>
      <c r="K3508" s="29">
        <v>51365</v>
      </c>
    </row>
    <row r="3509" spans="10:11" x14ac:dyDescent="0.25">
      <c r="J3509" s="29" t="s">
        <v>6699</v>
      </c>
      <c r="K3509" s="29">
        <v>72211</v>
      </c>
    </row>
    <row r="3510" spans="10:11" x14ac:dyDescent="0.25">
      <c r="J3510" s="29" t="s">
        <v>6700</v>
      </c>
      <c r="K3510" s="29">
        <v>72211</v>
      </c>
    </row>
    <row r="3511" spans="10:11" x14ac:dyDescent="0.25">
      <c r="J3511" s="29" t="s">
        <v>6701</v>
      </c>
      <c r="K3511" s="29">
        <v>72211</v>
      </c>
    </row>
    <row r="3512" spans="10:11" x14ac:dyDescent="0.25">
      <c r="J3512" s="29" t="s">
        <v>6702</v>
      </c>
      <c r="K3512" s="29">
        <v>72211</v>
      </c>
    </row>
    <row r="3513" spans="10:11" x14ac:dyDescent="0.25">
      <c r="J3513" s="29" t="s">
        <v>6703</v>
      </c>
      <c r="K3513" s="29">
        <v>72211</v>
      </c>
    </row>
    <row r="3514" spans="10:11" x14ac:dyDescent="0.25">
      <c r="J3514" s="29" t="s">
        <v>6704</v>
      </c>
      <c r="K3514" s="29">
        <v>72211</v>
      </c>
    </row>
    <row r="3515" spans="10:11" x14ac:dyDescent="0.25">
      <c r="J3515" s="29" t="s">
        <v>6705</v>
      </c>
      <c r="K3515" s="29">
        <v>72211</v>
      </c>
    </row>
    <row r="3516" spans="10:11" x14ac:dyDescent="0.25">
      <c r="J3516" s="29" t="s">
        <v>6706</v>
      </c>
      <c r="K3516" s="29">
        <v>72211</v>
      </c>
    </row>
    <row r="3517" spans="10:11" x14ac:dyDescent="0.25">
      <c r="J3517" s="29" t="s">
        <v>6707</v>
      </c>
      <c r="K3517" s="29">
        <v>72211</v>
      </c>
    </row>
    <row r="3518" spans="10:11" x14ac:dyDescent="0.25">
      <c r="J3518" s="29" t="s">
        <v>6708</v>
      </c>
      <c r="K3518" s="29">
        <v>35171</v>
      </c>
    </row>
    <row r="3519" spans="10:11" x14ac:dyDescent="0.25">
      <c r="J3519" s="29" t="s">
        <v>6709</v>
      </c>
      <c r="K3519" s="29">
        <v>35171</v>
      </c>
    </row>
    <row r="3520" spans="10:11" x14ac:dyDescent="0.25">
      <c r="J3520" s="29" t="s">
        <v>6710</v>
      </c>
      <c r="K3520" s="29">
        <v>35459</v>
      </c>
    </row>
    <row r="3521" spans="10:11" x14ac:dyDescent="0.25">
      <c r="J3521" s="29" t="s">
        <v>6711</v>
      </c>
      <c r="K3521" s="29">
        <v>35459</v>
      </c>
    </row>
    <row r="3522" spans="10:11" x14ac:dyDescent="0.25">
      <c r="J3522" s="29" t="s">
        <v>6712</v>
      </c>
      <c r="K3522" s="29">
        <v>71324</v>
      </c>
    </row>
    <row r="3523" spans="10:11" x14ac:dyDescent="0.25">
      <c r="J3523" s="29" t="s">
        <v>6713</v>
      </c>
      <c r="K3523" s="29">
        <v>71324</v>
      </c>
    </row>
    <row r="3524" spans="10:11" x14ac:dyDescent="0.25">
      <c r="J3524" s="29" t="s">
        <v>6714</v>
      </c>
      <c r="K3524" s="29">
        <v>71324</v>
      </c>
    </row>
    <row r="3525" spans="10:11" x14ac:dyDescent="0.25">
      <c r="J3525" s="29" t="s">
        <v>6715</v>
      </c>
      <c r="K3525" s="29">
        <v>71324</v>
      </c>
    </row>
    <row r="3526" spans="10:11" x14ac:dyDescent="0.25">
      <c r="J3526" s="29" t="s">
        <v>6716</v>
      </c>
      <c r="K3526" s="29">
        <v>71324</v>
      </c>
    </row>
    <row r="3527" spans="10:11" x14ac:dyDescent="0.25">
      <c r="J3527" s="29" t="s">
        <v>6717</v>
      </c>
      <c r="K3527" s="29">
        <v>73282</v>
      </c>
    </row>
    <row r="3528" spans="10:11" x14ac:dyDescent="0.25">
      <c r="J3528" s="29" t="s">
        <v>6718</v>
      </c>
      <c r="K3528" s="29">
        <v>62261</v>
      </c>
    </row>
    <row r="3529" spans="10:11" x14ac:dyDescent="0.25">
      <c r="J3529" s="29" t="s">
        <v>6719</v>
      </c>
      <c r="K3529" s="29">
        <v>36124</v>
      </c>
    </row>
    <row r="3530" spans="10:11" x14ac:dyDescent="0.25">
      <c r="J3530" s="29" t="s">
        <v>6720</v>
      </c>
      <c r="K3530" s="29">
        <v>36124</v>
      </c>
    </row>
    <row r="3531" spans="10:11" x14ac:dyDescent="0.25">
      <c r="J3531" s="29" t="s">
        <v>6721</v>
      </c>
      <c r="K3531" s="29">
        <v>31146</v>
      </c>
    </row>
    <row r="3532" spans="10:11" x14ac:dyDescent="0.25">
      <c r="J3532" s="29" t="s">
        <v>6722</v>
      </c>
      <c r="K3532" s="29">
        <v>31131</v>
      </c>
    </row>
    <row r="3533" spans="10:11" x14ac:dyDescent="0.25">
      <c r="J3533" s="29" t="s">
        <v>6723</v>
      </c>
      <c r="K3533" s="29">
        <v>31116</v>
      </c>
    </row>
    <row r="3534" spans="10:11" x14ac:dyDescent="0.25">
      <c r="J3534" s="29" t="s">
        <v>6724</v>
      </c>
      <c r="K3534" s="29">
        <v>31116</v>
      </c>
    </row>
    <row r="3535" spans="10:11" x14ac:dyDescent="0.25">
      <c r="J3535" s="29" t="s">
        <v>6725</v>
      </c>
      <c r="K3535" s="29">
        <v>31116</v>
      </c>
    </row>
    <row r="3536" spans="10:11" x14ac:dyDescent="0.25">
      <c r="J3536" s="29" t="s">
        <v>6726</v>
      </c>
      <c r="K3536" s="29">
        <v>31116</v>
      </c>
    </row>
    <row r="3537" spans="10:11" x14ac:dyDescent="0.25">
      <c r="J3537" s="29" t="s">
        <v>6727</v>
      </c>
      <c r="K3537" s="29">
        <v>31116</v>
      </c>
    </row>
    <row r="3538" spans="10:11" x14ac:dyDescent="0.25">
      <c r="J3538" s="29" t="s">
        <v>6728</v>
      </c>
      <c r="K3538" s="29">
        <v>31116</v>
      </c>
    </row>
    <row r="3539" spans="10:11" x14ac:dyDescent="0.25">
      <c r="J3539" s="29" t="s">
        <v>6729</v>
      </c>
      <c r="K3539" s="29">
        <v>31116</v>
      </c>
    </row>
    <row r="3540" spans="10:11" x14ac:dyDescent="0.25">
      <c r="J3540" s="29" t="s">
        <v>6730</v>
      </c>
      <c r="K3540" s="29">
        <v>31116</v>
      </c>
    </row>
    <row r="3541" spans="10:11" x14ac:dyDescent="0.25">
      <c r="J3541" s="29" t="s">
        <v>6731</v>
      </c>
      <c r="K3541" s="29">
        <v>31116</v>
      </c>
    </row>
    <row r="3542" spans="10:11" x14ac:dyDescent="0.25">
      <c r="J3542" s="29" t="s">
        <v>6732</v>
      </c>
      <c r="K3542" s="29">
        <v>31151</v>
      </c>
    </row>
    <row r="3543" spans="10:11" x14ac:dyDescent="0.25">
      <c r="J3543" s="29" t="s">
        <v>6733</v>
      </c>
      <c r="K3543" s="29">
        <v>31151</v>
      </c>
    </row>
    <row r="3544" spans="10:11" x14ac:dyDescent="0.25">
      <c r="J3544" s="29" t="s">
        <v>6734</v>
      </c>
      <c r="K3544" s="29">
        <v>31151</v>
      </c>
    </row>
    <row r="3545" spans="10:11" x14ac:dyDescent="0.25">
      <c r="J3545" s="29" t="s">
        <v>6735</v>
      </c>
      <c r="K3545" s="29">
        <v>31151</v>
      </c>
    </row>
    <row r="3546" spans="10:11" x14ac:dyDescent="0.25">
      <c r="J3546" s="29" t="s">
        <v>6736</v>
      </c>
      <c r="K3546" s="29">
        <v>31151</v>
      </c>
    </row>
    <row r="3547" spans="10:11" x14ac:dyDescent="0.25">
      <c r="J3547" s="29" t="s">
        <v>6737</v>
      </c>
      <c r="K3547" s="29">
        <v>31151</v>
      </c>
    </row>
    <row r="3548" spans="10:11" x14ac:dyDescent="0.25">
      <c r="J3548" s="29" t="s">
        <v>6738</v>
      </c>
      <c r="K3548" s="29">
        <v>31126</v>
      </c>
    </row>
    <row r="3549" spans="10:11" x14ac:dyDescent="0.25">
      <c r="J3549" s="29" t="s">
        <v>6739</v>
      </c>
      <c r="K3549" s="29">
        <v>31141</v>
      </c>
    </row>
    <row r="3550" spans="10:11" x14ac:dyDescent="0.25">
      <c r="J3550" s="29" t="s">
        <v>6740</v>
      </c>
      <c r="K3550" s="29">
        <v>31141</v>
      </c>
    </row>
    <row r="3551" spans="10:11" x14ac:dyDescent="0.25">
      <c r="J3551" s="29" t="s">
        <v>6741</v>
      </c>
      <c r="K3551" s="29">
        <v>31141</v>
      </c>
    </row>
    <row r="3552" spans="10:11" x14ac:dyDescent="0.25">
      <c r="J3552" s="29" t="s">
        <v>6742</v>
      </c>
      <c r="K3552" s="29">
        <v>31141</v>
      </c>
    </row>
    <row r="3553" spans="10:11" x14ac:dyDescent="0.25">
      <c r="J3553" s="29" t="s">
        <v>6743</v>
      </c>
      <c r="K3553" s="29">
        <v>31161</v>
      </c>
    </row>
    <row r="3554" spans="10:11" x14ac:dyDescent="0.25">
      <c r="J3554" s="29" t="s">
        <v>6744</v>
      </c>
      <c r="K3554" s="29">
        <v>31161</v>
      </c>
    </row>
    <row r="3555" spans="10:11" x14ac:dyDescent="0.25">
      <c r="J3555" s="29" t="s">
        <v>6745</v>
      </c>
      <c r="K3555" s="29">
        <v>31161</v>
      </c>
    </row>
    <row r="3556" spans="10:11" x14ac:dyDescent="0.25">
      <c r="J3556" s="29" t="s">
        <v>6746</v>
      </c>
      <c r="K3556" s="29">
        <v>31161</v>
      </c>
    </row>
    <row r="3557" spans="10:11" x14ac:dyDescent="0.25">
      <c r="J3557" s="29" t="s">
        <v>6747</v>
      </c>
      <c r="K3557" s="29">
        <v>31161</v>
      </c>
    </row>
    <row r="3558" spans="10:11" x14ac:dyDescent="0.25">
      <c r="J3558" s="29" t="s">
        <v>6748</v>
      </c>
      <c r="K3558" s="29">
        <v>31161</v>
      </c>
    </row>
    <row r="3559" spans="10:11" x14ac:dyDescent="0.25">
      <c r="J3559" s="29" t="s">
        <v>6749</v>
      </c>
      <c r="K3559" s="29">
        <v>31161</v>
      </c>
    </row>
    <row r="3560" spans="10:11" x14ac:dyDescent="0.25">
      <c r="J3560" s="29" t="s">
        <v>6750</v>
      </c>
      <c r="K3560" s="29">
        <v>31161</v>
      </c>
    </row>
    <row r="3561" spans="10:11" x14ac:dyDescent="0.25">
      <c r="J3561" s="29" t="s">
        <v>6751</v>
      </c>
      <c r="K3561" s="29">
        <v>31121</v>
      </c>
    </row>
    <row r="3562" spans="10:11" x14ac:dyDescent="0.25">
      <c r="J3562" s="29" t="s">
        <v>6752</v>
      </c>
      <c r="K3562" s="29">
        <v>31121</v>
      </c>
    </row>
    <row r="3563" spans="10:11" x14ac:dyDescent="0.25">
      <c r="J3563" s="29" t="s">
        <v>6753</v>
      </c>
      <c r="K3563" s="29">
        <v>31121</v>
      </c>
    </row>
    <row r="3564" spans="10:11" x14ac:dyDescent="0.25">
      <c r="J3564" s="29" t="s">
        <v>6754</v>
      </c>
      <c r="K3564" s="29">
        <v>31121</v>
      </c>
    </row>
    <row r="3565" spans="10:11" x14ac:dyDescent="0.25">
      <c r="J3565" s="29" t="s">
        <v>6755</v>
      </c>
      <c r="K3565" s="29">
        <v>31121</v>
      </c>
    </row>
    <row r="3566" spans="10:11" x14ac:dyDescent="0.25">
      <c r="J3566" s="29" t="s">
        <v>6756</v>
      </c>
      <c r="K3566" s="29">
        <v>31121</v>
      </c>
    </row>
    <row r="3567" spans="10:11" x14ac:dyDescent="0.25">
      <c r="J3567" s="29" t="s">
        <v>6757</v>
      </c>
      <c r="K3567" s="29">
        <v>31121</v>
      </c>
    </row>
    <row r="3568" spans="10:11" x14ac:dyDescent="0.25">
      <c r="J3568" s="29" t="s">
        <v>6758</v>
      </c>
      <c r="K3568" s="29">
        <v>31121</v>
      </c>
    </row>
    <row r="3569" spans="10:11" x14ac:dyDescent="0.25">
      <c r="J3569" s="29" t="s">
        <v>6759</v>
      </c>
      <c r="K3569" s="29">
        <v>31121</v>
      </c>
    </row>
    <row r="3570" spans="10:11" x14ac:dyDescent="0.25">
      <c r="J3570" s="29" t="s">
        <v>6760</v>
      </c>
      <c r="K3570" s="29">
        <v>31121</v>
      </c>
    </row>
    <row r="3571" spans="10:11" x14ac:dyDescent="0.25">
      <c r="J3571" s="29" t="s">
        <v>6761</v>
      </c>
      <c r="K3571" s="29">
        <v>31121</v>
      </c>
    </row>
    <row r="3572" spans="10:11" x14ac:dyDescent="0.25">
      <c r="J3572" s="29" t="s">
        <v>6762</v>
      </c>
      <c r="K3572" s="29">
        <v>31121</v>
      </c>
    </row>
    <row r="3573" spans="10:11" x14ac:dyDescent="0.25">
      <c r="J3573" s="29" t="s">
        <v>6763</v>
      </c>
      <c r="K3573" s="29">
        <v>31121</v>
      </c>
    </row>
    <row r="3574" spans="10:11" x14ac:dyDescent="0.25">
      <c r="J3574" s="29" t="s">
        <v>6764</v>
      </c>
      <c r="K3574" s="29">
        <v>31156</v>
      </c>
    </row>
    <row r="3575" spans="10:11" x14ac:dyDescent="0.25">
      <c r="J3575" s="29" t="s">
        <v>6765</v>
      </c>
      <c r="K3575" s="29">
        <v>31156</v>
      </c>
    </row>
    <row r="3576" spans="10:11" x14ac:dyDescent="0.25">
      <c r="J3576" s="29" t="s">
        <v>6766</v>
      </c>
      <c r="K3576" s="29">
        <v>31156</v>
      </c>
    </row>
    <row r="3577" spans="10:11" x14ac:dyDescent="0.25">
      <c r="J3577" s="29" t="s">
        <v>6767</v>
      </c>
      <c r="K3577" s="29">
        <v>31111</v>
      </c>
    </row>
    <row r="3578" spans="10:11" x14ac:dyDescent="0.25">
      <c r="J3578" s="29" t="s">
        <v>6768</v>
      </c>
      <c r="K3578" s="29">
        <v>31111</v>
      </c>
    </row>
    <row r="3579" spans="10:11" x14ac:dyDescent="0.25">
      <c r="J3579" s="29" t="s">
        <v>6769</v>
      </c>
      <c r="K3579" s="29">
        <v>31111</v>
      </c>
    </row>
    <row r="3580" spans="10:11" x14ac:dyDescent="0.25">
      <c r="J3580" s="29" t="s">
        <v>6770</v>
      </c>
      <c r="K3580" s="29">
        <v>31111</v>
      </c>
    </row>
    <row r="3581" spans="10:11" x14ac:dyDescent="0.25">
      <c r="J3581" s="29" t="s">
        <v>6771</v>
      </c>
      <c r="K3581" s="29">
        <v>31111</v>
      </c>
    </row>
    <row r="3582" spans="10:11" x14ac:dyDescent="0.25">
      <c r="J3582" s="29" t="s">
        <v>6772</v>
      </c>
      <c r="K3582" s="29">
        <v>31111</v>
      </c>
    </row>
    <row r="3583" spans="10:11" x14ac:dyDescent="0.25">
      <c r="J3583" s="29" t="s">
        <v>6773</v>
      </c>
      <c r="K3583" s="29">
        <v>31111</v>
      </c>
    </row>
    <row r="3584" spans="10:11" x14ac:dyDescent="0.25">
      <c r="J3584" s="29" t="s">
        <v>6774</v>
      </c>
      <c r="K3584" s="29">
        <v>31111</v>
      </c>
    </row>
    <row r="3585" spans="10:11" x14ac:dyDescent="0.25">
      <c r="J3585" s="29" t="s">
        <v>6775</v>
      </c>
      <c r="K3585" s="29">
        <v>31111</v>
      </c>
    </row>
    <row r="3586" spans="10:11" x14ac:dyDescent="0.25">
      <c r="J3586" s="29" t="s">
        <v>6776</v>
      </c>
      <c r="K3586" s="29">
        <v>31111</v>
      </c>
    </row>
    <row r="3587" spans="10:11" x14ac:dyDescent="0.25">
      <c r="J3587" s="29" t="s">
        <v>6777</v>
      </c>
      <c r="K3587" s="29">
        <v>31111</v>
      </c>
    </row>
    <row r="3588" spans="10:11" x14ac:dyDescent="0.25">
      <c r="J3588" s="29" t="s">
        <v>6778</v>
      </c>
      <c r="K3588" s="29">
        <v>31111</v>
      </c>
    </row>
    <row r="3589" spans="10:11" x14ac:dyDescent="0.25">
      <c r="J3589" s="29" t="s">
        <v>6779</v>
      </c>
      <c r="K3589" s="29">
        <v>31111</v>
      </c>
    </row>
    <row r="3590" spans="10:11" x14ac:dyDescent="0.25">
      <c r="J3590" s="29" t="s">
        <v>6780</v>
      </c>
      <c r="K3590" s="29">
        <v>31111</v>
      </c>
    </row>
    <row r="3591" spans="10:11" x14ac:dyDescent="0.25">
      <c r="J3591" s="29" t="s">
        <v>6781</v>
      </c>
      <c r="K3591" s="29">
        <v>31111</v>
      </c>
    </row>
    <row r="3592" spans="10:11" x14ac:dyDescent="0.25">
      <c r="J3592" s="29" t="s">
        <v>6782</v>
      </c>
      <c r="K3592" s="29">
        <v>31111</v>
      </c>
    </row>
    <row r="3593" spans="10:11" x14ac:dyDescent="0.25">
      <c r="J3593" s="29" t="s">
        <v>6783</v>
      </c>
      <c r="K3593" s="29">
        <v>31111</v>
      </c>
    </row>
    <row r="3594" spans="10:11" x14ac:dyDescent="0.25">
      <c r="J3594" s="29" t="s">
        <v>6784</v>
      </c>
      <c r="K3594" s="29">
        <v>31111</v>
      </c>
    </row>
    <row r="3595" spans="10:11" x14ac:dyDescent="0.25">
      <c r="J3595" s="29" t="s">
        <v>6785</v>
      </c>
      <c r="K3595" s="29">
        <v>31111</v>
      </c>
    </row>
    <row r="3596" spans="10:11" x14ac:dyDescent="0.25">
      <c r="J3596" s="29" t="s">
        <v>6786</v>
      </c>
      <c r="K3596" s="29">
        <v>31111</v>
      </c>
    </row>
    <row r="3597" spans="10:11" x14ac:dyDescent="0.25">
      <c r="J3597" s="29" t="s">
        <v>6787</v>
      </c>
      <c r="K3597" s="29">
        <v>31111</v>
      </c>
    </row>
    <row r="3598" spans="10:11" x14ac:dyDescent="0.25">
      <c r="J3598" s="29" t="s">
        <v>6788</v>
      </c>
      <c r="K3598" s="29">
        <v>31111</v>
      </c>
    </row>
    <row r="3599" spans="10:11" x14ac:dyDescent="0.25">
      <c r="J3599" s="29" t="s">
        <v>6789</v>
      </c>
      <c r="K3599" s="29">
        <v>31111</v>
      </c>
    </row>
    <row r="3600" spans="10:11" x14ac:dyDescent="0.25">
      <c r="J3600" s="29" t="s">
        <v>6790</v>
      </c>
      <c r="K3600" s="29">
        <v>31111</v>
      </c>
    </row>
    <row r="3601" spans="10:11" x14ac:dyDescent="0.25">
      <c r="J3601" s="29" t="s">
        <v>6791</v>
      </c>
      <c r="K3601" s="29">
        <v>31111</v>
      </c>
    </row>
    <row r="3602" spans="10:11" x14ac:dyDescent="0.25">
      <c r="J3602" s="29" t="s">
        <v>6792</v>
      </c>
      <c r="K3602" s="29">
        <v>31111</v>
      </c>
    </row>
    <row r="3603" spans="10:11" x14ac:dyDescent="0.25">
      <c r="J3603" s="29" t="s">
        <v>6793</v>
      </c>
      <c r="K3603" s="29">
        <v>31111</v>
      </c>
    </row>
    <row r="3604" spans="10:11" x14ac:dyDescent="0.25">
      <c r="J3604" s="29" t="s">
        <v>6794</v>
      </c>
      <c r="K3604" s="29">
        <v>31111</v>
      </c>
    </row>
    <row r="3605" spans="10:11" x14ac:dyDescent="0.25">
      <c r="J3605" s="29" t="s">
        <v>6795</v>
      </c>
      <c r="K3605" s="29">
        <v>31111</v>
      </c>
    </row>
    <row r="3606" spans="10:11" x14ac:dyDescent="0.25">
      <c r="J3606" s="29" t="s">
        <v>6796</v>
      </c>
      <c r="K3606" s="29">
        <v>31111</v>
      </c>
    </row>
    <row r="3607" spans="10:11" x14ac:dyDescent="0.25">
      <c r="J3607" s="29" t="s">
        <v>6797</v>
      </c>
      <c r="K3607" s="29">
        <v>31111</v>
      </c>
    </row>
    <row r="3608" spans="10:11" x14ac:dyDescent="0.25">
      <c r="J3608" s="29" t="s">
        <v>6798</v>
      </c>
      <c r="K3608" s="29">
        <v>31111</v>
      </c>
    </row>
    <row r="3609" spans="10:11" x14ac:dyDescent="0.25">
      <c r="J3609" s="29" t="s">
        <v>6799</v>
      </c>
      <c r="K3609" s="29">
        <v>31111</v>
      </c>
    </row>
    <row r="3610" spans="10:11" x14ac:dyDescent="0.25">
      <c r="J3610" s="29" t="s">
        <v>6800</v>
      </c>
      <c r="K3610" s="29">
        <v>31111</v>
      </c>
    </row>
    <row r="3611" spans="10:11" x14ac:dyDescent="0.25">
      <c r="J3611" s="29" t="s">
        <v>6801</v>
      </c>
      <c r="K3611" s="29">
        <v>31111</v>
      </c>
    </row>
    <row r="3612" spans="10:11" x14ac:dyDescent="0.25">
      <c r="J3612" s="29" t="s">
        <v>6802</v>
      </c>
      <c r="K3612" s="29">
        <v>31111</v>
      </c>
    </row>
    <row r="3613" spans="10:11" x14ac:dyDescent="0.25">
      <c r="J3613" s="29" t="s">
        <v>6803</v>
      </c>
      <c r="K3613" s="29">
        <v>31111</v>
      </c>
    </row>
    <row r="3614" spans="10:11" x14ac:dyDescent="0.25">
      <c r="J3614" s="29" t="s">
        <v>6804</v>
      </c>
      <c r="K3614" s="29">
        <v>31166</v>
      </c>
    </row>
    <row r="3615" spans="10:11" x14ac:dyDescent="0.25">
      <c r="J3615" s="29" t="s">
        <v>6805</v>
      </c>
      <c r="K3615" s="29">
        <v>31166</v>
      </c>
    </row>
    <row r="3616" spans="10:11" x14ac:dyDescent="0.25">
      <c r="J3616" s="29" t="s">
        <v>6806</v>
      </c>
      <c r="K3616" s="29">
        <v>31166</v>
      </c>
    </row>
    <row r="3617" spans="10:11" x14ac:dyDescent="0.25">
      <c r="J3617" s="29" t="s">
        <v>6807</v>
      </c>
      <c r="K3617" s="29">
        <v>31166</v>
      </c>
    </row>
    <row r="3618" spans="10:11" x14ac:dyDescent="0.25">
      <c r="J3618" s="29" t="s">
        <v>6808</v>
      </c>
      <c r="K3618" s="29">
        <v>31166</v>
      </c>
    </row>
    <row r="3619" spans="10:11" x14ac:dyDescent="0.25">
      <c r="J3619" s="29" t="s">
        <v>6809</v>
      </c>
      <c r="K3619" s="29">
        <v>31166</v>
      </c>
    </row>
    <row r="3620" spans="10:11" x14ac:dyDescent="0.25">
      <c r="J3620" s="29" t="s">
        <v>6810</v>
      </c>
      <c r="K3620" s="29">
        <v>31166</v>
      </c>
    </row>
    <row r="3621" spans="10:11" x14ac:dyDescent="0.25">
      <c r="J3621" s="29" t="s">
        <v>6811</v>
      </c>
      <c r="K3621" s="29">
        <v>31166</v>
      </c>
    </row>
    <row r="3622" spans="10:11" x14ac:dyDescent="0.25">
      <c r="J3622" s="29" t="s">
        <v>6812</v>
      </c>
      <c r="K3622" s="29">
        <v>31166</v>
      </c>
    </row>
    <row r="3623" spans="10:11" x14ac:dyDescent="0.25">
      <c r="J3623" s="29" t="s">
        <v>6813</v>
      </c>
      <c r="K3623" s="29">
        <v>31166</v>
      </c>
    </row>
    <row r="3624" spans="10:11" x14ac:dyDescent="0.25">
      <c r="J3624" s="29" t="s">
        <v>6814</v>
      </c>
      <c r="K3624" s="29">
        <v>31166</v>
      </c>
    </row>
    <row r="3625" spans="10:11" x14ac:dyDescent="0.25">
      <c r="J3625" s="29" t="s">
        <v>6815</v>
      </c>
      <c r="K3625" s="29">
        <v>31166</v>
      </c>
    </row>
    <row r="3626" spans="10:11" x14ac:dyDescent="0.25">
      <c r="J3626" s="29" t="s">
        <v>6816</v>
      </c>
      <c r="K3626" s="29">
        <v>31166</v>
      </c>
    </row>
    <row r="3627" spans="10:11" x14ac:dyDescent="0.25">
      <c r="J3627" s="29" t="s">
        <v>6817</v>
      </c>
      <c r="K3627" s="29">
        <v>31166</v>
      </c>
    </row>
    <row r="3628" spans="10:11" x14ac:dyDescent="0.25">
      <c r="J3628" s="29" t="s">
        <v>6818</v>
      </c>
      <c r="K3628" s="29">
        <v>31166</v>
      </c>
    </row>
    <row r="3629" spans="10:11" x14ac:dyDescent="0.25">
      <c r="J3629" s="29" t="s">
        <v>6819</v>
      </c>
      <c r="K3629" s="29">
        <v>31166</v>
      </c>
    </row>
    <row r="3630" spans="10:11" x14ac:dyDescent="0.25">
      <c r="J3630" s="29" t="s">
        <v>6820</v>
      </c>
      <c r="K3630" s="29">
        <v>31166</v>
      </c>
    </row>
    <row r="3631" spans="10:11" x14ac:dyDescent="0.25">
      <c r="J3631" s="29" t="s">
        <v>6821</v>
      </c>
      <c r="K3631" s="29">
        <v>31166</v>
      </c>
    </row>
    <row r="3632" spans="10:11" x14ac:dyDescent="0.25">
      <c r="J3632" s="29" t="s">
        <v>6822</v>
      </c>
      <c r="K3632" s="29">
        <v>31166</v>
      </c>
    </row>
    <row r="3633" spans="10:11" x14ac:dyDescent="0.25">
      <c r="J3633" s="29" t="s">
        <v>6823</v>
      </c>
      <c r="K3633" s="29">
        <v>31166</v>
      </c>
    </row>
    <row r="3634" spans="10:11" x14ac:dyDescent="0.25">
      <c r="J3634" s="29" t="s">
        <v>6824</v>
      </c>
      <c r="K3634" s="29">
        <v>31166</v>
      </c>
    </row>
    <row r="3635" spans="10:11" x14ac:dyDescent="0.25">
      <c r="J3635" s="29" t="s">
        <v>6825</v>
      </c>
      <c r="K3635" s="29">
        <v>25373</v>
      </c>
    </row>
    <row r="3636" spans="10:11" x14ac:dyDescent="0.25">
      <c r="J3636" s="29" t="s">
        <v>6826</v>
      </c>
      <c r="K3636" s="29">
        <v>53449</v>
      </c>
    </row>
    <row r="3637" spans="10:11" x14ac:dyDescent="0.25">
      <c r="J3637" s="29" t="s">
        <v>6827</v>
      </c>
      <c r="K3637" s="29">
        <v>53388</v>
      </c>
    </row>
    <row r="3638" spans="10:11" x14ac:dyDescent="0.25">
      <c r="J3638" s="29" t="s">
        <v>6828</v>
      </c>
      <c r="K3638" s="29">
        <v>62219</v>
      </c>
    </row>
    <row r="3639" spans="10:11" x14ac:dyDescent="0.25">
      <c r="J3639" s="29" t="s">
        <v>6829</v>
      </c>
      <c r="K3639" s="29">
        <v>62219</v>
      </c>
    </row>
    <row r="3640" spans="10:11" x14ac:dyDescent="0.25">
      <c r="J3640" s="29" t="s">
        <v>6830</v>
      </c>
      <c r="K3640" s="29">
        <v>55184</v>
      </c>
    </row>
    <row r="3641" spans="10:11" x14ac:dyDescent="0.25">
      <c r="J3641" s="29" t="s">
        <v>6831</v>
      </c>
      <c r="K3641" s="29">
        <v>62308</v>
      </c>
    </row>
    <row r="3642" spans="10:11" x14ac:dyDescent="0.25">
      <c r="J3642" s="29" t="s">
        <v>6832</v>
      </c>
      <c r="K3642" s="29">
        <v>72159</v>
      </c>
    </row>
    <row r="3643" spans="10:11" x14ac:dyDescent="0.25">
      <c r="J3643" s="29" t="s">
        <v>6833</v>
      </c>
      <c r="K3643" s="29">
        <v>72277</v>
      </c>
    </row>
    <row r="3644" spans="10:11" x14ac:dyDescent="0.25">
      <c r="J3644" s="29" t="s">
        <v>6834</v>
      </c>
      <c r="K3644" s="29">
        <v>52281</v>
      </c>
    </row>
    <row r="3645" spans="10:11" x14ac:dyDescent="0.25">
      <c r="J3645" s="29" t="s">
        <v>6835</v>
      </c>
      <c r="K3645" s="29">
        <v>71394</v>
      </c>
    </row>
    <row r="3646" spans="10:11" x14ac:dyDescent="0.25">
      <c r="J3646" s="29" t="s">
        <v>6836</v>
      </c>
      <c r="K3646" s="29">
        <v>53284</v>
      </c>
    </row>
    <row r="3647" spans="10:11" x14ac:dyDescent="0.25">
      <c r="J3647" s="29" t="s">
        <v>6837</v>
      </c>
      <c r="K3647" s="29">
        <v>53284</v>
      </c>
    </row>
    <row r="3648" spans="10:11" x14ac:dyDescent="0.25">
      <c r="J3648" s="29" t="s">
        <v>6838</v>
      </c>
      <c r="K3648" s="29">
        <v>53284</v>
      </c>
    </row>
    <row r="3649" spans="10:11" x14ac:dyDescent="0.25">
      <c r="J3649" s="29" t="s">
        <v>6839</v>
      </c>
      <c r="K3649" s="29">
        <v>53237</v>
      </c>
    </row>
    <row r="3650" spans="10:11" x14ac:dyDescent="0.25">
      <c r="J3650" s="29" t="s">
        <v>6840</v>
      </c>
      <c r="K3650" s="29">
        <v>51133</v>
      </c>
    </row>
    <row r="3651" spans="10:11" x14ac:dyDescent="0.25">
      <c r="J3651" s="29" t="s">
        <v>6841</v>
      </c>
      <c r="K3651" s="29">
        <v>51133</v>
      </c>
    </row>
    <row r="3652" spans="10:11" x14ac:dyDescent="0.25">
      <c r="J3652" s="29" t="s">
        <v>6842</v>
      </c>
      <c r="K3652" s="29">
        <v>51133</v>
      </c>
    </row>
    <row r="3653" spans="10:11" x14ac:dyDescent="0.25">
      <c r="J3653" s="29" t="s">
        <v>6843</v>
      </c>
      <c r="K3653" s="29">
        <v>51133</v>
      </c>
    </row>
    <row r="3654" spans="10:11" x14ac:dyDescent="0.25">
      <c r="J3654" s="29" t="s">
        <v>6844</v>
      </c>
      <c r="K3654" s="29">
        <v>51133</v>
      </c>
    </row>
    <row r="3655" spans="10:11" x14ac:dyDescent="0.25">
      <c r="J3655" s="29" t="s">
        <v>6845</v>
      </c>
      <c r="K3655" s="29">
        <v>51133</v>
      </c>
    </row>
    <row r="3656" spans="10:11" x14ac:dyDescent="0.25">
      <c r="J3656" s="29" t="s">
        <v>6846</v>
      </c>
      <c r="K3656" s="29">
        <v>51133</v>
      </c>
    </row>
    <row r="3657" spans="10:11" x14ac:dyDescent="0.25">
      <c r="J3657" s="29" t="s">
        <v>6847</v>
      </c>
      <c r="K3657" s="29">
        <v>51133</v>
      </c>
    </row>
    <row r="3658" spans="10:11" x14ac:dyDescent="0.25">
      <c r="J3658" s="29" t="s">
        <v>6848</v>
      </c>
      <c r="K3658" s="29">
        <v>51119</v>
      </c>
    </row>
    <row r="3659" spans="10:11" x14ac:dyDescent="0.25">
      <c r="J3659" s="29" t="s">
        <v>6849</v>
      </c>
      <c r="K3659" s="29">
        <v>51119</v>
      </c>
    </row>
    <row r="3660" spans="10:11" x14ac:dyDescent="0.25">
      <c r="J3660" s="29" t="s">
        <v>6850</v>
      </c>
      <c r="K3660" s="29">
        <v>51111</v>
      </c>
    </row>
    <row r="3661" spans="10:11" x14ac:dyDescent="0.25">
      <c r="J3661" s="29" t="s">
        <v>6851</v>
      </c>
      <c r="K3661" s="29">
        <v>51111</v>
      </c>
    </row>
    <row r="3662" spans="10:11" x14ac:dyDescent="0.25">
      <c r="J3662" s="29" t="s">
        <v>6852</v>
      </c>
      <c r="K3662" s="29">
        <v>51111</v>
      </c>
    </row>
    <row r="3663" spans="10:11" x14ac:dyDescent="0.25">
      <c r="J3663" s="29" t="s">
        <v>6853</v>
      </c>
      <c r="K3663" s="29">
        <v>51111</v>
      </c>
    </row>
    <row r="3664" spans="10:11" x14ac:dyDescent="0.25">
      <c r="J3664" s="29" t="s">
        <v>6854</v>
      </c>
      <c r="K3664" s="29">
        <v>51111</v>
      </c>
    </row>
    <row r="3665" spans="10:11" x14ac:dyDescent="0.25">
      <c r="J3665" s="29" t="s">
        <v>6855</v>
      </c>
      <c r="K3665" s="29">
        <v>51111</v>
      </c>
    </row>
    <row r="3666" spans="10:11" x14ac:dyDescent="0.25">
      <c r="J3666" s="29" t="s">
        <v>6856</v>
      </c>
      <c r="K3666" s="29">
        <v>51117</v>
      </c>
    </row>
    <row r="3667" spans="10:11" x14ac:dyDescent="0.25">
      <c r="J3667" s="29" t="s">
        <v>6857</v>
      </c>
      <c r="K3667" s="29">
        <v>51131</v>
      </c>
    </row>
    <row r="3668" spans="10:11" x14ac:dyDescent="0.25">
      <c r="J3668" s="29" t="s">
        <v>6858</v>
      </c>
      <c r="K3668" s="29">
        <v>51131</v>
      </c>
    </row>
    <row r="3669" spans="10:11" x14ac:dyDescent="0.25">
      <c r="J3669" s="29" t="s">
        <v>6859</v>
      </c>
      <c r="K3669" s="29">
        <v>51131</v>
      </c>
    </row>
    <row r="3670" spans="10:11" x14ac:dyDescent="0.25">
      <c r="J3670" s="29" t="s">
        <v>6860</v>
      </c>
      <c r="K3670" s="29">
        <v>51127</v>
      </c>
    </row>
    <row r="3671" spans="10:11" x14ac:dyDescent="0.25">
      <c r="J3671" s="29" t="s">
        <v>6861</v>
      </c>
      <c r="K3671" s="29">
        <v>51113</v>
      </c>
    </row>
    <row r="3672" spans="10:11" x14ac:dyDescent="0.25">
      <c r="J3672" s="29" t="s">
        <v>6862</v>
      </c>
      <c r="K3672" s="29">
        <v>51125</v>
      </c>
    </row>
    <row r="3673" spans="10:11" x14ac:dyDescent="0.25">
      <c r="J3673" s="29" t="s">
        <v>6863</v>
      </c>
      <c r="K3673" s="29">
        <v>51125</v>
      </c>
    </row>
    <row r="3674" spans="10:11" x14ac:dyDescent="0.25">
      <c r="J3674" s="29" t="s">
        <v>6864</v>
      </c>
      <c r="K3674" s="29">
        <v>51135</v>
      </c>
    </row>
    <row r="3675" spans="10:11" x14ac:dyDescent="0.25">
      <c r="J3675" s="29" t="s">
        <v>6865</v>
      </c>
      <c r="K3675" s="29">
        <v>51115</v>
      </c>
    </row>
    <row r="3676" spans="10:11" x14ac:dyDescent="0.25">
      <c r="J3676" s="29" t="s">
        <v>6866</v>
      </c>
      <c r="K3676" s="29">
        <v>51115</v>
      </c>
    </row>
    <row r="3677" spans="10:11" x14ac:dyDescent="0.25">
      <c r="J3677" s="29" t="s">
        <v>6867</v>
      </c>
      <c r="K3677" s="29">
        <v>51115</v>
      </c>
    </row>
    <row r="3678" spans="10:11" x14ac:dyDescent="0.25">
      <c r="J3678" s="29" t="s">
        <v>6868</v>
      </c>
      <c r="K3678" s="29">
        <v>51129</v>
      </c>
    </row>
    <row r="3679" spans="10:11" x14ac:dyDescent="0.25">
      <c r="J3679" s="29" t="s">
        <v>6869</v>
      </c>
      <c r="K3679" s="29">
        <v>22351</v>
      </c>
    </row>
    <row r="3680" spans="10:11" x14ac:dyDescent="0.25">
      <c r="J3680" s="29" t="s">
        <v>6870</v>
      </c>
      <c r="K3680" s="29">
        <v>22351</v>
      </c>
    </row>
    <row r="3681" spans="10:11" x14ac:dyDescent="0.25">
      <c r="J3681" s="29" t="s">
        <v>6871</v>
      </c>
      <c r="K3681" s="29">
        <v>22351</v>
      </c>
    </row>
    <row r="3682" spans="10:11" x14ac:dyDescent="0.25">
      <c r="J3682" s="29" t="s">
        <v>6872</v>
      </c>
      <c r="K3682" s="29">
        <v>22351</v>
      </c>
    </row>
    <row r="3683" spans="10:11" x14ac:dyDescent="0.25">
      <c r="J3683" s="29" t="s">
        <v>6873</v>
      </c>
      <c r="K3683" s="29">
        <v>22351</v>
      </c>
    </row>
    <row r="3684" spans="10:11" x14ac:dyDescent="0.25">
      <c r="J3684" s="29" t="s">
        <v>6874</v>
      </c>
      <c r="K3684" s="29">
        <v>71367</v>
      </c>
    </row>
    <row r="3685" spans="10:11" x14ac:dyDescent="0.25">
      <c r="J3685" s="29" t="s">
        <v>6875</v>
      </c>
      <c r="K3685" s="29">
        <v>71364</v>
      </c>
    </row>
    <row r="3686" spans="10:11" x14ac:dyDescent="0.25">
      <c r="J3686" s="29" t="s">
        <v>6876</v>
      </c>
      <c r="K3686" s="29">
        <v>62286</v>
      </c>
    </row>
    <row r="3687" spans="10:11" x14ac:dyDescent="0.25">
      <c r="J3687" s="29" t="s">
        <v>3855</v>
      </c>
      <c r="K3687" s="29">
        <v>71281</v>
      </c>
    </row>
    <row r="3688" spans="10:11" x14ac:dyDescent="0.25">
      <c r="J3688" s="29" t="s">
        <v>6877</v>
      </c>
      <c r="K3688" s="29">
        <v>71281</v>
      </c>
    </row>
    <row r="3689" spans="10:11" x14ac:dyDescent="0.25">
      <c r="J3689" s="29" t="s">
        <v>6878</v>
      </c>
      <c r="K3689" s="29">
        <v>71281</v>
      </c>
    </row>
    <row r="3690" spans="10:11" x14ac:dyDescent="0.25">
      <c r="J3690" s="29" t="s">
        <v>6879</v>
      </c>
      <c r="K3690" s="29">
        <v>71281</v>
      </c>
    </row>
    <row r="3691" spans="10:11" x14ac:dyDescent="0.25">
      <c r="J3691" s="29" t="s">
        <v>6880</v>
      </c>
      <c r="K3691" s="29">
        <v>61359</v>
      </c>
    </row>
    <row r="3692" spans="10:11" x14ac:dyDescent="0.25">
      <c r="J3692" s="29" t="s">
        <v>6881</v>
      </c>
      <c r="K3692" s="29">
        <v>33111</v>
      </c>
    </row>
    <row r="3693" spans="10:11" x14ac:dyDescent="0.25">
      <c r="J3693" s="29" t="s">
        <v>6882</v>
      </c>
      <c r="K3693" s="29">
        <v>33111</v>
      </c>
    </row>
    <row r="3694" spans="10:11" x14ac:dyDescent="0.25">
      <c r="J3694" s="29" t="s">
        <v>6883</v>
      </c>
      <c r="K3694" s="29">
        <v>33111</v>
      </c>
    </row>
    <row r="3695" spans="10:11" x14ac:dyDescent="0.25">
      <c r="J3695" s="29" t="s">
        <v>6884</v>
      </c>
      <c r="K3695" s="29">
        <v>33111</v>
      </c>
    </row>
    <row r="3696" spans="10:11" x14ac:dyDescent="0.25">
      <c r="J3696" s="29" t="s">
        <v>6885</v>
      </c>
      <c r="K3696" s="29">
        <v>33111</v>
      </c>
    </row>
    <row r="3697" spans="10:11" x14ac:dyDescent="0.25">
      <c r="J3697" s="29" t="s">
        <v>6886</v>
      </c>
      <c r="K3697" s="29">
        <v>33111</v>
      </c>
    </row>
    <row r="3698" spans="10:11" x14ac:dyDescent="0.25">
      <c r="J3698" s="29" t="s">
        <v>6887</v>
      </c>
      <c r="K3698" s="29">
        <v>33111</v>
      </c>
    </row>
    <row r="3699" spans="10:11" x14ac:dyDescent="0.25">
      <c r="J3699" s="29" t="s">
        <v>6888</v>
      </c>
      <c r="K3699" s="29">
        <v>33111</v>
      </c>
    </row>
    <row r="3700" spans="10:11" x14ac:dyDescent="0.25">
      <c r="J3700" s="29" t="s">
        <v>6889</v>
      </c>
      <c r="K3700" s="29">
        <v>71122</v>
      </c>
    </row>
    <row r="3701" spans="10:11" x14ac:dyDescent="0.25">
      <c r="J3701" s="29" t="s">
        <v>6890</v>
      </c>
      <c r="K3701" s="29">
        <v>71122</v>
      </c>
    </row>
    <row r="3702" spans="10:11" x14ac:dyDescent="0.25">
      <c r="J3702" s="29" t="s">
        <v>6891</v>
      </c>
      <c r="K3702" s="29">
        <v>71122</v>
      </c>
    </row>
    <row r="3703" spans="10:11" x14ac:dyDescent="0.25">
      <c r="J3703" s="29" t="s">
        <v>6892</v>
      </c>
      <c r="K3703" s="29">
        <v>54119</v>
      </c>
    </row>
    <row r="3704" spans="10:11" x14ac:dyDescent="0.25">
      <c r="J3704" s="29" t="s">
        <v>6893</v>
      </c>
      <c r="K3704" s="29">
        <v>35127</v>
      </c>
    </row>
    <row r="3705" spans="10:11" x14ac:dyDescent="0.25">
      <c r="J3705" s="29" t="s">
        <v>6894</v>
      </c>
      <c r="K3705" s="29">
        <v>25116</v>
      </c>
    </row>
    <row r="3706" spans="10:11" x14ac:dyDescent="0.25">
      <c r="J3706" s="29" t="s">
        <v>6895</v>
      </c>
      <c r="K3706" s="29">
        <v>25116</v>
      </c>
    </row>
    <row r="3707" spans="10:11" x14ac:dyDescent="0.25">
      <c r="J3707" s="29" t="s">
        <v>6896</v>
      </c>
      <c r="K3707" s="29">
        <v>25116</v>
      </c>
    </row>
    <row r="3708" spans="10:11" x14ac:dyDescent="0.25">
      <c r="J3708" s="29" t="s">
        <v>6897</v>
      </c>
      <c r="K3708" s="29">
        <v>25116</v>
      </c>
    </row>
    <row r="3709" spans="10:11" x14ac:dyDescent="0.25">
      <c r="J3709" s="29" t="s">
        <v>6898</v>
      </c>
      <c r="K3709" s="29">
        <v>25116</v>
      </c>
    </row>
    <row r="3710" spans="10:11" x14ac:dyDescent="0.25">
      <c r="J3710" s="29" t="s">
        <v>6899</v>
      </c>
      <c r="K3710" s="29">
        <v>25116</v>
      </c>
    </row>
    <row r="3711" spans="10:11" x14ac:dyDescent="0.25">
      <c r="J3711" s="29" t="s">
        <v>6900</v>
      </c>
      <c r="K3711" s="29">
        <v>25116</v>
      </c>
    </row>
    <row r="3712" spans="10:11" x14ac:dyDescent="0.25">
      <c r="J3712" s="29" t="s">
        <v>6901</v>
      </c>
      <c r="K3712" s="29">
        <v>25126</v>
      </c>
    </row>
    <row r="3713" spans="10:11" x14ac:dyDescent="0.25">
      <c r="J3713" s="29" t="s">
        <v>6902</v>
      </c>
      <c r="K3713" s="29">
        <v>25126</v>
      </c>
    </row>
    <row r="3714" spans="10:11" x14ac:dyDescent="0.25">
      <c r="J3714" s="29" t="s">
        <v>6903</v>
      </c>
      <c r="K3714" s="29">
        <v>37291</v>
      </c>
    </row>
    <row r="3715" spans="10:11" x14ac:dyDescent="0.25">
      <c r="J3715" s="29" t="s">
        <v>6904</v>
      </c>
      <c r="K3715" s="29">
        <v>35161</v>
      </c>
    </row>
    <row r="3716" spans="10:11" x14ac:dyDescent="0.25">
      <c r="J3716" s="29" t="s">
        <v>6905</v>
      </c>
      <c r="K3716" s="29">
        <v>10410</v>
      </c>
    </row>
    <row r="3717" spans="10:11" x14ac:dyDescent="0.25">
      <c r="J3717" s="29" t="s">
        <v>6906</v>
      </c>
      <c r="K3717" s="29">
        <v>10410</v>
      </c>
    </row>
    <row r="3718" spans="10:11" x14ac:dyDescent="0.25">
      <c r="J3718" s="29" t="s">
        <v>6907</v>
      </c>
      <c r="K3718" s="29">
        <v>10410</v>
      </c>
    </row>
    <row r="3719" spans="10:11" x14ac:dyDescent="0.25">
      <c r="J3719" s="29" t="s">
        <v>6908</v>
      </c>
      <c r="K3719" s="29">
        <v>10410</v>
      </c>
    </row>
    <row r="3720" spans="10:11" x14ac:dyDescent="0.25">
      <c r="J3720" s="29" t="s">
        <v>6909</v>
      </c>
      <c r="K3720" s="29">
        <v>10410</v>
      </c>
    </row>
    <row r="3721" spans="10:11" x14ac:dyDescent="0.25">
      <c r="J3721" s="29" t="s">
        <v>6910</v>
      </c>
      <c r="K3721" s="29">
        <v>10410</v>
      </c>
    </row>
    <row r="3722" spans="10:11" x14ac:dyDescent="0.25">
      <c r="J3722" s="29" t="s">
        <v>6911</v>
      </c>
      <c r="K3722" s="29">
        <v>10410</v>
      </c>
    </row>
    <row r="3723" spans="10:11" x14ac:dyDescent="0.25">
      <c r="J3723" s="29" t="s">
        <v>6912</v>
      </c>
      <c r="K3723" s="29">
        <v>10410</v>
      </c>
    </row>
    <row r="3724" spans="10:11" x14ac:dyDescent="0.25">
      <c r="J3724" s="29" t="s">
        <v>6913</v>
      </c>
      <c r="K3724" s="29">
        <v>10410</v>
      </c>
    </row>
    <row r="3725" spans="10:11" x14ac:dyDescent="0.25">
      <c r="J3725" s="29" t="s">
        <v>3838</v>
      </c>
      <c r="K3725" s="29">
        <v>10410</v>
      </c>
    </row>
    <row r="3726" spans="10:11" x14ac:dyDescent="0.25">
      <c r="J3726" s="29" t="s">
        <v>6914</v>
      </c>
      <c r="K3726" s="29">
        <v>10410</v>
      </c>
    </row>
    <row r="3727" spans="10:11" x14ac:dyDescent="0.25">
      <c r="J3727" s="29" t="s">
        <v>6915</v>
      </c>
      <c r="K3727" s="29">
        <v>61427</v>
      </c>
    </row>
    <row r="3728" spans="10:11" x14ac:dyDescent="0.25">
      <c r="J3728" s="29" t="s">
        <v>6916</v>
      </c>
      <c r="K3728" s="29">
        <v>61427</v>
      </c>
    </row>
    <row r="3729" spans="10:11" x14ac:dyDescent="0.25">
      <c r="J3729" s="29" t="s">
        <v>6917</v>
      </c>
      <c r="K3729" s="29">
        <v>61427</v>
      </c>
    </row>
    <row r="3730" spans="10:11" x14ac:dyDescent="0.25">
      <c r="J3730" s="29" t="s">
        <v>6918</v>
      </c>
      <c r="K3730" s="29">
        <v>61427</v>
      </c>
    </row>
    <row r="3731" spans="10:11" x14ac:dyDescent="0.25">
      <c r="J3731" s="29" t="s">
        <v>6919</v>
      </c>
      <c r="K3731" s="29">
        <v>61427</v>
      </c>
    </row>
  </sheetData>
  <autoFilter ref="A1:E636" xr:uid="{437DC565-3D84-4904-AE8F-78A9C4915940}">
    <sortState xmlns:xlrd2="http://schemas.microsoft.com/office/spreadsheetml/2017/richdata2" ref="A2:E636">
      <sortCondition descending="1" ref="E1:E636"/>
    </sortState>
  </autoFilter>
  <conditionalFormatting sqref="J1:J1048576">
    <cfRule type="duplicateValues" dxfId="2" priority="1"/>
    <cfRule type="duplicateValues" dxfId="1" priority="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39997-C726-4138-989C-112B6A7BE19E}">
  <dimension ref="A1:Z1644"/>
  <sheetViews>
    <sheetView workbookViewId="0">
      <selection activeCell="B1" sqref="B1"/>
    </sheetView>
  </sheetViews>
  <sheetFormatPr defaultRowHeight="15" x14ac:dyDescent="0.25"/>
  <sheetData>
    <row r="1" spans="1:26" x14ac:dyDescent="0.25">
      <c r="A1" t="s">
        <v>2802</v>
      </c>
      <c r="B1" t="s">
        <v>7618</v>
      </c>
      <c r="C1" s="67"/>
      <c r="D1" s="67"/>
      <c r="E1" s="67"/>
      <c r="F1" s="67"/>
      <c r="G1" s="67"/>
      <c r="H1" s="67"/>
      <c r="I1" s="67"/>
      <c r="J1" s="67"/>
      <c r="K1" s="67"/>
      <c r="L1" s="68"/>
      <c r="M1" s="67"/>
      <c r="N1" s="69"/>
      <c r="O1" s="67"/>
      <c r="P1" s="67"/>
      <c r="Q1" s="69"/>
      <c r="R1" s="69"/>
      <c r="S1" s="67"/>
      <c r="T1" s="67"/>
      <c r="U1" s="70"/>
      <c r="V1" s="70"/>
      <c r="W1" s="67"/>
      <c r="X1" s="67"/>
      <c r="Y1" s="67"/>
      <c r="Z1" s="71"/>
    </row>
    <row r="2" spans="1:26" x14ac:dyDescent="0.25">
      <c r="A2">
        <v>35518</v>
      </c>
      <c r="B2">
        <v>0</v>
      </c>
      <c r="C2" s="74"/>
      <c r="D2" s="74"/>
      <c r="E2" s="74"/>
      <c r="F2" s="74"/>
      <c r="G2" s="74"/>
      <c r="H2" s="74"/>
      <c r="I2" s="74"/>
      <c r="J2" s="74"/>
      <c r="K2" s="74"/>
      <c r="L2" s="74"/>
      <c r="M2" s="74"/>
      <c r="N2" s="74"/>
      <c r="O2" s="74"/>
      <c r="P2" s="74"/>
      <c r="Q2" s="74"/>
      <c r="R2" s="74"/>
      <c r="S2" s="74"/>
      <c r="T2" s="74"/>
      <c r="U2" s="74"/>
      <c r="V2" s="74"/>
      <c r="W2" s="74"/>
      <c r="X2" s="74"/>
      <c r="Y2" s="74"/>
      <c r="Z2" s="74"/>
    </row>
    <row r="3" spans="1:26" x14ac:dyDescent="0.25">
      <c r="A3">
        <v>35237</v>
      </c>
      <c r="B3">
        <v>0</v>
      </c>
      <c r="C3" s="74"/>
      <c r="D3" s="74"/>
      <c r="E3" s="74"/>
      <c r="F3" s="74"/>
      <c r="G3" s="74"/>
      <c r="H3" s="74"/>
      <c r="I3" s="74"/>
      <c r="J3" s="74"/>
      <c r="K3" s="74"/>
      <c r="L3" s="74"/>
      <c r="M3" s="74"/>
      <c r="N3" s="74"/>
      <c r="O3" s="74"/>
      <c r="P3" s="74"/>
      <c r="Q3" s="74"/>
      <c r="R3" s="74"/>
      <c r="S3" s="74"/>
      <c r="T3" s="74"/>
      <c r="U3" s="74"/>
      <c r="V3" s="74"/>
      <c r="W3" s="74"/>
      <c r="X3" s="74"/>
      <c r="Y3" s="74"/>
      <c r="Z3" s="74"/>
    </row>
    <row r="4" spans="1:26" x14ac:dyDescent="0.25">
      <c r="A4">
        <v>35001</v>
      </c>
      <c r="B4">
        <v>0</v>
      </c>
      <c r="C4" s="74"/>
      <c r="D4" s="74"/>
      <c r="E4" s="74"/>
      <c r="F4" s="74"/>
      <c r="G4" s="74"/>
      <c r="H4" s="74"/>
      <c r="I4" s="74"/>
      <c r="J4" s="74"/>
      <c r="K4" s="74"/>
      <c r="L4" s="74"/>
      <c r="M4" s="74"/>
      <c r="N4" s="74"/>
      <c r="O4" s="74"/>
      <c r="P4" s="74"/>
      <c r="Q4" s="74"/>
      <c r="R4" s="74"/>
      <c r="S4" s="74"/>
      <c r="T4" s="74"/>
      <c r="U4" s="74"/>
      <c r="V4" s="74"/>
      <c r="W4" s="74"/>
      <c r="X4" s="74"/>
      <c r="Y4" s="74"/>
      <c r="Z4" s="74"/>
    </row>
    <row r="5" spans="1:26" x14ac:dyDescent="0.25">
      <c r="A5">
        <v>35484</v>
      </c>
      <c r="B5">
        <v>0</v>
      </c>
      <c r="C5" s="74"/>
      <c r="D5" s="74"/>
      <c r="E5" s="74"/>
      <c r="F5" s="74"/>
      <c r="G5" s="74"/>
      <c r="H5" s="74"/>
      <c r="I5" s="74"/>
      <c r="J5" s="74"/>
      <c r="K5" s="74"/>
      <c r="L5" s="74"/>
      <c r="M5" s="74"/>
      <c r="N5" s="74"/>
      <c r="O5" s="74"/>
      <c r="P5" s="74"/>
      <c r="Q5" s="74"/>
      <c r="R5" s="74"/>
      <c r="S5" s="74"/>
      <c r="T5" s="74"/>
      <c r="U5" s="74"/>
      <c r="V5" s="74"/>
      <c r="W5" s="74"/>
      <c r="X5" s="74"/>
      <c r="Y5" s="74"/>
      <c r="Z5" s="74"/>
    </row>
    <row r="6" spans="1:26" x14ac:dyDescent="0.25">
      <c r="A6">
        <v>35410</v>
      </c>
      <c r="B6">
        <v>0</v>
      </c>
      <c r="C6" s="74"/>
      <c r="D6" s="74"/>
      <c r="E6" s="74"/>
      <c r="F6" s="74"/>
      <c r="G6" s="74"/>
      <c r="H6" s="74"/>
      <c r="I6" s="74"/>
      <c r="J6" s="74"/>
      <c r="K6" s="74"/>
      <c r="L6" s="74"/>
      <c r="M6" s="74"/>
      <c r="N6" s="74"/>
      <c r="O6" s="74"/>
      <c r="P6" s="74"/>
      <c r="Q6" s="74"/>
      <c r="R6" s="74"/>
      <c r="S6" s="74"/>
      <c r="T6" s="74"/>
      <c r="U6" s="74"/>
      <c r="V6" s="74"/>
      <c r="W6" s="74"/>
      <c r="X6" s="74"/>
      <c r="Y6" s="74"/>
      <c r="Z6" s="74"/>
    </row>
    <row r="7" spans="1:26" x14ac:dyDescent="0.25">
      <c r="A7">
        <v>35229</v>
      </c>
      <c r="B7">
        <v>0</v>
      </c>
      <c r="C7" s="74"/>
      <c r="D7" s="74"/>
      <c r="E7" s="74"/>
      <c r="F7" s="74"/>
      <c r="G7" s="74"/>
      <c r="H7" s="74"/>
      <c r="I7" s="74"/>
      <c r="J7" s="74"/>
      <c r="K7" s="74"/>
      <c r="L7" s="74"/>
      <c r="M7" s="74"/>
      <c r="N7" s="74"/>
      <c r="O7" s="74"/>
      <c r="P7" s="74"/>
      <c r="Q7" s="74"/>
      <c r="R7" s="74"/>
      <c r="S7" s="74"/>
      <c r="T7" s="74"/>
      <c r="U7" s="74"/>
      <c r="V7" s="74"/>
      <c r="W7" s="74"/>
      <c r="X7" s="74"/>
      <c r="Y7" s="74"/>
      <c r="Z7" s="74"/>
    </row>
    <row r="8" spans="1:26" x14ac:dyDescent="0.25">
      <c r="A8">
        <v>35241</v>
      </c>
      <c r="B8">
        <v>0</v>
      </c>
      <c r="C8" s="74"/>
      <c r="D8" s="74"/>
      <c r="E8" s="74"/>
      <c r="F8" s="74"/>
      <c r="G8" s="74"/>
      <c r="H8" s="74"/>
      <c r="I8" s="74"/>
      <c r="J8" s="74"/>
      <c r="K8" s="74"/>
      <c r="L8" s="74"/>
      <c r="M8" s="74"/>
      <c r="N8" s="74"/>
      <c r="O8" s="74"/>
      <c r="P8" s="74"/>
      <c r="Q8" s="74"/>
      <c r="R8" s="74"/>
      <c r="S8" s="74"/>
      <c r="T8" s="74"/>
      <c r="U8" s="74"/>
      <c r="V8" s="74"/>
      <c r="W8" s="74"/>
      <c r="X8" s="74"/>
      <c r="Y8" s="74"/>
      <c r="Z8" s="74"/>
    </row>
    <row r="9" spans="1:26" x14ac:dyDescent="0.25">
      <c r="A9">
        <v>35267</v>
      </c>
      <c r="B9">
        <v>0</v>
      </c>
      <c r="C9" s="74"/>
      <c r="D9" s="74"/>
      <c r="E9" s="74"/>
      <c r="F9" s="74"/>
      <c r="G9" s="74"/>
      <c r="H9" s="74"/>
      <c r="I9" s="74"/>
      <c r="J9" s="74"/>
      <c r="K9" s="74"/>
      <c r="L9" s="74"/>
      <c r="M9" s="74"/>
      <c r="N9" s="74"/>
      <c r="O9" s="74"/>
      <c r="P9" s="74"/>
      <c r="Q9" s="74"/>
      <c r="R9" s="74"/>
      <c r="S9" s="74"/>
      <c r="T9" s="74"/>
      <c r="U9" s="74"/>
      <c r="V9" s="74"/>
      <c r="W9" s="74"/>
      <c r="X9" s="74"/>
      <c r="Y9" s="74"/>
      <c r="Z9" s="74"/>
    </row>
    <row r="10" spans="1:26" x14ac:dyDescent="0.25">
      <c r="A10">
        <v>35514</v>
      </c>
      <c r="B10">
        <v>0</v>
      </c>
      <c r="C10" s="74"/>
      <c r="D10" s="74"/>
      <c r="E10" s="74"/>
      <c r="F10" s="74"/>
      <c r="G10" s="74"/>
      <c r="H10" s="74"/>
      <c r="I10" s="74"/>
      <c r="J10" s="74"/>
      <c r="K10" s="74"/>
      <c r="L10" s="74"/>
      <c r="M10" s="74"/>
      <c r="N10" s="74"/>
      <c r="O10" s="74"/>
      <c r="P10" s="74"/>
      <c r="Q10" s="74"/>
      <c r="R10" s="74"/>
      <c r="S10" s="74"/>
      <c r="T10" s="74"/>
      <c r="U10" s="74"/>
      <c r="V10" s="74"/>
      <c r="W10" s="74"/>
      <c r="X10" s="74"/>
      <c r="Y10" s="74"/>
      <c r="Z10" s="74"/>
    </row>
    <row r="11" spans="1:26" x14ac:dyDescent="0.25">
      <c r="A11">
        <v>35414</v>
      </c>
      <c r="B11">
        <v>1</v>
      </c>
      <c r="C11" s="74"/>
      <c r="D11" s="74"/>
      <c r="E11" s="74"/>
      <c r="F11" s="74"/>
      <c r="G11" s="74"/>
      <c r="H11" s="74"/>
      <c r="I11" s="74"/>
      <c r="J11" s="74"/>
      <c r="K11" s="74"/>
      <c r="L11" s="74"/>
      <c r="M11" s="74"/>
      <c r="N11" s="74"/>
      <c r="O11" s="74"/>
      <c r="P11" s="74"/>
      <c r="Q11" s="74"/>
      <c r="R11" s="74"/>
      <c r="S11" s="74"/>
      <c r="T11" s="74"/>
      <c r="U11" s="74"/>
      <c r="V11" s="74"/>
      <c r="W11" s="74"/>
      <c r="X11" s="74"/>
      <c r="Y11" s="74"/>
      <c r="Z11" s="74"/>
    </row>
    <row r="12" spans="1:26" x14ac:dyDescent="0.25">
      <c r="A12">
        <v>35402</v>
      </c>
      <c r="B12">
        <v>0</v>
      </c>
      <c r="C12" s="74"/>
      <c r="D12" s="74"/>
      <c r="E12" s="74"/>
      <c r="F12" s="74"/>
      <c r="G12" s="74"/>
      <c r="H12" s="74"/>
      <c r="I12" s="74"/>
      <c r="J12" s="74"/>
      <c r="K12" s="74"/>
      <c r="L12" s="74"/>
      <c r="M12" s="74"/>
      <c r="N12" s="74"/>
      <c r="O12" s="74"/>
      <c r="P12" s="74"/>
      <c r="Q12" s="74"/>
      <c r="R12" s="74"/>
      <c r="S12" s="74"/>
      <c r="T12" s="74"/>
      <c r="U12" s="74"/>
      <c r="V12" s="74"/>
      <c r="W12" s="74"/>
      <c r="X12" s="74"/>
      <c r="Y12" s="74"/>
      <c r="Z12" s="74"/>
    </row>
    <row r="13" spans="1:26" x14ac:dyDescent="0.25">
      <c r="A13">
        <v>35404</v>
      </c>
      <c r="B13">
        <v>1</v>
      </c>
      <c r="C13" s="74"/>
      <c r="D13" s="74"/>
      <c r="E13" s="74"/>
      <c r="F13" s="74"/>
      <c r="G13" s="74"/>
      <c r="H13" s="74"/>
      <c r="I13" s="74"/>
      <c r="J13" s="74"/>
      <c r="K13" s="74"/>
      <c r="L13" s="74"/>
      <c r="M13" s="74"/>
      <c r="N13" s="74"/>
      <c r="O13" s="74"/>
      <c r="P13" s="74"/>
      <c r="Q13" s="74"/>
      <c r="R13" s="74"/>
      <c r="S13" s="74"/>
      <c r="T13" s="74"/>
      <c r="U13" s="74"/>
      <c r="V13" s="74"/>
      <c r="W13" s="74"/>
      <c r="X13" s="74"/>
      <c r="Y13" s="74"/>
      <c r="Z13" s="74"/>
    </row>
    <row r="14" spans="1:26" x14ac:dyDescent="0.25">
      <c r="A14">
        <v>35453</v>
      </c>
      <c r="B14">
        <v>0</v>
      </c>
      <c r="C14" s="74"/>
      <c r="D14" s="74"/>
      <c r="E14" s="74"/>
      <c r="F14" s="74"/>
      <c r="G14" s="74"/>
      <c r="H14" s="74"/>
      <c r="I14" s="74"/>
      <c r="J14" s="74"/>
      <c r="K14" s="74"/>
      <c r="L14" s="74"/>
      <c r="M14" s="74"/>
      <c r="N14" s="74"/>
      <c r="O14" s="74"/>
      <c r="P14" s="74"/>
      <c r="Q14" s="74"/>
      <c r="R14" s="74"/>
      <c r="S14" s="74"/>
      <c r="T14" s="74"/>
      <c r="U14" s="74"/>
      <c r="V14" s="74"/>
      <c r="W14" s="74"/>
      <c r="X14" s="74"/>
      <c r="Y14" s="74"/>
      <c r="Z14" s="74"/>
    </row>
    <row r="15" spans="1:26" x14ac:dyDescent="0.25">
      <c r="A15">
        <v>35245</v>
      </c>
      <c r="B15">
        <v>0</v>
      </c>
      <c r="C15" s="74"/>
      <c r="D15" s="74"/>
      <c r="E15" s="74"/>
      <c r="F15" s="74"/>
      <c r="G15" s="74"/>
      <c r="H15" s="74"/>
      <c r="I15" s="74"/>
      <c r="J15" s="74"/>
      <c r="K15" s="74"/>
      <c r="L15" s="74"/>
      <c r="M15" s="74"/>
      <c r="N15" s="74"/>
      <c r="O15" s="74"/>
      <c r="P15" s="74"/>
      <c r="Q15" s="74"/>
      <c r="R15" s="74"/>
      <c r="S15" s="74"/>
      <c r="T15" s="74"/>
      <c r="U15" s="74"/>
      <c r="V15" s="74"/>
      <c r="W15" s="74"/>
      <c r="X15" s="74"/>
      <c r="Y15" s="74"/>
      <c r="Z15" s="74"/>
    </row>
    <row r="16" spans="1:26" x14ac:dyDescent="0.25">
      <c r="A16">
        <v>35412</v>
      </c>
      <c r="B16">
        <v>0</v>
      </c>
      <c r="C16" s="74"/>
      <c r="D16" s="74"/>
      <c r="E16" s="74"/>
      <c r="F16" s="74"/>
      <c r="G16" s="74"/>
      <c r="H16" s="74"/>
      <c r="I16" s="74"/>
      <c r="J16" s="74"/>
      <c r="K16" s="74"/>
      <c r="L16" s="74"/>
      <c r="M16" s="74"/>
      <c r="N16" s="74"/>
      <c r="O16" s="74"/>
      <c r="P16" s="74"/>
      <c r="Q16" s="74"/>
      <c r="R16" s="74"/>
      <c r="S16" s="74"/>
      <c r="T16" s="74"/>
      <c r="U16" s="74"/>
      <c r="V16" s="74"/>
      <c r="W16" s="74"/>
      <c r="X16" s="74"/>
      <c r="Y16" s="74"/>
      <c r="Z16" s="74"/>
    </row>
    <row r="17" spans="1:26" x14ac:dyDescent="0.25">
      <c r="A17">
        <v>35449</v>
      </c>
      <c r="B17">
        <v>0</v>
      </c>
      <c r="C17" s="74"/>
      <c r="D17" s="74"/>
      <c r="E17" s="74"/>
      <c r="F17" s="74"/>
      <c r="G17" s="74"/>
      <c r="H17" s="74"/>
      <c r="I17" s="74"/>
      <c r="J17" s="74"/>
      <c r="K17" s="74"/>
      <c r="L17" s="74"/>
      <c r="M17" s="74"/>
      <c r="N17" s="74"/>
      <c r="O17" s="74"/>
      <c r="P17" s="74"/>
      <c r="Q17" s="74"/>
      <c r="R17" s="74"/>
      <c r="S17" s="74"/>
      <c r="T17" s="74"/>
      <c r="U17" s="74"/>
      <c r="V17" s="74"/>
      <c r="W17" s="74"/>
      <c r="X17" s="74"/>
      <c r="Y17" s="74"/>
      <c r="Z17" s="74"/>
    </row>
    <row r="18" spans="1:26" x14ac:dyDescent="0.25">
      <c r="A18">
        <v>35471</v>
      </c>
      <c r="B18">
        <v>0</v>
      </c>
      <c r="C18" s="74"/>
      <c r="D18" s="74"/>
      <c r="E18" s="74"/>
      <c r="F18" s="74"/>
      <c r="G18" s="74"/>
      <c r="H18" s="74"/>
      <c r="I18" s="74"/>
      <c r="J18" s="74"/>
      <c r="K18" s="74"/>
      <c r="L18" s="74"/>
      <c r="M18" s="74"/>
      <c r="N18" s="74"/>
      <c r="O18" s="74"/>
      <c r="P18" s="74"/>
      <c r="Q18" s="74"/>
      <c r="R18" s="74"/>
      <c r="S18" s="74"/>
      <c r="T18" s="74"/>
      <c r="U18" s="74"/>
      <c r="V18" s="74"/>
      <c r="W18" s="74"/>
      <c r="X18" s="74"/>
      <c r="Y18" s="74"/>
      <c r="Z18" s="74"/>
    </row>
    <row r="19" spans="1:26" x14ac:dyDescent="0.25">
      <c r="A19">
        <v>35429</v>
      </c>
      <c r="B19">
        <v>0</v>
      </c>
      <c r="C19" s="74"/>
      <c r="D19" s="74"/>
      <c r="E19" s="74"/>
      <c r="F19" s="74"/>
      <c r="G19" s="74"/>
      <c r="H19" s="74"/>
      <c r="I19" s="74"/>
      <c r="J19" s="74"/>
      <c r="K19" s="74"/>
      <c r="L19" s="74"/>
      <c r="M19" s="74"/>
      <c r="N19" s="74"/>
      <c r="O19" s="74"/>
      <c r="P19" s="74"/>
      <c r="Q19" s="74"/>
      <c r="R19" s="74"/>
      <c r="S19" s="74"/>
      <c r="T19" s="74"/>
      <c r="U19" s="74"/>
      <c r="V19" s="74"/>
      <c r="W19" s="74"/>
      <c r="X19" s="74"/>
      <c r="Y19" s="74"/>
      <c r="Z19" s="74"/>
    </row>
    <row r="20" spans="1:26" x14ac:dyDescent="0.25">
      <c r="A20">
        <v>35225</v>
      </c>
      <c r="B20">
        <v>0</v>
      </c>
      <c r="C20" s="74"/>
      <c r="D20" s="74"/>
      <c r="E20" s="74"/>
      <c r="F20" s="74"/>
      <c r="G20" s="74"/>
      <c r="H20" s="74"/>
      <c r="I20" s="74"/>
      <c r="J20" s="74"/>
      <c r="K20" s="74"/>
      <c r="L20" s="74"/>
      <c r="M20" s="74"/>
      <c r="N20" s="74"/>
      <c r="O20" s="74"/>
      <c r="P20" s="74"/>
      <c r="Q20" s="74"/>
      <c r="R20" s="74"/>
      <c r="S20" s="74"/>
      <c r="T20" s="74"/>
      <c r="U20" s="74"/>
      <c r="V20" s="74"/>
      <c r="W20" s="74"/>
      <c r="X20" s="74"/>
      <c r="Y20" s="74"/>
      <c r="Z20" s="74"/>
    </row>
    <row r="21" spans="1:26" x14ac:dyDescent="0.25">
      <c r="A21">
        <v>35511</v>
      </c>
      <c r="B21">
        <v>0</v>
      </c>
      <c r="C21" s="74"/>
      <c r="D21" s="74"/>
      <c r="E21" s="74"/>
      <c r="F21" s="74"/>
      <c r="G21" s="74"/>
      <c r="H21" s="74"/>
      <c r="I21" s="74"/>
      <c r="J21" s="74"/>
      <c r="K21" s="74"/>
      <c r="L21" s="74"/>
      <c r="M21" s="74"/>
      <c r="N21" s="74"/>
      <c r="O21" s="74"/>
      <c r="P21" s="74"/>
      <c r="Q21" s="74"/>
      <c r="R21" s="74"/>
      <c r="S21" s="74"/>
      <c r="T21" s="74"/>
      <c r="U21" s="74"/>
      <c r="V21" s="74"/>
      <c r="W21" s="74"/>
      <c r="X21" s="74"/>
      <c r="Y21" s="74"/>
      <c r="Z21" s="74"/>
    </row>
    <row r="22" spans="1:26" x14ac:dyDescent="0.25">
      <c r="A22">
        <v>35437</v>
      </c>
      <c r="B22">
        <v>1</v>
      </c>
      <c r="C22" s="74"/>
      <c r="D22" s="74"/>
      <c r="E22" s="74"/>
      <c r="F22" s="74"/>
      <c r="G22" s="74"/>
      <c r="H22" s="74"/>
      <c r="I22" s="74"/>
      <c r="J22" s="74"/>
      <c r="K22" s="74"/>
      <c r="L22" s="74"/>
      <c r="M22" s="74"/>
      <c r="N22" s="74"/>
      <c r="O22" s="74"/>
      <c r="P22" s="74"/>
      <c r="Q22" s="74"/>
      <c r="R22" s="74"/>
      <c r="S22" s="74"/>
      <c r="T22" s="74"/>
      <c r="U22" s="74"/>
      <c r="V22" s="74"/>
      <c r="W22" s="74"/>
      <c r="X22" s="74"/>
      <c r="Y22" s="74"/>
      <c r="Z22" s="74"/>
    </row>
    <row r="23" spans="1:26" x14ac:dyDescent="0.25">
      <c r="A23">
        <v>35516</v>
      </c>
      <c r="B23">
        <v>0</v>
      </c>
      <c r="C23" s="74"/>
      <c r="D23" s="74"/>
      <c r="E23" s="74"/>
      <c r="F23" s="74"/>
      <c r="G23" s="74"/>
      <c r="H23" s="74"/>
      <c r="I23" s="74"/>
      <c r="J23" s="74"/>
      <c r="K23" s="74"/>
      <c r="L23" s="74"/>
      <c r="M23" s="74"/>
      <c r="N23" s="74"/>
      <c r="O23" s="74"/>
      <c r="P23" s="74"/>
      <c r="Q23" s="74"/>
      <c r="R23" s="74"/>
      <c r="S23" s="74"/>
      <c r="T23" s="74"/>
      <c r="U23" s="74"/>
      <c r="V23" s="74"/>
      <c r="W23" s="74"/>
      <c r="X23" s="74"/>
      <c r="Y23" s="74"/>
      <c r="Z23" s="74"/>
    </row>
    <row r="24" spans="1:26" x14ac:dyDescent="0.25">
      <c r="A24">
        <v>35273</v>
      </c>
      <c r="B24">
        <v>0</v>
      </c>
      <c r="C24" s="74"/>
      <c r="D24" s="74"/>
      <c r="E24" s="74"/>
      <c r="F24" s="74"/>
      <c r="G24" s="74"/>
      <c r="H24" s="74"/>
      <c r="I24" s="74"/>
      <c r="J24" s="74"/>
      <c r="K24" s="74"/>
      <c r="L24" s="74"/>
      <c r="M24" s="74"/>
      <c r="N24" s="74"/>
      <c r="O24" s="74"/>
      <c r="P24" s="74"/>
      <c r="Q24" s="74"/>
      <c r="R24" s="74"/>
      <c r="S24" s="74"/>
      <c r="T24" s="74"/>
      <c r="U24" s="74"/>
      <c r="V24" s="74"/>
      <c r="W24" s="74"/>
      <c r="X24" s="74"/>
      <c r="Y24" s="74"/>
      <c r="Z24" s="74"/>
    </row>
    <row r="25" spans="1:26" x14ac:dyDescent="0.25">
      <c r="A25">
        <v>35271</v>
      </c>
      <c r="B25">
        <v>0</v>
      </c>
      <c r="C25" s="74"/>
      <c r="D25" s="74"/>
      <c r="E25" s="74"/>
      <c r="F25" s="74"/>
      <c r="G25" s="74"/>
      <c r="H25" s="74"/>
      <c r="I25" s="74"/>
      <c r="J25" s="74"/>
      <c r="K25" s="74"/>
      <c r="L25" s="74"/>
      <c r="M25" s="74"/>
      <c r="N25" s="74"/>
      <c r="O25" s="74"/>
      <c r="P25" s="74"/>
      <c r="Q25" s="74"/>
      <c r="R25" s="74"/>
      <c r="S25" s="74"/>
      <c r="T25" s="74"/>
      <c r="U25" s="74"/>
      <c r="V25" s="74"/>
      <c r="W25" s="74"/>
      <c r="X25" s="74"/>
      <c r="Y25" s="74"/>
      <c r="Z25" s="74"/>
    </row>
    <row r="26" spans="1:26" x14ac:dyDescent="0.25">
      <c r="A26">
        <v>35263</v>
      </c>
      <c r="B26">
        <v>0</v>
      </c>
      <c r="C26" s="74"/>
      <c r="D26" s="74"/>
      <c r="E26" s="74"/>
      <c r="F26" s="74"/>
      <c r="G26" s="74"/>
      <c r="H26" s="74"/>
      <c r="I26" s="74"/>
      <c r="J26" s="74"/>
      <c r="K26" s="74"/>
      <c r="L26" s="74"/>
      <c r="M26" s="74"/>
      <c r="N26" s="74"/>
      <c r="O26" s="74"/>
      <c r="P26" s="74"/>
      <c r="Q26" s="74"/>
      <c r="R26" s="74"/>
      <c r="S26" s="74"/>
      <c r="T26" s="74"/>
      <c r="U26" s="74"/>
      <c r="V26" s="74"/>
      <c r="W26" s="74"/>
      <c r="X26" s="74"/>
      <c r="Y26" s="74"/>
      <c r="Z26" s="74"/>
    </row>
    <row r="27" spans="1:26" x14ac:dyDescent="0.25">
      <c r="A27">
        <v>35512</v>
      </c>
      <c r="B27">
        <v>0</v>
      </c>
      <c r="C27" s="74"/>
      <c r="D27" s="74"/>
      <c r="E27" s="74"/>
      <c r="F27" s="74"/>
      <c r="G27" s="74"/>
      <c r="H27" s="74"/>
      <c r="I27" s="74"/>
      <c r="J27" s="74"/>
      <c r="K27" s="74"/>
      <c r="L27" s="74"/>
      <c r="M27" s="74"/>
      <c r="N27" s="74"/>
      <c r="O27" s="74"/>
      <c r="P27" s="74"/>
      <c r="Q27" s="74"/>
      <c r="R27" s="74"/>
      <c r="S27" s="74"/>
      <c r="T27" s="74"/>
      <c r="U27" s="74"/>
      <c r="V27" s="74"/>
      <c r="W27" s="74"/>
      <c r="X27" s="74"/>
      <c r="Y27" s="74"/>
      <c r="Z27" s="74"/>
    </row>
    <row r="28" spans="1:26" x14ac:dyDescent="0.25">
      <c r="A28">
        <v>35249</v>
      </c>
      <c r="B28">
        <v>0</v>
      </c>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26" x14ac:dyDescent="0.25">
      <c r="A29">
        <v>35420</v>
      </c>
      <c r="B29">
        <v>0</v>
      </c>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26" x14ac:dyDescent="0.25">
      <c r="A30">
        <v>35253</v>
      </c>
      <c r="B30">
        <v>0</v>
      </c>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26" x14ac:dyDescent="0.25">
      <c r="A31">
        <v>35430</v>
      </c>
      <c r="B31">
        <v>0</v>
      </c>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26" x14ac:dyDescent="0.25">
      <c r="A32">
        <v>35257</v>
      </c>
      <c r="B32">
        <v>0</v>
      </c>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x14ac:dyDescent="0.25">
      <c r="A33">
        <v>35432</v>
      </c>
      <c r="B33">
        <v>0</v>
      </c>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x14ac:dyDescent="0.25">
      <c r="A34">
        <v>35224</v>
      </c>
      <c r="B34">
        <v>0</v>
      </c>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x14ac:dyDescent="0.25">
      <c r="A35">
        <v>35235</v>
      </c>
      <c r="B35">
        <v>0</v>
      </c>
      <c r="C35" s="74"/>
      <c r="D35" s="74"/>
      <c r="E35" s="74"/>
      <c r="F35" s="74"/>
      <c r="G35" s="74"/>
      <c r="H35" s="74"/>
      <c r="I35" s="74"/>
      <c r="J35" s="74"/>
      <c r="K35" s="74"/>
      <c r="L35" s="74"/>
      <c r="M35" s="74"/>
      <c r="N35" s="74"/>
      <c r="O35" s="74"/>
      <c r="P35" s="74"/>
      <c r="Q35" s="74"/>
      <c r="R35" s="74"/>
      <c r="S35" s="74"/>
      <c r="T35" s="74"/>
      <c r="U35" s="74"/>
      <c r="V35" s="74"/>
      <c r="W35" s="74"/>
      <c r="X35" s="74"/>
      <c r="Y35" s="74"/>
      <c r="Z35" s="74"/>
    </row>
    <row r="36" spans="1:26" x14ac:dyDescent="0.25">
      <c r="A36">
        <v>35239</v>
      </c>
      <c r="B36">
        <v>0</v>
      </c>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x14ac:dyDescent="0.25">
      <c r="A37">
        <v>35445</v>
      </c>
      <c r="B37">
        <v>0</v>
      </c>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x14ac:dyDescent="0.25">
      <c r="A38">
        <v>35406</v>
      </c>
      <c r="B38">
        <v>0</v>
      </c>
      <c r="C38" s="74"/>
      <c r="D38" s="74"/>
      <c r="E38" s="74"/>
      <c r="F38" s="74"/>
      <c r="G38" s="74"/>
      <c r="H38" s="74"/>
      <c r="I38" s="74"/>
      <c r="J38" s="74"/>
      <c r="K38" s="74"/>
      <c r="L38" s="74"/>
      <c r="M38" s="74"/>
      <c r="N38" s="74"/>
      <c r="O38" s="74"/>
      <c r="P38" s="74"/>
      <c r="Q38" s="74"/>
      <c r="R38" s="74"/>
      <c r="S38" s="74"/>
      <c r="T38" s="74"/>
      <c r="U38" s="74"/>
      <c r="V38" s="74"/>
      <c r="W38" s="74"/>
      <c r="X38" s="74"/>
      <c r="Y38" s="74"/>
      <c r="Z38" s="74"/>
    </row>
    <row r="39" spans="1:26" x14ac:dyDescent="0.25">
      <c r="A39">
        <v>35498</v>
      </c>
      <c r="B39">
        <v>0</v>
      </c>
      <c r="C39" s="74"/>
      <c r="D39" s="74"/>
      <c r="E39" s="74"/>
      <c r="F39" s="74"/>
      <c r="G39" s="74"/>
      <c r="H39" s="74"/>
      <c r="I39" s="74"/>
      <c r="J39" s="74"/>
      <c r="K39" s="74"/>
      <c r="L39" s="74"/>
      <c r="M39" s="74"/>
      <c r="N39" s="74"/>
      <c r="O39" s="74"/>
      <c r="P39" s="74"/>
      <c r="Q39" s="74"/>
      <c r="R39" s="74"/>
      <c r="S39" s="74"/>
      <c r="T39" s="74"/>
      <c r="U39" s="74"/>
      <c r="V39" s="74"/>
      <c r="W39" s="74"/>
      <c r="X39" s="74"/>
      <c r="Y39" s="74"/>
      <c r="Z39" s="74"/>
    </row>
    <row r="40" spans="1:26" x14ac:dyDescent="0.25">
      <c r="A40">
        <v>35439</v>
      </c>
      <c r="B40">
        <v>0</v>
      </c>
      <c r="C40" s="74"/>
      <c r="D40" s="74"/>
      <c r="E40" s="74"/>
      <c r="F40" s="74"/>
      <c r="G40" s="74"/>
      <c r="H40" s="74"/>
      <c r="I40" s="74"/>
      <c r="J40" s="74"/>
      <c r="K40" s="74"/>
      <c r="L40" s="74"/>
      <c r="M40" s="74"/>
      <c r="N40" s="74"/>
      <c r="O40" s="74"/>
      <c r="P40" s="74"/>
      <c r="Q40" s="74"/>
      <c r="R40" s="74"/>
      <c r="S40" s="74"/>
      <c r="T40" s="74"/>
      <c r="U40" s="74"/>
      <c r="V40" s="74"/>
      <c r="W40" s="74"/>
      <c r="X40" s="74"/>
      <c r="Y40" s="74"/>
      <c r="Z40" s="74"/>
    </row>
    <row r="41" spans="1:26" x14ac:dyDescent="0.25">
      <c r="A41">
        <v>35251</v>
      </c>
      <c r="B41">
        <v>0</v>
      </c>
      <c r="C41" s="74"/>
      <c r="D41" s="74"/>
      <c r="E41" s="74"/>
      <c r="F41" s="74"/>
      <c r="G41" s="74"/>
      <c r="H41" s="74"/>
      <c r="I41" s="74"/>
      <c r="J41" s="74"/>
      <c r="K41" s="74"/>
      <c r="L41" s="74"/>
      <c r="M41" s="74"/>
      <c r="N41" s="74"/>
      <c r="O41" s="74"/>
      <c r="P41" s="74"/>
      <c r="Q41" s="74"/>
      <c r="R41" s="74"/>
      <c r="S41" s="74"/>
      <c r="T41" s="74"/>
      <c r="U41" s="74"/>
      <c r="V41" s="74"/>
      <c r="W41" s="74"/>
      <c r="X41" s="74"/>
      <c r="Y41" s="74"/>
      <c r="Z41" s="74"/>
    </row>
    <row r="42" spans="1:26" x14ac:dyDescent="0.25">
      <c r="A42">
        <v>35461</v>
      </c>
      <c r="B42">
        <v>0</v>
      </c>
      <c r="C42" s="74"/>
      <c r="D42" s="74"/>
      <c r="E42" s="74"/>
      <c r="F42" s="74"/>
      <c r="G42" s="74"/>
      <c r="H42" s="74"/>
      <c r="I42" s="74"/>
      <c r="J42" s="74"/>
      <c r="K42" s="74"/>
      <c r="L42" s="74"/>
      <c r="M42" s="74"/>
      <c r="N42" s="74"/>
      <c r="O42" s="74"/>
      <c r="P42" s="74"/>
      <c r="Q42" s="74"/>
      <c r="R42" s="74"/>
      <c r="S42" s="74"/>
      <c r="T42" s="74"/>
      <c r="U42" s="74"/>
      <c r="V42" s="74"/>
      <c r="W42" s="74"/>
      <c r="X42" s="74"/>
      <c r="Y42" s="74"/>
      <c r="Z42" s="74"/>
    </row>
    <row r="43" spans="1:26" x14ac:dyDescent="0.25">
      <c r="A43">
        <v>35217</v>
      </c>
      <c r="B43">
        <v>0</v>
      </c>
      <c r="C43" s="74"/>
      <c r="D43" s="74"/>
      <c r="E43" s="74"/>
      <c r="F43" s="74"/>
      <c r="G43" s="74"/>
      <c r="H43" s="74"/>
      <c r="I43" s="74"/>
      <c r="J43" s="74"/>
      <c r="K43" s="74"/>
      <c r="L43" s="74"/>
      <c r="M43" s="74"/>
      <c r="N43" s="74"/>
      <c r="O43" s="74"/>
      <c r="P43" s="74"/>
      <c r="Q43" s="74"/>
      <c r="R43" s="74"/>
      <c r="S43" s="74"/>
      <c r="T43" s="74"/>
      <c r="U43" s="74"/>
      <c r="V43" s="74"/>
      <c r="W43" s="74"/>
      <c r="X43" s="74"/>
      <c r="Y43" s="74"/>
      <c r="Z43" s="74"/>
    </row>
    <row r="44" spans="1:26" x14ac:dyDescent="0.25">
      <c r="A44">
        <v>35231</v>
      </c>
      <c r="B44">
        <v>0</v>
      </c>
      <c r="C44" s="74"/>
      <c r="D44" s="74"/>
      <c r="E44" s="74"/>
      <c r="F44" s="74"/>
      <c r="G44" s="74"/>
      <c r="H44" s="74"/>
      <c r="I44" s="74"/>
      <c r="J44" s="74"/>
      <c r="K44" s="74"/>
      <c r="L44" s="74"/>
      <c r="M44" s="74"/>
      <c r="N44" s="74"/>
      <c r="O44" s="74"/>
      <c r="P44" s="74"/>
      <c r="Q44" s="74"/>
      <c r="R44" s="74"/>
      <c r="S44" s="74"/>
      <c r="T44" s="74"/>
      <c r="U44" s="74"/>
      <c r="V44" s="74"/>
      <c r="W44" s="74"/>
      <c r="X44" s="74"/>
      <c r="Y44" s="74"/>
      <c r="Z44" s="74"/>
    </row>
    <row r="45" spans="1:26" x14ac:dyDescent="0.25">
      <c r="A45">
        <v>35455</v>
      </c>
      <c r="B45">
        <v>0</v>
      </c>
      <c r="C45" s="74"/>
      <c r="D45" s="74"/>
      <c r="E45" s="74"/>
      <c r="F45" s="74"/>
      <c r="G45" s="74"/>
      <c r="H45" s="74"/>
      <c r="I45" s="74"/>
      <c r="J45" s="74"/>
      <c r="K45" s="74"/>
      <c r="L45" s="74"/>
      <c r="M45" s="74"/>
      <c r="N45" s="74"/>
      <c r="O45" s="74"/>
      <c r="P45" s="74"/>
      <c r="Q45" s="74"/>
      <c r="R45" s="74"/>
      <c r="S45" s="74"/>
      <c r="T45" s="74"/>
      <c r="U45" s="74"/>
      <c r="V45" s="74"/>
      <c r="W45" s="74"/>
      <c r="X45" s="74"/>
      <c r="Y45" s="74"/>
      <c r="Z45" s="74"/>
    </row>
    <row r="46" spans="1:26" x14ac:dyDescent="0.25">
      <c r="A46">
        <v>35213</v>
      </c>
      <c r="B46">
        <v>0</v>
      </c>
      <c r="C46" s="74"/>
      <c r="D46" s="74"/>
      <c r="E46" s="74"/>
      <c r="F46" s="74"/>
      <c r="G46" s="74"/>
      <c r="H46" s="74"/>
      <c r="I46" s="74"/>
      <c r="J46" s="74"/>
      <c r="K46" s="74"/>
      <c r="L46" s="74"/>
      <c r="M46" s="74"/>
      <c r="N46" s="74"/>
      <c r="O46" s="74"/>
      <c r="P46" s="74"/>
      <c r="Q46" s="74"/>
      <c r="R46" s="74"/>
      <c r="S46" s="74"/>
      <c r="T46" s="74"/>
      <c r="U46" s="74"/>
      <c r="V46" s="74"/>
      <c r="W46" s="74"/>
      <c r="X46" s="74"/>
      <c r="Y46" s="74"/>
      <c r="Z46" s="74"/>
    </row>
    <row r="47" spans="1:26" x14ac:dyDescent="0.25">
      <c r="A47">
        <v>35415</v>
      </c>
      <c r="B47">
        <v>0</v>
      </c>
      <c r="C47" s="74"/>
      <c r="D47" s="74"/>
      <c r="E47" s="74"/>
      <c r="F47" s="74"/>
      <c r="G47" s="74"/>
      <c r="H47" s="74"/>
      <c r="I47" s="74"/>
      <c r="J47" s="74"/>
      <c r="K47" s="74"/>
      <c r="L47" s="74"/>
      <c r="M47" s="74"/>
      <c r="N47" s="74"/>
      <c r="O47" s="74"/>
      <c r="P47" s="74"/>
      <c r="Q47" s="74"/>
      <c r="R47" s="74"/>
      <c r="S47" s="74"/>
      <c r="T47" s="74"/>
      <c r="U47" s="74"/>
      <c r="V47" s="74"/>
      <c r="W47" s="74"/>
      <c r="X47" s="74"/>
      <c r="Y47" s="74"/>
      <c r="Z47" s="74"/>
    </row>
    <row r="48" spans="1:26" x14ac:dyDescent="0.25">
      <c r="A48">
        <v>35463</v>
      </c>
      <c r="B48">
        <v>0</v>
      </c>
      <c r="C48" s="74"/>
      <c r="D48" s="74"/>
      <c r="E48" s="74"/>
      <c r="F48" s="74"/>
      <c r="G48" s="74"/>
      <c r="H48" s="74"/>
      <c r="I48" s="74"/>
      <c r="J48" s="74"/>
      <c r="K48" s="74"/>
      <c r="L48" s="74"/>
      <c r="M48" s="74"/>
      <c r="N48" s="74"/>
      <c r="O48" s="74"/>
      <c r="P48" s="74"/>
      <c r="Q48" s="74"/>
      <c r="R48" s="74"/>
      <c r="S48" s="74"/>
      <c r="T48" s="74"/>
      <c r="U48" s="74"/>
      <c r="V48" s="74"/>
      <c r="W48" s="74"/>
      <c r="X48" s="74"/>
      <c r="Y48" s="74"/>
      <c r="Z48" s="74"/>
    </row>
    <row r="49" spans="1:26" x14ac:dyDescent="0.25">
      <c r="A49">
        <v>35486</v>
      </c>
      <c r="B49">
        <v>0</v>
      </c>
      <c r="C49" s="74"/>
      <c r="D49" s="74"/>
      <c r="E49" s="74"/>
      <c r="F49" s="74"/>
      <c r="G49" s="74"/>
      <c r="H49" s="74"/>
      <c r="I49" s="74"/>
      <c r="J49" s="74"/>
      <c r="K49" s="74"/>
      <c r="L49" s="74"/>
      <c r="M49" s="74"/>
      <c r="N49" s="74"/>
      <c r="O49" s="74"/>
      <c r="P49" s="74"/>
      <c r="Q49" s="74"/>
      <c r="R49" s="74"/>
      <c r="S49" s="74"/>
      <c r="T49" s="74"/>
      <c r="U49" s="74"/>
      <c r="V49" s="74"/>
      <c r="W49" s="74"/>
      <c r="X49" s="74"/>
      <c r="Y49" s="74"/>
      <c r="Z49" s="74"/>
    </row>
    <row r="50" spans="1:26" x14ac:dyDescent="0.25">
      <c r="A50">
        <v>35243</v>
      </c>
      <c r="B50">
        <v>0</v>
      </c>
      <c r="C50" s="74"/>
      <c r="D50" s="74"/>
      <c r="E50" s="74"/>
      <c r="F50" s="74"/>
      <c r="G50" s="74"/>
      <c r="H50" s="74"/>
      <c r="I50" s="74"/>
      <c r="J50" s="74"/>
      <c r="K50" s="74"/>
      <c r="L50" s="74"/>
      <c r="M50" s="74"/>
      <c r="N50" s="74"/>
      <c r="O50" s="74"/>
      <c r="P50" s="74"/>
      <c r="Q50" s="74"/>
      <c r="R50" s="74"/>
      <c r="S50" s="74"/>
      <c r="T50" s="74"/>
      <c r="U50" s="74"/>
      <c r="V50" s="74"/>
      <c r="W50" s="74"/>
      <c r="X50" s="74"/>
      <c r="Y50" s="74"/>
      <c r="Z50" s="74"/>
    </row>
    <row r="51" spans="1:26" x14ac:dyDescent="0.25">
      <c r="A51">
        <v>35421</v>
      </c>
      <c r="B51">
        <v>0</v>
      </c>
      <c r="C51" s="74"/>
      <c r="D51" s="74"/>
      <c r="E51" s="74"/>
      <c r="F51" s="74"/>
      <c r="G51" s="74"/>
      <c r="H51" s="74"/>
      <c r="I51" s="74"/>
      <c r="J51" s="74"/>
      <c r="K51" s="74"/>
      <c r="L51" s="74"/>
      <c r="M51" s="74"/>
      <c r="N51" s="74"/>
      <c r="O51" s="74"/>
      <c r="P51" s="74"/>
      <c r="Q51" s="74"/>
      <c r="R51" s="74"/>
      <c r="S51" s="74"/>
      <c r="T51" s="74"/>
      <c r="U51" s="74"/>
      <c r="V51" s="74"/>
      <c r="W51" s="74"/>
      <c r="X51" s="74"/>
      <c r="Y51" s="74"/>
      <c r="Z51" s="74"/>
    </row>
    <row r="52" spans="1:26" x14ac:dyDescent="0.25">
      <c r="A52">
        <v>35475</v>
      </c>
      <c r="B52">
        <v>0</v>
      </c>
      <c r="C52" s="74"/>
      <c r="D52" s="74"/>
      <c r="E52" s="74"/>
      <c r="F52" s="74"/>
      <c r="G52" s="74"/>
      <c r="H52" s="74"/>
      <c r="I52" s="74"/>
      <c r="J52" s="74"/>
      <c r="K52" s="74"/>
      <c r="L52" s="74"/>
      <c r="M52" s="74"/>
      <c r="N52" s="74"/>
      <c r="O52" s="74"/>
      <c r="P52" s="74"/>
      <c r="Q52" s="74"/>
      <c r="R52" s="74"/>
      <c r="S52" s="74"/>
      <c r="T52" s="74"/>
      <c r="U52" s="74"/>
      <c r="V52" s="74"/>
      <c r="W52" s="74"/>
      <c r="X52" s="74"/>
      <c r="Y52" s="74"/>
      <c r="Z52" s="74"/>
    </row>
    <row r="53" spans="1:26" x14ac:dyDescent="0.25">
      <c r="A53">
        <v>35459</v>
      </c>
      <c r="B53">
        <v>0</v>
      </c>
      <c r="C53" s="74"/>
      <c r="D53" s="74"/>
      <c r="E53" s="74"/>
      <c r="F53" s="74"/>
      <c r="G53" s="74"/>
      <c r="H53" s="74"/>
      <c r="I53" s="74"/>
      <c r="J53" s="74"/>
      <c r="K53" s="74"/>
      <c r="L53" s="74"/>
      <c r="M53" s="74"/>
      <c r="N53" s="74"/>
      <c r="O53" s="74"/>
      <c r="P53" s="74"/>
      <c r="Q53" s="74"/>
      <c r="R53" s="74"/>
      <c r="S53" s="74"/>
      <c r="T53" s="74"/>
      <c r="U53" s="74"/>
      <c r="V53" s="74"/>
      <c r="W53" s="74"/>
      <c r="X53" s="74"/>
      <c r="Y53" s="74"/>
      <c r="Z53" s="74"/>
    </row>
    <row r="54" spans="1:26" x14ac:dyDescent="0.25">
      <c r="A54">
        <v>35515</v>
      </c>
      <c r="B54">
        <v>0</v>
      </c>
      <c r="C54" s="74"/>
      <c r="D54" s="74"/>
      <c r="E54" s="74"/>
      <c r="F54" s="74"/>
      <c r="G54" s="74"/>
      <c r="H54" s="74"/>
      <c r="I54" s="74"/>
      <c r="J54" s="74"/>
      <c r="K54" s="74"/>
      <c r="L54" s="74"/>
      <c r="M54" s="74"/>
      <c r="N54" s="74"/>
      <c r="O54" s="74"/>
      <c r="P54" s="74"/>
      <c r="Q54" s="74"/>
      <c r="R54" s="74"/>
      <c r="S54" s="74"/>
      <c r="T54" s="74"/>
      <c r="U54" s="74"/>
      <c r="V54" s="74"/>
      <c r="W54" s="74"/>
      <c r="X54" s="74"/>
      <c r="Y54" s="74"/>
      <c r="Z54" s="74"/>
    </row>
    <row r="55" spans="1:26" x14ac:dyDescent="0.25">
      <c r="A55">
        <v>35408</v>
      </c>
      <c r="B55">
        <v>0</v>
      </c>
      <c r="C55" s="74"/>
      <c r="D55" s="74"/>
      <c r="E55" s="74"/>
      <c r="F55" s="74"/>
      <c r="G55" s="74"/>
      <c r="H55" s="74"/>
      <c r="I55" s="74"/>
      <c r="J55" s="74"/>
      <c r="K55" s="74"/>
      <c r="L55" s="74"/>
      <c r="M55" s="74"/>
      <c r="N55" s="74"/>
      <c r="O55" s="74"/>
      <c r="P55" s="74"/>
      <c r="Q55" s="74"/>
      <c r="R55" s="74"/>
      <c r="S55" s="74"/>
      <c r="T55" s="74"/>
      <c r="U55" s="74"/>
      <c r="V55" s="74"/>
      <c r="W55" s="74"/>
      <c r="X55" s="74"/>
      <c r="Y55" s="74"/>
      <c r="Z55" s="74"/>
    </row>
    <row r="56" spans="1:26" x14ac:dyDescent="0.25">
      <c r="A56">
        <v>35416</v>
      </c>
      <c r="B56">
        <v>0</v>
      </c>
      <c r="C56" s="74"/>
      <c r="D56" s="74"/>
      <c r="E56" s="74"/>
      <c r="F56" s="74"/>
      <c r="G56" s="74"/>
      <c r="H56" s="74"/>
      <c r="I56" s="74"/>
      <c r="J56" s="74"/>
      <c r="K56" s="74"/>
      <c r="L56" s="74"/>
      <c r="M56" s="74"/>
      <c r="N56" s="74"/>
      <c r="O56" s="74"/>
      <c r="P56" s="74"/>
      <c r="Q56" s="74"/>
      <c r="R56" s="74"/>
      <c r="S56" s="74"/>
      <c r="T56" s="74"/>
      <c r="U56" s="74"/>
      <c r="V56" s="74"/>
      <c r="W56" s="74"/>
      <c r="X56" s="74"/>
      <c r="Y56" s="74"/>
      <c r="Z56" s="74"/>
    </row>
    <row r="57" spans="1:26" x14ac:dyDescent="0.25">
      <c r="A57">
        <v>35451</v>
      </c>
      <c r="B57">
        <v>0</v>
      </c>
      <c r="C57" s="74"/>
      <c r="D57" s="74"/>
      <c r="E57" s="74"/>
      <c r="F57" s="74"/>
      <c r="G57" s="74"/>
      <c r="H57" s="74"/>
      <c r="I57" s="74"/>
      <c r="J57" s="74"/>
      <c r="K57" s="74"/>
      <c r="L57" s="74"/>
      <c r="M57" s="74"/>
      <c r="N57" s="74"/>
      <c r="O57" s="74"/>
      <c r="P57" s="74"/>
      <c r="Q57" s="74"/>
      <c r="R57" s="74"/>
      <c r="S57" s="74"/>
      <c r="T57" s="74"/>
      <c r="U57" s="74"/>
      <c r="V57" s="74"/>
      <c r="W57" s="74"/>
      <c r="X57" s="74"/>
      <c r="Y57" s="74"/>
      <c r="Z57" s="74"/>
    </row>
    <row r="58" spans="1:26" x14ac:dyDescent="0.25">
      <c r="A58">
        <v>35221</v>
      </c>
      <c r="B58">
        <v>0</v>
      </c>
      <c r="C58" s="74"/>
      <c r="D58" s="74"/>
      <c r="E58" s="74"/>
      <c r="F58" s="74"/>
      <c r="G58" s="74"/>
      <c r="H58" s="74"/>
      <c r="I58" s="74"/>
      <c r="J58" s="74"/>
      <c r="K58" s="74"/>
      <c r="L58" s="74"/>
      <c r="M58" s="74"/>
      <c r="N58" s="74"/>
      <c r="O58" s="74"/>
      <c r="P58" s="74"/>
      <c r="Q58" s="74"/>
      <c r="R58" s="74"/>
      <c r="S58" s="74"/>
      <c r="T58" s="74"/>
      <c r="U58" s="74"/>
      <c r="V58" s="74"/>
      <c r="W58" s="74"/>
      <c r="X58" s="74"/>
      <c r="Y58" s="74"/>
      <c r="Z58" s="74"/>
    </row>
    <row r="59" spans="1:26" x14ac:dyDescent="0.25">
      <c r="A59">
        <v>35211</v>
      </c>
      <c r="B59">
        <v>0</v>
      </c>
      <c r="C59" s="74"/>
      <c r="D59" s="74"/>
      <c r="E59" s="74"/>
      <c r="F59" s="74"/>
      <c r="G59" s="74"/>
      <c r="H59" s="74"/>
      <c r="I59" s="74"/>
      <c r="J59" s="74"/>
      <c r="K59" s="74"/>
      <c r="L59" s="74"/>
      <c r="M59" s="74"/>
      <c r="N59" s="74"/>
      <c r="O59" s="74"/>
      <c r="P59" s="74"/>
      <c r="Q59" s="74"/>
      <c r="R59" s="74"/>
      <c r="S59" s="74"/>
      <c r="T59" s="74"/>
      <c r="U59" s="74"/>
      <c r="V59" s="74"/>
      <c r="W59" s="74"/>
      <c r="X59" s="74"/>
      <c r="Y59" s="74"/>
      <c r="Z59" s="74"/>
    </row>
    <row r="60" spans="1:26" x14ac:dyDescent="0.25">
      <c r="A60">
        <v>35427</v>
      </c>
      <c r="B60">
        <v>0</v>
      </c>
      <c r="C60" s="74"/>
      <c r="D60" s="74"/>
      <c r="E60" s="74"/>
      <c r="F60" s="74"/>
      <c r="G60" s="74"/>
      <c r="H60" s="74"/>
      <c r="I60" s="74"/>
      <c r="J60" s="74"/>
      <c r="K60" s="74"/>
      <c r="L60" s="74"/>
      <c r="M60" s="74"/>
      <c r="N60" s="74"/>
      <c r="O60" s="74"/>
      <c r="P60" s="74"/>
      <c r="Q60" s="74"/>
      <c r="R60" s="74"/>
      <c r="S60" s="74"/>
      <c r="T60" s="74"/>
      <c r="U60" s="74"/>
      <c r="V60" s="74"/>
      <c r="W60" s="74"/>
      <c r="X60" s="74"/>
      <c r="Y60" s="74"/>
      <c r="Z60" s="74"/>
    </row>
    <row r="61" spans="1:26" x14ac:dyDescent="0.25">
      <c r="A61">
        <v>35423</v>
      </c>
      <c r="B61">
        <v>0</v>
      </c>
      <c r="C61" s="74"/>
      <c r="D61" s="74"/>
      <c r="E61" s="74"/>
      <c r="F61" s="74"/>
      <c r="G61" s="74"/>
      <c r="H61" s="74"/>
      <c r="I61" s="74"/>
      <c r="J61" s="74"/>
      <c r="K61" s="74"/>
      <c r="L61" s="74"/>
      <c r="M61" s="74"/>
      <c r="N61" s="74"/>
      <c r="O61" s="74"/>
      <c r="P61" s="74"/>
      <c r="Q61" s="74"/>
      <c r="R61" s="74"/>
      <c r="S61" s="74"/>
      <c r="T61" s="74"/>
      <c r="U61" s="74"/>
      <c r="V61" s="74"/>
      <c r="W61" s="74"/>
      <c r="X61" s="74"/>
      <c r="Y61" s="74"/>
      <c r="Z61" s="74"/>
    </row>
    <row r="62" spans="1:26" x14ac:dyDescent="0.25">
      <c r="A62">
        <v>35457</v>
      </c>
      <c r="B62">
        <v>0</v>
      </c>
      <c r="C62" s="74"/>
      <c r="D62" s="74"/>
      <c r="E62" s="74"/>
      <c r="F62" s="74"/>
      <c r="G62" s="74"/>
      <c r="H62" s="74"/>
      <c r="I62" s="74"/>
      <c r="J62" s="74"/>
      <c r="K62" s="74"/>
      <c r="L62" s="74"/>
      <c r="M62" s="74"/>
      <c r="N62" s="74"/>
      <c r="O62" s="74"/>
      <c r="P62" s="74"/>
      <c r="Q62" s="74"/>
      <c r="R62" s="74"/>
      <c r="S62" s="74"/>
      <c r="T62" s="74"/>
      <c r="U62" s="74"/>
      <c r="V62" s="74"/>
      <c r="W62" s="74"/>
      <c r="X62" s="74"/>
      <c r="Y62" s="74"/>
      <c r="Z62" s="74"/>
    </row>
    <row r="63" spans="1:26" x14ac:dyDescent="0.25">
      <c r="A63">
        <v>35417</v>
      </c>
      <c r="B63">
        <v>0</v>
      </c>
      <c r="C63" s="74"/>
      <c r="D63" s="74"/>
      <c r="E63" s="74"/>
      <c r="F63" s="74"/>
      <c r="G63" s="74"/>
      <c r="H63" s="74"/>
      <c r="I63" s="74"/>
      <c r="J63" s="74"/>
      <c r="K63" s="74"/>
      <c r="L63" s="74"/>
      <c r="M63" s="74"/>
      <c r="N63" s="74"/>
      <c r="O63" s="74"/>
      <c r="P63" s="74"/>
      <c r="Q63" s="74"/>
      <c r="R63" s="74"/>
      <c r="S63" s="74"/>
      <c r="T63" s="74"/>
      <c r="U63" s="74"/>
      <c r="V63" s="74"/>
      <c r="W63" s="74"/>
      <c r="X63" s="74"/>
      <c r="Y63" s="74"/>
      <c r="Z63" s="74"/>
    </row>
    <row r="64" spans="1:26" x14ac:dyDescent="0.25">
      <c r="A64">
        <v>35469</v>
      </c>
      <c r="B64">
        <v>0</v>
      </c>
      <c r="C64" s="74"/>
      <c r="D64" s="74"/>
      <c r="E64" s="74"/>
      <c r="F64" s="74"/>
      <c r="G64" s="74"/>
      <c r="H64" s="74"/>
      <c r="I64" s="74"/>
      <c r="J64" s="74"/>
      <c r="K64" s="74"/>
      <c r="L64" s="74"/>
      <c r="M64" s="74"/>
      <c r="N64" s="74"/>
      <c r="O64" s="74"/>
      <c r="P64" s="74"/>
      <c r="Q64" s="74"/>
      <c r="R64" s="74"/>
      <c r="S64" s="74"/>
      <c r="T64" s="74"/>
      <c r="U64" s="74"/>
      <c r="V64" s="74"/>
      <c r="W64" s="74"/>
      <c r="X64" s="74"/>
      <c r="Y64" s="74"/>
      <c r="Z64" s="74"/>
    </row>
    <row r="65" spans="1:26" x14ac:dyDescent="0.25">
      <c r="A65">
        <v>35219</v>
      </c>
      <c r="B65">
        <v>0</v>
      </c>
      <c r="C65" s="74"/>
      <c r="D65" s="74"/>
      <c r="E65" s="74"/>
      <c r="F65" s="74"/>
      <c r="G65" s="74"/>
      <c r="H65" s="74"/>
      <c r="I65" s="74"/>
      <c r="J65" s="74"/>
      <c r="K65" s="74"/>
      <c r="L65" s="74"/>
      <c r="M65" s="74"/>
      <c r="N65" s="74"/>
      <c r="O65" s="74"/>
      <c r="P65" s="74"/>
      <c r="Q65" s="74"/>
      <c r="R65" s="74"/>
      <c r="S65" s="74"/>
      <c r="T65" s="74"/>
      <c r="U65" s="74"/>
      <c r="V65" s="74"/>
      <c r="W65" s="74"/>
      <c r="X65" s="74"/>
      <c r="Y65" s="74"/>
      <c r="Z65" s="74"/>
    </row>
    <row r="66" spans="1:26" x14ac:dyDescent="0.25">
      <c r="A66">
        <v>35487</v>
      </c>
      <c r="B66">
        <v>0</v>
      </c>
      <c r="C66" s="74"/>
      <c r="D66" s="74"/>
      <c r="E66" s="74"/>
      <c r="F66" s="74"/>
      <c r="G66" s="74"/>
      <c r="H66" s="74"/>
      <c r="I66" s="74"/>
      <c r="J66" s="74"/>
      <c r="K66" s="74"/>
      <c r="L66" s="74"/>
      <c r="M66" s="74"/>
      <c r="N66" s="74"/>
      <c r="O66" s="74"/>
      <c r="P66" s="74"/>
      <c r="Q66" s="74"/>
      <c r="R66" s="74"/>
      <c r="S66" s="74"/>
      <c r="T66" s="74"/>
      <c r="U66" s="74"/>
      <c r="V66" s="74"/>
      <c r="W66" s="74"/>
      <c r="X66" s="74"/>
      <c r="Y66" s="74"/>
      <c r="Z66" s="74"/>
    </row>
    <row r="67" spans="1:26" x14ac:dyDescent="0.25">
      <c r="A67">
        <v>35435</v>
      </c>
      <c r="B67">
        <v>0</v>
      </c>
      <c r="C67" s="74"/>
      <c r="D67" s="74"/>
      <c r="E67" s="74"/>
      <c r="F67" s="74"/>
      <c r="G67" s="74"/>
      <c r="H67" s="74"/>
      <c r="I67" s="74"/>
      <c r="J67" s="74"/>
      <c r="K67" s="74"/>
      <c r="L67" s="74"/>
      <c r="M67" s="74"/>
      <c r="N67" s="74"/>
      <c r="O67" s="74"/>
      <c r="P67" s="74"/>
      <c r="Q67" s="74"/>
      <c r="R67" s="74"/>
      <c r="S67" s="74"/>
      <c r="T67" s="74"/>
      <c r="U67" s="74"/>
      <c r="V67" s="74"/>
      <c r="W67" s="74"/>
      <c r="X67" s="74"/>
      <c r="Y67" s="74"/>
      <c r="Z67" s="74"/>
    </row>
    <row r="68" spans="1:26" x14ac:dyDescent="0.25">
      <c r="A68">
        <v>35215</v>
      </c>
      <c r="B68">
        <v>0</v>
      </c>
      <c r="C68" s="74"/>
      <c r="D68" s="74"/>
      <c r="E68" s="74"/>
      <c r="F68" s="74"/>
      <c r="G68" s="74"/>
      <c r="H68" s="74"/>
      <c r="I68" s="74"/>
      <c r="J68" s="74"/>
      <c r="K68" s="74"/>
      <c r="L68" s="74"/>
      <c r="M68" s="74"/>
      <c r="N68" s="74"/>
      <c r="O68" s="74"/>
      <c r="P68" s="74"/>
      <c r="Q68" s="74"/>
      <c r="R68" s="74"/>
      <c r="S68" s="74"/>
      <c r="T68" s="74"/>
      <c r="U68" s="74"/>
      <c r="V68" s="74"/>
      <c r="W68" s="74"/>
      <c r="X68" s="74"/>
      <c r="Y68" s="74"/>
      <c r="Z68" s="74"/>
    </row>
    <row r="69" spans="1:26" x14ac:dyDescent="0.25">
      <c r="A69">
        <v>35467</v>
      </c>
      <c r="B69">
        <v>0</v>
      </c>
      <c r="C69" s="74"/>
      <c r="D69" s="74"/>
      <c r="E69" s="74"/>
      <c r="F69" s="74"/>
      <c r="G69" s="74"/>
      <c r="H69" s="74"/>
      <c r="I69" s="74"/>
      <c r="J69" s="74"/>
      <c r="K69" s="74"/>
      <c r="L69" s="74"/>
      <c r="M69" s="74"/>
      <c r="N69" s="74"/>
      <c r="O69" s="74"/>
      <c r="P69" s="74"/>
      <c r="Q69" s="74"/>
      <c r="R69" s="74"/>
      <c r="S69" s="74"/>
      <c r="T69" s="74"/>
      <c r="U69" s="74"/>
      <c r="V69" s="74"/>
      <c r="W69" s="74"/>
      <c r="X69" s="74"/>
      <c r="Y69" s="74"/>
      <c r="Z69" s="74"/>
    </row>
    <row r="70" spans="1:26" x14ac:dyDescent="0.25">
      <c r="A70">
        <v>35227</v>
      </c>
      <c r="B70">
        <v>0</v>
      </c>
      <c r="C70" s="74"/>
      <c r="D70" s="74"/>
      <c r="E70" s="74"/>
      <c r="F70" s="74"/>
      <c r="G70" s="74"/>
      <c r="H70" s="74"/>
      <c r="I70" s="74"/>
      <c r="J70" s="74"/>
      <c r="K70" s="74"/>
      <c r="L70" s="74"/>
      <c r="M70" s="74"/>
      <c r="N70" s="74"/>
      <c r="O70" s="74"/>
      <c r="P70" s="74"/>
      <c r="Q70" s="74"/>
      <c r="R70" s="74"/>
      <c r="S70" s="74"/>
      <c r="T70" s="74"/>
      <c r="U70" s="74"/>
      <c r="V70" s="74"/>
      <c r="W70" s="74"/>
      <c r="X70" s="74"/>
      <c r="Y70" s="74"/>
      <c r="Z70" s="74"/>
    </row>
    <row r="71" spans="1:26" x14ac:dyDescent="0.25">
      <c r="A71">
        <v>35447</v>
      </c>
      <c r="B71">
        <v>0</v>
      </c>
      <c r="C71" s="74"/>
      <c r="D71" s="74"/>
      <c r="E71" s="74"/>
      <c r="F71" s="74"/>
      <c r="G71" s="74"/>
      <c r="H71" s="74"/>
      <c r="I71" s="74"/>
      <c r="J71" s="74"/>
      <c r="K71" s="74"/>
      <c r="L71" s="74"/>
      <c r="M71" s="74"/>
      <c r="N71" s="74"/>
      <c r="O71" s="74"/>
      <c r="P71" s="74"/>
      <c r="Q71" s="74"/>
      <c r="R71" s="74"/>
      <c r="S71" s="74"/>
      <c r="T71" s="74"/>
      <c r="U71" s="74"/>
      <c r="V71" s="74"/>
      <c r="W71" s="74"/>
      <c r="X71" s="74"/>
      <c r="Y71" s="74"/>
      <c r="Z71" s="74"/>
    </row>
    <row r="72" spans="1:26" x14ac:dyDescent="0.25">
      <c r="A72">
        <v>35425</v>
      </c>
      <c r="B72">
        <v>0</v>
      </c>
      <c r="C72" s="74"/>
      <c r="D72" s="74"/>
      <c r="E72" s="74"/>
      <c r="F72" s="74"/>
      <c r="G72" s="74"/>
      <c r="H72" s="74"/>
      <c r="I72" s="74"/>
      <c r="J72" s="74"/>
      <c r="K72" s="74"/>
      <c r="L72" s="74"/>
      <c r="M72" s="74"/>
      <c r="N72" s="74"/>
      <c r="O72" s="74"/>
      <c r="P72" s="74"/>
      <c r="Q72" s="74"/>
      <c r="R72" s="74"/>
      <c r="S72" s="74"/>
      <c r="T72" s="74"/>
      <c r="U72" s="74"/>
      <c r="V72" s="74"/>
      <c r="W72" s="74"/>
      <c r="X72" s="74"/>
      <c r="Y72" s="74"/>
      <c r="Z72" s="74"/>
    </row>
    <row r="73" spans="1:26" x14ac:dyDescent="0.25">
      <c r="A73">
        <v>35233</v>
      </c>
      <c r="B73">
        <v>0</v>
      </c>
      <c r="C73" s="74"/>
      <c r="D73" s="74"/>
      <c r="E73" s="74"/>
      <c r="F73" s="74"/>
      <c r="G73" s="74"/>
      <c r="H73" s="74"/>
      <c r="I73" s="74"/>
      <c r="J73" s="74"/>
      <c r="K73" s="74"/>
      <c r="L73" s="74"/>
      <c r="M73" s="74"/>
      <c r="N73" s="74"/>
      <c r="O73" s="74"/>
      <c r="P73" s="74"/>
      <c r="Q73" s="74"/>
      <c r="R73" s="74"/>
      <c r="S73" s="74"/>
      <c r="T73" s="74"/>
      <c r="U73" s="74"/>
      <c r="V73" s="74"/>
      <c r="W73" s="74"/>
      <c r="X73" s="74"/>
      <c r="Y73" s="74"/>
      <c r="Z73" s="74"/>
    </row>
    <row r="74" spans="1:26" x14ac:dyDescent="0.25">
      <c r="A74">
        <v>35419</v>
      </c>
      <c r="B74">
        <v>0</v>
      </c>
      <c r="C74" s="74"/>
      <c r="D74" s="74"/>
      <c r="E74" s="74"/>
      <c r="F74" s="74"/>
      <c r="G74" s="74"/>
      <c r="H74" s="74"/>
      <c r="I74" s="74"/>
      <c r="J74" s="74"/>
      <c r="K74" s="74"/>
      <c r="L74" s="74"/>
      <c r="M74" s="74"/>
      <c r="N74" s="74"/>
      <c r="O74" s="74"/>
      <c r="P74" s="74"/>
      <c r="Q74" s="74"/>
      <c r="R74" s="74"/>
      <c r="S74" s="74"/>
      <c r="T74" s="74"/>
      <c r="U74" s="74"/>
      <c r="V74" s="74"/>
      <c r="W74" s="74"/>
      <c r="X74" s="74"/>
      <c r="Y74" s="74"/>
      <c r="Z74" s="74"/>
    </row>
    <row r="75" spans="1:26" x14ac:dyDescent="0.25">
      <c r="A75">
        <v>35411</v>
      </c>
      <c r="B75">
        <v>0</v>
      </c>
      <c r="C75" s="74"/>
      <c r="D75" s="74"/>
      <c r="E75" s="74"/>
      <c r="F75" s="74"/>
      <c r="G75" s="74"/>
      <c r="H75" s="74"/>
      <c r="I75" s="74"/>
      <c r="J75" s="74"/>
      <c r="K75" s="74"/>
      <c r="L75" s="74"/>
      <c r="M75" s="74"/>
      <c r="N75" s="74"/>
      <c r="O75" s="74"/>
      <c r="P75" s="74"/>
      <c r="Q75" s="74"/>
      <c r="R75" s="74"/>
      <c r="S75" s="74"/>
      <c r="T75" s="74"/>
      <c r="U75" s="74"/>
      <c r="V75" s="74"/>
      <c r="W75" s="74"/>
      <c r="X75" s="74"/>
      <c r="Y75" s="74"/>
      <c r="Z75" s="74"/>
    </row>
    <row r="76" spans="1:26" x14ac:dyDescent="0.25">
      <c r="A76">
        <v>35261</v>
      </c>
      <c r="B76">
        <v>0</v>
      </c>
      <c r="C76" s="74"/>
      <c r="D76" s="74"/>
      <c r="E76" s="74"/>
      <c r="F76" s="74"/>
      <c r="G76" s="74"/>
      <c r="H76" s="74"/>
      <c r="I76" s="74"/>
      <c r="J76" s="74"/>
      <c r="K76" s="74"/>
      <c r="L76" s="74"/>
      <c r="M76" s="74"/>
      <c r="N76" s="74"/>
      <c r="O76" s="74"/>
      <c r="P76" s="74"/>
      <c r="Q76" s="74"/>
      <c r="R76" s="74"/>
      <c r="S76" s="74"/>
      <c r="T76" s="74"/>
      <c r="U76" s="74"/>
      <c r="V76" s="74"/>
      <c r="W76" s="74"/>
      <c r="X76" s="74"/>
      <c r="Y76" s="74"/>
      <c r="Z76" s="74"/>
    </row>
    <row r="77" spans="1:26" x14ac:dyDescent="0.25">
      <c r="A77">
        <v>35281</v>
      </c>
      <c r="B77">
        <v>0</v>
      </c>
      <c r="C77" s="74"/>
      <c r="D77" s="74"/>
      <c r="E77" s="74"/>
      <c r="F77" s="74"/>
      <c r="G77" s="74"/>
      <c r="H77" s="74"/>
      <c r="I77" s="74"/>
      <c r="J77" s="74"/>
      <c r="K77" s="74"/>
      <c r="L77" s="74"/>
      <c r="M77" s="74"/>
      <c r="N77" s="74"/>
      <c r="O77" s="74"/>
      <c r="P77" s="74"/>
      <c r="Q77" s="74"/>
      <c r="R77" s="74"/>
      <c r="S77" s="74"/>
      <c r="T77" s="74"/>
      <c r="U77" s="74"/>
      <c r="V77" s="74"/>
      <c r="W77" s="74"/>
      <c r="X77" s="74"/>
      <c r="Y77" s="74"/>
      <c r="Z77" s="74"/>
    </row>
    <row r="78" spans="1:26" x14ac:dyDescent="0.25">
      <c r="A78">
        <v>35443</v>
      </c>
      <c r="B78">
        <v>0</v>
      </c>
      <c r="C78" s="74"/>
      <c r="D78" s="74"/>
      <c r="E78" s="74"/>
      <c r="F78" s="74"/>
      <c r="G78" s="74"/>
      <c r="H78" s="74"/>
      <c r="I78" s="74"/>
      <c r="J78" s="74"/>
      <c r="K78" s="74"/>
      <c r="L78" s="74"/>
      <c r="M78" s="74"/>
      <c r="N78" s="74"/>
      <c r="O78" s="74"/>
      <c r="P78" s="74"/>
      <c r="Q78" s="74"/>
      <c r="R78" s="74"/>
      <c r="S78" s="74"/>
      <c r="T78" s="74"/>
      <c r="U78" s="74"/>
      <c r="V78" s="74"/>
      <c r="W78" s="74"/>
      <c r="X78" s="74"/>
      <c r="Y78" s="74"/>
      <c r="Z78" s="74"/>
    </row>
    <row r="79" spans="1:26" x14ac:dyDescent="0.25">
      <c r="A79">
        <v>35431</v>
      </c>
      <c r="B79">
        <v>0</v>
      </c>
      <c r="C79" s="74"/>
      <c r="D79" s="74"/>
      <c r="E79" s="74"/>
      <c r="F79" s="74"/>
      <c r="G79" s="74"/>
      <c r="H79" s="74"/>
      <c r="I79" s="74"/>
      <c r="J79" s="74"/>
      <c r="K79" s="74"/>
      <c r="L79" s="74"/>
      <c r="M79" s="74"/>
      <c r="N79" s="74"/>
      <c r="O79" s="74"/>
      <c r="P79" s="74"/>
      <c r="Q79" s="74"/>
      <c r="R79" s="74"/>
      <c r="S79" s="74"/>
      <c r="T79" s="74"/>
      <c r="U79" s="74"/>
      <c r="V79" s="74"/>
      <c r="W79" s="74"/>
      <c r="X79" s="74"/>
      <c r="Y79" s="74"/>
      <c r="Z79" s="74"/>
    </row>
    <row r="80" spans="1:26" x14ac:dyDescent="0.25">
      <c r="A80">
        <v>35216</v>
      </c>
      <c r="B80">
        <v>0</v>
      </c>
      <c r="C80" s="74"/>
      <c r="D80" s="74"/>
      <c r="E80" s="74"/>
      <c r="F80" s="74"/>
      <c r="G80" s="74"/>
      <c r="H80" s="74"/>
      <c r="I80" s="74"/>
      <c r="J80" s="74"/>
      <c r="K80" s="74"/>
      <c r="L80" s="74"/>
      <c r="M80" s="74"/>
      <c r="N80" s="74"/>
      <c r="O80" s="74"/>
      <c r="P80" s="74"/>
      <c r="Q80" s="74"/>
      <c r="R80" s="74"/>
      <c r="S80" s="74"/>
      <c r="T80" s="74"/>
      <c r="U80" s="74"/>
      <c r="V80" s="74"/>
      <c r="W80" s="74"/>
      <c r="X80" s="74"/>
      <c r="Y80" s="74"/>
      <c r="Z80" s="74"/>
    </row>
    <row r="81" spans="1:26" x14ac:dyDescent="0.25">
      <c r="A81">
        <v>35128</v>
      </c>
      <c r="B81">
        <v>0</v>
      </c>
      <c r="C81" s="74"/>
      <c r="D81" s="74"/>
      <c r="E81" s="74"/>
      <c r="F81" s="74"/>
      <c r="G81" s="74"/>
      <c r="H81" s="74"/>
      <c r="I81" s="74"/>
      <c r="J81" s="74"/>
      <c r="K81" s="74"/>
      <c r="L81" s="74"/>
      <c r="M81" s="74"/>
      <c r="N81" s="74"/>
      <c r="O81" s="74"/>
      <c r="P81" s="74"/>
      <c r="Q81" s="74"/>
      <c r="R81" s="74"/>
      <c r="S81" s="74"/>
      <c r="T81" s="74"/>
      <c r="U81" s="74"/>
      <c r="V81" s="74"/>
      <c r="W81" s="74"/>
      <c r="X81" s="74"/>
      <c r="Y81" s="74"/>
      <c r="Z81" s="74"/>
    </row>
    <row r="82" spans="1:26" x14ac:dyDescent="0.25">
      <c r="A82">
        <v>35470</v>
      </c>
      <c r="B82">
        <v>0</v>
      </c>
      <c r="C82" s="74"/>
      <c r="D82" s="74"/>
      <c r="E82" s="74"/>
      <c r="F82" s="74"/>
      <c r="G82" s="74"/>
      <c r="H82" s="74"/>
      <c r="I82" s="74"/>
      <c r="J82" s="74"/>
      <c r="K82" s="74"/>
      <c r="L82" s="74"/>
      <c r="M82" s="74"/>
      <c r="N82" s="74"/>
      <c r="O82" s="74"/>
      <c r="P82" s="74"/>
      <c r="Q82" s="74"/>
      <c r="R82" s="74"/>
      <c r="S82" s="74"/>
      <c r="T82" s="74"/>
      <c r="U82" s="74"/>
      <c r="V82" s="74"/>
      <c r="W82" s="74"/>
      <c r="X82" s="74"/>
      <c r="Y82" s="74"/>
      <c r="Z82" s="74"/>
    </row>
    <row r="83" spans="1:26" x14ac:dyDescent="0.25">
      <c r="A83">
        <v>35433</v>
      </c>
      <c r="B83">
        <v>0</v>
      </c>
      <c r="C83" s="74"/>
      <c r="D83" s="74"/>
      <c r="E83" s="74"/>
      <c r="F83" s="74"/>
      <c r="G83" s="74"/>
      <c r="H83" s="74"/>
      <c r="I83" s="74"/>
      <c r="J83" s="74"/>
      <c r="K83" s="74"/>
      <c r="L83" s="74"/>
      <c r="M83" s="74"/>
      <c r="N83" s="74"/>
      <c r="O83" s="74"/>
      <c r="P83" s="74"/>
      <c r="Q83" s="74"/>
      <c r="R83" s="74"/>
      <c r="S83" s="74"/>
      <c r="T83" s="74"/>
      <c r="U83" s="74"/>
      <c r="V83" s="74"/>
      <c r="W83" s="74"/>
      <c r="X83" s="74"/>
      <c r="Y83" s="74"/>
      <c r="Z83" s="74"/>
    </row>
    <row r="84" spans="1:26" x14ac:dyDescent="0.25">
      <c r="A84">
        <v>35441</v>
      </c>
      <c r="B84">
        <v>0</v>
      </c>
      <c r="C84" s="74"/>
      <c r="D84" s="74"/>
      <c r="E84" s="74"/>
      <c r="F84" s="74"/>
      <c r="G84" s="74"/>
      <c r="H84" s="74"/>
      <c r="I84" s="74"/>
      <c r="J84" s="74"/>
      <c r="K84" s="74"/>
      <c r="L84" s="74"/>
      <c r="M84" s="74"/>
      <c r="N84" s="74"/>
      <c r="O84" s="74"/>
      <c r="P84" s="74"/>
      <c r="Q84" s="74"/>
      <c r="R84" s="74"/>
      <c r="S84" s="74"/>
      <c r="T84" s="74"/>
      <c r="U84" s="74"/>
      <c r="V84" s="74"/>
      <c r="W84" s="74"/>
      <c r="X84" s="74"/>
      <c r="Y84" s="74"/>
      <c r="Z84" s="74"/>
    </row>
    <row r="85" spans="1:26" x14ac:dyDescent="0.25">
      <c r="A85">
        <v>35223</v>
      </c>
      <c r="B85">
        <v>0</v>
      </c>
      <c r="C85" s="74"/>
      <c r="D85" s="74"/>
      <c r="E85" s="74"/>
      <c r="F85" s="74"/>
      <c r="G85" s="74"/>
      <c r="H85" s="74"/>
      <c r="I85" s="74"/>
      <c r="J85" s="74"/>
      <c r="K85" s="74"/>
      <c r="L85" s="74"/>
      <c r="M85" s="74"/>
      <c r="N85" s="74"/>
      <c r="O85" s="74"/>
      <c r="P85" s="74"/>
      <c r="Q85" s="74"/>
      <c r="R85" s="74"/>
      <c r="S85" s="74"/>
      <c r="T85" s="74"/>
      <c r="U85" s="74"/>
      <c r="V85" s="74"/>
      <c r="W85" s="74"/>
      <c r="X85" s="74"/>
      <c r="Y85" s="74"/>
      <c r="Z85" s="74"/>
    </row>
    <row r="86" spans="1:26" x14ac:dyDescent="0.25">
      <c r="A86">
        <v>35157</v>
      </c>
      <c r="B86">
        <v>0</v>
      </c>
      <c r="C86" s="74"/>
      <c r="D86" s="74"/>
      <c r="E86" s="74"/>
      <c r="F86" s="74"/>
      <c r="G86" s="74"/>
      <c r="H86" s="74"/>
      <c r="I86" s="74"/>
      <c r="J86" s="74"/>
      <c r="K86" s="74"/>
      <c r="L86" s="74"/>
      <c r="M86" s="74"/>
      <c r="N86" s="74"/>
      <c r="O86" s="74"/>
      <c r="P86" s="74"/>
      <c r="Q86" s="74"/>
      <c r="R86" s="74"/>
      <c r="S86" s="74"/>
      <c r="T86" s="74"/>
      <c r="U86" s="74"/>
      <c r="V86" s="74"/>
      <c r="W86" s="74"/>
      <c r="X86" s="74"/>
      <c r="Y86" s="74"/>
      <c r="Z86" s="74"/>
    </row>
    <row r="87" spans="1:26" x14ac:dyDescent="0.25">
      <c r="A87">
        <v>35111</v>
      </c>
      <c r="B87">
        <v>3</v>
      </c>
      <c r="C87" s="74"/>
      <c r="D87" s="74"/>
      <c r="E87" s="74"/>
      <c r="F87" s="74"/>
      <c r="G87" s="74"/>
      <c r="H87" s="74"/>
      <c r="I87" s="74"/>
      <c r="J87" s="74"/>
      <c r="K87" s="74"/>
      <c r="L87" s="74"/>
      <c r="M87" s="74"/>
      <c r="N87" s="74"/>
      <c r="O87" s="74"/>
      <c r="P87" s="74"/>
      <c r="Q87" s="74"/>
      <c r="R87" s="74"/>
      <c r="S87" s="74"/>
      <c r="T87" s="74"/>
      <c r="U87" s="74"/>
      <c r="V87" s="74"/>
      <c r="W87" s="74"/>
      <c r="X87" s="74"/>
      <c r="Y87" s="74"/>
      <c r="Z87" s="74"/>
    </row>
    <row r="88" spans="1:26" x14ac:dyDescent="0.25">
      <c r="A88">
        <v>35234</v>
      </c>
      <c r="B88">
        <v>0</v>
      </c>
      <c r="C88" s="74"/>
      <c r="D88" s="74"/>
      <c r="E88" s="74"/>
      <c r="F88" s="74"/>
      <c r="G88" s="74"/>
      <c r="H88" s="74"/>
      <c r="I88" s="74"/>
      <c r="J88" s="74"/>
      <c r="K88" s="74"/>
      <c r="L88" s="74"/>
      <c r="M88" s="74"/>
      <c r="N88" s="74"/>
      <c r="O88" s="74"/>
      <c r="P88" s="74"/>
      <c r="Q88" s="74"/>
      <c r="R88" s="74"/>
      <c r="S88" s="74"/>
      <c r="T88" s="74"/>
      <c r="U88" s="74"/>
      <c r="V88" s="74"/>
      <c r="W88" s="74"/>
      <c r="X88" s="74"/>
      <c r="Y88" s="74"/>
      <c r="Z88" s="74"/>
    </row>
    <row r="89" spans="1:26" x14ac:dyDescent="0.25">
      <c r="A89">
        <v>35465</v>
      </c>
      <c r="B89">
        <v>0</v>
      </c>
      <c r="C89" s="74"/>
      <c r="D89" s="74"/>
      <c r="E89" s="74"/>
      <c r="F89" s="74"/>
      <c r="G89" s="74"/>
      <c r="H89" s="74"/>
      <c r="I89" s="74"/>
      <c r="J89" s="74"/>
      <c r="K89" s="74"/>
      <c r="L89" s="74"/>
      <c r="M89" s="74"/>
      <c r="N89" s="74"/>
      <c r="O89" s="74"/>
      <c r="P89" s="74"/>
      <c r="Q89" s="74"/>
      <c r="R89" s="74"/>
      <c r="S89" s="74"/>
      <c r="T89" s="74"/>
      <c r="U89" s="74"/>
      <c r="V89" s="74"/>
      <c r="W89" s="74"/>
      <c r="X89" s="74"/>
      <c r="Y89" s="74"/>
      <c r="Z89" s="74"/>
    </row>
    <row r="90" spans="1:26" x14ac:dyDescent="0.25">
      <c r="A90">
        <v>35158</v>
      </c>
      <c r="B90">
        <v>0</v>
      </c>
      <c r="C90" s="74"/>
      <c r="D90" s="74"/>
      <c r="E90" s="74"/>
      <c r="F90" s="74"/>
      <c r="G90" s="74"/>
      <c r="H90" s="74"/>
      <c r="I90" s="74"/>
      <c r="J90" s="74"/>
      <c r="K90" s="74"/>
      <c r="L90" s="74"/>
      <c r="M90" s="74"/>
      <c r="N90" s="74"/>
      <c r="O90" s="74"/>
      <c r="P90" s="74"/>
      <c r="Q90" s="74"/>
      <c r="R90" s="74"/>
      <c r="S90" s="74"/>
      <c r="T90" s="74"/>
      <c r="U90" s="74"/>
      <c r="V90" s="74"/>
      <c r="W90" s="74"/>
      <c r="X90" s="74"/>
      <c r="Y90" s="74"/>
      <c r="Z90" s="74"/>
    </row>
    <row r="91" spans="1:26" x14ac:dyDescent="0.25">
      <c r="A91">
        <v>35169</v>
      </c>
      <c r="B91">
        <v>0</v>
      </c>
      <c r="C91" s="74"/>
      <c r="D91" s="74"/>
      <c r="E91" s="74"/>
      <c r="F91" s="74"/>
      <c r="G91" s="74"/>
      <c r="H91" s="74"/>
      <c r="I91" s="74"/>
      <c r="J91" s="74"/>
      <c r="K91" s="74"/>
      <c r="L91" s="74"/>
      <c r="M91" s="74"/>
      <c r="N91" s="74"/>
      <c r="O91" s="74"/>
      <c r="P91" s="74"/>
      <c r="Q91" s="74"/>
      <c r="R91" s="74"/>
      <c r="S91" s="74"/>
      <c r="T91" s="74"/>
      <c r="U91" s="74"/>
      <c r="V91" s="74"/>
      <c r="W91" s="74"/>
      <c r="X91" s="74"/>
      <c r="Y91" s="74"/>
      <c r="Z91" s="74"/>
    </row>
    <row r="92" spans="1:26" x14ac:dyDescent="0.25">
      <c r="A92">
        <v>35191</v>
      </c>
      <c r="B92">
        <v>0</v>
      </c>
      <c r="C92" s="74"/>
      <c r="D92" s="74"/>
      <c r="E92" s="74"/>
      <c r="F92" s="74"/>
      <c r="G92" s="74"/>
      <c r="H92" s="74"/>
      <c r="I92" s="74"/>
      <c r="J92" s="74"/>
      <c r="K92" s="74"/>
      <c r="L92" s="74"/>
      <c r="M92" s="74"/>
      <c r="N92" s="74"/>
      <c r="O92" s="74"/>
      <c r="P92" s="74"/>
      <c r="Q92" s="74"/>
      <c r="R92" s="74"/>
      <c r="S92" s="74"/>
      <c r="T92" s="74"/>
      <c r="U92" s="74"/>
      <c r="V92" s="74"/>
      <c r="W92" s="74"/>
      <c r="X92" s="74"/>
      <c r="Y92" s="74"/>
      <c r="Z92" s="74"/>
    </row>
    <row r="93" spans="1:26" x14ac:dyDescent="0.25">
      <c r="A93">
        <v>35141</v>
      </c>
      <c r="B93">
        <v>0</v>
      </c>
      <c r="C93" s="74"/>
      <c r="D93" s="74"/>
      <c r="E93" s="74"/>
      <c r="F93" s="74"/>
      <c r="G93" s="74"/>
      <c r="H93" s="74"/>
      <c r="I93" s="74"/>
      <c r="J93" s="74"/>
      <c r="K93" s="74"/>
      <c r="L93" s="74"/>
      <c r="M93" s="74"/>
      <c r="N93" s="74"/>
      <c r="O93" s="74"/>
      <c r="P93" s="74"/>
      <c r="Q93" s="74"/>
      <c r="R93" s="74"/>
      <c r="S93" s="74"/>
      <c r="T93" s="74"/>
      <c r="U93" s="74"/>
      <c r="V93" s="74"/>
      <c r="W93" s="74"/>
      <c r="X93" s="74"/>
      <c r="Y93" s="74"/>
      <c r="Z93" s="74"/>
    </row>
    <row r="94" spans="1:26" x14ac:dyDescent="0.25">
      <c r="A94">
        <v>35247</v>
      </c>
      <c r="B94">
        <v>0</v>
      </c>
      <c r="C94" s="74"/>
      <c r="D94" s="74"/>
      <c r="E94" s="74"/>
      <c r="F94" s="74"/>
      <c r="G94" s="74"/>
      <c r="H94" s="74"/>
      <c r="I94" s="74"/>
      <c r="J94" s="74"/>
      <c r="K94" s="74"/>
      <c r="L94" s="74"/>
      <c r="M94" s="74"/>
      <c r="N94" s="74"/>
      <c r="O94" s="74"/>
      <c r="P94" s="74"/>
      <c r="Q94" s="74"/>
      <c r="R94" s="74"/>
      <c r="S94" s="74"/>
      <c r="T94" s="74"/>
      <c r="U94" s="74"/>
      <c r="V94" s="74"/>
      <c r="W94" s="74"/>
      <c r="X94" s="74"/>
      <c r="Y94" s="74"/>
      <c r="Z94" s="74"/>
    </row>
    <row r="95" spans="1:26" x14ac:dyDescent="0.25">
      <c r="A95">
        <v>35143</v>
      </c>
      <c r="B95">
        <v>0</v>
      </c>
      <c r="C95" s="74"/>
      <c r="D95" s="74"/>
      <c r="E95" s="74"/>
      <c r="F95" s="74"/>
      <c r="G95" s="74"/>
      <c r="H95" s="74"/>
      <c r="I95" s="74"/>
      <c r="J95" s="74"/>
      <c r="K95" s="74"/>
      <c r="L95" s="74"/>
      <c r="M95" s="74"/>
      <c r="N95" s="74"/>
      <c r="O95" s="74"/>
      <c r="P95" s="74"/>
      <c r="Q95" s="74"/>
      <c r="R95" s="74"/>
      <c r="S95" s="74"/>
      <c r="T95" s="74"/>
      <c r="U95" s="74"/>
      <c r="V95" s="74"/>
      <c r="W95" s="74"/>
      <c r="X95" s="74"/>
      <c r="Y95" s="74"/>
      <c r="Z95" s="74"/>
    </row>
    <row r="96" spans="1:26" x14ac:dyDescent="0.25">
      <c r="A96">
        <v>35126</v>
      </c>
      <c r="B96">
        <v>0</v>
      </c>
      <c r="C96" s="74"/>
      <c r="D96" s="74"/>
      <c r="E96" s="74"/>
      <c r="F96" s="74"/>
      <c r="G96" s="74"/>
      <c r="H96" s="74"/>
      <c r="I96" s="74"/>
      <c r="J96" s="74"/>
      <c r="K96" s="74"/>
      <c r="L96" s="74"/>
      <c r="M96" s="74"/>
      <c r="N96" s="74"/>
      <c r="O96" s="74"/>
      <c r="P96" s="74"/>
      <c r="Q96" s="74"/>
      <c r="R96" s="74"/>
      <c r="S96" s="74"/>
      <c r="T96" s="74"/>
      <c r="U96" s="74"/>
      <c r="V96" s="74"/>
      <c r="W96" s="74"/>
      <c r="X96" s="74"/>
      <c r="Y96" s="74"/>
      <c r="Z96" s="74"/>
    </row>
    <row r="97" spans="1:26" x14ac:dyDescent="0.25">
      <c r="A97">
        <v>35113</v>
      </c>
      <c r="B97">
        <v>0</v>
      </c>
      <c r="C97" s="74"/>
      <c r="D97" s="74"/>
      <c r="E97" s="74"/>
      <c r="F97" s="74"/>
      <c r="G97" s="74"/>
      <c r="H97" s="74"/>
      <c r="I97" s="74"/>
      <c r="J97" s="74"/>
      <c r="K97" s="74"/>
      <c r="L97" s="74"/>
      <c r="M97" s="74"/>
      <c r="N97" s="74"/>
      <c r="O97" s="74"/>
      <c r="P97" s="74"/>
      <c r="Q97" s="74"/>
      <c r="R97" s="74"/>
      <c r="S97" s="74"/>
      <c r="T97" s="74"/>
      <c r="U97" s="74"/>
      <c r="V97" s="74"/>
      <c r="W97" s="74"/>
      <c r="X97" s="74"/>
      <c r="Y97" s="74"/>
      <c r="Z97" s="74"/>
    </row>
    <row r="98" spans="1:26" x14ac:dyDescent="0.25">
      <c r="A98">
        <v>35139</v>
      </c>
      <c r="B98">
        <v>0</v>
      </c>
      <c r="C98" s="74"/>
      <c r="D98" s="74"/>
      <c r="E98" s="74"/>
      <c r="F98" s="74"/>
      <c r="G98" s="74"/>
      <c r="H98" s="74"/>
      <c r="I98" s="74"/>
      <c r="J98" s="74"/>
      <c r="K98" s="74"/>
      <c r="L98" s="74"/>
      <c r="M98" s="74"/>
      <c r="N98" s="74"/>
      <c r="O98" s="74"/>
      <c r="P98" s="74"/>
      <c r="Q98" s="74"/>
      <c r="R98" s="74"/>
      <c r="S98" s="74"/>
      <c r="T98" s="74"/>
      <c r="U98" s="74"/>
      <c r="V98" s="74"/>
      <c r="W98" s="74"/>
      <c r="X98" s="74"/>
      <c r="Y98" s="74"/>
      <c r="Z98" s="74"/>
    </row>
    <row r="99" spans="1:26" x14ac:dyDescent="0.25">
      <c r="A99">
        <v>35119</v>
      </c>
      <c r="B99">
        <v>0</v>
      </c>
      <c r="C99" s="74"/>
      <c r="D99" s="74"/>
      <c r="E99" s="74"/>
      <c r="F99" s="74"/>
      <c r="G99" s="74"/>
      <c r="H99" s="74"/>
      <c r="I99" s="74"/>
      <c r="J99" s="74"/>
      <c r="K99" s="74"/>
      <c r="L99" s="74"/>
      <c r="M99" s="74"/>
      <c r="N99" s="74"/>
      <c r="O99" s="74"/>
      <c r="P99" s="74"/>
      <c r="Q99" s="74"/>
      <c r="R99" s="74"/>
      <c r="S99" s="74"/>
      <c r="T99" s="74"/>
      <c r="U99" s="74"/>
      <c r="V99" s="74"/>
      <c r="W99" s="74"/>
      <c r="X99" s="74"/>
      <c r="Y99" s="74"/>
      <c r="Z99" s="74"/>
    </row>
    <row r="100" spans="1:26" x14ac:dyDescent="0.25">
      <c r="A100">
        <v>35121</v>
      </c>
      <c r="B100">
        <v>0</v>
      </c>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x14ac:dyDescent="0.25">
      <c r="A101">
        <v>35175</v>
      </c>
      <c r="B101">
        <v>0</v>
      </c>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x14ac:dyDescent="0.25">
      <c r="A102">
        <v>35137</v>
      </c>
      <c r="B102">
        <v>0</v>
      </c>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x14ac:dyDescent="0.25">
      <c r="A103">
        <v>35115</v>
      </c>
      <c r="B103">
        <v>0</v>
      </c>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x14ac:dyDescent="0.25">
      <c r="A104">
        <v>35269</v>
      </c>
      <c r="B104">
        <v>0</v>
      </c>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x14ac:dyDescent="0.25">
      <c r="A105">
        <v>35125</v>
      </c>
      <c r="B105">
        <v>0</v>
      </c>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x14ac:dyDescent="0.25">
      <c r="A106">
        <v>35259</v>
      </c>
      <c r="B106">
        <v>0</v>
      </c>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x14ac:dyDescent="0.25">
      <c r="A107">
        <v>35255</v>
      </c>
      <c r="B107">
        <v>0</v>
      </c>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x14ac:dyDescent="0.25">
      <c r="A108">
        <v>35155</v>
      </c>
      <c r="B108">
        <v>0</v>
      </c>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x14ac:dyDescent="0.25">
      <c r="A109">
        <v>35129</v>
      </c>
      <c r="B109">
        <v>0</v>
      </c>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x14ac:dyDescent="0.25">
      <c r="A110">
        <v>35185</v>
      </c>
      <c r="B110">
        <v>1</v>
      </c>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x14ac:dyDescent="0.25">
      <c r="A111">
        <v>35123</v>
      </c>
      <c r="B111">
        <v>0</v>
      </c>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x14ac:dyDescent="0.25">
      <c r="A112">
        <v>35265</v>
      </c>
      <c r="B112">
        <v>0</v>
      </c>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x14ac:dyDescent="0.25">
      <c r="A113">
        <v>35174</v>
      </c>
      <c r="B113">
        <v>0</v>
      </c>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x14ac:dyDescent="0.25">
      <c r="A114">
        <v>35127</v>
      </c>
      <c r="B114">
        <v>0</v>
      </c>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x14ac:dyDescent="0.25">
      <c r="A115">
        <v>35117</v>
      </c>
      <c r="B115">
        <v>0</v>
      </c>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x14ac:dyDescent="0.25">
      <c r="A116">
        <v>35177</v>
      </c>
      <c r="B116">
        <v>0</v>
      </c>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x14ac:dyDescent="0.25">
      <c r="A117">
        <v>35149</v>
      </c>
      <c r="B117">
        <v>0</v>
      </c>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x14ac:dyDescent="0.25">
      <c r="A118">
        <v>35163</v>
      </c>
      <c r="B118">
        <v>0</v>
      </c>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x14ac:dyDescent="0.25">
      <c r="A119">
        <v>35179</v>
      </c>
      <c r="B119">
        <v>0</v>
      </c>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x14ac:dyDescent="0.25">
      <c r="A120">
        <v>35183</v>
      </c>
      <c r="B120">
        <v>0</v>
      </c>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x14ac:dyDescent="0.25">
      <c r="A121">
        <v>35173</v>
      </c>
      <c r="B121">
        <v>0</v>
      </c>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x14ac:dyDescent="0.25">
      <c r="A122">
        <v>35171</v>
      </c>
      <c r="B122">
        <v>0</v>
      </c>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x14ac:dyDescent="0.25">
      <c r="A123">
        <v>35145</v>
      </c>
      <c r="B123">
        <v>0</v>
      </c>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x14ac:dyDescent="0.25">
      <c r="A124">
        <v>35187</v>
      </c>
      <c r="B124">
        <v>0</v>
      </c>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x14ac:dyDescent="0.25">
      <c r="A125">
        <v>35133</v>
      </c>
      <c r="B125">
        <v>0</v>
      </c>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x14ac:dyDescent="0.25">
      <c r="A126">
        <v>35131</v>
      </c>
      <c r="B126">
        <v>0</v>
      </c>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x14ac:dyDescent="0.25">
      <c r="A127">
        <v>35181</v>
      </c>
      <c r="B127">
        <v>0</v>
      </c>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x14ac:dyDescent="0.25">
      <c r="A128">
        <v>35135</v>
      </c>
      <c r="B128">
        <v>0</v>
      </c>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x14ac:dyDescent="0.25">
      <c r="A129">
        <v>35275</v>
      </c>
      <c r="B129">
        <v>0</v>
      </c>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x14ac:dyDescent="0.25">
      <c r="A130">
        <v>35151</v>
      </c>
      <c r="B130">
        <v>0</v>
      </c>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x14ac:dyDescent="0.25">
      <c r="A131">
        <v>35134</v>
      </c>
      <c r="B131">
        <v>0</v>
      </c>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x14ac:dyDescent="0.25">
      <c r="A132">
        <v>35189</v>
      </c>
      <c r="B132">
        <v>0</v>
      </c>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x14ac:dyDescent="0.25">
      <c r="A133">
        <v>35147</v>
      </c>
      <c r="B133">
        <v>0</v>
      </c>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x14ac:dyDescent="0.25">
      <c r="A134">
        <v>35167</v>
      </c>
      <c r="B134">
        <v>0</v>
      </c>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x14ac:dyDescent="0.25">
      <c r="A135">
        <v>35364</v>
      </c>
      <c r="B135">
        <v>1</v>
      </c>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x14ac:dyDescent="0.25">
      <c r="A136">
        <v>35161</v>
      </c>
      <c r="B136">
        <v>0</v>
      </c>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x14ac:dyDescent="0.25">
      <c r="A137">
        <v>35357</v>
      </c>
      <c r="B137">
        <v>0</v>
      </c>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x14ac:dyDescent="0.25">
      <c r="A138">
        <v>54127</v>
      </c>
      <c r="B138">
        <v>0</v>
      </c>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x14ac:dyDescent="0.25">
      <c r="A139">
        <v>35153</v>
      </c>
      <c r="B139">
        <v>0</v>
      </c>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x14ac:dyDescent="0.25">
      <c r="A140">
        <v>35277</v>
      </c>
      <c r="B140">
        <v>11</v>
      </c>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x14ac:dyDescent="0.25">
      <c r="A141">
        <v>35159</v>
      </c>
      <c r="B141">
        <v>0</v>
      </c>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x14ac:dyDescent="0.25">
      <c r="A142">
        <v>37291</v>
      </c>
      <c r="B142">
        <v>1</v>
      </c>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x14ac:dyDescent="0.25">
      <c r="A143">
        <v>35371</v>
      </c>
      <c r="B143">
        <v>0</v>
      </c>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x14ac:dyDescent="0.25">
      <c r="A144">
        <v>35322</v>
      </c>
      <c r="B144">
        <v>0</v>
      </c>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x14ac:dyDescent="0.25">
      <c r="A145">
        <v>35314</v>
      </c>
      <c r="B145">
        <v>1</v>
      </c>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x14ac:dyDescent="0.25">
      <c r="A146">
        <v>35354</v>
      </c>
      <c r="B146">
        <v>0</v>
      </c>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x14ac:dyDescent="0.25">
      <c r="A147">
        <v>35331</v>
      </c>
      <c r="B147">
        <v>0</v>
      </c>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x14ac:dyDescent="0.25">
      <c r="A148">
        <v>35318</v>
      </c>
      <c r="B148">
        <v>0</v>
      </c>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x14ac:dyDescent="0.25">
      <c r="A149">
        <v>35356</v>
      </c>
      <c r="B149">
        <v>0</v>
      </c>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x14ac:dyDescent="0.25">
      <c r="A150">
        <v>35341</v>
      </c>
      <c r="B150">
        <v>0</v>
      </c>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x14ac:dyDescent="0.25">
      <c r="A151">
        <v>37281</v>
      </c>
      <c r="B151">
        <v>0</v>
      </c>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x14ac:dyDescent="0.25">
      <c r="A152">
        <v>35002</v>
      </c>
      <c r="B152">
        <v>0</v>
      </c>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x14ac:dyDescent="0.25">
      <c r="A153">
        <v>35003</v>
      </c>
      <c r="B153">
        <v>0</v>
      </c>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x14ac:dyDescent="0.25">
      <c r="A154">
        <v>35317</v>
      </c>
      <c r="B154">
        <v>0</v>
      </c>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x14ac:dyDescent="0.25">
      <c r="A155">
        <v>54111</v>
      </c>
      <c r="B155">
        <v>2</v>
      </c>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x14ac:dyDescent="0.25">
      <c r="A156">
        <v>37271</v>
      </c>
      <c r="B156">
        <v>6</v>
      </c>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x14ac:dyDescent="0.25">
      <c r="A157">
        <v>35353</v>
      </c>
      <c r="B157">
        <v>0</v>
      </c>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x14ac:dyDescent="0.25">
      <c r="A158">
        <v>35320</v>
      </c>
      <c r="B158">
        <v>0</v>
      </c>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x14ac:dyDescent="0.25">
      <c r="A159">
        <v>35311</v>
      </c>
      <c r="B159">
        <v>0</v>
      </c>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x14ac:dyDescent="0.25">
      <c r="A160">
        <v>35352</v>
      </c>
      <c r="B160">
        <v>0</v>
      </c>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x14ac:dyDescent="0.25">
      <c r="A161">
        <v>35367</v>
      </c>
      <c r="B161">
        <v>0</v>
      </c>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x14ac:dyDescent="0.25">
      <c r="A162">
        <v>35334</v>
      </c>
      <c r="B162">
        <v>0</v>
      </c>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x14ac:dyDescent="0.25">
      <c r="A163">
        <v>35330</v>
      </c>
      <c r="B163">
        <v>0</v>
      </c>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x14ac:dyDescent="0.25">
      <c r="A164">
        <v>37382</v>
      </c>
      <c r="B164">
        <v>0</v>
      </c>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x14ac:dyDescent="0.25">
      <c r="A165">
        <v>35316</v>
      </c>
      <c r="B165">
        <v>0</v>
      </c>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x14ac:dyDescent="0.25">
      <c r="A166">
        <v>37381</v>
      </c>
      <c r="B166">
        <v>0</v>
      </c>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x14ac:dyDescent="0.25">
      <c r="A167">
        <v>35344</v>
      </c>
      <c r="B167">
        <v>0</v>
      </c>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x14ac:dyDescent="0.25">
      <c r="A168">
        <v>0</v>
      </c>
      <c r="B168">
        <v>0</v>
      </c>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x14ac:dyDescent="0.25">
      <c r="A169">
        <v>35321</v>
      </c>
      <c r="B169">
        <v>0</v>
      </c>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x14ac:dyDescent="0.25">
      <c r="A170">
        <v>35347</v>
      </c>
      <c r="B170">
        <v>0</v>
      </c>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x14ac:dyDescent="0.25">
      <c r="A171">
        <v>35326</v>
      </c>
      <c r="B171">
        <v>0</v>
      </c>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x14ac:dyDescent="0.25">
      <c r="A172">
        <v>35351</v>
      </c>
      <c r="B172">
        <v>0</v>
      </c>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x14ac:dyDescent="0.25">
      <c r="A173">
        <v>54114</v>
      </c>
      <c r="B173">
        <v>0</v>
      </c>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x14ac:dyDescent="0.25">
      <c r="A174">
        <v>35337</v>
      </c>
      <c r="B174">
        <v>0</v>
      </c>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x14ac:dyDescent="0.25">
      <c r="A175">
        <v>35324</v>
      </c>
      <c r="B175">
        <v>0</v>
      </c>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x14ac:dyDescent="0.25">
      <c r="A176">
        <v>37251</v>
      </c>
      <c r="B176">
        <v>0</v>
      </c>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x14ac:dyDescent="0.25">
      <c r="A177">
        <v>35327</v>
      </c>
      <c r="B177">
        <v>0</v>
      </c>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x14ac:dyDescent="0.25">
      <c r="A178">
        <v>37261</v>
      </c>
      <c r="B178">
        <v>2</v>
      </c>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x14ac:dyDescent="0.25">
      <c r="A179">
        <v>35328</v>
      </c>
      <c r="B179">
        <v>0</v>
      </c>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x14ac:dyDescent="0.25">
      <c r="A180">
        <v>37241</v>
      </c>
      <c r="B180">
        <v>1</v>
      </c>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x14ac:dyDescent="0.25">
      <c r="A181">
        <v>35325</v>
      </c>
      <c r="B181">
        <v>0</v>
      </c>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x14ac:dyDescent="0.25">
      <c r="A182">
        <v>37231</v>
      </c>
      <c r="B182">
        <v>11</v>
      </c>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x14ac:dyDescent="0.25">
      <c r="A183">
        <v>31186</v>
      </c>
      <c r="B183">
        <v>0</v>
      </c>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x14ac:dyDescent="0.25">
      <c r="A184">
        <v>31166</v>
      </c>
      <c r="B184">
        <v>3</v>
      </c>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x14ac:dyDescent="0.25">
      <c r="A185">
        <v>31181</v>
      </c>
      <c r="B185">
        <v>28</v>
      </c>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x14ac:dyDescent="0.25">
      <c r="A186">
        <v>37387</v>
      </c>
      <c r="B186">
        <v>0</v>
      </c>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x14ac:dyDescent="0.25">
      <c r="A187">
        <v>33287</v>
      </c>
      <c r="B187">
        <v>0</v>
      </c>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x14ac:dyDescent="0.25">
      <c r="A188">
        <v>31171</v>
      </c>
      <c r="B188">
        <v>0</v>
      </c>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x14ac:dyDescent="0.25">
      <c r="A189">
        <v>31176</v>
      </c>
      <c r="B189">
        <v>0</v>
      </c>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x14ac:dyDescent="0.25">
      <c r="A190">
        <v>33129</v>
      </c>
      <c r="B190">
        <v>1</v>
      </c>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x14ac:dyDescent="0.25">
      <c r="A191">
        <v>33283</v>
      </c>
      <c r="B191">
        <v>0</v>
      </c>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x14ac:dyDescent="0.25">
      <c r="A192">
        <v>54119</v>
      </c>
      <c r="B192">
        <v>0</v>
      </c>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x14ac:dyDescent="0.25">
      <c r="A193">
        <v>33279</v>
      </c>
      <c r="B193">
        <v>0</v>
      </c>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x14ac:dyDescent="0.25">
      <c r="A194">
        <v>54001</v>
      </c>
      <c r="B194">
        <v>0</v>
      </c>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x14ac:dyDescent="0.25">
      <c r="A195">
        <v>31111</v>
      </c>
      <c r="B195">
        <v>57</v>
      </c>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x14ac:dyDescent="0.25">
      <c r="A196">
        <v>37360</v>
      </c>
      <c r="B196">
        <v>0</v>
      </c>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x14ac:dyDescent="0.25">
      <c r="A197">
        <v>31151</v>
      </c>
      <c r="B197">
        <v>25</v>
      </c>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x14ac:dyDescent="0.25">
      <c r="A198">
        <v>37383</v>
      </c>
      <c r="B198">
        <v>0</v>
      </c>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x14ac:dyDescent="0.25">
      <c r="A199">
        <v>31161</v>
      </c>
      <c r="B199">
        <v>29</v>
      </c>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x14ac:dyDescent="0.25">
      <c r="A200">
        <v>37362</v>
      </c>
      <c r="B200">
        <v>0</v>
      </c>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x14ac:dyDescent="0.25">
      <c r="A201">
        <v>37356</v>
      </c>
      <c r="B201">
        <v>0</v>
      </c>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x14ac:dyDescent="0.25">
      <c r="A202">
        <v>37361</v>
      </c>
      <c r="B202">
        <v>0</v>
      </c>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x14ac:dyDescent="0.25">
      <c r="A203">
        <v>53254</v>
      </c>
      <c r="B203">
        <v>0</v>
      </c>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x14ac:dyDescent="0.25">
      <c r="A204">
        <v>37343</v>
      </c>
      <c r="B204">
        <v>0</v>
      </c>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x14ac:dyDescent="0.25">
      <c r="A205">
        <v>31121</v>
      </c>
      <c r="B205">
        <v>7</v>
      </c>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x14ac:dyDescent="0.25">
      <c r="A206">
        <v>33133</v>
      </c>
      <c r="B206">
        <v>0</v>
      </c>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x14ac:dyDescent="0.25">
      <c r="A207">
        <v>31156</v>
      </c>
      <c r="B207">
        <v>7</v>
      </c>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x14ac:dyDescent="0.25">
      <c r="A208">
        <v>33275</v>
      </c>
      <c r="B208">
        <v>0</v>
      </c>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x14ac:dyDescent="0.25">
      <c r="A209">
        <v>54002</v>
      </c>
      <c r="B209">
        <v>0</v>
      </c>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x14ac:dyDescent="0.25">
      <c r="A210">
        <v>31146</v>
      </c>
      <c r="B210">
        <v>0</v>
      </c>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x14ac:dyDescent="0.25">
      <c r="A211">
        <v>31141</v>
      </c>
      <c r="B211">
        <v>0</v>
      </c>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x14ac:dyDescent="0.25">
      <c r="A212">
        <v>31126</v>
      </c>
      <c r="B212">
        <v>0</v>
      </c>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x14ac:dyDescent="0.25">
      <c r="A213">
        <v>31136</v>
      </c>
      <c r="B213">
        <v>0</v>
      </c>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x14ac:dyDescent="0.25">
      <c r="A214">
        <v>31131</v>
      </c>
      <c r="B214">
        <v>0</v>
      </c>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x14ac:dyDescent="0.25">
      <c r="A215">
        <v>33267</v>
      </c>
      <c r="B215">
        <v>0</v>
      </c>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x14ac:dyDescent="0.25">
      <c r="A216">
        <v>31116</v>
      </c>
      <c r="B216">
        <v>1</v>
      </c>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x14ac:dyDescent="0.25">
      <c r="A217">
        <v>37345</v>
      </c>
      <c r="B217">
        <v>0</v>
      </c>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x14ac:dyDescent="0.25">
      <c r="A218">
        <v>37358</v>
      </c>
      <c r="B218">
        <v>0</v>
      </c>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x14ac:dyDescent="0.25">
      <c r="A219">
        <v>33123</v>
      </c>
      <c r="B219">
        <v>0</v>
      </c>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x14ac:dyDescent="0.25">
      <c r="A220">
        <v>37391</v>
      </c>
      <c r="B220">
        <v>2</v>
      </c>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x14ac:dyDescent="0.25">
      <c r="A221">
        <v>33271</v>
      </c>
      <c r="B221">
        <v>0</v>
      </c>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x14ac:dyDescent="0.25">
      <c r="A222">
        <v>37363</v>
      </c>
      <c r="B222">
        <v>0</v>
      </c>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x14ac:dyDescent="0.25">
      <c r="A223">
        <v>37355</v>
      </c>
      <c r="B223">
        <v>0</v>
      </c>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x14ac:dyDescent="0.25">
      <c r="A224">
        <v>33113</v>
      </c>
      <c r="B224">
        <v>0</v>
      </c>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x14ac:dyDescent="0.25">
      <c r="A225">
        <v>37357</v>
      </c>
      <c r="B225">
        <v>0</v>
      </c>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x14ac:dyDescent="0.25">
      <c r="A226">
        <v>37365</v>
      </c>
      <c r="B226">
        <v>0</v>
      </c>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x14ac:dyDescent="0.25">
      <c r="A227">
        <v>37351</v>
      </c>
      <c r="B227">
        <v>0</v>
      </c>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x14ac:dyDescent="0.25">
      <c r="A228">
        <v>37344</v>
      </c>
      <c r="B228">
        <v>0</v>
      </c>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x14ac:dyDescent="0.25">
      <c r="A229">
        <v>37345</v>
      </c>
      <c r="B229">
        <v>0</v>
      </c>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x14ac:dyDescent="0.25">
      <c r="A230">
        <v>32185</v>
      </c>
      <c r="B230">
        <v>5</v>
      </c>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x14ac:dyDescent="0.25">
      <c r="A231">
        <v>53267</v>
      </c>
      <c r="B231">
        <v>0</v>
      </c>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x14ac:dyDescent="0.25">
      <c r="A232">
        <v>37323</v>
      </c>
      <c r="B232">
        <v>0</v>
      </c>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x14ac:dyDescent="0.25">
      <c r="A233">
        <v>37337</v>
      </c>
      <c r="B233">
        <v>0</v>
      </c>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x14ac:dyDescent="0.25">
      <c r="A234">
        <v>37001</v>
      </c>
      <c r="B234">
        <v>0</v>
      </c>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x14ac:dyDescent="0.25">
      <c r="A235">
        <v>33115</v>
      </c>
      <c r="B235">
        <v>0</v>
      </c>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x14ac:dyDescent="0.25">
      <c r="A236">
        <v>37395</v>
      </c>
      <c r="B236">
        <v>0</v>
      </c>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x14ac:dyDescent="0.25">
      <c r="A237">
        <v>37349</v>
      </c>
      <c r="B237">
        <v>0</v>
      </c>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x14ac:dyDescent="0.25">
      <c r="A238">
        <v>54003</v>
      </c>
      <c r="B238">
        <v>0</v>
      </c>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x14ac:dyDescent="0.25">
      <c r="A239">
        <v>33117</v>
      </c>
      <c r="B239">
        <v>0</v>
      </c>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x14ac:dyDescent="0.25">
      <c r="A240">
        <v>37335</v>
      </c>
      <c r="B240">
        <v>0</v>
      </c>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x14ac:dyDescent="0.25">
      <c r="A241">
        <v>54159</v>
      </c>
      <c r="B241">
        <v>0</v>
      </c>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x14ac:dyDescent="0.25">
      <c r="A242">
        <v>33111</v>
      </c>
      <c r="B242">
        <v>0</v>
      </c>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x14ac:dyDescent="0.25">
      <c r="A243">
        <v>33263</v>
      </c>
      <c r="B243">
        <v>0</v>
      </c>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x14ac:dyDescent="0.25">
      <c r="A244">
        <v>37327</v>
      </c>
      <c r="B244">
        <v>0</v>
      </c>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x14ac:dyDescent="0.25">
      <c r="A245">
        <v>33143</v>
      </c>
      <c r="B245">
        <v>0</v>
      </c>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x14ac:dyDescent="0.25">
      <c r="A246">
        <v>37341</v>
      </c>
      <c r="B246">
        <v>1</v>
      </c>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x14ac:dyDescent="0.25">
      <c r="A247">
        <v>32189</v>
      </c>
      <c r="B247">
        <v>0</v>
      </c>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x14ac:dyDescent="0.25">
      <c r="A248">
        <v>37315</v>
      </c>
      <c r="B248">
        <v>0</v>
      </c>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x14ac:dyDescent="0.25">
      <c r="A249">
        <v>33171</v>
      </c>
      <c r="B249">
        <v>0</v>
      </c>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x14ac:dyDescent="0.25">
      <c r="A250">
        <v>31221</v>
      </c>
      <c r="B250">
        <v>1</v>
      </c>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x14ac:dyDescent="0.25">
      <c r="A251">
        <v>37331</v>
      </c>
      <c r="B251">
        <v>0</v>
      </c>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x14ac:dyDescent="0.25">
      <c r="A252">
        <v>37385</v>
      </c>
      <c r="B252">
        <v>0</v>
      </c>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x14ac:dyDescent="0.25">
      <c r="A253">
        <v>32187</v>
      </c>
      <c r="B253">
        <v>0</v>
      </c>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x14ac:dyDescent="0.25">
      <c r="A254">
        <v>37313</v>
      </c>
      <c r="B254">
        <v>0</v>
      </c>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x14ac:dyDescent="0.25">
      <c r="A255">
        <v>37353</v>
      </c>
      <c r="B255">
        <v>0</v>
      </c>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x14ac:dyDescent="0.25">
      <c r="A256">
        <v>32179</v>
      </c>
      <c r="B256">
        <v>0</v>
      </c>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x14ac:dyDescent="0.25">
      <c r="A257">
        <v>37329</v>
      </c>
      <c r="B257">
        <v>0</v>
      </c>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x14ac:dyDescent="0.25">
      <c r="A258">
        <v>53257</v>
      </c>
      <c r="B258">
        <v>0</v>
      </c>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x14ac:dyDescent="0.25">
      <c r="A259">
        <v>37339</v>
      </c>
      <c r="B259">
        <v>0</v>
      </c>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x14ac:dyDescent="0.25">
      <c r="A260">
        <v>37333</v>
      </c>
      <c r="B260">
        <v>0</v>
      </c>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x14ac:dyDescent="0.25">
      <c r="A261">
        <v>33125</v>
      </c>
      <c r="B261">
        <v>0</v>
      </c>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x14ac:dyDescent="0.25">
      <c r="A262">
        <v>37321</v>
      </c>
      <c r="B262">
        <v>0</v>
      </c>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x14ac:dyDescent="0.25">
      <c r="A263">
        <v>25333</v>
      </c>
      <c r="B263">
        <v>0</v>
      </c>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x14ac:dyDescent="0.25">
      <c r="A264">
        <v>53179</v>
      </c>
      <c r="B264">
        <v>0</v>
      </c>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x14ac:dyDescent="0.25">
      <c r="A265">
        <v>25151</v>
      </c>
      <c r="B265">
        <v>0</v>
      </c>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x14ac:dyDescent="0.25">
      <c r="A266">
        <v>53135</v>
      </c>
      <c r="B266">
        <v>0</v>
      </c>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x14ac:dyDescent="0.25">
      <c r="A267">
        <v>25156</v>
      </c>
      <c r="B267">
        <v>0</v>
      </c>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x14ac:dyDescent="0.25">
      <c r="A268">
        <v>25141</v>
      </c>
      <c r="B268">
        <v>0</v>
      </c>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x14ac:dyDescent="0.25">
      <c r="A269">
        <v>25146</v>
      </c>
      <c r="B269">
        <v>0</v>
      </c>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x14ac:dyDescent="0.25">
      <c r="A270">
        <v>53167</v>
      </c>
      <c r="B270">
        <v>0</v>
      </c>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x14ac:dyDescent="0.25">
      <c r="A271">
        <v>25349</v>
      </c>
      <c r="B271">
        <v>0</v>
      </c>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x14ac:dyDescent="0.25">
      <c r="A272">
        <v>25435</v>
      </c>
      <c r="B272">
        <v>0</v>
      </c>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x14ac:dyDescent="0.25">
      <c r="A273">
        <v>25311</v>
      </c>
      <c r="B273">
        <v>0</v>
      </c>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x14ac:dyDescent="0.25">
      <c r="A274">
        <v>53127</v>
      </c>
      <c r="B274">
        <v>0</v>
      </c>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x14ac:dyDescent="0.25">
      <c r="A275">
        <v>25327</v>
      </c>
      <c r="B275">
        <v>0</v>
      </c>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x14ac:dyDescent="0.25">
      <c r="A276">
        <v>25317</v>
      </c>
      <c r="B276">
        <v>0</v>
      </c>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x14ac:dyDescent="0.25">
      <c r="A277">
        <v>53151</v>
      </c>
      <c r="B277">
        <v>0</v>
      </c>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x14ac:dyDescent="0.25">
      <c r="A278">
        <v>25391</v>
      </c>
      <c r="B278">
        <v>0</v>
      </c>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x14ac:dyDescent="0.25">
      <c r="A279">
        <v>25323</v>
      </c>
      <c r="B279">
        <v>0</v>
      </c>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x14ac:dyDescent="0.25">
      <c r="A280">
        <v>52261</v>
      </c>
      <c r="B280">
        <v>0</v>
      </c>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x14ac:dyDescent="0.25">
      <c r="A281">
        <v>23445</v>
      </c>
      <c r="B281">
        <v>0</v>
      </c>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x14ac:dyDescent="0.25">
      <c r="A282">
        <v>23111</v>
      </c>
      <c r="B282">
        <v>0</v>
      </c>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x14ac:dyDescent="0.25">
      <c r="A283">
        <v>23002</v>
      </c>
      <c r="B283">
        <v>0</v>
      </c>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x14ac:dyDescent="0.25">
      <c r="A284">
        <v>24251</v>
      </c>
      <c r="B284">
        <v>0</v>
      </c>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x14ac:dyDescent="0.25">
      <c r="A285">
        <v>52257</v>
      </c>
      <c r="B285">
        <v>0</v>
      </c>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x14ac:dyDescent="0.25">
      <c r="A286">
        <v>52181</v>
      </c>
      <c r="B286">
        <v>0</v>
      </c>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x14ac:dyDescent="0.25">
      <c r="A287">
        <v>23451</v>
      </c>
      <c r="B287">
        <v>0</v>
      </c>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x14ac:dyDescent="0.25">
      <c r="A288">
        <v>24373</v>
      </c>
      <c r="B288">
        <v>0</v>
      </c>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x14ac:dyDescent="0.25">
      <c r="A289">
        <v>24377</v>
      </c>
      <c r="B289">
        <v>0</v>
      </c>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x14ac:dyDescent="0.25">
      <c r="A290">
        <v>51284</v>
      </c>
      <c r="B290">
        <v>0</v>
      </c>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x14ac:dyDescent="0.25">
      <c r="A291">
        <v>23003</v>
      </c>
      <c r="B291">
        <v>0</v>
      </c>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x14ac:dyDescent="0.25">
      <c r="A292">
        <v>52254</v>
      </c>
      <c r="B292">
        <v>1</v>
      </c>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x14ac:dyDescent="0.25">
      <c r="A293">
        <v>23429</v>
      </c>
      <c r="B293">
        <v>0</v>
      </c>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x14ac:dyDescent="0.25">
      <c r="A294">
        <v>23459</v>
      </c>
      <c r="B294">
        <v>0</v>
      </c>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x14ac:dyDescent="0.25">
      <c r="A295">
        <v>23425</v>
      </c>
      <c r="B295">
        <v>0</v>
      </c>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x14ac:dyDescent="0.25">
      <c r="A296">
        <v>23463</v>
      </c>
      <c r="B296">
        <v>0</v>
      </c>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x14ac:dyDescent="0.25">
      <c r="A297">
        <v>24009</v>
      </c>
      <c r="B297">
        <v>0</v>
      </c>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x14ac:dyDescent="0.25">
      <c r="A298">
        <v>23427</v>
      </c>
      <c r="B298">
        <v>0</v>
      </c>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x14ac:dyDescent="0.25">
      <c r="A299">
        <v>23467</v>
      </c>
      <c r="B299">
        <v>0</v>
      </c>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x14ac:dyDescent="0.25">
      <c r="A300">
        <v>23423</v>
      </c>
      <c r="B300">
        <v>0</v>
      </c>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x14ac:dyDescent="0.25">
      <c r="A301">
        <v>23171</v>
      </c>
      <c r="B301">
        <v>0</v>
      </c>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x14ac:dyDescent="0.25">
      <c r="A302">
        <v>24377</v>
      </c>
      <c r="B302">
        <v>0</v>
      </c>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x14ac:dyDescent="0.25">
      <c r="A303">
        <v>52247</v>
      </c>
      <c r="B303">
        <v>0</v>
      </c>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x14ac:dyDescent="0.25">
      <c r="A304">
        <v>23443</v>
      </c>
      <c r="B304">
        <v>0</v>
      </c>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x14ac:dyDescent="0.25">
      <c r="A305">
        <v>23419</v>
      </c>
      <c r="B305">
        <v>0</v>
      </c>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x14ac:dyDescent="0.25">
      <c r="A306">
        <v>23449</v>
      </c>
      <c r="B306">
        <v>0</v>
      </c>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x14ac:dyDescent="0.25">
      <c r="A307">
        <v>23415</v>
      </c>
      <c r="B307">
        <v>0</v>
      </c>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x14ac:dyDescent="0.25">
      <c r="A308">
        <v>23431</v>
      </c>
      <c r="B308">
        <v>0</v>
      </c>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x14ac:dyDescent="0.25">
      <c r="A309">
        <v>23655</v>
      </c>
      <c r="B309">
        <v>0</v>
      </c>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x14ac:dyDescent="0.25">
      <c r="A310">
        <v>23433</v>
      </c>
      <c r="B310">
        <v>0</v>
      </c>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x14ac:dyDescent="0.25">
      <c r="A311">
        <v>23679</v>
      </c>
      <c r="B311">
        <v>0</v>
      </c>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x14ac:dyDescent="0.25">
      <c r="A312">
        <v>23413</v>
      </c>
      <c r="B312">
        <v>0</v>
      </c>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x14ac:dyDescent="0.25">
      <c r="A313">
        <v>23663</v>
      </c>
      <c r="B313">
        <v>0</v>
      </c>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x14ac:dyDescent="0.25">
      <c r="A314">
        <v>23435</v>
      </c>
      <c r="B314">
        <v>0</v>
      </c>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x14ac:dyDescent="0.25">
      <c r="A315">
        <v>37377</v>
      </c>
      <c r="B315">
        <v>0</v>
      </c>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x14ac:dyDescent="0.25">
      <c r="A316">
        <v>33127</v>
      </c>
      <c r="B316">
        <v>0</v>
      </c>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x14ac:dyDescent="0.25">
      <c r="A317">
        <v>37314</v>
      </c>
      <c r="B317">
        <v>0</v>
      </c>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x14ac:dyDescent="0.25">
      <c r="A318">
        <v>33121</v>
      </c>
      <c r="B318">
        <v>0</v>
      </c>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x14ac:dyDescent="0.25">
      <c r="A319">
        <v>33131</v>
      </c>
      <c r="B319">
        <v>0</v>
      </c>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x14ac:dyDescent="0.25">
      <c r="A320">
        <v>33119</v>
      </c>
      <c r="B320">
        <v>0</v>
      </c>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x14ac:dyDescent="0.25">
      <c r="A321">
        <v>37311</v>
      </c>
      <c r="B321">
        <v>1</v>
      </c>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x14ac:dyDescent="0.25">
      <c r="A322">
        <v>32191</v>
      </c>
      <c r="B322">
        <v>0</v>
      </c>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x14ac:dyDescent="0.25">
      <c r="A323">
        <v>37325</v>
      </c>
      <c r="B323">
        <v>0</v>
      </c>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x14ac:dyDescent="0.25">
      <c r="A324">
        <v>33145</v>
      </c>
      <c r="B324">
        <v>0</v>
      </c>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x14ac:dyDescent="0.25">
      <c r="A325">
        <v>32183</v>
      </c>
      <c r="B325">
        <v>0</v>
      </c>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x14ac:dyDescent="0.25">
      <c r="A326">
        <v>37319</v>
      </c>
      <c r="B326">
        <v>0</v>
      </c>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x14ac:dyDescent="0.25">
      <c r="A327">
        <v>37317</v>
      </c>
      <c r="B327">
        <v>0</v>
      </c>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x14ac:dyDescent="0.25">
      <c r="A328">
        <v>33135</v>
      </c>
      <c r="B328">
        <v>0</v>
      </c>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x14ac:dyDescent="0.25">
      <c r="A329">
        <v>32193</v>
      </c>
      <c r="B329">
        <v>0</v>
      </c>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x14ac:dyDescent="0.25">
      <c r="A330">
        <v>33139</v>
      </c>
      <c r="B330">
        <v>0</v>
      </c>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x14ac:dyDescent="0.25">
      <c r="A331">
        <v>32159</v>
      </c>
      <c r="B331">
        <v>0</v>
      </c>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x14ac:dyDescent="0.25">
      <c r="A332">
        <v>32169</v>
      </c>
      <c r="B332">
        <v>0</v>
      </c>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x14ac:dyDescent="0.25">
      <c r="A333">
        <v>32173</v>
      </c>
      <c r="B333">
        <v>0</v>
      </c>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x14ac:dyDescent="0.25">
      <c r="A334">
        <v>33137</v>
      </c>
      <c r="B334">
        <v>0</v>
      </c>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x14ac:dyDescent="0.25">
      <c r="A335">
        <v>32171</v>
      </c>
      <c r="B335">
        <v>0</v>
      </c>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x14ac:dyDescent="0.25">
      <c r="A336">
        <v>33141</v>
      </c>
      <c r="B336">
        <v>0</v>
      </c>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x14ac:dyDescent="0.25">
      <c r="A337">
        <v>33151</v>
      </c>
      <c r="B337">
        <v>0</v>
      </c>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x14ac:dyDescent="0.25">
      <c r="A338">
        <v>33147</v>
      </c>
      <c r="B338">
        <v>0</v>
      </c>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x14ac:dyDescent="0.25">
      <c r="A339">
        <v>37347</v>
      </c>
      <c r="B339">
        <v>0</v>
      </c>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x14ac:dyDescent="0.25">
      <c r="A340">
        <v>32167</v>
      </c>
      <c r="B340">
        <v>0</v>
      </c>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x14ac:dyDescent="0.25">
      <c r="A341">
        <v>32181</v>
      </c>
      <c r="B341">
        <v>0</v>
      </c>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x14ac:dyDescent="0.25">
      <c r="A342">
        <v>33152</v>
      </c>
      <c r="B342">
        <v>0</v>
      </c>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x14ac:dyDescent="0.25">
      <c r="A343">
        <v>37389</v>
      </c>
      <c r="B343">
        <v>0</v>
      </c>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x14ac:dyDescent="0.25">
      <c r="A344">
        <v>33155</v>
      </c>
      <c r="B344">
        <v>0</v>
      </c>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x14ac:dyDescent="0.25">
      <c r="A345">
        <v>33153</v>
      </c>
      <c r="B345">
        <v>0</v>
      </c>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x14ac:dyDescent="0.25">
      <c r="A346">
        <v>37002</v>
      </c>
      <c r="B346">
        <v>0</v>
      </c>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x14ac:dyDescent="0.25">
      <c r="A347">
        <v>37379</v>
      </c>
      <c r="B347">
        <v>0</v>
      </c>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x14ac:dyDescent="0.25">
      <c r="A348">
        <v>37369</v>
      </c>
      <c r="B348">
        <v>0</v>
      </c>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x14ac:dyDescent="0.25">
      <c r="A349">
        <v>32175</v>
      </c>
      <c r="B349">
        <v>0</v>
      </c>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x14ac:dyDescent="0.25">
      <c r="A350">
        <v>37367</v>
      </c>
      <c r="B350">
        <v>0</v>
      </c>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x14ac:dyDescent="0.25">
      <c r="A351">
        <v>33149</v>
      </c>
      <c r="B351">
        <v>0</v>
      </c>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x14ac:dyDescent="0.25">
      <c r="A352">
        <v>53244</v>
      </c>
      <c r="B352">
        <v>0</v>
      </c>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x14ac:dyDescent="0.25">
      <c r="A353">
        <v>32147</v>
      </c>
      <c r="B353">
        <v>0</v>
      </c>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x14ac:dyDescent="0.25">
      <c r="A354">
        <v>37375</v>
      </c>
      <c r="B354">
        <v>0</v>
      </c>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x14ac:dyDescent="0.25">
      <c r="A355">
        <v>37373</v>
      </c>
      <c r="B355">
        <v>0</v>
      </c>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x14ac:dyDescent="0.25">
      <c r="A356">
        <v>32145</v>
      </c>
      <c r="B356">
        <v>0</v>
      </c>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x14ac:dyDescent="0.25">
      <c r="A357">
        <v>33251</v>
      </c>
      <c r="B357">
        <v>0</v>
      </c>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x14ac:dyDescent="0.25">
      <c r="A358">
        <v>37003</v>
      </c>
      <c r="B358">
        <v>0</v>
      </c>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x14ac:dyDescent="0.25">
      <c r="A359">
        <v>32125</v>
      </c>
      <c r="B359">
        <v>0</v>
      </c>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x14ac:dyDescent="0.25">
      <c r="A360">
        <v>32143</v>
      </c>
      <c r="B360">
        <v>0</v>
      </c>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x14ac:dyDescent="0.25">
      <c r="A361">
        <v>33157</v>
      </c>
      <c r="B361">
        <v>1</v>
      </c>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x14ac:dyDescent="0.25">
      <c r="A362">
        <v>53241</v>
      </c>
      <c r="B362">
        <v>3</v>
      </c>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x14ac:dyDescent="0.25">
      <c r="A363">
        <v>37004</v>
      </c>
      <c r="B363">
        <v>0</v>
      </c>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x14ac:dyDescent="0.25">
      <c r="A364">
        <v>32119</v>
      </c>
      <c r="B364">
        <v>0</v>
      </c>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x14ac:dyDescent="0.25">
      <c r="A365">
        <v>32163</v>
      </c>
      <c r="B365">
        <v>0</v>
      </c>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x14ac:dyDescent="0.25">
      <c r="A366">
        <v>37359</v>
      </c>
      <c r="B366">
        <v>0</v>
      </c>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x14ac:dyDescent="0.25">
      <c r="A367">
        <v>33159</v>
      </c>
      <c r="B367">
        <v>0</v>
      </c>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x14ac:dyDescent="0.25">
      <c r="A368">
        <v>33161</v>
      </c>
      <c r="B368">
        <v>0</v>
      </c>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x14ac:dyDescent="0.25">
      <c r="A369">
        <v>53211</v>
      </c>
      <c r="B369">
        <v>0</v>
      </c>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x14ac:dyDescent="0.25">
      <c r="A370">
        <v>37005</v>
      </c>
      <c r="B370">
        <v>0</v>
      </c>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x14ac:dyDescent="0.25">
      <c r="A371">
        <v>33163</v>
      </c>
      <c r="B371">
        <v>0</v>
      </c>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x14ac:dyDescent="0.25">
      <c r="A372">
        <v>32161</v>
      </c>
      <c r="B372">
        <v>0</v>
      </c>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x14ac:dyDescent="0.25">
      <c r="A373">
        <v>34188</v>
      </c>
      <c r="B373">
        <v>1</v>
      </c>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x14ac:dyDescent="0.25">
      <c r="A374">
        <v>37006</v>
      </c>
      <c r="B374">
        <v>0</v>
      </c>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x14ac:dyDescent="0.25">
      <c r="A375">
        <v>37371</v>
      </c>
      <c r="B375">
        <v>0</v>
      </c>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x14ac:dyDescent="0.25">
      <c r="A376">
        <v>32127</v>
      </c>
      <c r="B376">
        <v>0</v>
      </c>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x14ac:dyDescent="0.25">
      <c r="A377">
        <v>32117</v>
      </c>
      <c r="B377">
        <v>0</v>
      </c>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x14ac:dyDescent="0.25">
      <c r="A378">
        <v>54135</v>
      </c>
      <c r="B378">
        <v>0</v>
      </c>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x14ac:dyDescent="0.25">
      <c r="A379">
        <v>33231</v>
      </c>
      <c r="B379">
        <v>0</v>
      </c>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x14ac:dyDescent="0.25">
      <c r="A380">
        <v>32113</v>
      </c>
      <c r="B380">
        <v>0</v>
      </c>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x14ac:dyDescent="0.25">
      <c r="A381">
        <v>33235</v>
      </c>
      <c r="B381">
        <v>0</v>
      </c>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x14ac:dyDescent="0.25">
      <c r="A382">
        <v>33243</v>
      </c>
      <c r="B382">
        <v>0</v>
      </c>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x14ac:dyDescent="0.25">
      <c r="A383">
        <v>33165</v>
      </c>
      <c r="B383">
        <v>0</v>
      </c>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x14ac:dyDescent="0.25">
      <c r="A384">
        <v>32123</v>
      </c>
      <c r="B384">
        <v>0</v>
      </c>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x14ac:dyDescent="0.25">
      <c r="A385">
        <v>32137</v>
      </c>
      <c r="B385">
        <v>0</v>
      </c>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x14ac:dyDescent="0.25">
      <c r="A386">
        <v>54143</v>
      </c>
      <c r="B386">
        <v>0</v>
      </c>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x14ac:dyDescent="0.25">
      <c r="A387">
        <v>33239</v>
      </c>
      <c r="B387">
        <v>0</v>
      </c>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x14ac:dyDescent="0.25">
      <c r="A388">
        <v>33259</v>
      </c>
      <c r="B388">
        <v>0</v>
      </c>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x14ac:dyDescent="0.25">
      <c r="A389">
        <v>33167</v>
      </c>
      <c r="B389">
        <v>0</v>
      </c>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x14ac:dyDescent="0.25">
      <c r="A390">
        <v>32111</v>
      </c>
      <c r="B390">
        <v>0</v>
      </c>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x14ac:dyDescent="0.25">
      <c r="A391">
        <v>33169</v>
      </c>
      <c r="B391">
        <v>0</v>
      </c>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x14ac:dyDescent="0.25">
      <c r="A392">
        <v>33291</v>
      </c>
      <c r="B392">
        <v>0</v>
      </c>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x14ac:dyDescent="0.25">
      <c r="A393">
        <v>34177</v>
      </c>
      <c r="B393">
        <v>0</v>
      </c>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x14ac:dyDescent="0.25">
      <c r="A394">
        <v>33211</v>
      </c>
      <c r="B394">
        <v>2</v>
      </c>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x14ac:dyDescent="0.25">
      <c r="A395">
        <v>34287</v>
      </c>
      <c r="B395">
        <v>0</v>
      </c>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x14ac:dyDescent="0.25">
      <c r="A396">
        <v>33215</v>
      </c>
      <c r="B396">
        <v>0</v>
      </c>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x14ac:dyDescent="0.25">
      <c r="A397">
        <v>32177</v>
      </c>
      <c r="B397">
        <v>0</v>
      </c>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x14ac:dyDescent="0.25">
      <c r="A398">
        <v>32115</v>
      </c>
      <c r="B398">
        <v>2</v>
      </c>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x14ac:dyDescent="0.25">
      <c r="A399">
        <v>36111</v>
      </c>
      <c r="B399">
        <v>0</v>
      </c>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x14ac:dyDescent="0.25">
      <c r="A400">
        <v>32165</v>
      </c>
      <c r="B400">
        <v>0</v>
      </c>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x14ac:dyDescent="0.25">
      <c r="A401">
        <v>33227</v>
      </c>
      <c r="B401">
        <v>0</v>
      </c>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x14ac:dyDescent="0.25">
      <c r="A402">
        <v>33255</v>
      </c>
      <c r="B402">
        <v>0</v>
      </c>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x14ac:dyDescent="0.25">
      <c r="A403">
        <v>32155</v>
      </c>
      <c r="B403">
        <v>0</v>
      </c>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x14ac:dyDescent="0.25">
      <c r="A404">
        <v>32139</v>
      </c>
      <c r="B404">
        <v>0</v>
      </c>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x14ac:dyDescent="0.25">
      <c r="A405">
        <v>34284</v>
      </c>
      <c r="B405">
        <v>0</v>
      </c>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x14ac:dyDescent="0.25">
      <c r="A406">
        <v>34166</v>
      </c>
      <c r="B406">
        <v>0</v>
      </c>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x14ac:dyDescent="0.25">
      <c r="A407">
        <v>32129</v>
      </c>
      <c r="B407">
        <v>0</v>
      </c>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x14ac:dyDescent="0.25">
      <c r="A408">
        <v>36154</v>
      </c>
      <c r="B408">
        <v>0</v>
      </c>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x14ac:dyDescent="0.25">
      <c r="A409">
        <v>33219</v>
      </c>
      <c r="B409">
        <v>0</v>
      </c>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x14ac:dyDescent="0.25">
      <c r="A410">
        <v>34286</v>
      </c>
      <c r="B410">
        <v>0</v>
      </c>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x14ac:dyDescent="0.25">
      <c r="A411">
        <v>54151</v>
      </c>
      <c r="B411">
        <v>0</v>
      </c>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x14ac:dyDescent="0.25">
      <c r="A412">
        <v>53001</v>
      </c>
      <c r="B412">
        <v>0</v>
      </c>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x14ac:dyDescent="0.25">
      <c r="A413">
        <v>53227</v>
      </c>
      <c r="B413">
        <v>0</v>
      </c>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x14ac:dyDescent="0.25">
      <c r="A414">
        <v>32121</v>
      </c>
      <c r="B414">
        <v>0</v>
      </c>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x14ac:dyDescent="0.25">
      <c r="A415">
        <v>32153</v>
      </c>
      <c r="B415">
        <v>0</v>
      </c>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x14ac:dyDescent="0.25">
      <c r="A416">
        <v>36124</v>
      </c>
      <c r="B416">
        <v>0</v>
      </c>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x14ac:dyDescent="0.25">
      <c r="A417">
        <v>32135</v>
      </c>
      <c r="B417">
        <v>0</v>
      </c>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x14ac:dyDescent="0.25">
      <c r="A418">
        <v>32131</v>
      </c>
      <c r="B418">
        <v>0</v>
      </c>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x14ac:dyDescent="0.25">
      <c r="A419">
        <v>36121</v>
      </c>
      <c r="B419">
        <v>0</v>
      </c>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x14ac:dyDescent="0.25">
      <c r="A420">
        <v>53271</v>
      </c>
      <c r="B420">
        <v>0</v>
      </c>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x14ac:dyDescent="0.25">
      <c r="A421">
        <v>53214</v>
      </c>
      <c r="B421">
        <v>0</v>
      </c>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x14ac:dyDescent="0.25">
      <c r="A422">
        <v>32133</v>
      </c>
      <c r="B422">
        <v>0</v>
      </c>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x14ac:dyDescent="0.25">
      <c r="A423">
        <v>33223</v>
      </c>
      <c r="B423">
        <v>0</v>
      </c>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x14ac:dyDescent="0.25">
      <c r="A424">
        <v>32157</v>
      </c>
      <c r="B424">
        <v>0</v>
      </c>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x14ac:dyDescent="0.25">
      <c r="A425">
        <v>32141</v>
      </c>
      <c r="B425">
        <v>0</v>
      </c>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x14ac:dyDescent="0.25">
      <c r="A426">
        <v>36137</v>
      </c>
      <c r="B426">
        <v>0</v>
      </c>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x14ac:dyDescent="0.25">
      <c r="A427">
        <v>54167</v>
      </c>
      <c r="B427">
        <v>0</v>
      </c>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x14ac:dyDescent="0.25">
      <c r="A428">
        <v>36114</v>
      </c>
      <c r="B428">
        <v>0</v>
      </c>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x14ac:dyDescent="0.25">
      <c r="A429">
        <v>36147</v>
      </c>
      <c r="B429">
        <v>0</v>
      </c>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x14ac:dyDescent="0.25">
      <c r="A430">
        <v>34276</v>
      </c>
      <c r="B430">
        <v>0</v>
      </c>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x14ac:dyDescent="0.25">
      <c r="A431">
        <v>53002</v>
      </c>
      <c r="B431">
        <v>0</v>
      </c>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x14ac:dyDescent="0.25">
      <c r="A432">
        <v>34283</v>
      </c>
      <c r="B432">
        <v>0</v>
      </c>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x14ac:dyDescent="0.25">
      <c r="A433">
        <v>36141</v>
      </c>
      <c r="B433">
        <v>0</v>
      </c>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x14ac:dyDescent="0.25">
      <c r="A434">
        <v>34269</v>
      </c>
      <c r="B434">
        <v>0</v>
      </c>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x14ac:dyDescent="0.25">
      <c r="A435">
        <v>34111</v>
      </c>
      <c r="B435">
        <v>0</v>
      </c>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x14ac:dyDescent="0.25">
      <c r="A436">
        <v>34155</v>
      </c>
      <c r="B436">
        <v>0</v>
      </c>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x14ac:dyDescent="0.25">
      <c r="A437">
        <v>36187</v>
      </c>
      <c r="B437">
        <v>0</v>
      </c>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x14ac:dyDescent="0.25">
      <c r="A438">
        <v>34281</v>
      </c>
      <c r="B438">
        <v>0</v>
      </c>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x14ac:dyDescent="0.25">
      <c r="A439">
        <v>36164</v>
      </c>
      <c r="B439">
        <v>0</v>
      </c>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x14ac:dyDescent="0.25">
      <c r="A440">
        <v>32151</v>
      </c>
      <c r="B440">
        <v>0</v>
      </c>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x14ac:dyDescent="0.25">
      <c r="A441">
        <v>53247</v>
      </c>
      <c r="B441">
        <v>0</v>
      </c>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x14ac:dyDescent="0.25">
      <c r="A442">
        <v>36117</v>
      </c>
      <c r="B442">
        <v>0</v>
      </c>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x14ac:dyDescent="0.25">
      <c r="A443">
        <v>34271</v>
      </c>
      <c r="B443">
        <v>0</v>
      </c>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x14ac:dyDescent="0.25">
      <c r="A444">
        <v>32149</v>
      </c>
      <c r="B444">
        <v>1</v>
      </c>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x14ac:dyDescent="0.25">
      <c r="A445">
        <v>36151</v>
      </c>
      <c r="B445">
        <v>0</v>
      </c>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x14ac:dyDescent="0.25">
      <c r="A446">
        <v>34001</v>
      </c>
      <c r="B446">
        <v>0</v>
      </c>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x14ac:dyDescent="0.25">
      <c r="A447">
        <v>34277</v>
      </c>
      <c r="B447">
        <v>0</v>
      </c>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x14ac:dyDescent="0.25">
      <c r="A448">
        <v>34374</v>
      </c>
      <c r="B448">
        <v>0</v>
      </c>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x14ac:dyDescent="0.25">
      <c r="A449">
        <v>36177</v>
      </c>
      <c r="B449">
        <v>0</v>
      </c>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x14ac:dyDescent="0.25">
      <c r="A450">
        <v>32195</v>
      </c>
      <c r="B450">
        <v>0</v>
      </c>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x14ac:dyDescent="0.25">
      <c r="A451">
        <v>36127</v>
      </c>
      <c r="B451">
        <v>0</v>
      </c>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x14ac:dyDescent="0.25">
      <c r="A452">
        <v>34264</v>
      </c>
      <c r="B452">
        <v>0</v>
      </c>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x14ac:dyDescent="0.25">
      <c r="A453">
        <v>53264</v>
      </c>
      <c r="B453">
        <v>0</v>
      </c>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x14ac:dyDescent="0.25">
      <c r="A454">
        <v>36131</v>
      </c>
      <c r="B454">
        <v>0</v>
      </c>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x14ac:dyDescent="0.25">
      <c r="A455">
        <v>34266</v>
      </c>
      <c r="B455">
        <v>0</v>
      </c>
      <c r="C455" s="75"/>
      <c r="D455" s="75"/>
      <c r="E455" s="75"/>
      <c r="F455" s="75"/>
      <c r="G455" s="75"/>
      <c r="H455" s="75"/>
      <c r="I455" s="75"/>
      <c r="J455" s="75"/>
      <c r="K455" s="75"/>
      <c r="L455" s="75"/>
      <c r="M455" s="75"/>
      <c r="N455" s="72"/>
      <c r="O455" s="75"/>
      <c r="P455" s="75"/>
      <c r="Q455" s="72"/>
      <c r="R455" s="72"/>
      <c r="S455" s="75"/>
      <c r="T455" s="75"/>
      <c r="U455" s="73"/>
      <c r="V455" s="73"/>
      <c r="W455" s="75"/>
      <c r="X455" s="75"/>
      <c r="Y455" s="75"/>
      <c r="Z455" s="75"/>
    </row>
    <row r="456" spans="1:26" x14ac:dyDescent="0.25">
      <c r="A456">
        <v>54183</v>
      </c>
      <c r="B456">
        <v>0</v>
      </c>
      <c r="C456" s="75"/>
      <c r="D456" s="75"/>
      <c r="E456" s="75"/>
      <c r="F456" s="75"/>
      <c r="G456" s="75"/>
      <c r="H456" s="75"/>
      <c r="I456" s="75"/>
      <c r="J456" s="75"/>
      <c r="K456" s="75"/>
      <c r="L456" s="75"/>
      <c r="M456" s="75"/>
      <c r="N456" s="72"/>
      <c r="O456" s="75"/>
      <c r="P456" s="75"/>
      <c r="Q456" s="72"/>
      <c r="R456" s="72"/>
      <c r="S456" s="75"/>
      <c r="T456" s="75"/>
      <c r="U456" s="73"/>
      <c r="V456" s="73"/>
      <c r="W456" s="75"/>
      <c r="X456" s="75"/>
      <c r="Y456" s="75"/>
      <c r="Z456" s="75"/>
    </row>
    <row r="457" spans="1:26" x14ac:dyDescent="0.25">
      <c r="A457">
        <v>34274</v>
      </c>
      <c r="B457">
        <v>0</v>
      </c>
      <c r="C457" s="75"/>
      <c r="D457" s="75"/>
      <c r="E457" s="75"/>
      <c r="F457" s="75"/>
      <c r="G457" s="75"/>
      <c r="H457" s="75"/>
      <c r="I457" s="75"/>
      <c r="J457" s="75"/>
      <c r="K457" s="75"/>
      <c r="L457" s="75"/>
      <c r="M457" s="75"/>
      <c r="N457" s="72"/>
      <c r="O457" s="75"/>
      <c r="P457" s="75"/>
      <c r="Q457" s="72"/>
      <c r="R457" s="72"/>
      <c r="S457" s="75"/>
      <c r="T457" s="75"/>
      <c r="U457" s="73"/>
      <c r="V457" s="73"/>
      <c r="W457" s="75"/>
      <c r="X457" s="75"/>
      <c r="Y457" s="75"/>
      <c r="Z457" s="75"/>
    </row>
    <row r="458" spans="1:26" x14ac:dyDescent="0.25">
      <c r="A458">
        <v>36144</v>
      </c>
      <c r="B458">
        <v>0</v>
      </c>
      <c r="C458" s="75"/>
      <c r="D458" s="75"/>
      <c r="E458" s="75"/>
      <c r="F458" s="75"/>
      <c r="G458" s="75"/>
      <c r="H458" s="75"/>
      <c r="I458" s="75"/>
      <c r="J458" s="75"/>
      <c r="K458" s="75"/>
      <c r="L458" s="75"/>
      <c r="M458" s="75"/>
      <c r="N458" s="72"/>
      <c r="O458" s="75"/>
      <c r="P458" s="75"/>
      <c r="Q458" s="72"/>
      <c r="R458" s="72"/>
      <c r="S458" s="75"/>
      <c r="T458" s="75"/>
      <c r="U458" s="73"/>
      <c r="V458" s="73"/>
      <c r="W458" s="75"/>
      <c r="X458" s="75"/>
      <c r="Y458" s="75"/>
      <c r="Z458" s="75"/>
    </row>
    <row r="459" spans="1:26" x14ac:dyDescent="0.25">
      <c r="A459">
        <v>34249</v>
      </c>
      <c r="B459">
        <v>0</v>
      </c>
      <c r="C459" s="75"/>
      <c r="D459" s="75"/>
      <c r="E459" s="75"/>
      <c r="F459" s="75"/>
      <c r="G459" s="75"/>
      <c r="H459" s="75"/>
      <c r="I459" s="75"/>
      <c r="J459" s="75"/>
      <c r="K459" s="75"/>
      <c r="L459" s="75"/>
      <c r="M459" s="75"/>
      <c r="N459" s="72"/>
      <c r="O459" s="75"/>
      <c r="P459" s="75"/>
      <c r="Q459" s="72"/>
      <c r="R459" s="72"/>
      <c r="S459" s="75"/>
      <c r="T459" s="75"/>
      <c r="U459" s="73"/>
      <c r="V459" s="73"/>
      <c r="W459" s="75"/>
      <c r="X459" s="75"/>
      <c r="Y459" s="75"/>
      <c r="Z459" s="75"/>
    </row>
    <row r="460" spans="1:26" x14ac:dyDescent="0.25">
      <c r="A460">
        <v>36134</v>
      </c>
      <c r="B460">
        <v>0</v>
      </c>
      <c r="C460" s="75"/>
      <c r="D460" s="75"/>
      <c r="E460" s="75"/>
      <c r="F460" s="75"/>
      <c r="G460" s="75"/>
      <c r="H460" s="75"/>
      <c r="I460" s="75"/>
      <c r="J460" s="75"/>
      <c r="K460" s="75"/>
      <c r="L460" s="75"/>
      <c r="M460" s="75"/>
      <c r="N460" s="72"/>
      <c r="O460" s="75"/>
      <c r="P460" s="75"/>
      <c r="Q460" s="72"/>
      <c r="R460" s="72"/>
      <c r="S460" s="75"/>
      <c r="T460" s="75"/>
      <c r="U460" s="73"/>
      <c r="V460" s="73"/>
      <c r="W460" s="75"/>
      <c r="X460" s="75"/>
      <c r="Y460" s="75"/>
      <c r="Z460" s="75"/>
    </row>
    <row r="461" spans="1:26" x14ac:dyDescent="0.25">
      <c r="A461">
        <v>34246</v>
      </c>
      <c r="B461">
        <v>0</v>
      </c>
      <c r="C461" s="75"/>
      <c r="D461" s="75"/>
      <c r="E461" s="75"/>
      <c r="F461" s="75"/>
      <c r="G461" s="75"/>
      <c r="H461" s="75"/>
      <c r="I461" s="75"/>
      <c r="J461" s="75"/>
      <c r="K461" s="75"/>
      <c r="L461" s="75"/>
      <c r="M461" s="75"/>
      <c r="N461" s="72"/>
      <c r="O461" s="75"/>
      <c r="P461" s="75"/>
      <c r="Q461" s="72"/>
      <c r="R461" s="72"/>
      <c r="S461" s="75"/>
      <c r="T461" s="75"/>
      <c r="U461" s="73"/>
      <c r="V461" s="73"/>
      <c r="W461" s="75"/>
      <c r="X461" s="75"/>
      <c r="Y461" s="75"/>
      <c r="Z461" s="75"/>
    </row>
    <row r="462" spans="1:26" x14ac:dyDescent="0.25">
      <c r="A462">
        <v>34371</v>
      </c>
      <c r="B462">
        <v>0</v>
      </c>
      <c r="C462" s="75"/>
      <c r="D462" s="75"/>
      <c r="E462" s="75"/>
      <c r="F462" s="75"/>
      <c r="G462" s="75"/>
      <c r="H462" s="75"/>
      <c r="I462" s="75"/>
      <c r="J462" s="75"/>
      <c r="K462" s="75"/>
      <c r="L462" s="75"/>
      <c r="M462" s="75"/>
      <c r="N462" s="72"/>
      <c r="O462" s="75"/>
      <c r="P462" s="75"/>
      <c r="Q462" s="72"/>
      <c r="R462" s="72"/>
      <c r="S462" s="75"/>
      <c r="T462" s="75"/>
      <c r="U462" s="73"/>
      <c r="V462" s="73"/>
      <c r="W462" s="75"/>
      <c r="X462" s="75"/>
      <c r="Y462" s="75"/>
      <c r="Z462" s="75"/>
    </row>
    <row r="463" spans="1:26" x14ac:dyDescent="0.25">
      <c r="A463">
        <v>53237</v>
      </c>
      <c r="B463">
        <v>0</v>
      </c>
      <c r="C463" s="75"/>
      <c r="D463" s="75"/>
      <c r="E463" s="75"/>
      <c r="F463" s="75"/>
      <c r="G463" s="75"/>
      <c r="H463" s="75"/>
      <c r="I463" s="75"/>
      <c r="J463" s="75"/>
      <c r="K463" s="75"/>
      <c r="L463" s="75"/>
      <c r="M463" s="75"/>
      <c r="N463" s="72"/>
      <c r="O463" s="75"/>
      <c r="P463" s="75"/>
      <c r="Q463" s="72"/>
      <c r="R463" s="72"/>
      <c r="S463" s="75"/>
      <c r="T463" s="75"/>
      <c r="U463" s="73"/>
      <c r="V463" s="73"/>
      <c r="W463" s="75"/>
      <c r="X463" s="75"/>
      <c r="Y463" s="75"/>
      <c r="Z463" s="75"/>
    </row>
    <row r="464" spans="1:26" x14ac:dyDescent="0.25">
      <c r="A464">
        <v>36161</v>
      </c>
      <c r="B464">
        <v>0</v>
      </c>
      <c r="C464" s="75"/>
      <c r="D464" s="75"/>
      <c r="E464" s="75"/>
      <c r="F464" s="75"/>
      <c r="G464" s="75"/>
      <c r="H464" s="75"/>
      <c r="I464" s="75"/>
      <c r="J464" s="75"/>
      <c r="K464" s="75"/>
      <c r="L464" s="75"/>
      <c r="M464" s="75"/>
      <c r="N464" s="72"/>
      <c r="O464" s="75"/>
      <c r="P464" s="75"/>
      <c r="Q464" s="72"/>
      <c r="R464" s="72"/>
      <c r="S464" s="75"/>
      <c r="T464" s="75"/>
      <c r="U464" s="73"/>
      <c r="V464" s="73"/>
      <c r="W464" s="75"/>
      <c r="X464" s="75"/>
      <c r="Y464" s="75"/>
      <c r="Z464" s="75"/>
    </row>
    <row r="465" spans="1:26" x14ac:dyDescent="0.25">
      <c r="A465">
        <v>34267</v>
      </c>
      <c r="B465">
        <v>0</v>
      </c>
      <c r="C465" s="75"/>
      <c r="D465" s="75"/>
      <c r="E465" s="75"/>
      <c r="F465" s="75"/>
      <c r="G465" s="75"/>
      <c r="H465" s="75"/>
      <c r="I465" s="75"/>
      <c r="J465" s="75"/>
      <c r="K465" s="75"/>
      <c r="L465" s="75"/>
      <c r="M465" s="75"/>
      <c r="N465" s="72"/>
      <c r="O465" s="75"/>
      <c r="P465" s="75"/>
      <c r="Q465" s="72"/>
      <c r="R465" s="72"/>
      <c r="S465" s="75"/>
      <c r="T465" s="75"/>
      <c r="U465" s="73"/>
      <c r="V465" s="73"/>
      <c r="W465" s="75"/>
      <c r="X465" s="75"/>
      <c r="Y465" s="75"/>
      <c r="Z465" s="75"/>
    </row>
    <row r="466" spans="1:26" x14ac:dyDescent="0.25">
      <c r="A466">
        <v>36171</v>
      </c>
      <c r="B466">
        <v>0</v>
      </c>
      <c r="C466" s="75"/>
      <c r="D466" s="75"/>
      <c r="E466" s="75"/>
      <c r="F466" s="75"/>
      <c r="G466" s="75"/>
      <c r="H466" s="75"/>
      <c r="I466" s="75"/>
      <c r="J466" s="75"/>
      <c r="K466" s="75"/>
      <c r="L466" s="75"/>
      <c r="M466" s="75"/>
      <c r="N466" s="72"/>
      <c r="O466" s="75"/>
      <c r="P466" s="75"/>
      <c r="Q466" s="72"/>
      <c r="R466" s="72"/>
      <c r="S466" s="75"/>
      <c r="T466" s="75"/>
      <c r="U466" s="73"/>
      <c r="V466" s="73"/>
      <c r="W466" s="75"/>
      <c r="X466" s="75"/>
      <c r="Y466" s="75"/>
      <c r="Z466" s="75"/>
    </row>
    <row r="467" spans="1:26" x14ac:dyDescent="0.25">
      <c r="A467">
        <v>34279</v>
      </c>
      <c r="B467">
        <v>0</v>
      </c>
      <c r="C467" s="75"/>
      <c r="D467" s="75"/>
      <c r="E467" s="75"/>
      <c r="F467" s="75"/>
      <c r="G467" s="75"/>
      <c r="H467" s="75"/>
      <c r="I467" s="75"/>
      <c r="J467" s="75"/>
      <c r="K467" s="75"/>
      <c r="L467" s="75"/>
      <c r="M467" s="75"/>
      <c r="N467" s="72"/>
      <c r="O467" s="75"/>
      <c r="P467" s="75"/>
      <c r="Q467" s="72"/>
      <c r="R467" s="72"/>
      <c r="S467" s="75"/>
      <c r="T467" s="75"/>
      <c r="U467" s="73"/>
      <c r="V467" s="73"/>
      <c r="W467" s="75"/>
      <c r="X467" s="75"/>
      <c r="Y467" s="75"/>
      <c r="Z467" s="75"/>
    </row>
    <row r="468" spans="1:26" x14ac:dyDescent="0.25">
      <c r="A468">
        <v>34261</v>
      </c>
      <c r="B468">
        <v>0</v>
      </c>
      <c r="C468" s="75"/>
      <c r="D468" s="75"/>
      <c r="E468" s="75"/>
      <c r="F468" s="75"/>
      <c r="G468" s="75"/>
      <c r="H468" s="75"/>
      <c r="I468" s="75"/>
      <c r="J468" s="75"/>
      <c r="K468" s="75"/>
      <c r="L468" s="75"/>
      <c r="M468" s="75"/>
      <c r="N468" s="72"/>
      <c r="O468" s="75"/>
      <c r="P468" s="75"/>
      <c r="Q468" s="72"/>
      <c r="R468" s="72"/>
      <c r="S468" s="75"/>
      <c r="T468" s="75"/>
      <c r="U468" s="73"/>
      <c r="V468" s="73"/>
      <c r="W468" s="75"/>
      <c r="X468" s="75"/>
      <c r="Y468" s="75"/>
      <c r="Z468" s="75"/>
    </row>
    <row r="469" spans="1:26" x14ac:dyDescent="0.25">
      <c r="A469">
        <v>34361</v>
      </c>
      <c r="B469">
        <v>0</v>
      </c>
      <c r="C469" s="75"/>
      <c r="D469" s="75"/>
      <c r="E469" s="75"/>
      <c r="F469" s="75"/>
      <c r="G469" s="75"/>
      <c r="H469" s="75"/>
      <c r="I469" s="75"/>
      <c r="J469" s="75"/>
      <c r="K469" s="75"/>
      <c r="L469" s="75"/>
      <c r="M469" s="75"/>
      <c r="N469" s="72"/>
      <c r="O469" s="75"/>
      <c r="P469" s="75"/>
      <c r="Q469" s="72"/>
      <c r="R469" s="72"/>
      <c r="S469" s="75"/>
      <c r="T469" s="75"/>
      <c r="U469" s="73"/>
      <c r="V469" s="73"/>
      <c r="W469" s="75"/>
      <c r="X469" s="75"/>
      <c r="Y469" s="75"/>
      <c r="Z469" s="75"/>
    </row>
    <row r="470" spans="1:26" x14ac:dyDescent="0.25">
      <c r="A470">
        <v>34249</v>
      </c>
      <c r="B470">
        <v>0</v>
      </c>
      <c r="C470" s="75"/>
      <c r="D470" s="75"/>
      <c r="E470" s="75"/>
      <c r="F470" s="75"/>
      <c r="G470" s="75"/>
      <c r="H470" s="75"/>
      <c r="I470" s="75"/>
      <c r="J470" s="75"/>
      <c r="K470" s="75"/>
      <c r="L470" s="75"/>
      <c r="M470" s="75"/>
      <c r="N470" s="72"/>
      <c r="O470" s="75"/>
      <c r="P470" s="75"/>
      <c r="Q470" s="72"/>
      <c r="R470" s="72"/>
      <c r="S470" s="75"/>
      <c r="T470" s="75"/>
      <c r="U470" s="73"/>
      <c r="V470" s="73"/>
      <c r="W470" s="75"/>
      <c r="X470" s="75"/>
      <c r="Y470" s="75"/>
      <c r="Z470" s="75"/>
    </row>
    <row r="471" spans="1:26" x14ac:dyDescent="0.25">
      <c r="A471">
        <v>34253</v>
      </c>
      <c r="B471">
        <v>0</v>
      </c>
      <c r="C471" s="75"/>
      <c r="D471" s="75"/>
      <c r="E471" s="75"/>
      <c r="F471" s="75"/>
      <c r="G471" s="75"/>
      <c r="H471" s="75"/>
      <c r="I471" s="75"/>
      <c r="J471" s="75"/>
      <c r="K471" s="75"/>
      <c r="L471" s="75"/>
      <c r="M471" s="75"/>
      <c r="N471" s="72"/>
      <c r="O471" s="75"/>
      <c r="P471" s="75"/>
      <c r="Q471" s="72"/>
      <c r="R471" s="72"/>
      <c r="S471" s="75"/>
      <c r="T471" s="75"/>
      <c r="U471" s="73"/>
      <c r="V471" s="73"/>
      <c r="W471" s="75"/>
      <c r="X471" s="75"/>
      <c r="Y471" s="75"/>
      <c r="Z471" s="75"/>
    </row>
    <row r="472" spans="1:26" x14ac:dyDescent="0.25">
      <c r="A472">
        <v>36181</v>
      </c>
      <c r="B472">
        <v>0</v>
      </c>
      <c r="C472" s="75"/>
      <c r="D472" s="75"/>
      <c r="E472" s="75"/>
      <c r="F472" s="75"/>
      <c r="G472" s="75"/>
      <c r="H472" s="75"/>
      <c r="I472" s="75"/>
      <c r="J472" s="75"/>
      <c r="K472" s="75"/>
      <c r="L472" s="75"/>
      <c r="M472" s="75"/>
      <c r="N472" s="72"/>
      <c r="O472" s="75"/>
      <c r="P472" s="75"/>
      <c r="Q472" s="72"/>
      <c r="R472" s="72"/>
      <c r="S472" s="75"/>
      <c r="T472" s="75"/>
      <c r="U472" s="73"/>
      <c r="V472" s="73"/>
      <c r="W472" s="75"/>
      <c r="X472" s="75"/>
      <c r="Y472" s="75"/>
      <c r="Z472" s="75"/>
    </row>
    <row r="473" spans="1:26" x14ac:dyDescent="0.25">
      <c r="A473">
        <v>34144</v>
      </c>
      <c r="B473">
        <v>0</v>
      </c>
      <c r="C473" s="75"/>
      <c r="D473" s="75"/>
      <c r="E473" s="75"/>
      <c r="F473" s="75"/>
      <c r="G473" s="75"/>
      <c r="H473" s="75"/>
      <c r="I473" s="75"/>
      <c r="J473" s="75"/>
      <c r="K473" s="75"/>
      <c r="L473" s="75"/>
      <c r="M473" s="75"/>
      <c r="N473" s="72"/>
      <c r="O473" s="75"/>
      <c r="P473" s="75"/>
      <c r="Q473" s="72"/>
      <c r="R473" s="72"/>
      <c r="S473" s="75"/>
      <c r="T473" s="75"/>
      <c r="U473" s="73"/>
      <c r="V473" s="73"/>
      <c r="W473" s="75"/>
      <c r="X473" s="75"/>
      <c r="Y473" s="75"/>
      <c r="Z473" s="75"/>
    </row>
    <row r="474" spans="1:26" x14ac:dyDescent="0.25">
      <c r="A474">
        <v>36184</v>
      </c>
      <c r="B474">
        <v>0</v>
      </c>
      <c r="C474" s="75"/>
      <c r="D474" s="75"/>
      <c r="E474" s="75"/>
      <c r="F474" s="75"/>
      <c r="G474" s="75"/>
      <c r="H474" s="75"/>
      <c r="I474" s="75"/>
      <c r="J474" s="75"/>
      <c r="K474" s="75"/>
      <c r="L474" s="75"/>
      <c r="M474" s="75"/>
      <c r="N474" s="72"/>
      <c r="O474" s="75"/>
      <c r="P474" s="75"/>
      <c r="Q474" s="72"/>
      <c r="R474" s="72"/>
      <c r="S474" s="75"/>
      <c r="T474" s="75"/>
      <c r="U474" s="73"/>
      <c r="V474" s="73"/>
      <c r="W474" s="75"/>
      <c r="X474" s="75"/>
      <c r="Y474" s="75"/>
      <c r="Z474" s="75"/>
    </row>
    <row r="475" spans="1:26" x14ac:dyDescent="0.25">
      <c r="A475">
        <v>36157</v>
      </c>
      <c r="B475">
        <v>0</v>
      </c>
      <c r="C475" s="75"/>
      <c r="D475" s="75"/>
      <c r="E475" s="75"/>
      <c r="F475" s="75"/>
      <c r="G475" s="75"/>
      <c r="H475" s="75"/>
      <c r="I475" s="75"/>
      <c r="J475" s="75"/>
      <c r="K475" s="75"/>
      <c r="L475" s="75"/>
      <c r="M475" s="75"/>
      <c r="N475" s="72"/>
      <c r="O475" s="75"/>
      <c r="P475" s="75"/>
      <c r="Q475" s="72"/>
      <c r="R475" s="72"/>
      <c r="S475" s="75"/>
      <c r="T475" s="75"/>
      <c r="U475" s="73"/>
      <c r="V475" s="73"/>
      <c r="W475" s="75"/>
      <c r="X475" s="75"/>
      <c r="Y475" s="75"/>
      <c r="Z475" s="75"/>
    </row>
    <row r="476" spans="1:26" x14ac:dyDescent="0.25">
      <c r="A476">
        <v>34259</v>
      </c>
      <c r="B476">
        <v>0</v>
      </c>
      <c r="C476" s="75"/>
      <c r="D476" s="75"/>
      <c r="E476" s="75"/>
      <c r="F476" s="75"/>
      <c r="G476" s="75"/>
      <c r="H476" s="75"/>
      <c r="I476" s="75"/>
      <c r="J476" s="75"/>
      <c r="K476" s="75"/>
      <c r="L476" s="75"/>
      <c r="M476" s="75"/>
      <c r="N476" s="72"/>
      <c r="O476" s="75"/>
      <c r="P476" s="75"/>
      <c r="Q476" s="72"/>
      <c r="R476" s="72"/>
      <c r="S476" s="75"/>
      <c r="T476" s="75"/>
      <c r="U476" s="73"/>
      <c r="V476" s="73"/>
      <c r="W476" s="75"/>
      <c r="X476" s="75"/>
      <c r="Y476" s="75"/>
      <c r="Z476" s="75"/>
    </row>
    <row r="477" spans="1:26" x14ac:dyDescent="0.25">
      <c r="A477">
        <v>34336</v>
      </c>
      <c r="B477">
        <v>0</v>
      </c>
      <c r="C477" s="75"/>
      <c r="D477" s="75"/>
      <c r="E477" s="75"/>
      <c r="F477" s="75"/>
      <c r="G477" s="75"/>
      <c r="H477" s="75"/>
      <c r="I477" s="75"/>
      <c r="J477" s="75"/>
      <c r="K477" s="75"/>
      <c r="L477" s="75"/>
      <c r="M477" s="75"/>
      <c r="N477" s="72"/>
      <c r="O477" s="75"/>
      <c r="P477" s="75"/>
      <c r="Q477" s="72"/>
      <c r="R477" s="72"/>
      <c r="S477" s="75"/>
      <c r="T477" s="75"/>
      <c r="U477" s="73"/>
      <c r="V477" s="73"/>
      <c r="W477" s="75"/>
      <c r="X477" s="75"/>
      <c r="Y477" s="75"/>
      <c r="Z477" s="75"/>
    </row>
    <row r="478" spans="1:26" x14ac:dyDescent="0.25">
      <c r="A478">
        <v>34331</v>
      </c>
      <c r="B478">
        <v>0</v>
      </c>
      <c r="C478" s="75"/>
      <c r="D478" s="75"/>
      <c r="E478" s="75"/>
      <c r="F478" s="75"/>
      <c r="G478" s="75"/>
      <c r="H478" s="75"/>
      <c r="I478" s="75"/>
      <c r="J478" s="75"/>
      <c r="K478" s="75"/>
      <c r="L478" s="75"/>
      <c r="M478" s="75"/>
      <c r="N478" s="72"/>
      <c r="O478" s="75"/>
      <c r="P478" s="75"/>
      <c r="Q478" s="72"/>
      <c r="R478" s="72"/>
      <c r="S478" s="75"/>
      <c r="T478" s="75"/>
      <c r="U478" s="73"/>
      <c r="V478" s="73"/>
      <c r="W478" s="75"/>
      <c r="X478" s="75"/>
      <c r="Y478" s="75"/>
      <c r="Z478" s="75"/>
    </row>
    <row r="479" spans="1:26" x14ac:dyDescent="0.25">
      <c r="A479">
        <v>54175</v>
      </c>
      <c r="B479">
        <v>0</v>
      </c>
      <c r="C479" s="75"/>
      <c r="D479" s="75"/>
      <c r="E479" s="75"/>
      <c r="F479" s="75"/>
      <c r="G479" s="75"/>
      <c r="H479" s="75"/>
      <c r="I479" s="75"/>
      <c r="J479" s="75"/>
      <c r="K479" s="75"/>
      <c r="L479" s="75"/>
      <c r="M479" s="75"/>
      <c r="N479" s="72"/>
      <c r="O479" s="75"/>
      <c r="P479" s="75"/>
      <c r="Q479" s="72"/>
      <c r="R479" s="72"/>
      <c r="S479" s="75"/>
      <c r="T479" s="75"/>
      <c r="U479" s="73"/>
      <c r="V479" s="73"/>
      <c r="W479" s="75"/>
      <c r="X479" s="75"/>
      <c r="Y479" s="75"/>
      <c r="Z479" s="75"/>
    </row>
    <row r="480" spans="1:26" x14ac:dyDescent="0.25">
      <c r="A480">
        <v>34233</v>
      </c>
      <c r="B480">
        <v>0</v>
      </c>
      <c r="C480" s="75"/>
      <c r="D480" s="75"/>
      <c r="E480" s="75"/>
      <c r="F480" s="75"/>
      <c r="G480" s="75"/>
      <c r="H480" s="75"/>
      <c r="I480" s="75"/>
      <c r="J480" s="75"/>
      <c r="K480" s="75"/>
      <c r="L480" s="75"/>
      <c r="M480" s="75"/>
      <c r="N480" s="72"/>
      <c r="O480" s="75"/>
      <c r="P480" s="75"/>
      <c r="Q480" s="72"/>
      <c r="R480" s="72"/>
      <c r="S480" s="75"/>
      <c r="T480" s="75"/>
      <c r="U480" s="73"/>
      <c r="V480" s="73"/>
      <c r="W480" s="75"/>
      <c r="X480" s="75"/>
      <c r="Y480" s="75"/>
      <c r="Z480" s="75"/>
    </row>
    <row r="481" spans="1:26" x14ac:dyDescent="0.25">
      <c r="A481">
        <v>34002</v>
      </c>
      <c r="B481">
        <v>0</v>
      </c>
      <c r="C481" s="75"/>
      <c r="D481" s="75"/>
      <c r="E481" s="75"/>
      <c r="F481" s="75"/>
      <c r="G481" s="75"/>
      <c r="H481" s="75"/>
      <c r="I481" s="75"/>
      <c r="J481" s="75"/>
      <c r="K481" s="75"/>
      <c r="L481" s="75"/>
      <c r="M481" s="75"/>
      <c r="N481" s="72"/>
      <c r="O481" s="75"/>
      <c r="P481" s="75"/>
      <c r="Q481" s="72"/>
      <c r="R481" s="72"/>
      <c r="S481" s="75"/>
      <c r="T481" s="75"/>
      <c r="U481" s="73"/>
      <c r="V481" s="73"/>
      <c r="W481" s="75"/>
      <c r="X481" s="75"/>
      <c r="Y481" s="75"/>
      <c r="Z481" s="75"/>
    </row>
    <row r="482" spans="1:26" x14ac:dyDescent="0.25">
      <c r="A482">
        <v>34321</v>
      </c>
      <c r="B482">
        <v>0</v>
      </c>
      <c r="C482" s="75"/>
      <c r="D482" s="75"/>
      <c r="E482" s="75"/>
      <c r="F482" s="75"/>
      <c r="G482" s="75"/>
      <c r="H482" s="75"/>
      <c r="I482" s="75"/>
      <c r="J482" s="75"/>
      <c r="K482" s="75"/>
      <c r="L482" s="75"/>
      <c r="M482" s="75"/>
      <c r="N482" s="72"/>
      <c r="O482" s="75"/>
      <c r="P482" s="75"/>
      <c r="Q482" s="72"/>
      <c r="R482" s="72"/>
      <c r="S482" s="75"/>
      <c r="T482" s="75"/>
      <c r="U482" s="73"/>
      <c r="V482" s="73"/>
      <c r="W482" s="75"/>
      <c r="X482" s="75"/>
      <c r="Y482" s="75"/>
      <c r="Z482" s="75"/>
    </row>
    <row r="483" spans="1:26" x14ac:dyDescent="0.25">
      <c r="A483">
        <v>34251</v>
      </c>
      <c r="B483">
        <v>0</v>
      </c>
      <c r="C483" s="75"/>
      <c r="D483" s="75"/>
      <c r="E483" s="75"/>
      <c r="F483" s="75"/>
      <c r="G483" s="75"/>
      <c r="H483" s="75"/>
      <c r="I483" s="75"/>
      <c r="J483" s="75"/>
      <c r="K483" s="75"/>
      <c r="L483" s="75"/>
      <c r="M483" s="75"/>
      <c r="N483" s="72"/>
      <c r="O483" s="75"/>
      <c r="P483" s="75"/>
      <c r="Q483" s="72"/>
      <c r="R483" s="72"/>
      <c r="S483" s="75"/>
      <c r="T483" s="75"/>
      <c r="U483" s="73"/>
      <c r="V483" s="73"/>
      <c r="W483" s="75"/>
      <c r="X483" s="75"/>
      <c r="Y483" s="75"/>
      <c r="Z483" s="75"/>
    </row>
    <row r="484" spans="1:26" x14ac:dyDescent="0.25">
      <c r="A484">
        <v>34376</v>
      </c>
      <c r="B484">
        <v>0</v>
      </c>
      <c r="C484" s="75"/>
      <c r="D484" s="75"/>
      <c r="E484" s="75"/>
      <c r="F484" s="75"/>
      <c r="G484" s="75"/>
      <c r="H484" s="75"/>
      <c r="I484" s="75"/>
      <c r="J484" s="75"/>
      <c r="K484" s="75"/>
      <c r="L484" s="75"/>
      <c r="M484" s="75"/>
      <c r="N484" s="72"/>
      <c r="O484" s="75"/>
      <c r="P484" s="75"/>
      <c r="Q484" s="72"/>
      <c r="R484" s="72"/>
      <c r="S484" s="75"/>
      <c r="T484" s="75"/>
      <c r="U484" s="73"/>
      <c r="V484" s="73"/>
      <c r="W484" s="75"/>
      <c r="X484" s="75"/>
      <c r="Y484" s="75"/>
      <c r="Z484" s="75"/>
    </row>
    <row r="485" spans="1:26" x14ac:dyDescent="0.25">
      <c r="A485">
        <v>36191</v>
      </c>
      <c r="B485">
        <v>0</v>
      </c>
      <c r="C485" s="75"/>
      <c r="D485" s="75"/>
      <c r="E485" s="75"/>
      <c r="F485" s="75"/>
      <c r="G485" s="75"/>
      <c r="H485" s="75"/>
      <c r="I485" s="75"/>
      <c r="J485" s="75"/>
      <c r="K485" s="75"/>
      <c r="L485" s="75"/>
      <c r="M485" s="75"/>
      <c r="N485" s="72"/>
      <c r="O485" s="75"/>
      <c r="P485" s="75"/>
      <c r="Q485" s="72"/>
      <c r="R485" s="72"/>
      <c r="S485" s="75"/>
      <c r="T485" s="75"/>
      <c r="U485" s="73"/>
      <c r="V485" s="73"/>
      <c r="W485" s="75"/>
      <c r="X485" s="75"/>
      <c r="Y485" s="75"/>
      <c r="Z485" s="75"/>
    </row>
    <row r="486" spans="1:26" x14ac:dyDescent="0.25">
      <c r="A486">
        <v>34263</v>
      </c>
      <c r="B486">
        <v>0</v>
      </c>
      <c r="C486" s="75"/>
      <c r="D486" s="75"/>
      <c r="E486" s="75"/>
      <c r="F486" s="75"/>
      <c r="G486" s="75"/>
      <c r="H486" s="75"/>
      <c r="I486" s="75"/>
      <c r="J486" s="75"/>
      <c r="K486" s="75"/>
      <c r="L486" s="75"/>
      <c r="M486" s="75"/>
      <c r="N486" s="72"/>
      <c r="O486" s="75"/>
      <c r="P486" s="75"/>
      <c r="Q486" s="72"/>
      <c r="R486" s="72"/>
      <c r="S486" s="75"/>
      <c r="T486" s="75"/>
      <c r="U486" s="73"/>
      <c r="V486" s="73"/>
      <c r="W486" s="75"/>
      <c r="X486" s="75"/>
      <c r="Y486" s="75"/>
      <c r="Z486" s="75"/>
    </row>
    <row r="487" spans="1:26" x14ac:dyDescent="0.25">
      <c r="A487">
        <v>34241</v>
      </c>
      <c r="B487">
        <v>0</v>
      </c>
      <c r="C487" s="75"/>
      <c r="D487" s="75"/>
      <c r="E487" s="75"/>
      <c r="F487" s="75"/>
      <c r="G487" s="75"/>
      <c r="H487" s="75"/>
      <c r="I487" s="75"/>
      <c r="J487" s="75"/>
      <c r="K487" s="75"/>
      <c r="L487" s="75"/>
      <c r="M487" s="75"/>
      <c r="N487" s="72"/>
      <c r="O487" s="75"/>
      <c r="P487" s="75"/>
      <c r="Q487" s="72"/>
      <c r="R487" s="72"/>
      <c r="S487" s="75"/>
      <c r="T487" s="75"/>
      <c r="U487" s="73"/>
      <c r="V487" s="73"/>
      <c r="W487" s="75"/>
      <c r="X487" s="75"/>
      <c r="Y487" s="75"/>
      <c r="Z487" s="75"/>
    </row>
    <row r="488" spans="1:26" x14ac:dyDescent="0.25">
      <c r="A488">
        <v>34223</v>
      </c>
      <c r="B488">
        <v>0</v>
      </c>
      <c r="C488" s="75"/>
      <c r="D488" s="75"/>
      <c r="E488" s="75"/>
      <c r="F488" s="75"/>
      <c r="G488" s="75"/>
      <c r="H488" s="75"/>
      <c r="I488" s="75"/>
      <c r="J488" s="75"/>
      <c r="K488" s="75"/>
      <c r="L488" s="75"/>
      <c r="M488" s="75"/>
      <c r="N488" s="72"/>
      <c r="O488" s="75"/>
      <c r="P488" s="75"/>
      <c r="Q488" s="72"/>
      <c r="R488" s="72"/>
      <c r="S488" s="75"/>
      <c r="T488" s="75"/>
      <c r="U488" s="73"/>
      <c r="V488" s="73"/>
      <c r="W488" s="75"/>
      <c r="X488" s="75"/>
      <c r="Y488" s="75"/>
      <c r="Z488" s="75"/>
    </row>
    <row r="489" spans="1:26" x14ac:dyDescent="0.25">
      <c r="A489">
        <v>34257</v>
      </c>
      <c r="B489">
        <v>0</v>
      </c>
      <c r="C489" s="75"/>
      <c r="D489" s="75"/>
      <c r="E489" s="75"/>
      <c r="F489" s="75"/>
      <c r="G489" s="75"/>
      <c r="H489" s="75"/>
      <c r="I489" s="75"/>
      <c r="J489" s="75"/>
      <c r="K489" s="75"/>
      <c r="L489" s="75"/>
      <c r="M489" s="75"/>
      <c r="N489" s="72"/>
      <c r="O489" s="75"/>
      <c r="P489" s="75"/>
      <c r="Q489" s="72"/>
      <c r="R489" s="72"/>
      <c r="S489" s="75"/>
      <c r="T489" s="75"/>
      <c r="U489" s="73"/>
      <c r="V489" s="73"/>
      <c r="W489" s="75"/>
      <c r="X489" s="75"/>
      <c r="Y489" s="75"/>
      <c r="Z489" s="75"/>
    </row>
    <row r="490" spans="1:26" x14ac:dyDescent="0.25">
      <c r="A490">
        <v>53221</v>
      </c>
      <c r="B490">
        <v>0</v>
      </c>
      <c r="C490" s="75"/>
      <c r="D490" s="75"/>
      <c r="E490" s="75"/>
      <c r="F490" s="75"/>
      <c r="G490" s="75"/>
      <c r="H490" s="75"/>
      <c r="I490" s="75"/>
      <c r="J490" s="75"/>
      <c r="K490" s="75"/>
      <c r="L490" s="75"/>
      <c r="M490" s="75"/>
      <c r="N490" s="72"/>
      <c r="O490" s="75"/>
      <c r="P490" s="75"/>
      <c r="Q490" s="72"/>
      <c r="R490" s="72"/>
      <c r="S490" s="75"/>
      <c r="T490" s="75"/>
      <c r="U490" s="73"/>
      <c r="V490" s="73"/>
      <c r="W490" s="75"/>
      <c r="X490" s="75"/>
      <c r="Y490" s="75"/>
      <c r="Z490" s="75"/>
    </row>
    <row r="491" spans="1:26" x14ac:dyDescent="0.25">
      <c r="A491">
        <v>34244</v>
      </c>
      <c r="B491">
        <v>0</v>
      </c>
      <c r="C491" s="75"/>
      <c r="D491" s="75"/>
      <c r="E491" s="75"/>
      <c r="F491" s="75"/>
      <c r="G491" s="75"/>
      <c r="H491" s="75"/>
      <c r="I491" s="75"/>
      <c r="J491" s="75"/>
      <c r="K491" s="75"/>
      <c r="L491" s="75"/>
      <c r="M491" s="75"/>
      <c r="N491" s="72"/>
      <c r="O491" s="75"/>
      <c r="P491" s="75"/>
      <c r="Q491" s="72"/>
      <c r="R491" s="72"/>
      <c r="S491" s="75"/>
      <c r="T491" s="75"/>
      <c r="U491" s="73"/>
      <c r="V491" s="73"/>
      <c r="W491" s="75"/>
      <c r="X491" s="75"/>
      <c r="Y491" s="75"/>
      <c r="Z491" s="75"/>
    </row>
    <row r="492" spans="1:26" x14ac:dyDescent="0.25">
      <c r="A492">
        <v>53217</v>
      </c>
      <c r="B492">
        <v>0</v>
      </c>
      <c r="C492" s="75"/>
      <c r="D492" s="75"/>
      <c r="E492" s="75"/>
      <c r="F492" s="75"/>
      <c r="G492" s="75"/>
      <c r="H492" s="75"/>
      <c r="I492" s="75"/>
      <c r="J492" s="75"/>
      <c r="K492" s="75"/>
      <c r="L492" s="75"/>
      <c r="M492" s="75"/>
      <c r="N492" s="72"/>
      <c r="O492" s="75"/>
      <c r="P492" s="75"/>
      <c r="Q492" s="72"/>
      <c r="R492" s="72"/>
      <c r="S492" s="75"/>
      <c r="T492" s="75"/>
      <c r="U492" s="73"/>
      <c r="V492" s="73"/>
      <c r="W492" s="75"/>
      <c r="X492" s="75"/>
      <c r="Y492" s="75"/>
      <c r="Z492" s="75"/>
    </row>
    <row r="493" spans="1:26" x14ac:dyDescent="0.25">
      <c r="A493">
        <v>34234</v>
      </c>
      <c r="B493">
        <v>0</v>
      </c>
      <c r="C493" s="75"/>
      <c r="D493" s="75"/>
      <c r="E493" s="75"/>
      <c r="F493" s="75"/>
      <c r="G493" s="75"/>
      <c r="H493" s="75"/>
      <c r="I493" s="75"/>
      <c r="J493" s="75"/>
      <c r="K493" s="75"/>
      <c r="L493" s="75"/>
      <c r="M493" s="75"/>
      <c r="N493" s="72"/>
      <c r="O493" s="75"/>
      <c r="P493" s="75"/>
      <c r="Q493" s="72"/>
      <c r="R493" s="72"/>
      <c r="S493" s="75"/>
      <c r="T493" s="75"/>
      <c r="U493" s="73"/>
      <c r="V493" s="73"/>
      <c r="W493" s="75"/>
      <c r="X493" s="75"/>
      <c r="Y493" s="75"/>
      <c r="Z493" s="75"/>
    </row>
    <row r="494" spans="1:26" x14ac:dyDescent="0.25">
      <c r="A494">
        <v>53224</v>
      </c>
      <c r="B494">
        <v>0</v>
      </c>
      <c r="C494" s="75"/>
      <c r="D494" s="75"/>
      <c r="E494" s="75"/>
      <c r="F494" s="75"/>
      <c r="G494" s="75"/>
      <c r="H494" s="75"/>
      <c r="I494" s="75"/>
      <c r="J494" s="75"/>
      <c r="K494" s="75"/>
      <c r="L494" s="75"/>
      <c r="M494" s="75"/>
      <c r="N494" s="72"/>
      <c r="O494" s="75"/>
      <c r="P494" s="75"/>
      <c r="Q494" s="72"/>
      <c r="R494" s="72"/>
      <c r="S494" s="75"/>
      <c r="T494" s="75"/>
      <c r="U494" s="73"/>
      <c r="V494" s="73"/>
      <c r="W494" s="75"/>
      <c r="X494" s="75"/>
      <c r="Y494" s="75"/>
      <c r="Z494" s="75"/>
    </row>
    <row r="495" spans="1:26" x14ac:dyDescent="0.25">
      <c r="A495">
        <v>34256</v>
      </c>
      <c r="B495">
        <v>0</v>
      </c>
      <c r="C495" s="75"/>
      <c r="D495" s="75"/>
      <c r="E495" s="75"/>
      <c r="F495" s="75"/>
      <c r="G495" s="75"/>
      <c r="H495" s="75"/>
      <c r="I495" s="75"/>
      <c r="J495" s="75"/>
      <c r="K495" s="75"/>
      <c r="L495" s="75"/>
      <c r="M495" s="75"/>
      <c r="N495" s="72"/>
      <c r="O495" s="75"/>
      <c r="P495" s="75"/>
      <c r="Q495" s="72"/>
      <c r="R495" s="72"/>
      <c r="S495" s="75"/>
      <c r="T495" s="75"/>
      <c r="U495" s="73"/>
      <c r="V495" s="73"/>
      <c r="W495" s="75"/>
      <c r="X495" s="75"/>
      <c r="Y495" s="75"/>
      <c r="Z495" s="75"/>
    </row>
    <row r="496" spans="1:26" x14ac:dyDescent="0.25">
      <c r="A496">
        <v>53377</v>
      </c>
      <c r="B496">
        <v>0</v>
      </c>
      <c r="C496" s="75"/>
      <c r="D496" s="75"/>
      <c r="E496" s="75"/>
      <c r="F496" s="75"/>
      <c r="G496" s="75"/>
      <c r="H496" s="75"/>
      <c r="I496" s="75"/>
      <c r="J496" s="75"/>
      <c r="K496" s="75"/>
      <c r="L496" s="75"/>
      <c r="M496" s="75"/>
      <c r="N496" s="72"/>
      <c r="O496" s="75"/>
      <c r="P496" s="75"/>
      <c r="Q496" s="72"/>
      <c r="R496" s="72"/>
      <c r="S496" s="75"/>
      <c r="T496" s="75"/>
      <c r="U496" s="73"/>
      <c r="V496" s="73"/>
      <c r="W496" s="75"/>
      <c r="X496" s="75"/>
      <c r="Y496" s="75"/>
      <c r="Z496" s="75"/>
    </row>
    <row r="497" spans="1:26" x14ac:dyDescent="0.25">
      <c r="A497">
        <v>34243</v>
      </c>
      <c r="B497">
        <v>0</v>
      </c>
      <c r="C497" s="75"/>
      <c r="D497" s="75"/>
      <c r="E497" s="75"/>
      <c r="F497" s="75"/>
      <c r="G497" s="75"/>
      <c r="H497" s="75"/>
      <c r="I497" s="75"/>
      <c r="J497" s="75"/>
      <c r="K497" s="75"/>
      <c r="L497" s="75"/>
      <c r="M497" s="75"/>
      <c r="N497" s="72"/>
      <c r="O497" s="75"/>
      <c r="P497" s="75"/>
      <c r="Q497" s="72"/>
      <c r="R497" s="72"/>
      <c r="S497" s="75"/>
      <c r="T497" s="75"/>
      <c r="U497" s="73"/>
      <c r="V497" s="73"/>
      <c r="W497" s="75"/>
      <c r="X497" s="75"/>
      <c r="Y497" s="75"/>
      <c r="Z497" s="75"/>
    </row>
    <row r="498" spans="1:26" x14ac:dyDescent="0.25">
      <c r="A498">
        <v>34341</v>
      </c>
      <c r="B498">
        <v>0</v>
      </c>
      <c r="C498" s="75"/>
      <c r="D498" s="75"/>
      <c r="E498" s="75"/>
      <c r="F498" s="75"/>
      <c r="G498" s="75"/>
      <c r="H498" s="75"/>
      <c r="I498" s="75"/>
      <c r="J498" s="75"/>
      <c r="K498" s="75"/>
      <c r="L498" s="75"/>
      <c r="M498" s="75"/>
      <c r="N498" s="72"/>
      <c r="O498" s="75"/>
      <c r="P498" s="75"/>
      <c r="Q498" s="72"/>
      <c r="R498" s="72"/>
      <c r="S498" s="75"/>
      <c r="T498" s="75"/>
      <c r="U498" s="73"/>
      <c r="V498" s="73"/>
      <c r="W498" s="75"/>
      <c r="X498" s="75"/>
      <c r="Y498" s="75"/>
      <c r="Z498" s="75"/>
    </row>
    <row r="499" spans="1:26" x14ac:dyDescent="0.25">
      <c r="A499">
        <v>53261</v>
      </c>
      <c r="B499">
        <v>0</v>
      </c>
      <c r="C499" s="75"/>
      <c r="D499" s="75"/>
      <c r="E499" s="75"/>
      <c r="F499" s="75"/>
      <c r="G499" s="75"/>
      <c r="H499" s="75"/>
      <c r="I499" s="75"/>
      <c r="J499" s="75"/>
      <c r="K499" s="75"/>
      <c r="L499" s="75"/>
      <c r="M499" s="75"/>
      <c r="N499" s="72"/>
      <c r="O499" s="75"/>
      <c r="P499" s="75"/>
      <c r="Q499" s="72"/>
      <c r="R499" s="72"/>
      <c r="S499" s="75"/>
      <c r="T499" s="75"/>
      <c r="U499" s="73"/>
      <c r="V499" s="73"/>
      <c r="W499" s="75"/>
      <c r="X499" s="75"/>
      <c r="Y499" s="75"/>
      <c r="Z499" s="75"/>
    </row>
    <row r="500" spans="1:26" x14ac:dyDescent="0.25">
      <c r="A500">
        <v>34239</v>
      </c>
      <c r="B500">
        <v>0</v>
      </c>
      <c r="C500" s="75"/>
      <c r="D500" s="75"/>
      <c r="E500" s="75"/>
      <c r="F500" s="75"/>
      <c r="G500" s="75"/>
      <c r="H500" s="75"/>
      <c r="I500" s="75"/>
      <c r="J500" s="75"/>
      <c r="K500" s="75"/>
      <c r="L500" s="75"/>
      <c r="M500" s="75"/>
      <c r="N500" s="72"/>
      <c r="O500" s="75"/>
      <c r="P500" s="75"/>
      <c r="Q500" s="72"/>
      <c r="R500" s="72"/>
      <c r="S500" s="75"/>
      <c r="T500" s="75"/>
      <c r="U500" s="73"/>
      <c r="V500" s="73"/>
      <c r="W500" s="75"/>
      <c r="X500" s="75"/>
      <c r="Y500" s="75"/>
      <c r="Z500" s="75"/>
    </row>
    <row r="501" spans="1:26" x14ac:dyDescent="0.25">
      <c r="A501">
        <v>53231</v>
      </c>
      <c r="B501">
        <v>1</v>
      </c>
      <c r="C501" s="75"/>
      <c r="D501" s="75"/>
      <c r="E501" s="75"/>
      <c r="F501" s="75"/>
      <c r="G501" s="75"/>
      <c r="H501" s="75"/>
      <c r="I501" s="75"/>
      <c r="J501" s="75"/>
      <c r="K501" s="75"/>
      <c r="L501" s="75"/>
      <c r="M501" s="75"/>
      <c r="N501" s="72"/>
      <c r="O501" s="75"/>
      <c r="P501" s="75"/>
      <c r="Q501" s="72"/>
      <c r="R501" s="72"/>
      <c r="S501" s="75"/>
      <c r="T501" s="75"/>
      <c r="U501" s="73"/>
      <c r="V501" s="73"/>
      <c r="W501" s="75"/>
      <c r="X501" s="75"/>
      <c r="Y501" s="75"/>
      <c r="Z501" s="75"/>
    </row>
    <row r="502" spans="1:26" x14ac:dyDescent="0.25">
      <c r="A502">
        <v>34229</v>
      </c>
      <c r="B502">
        <v>0</v>
      </c>
      <c r="C502" s="75"/>
      <c r="D502" s="75"/>
      <c r="E502" s="75"/>
      <c r="F502" s="75"/>
      <c r="G502" s="75"/>
      <c r="H502" s="75"/>
      <c r="I502" s="75"/>
      <c r="J502" s="75"/>
      <c r="K502" s="75"/>
      <c r="L502" s="75"/>
      <c r="M502" s="75"/>
      <c r="N502" s="72"/>
      <c r="O502" s="75"/>
      <c r="P502" s="75"/>
      <c r="Q502" s="72"/>
      <c r="R502" s="72"/>
      <c r="S502" s="75"/>
      <c r="T502" s="75"/>
      <c r="U502" s="73"/>
      <c r="V502" s="73"/>
      <c r="W502" s="75"/>
      <c r="X502" s="75"/>
      <c r="Y502" s="75"/>
      <c r="Z502" s="75"/>
    </row>
    <row r="503" spans="1:26" x14ac:dyDescent="0.25">
      <c r="A503">
        <v>34221</v>
      </c>
      <c r="B503">
        <v>0</v>
      </c>
      <c r="C503" s="75"/>
      <c r="D503" s="75"/>
      <c r="E503" s="75"/>
      <c r="F503" s="75"/>
      <c r="G503" s="75"/>
      <c r="H503" s="75"/>
      <c r="I503" s="75"/>
      <c r="J503" s="75"/>
      <c r="K503" s="75"/>
      <c r="L503" s="75"/>
      <c r="M503" s="75"/>
      <c r="N503" s="72"/>
      <c r="O503" s="75"/>
      <c r="P503" s="75"/>
      <c r="Q503" s="72"/>
      <c r="R503" s="72"/>
      <c r="S503" s="75"/>
      <c r="T503" s="75"/>
      <c r="U503" s="73"/>
      <c r="V503" s="73"/>
      <c r="W503" s="75"/>
      <c r="X503" s="75"/>
      <c r="Y503" s="75"/>
      <c r="Z503" s="75"/>
    </row>
    <row r="504" spans="1:26" x14ac:dyDescent="0.25">
      <c r="A504">
        <v>34122</v>
      </c>
      <c r="B504">
        <v>0</v>
      </c>
      <c r="C504" s="75"/>
      <c r="D504" s="75"/>
      <c r="E504" s="75"/>
      <c r="F504" s="75"/>
      <c r="G504" s="75"/>
      <c r="H504" s="75"/>
      <c r="I504" s="75"/>
      <c r="J504" s="75"/>
      <c r="K504" s="75"/>
      <c r="L504" s="75"/>
      <c r="M504" s="75"/>
      <c r="N504" s="72"/>
      <c r="O504" s="75"/>
      <c r="P504" s="75"/>
      <c r="Q504" s="72"/>
      <c r="R504" s="72"/>
      <c r="S504" s="75"/>
      <c r="T504" s="75"/>
      <c r="U504" s="73"/>
      <c r="V504" s="73"/>
      <c r="W504" s="75"/>
      <c r="X504" s="75"/>
      <c r="Y504" s="75"/>
      <c r="Z504" s="75"/>
    </row>
    <row r="505" spans="1:26" x14ac:dyDescent="0.25">
      <c r="A505">
        <v>34326</v>
      </c>
      <c r="B505">
        <v>0</v>
      </c>
      <c r="C505" s="75"/>
      <c r="D505" s="75"/>
      <c r="E505" s="75"/>
      <c r="F505" s="75"/>
      <c r="G505" s="75"/>
      <c r="H505" s="75"/>
      <c r="I505" s="75"/>
      <c r="J505" s="75"/>
      <c r="K505" s="75"/>
      <c r="L505" s="75"/>
      <c r="M505" s="75"/>
      <c r="N505" s="72"/>
      <c r="O505" s="75"/>
      <c r="P505" s="75"/>
      <c r="Q505" s="72"/>
      <c r="R505" s="72"/>
      <c r="S505" s="75"/>
      <c r="T505" s="75"/>
      <c r="U505" s="73"/>
      <c r="V505" s="73"/>
      <c r="W505" s="75"/>
      <c r="X505" s="75"/>
      <c r="Y505" s="75"/>
      <c r="Z505" s="75"/>
    </row>
    <row r="506" spans="1:26" x14ac:dyDescent="0.25">
      <c r="A506">
        <v>34133</v>
      </c>
      <c r="B506">
        <v>0</v>
      </c>
      <c r="C506" s="75"/>
      <c r="D506" s="75"/>
      <c r="E506" s="75"/>
      <c r="F506" s="75"/>
      <c r="G506" s="75"/>
      <c r="H506" s="75"/>
      <c r="I506" s="75"/>
      <c r="J506" s="75"/>
      <c r="K506" s="75"/>
      <c r="L506" s="75"/>
      <c r="M506" s="75"/>
      <c r="N506" s="72"/>
      <c r="O506" s="75"/>
      <c r="P506" s="75"/>
      <c r="Q506" s="72"/>
      <c r="R506" s="72"/>
      <c r="S506" s="75"/>
      <c r="T506" s="75"/>
      <c r="U506" s="73"/>
      <c r="V506" s="73"/>
      <c r="W506" s="75"/>
      <c r="X506" s="75"/>
      <c r="Y506" s="75"/>
      <c r="Z506" s="75"/>
    </row>
    <row r="507" spans="1:26" x14ac:dyDescent="0.25">
      <c r="A507">
        <v>34273</v>
      </c>
      <c r="B507">
        <v>0</v>
      </c>
      <c r="C507" s="75"/>
      <c r="D507" s="75"/>
      <c r="E507" s="75"/>
      <c r="F507" s="75"/>
      <c r="G507" s="75"/>
      <c r="H507" s="75"/>
      <c r="I507" s="75"/>
      <c r="J507" s="75"/>
      <c r="K507" s="75"/>
      <c r="L507" s="75"/>
      <c r="M507" s="75"/>
      <c r="N507" s="72"/>
      <c r="O507" s="75"/>
      <c r="P507" s="75"/>
      <c r="Q507" s="72"/>
      <c r="R507" s="72"/>
      <c r="S507" s="75"/>
      <c r="T507" s="75"/>
      <c r="U507" s="73"/>
      <c r="V507" s="73"/>
      <c r="W507" s="75"/>
      <c r="X507" s="75"/>
      <c r="Y507" s="75"/>
      <c r="Z507" s="75"/>
    </row>
    <row r="508" spans="1:26" x14ac:dyDescent="0.25">
      <c r="A508">
        <v>34231</v>
      </c>
      <c r="B508">
        <v>0</v>
      </c>
      <c r="C508" s="75"/>
      <c r="D508" s="75"/>
      <c r="E508" s="75"/>
      <c r="F508" s="75"/>
      <c r="G508" s="75"/>
      <c r="H508" s="75"/>
      <c r="I508" s="75"/>
      <c r="J508" s="75"/>
      <c r="K508" s="75"/>
      <c r="L508" s="75"/>
      <c r="M508" s="75"/>
      <c r="N508" s="72"/>
      <c r="O508" s="75"/>
      <c r="P508" s="75"/>
      <c r="Q508" s="72"/>
      <c r="R508" s="72"/>
      <c r="S508" s="75"/>
      <c r="T508" s="75"/>
      <c r="U508" s="73"/>
      <c r="V508" s="73"/>
      <c r="W508" s="75"/>
      <c r="X508" s="75"/>
      <c r="Y508" s="75"/>
      <c r="Z508" s="75"/>
    </row>
    <row r="509" spans="1:26" x14ac:dyDescent="0.25">
      <c r="A509">
        <v>53234</v>
      </c>
      <c r="B509">
        <v>0</v>
      </c>
      <c r="C509" s="75"/>
      <c r="D509" s="75"/>
      <c r="E509" s="75"/>
      <c r="F509" s="75"/>
      <c r="G509" s="75"/>
      <c r="H509" s="75"/>
      <c r="I509" s="75"/>
      <c r="J509" s="75"/>
      <c r="K509" s="75"/>
      <c r="L509" s="75"/>
      <c r="M509" s="75"/>
      <c r="N509" s="72"/>
      <c r="O509" s="75"/>
      <c r="P509" s="75"/>
      <c r="Q509" s="72"/>
      <c r="R509" s="72"/>
      <c r="S509" s="75"/>
      <c r="T509" s="75"/>
      <c r="U509" s="73"/>
      <c r="V509" s="73"/>
      <c r="W509" s="75"/>
      <c r="X509" s="75"/>
      <c r="Y509" s="75"/>
      <c r="Z509" s="75"/>
    </row>
    <row r="510" spans="1:26" x14ac:dyDescent="0.25">
      <c r="A510">
        <v>34215</v>
      </c>
      <c r="B510">
        <v>0</v>
      </c>
      <c r="C510" s="75"/>
      <c r="D510" s="75"/>
      <c r="E510" s="75"/>
      <c r="F510" s="75"/>
      <c r="G510" s="75"/>
      <c r="H510" s="75"/>
      <c r="I510" s="75"/>
      <c r="J510" s="75"/>
      <c r="K510" s="75"/>
      <c r="L510" s="75"/>
      <c r="M510" s="75"/>
      <c r="N510" s="72"/>
      <c r="O510" s="75"/>
      <c r="P510" s="75"/>
      <c r="Q510" s="72"/>
      <c r="R510" s="72"/>
      <c r="S510" s="75"/>
      <c r="T510" s="75"/>
      <c r="U510" s="73"/>
      <c r="V510" s="73"/>
      <c r="W510" s="75"/>
      <c r="X510" s="75"/>
      <c r="Y510" s="75"/>
      <c r="Z510" s="75"/>
    </row>
    <row r="511" spans="1:26" x14ac:dyDescent="0.25">
      <c r="A511">
        <v>34217</v>
      </c>
      <c r="B511">
        <v>0</v>
      </c>
      <c r="C511" s="75"/>
      <c r="D511" s="75"/>
      <c r="E511" s="75"/>
      <c r="F511" s="75"/>
      <c r="G511" s="75"/>
      <c r="H511" s="75"/>
      <c r="I511" s="75"/>
      <c r="J511" s="75"/>
      <c r="K511" s="75"/>
      <c r="L511" s="75"/>
      <c r="M511" s="75"/>
      <c r="N511" s="72"/>
      <c r="O511" s="75"/>
      <c r="P511" s="75"/>
      <c r="Q511" s="72"/>
      <c r="R511" s="72"/>
      <c r="S511" s="75"/>
      <c r="T511" s="75"/>
      <c r="U511" s="73"/>
      <c r="V511" s="73"/>
      <c r="W511" s="75"/>
      <c r="X511" s="75"/>
      <c r="Y511" s="75"/>
      <c r="Z511" s="75"/>
    </row>
    <row r="512" spans="1:26" x14ac:dyDescent="0.25">
      <c r="A512">
        <v>34311</v>
      </c>
      <c r="B512">
        <v>0</v>
      </c>
      <c r="C512" s="75"/>
      <c r="D512" s="75"/>
      <c r="E512" s="75"/>
      <c r="F512" s="75"/>
      <c r="G512" s="75"/>
      <c r="H512" s="75"/>
      <c r="I512" s="75"/>
      <c r="J512" s="75"/>
      <c r="K512" s="75"/>
      <c r="L512" s="75"/>
      <c r="M512" s="75"/>
      <c r="N512" s="72"/>
      <c r="O512" s="75"/>
      <c r="P512" s="75"/>
      <c r="Q512" s="72"/>
      <c r="R512" s="72"/>
      <c r="S512" s="75"/>
      <c r="T512" s="75"/>
      <c r="U512" s="73"/>
      <c r="V512" s="73"/>
      <c r="W512" s="75"/>
      <c r="X512" s="75"/>
      <c r="Y512" s="75"/>
      <c r="Z512" s="75"/>
    </row>
    <row r="513" spans="1:26" x14ac:dyDescent="0.25">
      <c r="A513">
        <v>34316</v>
      </c>
      <c r="B513">
        <v>0</v>
      </c>
      <c r="C513" s="75"/>
      <c r="D513" s="75"/>
      <c r="E513" s="75"/>
      <c r="F513" s="75"/>
      <c r="G513" s="75"/>
      <c r="H513" s="75"/>
      <c r="I513" s="75"/>
      <c r="J513" s="75"/>
      <c r="K513" s="75"/>
      <c r="L513" s="75"/>
      <c r="M513" s="75"/>
      <c r="N513" s="72"/>
      <c r="O513" s="75"/>
      <c r="P513" s="75"/>
      <c r="Q513" s="72"/>
      <c r="R513" s="72"/>
      <c r="S513" s="75"/>
      <c r="T513" s="75"/>
      <c r="U513" s="73"/>
      <c r="V513" s="73"/>
      <c r="W513" s="75"/>
      <c r="X513" s="75"/>
      <c r="Y513" s="75"/>
      <c r="Z513" s="75"/>
    </row>
    <row r="514" spans="1:26" x14ac:dyDescent="0.25">
      <c r="A514">
        <v>34386</v>
      </c>
      <c r="B514">
        <v>0</v>
      </c>
      <c r="C514" s="75"/>
      <c r="D514" s="75"/>
      <c r="E514" s="75"/>
      <c r="F514" s="75"/>
      <c r="G514" s="75"/>
      <c r="H514" s="75"/>
      <c r="I514" s="75"/>
      <c r="J514" s="75"/>
      <c r="K514" s="75"/>
      <c r="L514" s="75"/>
      <c r="M514" s="75"/>
      <c r="N514" s="72"/>
      <c r="O514" s="75"/>
      <c r="P514" s="75"/>
      <c r="Q514" s="72"/>
      <c r="R514" s="72"/>
      <c r="S514" s="75"/>
      <c r="T514" s="75"/>
      <c r="U514" s="73"/>
      <c r="V514" s="73"/>
      <c r="W514" s="75"/>
      <c r="X514" s="75"/>
      <c r="Y514" s="75"/>
      <c r="Z514" s="75"/>
    </row>
    <row r="515" spans="1:26" x14ac:dyDescent="0.25">
      <c r="A515">
        <v>34356</v>
      </c>
      <c r="B515">
        <v>0</v>
      </c>
      <c r="C515" s="75"/>
      <c r="D515" s="75"/>
      <c r="E515" s="75"/>
      <c r="F515" s="75"/>
      <c r="G515" s="75"/>
      <c r="H515" s="75"/>
      <c r="I515" s="75"/>
      <c r="J515" s="75"/>
      <c r="K515" s="75"/>
      <c r="L515" s="75"/>
      <c r="M515" s="75"/>
      <c r="N515" s="72"/>
      <c r="O515" s="75"/>
      <c r="P515" s="75"/>
      <c r="Q515" s="72"/>
      <c r="R515" s="72"/>
      <c r="S515" s="75"/>
      <c r="T515" s="75"/>
      <c r="U515" s="73"/>
      <c r="V515" s="73"/>
      <c r="W515" s="75"/>
      <c r="X515" s="75"/>
      <c r="Y515" s="75"/>
      <c r="Z515" s="75"/>
    </row>
    <row r="516" spans="1:26" x14ac:dyDescent="0.25">
      <c r="A516">
        <v>34227</v>
      </c>
      <c r="B516">
        <v>0</v>
      </c>
      <c r="C516" s="75"/>
      <c r="D516" s="75"/>
      <c r="E516" s="75"/>
      <c r="F516" s="75"/>
      <c r="G516" s="75"/>
      <c r="H516" s="75"/>
      <c r="I516" s="75"/>
      <c r="J516" s="75"/>
      <c r="K516" s="75"/>
      <c r="L516" s="75"/>
      <c r="M516" s="75"/>
      <c r="N516" s="72"/>
      <c r="O516" s="75"/>
      <c r="P516" s="75"/>
      <c r="Q516" s="72"/>
      <c r="R516" s="72"/>
      <c r="S516" s="75"/>
      <c r="T516" s="75"/>
      <c r="U516" s="73"/>
      <c r="V516" s="73"/>
      <c r="W516" s="75"/>
      <c r="X516" s="75"/>
      <c r="Y516" s="75"/>
      <c r="Z516" s="75"/>
    </row>
    <row r="517" spans="1:26" x14ac:dyDescent="0.25">
      <c r="A517">
        <v>34254</v>
      </c>
      <c r="B517">
        <v>0</v>
      </c>
      <c r="C517" s="75"/>
      <c r="D517" s="75"/>
      <c r="E517" s="75"/>
      <c r="F517" s="75"/>
      <c r="G517" s="75"/>
      <c r="H517" s="75"/>
      <c r="I517" s="75"/>
      <c r="J517" s="75"/>
      <c r="K517" s="75"/>
      <c r="L517" s="75"/>
      <c r="M517" s="75"/>
      <c r="N517" s="72"/>
      <c r="O517" s="75"/>
      <c r="P517" s="75"/>
      <c r="Q517" s="72"/>
      <c r="R517" s="72"/>
      <c r="S517" s="75"/>
      <c r="T517" s="75"/>
      <c r="U517" s="73"/>
      <c r="V517" s="73"/>
      <c r="W517" s="75"/>
      <c r="X517" s="75"/>
      <c r="Y517" s="75"/>
      <c r="Z517" s="75"/>
    </row>
    <row r="518" spans="1:26" x14ac:dyDescent="0.25">
      <c r="A518">
        <v>34212</v>
      </c>
      <c r="B518">
        <v>0</v>
      </c>
      <c r="C518" s="75"/>
      <c r="D518" s="75"/>
      <c r="E518" s="75"/>
      <c r="F518" s="75"/>
      <c r="G518" s="75"/>
      <c r="H518" s="75"/>
      <c r="I518" s="75"/>
      <c r="J518" s="75"/>
      <c r="K518" s="75"/>
      <c r="L518" s="75"/>
      <c r="M518" s="75"/>
      <c r="N518" s="72"/>
      <c r="O518" s="75"/>
      <c r="P518" s="75"/>
      <c r="Q518" s="72"/>
      <c r="R518" s="72"/>
      <c r="S518" s="75"/>
      <c r="T518" s="75"/>
      <c r="U518" s="73"/>
      <c r="V518" s="73"/>
      <c r="W518" s="75"/>
      <c r="X518" s="75"/>
      <c r="Y518" s="75"/>
      <c r="Z518" s="75"/>
    </row>
    <row r="519" spans="1:26" x14ac:dyDescent="0.25">
      <c r="A519">
        <v>34237</v>
      </c>
      <c r="B519">
        <v>0</v>
      </c>
      <c r="C519" s="75"/>
      <c r="D519" s="75"/>
      <c r="E519" s="75"/>
      <c r="F519" s="75"/>
      <c r="G519" s="75"/>
      <c r="H519" s="75"/>
      <c r="I519" s="75"/>
      <c r="J519" s="75"/>
      <c r="K519" s="75"/>
      <c r="L519" s="75"/>
      <c r="M519" s="75"/>
      <c r="N519" s="72"/>
      <c r="O519" s="75"/>
      <c r="P519" s="75"/>
      <c r="Q519" s="72"/>
      <c r="R519" s="72"/>
      <c r="S519" s="75"/>
      <c r="T519" s="75"/>
      <c r="U519" s="73"/>
      <c r="V519" s="73"/>
      <c r="W519" s="75"/>
      <c r="X519" s="75"/>
      <c r="Y519" s="75"/>
      <c r="Z519" s="75"/>
    </row>
    <row r="520" spans="1:26" x14ac:dyDescent="0.25">
      <c r="A520">
        <v>36110</v>
      </c>
      <c r="B520">
        <v>0</v>
      </c>
      <c r="C520" s="75"/>
      <c r="D520" s="75"/>
      <c r="E520" s="75"/>
      <c r="F520" s="75"/>
      <c r="G520" s="75"/>
      <c r="H520" s="75"/>
      <c r="I520" s="75"/>
      <c r="J520" s="75"/>
      <c r="K520" s="75"/>
      <c r="L520" s="75"/>
      <c r="M520" s="75"/>
      <c r="N520" s="72"/>
      <c r="O520" s="75"/>
      <c r="P520" s="75"/>
      <c r="Q520" s="72"/>
      <c r="R520" s="72"/>
      <c r="S520" s="75"/>
      <c r="T520" s="75"/>
      <c r="U520" s="73"/>
      <c r="V520" s="73"/>
      <c r="W520" s="75"/>
      <c r="X520" s="75"/>
      <c r="Y520" s="75"/>
      <c r="Z520" s="75"/>
    </row>
    <row r="521" spans="1:26" x14ac:dyDescent="0.25">
      <c r="A521">
        <v>26298</v>
      </c>
      <c r="B521">
        <v>0</v>
      </c>
      <c r="C521" s="75"/>
      <c r="D521" s="75"/>
      <c r="E521" s="75"/>
      <c r="F521" s="75"/>
      <c r="G521" s="75"/>
      <c r="H521" s="75"/>
      <c r="I521" s="75"/>
      <c r="J521" s="75"/>
      <c r="K521" s="75"/>
      <c r="L521" s="75"/>
      <c r="M521" s="75"/>
      <c r="N521" s="72"/>
      <c r="O521" s="75"/>
      <c r="P521" s="75"/>
      <c r="Q521" s="72"/>
      <c r="R521" s="72"/>
      <c r="S521" s="75"/>
      <c r="T521" s="75"/>
      <c r="U521" s="73"/>
      <c r="V521" s="73"/>
      <c r="W521" s="75"/>
      <c r="X521" s="75"/>
      <c r="Y521" s="75"/>
      <c r="Z521" s="75"/>
    </row>
    <row r="522" spans="1:26" x14ac:dyDescent="0.25">
      <c r="A522">
        <v>34224</v>
      </c>
      <c r="B522">
        <v>0</v>
      </c>
      <c r="C522" s="75"/>
      <c r="D522" s="75"/>
      <c r="E522" s="75"/>
      <c r="F522" s="75"/>
      <c r="G522" s="75"/>
      <c r="H522" s="75"/>
      <c r="I522" s="75"/>
      <c r="J522" s="75"/>
      <c r="K522" s="75"/>
      <c r="L522" s="75"/>
      <c r="M522" s="75"/>
      <c r="N522" s="72"/>
      <c r="O522" s="75"/>
      <c r="P522" s="75"/>
      <c r="Q522" s="72"/>
      <c r="R522" s="72"/>
      <c r="S522" s="75"/>
      <c r="T522" s="75"/>
      <c r="U522" s="73"/>
      <c r="V522" s="73"/>
      <c r="W522" s="75"/>
      <c r="X522" s="75"/>
      <c r="Y522" s="75"/>
      <c r="Z522" s="75"/>
    </row>
    <row r="523" spans="1:26" x14ac:dyDescent="0.25">
      <c r="A523">
        <v>34219</v>
      </c>
      <c r="B523">
        <v>0</v>
      </c>
      <c r="C523" s="75"/>
      <c r="D523" s="75"/>
      <c r="E523" s="75"/>
      <c r="F523" s="75"/>
      <c r="G523" s="75"/>
      <c r="H523" s="75"/>
      <c r="I523" s="75"/>
      <c r="J523" s="75"/>
      <c r="K523" s="75"/>
      <c r="L523" s="75"/>
      <c r="M523" s="75"/>
      <c r="N523" s="72"/>
      <c r="O523" s="75"/>
      <c r="P523" s="75"/>
      <c r="Q523" s="72"/>
      <c r="R523" s="72"/>
      <c r="S523" s="75"/>
      <c r="T523" s="75"/>
      <c r="U523" s="73"/>
      <c r="V523" s="73"/>
      <c r="W523" s="75"/>
      <c r="X523" s="75"/>
      <c r="Y523" s="75"/>
      <c r="Z523" s="75"/>
    </row>
    <row r="524" spans="1:26" x14ac:dyDescent="0.25">
      <c r="A524">
        <v>26189</v>
      </c>
      <c r="B524">
        <v>0</v>
      </c>
      <c r="C524" s="75"/>
      <c r="D524" s="75"/>
      <c r="E524" s="75"/>
      <c r="F524" s="75"/>
      <c r="G524" s="75"/>
      <c r="H524" s="75"/>
      <c r="I524" s="75"/>
      <c r="J524" s="75"/>
      <c r="K524" s="75"/>
      <c r="L524" s="75"/>
      <c r="M524" s="75"/>
      <c r="N524" s="72"/>
      <c r="O524" s="75"/>
      <c r="P524" s="75"/>
      <c r="Q524" s="72"/>
      <c r="R524" s="72"/>
      <c r="S524" s="75"/>
      <c r="T524" s="75"/>
      <c r="U524" s="73"/>
      <c r="V524" s="73"/>
      <c r="W524" s="75"/>
      <c r="X524" s="75"/>
      <c r="Y524" s="75"/>
      <c r="Z524" s="75"/>
    </row>
    <row r="525" spans="1:26" x14ac:dyDescent="0.25">
      <c r="A525">
        <v>26183</v>
      </c>
      <c r="B525">
        <v>0</v>
      </c>
      <c r="C525" s="75"/>
      <c r="D525" s="75"/>
      <c r="E525" s="75"/>
      <c r="F525" s="75"/>
      <c r="G525" s="75"/>
      <c r="H525" s="75"/>
      <c r="I525" s="75"/>
      <c r="J525" s="75"/>
      <c r="K525" s="75"/>
      <c r="L525" s="75"/>
      <c r="M525" s="75"/>
      <c r="N525" s="72"/>
      <c r="O525" s="75"/>
      <c r="P525" s="75"/>
      <c r="Q525" s="72"/>
      <c r="R525" s="72"/>
      <c r="S525" s="75"/>
      <c r="T525" s="75"/>
      <c r="U525" s="73"/>
      <c r="V525" s="73"/>
      <c r="W525" s="75"/>
      <c r="X525" s="75"/>
      <c r="Y525" s="75"/>
      <c r="Z525" s="75"/>
    </row>
    <row r="526" spans="1:26" x14ac:dyDescent="0.25">
      <c r="A526">
        <v>53344</v>
      </c>
      <c r="B526">
        <v>0</v>
      </c>
      <c r="C526" s="75"/>
      <c r="D526" s="75"/>
      <c r="E526" s="75"/>
      <c r="F526" s="75"/>
      <c r="G526" s="75"/>
      <c r="H526" s="75"/>
      <c r="I526" s="75"/>
      <c r="J526" s="75"/>
      <c r="K526" s="75"/>
      <c r="L526" s="75"/>
      <c r="M526" s="75"/>
      <c r="N526" s="72"/>
      <c r="O526" s="75"/>
      <c r="P526" s="75"/>
      <c r="Q526" s="72"/>
      <c r="R526" s="72"/>
      <c r="S526" s="75"/>
      <c r="T526" s="75"/>
      <c r="U526" s="73"/>
      <c r="V526" s="73"/>
      <c r="W526" s="75"/>
      <c r="X526" s="75"/>
      <c r="Y526" s="75"/>
      <c r="Z526" s="75"/>
    </row>
    <row r="527" spans="1:26" x14ac:dyDescent="0.25">
      <c r="A527">
        <v>34247</v>
      </c>
      <c r="B527">
        <v>0</v>
      </c>
      <c r="C527" s="75"/>
      <c r="D527" s="75"/>
      <c r="E527" s="75"/>
      <c r="F527" s="75"/>
      <c r="G527" s="75"/>
      <c r="H527" s="75"/>
      <c r="I527" s="75"/>
      <c r="J527" s="75"/>
      <c r="K527" s="75"/>
      <c r="L527" s="75"/>
      <c r="M527" s="75"/>
      <c r="N527" s="72"/>
      <c r="O527" s="75"/>
      <c r="P527" s="75"/>
      <c r="Q527" s="72"/>
      <c r="R527" s="72"/>
      <c r="S527" s="75"/>
      <c r="T527" s="75"/>
      <c r="U527" s="73"/>
      <c r="V527" s="73"/>
      <c r="W527" s="75"/>
      <c r="X527" s="75"/>
      <c r="Y527" s="75"/>
      <c r="Z527" s="75"/>
    </row>
    <row r="528" spans="1:26" x14ac:dyDescent="0.25">
      <c r="A528">
        <v>26293</v>
      </c>
      <c r="B528">
        <v>0</v>
      </c>
      <c r="C528" s="75"/>
      <c r="D528" s="75"/>
      <c r="E528" s="75"/>
      <c r="F528" s="75"/>
      <c r="G528" s="75"/>
      <c r="H528" s="75"/>
      <c r="I528" s="75"/>
      <c r="J528" s="75"/>
      <c r="K528" s="75"/>
      <c r="L528" s="75"/>
      <c r="M528" s="75"/>
      <c r="N528" s="72"/>
      <c r="O528" s="75"/>
      <c r="P528" s="75"/>
      <c r="Q528" s="72"/>
      <c r="R528" s="72"/>
      <c r="S528" s="75"/>
      <c r="T528" s="75"/>
      <c r="U528" s="73"/>
      <c r="V528" s="73"/>
      <c r="W528" s="75"/>
      <c r="X528" s="75"/>
      <c r="Y528" s="75"/>
      <c r="Z528" s="75"/>
    </row>
    <row r="529" spans="1:26" x14ac:dyDescent="0.25">
      <c r="A529">
        <v>26296</v>
      </c>
      <c r="B529">
        <v>0</v>
      </c>
      <c r="C529" s="75"/>
      <c r="D529" s="75"/>
      <c r="E529" s="75"/>
      <c r="F529" s="75"/>
      <c r="G529" s="75"/>
      <c r="H529" s="75"/>
      <c r="I529" s="75"/>
      <c r="J529" s="75"/>
      <c r="K529" s="75"/>
      <c r="L529" s="75"/>
      <c r="M529" s="75"/>
      <c r="N529" s="72"/>
      <c r="O529" s="75"/>
      <c r="P529" s="75"/>
      <c r="Q529" s="72"/>
      <c r="R529" s="72"/>
      <c r="S529" s="75"/>
      <c r="T529" s="75"/>
      <c r="U529" s="73"/>
      <c r="V529" s="73"/>
      <c r="W529" s="75"/>
      <c r="X529" s="75"/>
      <c r="Y529" s="75"/>
      <c r="Z529" s="75"/>
    </row>
    <row r="530" spans="1:26" x14ac:dyDescent="0.25">
      <c r="A530">
        <v>34381</v>
      </c>
      <c r="B530">
        <v>0</v>
      </c>
      <c r="C530" s="75"/>
      <c r="D530" s="75"/>
      <c r="E530" s="75"/>
      <c r="F530" s="75"/>
      <c r="G530" s="75"/>
      <c r="H530" s="75"/>
      <c r="I530" s="75"/>
      <c r="J530" s="75"/>
      <c r="K530" s="75"/>
      <c r="L530" s="75"/>
      <c r="M530" s="75"/>
      <c r="N530" s="72"/>
      <c r="O530" s="75"/>
      <c r="P530" s="75"/>
      <c r="Q530" s="72"/>
      <c r="R530" s="72"/>
      <c r="S530" s="75"/>
      <c r="T530" s="75"/>
      <c r="U530" s="73"/>
      <c r="V530" s="73"/>
      <c r="W530" s="75"/>
      <c r="X530" s="75"/>
      <c r="Y530" s="75"/>
      <c r="Z530" s="75"/>
    </row>
    <row r="531" spans="1:26" x14ac:dyDescent="0.25">
      <c r="A531">
        <v>34218</v>
      </c>
      <c r="B531">
        <v>0</v>
      </c>
      <c r="C531" s="75"/>
      <c r="D531" s="75"/>
      <c r="E531" s="75"/>
      <c r="F531" s="75"/>
      <c r="G531" s="75"/>
      <c r="H531" s="75"/>
      <c r="I531" s="75"/>
      <c r="J531" s="75"/>
      <c r="K531" s="75"/>
      <c r="L531" s="75"/>
      <c r="M531" s="75"/>
      <c r="N531" s="72"/>
      <c r="O531" s="75"/>
      <c r="P531" s="75"/>
      <c r="Q531" s="72"/>
      <c r="R531" s="72"/>
      <c r="S531" s="75"/>
      <c r="T531" s="75"/>
      <c r="U531" s="73"/>
      <c r="V531" s="73"/>
      <c r="W531" s="75"/>
      <c r="X531" s="75"/>
      <c r="Y531" s="75"/>
      <c r="Z531" s="75"/>
    </row>
    <row r="532" spans="1:26" x14ac:dyDescent="0.25">
      <c r="A532">
        <v>34236</v>
      </c>
      <c r="B532">
        <v>0</v>
      </c>
      <c r="C532" s="75"/>
      <c r="D532" s="75"/>
      <c r="E532" s="75"/>
      <c r="F532" s="75"/>
      <c r="G532" s="75"/>
      <c r="H532" s="75"/>
      <c r="I532" s="75"/>
      <c r="J532" s="75"/>
      <c r="K532" s="75"/>
      <c r="L532" s="75"/>
      <c r="M532" s="75"/>
      <c r="N532" s="72"/>
      <c r="O532" s="75"/>
      <c r="P532" s="75"/>
      <c r="Q532" s="72"/>
      <c r="R532" s="72"/>
      <c r="S532" s="75"/>
      <c r="T532" s="75"/>
      <c r="U532" s="73"/>
      <c r="V532" s="73"/>
      <c r="W532" s="75"/>
      <c r="X532" s="75"/>
      <c r="Y532" s="75"/>
      <c r="Z532" s="75"/>
    </row>
    <row r="533" spans="1:26" x14ac:dyDescent="0.25">
      <c r="A533">
        <v>34351</v>
      </c>
      <c r="B533">
        <v>0</v>
      </c>
      <c r="C533" s="75"/>
      <c r="D533" s="75"/>
      <c r="E533" s="75"/>
      <c r="F533" s="75"/>
      <c r="G533" s="75"/>
      <c r="H533" s="75"/>
      <c r="I533" s="75"/>
      <c r="J533" s="75"/>
      <c r="K533" s="75"/>
      <c r="L533" s="75"/>
      <c r="M533" s="75"/>
      <c r="N533" s="72"/>
      <c r="O533" s="75"/>
      <c r="P533" s="75"/>
      <c r="Q533" s="72"/>
      <c r="R533" s="72"/>
      <c r="S533" s="75"/>
      <c r="T533" s="75"/>
      <c r="U533" s="73"/>
      <c r="V533" s="73"/>
      <c r="W533" s="75"/>
      <c r="X533" s="75"/>
      <c r="Y533" s="75"/>
      <c r="Z533" s="75"/>
    </row>
    <row r="534" spans="1:26" x14ac:dyDescent="0.25">
      <c r="A534">
        <v>34366</v>
      </c>
      <c r="B534">
        <v>0</v>
      </c>
      <c r="C534" s="75"/>
      <c r="D534" s="75"/>
      <c r="E534" s="75"/>
      <c r="F534" s="75"/>
      <c r="G534" s="75"/>
      <c r="H534" s="75"/>
      <c r="I534" s="75"/>
      <c r="J534" s="75"/>
      <c r="K534" s="75"/>
      <c r="L534" s="75"/>
      <c r="M534" s="75"/>
      <c r="N534" s="72"/>
      <c r="O534" s="75"/>
      <c r="P534" s="75"/>
      <c r="Q534" s="72"/>
      <c r="R534" s="72"/>
      <c r="S534" s="75"/>
      <c r="T534" s="75"/>
      <c r="U534" s="73"/>
      <c r="V534" s="73"/>
      <c r="W534" s="75"/>
      <c r="X534" s="75"/>
      <c r="Y534" s="75"/>
      <c r="Z534" s="75"/>
    </row>
    <row r="535" spans="1:26" x14ac:dyDescent="0.25">
      <c r="A535">
        <v>26257</v>
      </c>
      <c r="B535">
        <v>0</v>
      </c>
      <c r="C535" s="75"/>
      <c r="D535" s="75"/>
      <c r="E535" s="75"/>
      <c r="F535" s="75"/>
      <c r="G535" s="75"/>
      <c r="H535" s="75"/>
      <c r="I535" s="75"/>
      <c r="J535" s="75"/>
      <c r="K535" s="75"/>
      <c r="L535" s="75"/>
      <c r="M535" s="75"/>
      <c r="N535" s="72"/>
      <c r="O535" s="75"/>
      <c r="P535" s="75"/>
      <c r="Q535" s="72"/>
      <c r="R535" s="72"/>
      <c r="S535" s="75"/>
      <c r="T535" s="75"/>
      <c r="U535" s="73"/>
      <c r="V535" s="73"/>
      <c r="W535" s="75"/>
      <c r="X535" s="75"/>
      <c r="Y535" s="75"/>
      <c r="Z535" s="75"/>
    </row>
    <row r="536" spans="1:26" x14ac:dyDescent="0.25">
      <c r="A536">
        <v>26289</v>
      </c>
      <c r="B536">
        <v>0</v>
      </c>
      <c r="C536" s="75"/>
      <c r="D536" s="75"/>
      <c r="E536" s="75"/>
      <c r="F536" s="75"/>
      <c r="G536" s="75"/>
      <c r="H536" s="75"/>
      <c r="I536" s="75"/>
      <c r="J536" s="75"/>
      <c r="K536" s="75"/>
      <c r="L536" s="75"/>
      <c r="M536" s="75"/>
      <c r="N536" s="72"/>
      <c r="O536" s="75"/>
      <c r="P536" s="75"/>
      <c r="Q536" s="72"/>
      <c r="R536" s="72"/>
      <c r="S536" s="75"/>
      <c r="T536" s="75"/>
      <c r="U536" s="73"/>
      <c r="V536" s="73"/>
      <c r="W536" s="75"/>
      <c r="X536" s="75"/>
      <c r="Y536" s="75"/>
      <c r="Z536" s="75"/>
    </row>
    <row r="537" spans="1:26" x14ac:dyDescent="0.25">
      <c r="A537">
        <v>26297</v>
      </c>
      <c r="B537">
        <v>0</v>
      </c>
      <c r="C537" s="75"/>
      <c r="D537" s="75"/>
      <c r="E537" s="75"/>
      <c r="F537" s="75"/>
      <c r="G537" s="75"/>
      <c r="H537" s="75"/>
      <c r="I537" s="75"/>
      <c r="J537" s="75"/>
      <c r="K537" s="75"/>
      <c r="L537" s="75"/>
      <c r="M537" s="75"/>
      <c r="N537" s="72"/>
      <c r="O537" s="75"/>
      <c r="P537" s="75"/>
      <c r="Q537" s="72"/>
      <c r="R537" s="72"/>
      <c r="S537" s="75"/>
      <c r="T537" s="75"/>
      <c r="U537" s="73"/>
      <c r="V537" s="73"/>
      <c r="W537" s="75"/>
      <c r="X537" s="75"/>
      <c r="Y537" s="75"/>
      <c r="Z537" s="75"/>
    </row>
    <row r="538" spans="1:26" x14ac:dyDescent="0.25">
      <c r="A538">
        <v>26276</v>
      </c>
      <c r="B538">
        <v>0</v>
      </c>
    </row>
    <row r="539" spans="1:26" x14ac:dyDescent="0.25">
      <c r="A539">
        <v>34211</v>
      </c>
      <c r="B539">
        <v>0</v>
      </c>
    </row>
    <row r="540" spans="1:26" x14ac:dyDescent="0.25">
      <c r="A540">
        <v>26384</v>
      </c>
      <c r="B540">
        <v>0</v>
      </c>
    </row>
    <row r="541" spans="1:26" x14ac:dyDescent="0.25">
      <c r="A541">
        <v>34226</v>
      </c>
      <c r="B541">
        <v>0</v>
      </c>
    </row>
    <row r="542" spans="1:26" x14ac:dyDescent="0.25">
      <c r="A542">
        <v>34214</v>
      </c>
      <c r="B542">
        <v>0</v>
      </c>
    </row>
    <row r="543" spans="1:26" x14ac:dyDescent="0.25">
      <c r="A543">
        <v>26177</v>
      </c>
      <c r="B543">
        <v>0</v>
      </c>
    </row>
    <row r="544" spans="1:26" x14ac:dyDescent="0.25">
      <c r="A544">
        <v>34346</v>
      </c>
      <c r="B544">
        <v>0</v>
      </c>
    </row>
    <row r="545" spans="1:2" x14ac:dyDescent="0.25">
      <c r="A545">
        <v>26294</v>
      </c>
      <c r="B545">
        <v>0</v>
      </c>
    </row>
    <row r="546" spans="1:2" x14ac:dyDescent="0.25">
      <c r="A546">
        <v>53281</v>
      </c>
      <c r="B546">
        <v>0</v>
      </c>
    </row>
    <row r="547" spans="1:2" x14ac:dyDescent="0.25">
      <c r="A547">
        <v>26251</v>
      </c>
      <c r="B547">
        <v>0</v>
      </c>
    </row>
    <row r="548" spans="1:2" x14ac:dyDescent="0.25">
      <c r="A548">
        <v>26249</v>
      </c>
      <c r="B548">
        <v>0</v>
      </c>
    </row>
    <row r="549" spans="1:2" x14ac:dyDescent="0.25">
      <c r="A549">
        <v>26277</v>
      </c>
      <c r="B549">
        <v>0</v>
      </c>
    </row>
    <row r="550" spans="1:2" x14ac:dyDescent="0.25">
      <c r="A550">
        <v>26295</v>
      </c>
      <c r="B550">
        <v>0</v>
      </c>
    </row>
    <row r="551" spans="1:2" x14ac:dyDescent="0.25">
      <c r="A551">
        <v>53251</v>
      </c>
      <c r="B551">
        <v>0</v>
      </c>
    </row>
    <row r="552" spans="1:2" x14ac:dyDescent="0.25">
      <c r="A552">
        <v>26381</v>
      </c>
      <c r="B552">
        <v>0</v>
      </c>
    </row>
    <row r="553" spans="1:2" x14ac:dyDescent="0.25">
      <c r="A553">
        <v>26159</v>
      </c>
      <c r="B553">
        <v>0</v>
      </c>
    </row>
    <row r="554" spans="1:2" x14ac:dyDescent="0.25">
      <c r="A554">
        <v>26233</v>
      </c>
      <c r="B554">
        <v>0</v>
      </c>
    </row>
    <row r="555" spans="1:2" x14ac:dyDescent="0.25">
      <c r="A555">
        <v>26247</v>
      </c>
      <c r="B555">
        <v>0</v>
      </c>
    </row>
    <row r="556" spans="1:2" x14ac:dyDescent="0.25">
      <c r="A556">
        <v>26286</v>
      </c>
      <c r="B556">
        <v>0</v>
      </c>
    </row>
    <row r="557" spans="1:2" x14ac:dyDescent="0.25">
      <c r="A557">
        <v>26153</v>
      </c>
      <c r="B557">
        <v>0</v>
      </c>
    </row>
    <row r="558" spans="1:2" x14ac:dyDescent="0.25">
      <c r="A558">
        <v>26279</v>
      </c>
      <c r="B558">
        <v>0</v>
      </c>
    </row>
    <row r="559" spans="1:2" x14ac:dyDescent="0.25">
      <c r="A559">
        <v>26256</v>
      </c>
      <c r="B559">
        <v>0</v>
      </c>
    </row>
    <row r="560" spans="1:2" x14ac:dyDescent="0.25">
      <c r="A560">
        <v>26165</v>
      </c>
      <c r="B560">
        <v>0</v>
      </c>
    </row>
    <row r="561" spans="1:2" x14ac:dyDescent="0.25">
      <c r="A561">
        <v>53277</v>
      </c>
      <c r="B561">
        <v>0</v>
      </c>
    </row>
    <row r="562" spans="1:2" x14ac:dyDescent="0.25">
      <c r="A562">
        <v>53274</v>
      </c>
      <c r="B562">
        <v>0</v>
      </c>
    </row>
    <row r="563" spans="1:2" x14ac:dyDescent="0.25">
      <c r="A563">
        <v>53388</v>
      </c>
      <c r="B563">
        <v>0</v>
      </c>
    </row>
    <row r="564" spans="1:2" x14ac:dyDescent="0.25">
      <c r="A564">
        <v>26141</v>
      </c>
      <c r="B564">
        <v>1</v>
      </c>
    </row>
    <row r="565" spans="1:2" x14ac:dyDescent="0.25">
      <c r="A565">
        <v>26261</v>
      </c>
      <c r="B565">
        <v>0</v>
      </c>
    </row>
    <row r="566" spans="1:2" x14ac:dyDescent="0.25">
      <c r="A566">
        <v>26271</v>
      </c>
      <c r="B566">
        <v>0</v>
      </c>
    </row>
    <row r="567" spans="1:2" x14ac:dyDescent="0.25">
      <c r="A567">
        <v>26377</v>
      </c>
      <c r="B567">
        <v>0</v>
      </c>
    </row>
    <row r="568" spans="1:2" x14ac:dyDescent="0.25">
      <c r="A568">
        <v>26291</v>
      </c>
      <c r="B568">
        <v>0</v>
      </c>
    </row>
    <row r="569" spans="1:2" x14ac:dyDescent="0.25">
      <c r="A569">
        <v>26263</v>
      </c>
      <c r="B569">
        <v>0</v>
      </c>
    </row>
    <row r="570" spans="1:2" x14ac:dyDescent="0.25">
      <c r="A570">
        <v>26281</v>
      </c>
      <c r="B570">
        <v>0</v>
      </c>
    </row>
    <row r="571" spans="1:2" x14ac:dyDescent="0.25">
      <c r="A571">
        <v>26371</v>
      </c>
      <c r="B571">
        <v>0</v>
      </c>
    </row>
    <row r="572" spans="1:2" x14ac:dyDescent="0.25">
      <c r="A572">
        <v>53333</v>
      </c>
      <c r="B572">
        <v>0</v>
      </c>
    </row>
    <row r="573" spans="1:2" x14ac:dyDescent="0.25">
      <c r="A573">
        <v>53355</v>
      </c>
      <c r="B573">
        <v>0</v>
      </c>
    </row>
    <row r="574" spans="1:2" x14ac:dyDescent="0.25">
      <c r="A574">
        <v>26218</v>
      </c>
      <c r="B574">
        <v>0</v>
      </c>
    </row>
    <row r="575" spans="1:2" x14ac:dyDescent="0.25">
      <c r="A575">
        <v>26237</v>
      </c>
      <c r="B575">
        <v>0</v>
      </c>
    </row>
    <row r="576" spans="1:2" x14ac:dyDescent="0.25">
      <c r="A576">
        <v>26267</v>
      </c>
      <c r="B576">
        <v>0</v>
      </c>
    </row>
    <row r="577" spans="1:2" x14ac:dyDescent="0.25">
      <c r="A577">
        <v>26273</v>
      </c>
      <c r="B577">
        <v>0</v>
      </c>
    </row>
    <row r="578" spans="1:2" x14ac:dyDescent="0.25">
      <c r="A578">
        <v>53311</v>
      </c>
      <c r="B578">
        <v>1</v>
      </c>
    </row>
    <row r="579" spans="1:2" x14ac:dyDescent="0.25">
      <c r="A579">
        <v>26234</v>
      </c>
      <c r="B579">
        <v>0</v>
      </c>
    </row>
    <row r="580" spans="1:2" x14ac:dyDescent="0.25">
      <c r="A580">
        <v>26287</v>
      </c>
      <c r="B580">
        <v>0</v>
      </c>
    </row>
    <row r="581" spans="1:2" x14ac:dyDescent="0.25">
      <c r="A581">
        <v>26374</v>
      </c>
      <c r="B581">
        <v>0</v>
      </c>
    </row>
    <row r="582" spans="1:2" x14ac:dyDescent="0.25">
      <c r="A582">
        <v>26259</v>
      </c>
      <c r="B582">
        <v>0</v>
      </c>
    </row>
    <row r="583" spans="1:2" x14ac:dyDescent="0.25">
      <c r="A583">
        <v>53284</v>
      </c>
      <c r="B583">
        <v>1</v>
      </c>
    </row>
    <row r="584" spans="1:2" x14ac:dyDescent="0.25">
      <c r="A584">
        <v>26135</v>
      </c>
      <c r="B584">
        <v>0</v>
      </c>
    </row>
    <row r="585" spans="1:2" x14ac:dyDescent="0.25">
      <c r="A585">
        <v>26390</v>
      </c>
      <c r="B585">
        <v>0</v>
      </c>
    </row>
    <row r="586" spans="1:2" x14ac:dyDescent="0.25">
      <c r="A586">
        <v>26269</v>
      </c>
      <c r="B586">
        <v>0</v>
      </c>
    </row>
    <row r="587" spans="1:2" x14ac:dyDescent="0.25">
      <c r="A587">
        <v>26226</v>
      </c>
      <c r="B587">
        <v>0</v>
      </c>
    </row>
    <row r="588" spans="1:2" x14ac:dyDescent="0.25">
      <c r="A588">
        <v>53322</v>
      </c>
      <c r="B588">
        <v>0</v>
      </c>
    </row>
    <row r="589" spans="1:2" x14ac:dyDescent="0.25">
      <c r="A589">
        <v>26211</v>
      </c>
      <c r="B589">
        <v>0</v>
      </c>
    </row>
    <row r="590" spans="1:2" x14ac:dyDescent="0.25">
      <c r="A590">
        <v>26361</v>
      </c>
      <c r="B590">
        <v>0</v>
      </c>
    </row>
    <row r="591" spans="1:2" x14ac:dyDescent="0.25">
      <c r="A591">
        <v>26243</v>
      </c>
      <c r="B591">
        <v>0</v>
      </c>
    </row>
    <row r="592" spans="1:2" x14ac:dyDescent="0.25">
      <c r="A592">
        <v>26284</v>
      </c>
      <c r="B592">
        <v>0</v>
      </c>
    </row>
    <row r="593" spans="1:2" x14ac:dyDescent="0.25">
      <c r="A593">
        <v>26321</v>
      </c>
      <c r="B593">
        <v>0</v>
      </c>
    </row>
    <row r="594" spans="1:2" x14ac:dyDescent="0.25">
      <c r="A594">
        <v>26111</v>
      </c>
      <c r="B594">
        <v>2</v>
      </c>
    </row>
    <row r="595" spans="1:2" x14ac:dyDescent="0.25">
      <c r="A595">
        <v>26388</v>
      </c>
      <c r="B595">
        <v>0</v>
      </c>
    </row>
    <row r="596" spans="1:2" x14ac:dyDescent="0.25">
      <c r="A596">
        <v>26241</v>
      </c>
      <c r="B596">
        <v>0</v>
      </c>
    </row>
    <row r="597" spans="1:2" x14ac:dyDescent="0.25">
      <c r="A597">
        <v>26264</v>
      </c>
      <c r="B597">
        <v>0</v>
      </c>
    </row>
    <row r="598" spans="1:2" x14ac:dyDescent="0.25">
      <c r="A598">
        <v>26283</v>
      </c>
      <c r="B598">
        <v>0</v>
      </c>
    </row>
    <row r="599" spans="1:2" x14ac:dyDescent="0.25">
      <c r="A599">
        <v>53375</v>
      </c>
      <c r="B599">
        <v>0</v>
      </c>
    </row>
    <row r="600" spans="1:2" x14ac:dyDescent="0.25">
      <c r="A600">
        <v>26253</v>
      </c>
      <c r="B600">
        <v>0</v>
      </c>
    </row>
    <row r="601" spans="1:2" x14ac:dyDescent="0.25">
      <c r="A601">
        <v>26001</v>
      </c>
      <c r="B601">
        <v>0</v>
      </c>
    </row>
    <row r="602" spans="1:2" x14ac:dyDescent="0.25">
      <c r="A602">
        <v>26129</v>
      </c>
      <c r="B602">
        <v>0</v>
      </c>
    </row>
    <row r="603" spans="1:2" x14ac:dyDescent="0.25">
      <c r="A603">
        <v>26224</v>
      </c>
      <c r="B603">
        <v>0</v>
      </c>
    </row>
    <row r="604" spans="1:2" x14ac:dyDescent="0.25">
      <c r="A604">
        <v>26213</v>
      </c>
      <c r="B604">
        <v>0</v>
      </c>
    </row>
    <row r="605" spans="1:2" x14ac:dyDescent="0.25">
      <c r="A605">
        <v>26274</v>
      </c>
      <c r="B605">
        <v>0</v>
      </c>
    </row>
    <row r="606" spans="1:2" x14ac:dyDescent="0.25">
      <c r="A606">
        <v>26214</v>
      </c>
      <c r="B606">
        <v>0</v>
      </c>
    </row>
    <row r="607" spans="1:2" x14ac:dyDescent="0.25">
      <c r="A607">
        <v>26341</v>
      </c>
      <c r="B607">
        <v>0</v>
      </c>
    </row>
    <row r="608" spans="1:2" x14ac:dyDescent="0.25">
      <c r="A608">
        <v>26311</v>
      </c>
      <c r="B608">
        <v>0</v>
      </c>
    </row>
    <row r="609" spans="1:2" x14ac:dyDescent="0.25">
      <c r="A609">
        <v>26215</v>
      </c>
      <c r="B609">
        <v>0</v>
      </c>
    </row>
    <row r="610" spans="1:2" x14ac:dyDescent="0.25">
      <c r="A610">
        <v>53366</v>
      </c>
      <c r="B610">
        <v>0</v>
      </c>
    </row>
    <row r="611" spans="1:2" x14ac:dyDescent="0.25">
      <c r="A611">
        <v>26212</v>
      </c>
      <c r="B611">
        <v>0</v>
      </c>
    </row>
    <row r="612" spans="1:2" x14ac:dyDescent="0.25">
      <c r="A612">
        <v>26254</v>
      </c>
      <c r="B612">
        <v>0</v>
      </c>
    </row>
    <row r="613" spans="1:2" x14ac:dyDescent="0.25">
      <c r="A613">
        <v>26123</v>
      </c>
      <c r="B613">
        <v>0</v>
      </c>
    </row>
    <row r="614" spans="1:2" x14ac:dyDescent="0.25">
      <c r="A614">
        <v>26236</v>
      </c>
      <c r="B614">
        <v>0</v>
      </c>
    </row>
    <row r="615" spans="1:2" x14ac:dyDescent="0.25">
      <c r="A615">
        <v>26117</v>
      </c>
      <c r="B615">
        <v>0</v>
      </c>
    </row>
    <row r="616" spans="1:2" x14ac:dyDescent="0.25">
      <c r="A616">
        <v>26244</v>
      </c>
      <c r="B616">
        <v>0</v>
      </c>
    </row>
    <row r="617" spans="1:2" x14ac:dyDescent="0.25">
      <c r="A617">
        <v>26344</v>
      </c>
      <c r="B617">
        <v>0</v>
      </c>
    </row>
    <row r="618" spans="1:2" x14ac:dyDescent="0.25">
      <c r="A618">
        <v>26357</v>
      </c>
      <c r="B618">
        <v>0</v>
      </c>
    </row>
    <row r="619" spans="1:2" x14ac:dyDescent="0.25">
      <c r="A619">
        <v>26354</v>
      </c>
      <c r="B619">
        <v>0</v>
      </c>
    </row>
    <row r="620" spans="1:2" x14ac:dyDescent="0.25">
      <c r="A620">
        <v>26217</v>
      </c>
      <c r="B620">
        <v>0</v>
      </c>
    </row>
    <row r="621" spans="1:2" x14ac:dyDescent="0.25">
      <c r="A621">
        <v>26347</v>
      </c>
      <c r="B621">
        <v>0</v>
      </c>
    </row>
    <row r="622" spans="1:2" x14ac:dyDescent="0.25">
      <c r="A622">
        <v>53467</v>
      </c>
      <c r="B622">
        <v>0</v>
      </c>
    </row>
    <row r="623" spans="1:2" x14ac:dyDescent="0.25">
      <c r="A623">
        <v>26229</v>
      </c>
      <c r="B623">
        <v>0</v>
      </c>
    </row>
    <row r="624" spans="1:2" x14ac:dyDescent="0.25">
      <c r="A624">
        <v>26147</v>
      </c>
      <c r="B624">
        <v>0</v>
      </c>
    </row>
    <row r="625" spans="1:2" x14ac:dyDescent="0.25">
      <c r="A625">
        <v>53155</v>
      </c>
      <c r="B625">
        <v>0</v>
      </c>
    </row>
    <row r="626" spans="1:2" x14ac:dyDescent="0.25">
      <c r="A626">
        <v>26314</v>
      </c>
      <c r="B626">
        <v>0</v>
      </c>
    </row>
    <row r="627" spans="1:2" x14ac:dyDescent="0.25">
      <c r="A627">
        <v>26246</v>
      </c>
      <c r="B627">
        <v>0</v>
      </c>
    </row>
    <row r="628" spans="1:2" x14ac:dyDescent="0.25">
      <c r="A628">
        <v>26299</v>
      </c>
      <c r="B628">
        <v>0</v>
      </c>
    </row>
    <row r="629" spans="1:2" x14ac:dyDescent="0.25">
      <c r="A629">
        <v>26220</v>
      </c>
      <c r="B629">
        <v>0</v>
      </c>
    </row>
    <row r="630" spans="1:2" x14ac:dyDescent="0.25">
      <c r="A630">
        <v>26002</v>
      </c>
      <c r="B630">
        <v>0</v>
      </c>
    </row>
    <row r="631" spans="1:2" x14ac:dyDescent="0.25">
      <c r="A631">
        <v>53143</v>
      </c>
      <c r="B631">
        <v>1</v>
      </c>
    </row>
    <row r="632" spans="1:2" x14ac:dyDescent="0.25">
      <c r="A632">
        <v>53459</v>
      </c>
      <c r="B632">
        <v>3</v>
      </c>
    </row>
    <row r="633" spans="1:2" x14ac:dyDescent="0.25">
      <c r="A633">
        <v>26219</v>
      </c>
      <c r="B633">
        <v>0</v>
      </c>
    </row>
    <row r="634" spans="1:2" x14ac:dyDescent="0.25">
      <c r="A634">
        <v>26221</v>
      </c>
      <c r="B634">
        <v>0</v>
      </c>
    </row>
    <row r="635" spans="1:2" x14ac:dyDescent="0.25">
      <c r="A635">
        <v>26324</v>
      </c>
      <c r="B635">
        <v>0</v>
      </c>
    </row>
    <row r="636" spans="1:2" x14ac:dyDescent="0.25">
      <c r="A636">
        <v>26223</v>
      </c>
      <c r="B636">
        <v>0</v>
      </c>
    </row>
    <row r="637" spans="1:2" x14ac:dyDescent="0.25">
      <c r="A637">
        <v>26266</v>
      </c>
      <c r="B637">
        <v>0</v>
      </c>
    </row>
    <row r="638" spans="1:2" x14ac:dyDescent="0.25">
      <c r="A638">
        <v>26227</v>
      </c>
      <c r="B638">
        <v>0</v>
      </c>
    </row>
    <row r="639" spans="1:2" x14ac:dyDescent="0.25">
      <c r="A639">
        <v>26392</v>
      </c>
      <c r="B639">
        <v>0</v>
      </c>
    </row>
    <row r="640" spans="1:2" x14ac:dyDescent="0.25">
      <c r="A640">
        <v>26239</v>
      </c>
      <c r="B640">
        <v>0</v>
      </c>
    </row>
    <row r="641" spans="1:2" x14ac:dyDescent="0.25">
      <c r="A641">
        <v>53457</v>
      </c>
      <c r="B641">
        <v>0</v>
      </c>
    </row>
    <row r="642" spans="1:2" x14ac:dyDescent="0.25">
      <c r="A642">
        <v>26334</v>
      </c>
      <c r="B642">
        <v>0</v>
      </c>
    </row>
    <row r="643" spans="1:2" x14ac:dyDescent="0.25">
      <c r="A643">
        <v>26231</v>
      </c>
      <c r="B643">
        <v>0</v>
      </c>
    </row>
    <row r="644" spans="1:2" x14ac:dyDescent="0.25">
      <c r="A644">
        <v>26317</v>
      </c>
      <c r="B644">
        <v>0</v>
      </c>
    </row>
    <row r="645" spans="1:2" x14ac:dyDescent="0.25">
      <c r="A645">
        <v>26351</v>
      </c>
      <c r="B645">
        <v>0</v>
      </c>
    </row>
    <row r="646" spans="1:2" x14ac:dyDescent="0.25">
      <c r="A646">
        <v>26327</v>
      </c>
      <c r="B646">
        <v>0</v>
      </c>
    </row>
    <row r="647" spans="1:2" x14ac:dyDescent="0.25">
      <c r="A647">
        <v>25369</v>
      </c>
      <c r="B647">
        <v>0</v>
      </c>
    </row>
    <row r="648" spans="1:2" x14ac:dyDescent="0.25">
      <c r="A648">
        <v>26331</v>
      </c>
      <c r="B648">
        <v>0</v>
      </c>
    </row>
    <row r="649" spans="1:2" x14ac:dyDescent="0.25">
      <c r="A649">
        <v>25373</v>
      </c>
      <c r="B649">
        <v>0</v>
      </c>
    </row>
    <row r="650" spans="1:2" x14ac:dyDescent="0.25">
      <c r="A650">
        <v>53123</v>
      </c>
      <c r="B650">
        <v>0</v>
      </c>
    </row>
    <row r="651" spans="1:2" x14ac:dyDescent="0.25">
      <c r="A651">
        <v>26337</v>
      </c>
      <c r="B651">
        <v>0</v>
      </c>
    </row>
    <row r="652" spans="1:2" x14ac:dyDescent="0.25">
      <c r="A652">
        <v>25479</v>
      </c>
      <c r="B652">
        <v>0</v>
      </c>
    </row>
    <row r="653" spans="1:2" x14ac:dyDescent="0.25">
      <c r="A653">
        <v>26003</v>
      </c>
      <c r="B653">
        <v>0</v>
      </c>
    </row>
    <row r="654" spans="1:2" x14ac:dyDescent="0.25">
      <c r="A654">
        <v>26005</v>
      </c>
      <c r="B654">
        <v>0</v>
      </c>
    </row>
    <row r="655" spans="1:2" x14ac:dyDescent="0.25">
      <c r="A655">
        <v>26004</v>
      </c>
      <c r="B655">
        <v>0</v>
      </c>
    </row>
    <row r="656" spans="1:2" x14ac:dyDescent="0.25">
      <c r="A656">
        <v>26006</v>
      </c>
      <c r="B656">
        <v>0</v>
      </c>
    </row>
    <row r="657" spans="1:2" x14ac:dyDescent="0.25">
      <c r="A657">
        <v>25181</v>
      </c>
      <c r="B657">
        <v>0</v>
      </c>
    </row>
    <row r="658" spans="1:2" x14ac:dyDescent="0.25">
      <c r="A658">
        <v>25357</v>
      </c>
      <c r="B658">
        <v>0</v>
      </c>
    </row>
    <row r="659" spans="1:2" x14ac:dyDescent="0.25">
      <c r="A659">
        <v>25367</v>
      </c>
      <c r="B659">
        <v>0</v>
      </c>
    </row>
    <row r="660" spans="1:2" x14ac:dyDescent="0.25">
      <c r="A660">
        <v>26367</v>
      </c>
      <c r="B660">
        <v>0</v>
      </c>
    </row>
    <row r="661" spans="1:2" x14ac:dyDescent="0.25">
      <c r="A661">
        <v>25353</v>
      </c>
      <c r="B661">
        <v>0</v>
      </c>
    </row>
    <row r="662" spans="1:2" x14ac:dyDescent="0.25">
      <c r="A662">
        <v>26171</v>
      </c>
      <c r="B662">
        <v>0</v>
      </c>
    </row>
    <row r="663" spans="1:2" x14ac:dyDescent="0.25">
      <c r="A663">
        <v>26007</v>
      </c>
      <c r="B663">
        <v>0</v>
      </c>
    </row>
    <row r="664" spans="1:2" x14ac:dyDescent="0.25">
      <c r="A664">
        <v>26364</v>
      </c>
      <c r="B664">
        <v>0</v>
      </c>
    </row>
    <row r="665" spans="1:2" x14ac:dyDescent="0.25">
      <c r="A665">
        <v>26008</v>
      </c>
      <c r="B665">
        <v>0</v>
      </c>
    </row>
    <row r="666" spans="1:2" x14ac:dyDescent="0.25">
      <c r="A666">
        <v>25365</v>
      </c>
      <c r="B666">
        <v>0</v>
      </c>
    </row>
    <row r="667" spans="1:2" x14ac:dyDescent="0.25">
      <c r="A667">
        <v>25361</v>
      </c>
      <c r="B667">
        <v>0</v>
      </c>
    </row>
    <row r="668" spans="1:2" x14ac:dyDescent="0.25">
      <c r="A668">
        <v>25371</v>
      </c>
      <c r="B668">
        <v>0</v>
      </c>
    </row>
    <row r="669" spans="1:2" x14ac:dyDescent="0.25">
      <c r="A669">
        <v>26009</v>
      </c>
      <c r="B669">
        <v>0</v>
      </c>
    </row>
    <row r="670" spans="1:2" x14ac:dyDescent="0.25">
      <c r="A670">
        <v>25001</v>
      </c>
      <c r="B670">
        <v>0</v>
      </c>
    </row>
    <row r="671" spans="1:2" x14ac:dyDescent="0.25">
      <c r="A671">
        <v>25488</v>
      </c>
      <c r="B671">
        <v>0</v>
      </c>
    </row>
    <row r="672" spans="1:2" x14ac:dyDescent="0.25">
      <c r="A672">
        <v>25375</v>
      </c>
      <c r="B672">
        <v>0</v>
      </c>
    </row>
    <row r="673" spans="1:2" x14ac:dyDescent="0.25">
      <c r="A673">
        <v>25176</v>
      </c>
      <c r="B673">
        <v>0</v>
      </c>
    </row>
    <row r="674" spans="1:2" x14ac:dyDescent="0.25">
      <c r="A674">
        <v>25363</v>
      </c>
      <c r="B674">
        <v>2</v>
      </c>
    </row>
    <row r="675" spans="1:2" x14ac:dyDescent="0.25">
      <c r="A675">
        <v>25341</v>
      </c>
      <c r="B675">
        <v>0</v>
      </c>
    </row>
    <row r="676" spans="1:2" x14ac:dyDescent="0.25">
      <c r="A676">
        <v>25331</v>
      </c>
      <c r="B676">
        <v>0</v>
      </c>
    </row>
    <row r="677" spans="1:2" x14ac:dyDescent="0.25">
      <c r="A677">
        <v>25171</v>
      </c>
      <c r="B677">
        <v>0</v>
      </c>
    </row>
    <row r="678" spans="1:2" x14ac:dyDescent="0.25">
      <c r="A678">
        <v>25331</v>
      </c>
      <c r="B678">
        <v>0</v>
      </c>
    </row>
    <row r="679" spans="1:2" x14ac:dyDescent="0.25">
      <c r="A679">
        <v>25345</v>
      </c>
      <c r="B679">
        <v>0</v>
      </c>
    </row>
    <row r="680" spans="1:2" x14ac:dyDescent="0.25">
      <c r="A680">
        <v>25459</v>
      </c>
      <c r="B680">
        <v>0</v>
      </c>
    </row>
    <row r="681" spans="1:2" x14ac:dyDescent="0.25">
      <c r="A681">
        <v>25485</v>
      </c>
      <c r="B681">
        <v>0</v>
      </c>
    </row>
    <row r="682" spans="1:2" x14ac:dyDescent="0.25">
      <c r="A682">
        <v>25166</v>
      </c>
      <c r="B682">
        <v>1</v>
      </c>
    </row>
    <row r="683" spans="1:2" x14ac:dyDescent="0.25">
      <c r="A683">
        <v>25463</v>
      </c>
      <c r="B683">
        <v>0</v>
      </c>
    </row>
    <row r="684" spans="1:2" x14ac:dyDescent="0.25">
      <c r="A684">
        <v>25355</v>
      </c>
      <c r="B684">
        <v>0</v>
      </c>
    </row>
    <row r="685" spans="1:2" x14ac:dyDescent="0.25">
      <c r="A685">
        <v>53159</v>
      </c>
      <c r="B685">
        <v>0</v>
      </c>
    </row>
    <row r="686" spans="1:2" x14ac:dyDescent="0.25">
      <c r="A686">
        <v>25455</v>
      </c>
      <c r="B686">
        <v>1</v>
      </c>
    </row>
    <row r="687" spans="1:2" x14ac:dyDescent="0.25">
      <c r="A687">
        <v>25329</v>
      </c>
      <c r="B687">
        <v>0</v>
      </c>
    </row>
    <row r="688" spans="1:2" x14ac:dyDescent="0.25">
      <c r="A688">
        <v>25343</v>
      </c>
      <c r="B688">
        <v>0</v>
      </c>
    </row>
    <row r="689" spans="1:2" x14ac:dyDescent="0.25">
      <c r="A689">
        <v>25471</v>
      </c>
      <c r="B689">
        <v>0</v>
      </c>
    </row>
    <row r="690" spans="1:2" x14ac:dyDescent="0.25">
      <c r="A690">
        <v>0</v>
      </c>
      <c r="B690">
        <v>0</v>
      </c>
    </row>
    <row r="691" spans="1:2" x14ac:dyDescent="0.25">
      <c r="A691">
        <v>25161</v>
      </c>
      <c r="B691">
        <v>0</v>
      </c>
    </row>
    <row r="692" spans="1:2" x14ac:dyDescent="0.25">
      <c r="A692">
        <v>53183</v>
      </c>
      <c r="B692">
        <v>0</v>
      </c>
    </row>
    <row r="693" spans="1:2" x14ac:dyDescent="0.25">
      <c r="A693">
        <v>25467</v>
      </c>
      <c r="B693">
        <v>0</v>
      </c>
    </row>
    <row r="694" spans="1:2" x14ac:dyDescent="0.25">
      <c r="A694">
        <v>25313</v>
      </c>
      <c r="B694">
        <v>0</v>
      </c>
    </row>
    <row r="695" spans="1:2" x14ac:dyDescent="0.25">
      <c r="A695">
        <v>25359</v>
      </c>
      <c r="B695">
        <v>0</v>
      </c>
    </row>
    <row r="696" spans="1:2" x14ac:dyDescent="0.25">
      <c r="A696">
        <v>53111</v>
      </c>
      <c r="B696">
        <v>7</v>
      </c>
    </row>
    <row r="697" spans="1:2" x14ac:dyDescent="0.25">
      <c r="A697">
        <v>25475</v>
      </c>
      <c r="B697">
        <v>0</v>
      </c>
    </row>
    <row r="698" spans="1:2" x14ac:dyDescent="0.25">
      <c r="A698">
        <v>25351</v>
      </c>
      <c r="B698">
        <v>0</v>
      </c>
    </row>
    <row r="699" spans="1:2" x14ac:dyDescent="0.25">
      <c r="A699">
        <v>0</v>
      </c>
      <c r="B699">
        <v>0</v>
      </c>
    </row>
    <row r="700" spans="1:2" x14ac:dyDescent="0.25">
      <c r="A700">
        <v>53435</v>
      </c>
      <c r="B700">
        <v>0</v>
      </c>
    </row>
    <row r="701" spans="1:2" x14ac:dyDescent="0.25">
      <c r="A701">
        <v>25002</v>
      </c>
      <c r="B701">
        <v>0</v>
      </c>
    </row>
    <row r="702" spans="1:2" x14ac:dyDescent="0.25">
      <c r="A702">
        <v>53171</v>
      </c>
      <c r="B702">
        <v>0</v>
      </c>
    </row>
    <row r="703" spans="1:2" x14ac:dyDescent="0.25">
      <c r="A703">
        <v>25431</v>
      </c>
      <c r="B703">
        <v>0</v>
      </c>
    </row>
    <row r="704" spans="1:2" x14ac:dyDescent="0.25">
      <c r="A704">
        <v>53131</v>
      </c>
      <c r="B704">
        <v>0</v>
      </c>
    </row>
    <row r="705" spans="1:2" x14ac:dyDescent="0.25">
      <c r="A705">
        <v>25427</v>
      </c>
      <c r="B705">
        <v>0</v>
      </c>
    </row>
    <row r="706" spans="1:2" x14ac:dyDescent="0.25">
      <c r="A706">
        <v>25315</v>
      </c>
      <c r="B706">
        <v>0</v>
      </c>
    </row>
    <row r="707" spans="1:2" x14ac:dyDescent="0.25">
      <c r="A707">
        <v>25439</v>
      </c>
      <c r="B707">
        <v>1</v>
      </c>
    </row>
    <row r="708" spans="1:2" x14ac:dyDescent="0.25">
      <c r="A708">
        <v>53119</v>
      </c>
      <c r="B708">
        <v>0</v>
      </c>
    </row>
    <row r="709" spans="1:2" x14ac:dyDescent="0.25">
      <c r="A709">
        <v>25482</v>
      </c>
      <c r="B709">
        <v>0</v>
      </c>
    </row>
    <row r="710" spans="1:2" x14ac:dyDescent="0.25">
      <c r="A710">
        <v>53423</v>
      </c>
      <c r="B710">
        <v>0</v>
      </c>
    </row>
    <row r="711" spans="1:2" x14ac:dyDescent="0.25">
      <c r="A711">
        <v>25136</v>
      </c>
      <c r="B711">
        <v>0</v>
      </c>
    </row>
    <row r="712" spans="1:2" x14ac:dyDescent="0.25">
      <c r="A712">
        <v>25321</v>
      </c>
      <c r="B712">
        <v>0</v>
      </c>
    </row>
    <row r="713" spans="1:2" x14ac:dyDescent="0.25">
      <c r="A713">
        <v>53147</v>
      </c>
      <c r="B713">
        <v>0</v>
      </c>
    </row>
    <row r="714" spans="1:2" x14ac:dyDescent="0.25">
      <c r="A714">
        <v>25423</v>
      </c>
      <c r="B714">
        <v>1</v>
      </c>
    </row>
    <row r="715" spans="1:2" x14ac:dyDescent="0.25">
      <c r="A715">
        <v>25131</v>
      </c>
      <c r="B715">
        <v>0</v>
      </c>
    </row>
    <row r="716" spans="1:2" x14ac:dyDescent="0.25">
      <c r="A716">
        <v>25319</v>
      </c>
      <c r="B716">
        <v>0</v>
      </c>
    </row>
    <row r="717" spans="1:2" x14ac:dyDescent="0.25">
      <c r="A717">
        <v>25325</v>
      </c>
      <c r="B717">
        <v>0</v>
      </c>
    </row>
    <row r="718" spans="1:2" x14ac:dyDescent="0.25">
      <c r="A718">
        <v>25335</v>
      </c>
      <c r="B718">
        <v>0</v>
      </c>
    </row>
    <row r="719" spans="1:2" x14ac:dyDescent="0.25">
      <c r="A719">
        <v>53115</v>
      </c>
      <c r="B719">
        <v>0</v>
      </c>
    </row>
    <row r="720" spans="1:2" x14ac:dyDescent="0.25">
      <c r="A720">
        <v>25337</v>
      </c>
      <c r="B720">
        <v>0</v>
      </c>
    </row>
    <row r="721" spans="1:2" x14ac:dyDescent="0.25">
      <c r="A721">
        <v>25111</v>
      </c>
      <c r="B721">
        <v>1</v>
      </c>
    </row>
    <row r="722" spans="1:2" x14ac:dyDescent="0.25">
      <c r="A722">
        <v>25339</v>
      </c>
      <c r="B722">
        <v>0</v>
      </c>
    </row>
    <row r="723" spans="1:2" x14ac:dyDescent="0.25">
      <c r="A723">
        <v>25121</v>
      </c>
      <c r="B723">
        <v>0</v>
      </c>
    </row>
    <row r="724" spans="1:2" x14ac:dyDescent="0.25">
      <c r="A724">
        <v>25347</v>
      </c>
      <c r="B724">
        <v>0</v>
      </c>
    </row>
    <row r="725" spans="1:2" x14ac:dyDescent="0.25">
      <c r="A725">
        <v>25415</v>
      </c>
      <c r="B725">
        <v>0</v>
      </c>
    </row>
    <row r="726" spans="1:2" x14ac:dyDescent="0.25">
      <c r="A726">
        <v>25411</v>
      </c>
      <c r="B726">
        <v>0</v>
      </c>
    </row>
    <row r="727" spans="1:2" x14ac:dyDescent="0.25">
      <c r="A727">
        <v>25003</v>
      </c>
      <c r="B727">
        <v>0</v>
      </c>
    </row>
    <row r="728" spans="1:2" x14ac:dyDescent="0.25">
      <c r="A728">
        <v>25451</v>
      </c>
      <c r="B728">
        <v>0</v>
      </c>
    </row>
    <row r="729" spans="1:2" x14ac:dyDescent="0.25">
      <c r="A729">
        <v>25116</v>
      </c>
      <c r="B729">
        <v>0</v>
      </c>
    </row>
    <row r="730" spans="1:2" x14ac:dyDescent="0.25">
      <c r="A730">
        <v>53429</v>
      </c>
      <c r="B730">
        <v>0</v>
      </c>
    </row>
    <row r="731" spans="1:2" x14ac:dyDescent="0.25">
      <c r="A731">
        <v>25211</v>
      </c>
      <c r="B731">
        <v>0</v>
      </c>
    </row>
    <row r="732" spans="1:2" x14ac:dyDescent="0.25">
      <c r="A732">
        <v>22799</v>
      </c>
      <c r="B732">
        <v>0</v>
      </c>
    </row>
    <row r="733" spans="1:2" x14ac:dyDescent="0.25">
      <c r="A733">
        <v>53441</v>
      </c>
      <c r="B733">
        <v>0</v>
      </c>
    </row>
    <row r="734" spans="1:2" x14ac:dyDescent="0.25">
      <c r="A734">
        <v>0</v>
      </c>
      <c r="B734">
        <v>0</v>
      </c>
    </row>
    <row r="735" spans="1:2" x14ac:dyDescent="0.25">
      <c r="A735">
        <v>53139</v>
      </c>
      <c r="B735">
        <v>0</v>
      </c>
    </row>
    <row r="736" spans="1:2" x14ac:dyDescent="0.25">
      <c r="A736">
        <v>22797</v>
      </c>
      <c r="B736">
        <v>0</v>
      </c>
    </row>
    <row r="737" spans="1:2" x14ac:dyDescent="0.25">
      <c r="A737">
        <v>25443</v>
      </c>
      <c r="B737">
        <v>0</v>
      </c>
    </row>
    <row r="738" spans="1:2" x14ac:dyDescent="0.25">
      <c r="A738">
        <v>25251</v>
      </c>
      <c r="B738">
        <v>0</v>
      </c>
    </row>
    <row r="739" spans="1:2" x14ac:dyDescent="0.25">
      <c r="A739">
        <v>25231</v>
      </c>
      <c r="B739">
        <v>0</v>
      </c>
    </row>
    <row r="740" spans="1:2" x14ac:dyDescent="0.25">
      <c r="A740">
        <v>25126</v>
      </c>
      <c r="B740">
        <v>3</v>
      </c>
    </row>
    <row r="741" spans="1:2" x14ac:dyDescent="0.25">
      <c r="A741">
        <v>25419</v>
      </c>
      <c r="B741">
        <v>0</v>
      </c>
    </row>
    <row r="742" spans="1:2" x14ac:dyDescent="0.25">
      <c r="A742">
        <v>53163</v>
      </c>
      <c r="B742">
        <v>0</v>
      </c>
    </row>
    <row r="743" spans="1:2" x14ac:dyDescent="0.25">
      <c r="A743">
        <v>53411</v>
      </c>
      <c r="B743">
        <v>2</v>
      </c>
    </row>
    <row r="744" spans="1:2" x14ac:dyDescent="0.25">
      <c r="A744">
        <v>25271</v>
      </c>
      <c r="B744">
        <v>0</v>
      </c>
    </row>
    <row r="745" spans="1:2" x14ac:dyDescent="0.25">
      <c r="A745">
        <v>25447</v>
      </c>
      <c r="B745">
        <v>0</v>
      </c>
    </row>
    <row r="746" spans="1:2" x14ac:dyDescent="0.25">
      <c r="A746">
        <v>25221</v>
      </c>
      <c r="B746">
        <v>0</v>
      </c>
    </row>
    <row r="747" spans="1:2" x14ac:dyDescent="0.25">
      <c r="A747">
        <v>25281</v>
      </c>
      <c r="B747">
        <v>0</v>
      </c>
    </row>
    <row r="748" spans="1:2" x14ac:dyDescent="0.25">
      <c r="A748">
        <v>22711</v>
      </c>
      <c r="B748">
        <v>0</v>
      </c>
    </row>
    <row r="749" spans="1:2" x14ac:dyDescent="0.25">
      <c r="A749">
        <v>22791</v>
      </c>
      <c r="B749">
        <v>0</v>
      </c>
    </row>
    <row r="750" spans="1:2" x14ac:dyDescent="0.25">
      <c r="A750">
        <v>22794</v>
      </c>
      <c r="B750">
        <v>0</v>
      </c>
    </row>
    <row r="751" spans="1:2" x14ac:dyDescent="0.25">
      <c r="A751">
        <v>22799</v>
      </c>
      <c r="B751">
        <v>0</v>
      </c>
    </row>
    <row r="752" spans="1:2" x14ac:dyDescent="0.25">
      <c r="A752">
        <v>53453</v>
      </c>
      <c r="B752">
        <v>2</v>
      </c>
    </row>
    <row r="753" spans="1:2" x14ac:dyDescent="0.25">
      <c r="A753">
        <v>53439</v>
      </c>
      <c r="B753">
        <v>0</v>
      </c>
    </row>
    <row r="754" spans="1:2" x14ac:dyDescent="0.25">
      <c r="A754">
        <v>25447</v>
      </c>
      <c r="B754">
        <v>0</v>
      </c>
    </row>
    <row r="755" spans="1:2" x14ac:dyDescent="0.25">
      <c r="A755">
        <v>22467</v>
      </c>
      <c r="B755">
        <v>0</v>
      </c>
    </row>
    <row r="756" spans="1:2" x14ac:dyDescent="0.25">
      <c r="A756">
        <v>25241</v>
      </c>
      <c r="B756">
        <v>0</v>
      </c>
    </row>
    <row r="757" spans="1:2" x14ac:dyDescent="0.25">
      <c r="A757">
        <v>25261</v>
      </c>
      <c r="B757">
        <v>0</v>
      </c>
    </row>
    <row r="758" spans="1:2" x14ac:dyDescent="0.25">
      <c r="A758">
        <v>22579</v>
      </c>
      <c r="B758">
        <v>0</v>
      </c>
    </row>
    <row r="759" spans="1:2" x14ac:dyDescent="0.25">
      <c r="A759">
        <v>22375</v>
      </c>
      <c r="B759">
        <v>1</v>
      </c>
    </row>
    <row r="760" spans="1:2" x14ac:dyDescent="0.25">
      <c r="A760">
        <v>22781</v>
      </c>
      <c r="B760">
        <v>0</v>
      </c>
    </row>
    <row r="761" spans="1:2" x14ac:dyDescent="0.25">
      <c r="A761">
        <v>53427</v>
      </c>
      <c r="B761">
        <v>1</v>
      </c>
    </row>
    <row r="762" spans="1:2" x14ac:dyDescent="0.25">
      <c r="A762">
        <v>22567</v>
      </c>
      <c r="B762">
        <v>0</v>
      </c>
    </row>
    <row r="763" spans="1:2" x14ac:dyDescent="0.25">
      <c r="A763">
        <v>22547</v>
      </c>
      <c r="B763">
        <v>0</v>
      </c>
    </row>
    <row r="764" spans="1:2" x14ac:dyDescent="0.25">
      <c r="A764">
        <v>22487</v>
      </c>
      <c r="B764">
        <v>0</v>
      </c>
    </row>
    <row r="765" spans="1:2" x14ac:dyDescent="0.25">
      <c r="A765">
        <v>22787</v>
      </c>
      <c r="B765">
        <v>0</v>
      </c>
    </row>
    <row r="766" spans="1:2" x14ac:dyDescent="0.25">
      <c r="A766">
        <v>22479</v>
      </c>
      <c r="B766">
        <v>0</v>
      </c>
    </row>
    <row r="767" spans="1:2" x14ac:dyDescent="0.25">
      <c r="A767">
        <v>22539</v>
      </c>
      <c r="B767">
        <v>0</v>
      </c>
    </row>
    <row r="768" spans="1:2" x14ac:dyDescent="0.25">
      <c r="A768">
        <v>53433</v>
      </c>
      <c r="B768">
        <v>0</v>
      </c>
    </row>
    <row r="769" spans="1:2" x14ac:dyDescent="0.25">
      <c r="A769">
        <v>22595</v>
      </c>
      <c r="B769">
        <v>0</v>
      </c>
    </row>
    <row r="770" spans="1:2" x14ac:dyDescent="0.25">
      <c r="A770">
        <v>22777</v>
      </c>
      <c r="B770">
        <v>0</v>
      </c>
    </row>
    <row r="771" spans="1:2" x14ac:dyDescent="0.25">
      <c r="A771">
        <v>22527</v>
      </c>
      <c r="B771">
        <v>0</v>
      </c>
    </row>
    <row r="772" spans="1:2" x14ac:dyDescent="0.25">
      <c r="A772">
        <v>22483</v>
      </c>
      <c r="B772">
        <v>0</v>
      </c>
    </row>
    <row r="773" spans="1:2" x14ac:dyDescent="0.25">
      <c r="A773">
        <v>22575</v>
      </c>
      <c r="B773">
        <v>0</v>
      </c>
    </row>
    <row r="774" spans="1:2" x14ac:dyDescent="0.25">
      <c r="A774">
        <v>22383</v>
      </c>
      <c r="B774">
        <v>0</v>
      </c>
    </row>
    <row r="775" spans="1:2" x14ac:dyDescent="0.25">
      <c r="A775">
        <v>22531</v>
      </c>
      <c r="B775">
        <v>0</v>
      </c>
    </row>
    <row r="776" spans="1:2" x14ac:dyDescent="0.25">
      <c r="A776">
        <v>22571</v>
      </c>
      <c r="B776">
        <v>0</v>
      </c>
    </row>
    <row r="777" spans="1:2" x14ac:dyDescent="0.25">
      <c r="A777">
        <v>22591</v>
      </c>
      <c r="B777">
        <v>0</v>
      </c>
    </row>
    <row r="778" spans="1:2" x14ac:dyDescent="0.25">
      <c r="A778">
        <v>22475</v>
      </c>
      <c r="B778">
        <v>0</v>
      </c>
    </row>
    <row r="779" spans="1:2" x14ac:dyDescent="0.25">
      <c r="A779">
        <v>22367</v>
      </c>
      <c r="B779">
        <v>0</v>
      </c>
    </row>
    <row r="780" spans="1:2" x14ac:dyDescent="0.25">
      <c r="A780">
        <v>22587</v>
      </c>
      <c r="B780">
        <v>0</v>
      </c>
    </row>
    <row r="781" spans="1:2" x14ac:dyDescent="0.25">
      <c r="A781">
        <v>22543</v>
      </c>
      <c r="B781">
        <v>0</v>
      </c>
    </row>
    <row r="782" spans="1:2" x14ac:dyDescent="0.25">
      <c r="A782">
        <v>22391</v>
      </c>
      <c r="B782">
        <v>0</v>
      </c>
    </row>
    <row r="783" spans="1:2" x14ac:dyDescent="0.25">
      <c r="A783">
        <v>22463</v>
      </c>
      <c r="B783">
        <v>0</v>
      </c>
    </row>
    <row r="784" spans="1:2" x14ac:dyDescent="0.25">
      <c r="A784">
        <v>53417</v>
      </c>
      <c r="B784">
        <v>0</v>
      </c>
    </row>
    <row r="785" spans="1:2" x14ac:dyDescent="0.25">
      <c r="A785">
        <v>22563</v>
      </c>
      <c r="B785">
        <v>0</v>
      </c>
    </row>
    <row r="786" spans="1:2" x14ac:dyDescent="0.25">
      <c r="A786">
        <v>53431</v>
      </c>
      <c r="B786">
        <v>0</v>
      </c>
    </row>
    <row r="787" spans="1:2" x14ac:dyDescent="0.25">
      <c r="A787">
        <v>22757</v>
      </c>
      <c r="B787">
        <v>0</v>
      </c>
    </row>
    <row r="788" spans="1:2" x14ac:dyDescent="0.25">
      <c r="A788">
        <v>22764</v>
      </c>
      <c r="B788">
        <v>0</v>
      </c>
    </row>
    <row r="789" spans="1:2" x14ac:dyDescent="0.25">
      <c r="A789">
        <v>22519</v>
      </c>
      <c r="B789">
        <v>0</v>
      </c>
    </row>
    <row r="790" spans="1:2" x14ac:dyDescent="0.25">
      <c r="A790">
        <v>53415</v>
      </c>
      <c r="B790">
        <v>0</v>
      </c>
    </row>
    <row r="791" spans="1:2" x14ac:dyDescent="0.25">
      <c r="A791">
        <v>53471</v>
      </c>
      <c r="B791">
        <v>0</v>
      </c>
    </row>
    <row r="792" spans="1:2" x14ac:dyDescent="0.25">
      <c r="A792">
        <v>22559</v>
      </c>
      <c r="B792">
        <v>0</v>
      </c>
    </row>
    <row r="793" spans="1:2" x14ac:dyDescent="0.25">
      <c r="A793">
        <v>22459</v>
      </c>
      <c r="B793">
        <v>0</v>
      </c>
    </row>
    <row r="794" spans="1:2" x14ac:dyDescent="0.25">
      <c r="A794">
        <v>22511</v>
      </c>
      <c r="B794">
        <v>0</v>
      </c>
    </row>
    <row r="795" spans="1:2" x14ac:dyDescent="0.25">
      <c r="A795">
        <v>22335</v>
      </c>
      <c r="B795">
        <v>0</v>
      </c>
    </row>
    <row r="796" spans="1:2" x14ac:dyDescent="0.25">
      <c r="A796">
        <v>53469</v>
      </c>
      <c r="B796">
        <v>0</v>
      </c>
    </row>
    <row r="797" spans="1:2" x14ac:dyDescent="0.25">
      <c r="A797">
        <v>22747</v>
      </c>
      <c r="B797">
        <v>0</v>
      </c>
    </row>
    <row r="798" spans="1:2" x14ac:dyDescent="0.25">
      <c r="A798">
        <v>22583</v>
      </c>
      <c r="B798">
        <v>0</v>
      </c>
    </row>
    <row r="799" spans="1:2" x14ac:dyDescent="0.25">
      <c r="A799">
        <v>51173</v>
      </c>
      <c r="B799">
        <v>0</v>
      </c>
    </row>
    <row r="800" spans="1:2" x14ac:dyDescent="0.25">
      <c r="A800">
        <v>22754</v>
      </c>
      <c r="B800">
        <v>0</v>
      </c>
    </row>
    <row r="801" spans="1:2" x14ac:dyDescent="0.25">
      <c r="A801">
        <v>53451</v>
      </c>
      <c r="B801">
        <v>0</v>
      </c>
    </row>
    <row r="802" spans="1:2" x14ac:dyDescent="0.25">
      <c r="A802">
        <v>22523</v>
      </c>
      <c r="B802">
        <v>0</v>
      </c>
    </row>
    <row r="803" spans="1:2" x14ac:dyDescent="0.25">
      <c r="A803">
        <v>22447</v>
      </c>
      <c r="B803">
        <v>1</v>
      </c>
    </row>
    <row r="804" spans="1:2" x14ac:dyDescent="0.25">
      <c r="A804">
        <v>22771</v>
      </c>
      <c r="B804">
        <v>0</v>
      </c>
    </row>
    <row r="805" spans="1:2" x14ac:dyDescent="0.25">
      <c r="A805">
        <v>22451</v>
      </c>
      <c r="B805">
        <v>0</v>
      </c>
    </row>
    <row r="806" spans="1:2" x14ac:dyDescent="0.25">
      <c r="A806">
        <v>22515</v>
      </c>
      <c r="B806">
        <v>0</v>
      </c>
    </row>
    <row r="807" spans="1:2" x14ac:dyDescent="0.25">
      <c r="A807">
        <v>22471</v>
      </c>
      <c r="B807">
        <v>0</v>
      </c>
    </row>
    <row r="808" spans="1:2" x14ac:dyDescent="0.25">
      <c r="A808">
        <v>53419</v>
      </c>
      <c r="B808">
        <v>0</v>
      </c>
    </row>
    <row r="809" spans="1:2" x14ac:dyDescent="0.25">
      <c r="A809">
        <v>22455</v>
      </c>
      <c r="B809">
        <v>1</v>
      </c>
    </row>
    <row r="810" spans="1:2" x14ac:dyDescent="0.25">
      <c r="A810">
        <v>22551</v>
      </c>
      <c r="B810">
        <v>0</v>
      </c>
    </row>
    <row r="811" spans="1:2" x14ac:dyDescent="0.25">
      <c r="A811">
        <v>22535</v>
      </c>
      <c r="B811">
        <v>0</v>
      </c>
    </row>
    <row r="812" spans="1:2" x14ac:dyDescent="0.25">
      <c r="A812">
        <v>22311</v>
      </c>
      <c r="B812">
        <v>1</v>
      </c>
    </row>
    <row r="813" spans="1:2" x14ac:dyDescent="0.25">
      <c r="A813">
        <v>22734</v>
      </c>
      <c r="B813">
        <v>0</v>
      </c>
    </row>
    <row r="814" spans="1:2" x14ac:dyDescent="0.25">
      <c r="A814">
        <v>53413</v>
      </c>
      <c r="B814">
        <v>0</v>
      </c>
    </row>
    <row r="815" spans="1:2" x14ac:dyDescent="0.25">
      <c r="A815">
        <v>53443</v>
      </c>
      <c r="B815">
        <v>0</v>
      </c>
    </row>
    <row r="816" spans="1:2" x14ac:dyDescent="0.25">
      <c r="A816">
        <v>10999</v>
      </c>
      <c r="B816">
        <v>1</v>
      </c>
    </row>
    <row r="817" spans="1:2" x14ac:dyDescent="0.25">
      <c r="A817">
        <v>53421</v>
      </c>
      <c r="B817">
        <v>0</v>
      </c>
    </row>
    <row r="818" spans="1:2" x14ac:dyDescent="0.25">
      <c r="A818">
        <v>22555</v>
      </c>
      <c r="B818">
        <v>0</v>
      </c>
    </row>
    <row r="819" spans="1:2" x14ac:dyDescent="0.25">
      <c r="A819">
        <v>22727</v>
      </c>
      <c r="B819">
        <v>0</v>
      </c>
    </row>
    <row r="820" spans="1:2" x14ac:dyDescent="0.25">
      <c r="A820">
        <v>53445</v>
      </c>
      <c r="B820">
        <v>0</v>
      </c>
    </row>
    <row r="821" spans="1:2" x14ac:dyDescent="0.25">
      <c r="A821">
        <v>22733</v>
      </c>
      <c r="B821">
        <v>0</v>
      </c>
    </row>
    <row r="822" spans="1:2" x14ac:dyDescent="0.25">
      <c r="A822">
        <v>22319</v>
      </c>
      <c r="B822">
        <v>0</v>
      </c>
    </row>
    <row r="823" spans="1:2" x14ac:dyDescent="0.25">
      <c r="A823">
        <v>22443</v>
      </c>
      <c r="B823">
        <v>0</v>
      </c>
    </row>
    <row r="824" spans="1:2" x14ac:dyDescent="0.25">
      <c r="A824">
        <v>22327</v>
      </c>
      <c r="B824">
        <v>0</v>
      </c>
    </row>
    <row r="825" spans="1:2" x14ac:dyDescent="0.25">
      <c r="A825">
        <v>51177</v>
      </c>
      <c r="B825">
        <v>0</v>
      </c>
    </row>
    <row r="826" spans="1:2" x14ac:dyDescent="0.25">
      <c r="A826">
        <v>53465</v>
      </c>
      <c r="B826">
        <v>0</v>
      </c>
    </row>
    <row r="827" spans="1:2" x14ac:dyDescent="0.25">
      <c r="A827">
        <v>22435</v>
      </c>
      <c r="B827">
        <v>0</v>
      </c>
    </row>
    <row r="828" spans="1:2" x14ac:dyDescent="0.25">
      <c r="A828">
        <v>22731</v>
      </c>
      <c r="B828">
        <v>0</v>
      </c>
    </row>
    <row r="829" spans="1:2" x14ac:dyDescent="0.25">
      <c r="A829">
        <v>10610</v>
      </c>
      <c r="B829">
        <v>0</v>
      </c>
    </row>
    <row r="830" spans="1:2" x14ac:dyDescent="0.25">
      <c r="A830">
        <v>53437</v>
      </c>
      <c r="B830">
        <v>1</v>
      </c>
    </row>
    <row r="831" spans="1:2" x14ac:dyDescent="0.25">
      <c r="A831">
        <v>22761</v>
      </c>
      <c r="B831">
        <v>0</v>
      </c>
    </row>
    <row r="832" spans="1:2" x14ac:dyDescent="0.25">
      <c r="A832">
        <v>22751</v>
      </c>
      <c r="B832">
        <v>0</v>
      </c>
    </row>
    <row r="833" spans="1:2" x14ac:dyDescent="0.25">
      <c r="A833">
        <v>22439</v>
      </c>
      <c r="B833">
        <v>0</v>
      </c>
    </row>
    <row r="834" spans="1:2" x14ac:dyDescent="0.25">
      <c r="A834">
        <v>22784</v>
      </c>
      <c r="B834">
        <v>0</v>
      </c>
    </row>
    <row r="835" spans="1:2" x14ac:dyDescent="0.25">
      <c r="A835">
        <v>22767</v>
      </c>
      <c r="B835">
        <v>0</v>
      </c>
    </row>
    <row r="836" spans="1:2" x14ac:dyDescent="0.25">
      <c r="A836">
        <v>22343</v>
      </c>
      <c r="B836">
        <v>0</v>
      </c>
    </row>
    <row r="837" spans="1:2" x14ac:dyDescent="0.25">
      <c r="A837">
        <v>22675</v>
      </c>
      <c r="B837">
        <v>0</v>
      </c>
    </row>
    <row r="838" spans="1:2" x14ac:dyDescent="0.25">
      <c r="A838">
        <v>10250</v>
      </c>
      <c r="B838">
        <v>0</v>
      </c>
    </row>
    <row r="839" spans="1:2" x14ac:dyDescent="0.25">
      <c r="A839">
        <v>22431</v>
      </c>
      <c r="B839">
        <v>0</v>
      </c>
    </row>
    <row r="840" spans="1:2" x14ac:dyDescent="0.25">
      <c r="A840">
        <v>22659</v>
      </c>
      <c r="B840">
        <v>0</v>
      </c>
    </row>
    <row r="841" spans="1:2" x14ac:dyDescent="0.25">
      <c r="A841">
        <v>22714</v>
      </c>
      <c r="B841">
        <v>0</v>
      </c>
    </row>
    <row r="842" spans="1:2" x14ac:dyDescent="0.25">
      <c r="A842">
        <v>22351</v>
      </c>
      <c r="B842">
        <v>0</v>
      </c>
    </row>
    <row r="843" spans="1:2" x14ac:dyDescent="0.25">
      <c r="A843">
        <v>10450</v>
      </c>
      <c r="B843">
        <v>0</v>
      </c>
    </row>
    <row r="844" spans="1:2" x14ac:dyDescent="0.25">
      <c r="A844">
        <v>10110</v>
      </c>
      <c r="B844">
        <v>0</v>
      </c>
    </row>
    <row r="845" spans="1:2" x14ac:dyDescent="0.25">
      <c r="A845">
        <v>22111</v>
      </c>
      <c r="B845">
        <v>3</v>
      </c>
    </row>
    <row r="846" spans="1:2" x14ac:dyDescent="0.25">
      <c r="A846">
        <v>22737</v>
      </c>
      <c r="B846">
        <v>0</v>
      </c>
    </row>
    <row r="847" spans="1:2" x14ac:dyDescent="0.25">
      <c r="A847">
        <v>22724</v>
      </c>
      <c r="B847">
        <v>0</v>
      </c>
    </row>
    <row r="848" spans="1:2" x14ac:dyDescent="0.25">
      <c r="A848">
        <v>22651</v>
      </c>
      <c r="B848">
        <v>0</v>
      </c>
    </row>
    <row r="849" spans="1:2" x14ac:dyDescent="0.25">
      <c r="A849">
        <v>22619</v>
      </c>
      <c r="B849">
        <v>0</v>
      </c>
    </row>
    <row r="850" spans="1:2" x14ac:dyDescent="0.25">
      <c r="A850">
        <v>22744</v>
      </c>
      <c r="B850">
        <v>0</v>
      </c>
    </row>
    <row r="851" spans="1:2" x14ac:dyDescent="0.25">
      <c r="A851">
        <v>22741</v>
      </c>
      <c r="B851">
        <v>0</v>
      </c>
    </row>
    <row r="852" spans="1:2" x14ac:dyDescent="0.25">
      <c r="A852">
        <v>22228</v>
      </c>
      <c r="B852">
        <v>0</v>
      </c>
    </row>
    <row r="853" spans="1:2" x14ac:dyDescent="0.25">
      <c r="A853">
        <v>10150</v>
      </c>
      <c r="B853">
        <v>1</v>
      </c>
    </row>
    <row r="854" spans="1:2" x14ac:dyDescent="0.25">
      <c r="A854">
        <v>22722</v>
      </c>
      <c r="B854">
        <v>0</v>
      </c>
    </row>
    <row r="855" spans="1:2" x14ac:dyDescent="0.25">
      <c r="A855">
        <v>10410</v>
      </c>
      <c r="B855">
        <v>1</v>
      </c>
    </row>
    <row r="856" spans="1:2" x14ac:dyDescent="0.25">
      <c r="A856">
        <v>22359</v>
      </c>
      <c r="B856">
        <v>2</v>
      </c>
    </row>
    <row r="857" spans="1:2" x14ac:dyDescent="0.25">
      <c r="A857">
        <v>10510</v>
      </c>
      <c r="B857">
        <v>0</v>
      </c>
    </row>
    <row r="858" spans="1:2" x14ac:dyDescent="0.25">
      <c r="A858">
        <v>53455</v>
      </c>
      <c r="B858">
        <v>0</v>
      </c>
    </row>
    <row r="859" spans="1:2" x14ac:dyDescent="0.25">
      <c r="A859">
        <v>10550</v>
      </c>
      <c r="B859">
        <v>1</v>
      </c>
    </row>
    <row r="860" spans="1:2" x14ac:dyDescent="0.25">
      <c r="A860">
        <v>22774</v>
      </c>
      <c r="B860">
        <v>0</v>
      </c>
    </row>
    <row r="861" spans="1:2" x14ac:dyDescent="0.25">
      <c r="A861">
        <v>22211</v>
      </c>
      <c r="B861">
        <v>1</v>
      </c>
    </row>
    <row r="862" spans="1:2" x14ac:dyDescent="0.25">
      <c r="A862">
        <v>10210</v>
      </c>
      <c r="B862">
        <v>3</v>
      </c>
    </row>
    <row r="863" spans="1:2" x14ac:dyDescent="0.25">
      <c r="A863">
        <v>22643</v>
      </c>
      <c r="B863">
        <v>0</v>
      </c>
    </row>
    <row r="864" spans="1:2" x14ac:dyDescent="0.25">
      <c r="A864">
        <v>51139</v>
      </c>
      <c r="B864">
        <v>0</v>
      </c>
    </row>
    <row r="865" spans="1:2" x14ac:dyDescent="0.25">
      <c r="A865">
        <v>10350</v>
      </c>
      <c r="B865">
        <v>32</v>
      </c>
    </row>
    <row r="866" spans="1:2" x14ac:dyDescent="0.25">
      <c r="A866">
        <v>0</v>
      </c>
      <c r="B866">
        <v>0</v>
      </c>
    </row>
    <row r="867" spans="1:2" x14ac:dyDescent="0.25">
      <c r="A867">
        <v>22427</v>
      </c>
      <c r="B867">
        <v>0</v>
      </c>
    </row>
    <row r="868" spans="1:2" x14ac:dyDescent="0.25">
      <c r="A868">
        <v>10650</v>
      </c>
      <c r="B868">
        <v>3</v>
      </c>
    </row>
    <row r="869" spans="1:2" x14ac:dyDescent="0.25">
      <c r="A869">
        <v>51151</v>
      </c>
      <c r="B869">
        <v>0</v>
      </c>
    </row>
    <row r="870" spans="1:2" x14ac:dyDescent="0.25">
      <c r="A870">
        <v>22155</v>
      </c>
      <c r="B870">
        <v>1</v>
      </c>
    </row>
    <row r="871" spans="1:2" x14ac:dyDescent="0.25">
      <c r="A871">
        <v>22001</v>
      </c>
      <c r="B871">
        <v>0</v>
      </c>
    </row>
    <row r="872" spans="1:2" x14ac:dyDescent="0.25">
      <c r="A872">
        <v>22611</v>
      </c>
      <c r="B872">
        <v>1</v>
      </c>
    </row>
    <row r="873" spans="1:2" x14ac:dyDescent="0.25">
      <c r="A873">
        <v>51157</v>
      </c>
      <c r="B873">
        <v>0</v>
      </c>
    </row>
    <row r="874" spans="1:2" x14ac:dyDescent="0.25">
      <c r="A874">
        <v>22683</v>
      </c>
      <c r="B874">
        <v>0</v>
      </c>
    </row>
    <row r="875" spans="1:2" x14ac:dyDescent="0.25">
      <c r="A875">
        <v>53425</v>
      </c>
      <c r="B875">
        <v>0</v>
      </c>
    </row>
    <row r="876" spans="1:2" x14ac:dyDescent="0.25">
      <c r="A876">
        <v>22691</v>
      </c>
      <c r="B876">
        <v>0</v>
      </c>
    </row>
    <row r="877" spans="1:2" x14ac:dyDescent="0.25">
      <c r="A877">
        <v>51145</v>
      </c>
      <c r="B877">
        <v>0</v>
      </c>
    </row>
    <row r="878" spans="1:2" x14ac:dyDescent="0.25">
      <c r="A878">
        <v>22262</v>
      </c>
      <c r="B878">
        <v>1</v>
      </c>
    </row>
    <row r="879" spans="1:2" x14ac:dyDescent="0.25">
      <c r="A879">
        <v>10310</v>
      </c>
      <c r="B879">
        <v>2</v>
      </c>
    </row>
    <row r="880" spans="1:2" x14ac:dyDescent="0.25">
      <c r="A880">
        <v>22635</v>
      </c>
      <c r="B880">
        <v>0</v>
      </c>
    </row>
    <row r="881" spans="1:2" x14ac:dyDescent="0.25">
      <c r="A881">
        <v>22717</v>
      </c>
      <c r="B881">
        <v>0</v>
      </c>
    </row>
    <row r="882" spans="1:2" x14ac:dyDescent="0.25">
      <c r="A882">
        <v>22419</v>
      </c>
      <c r="B882">
        <v>0</v>
      </c>
    </row>
    <row r="883" spans="1:2" x14ac:dyDescent="0.25">
      <c r="A883">
        <v>51189</v>
      </c>
      <c r="B883">
        <v>0</v>
      </c>
    </row>
    <row r="884" spans="1:2" x14ac:dyDescent="0.25">
      <c r="A884">
        <v>22627</v>
      </c>
      <c r="B884">
        <v>0</v>
      </c>
    </row>
    <row r="885" spans="1:2" x14ac:dyDescent="0.25">
      <c r="A885">
        <v>21481</v>
      </c>
      <c r="B885">
        <v>0</v>
      </c>
    </row>
    <row r="886" spans="1:2" x14ac:dyDescent="0.25">
      <c r="A886">
        <v>22002</v>
      </c>
      <c r="B886">
        <v>0</v>
      </c>
    </row>
    <row r="887" spans="1:2" x14ac:dyDescent="0.25">
      <c r="A887">
        <v>22423</v>
      </c>
      <c r="B887">
        <v>0</v>
      </c>
    </row>
    <row r="888" spans="1:2" x14ac:dyDescent="0.25">
      <c r="A888">
        <v>21466</v>
      </c>
      <c r="B888">
        <v>0</v>
      </c>
    </row>
    <row r="889" spans="1:2" x14ac:dyDescent="0.25">
      <c r="A889">
        <v>53463</v>
      </c>
      <c r="B889">
        <v>0</v>
      </c>
    </row>
    <row r="890" spans="1:2" x14ac:dyDescent="0.25">
      <c r="A890">
        <v>21391</v>
      </c>
      <c r="B890">
        <v>0</v>
      </c>
    </row>
    <row r="891" spans="1:2" x14ac:dyDescent="0.25">
      <c r="A891">
        <v>21394</v>
      </c>
      <c r="B891">
        <v>0</v>
      </c>
    </row>
    <row r="892" spans="1:2" x14ac:dyDescent="0.25">
      <c r="A892">
        <v>21397</v>
      </c>
      <c r="B892">
        <v>0</v>
      </c>
    </row>
    <row r="893" spans="1:2" x14ac:dyDescent="0.25">
      <c r="A893">
        <v>53475</v>
      </c>
      <c r="B893">
        <v>0</v>
      </c>
    </row>
    <row r="894" spans="1:2" x14ac:dyDescent="0.25">
      <c r="A894">
        <v>21381</v>
      </c>
      <c r="B894">
        <v>0</v>
      </c>
    </row>
    <row r="895" spans="1:2" x14ac:dyDescent="0.25">
      <c r="A895">
        <v>22245</v>
      </c>
      <c r="B895">
        <v>0</v>
      </c>
    </row>
    <row r="896" spans="1:2" x14ac:dyDescent="0.25">
      <c r="A896">
        <v>21133</v>
      </c>
      <c r="B896">
        <v>0</v>
      </c>
    </row>
    <row r="897" spans="1:2" x14ac:dyDescent="0.25">
      <c r="A897">
        <v>51329</v>
      </c>
      <c r="B897">
        <v>0</v>
      </c>
    </row>
    <row r="898" spans="1:2" x14ac:dyDescent="0.25">
      <c r="A898">
        <v>21476</v>
      </c>
      <c r="B898">
        <v>0</v>
      </c>
    </row>
    <row r="899" spans="1:2" x14ac:dyDescent="0.25">
      <c r="A899">
        <v>51151</v>
      </c>
      <c r="B899">
        <v>0</v>
      </c>
    </row>
    <row r="900" spans="1:2" x14ac:dyDescent="0.25">
      <c r="A900">
        <v>21111</v>
      </c>
      <c r="B900">
        <v>13</v>
      </c>
    </row>
    <row r="901" spans="1:2" x14ac:dyDescent="0.25">
      <c r="A901">
        <v>51163</v>
      </c>
      <c r="B901">
        <v>0</v>
      </c>
    </row>
    <row r="902" spans="1:2" x14ac:dyDescent="0.25">
      <c r="A902">
        <v>22667</v>
      </c>
      <c r="B902">
        <v>0</v>
      </c>
    </row>
    <row r="903" spans="1:2" x14ac:dyDescent="0.25">
      <c r="A903">
        <v>21377</v>
      </c>
      <c r="B903">
        <v>0</v>
      </c>
    </row>
    <row r="904" spans="1:2" x14ac:dyDescent="0.25">
      <c r="A904">
        <v>21461</v>
      </c>
      <c r="B904">
        <v>0</v>
      </c>
    </row>
    <row r="905" spans="1:2" x14ac:dyDescent="0.25">
      <c r="A905">
        <v>21364</v>
      </c>
      <c r="B905">
        <v>0</v>
      </c>
    </row>
    <row r="906" spans="1:2" x14ac:dyDescent="0.25">
      <c r="A906">
        <v>21374</v>
      </c>
      <c r="B906">
        <v>0</v>
      </c>
    </row>
    <row r="907" spans="1:2" x14ac:dyDescent="0.25">
      <c r="A907">
        <v>51125</v>
      </c>
      <c r="B907">
        <v>0</v>
      </c>
    </row>
    <row r="908" spans="1:2" x14ac:dyDescent="0.25">
      <c r="A908">
        <v>21456</v>
      </c>
      <c r="B908">
        <v>0</v>
      </c>
    </row>
    <row r="909" spans="1:2" x14ac:dyDescent="0.25">
      <c r="A909">
        <v>22279</v>
      </c>
      <c r="B909">
        <v>0</v>
      </c>
    </row>
    <row r="910" spans="1:2" x14ac:dyDescent="0.25">
      <c r="A910">
        <v>53473</v>
      </c>
      <c r="B910">
        <v>0</v>
      </c>
    </row>
    <row r="911" spans="1:2" x14ac:dyDescent="0.25">
      <c r="A911">
        <v>53449</v>
      </c>
      <c r="B911">
        <v>0</v>
      </c>
    </row>
    <row r="912" spans="1:2" x14ac:dyDescent="0.25">
      <c r="A912">
        <v>21361</v>
      </c>
      <c r="B912">
        <v>0</v>
      </c>
    </row>
    <row r="913" spans="1:2" x14ac:dyDescent="0.25">
      <c r="A913">
        <v>51354</v>
      </c>
      <c r="B913">
        <v>0</v>
      </c>
    </row>
    <row r="914" spans="1:2" x14ac:dyDescent="0.25">
      <c r="A914">
        <v>21211</v>
      </c>
      <c r="B914">
        <v>5</v>
      </c>
    </row>
    <row r="915" spans="1:2" x14ac:dyDescent="0.25">
      <c r="A915">
        <v>51323</v>
      </c>
      <c r="B915">
        <v>0</v>
      </c>
    </row>
    <row r="916" spans="1:2" x14ac:dyDescent="0.25">
      <c r="A916">
        <v>21471</v>
      </c>
      <c r="B916">
        <v>0</v>
      </c>
    </row>
    <row r="917" spans="1:2" x14ac:dyDescent="0.25">
      <c r="A917">
        <v>51133</v>
      </c>
      <c r="B917">
        <v>0</v>
      </c>
    </row>
    <row r="918" spans="1:2" x14ac:dyDescent="0.25">
      <c r="A918">
        <v>21351</v>
      </c>
      <c r="B918">
        <v>0</v>
      </c>
    </row>
    <row r="919" spans="1:2" x14ac:dyDescent="0.25">
      <c r="A919">
        <v>22411</v>
      </c>
      <c r="B919">
        <v>1</v>
      </c>
    </row>
    <row r="920" spans="1:2" x14ac:dyDescent="0.25">
      <c r="A920">
        <v>21144</v>
      </c>
      <c r="B920">
        <v>4</v>
      </c>
    </row>
    <row r="921" spans="1:2" x14ac:dyDescent="0.25">
      <c r="A921">
        <v>51311</v>
      </c>
      <c r="B921">
        <v>2</v>
      </c>
    </row>
    <row r="922" spans="1:2" x14ac:dyDescent="0.25">
      <c r="A922">
        <v>53461</v>
      </c>
      <c r="B922">
        <v>0</v>
      </c>
    </row>
    <row r="923" spans="1:2" x14ac:dyDescent="0.25">
      <c r="A923">
        <v>21219</v>
      </c>
      <c r="B923">
        <v>0</v>
      </c>
    </row>
    <row r="924" spans="1:2" x14ac:dyDescent="0.25">
      <c r="A924">
        <v>51335</v>
      </c>
      <c r="B924">
        <v>0</v>
      </c>
    </row>
    <row r="925" spans="1:2" x14ac:dyDescent="0.25">
      <c r="A925">
        <v>21367</v>
      </c>
      <c r="B925">
        <v>0</v>
      </c>
    </row>
    <row r="926" spans="1:2" x14ac:dyDescent="0.25">
      <c r="A926">
        <v>21487</v>
      </c>
      <c r="B926">
        <v>0</v>
      </c>
    </row>
    <row r="927" spans="1:2" x14ac:dyDescent="0.25">
      <c r="A927">
        <v>51317</v>
      </c>
      <c r="B927">
        <v>0</v>
      </c>
    </row>
    <row r="928" spans="1:2" x14ac:dyDescent="0.25">
      <c r="A928">
        <v>53447</v>
      </c>
      <c r="B928">
        <v>0</v>
      </c>
    </row>
    <row r="929" spans="1:2" x14ac:dyDescent="0.25">
      <c r="A929">
        <v>22415</v>
      </c>
      <c r="B929">
        <v>0</v>
      </c>
    </row>
    <row r="930" spans="1:2" x14ac:dyDescent="0.25">
      <c r="A930">
        <v>51371</v>
      </c>
      <c r="B930">
        <v>0</v>
      </c>
    </row>
    <row r="931" spans="1:2" x14ac:dyDescent="0.25">
      <c r="A931">
        <v>51119</v>
      </c>
      <c r="B931">
        <v>0</v>
      </c>
    </row>
    <row r="932" spans="1:2" x14ac:dyDescent="0.25">
      <c r="A932">
        <v>0</v>
      </c>
      <c r="B932">
        <v>0</v>
      </c>
    </row>
    <row r="933" spans="1:2" x14ac:dyDescent="0.25">
      <c r="A933">
        <v>21177</v>
      </c>
      <c r="B933">
        <v>5</v>
      </c>
    </row>
    <row r="934" spans="1:2" x14ac:dyDescent="0.25">
      <c r="A934">
        <v>51117</v>
      </c>
      <c r="B934">
        <v>0</v>
      </c>
    </row>
    <row r="935" spans="1:2" x14ac:dyDescent="0.25">
      <c r="A935">
        <v>51185</v>
      </c>
      <c r="B935">
        <v>0</v>
      </c>
    </row>
    <row r="936" spans="1:2" x14ac:dyDescent="0.25">
      <c r="A936">
        <v>51117</v>
      </c>
      <c r="B936">
        <v>0</v>
      </c>
    </row>
    <row r="937" spans="1:2" x14ac:dyDescent="0.25">
      <c r="A937">
        <v>21341</v>
      </c>
      <c r="B937">
        <v>0</v>
      </c>
    </row>
    <row r="938" spans="1:2" x14ac:dyDescent="0.25">
      <c r="A938">
        <v>0</v>
      </c>
      <c r="B938">
        <v>0</v>
      </c>
    </row>
    <row r="939" spans="1:2" x14ac:dyDescent="0.25">
      <c r="A939">
        <v>53003</v>
      </c>
      <c r="B939">
        <v>0</v>
      </c>
    </row>
    <row r="940" spans="1:2" x14ac:dyDescent="0.25">
      <c r="A940">
        <v>21441</v>
      </c>
      <c r="B940">
        <v>0</v>
      </c>
    </row>
    <row r="941" spans="1:2" x14ac:dyDescent="0.25">
      <c r="A941">
        <v>21446</v>
      </c>
      <c r="B941">
        <v>0</v>
      </c>
    </row>
    <row r="942" spans="1:2" x14ac:dyDescent="0.25">
      <c r="A942">
        <v>21243</v>
      </c>
      <c r="B942">
        <v>0</v>
      </c>
    </row>
    <row r="943" spans="1:2" x14ac:dyDescent="0.25">
      <c r="A943">
        <v>51111</v>
      </c>
      <c r="B943">
        <v>3</v>
      </c>
    </row>
    <row r="944" spans="1:2" x14ac:dyDescent="0.25">
      <c r="A944">
        <v>51121</v>
      </c>
      <c r="B944">
        <v>0</v>
      </c>
    </row>
    <row r="945" spans="1:2" x14ac:dyDescent="0.25">
      <c r="A945">
        <v>51359</v>
      </c>
      <c r="B945">
        <v>0</v>
      </c>
    </row>
    <row r="946" spans="1:2" x14ac:dyDescent="0.25">
      <c r="A946">
        <v>51113</v>
      </c>
      <c r="B946">
        <v>0</v>
      </c>
    </row>
    <row r="947" spans="1:2" x14ac:dyDescent="0.25">
      <c r="A947">
        <v>51123</v>
      </c>
      <c r="B947">
        <v>0</v>
      </c>
    </row>
    <row r="948" spans="1:2" x14ac:dyDescent="0.25">
      <c r="A948">
        <v>21416</v>
      </c>
      <c r="B948">
        <v>0</v>
      </c>
    </row>
    <row r="949" spans="1:2" x14ac:dyDescent="0.25">
      <c r="A949">
        <v>51129</v>
      </c>
      <c r="B949">
        <v>0</v>
      </c>
    </row>
    <row r="950" spans="1:2" x14ac:dyDescent="0.25">
      <c r="A950">
        <v>51115</v>
      </c>
      <c r="B950">
        <v>0</v>
      </c>
    </row>
    <row r="951" spans="1:2" x14ac:dyDescent="0.25">
      <c r="A951">
        <v>51135</v>
      </c>
      <c r="B951">
        <v>0</v>
      </c>
    </row>
    <row r="952" spans="1:2" x14ac:dyDescent="0.25">
      <c r="A952">
        <v>21451</v>
      </c>
      <c r="B952">
        <v>0</v>
      </c>
    </row>
    <row r="953" spans="1:2" x14ac:dyDescent="0.25">
      <c r="A953">
        <v>21354</v>
      </c>
      <c r="B953">
        <v>0</v>
      </c>
    </row>
    <row r="954" spans="1:2" x14ac:dyDescent="0.25">
      <c r="A954">
        <v>21371</v>
      </c>
      <c r="B954">
        <v>0</v>
      </c>
    </row>
    <row r="955" spans="1:2" x14ac:dyDescent="0.25">
      <c r="A955">
        <v>51341</v>
      </c>
      <c r="B955">
        <v>0</v>
      </c>
    </row>
    <row r="956" spans="1:2" x14ac:dyDescent="0.25">
      <c r="A956">
        <v>21421</v>
      </c>
      <c r="B956">
        <v>0</v>
      </c>
    </row>
    <row r="957" spans="1:2" x14ac:dyDescent="0.25">
      <c r="A957">
        <v>0</v>
      </c>
      <c r="B957">
        <v>0</v>
      </c>
    </row>
    <row r="958" spans="1:2" x14ac:dyDescent="0.25">
      <c r="A958">
        <v>51131</v>
      </c>
      <c r="B958">
        <v>0</v>
      </c>
    </row>
    <row r="959" spans="1:2" x14ac:dyDescent="0.25">
      <c r="A959">
        <v>0</v>
      </c>
      <c r="B959">
        <v>0</v>
      </c>
    </row>
    <row r="960" spans="1:2" x14ac:dyDescent="0.25">
      <c r="A960">
        <v>21188</v>
      </c>
      <c r="B960">
        <v>7</v>
      </c>
    </row>
    <row r="961" spans="1:2" x14ac:dyDescent="0.25">
      <c r="A961">
        <v>21166</v>
      </c>
      <c r="B961">
        <v>2</v>
      </c>
    </row>
    <row r="962" spans="1:2" x14ac:dyDescent="0.25">
      <c r="A962">
        <v>21324</v>
      </c>
      <c r="B962">
        <v>0</v>
      </c>
    </row>
    <row r="963" spans="1:2" x14ac:dyDescent="0.25">
      <c r="A963">
        <v>51365</v>
      </c>
      <c r="B963">
        <v>0</v>
      </c>
    </row>
    <row r="964" spans="1:2" x14ac:dyDescent="0.25">
      <c r="A964">
        <v>51347</v>
      </c>
      <c r="B964">
        <v>0</v>
      </c>
    </row>
    <row r="965" spans="1:2" x14ac:dyDescent="0.25">
      <c r="A965">
        <v>0</v>
      </c>
      <c r="B965">
        <v>0</v>
      </c>
    </row>
    <row r="966" spans="1:2" x14ac:dyDescent="0.25">
      <c r="A966">
        <v>21337</v>
      </c>
      <c r="B966">
        <v>0</v>
      </c>
    </row>
    <row r="967" spans="1:2" x14ac:dyDescent="0.25">
      <c r="A967">
        <v>21347</v>
      </c>
      <c r="B967">
        <v>0</v>
      </c>
    </row>
    <row r="968" spans="1:2" x14ac:dyDescent="0.25">
      <c r="A968">
        <v>21317</v>
      </c>
      <c r="B968">
        <v>0</v>
      </c>
    </row>
    <row r="969" spans="1:2" x14ac:dyDescent="0.25">
      <c r="A969">
        <v>21321</v>
      </c>
      <c r="B969">
        <v>0</v>
      </c>
    </row>
    <row r="970" spans="1:2" x14ac:dyDescent="0.25">
      <c r="A970">
        <v>51353</v>
      </c>
      <c r="B970">
        <v>0</v>
      </c>
    </row>
    <row r="971" spans="1:2" x14ac:dyDescent="0.25">
      <c r="A971">
        <v>21259</v>
      </c>
      <c r="B971">
        <v>0</v>
      </c>
    </row>
    <row r="972" spans="1:2" x14ac:dyDescent="0.25">
      <c r="A972">
        <v>21275</v>
      </c>
      <c r="B972">
        <v>0</v>
      </c>
    </row>
    <row r="973" spans="1:2" x14ac:dyDescent="0.25">
      <c r="A973">
        <v>21436</v>
      </c>
      <c r="B973">
        <v>0</v>
      </c>
    </row>
    <row r="974" spans="1:2" x14ac:dyDescent="0.25">
      <c r="A974">
        <v>51224</v>
      </c>
      <c r="B974">
        <v>1</v>
      </c>
    </row>
    <row r="975" spans="1:2" x14ac:dyDescent="0.25">
      <c r="A975">
        <v>51127</v>
      </c>
      <c r="B975">
        <v>0</v>
      </c>
    </row>
    <row r="976" spans="1:2" x14ac:dyDescent="0.25">
      <c r="A976">
        <v>24111</v>
      </c>
      <c r="B976">
        <v>3</v>
      </c>
    </row>
    <row r="977" spans="1:2" x14ac:dyDescent="0.25">
      <c r="A977">
        <v>21411</v>
      </c>
      <c r="B977">
        <v>1</v>
      </c>
    </row>
    <row r="978" spans="1:2" x14ac:dyDescent="0.25">
      <c r="A978">
        <v>21227</v>
      </c>
      <c r="B978">
        <v>1</v>
      </c>
    </row>
    <row r="979" spans="1:2" x14ac:dyDescent="0.25">
      <c r="A979">
        <v>24313</v>
      </c>
      <c r="B979">
        <v>0</v>
      </c>
    </row>
    <row r="980" spans="1:2" x14ac:dyDescent="0.25">
      <c r="A980">
        <v>21327</v>
      </c>
      <c r="B980">
        <v>0</v>
      </c>
    </row>
    <row r="981" spans="1:2" x14ac:dyDescent="0.25">
      <c r="A981">
        <v>51231</v>
      </c>
      <c r="B981">
        <v>0</v>
      </c>
    </row>
    <row r="982" spans="1:2" x14ac:dyDescent="0.25">
      <c r="A982">
        <v>24155</v>
      </c>
      <c r="B982">
        <v>0</v>
      </c>
    </row>
    <row r="983" spans="1:2" x14ac:dyDescent="0.25">
      <c r="A983">
        <v>51383</v>
      </c>
      <c r="B983">
        <v>0</v>
      </c>
    </row>
    <row r="984" spans="1:2" x14ac:dyDescent="0.25">
      <c r="A984">
        <v>21431</v>
      </c>
      <c r="B984">
        <v>0</v>
      </c>
    </row>
    <row r="985" spans="1:2" x14ac:dyDescent="0.25">
      <c r="A985">
        <v>21331</v>
      </c>
      <c r="B985">
        <v>0</v>
      </c>
    </row>
    <row r="986" spans="1:2" x14ac:dyDescent="0.25">
      <c r="A986">
        <v>21426</v>
      </c>
      <c r="B986">
        <v>0</v>
      </c>
    </row>
    <row r="987" spans="1:2" x14ac:dyDescent="0.25">
      <c r="A987">
        <v>21235</v>
      </c>
      <c r="B987">
        <v>0</v>
      </c>
    </row>
    <row r="988" spans="1:2" x14ac:dyDescent="0.25">
      <c r="A988">
        <v>51184</v>
      </c>
      <c r="B988">
        <v>0</v>
      </c>
    </row>
    <row r="989" spans="1:2" x14ac:dyDescent="0.25">
      <c r="A989">
        <v>0</v>
      </c>
      <c r="B989">
        <v>0</v>
      </c>
    </row>
    <row r="990" spans="1:2" x14ac:dyDescent="0.25">
      <c r="A990">
        <v>24311</v>
      </c>
      <c r="B990">
        <v>0</v>
      </c>
    </row>
    <row r="991" spans="1:2" x14ac:dyDescent="0.25">
      <c r="A991">
        <v>21251</v>
      </c>
      <c r="B991">
        <v>0</v>
      </c>
    </row>
    <row r="992" spans="1:2" x14ac:dyDescent="0.25">
      <c r="A992">
        <v>51221</v>
      </c>
      <c r="B992">
        <v>1</v>
      </c>
    </row>
    <row r="993" spans="1:2" x14ac:dyDescent="0.25">
      <c r="A993">
        <v>21311</v>
      </c>
      <c r="B993">
        <v>0</v>
      </c>
    </row>
    <row r="994" spans="1:2" x14ac:dyDescent="0.25">
      <c r="A994">
        <v>21267</v>
      </c>
      <c r="B994">
        <v>0</v>
      </c>
    </row>
    <row r="995" spans="1:2" x14ac:dyDescent="0.25">
      <c r="A995">
        <v>24291</v>
      </c>
      <c r="B995">
        <v>0</v>
      </c>
    </row>
    <row r="996" spans="1:2" x14ac:dyDescent="0.25">
      <c r="A996">
        <v>51244</v>
      </c>
      <c r="B996">
        <v>0</v>
      </c>
    </row>
    <row r="997" spans="1:2" x14ac:dyDescent="0.25">
      <c r="A997">
        <v>21314</v>
      </c>
      <c r="B997">
        <v>0</v>
      </c>
    </row>
    <row r="998" spans="1:2" x14ac:dyDescent="0.25">
      <c r="A998">
        <v>51241</v>
      </c>
      <c r="B998">
        <v>1</v>
      </c>
    </row>
    <row r="999" spans="1:2" x14ac:dyDescent="0.25">
      <c r="A999">
        <v>21357</v>
      </c>
      <c r="B999">
        <v>0</v>
      </c>
    </row>
    <row r="1000" spans="1:2" x14ac:dyDescent="0.25">
      <c r="A1000">
        <v>51211</v>
      </c>
      <c r="B1000">
        <v>3</v>
      </c>
    </row>
    <row r="1001" spans="1:2" x14ac:dyDescent="0.25">
      <c r="A1001">
        <v>21334</v>
      </c>
      <c r="B1001">
        <v>0</v>
      </c>
    </row>
    <row r="1002" spans="1:2" x14ac:dyDescent="0.25">
      <c r="A1002">
        <v>51214</v>
      </c>
      <c r="B1002">
        <v>0</v>
      </c>
    </row>
    <row r="1003" spans="1:2" x14ac:dyDescent="0.25">
      <c r="A1003">
        <v>24275</v>
      </c>
      <c r="B1003">
        <v>0</v>
      </c>
    </row>
    <row r="1004" spans="1:2" x14ac:dyDescent="0.25">
      <c r="A1004">
        <v>24283</v>
      </c>
      <c r="B1004">
        <v>0</v>
      </c>
    </row>
    <row r="1005" spans="1:2" x14ac:dyDescent="0.25">
      <c r="A1005">
        <v>24267</v>
      </c>
      <c r="B1005">
        <v>0</v>
      </c>
    </row>
    <row r="1006" spans="1:2" x14ac:dyDescent="0.25">
      <c r="A1006">
        <v>24133</v>
      </c>
      <c r="B1006">
        <v>1</v>
      </c>
    </row>
    <row r="1007" spans="1:2" x14ac:dyDescent="0.25">
      <c r="A1007">
        <v>51217</v>
      </c>
      <c r="B1007">
        <v>0</v>
      </c>
    </row>
    <row r="1008" spans="1:2" x14ac:dyDescent="0.25">
      <c r="A1008">
        <v>24325</v>
      </c>
      <c r="B1008">
        <v>0</v>
      </c>
    </row>
    <row r="1009" spans="1:2" x14ac:dyDescent="0.25">
      <c r="A1009">
        <v>24411</v>
      </c>
      <c r="B1009">
        <v>0</v>
      </c>
    </row>
    <row r="1010" spans="1:2" x14ac:dyDescent="0.25">
      <c r="A1010">
        <v>21283</v>
      </c>
      <c r="B1010">
        <v>0</v>
      </c>
    </row>
    <row r="1011" spans="1:2" x14ac:dyDescent="0.25">
      <c r="A1011">
        <v>21344</v>
      </c>
      <c r="B1011">
        <v>0</v>
      </c>
    </row>
    <row r="1012" spans="1:2" x14ac:dyDescent="0.25">
      <c r="A1012">
        <v>51257</v>
      </c>
      <c r="B1012">
        <v>0</v>
      </c>
    </row>
    <row r="1013" spans="1:2" x14ac:dyDescent="0.25">
      <c r="A1013">
        <v>24317</v>
      </c>
      <c r="B1013">
        <v>0</v>
      </c>
    </row>
    <row r="1014" spans="1:2" x14ac:dyDescent="0.25">
      <c r="A1014">
        <v>24414</v>
      </c>
      <c r="B1014">
        <v>0</v>
      </c>
    </row>
    <row r="1015" spans="1:2" x14ac:dyDescent="0.25">
      <c r="A1015">
        <v>24477</v>
      </c>
      <c r="B1015">
        <v>0</v>
      </c>
    </row>
    <row r="1016" spans="1:2" x14ac:dyDescent="0.25">
      <c r="A1016">
        <v>24259</v>
      </c>
      <c r="B1016">
        <v>0</v>
      </c>
    </row>
    <row r="1017" spans="1:2" x14ac:dyDescent="0.25">
      <c r="A1017">
        <v>24315</v>
      </c>
      <c r="B1017">
        <v>0</v>
      </c>
    </row>
    <row r="1018" spans="1:2" x14ac:dyDescent="0.25">
      <c r="A1018">
        <v>24427</v>
      </c>
      <c r="B1018">
        <v>0</v>
      </c>
    </row>
    <row r="1019" spans="1:2" x14ac:dyDescent="0.25">
      <c r="A1019">
        <v>24329</v>
      </c>
      <c r="B1019">
        <v>0</v>
      </c>
    </row>
    <row r="1020" spans="1:2" x14ac:dyDescent="0.25">
      <c r="A1020">
        <v>24319</v>
      </c>
      <c r="B1020">
        <v>0</v>
      </c>
    </row>
    <row r="1021" spans="1:2" x14ac:dyDescent="0.25">
      <c r="A1021">
        <v>24321</v>
      </c>
      <c r="B1021">
        <v>0</v>
      </c>
    </row>
    <row r="1022" spans="1:2" x14ac:dyDescent="0.25">
      <c r="A1022">
        <v>24177</v>
      </c>
      <c r="B1022">
        <v>1</v>
      </c>
    </row>
    <row r="1023" spans="1:2" x14ac:dyDescent="0.25">
      <c r="A1023">
        <v>51234</v>
      </c>
      <c r="B1023">
        <v>1</v>
      </c>
    </row>
    <row r="1024" spans="1:2" x14ac:dyDescent="0.25">
      <c r="A1024">
        <v>51267</v>
      </c>
      <c r="B1024">
        <v>1</v>
      </c>
    </row>
    <row r="1025" spans="1:2" x14ac:dyDescent="0.25">
      <c r="A1025">
        <v>24444</v>
      </c>
      <c r="B1025">
        <v>0</v>
      </c>
    </row>
    <row r="1026" spans="1:2" x14ac:dyDescent="0.25">
      <c r="A1026">
        <v>51377</v>
      </c>
      <c r="B1026">
        <v>0</v>
      </c>
    </row>
    <row r="1027" spans="1:2" x14ac:dyDescent="0.25">
      <c r="A1027">
        <v>24243</v>
      </c>
      <c r="B1027">
        <v>2</v>
      </c>
    </row>
    <row r="1028" spans="1:2" x14ac:dyDescent="0.25">
      <c r="A1028">
        <v>24424</v>
      </c>
      <c r="B1028">
        <v>0</v>
      </c>
    </row>
    <row r="1029" spans="1:2" x14ac:dyDescent="0.25">
      <c r="A1029">
        <v>51227</v>
      </c>
      <c r="B1029">
        <v>0</v>
      </c>
    </row>
    <row r="1030" spans="1:2" x14ac:dyDescent="0.25">
      <c r="A1030">
        <v>24417</v>
      </c>
      <c r="B1030">
        <v>0</v>
      </c>
    </row>
    <row r="1031" spans="1:2" x14ac:dyDescent="0.25">
      <c r="A1031">
        <v>24421</v>
      </c>
      <c r="B1031">
        <v>0</v>
      </c>
    </row>
    <row r="1032" spans="1:2" x14ac:dyDescent="0.25">
      <c r="A1032">
        <v>24331</v>
      </c>
      <c r="B1032">
        <v>0</v>
      </c>
    </row>
    <row r="1033" spans="1:2" x14ac:dyDescent="0.25">
      <c r="A1033">
        <v>24434</v>
      </c>
      <c r="B1033">
        <v>0</v>
      </c>
    </row>
    <row r="1034" spans="1:2" x14ac:dyDescent="0.25">
      <c r="A1034">
        <v>24327</v>
      </c>
      <c r="B1034">
        <v>0</v>
      </c>
    </row>
    <row r="1035" spans="1:2" x14ac:dyDescent="0.25">
      <c r="A1035">
        <v>24335</v>
      </c>
      <c r="B1035">
        <v>0</v>
      </c>
    </row>
    <row r="1036" spans="1:2" x14ac:dyDescent="0.25">
      <c r="A1036">
        <v>24454</v>
      </c>
      <c r="B1036">
        <v>0</v>
      </c>
    </row>
    <row r="1037" spans="1:2" x14ac:dyDescent="0.25">
      <c r="A1037">
        <v>51237</v>
      </c>
      <c r="B1037">
        <v>0</v>
      </c>
    </row>
    <row r="1038" spans="1:2" x14ac:dyDescent="0.25">
      <c r="A1038">
        <v>51001</v>
      </c>
      <c r="B1038">
        <v>0</v>
      </c>
    </row>
    <row r="1039" spans="1:2" x14ac:dyDescent="0.25">
      <c r="A1039">
        <v>24323</v>
      </c>
      <c r="B1039">
        <v>0</v>
      </c>
    </row>
    <row r="1040" spans="1:2" x14ac:dyDescent="0.25">
      <c r="A1040">
        <v>51389</v>
      </c>
      <c r="B1040">
        <v>1</v>
      </c>
    </row>
    <row r="1041" spans="1:2" x14ac:dyDescent="0.25">
      <c r="A1041">
        <v>24333</v>
      </c>
      <c r="B1041">
        <v>0</v>
      </c>
    </row>
    <row r="1042" spans="1:2" x14ac:dyDescent="0.25">
      <c r="A1042">
        <v>24339</v>
      </c>
      <c r="B1042">
        <v>0</v>
      </c>
    </row>
    <row r="1043" spans="1:2" x14ac:dyDescent="0.25">
      <c r="A1043">
        <v>24211</v>
      </c>
      <c r="B1043">
        <v>1</v>
      </c>
    </row>
    <row r="1044" spans="1:2" x14ac:dyDescent="0.25">
      <c r="A1044">
        <v>24337</v>
      </c>
      <c r="B1044">
        <v>0</v>
      </c>
    </row>
    <row r="1045" spans="1:2" x14ac:dyDescent="0.25">
      <c r="A1045">
        <v>24441</v>
      </c>
      <c r="B1045">
        <v>0</v>
      </c>
    </row>
    <row r="1046" spans="1:2" x14ac:dyDescent="0.25">
      <c r="A1046">
        <v>24343</v>
      </c>
      <c r="B1046">
        <v>1</v>
      </c>
    </row>
    <row r="1047" spans="1:2" x14ac:dyDescent="0.25">
      <c r="A1047">
        <v>24447</v>
      </c>
      <c r="B1047">
        <v>0</v>
      </c>
    </row>
    <row r="1048" spans="1:2" x14ac:dyDescent="0.25">
      <c r="A1048">
        <v>51247</v>
      </c>
      <c r="B1048">
        <v>0</v>
      </c>
    </row>
    <row r="1049" spans="1:2" x14ac:dyDescent="0.25">
      <c r="A1049">
        <v>24341</v>
      </c>
      <c r="B1049">
        <v>0</v>
      </c>
    </row>
    <row r="1050" spans="1:2" x14ac:dyDescent="0.25">
      <c r="A1050">
        <v>24227</v>
      </c>
      <c r="B1050">
        <v>0</v>
      </c>
    </row>
    <row r="1051" spans="1:2" x14ac:dyDescent="0.25">
      <c r="A1051">
        <v>24351</v>
      </c>
      <c r="B1051">
        <v>0</v>
      </c>
    </row>
    <row r="1052" spans="1:2" x14ac:dyDescent="0.25">
      <c r="A1052">
        <v>51251</v>
      </c>
      <c r="B1052">
        <v>0</v>
      </c>
    </row>
    <row r="1053" spans="1:2" x14ac:dyDescent="0.25">
      <c r="A1053">
        <v>24431</v>
      </c>
      <c r="B1053">
        <v>0</v>
      </c>
    </row>
    <row r="1054" spans="1:2" x14ac:dyDescent="0.25">
      <c r="A1054">
        <v>52277</v>
      </c>
      <c r="B1054">
        <v>1</v>
      </c>
    </row>
    <row r="1055" spans="1:2" x14ac:dyDescent="0.25">
      <c r="A1055">
        <v>24353</v>
      </c>
      <c r="B1055">
        <v>0</v>
      </c>
    </row>
    <row r="1056" spans="1:2" x14ac:dyDescent="0.25">
      <c r="A1056">
        <v>24484</v>
      </c>
      <c r="B1056">
        <v>0</v>
      </c>
    </row>
    <row r="1057" spans="1:2" x14ac:dyDescent="0.25">
      <c r="A1057">
        <v>51271</v>
      </c>
      <c r="B1057">
        <v>0</v>
      </c>
    </row>
    <row r="1058" spans="1:2" x14ac:dyDescent="0.25">
      <c r="A1058">
        <v>24001</v>
      </c>
      <c r="B1058">
        <v>0</v>
      </c>
    </row>
    <row r="1059" spans="1:2" x14ac:dyDescent="0.25">
      <c r="A1059">
        <v>24437</v>
      </c>
      <c r="B1059">
        <v>0</v>
      </c>
    </row>
    <row r="1060" spans="1:2" x14ac:dyDescent="0.25">
      <c r="A1060">
        <v>24457</v>
      </c>
      <c r="B1060">
        <v>0</v>
      </c>
    </row>
    <row r="1061" spans="1:2" x14ac:dyDescent="0.25">
      <c r="A1061">
        <v>24434</v>
      </c>
      <c r="B1061">
        <v>0</v>
      </c>
    </row>
    <row r="1062" spans="1:2" x14ac:dyDescent="0.25">
      <c r="A1062">
        <v>24451</v>
      </c>
      <c r="B1062">
        <v>0</v>
      </c>
    </row>
    <row r="1063" spans="1:2" x14ac:dyDescent="0.25">
      <c r="A1063">
        <v>24349</v>
      </c>
      <c r="B1063">
        <v>0</v>
      </c>
    </row>
    <row r="1064" spans="1:2" x14ac:dyDescent="0.25">
      <c r="A1064">
        <v>51264</v>
      </c>
      <c r="B1064">
        <v>0</v>
      </c>
    </row>
    <row r="1065" spans="1:2" x14ac:dyDescent="0.25">
      <c r="A1065">
        <v>23141</v>
      </c>
      <c r="B1065">
        <v>0</v>
      </c>
    </row>
    <row r="1066" spans="1:2" x14ac:dyDescent="0.25">
      <c r="A1066">
        <v>51274</v>
      </c>
      <c r="B1066">
        <v>0</v>
      </c>
    </row>
    <row r="1067" spans="1:2" x14ac:dyDescent="0.25">
      <c r="A1067">
        <v>24347</v>
      </c>
      <c r="B1067">
        <v>0</v>
      </c>
    </row>
    <row r="1068" spans="1:2" x14ac:dyDescent="0.25">
      <c r="A1068">
        <v>51261</v>
      </c>
      <c r="B1068">
        <v>0</v>
      </c>
    </row>
    <row r="1069" spans="1:2" x14ac:dyDescent="0.25">
      <c r="A1069">
        <v>24002</v>
      </c>
      <c r="B1069">
        <v>0</v>
      </c>
    </row>
    <row r="1070" spans="1:2" x14ac:dyDescent="0.25">
      <c r="A1070">
        <v>24219</v>
      </c>
      <c r="B1070">
        <v>0</v>
      </c>
    </row>
    <row r="1071" spans="1:2" x14ac:dyDescent="0.25">
      <c r="A1071">
        <v>24365</v>
      </c>
      <c r="B1071">
        <v>0</v>
      </c>
    </row>
    <row r="1072" spans="1:2" x14ac:dyDescent="0.25">
      <c r="A1072">
        <v>0</v>
      </c>
      <c r="B1072">
        <v>0</v>
      </c>
    </row>
    <row r="1073" spans="1:2" x14ac:dyDescent="0.25">
      <c r="A1073">
        <v>24003</v>
      </c>
      <c r="B1073">
        <v>0</v>
      </c>
    </row>
    <row r="1074" spans="1:2" x14ac:dyDescent="0.25">
      <c r="A1074">
        <v>24461</v>
      </c>
      <c r="B1074">
        <v>0</v>
      </c>
    </row>
    <row r="1075" spans="1:2" x14ac:dyDescent="0.25">
      <c r="A1075">
        <v>51287</v>
      </c>
      <c r="B1075">
        <v>1</v>
      </c>
    </row>
    <row r="1076" spans="1:2" x14ac:dyDescent="0.25">
      <c r="A1076">
        <v>24464</v>
      </c>
      <c r="B1076">
        <v>0</v>
      </c>
    </row>
    <row r="1077" spans="1:2" x14ac:dyDescent="0.25">
      <c r="A1077">
        <v>24345</v>
      </c>
      <c r="B1077">
        <v>0</v>
      </c>
    </row>
    <row r="1078" spans="1:2" x14ac:dyDescent="0.25">
      <c r="A1078">
        <v>24443</v>
      </c>
      <c r="B1078">
        <v>0</v>
      </c>
    </row>
    <row r="1079" spans="1:2" x14ac:dyDescent="0.25">
      <c r="A1079">
        <v>24367</v>
      </c>
      <c r="B1079">
        <v>0</v>
      </c>
    </row>
    <row r="1080" spans="1:2" x14ac:dyDescent="0.25">
      <c r="A1080">
        <v>24357</v>
      </c>
      <c r="B1080">
        <v>0</v>
      </c>
    </row>
    <row r="1081" spans="1:2" x14ac:dyDescent="0.25">
      <c r="A1081">
        <v>52295</v>
      </c>
      <c r="B1081">
        <v>0</v>
      </c>
    </row>
    <row r="1082" spans="1:2" x14ac:dyDescent="0.25">
      <c r="A1082">
        <v>51281</v>
      </c>
      <c r="B1082">
        <v>0</v>
      </c>
    </row>
    <row r="1083" spans="1:2" x14ac:dyDescent="0.25">
      <c r="A1083">
        <v>24371</v>
      </c>
      <c r="B1083">
        <v>0</v>
      </c>
    </row>
    <row r="1084" spans="1:2" x14ac:dyDescent="0.25">
      <c r="A1084">
        <v>51277</v>
      </c>
      <c r="B1084">
        <v>0</v>
      </c>
    </row>
    <row r="1085" spans="1:2" x14ac:dyDescent="0.25">
      <c r="A1085">
        <v>23469</v>
      </c>
      <c r="B1085">
        <v>0</v>
      </c>
    </row>
    <row r="1086" spans="1:2" x14ac:dyDescent="0.25">
      <c r="A1086">
        <v>24359</v>
      </c>
      <c r="B1086">
        <v>0</v>
      </c>
    </row>
    <row r="1087" spans="1:2" x14ac:dyDescent="0.25">
      <c r="A1087">
        <v>24235</v>
      </c>
      <c r="B1087">
        <v>0</v>
      </c>
    </row>
    <row r="1088" spans="1:2" x14ac:dyDescent="0.25">
      <c r="A1088">
        <v>24004</v>
      </c>
      <c r="B1088">
        <v>0</v>
      </c>
    </row>
    <row r="1089" spans="1:2" x14ac:dyDescent="0.25">
      <c r="A1089">
        <v>24467</v>
      </c>
      <c r="B1089">
        <v>0</v>
      </c>
    </row>
    <row r="1090" spans="1:2" x14ac:dyDescent="0.25">
      <c r="A1090">
        <v>24471</v>
      </c>
      <c r="B1090">
        <v>0</v>
      </c>
    </row>
    <row r="1091" spans="1:2" x14ac:dyDescent="0.25">
      <c r="A1091">
        <v>24474</v>
      </c>
      <c r="B1091">
        <v>0</v>
      </c>
    </row>
    <row r="1092" spans="1:2" x14ac:dyDescent="0.25">
      <c r="A1092">
        <v>24355</v>
      </c>
      <c r="B1092">
        <v>0</v>
      </c>
    </row>
    <row r="1093" spans="1:2" x14ac:dyDescent="0.25">
      <c r="A1093">
        <v>24481</v>
      </c>
      <c r="B1093">
        <v>0</v>
      </c>
    </row>
    <row r="1094" spans="1:2" x14ac:dyDescent="0.25">
      <c r="A1094">
        <v>24005</v>
      </c>
      <c r="B1094">
        <v>0</v>
      </c>
    </row>
    <row r="1095" spans="1:2" x14ac:dyDescent="0.25">
      <c r="A1095">
        <v>24375</v>
      </c>
      <c r="B1095">
        <v>0</v>
      </c>
    </row>
    <row r="1096" spans="1:2" x14ac:dyDescent="0.25">
      <c r="A1096">
        <v>52176</v>
      </c>
      <c r="B1096">
        <v>0</v>
      </c>
    </row>
    <row r="1097" spans="1:2" x14ac:dyDescent="0.25">
      <c r="A1097">
        <v>24006</v>
      </c>
      <c r="B1097">
        <v>0</v>
      </c>
    </row>
    <row r="1098" spans="1:2" x14ac:dyDescent="0.25">
      <c r="A1098">
        <v>23454</v>
      </c>
      <c r="B1098">
        <v>0</v>
      </c>
    </row>
    <row r="1099" spans="1:2" x14ac:dyDescent="0.25">
      <c r="A1099">
        <v>23453</v>
      </c>
      <c r="B1099">
        <v>0</v>
      </c>
    </row>
    <row r="1100" spans="1:2" x14ac:dyDescent="0.25">
      <c r="A1100">
        <v>24007</v>
      </c>
      <c r="B1100">
        <v>0</v>
      </c>
    </row>
    <row r="1101" spans="1:2" x14ac:dyDescent="0.25">
      <c r="A1101">
        <v>24369</v>
      </c>
      <c r="B1101">
        <v>0</v>
      </c>
    </row>
    <row r="1102" spans="1:2" x14ac:dyDescent="0.25">
      <c r="A1102">
        <v>24361</v>
      </c>
      <c r="B1102">
        <v>0</v>
      </c>
    </row>
    <row r="1103" spans="1:2" x14ac:dyDescent="0.25">
      <c r="A1103">
        <v>24008</v>
      </c>
      <c r="B1103">
        <v>0</v>
      </c>
    </row>
    <row r="1104" spans="1:2" x14ac:dyDescent="0.25">
      <c r="A1104">
        <v>23001</v>
      </c>
      <c r="B1104">
        <v>0</v>
      </c>
    </row>
    <row r="1105" spans="1:2" x14ac:dyDescent="0.25">
      <c r="A1105">
        <v>52271</v>
      </c>
      <c r="B1105">
        <v>0</v>
      </c>
    </row>
    <row r="1106" spans="1:2" x14ac:dyDescent="0.25">
      <c r="A1106">
        <v>23455</v>
      </c>
      <c r="B1106">
        <v>0</v>
      </c>
    </row>
    <row r="1107" spans="1:2" x14ac:dyDescent="0.25">
      <c r="A1107">
        <v>24363</v>
      </c>
      <c r="B1107">
        <v>0</v>
      </c>
    </row>
    <row r="1108" spans="1:2" x14ac:dyDescent="0.25">
      <c r="A1108">
        <v>52001</v>
      </c>
      <c r="B1108">
        <v>0</v>
      </c>
    </row>
    <row r="1109" spans="1:2" x14ac:dyDescent="0.25">
      <c r="A1109">
        <v>52166</v>
      </c>
      <c r="B1109">
        <v>0</v>
      </c>
    </row>
    <row r="1110" spans="1:2" x14ac:dyDescent="0.25">
      <c r="A1110">
        <v>52251</v>
      </c>
      <c r="B1110">
        <v>0</v>
      </c>
    </row>
    <row r="1111" spans="1:2" x14ac:dyDescent="0.25">
      <c r="A1111">
        <v>23259</v>
      </c>
      <c r="B1111">
        <v>0</v>
      </c>
    </row>
    <row r="1112" spans="1:2" x14ac:dyDescent="0.25">
      <c r="A1112">
        <v>23421</v>
      </c>
      <c r="B1112">
        <v>0</v>
      </c>
    </row>
    <row r="1113" spans="1:2" x14ac:dyDescent="0.25">
      <c r="A1113">
        <v>23447</v>
      </c>
      <c r="B1113">
        <v>0</v>
      </c>
    </row>
    <row r="1114" spans="1:2" x14ac:dyDescent="0.25">
      <c r="A1114">
        <v>23411</v>
      </c>
      <c r="B1114">
        <v>1</v>
      </c>
    </row>
    <row r="1115" spans="1:2" x14ac:dyDescent="0.25">
      <c r="A1115">
        <v>52161</v>
      </c>
      <c r="B1115">
        <v>0</v>
      </c>
    </row>
    <row r="1116" spans="1:2" x14ac:dyDescent="0.25">
      <c r="A1116">
        <v>52234</v>
      </c>
      <c r="B1116">
        <v>0</v>
      </c>
    </row>
    <row r="1117" spans="1:2" x14ac:dyDescent="0.25">
      <c r="A1117">
        <v>23461</v>
      </c>
      <c r="B1117">
        <v>0</v>
      </c>
    </row>
    <row r="1118" spans="1:2" x14ac:dyDescent="0.25">
      <c r="A1118">
        <v>52264</v>
      </c>
      <c r="B1118">
        <v>1</v>
      </c>
    </row>
    <row r="1119" spans="1:2" x14ac:dyDescent="0.25">
      <c r="A1119">
        <v>52227</v>
      </c>
      <c r="B1119">
        <v>2</v>
      </c>
    </row>
    <row r="1120" spans="1:2" x14ac:dyDescent="0.25">
      <c r="A1120">
        <v>52171</v>
      </c>
      <c r="B1120">
        <v>0</v>
      </c>
    </row>
    <row r="1121" spans="1:2" x14ac:dyDescent="0.25">
      <c r="A1121">
        <v>23438</v>
      </c>
      <c r="B1121">
        <v>0</v>
      </c>
    </row>
    <row r="1122" spans="1:2" x14ac:dyDescent="0.25">
      <c r="A1122">
        <v>23439</v>
      </c>
      <c r="B1122">
        <v>0</v>
      </c>
    </row>
    <row r="1123" spans="1:2" x14ac:dyDescent="0.25">
      <c r="A1123">
        <v>23267</v>
      </c>
      <c r="B1123">
        <v>0</v>
      </c>
    </row>
    <row r="1124" spans="1:2" x14ac:dyDescent="0.25">
      <c r="A1124">
        <v>23437</v>
      </c>
      <c r="B1124">
        <v>0</v>
      </c>
    </row>
    <row r="1125" spans="1:2" x14ac:dyDescent="0.25">
      <c r="A1125">
        <v>23457</v>
      </c>
      <c r="B1125">
        <v>0</v>
      </c>
    </row>
    <row r="1126" spans="1:2" x14ac:dyDescent="0.25">
      <c r="A1126">
        <v>23279</v>
      </c>
      <c r="B1126">
        <v>0</v>
      </c>
    </row>
    <row r="1127" spans="1:2" x14ac:dyDescent="0.25">
      <c r="A1127">
        <v>23417</v>
      </c>
      <c r="B1127">
        <v>0</v>
      </c>
    </row>
    <row r="1128" spans="1:2" x14ac:dyDescent="0.25">
      <c r="A1128">
        <v>52002</v>
      </c>
      <c r="B1128">
        <v>0</v>
      </c>
    </row>
    <row r="1129" spans="1:2" x14ac:dyDescent="0.25">
      <c r="A1129">
        <v>23441</v>
      </c>
      <c r="B1129">
        <v>0</v>
      </c>
    </row>
    <row r="1130" spans="1:2" x14ac:dyDescent="0.25">
      <c r="A1130">
        <v>23511</v>
      </c>
      <c r="B1130">
        <v>0</v>
      </c>
    </row>
    <row r="1131" spans="1:2" x14ac:dyDescent="0.25">
      <c r="A1131">
        <v>23627</v>
      </c>
      <c r="B1131">
        <v>0</v>
      </c>
    </row>
    <row r="1132" spans="1:2" x14ac:dyDescent="0.25">
      <c r="A1132">
        <v>23522</v>
      </c>
      <c r="B1132">
        <v>0</v>
      </c>
    </row>
    <row r="1133" spans="1:2" x14ac:dyDescent="0.25">
      <c r="A1133">
        <v>23667</v>
      </c>
      <c r="B1133">
        <v>0</v>
      </c>
    </row>
    <row r="1134" spans="1:2" x14ac:dyDescent="0.25">
      <c r="A1134">
        <v>23237</v>
      </c>
      <c r="B1134">
        <v>0</v>
      </c>
    </row>
    <row r="1135" spans="1:2" x14ac:dyDescent="0.25">
      <c r="A1135">
        <v>23615</v>
      </c>
      <c r="B1135">
        <v>0</v>
      </c>
    </row>
    <row r="1136" spans="1:2" x14ac:dyDescent="0.25">
      <c r="A1136">
        <v>23275</v>
      </c>
      <c r="B1136">
        <v>0</v>
      </c>
    </row>
    <row r="1137" spans="1:2" x14ac:dyDescent="0.25">
      <c r="A1137">
        <v>55001</v>
      </c>
      <c r="B1137">
        <v>0</v>
      </c>
    </row>
    <row r="1138" spans="1:2" x14ac:dyDescent="0.25">
      <c r="A1138">
        <v>23555</v>
      </c>
      <c r="B1138">
        <v>0</v>
      </c>
    </row>
    <row r="1139" spans="1:2" x14ac:dyDescent="0.25">
      <c r="A1139">
        <v>52156</v>
      </c>
      <c r="B1139">
        <v>0</v>
      </c>
    </row>
    <row r="1140" spans="1:2" x14ac:dyDescent="0.25">
      <c r="A1140">
        <v>23263</v>
      </c>
      <c r="B1140">
        <v>0</v>
      </c>
    </row>
    <row r="1141" spans="1:2" x14ac:dyDescent="0.25">
      <c r="A1141">
        <v>55194</v>
      </c>
      <c r="B1141">
        <v>1</v>
      </c>
    </row>
    <row r="1142" spans="1:2" x14ac:dyDescent="0.25">
      <c r="A1142">
        <v>23253</v>
      </c>
      <c r="B1142">
        <v>0</v>
      </c>
    </row>
    <row r="1143" spans="1:2" x14ac:dyDescent="0.25">
      <c r="A1143">
        <v>23623</v>
      </c>
      <c r="B1143">
        <v>0</v>
      </c>
    </row>
    <row r="1144" spans="1:2" x14ac:dyDescent="0.25">
      <c r="A1144">
        <v>23255</v>
      </c>
      <c r="B1144">
        <v>0</v>
      </c>
    </row>
    <row r="1145" spans="1:2" x14ac:dyDescent="0.25">
      <c r="A1145">
        <v>52241</v>
      </c>
      <c r="B1145">
        <v>0</v>
      </c>
    </row>
    <row r="1146" spans="1:2" x14ac:dyDescent="0.25">
      <c r="A1146">
        <v>23577</v>
      </c>
      <c r="B1146">
        <v>0</v>
      </c>
    </row>
    <row r="1147" spans="1:2" x14ac:dyDescent="0.25">
      <c r="A1147">
        <v>23544</v>
      </c>
      <c r="B1147">
        <v>0</v>
      </c>
    </row>
    <row r="1148" spans="1:2" x14ac:dyDescent="0.25">
      <c r="A1148">
        <v>52231</v>
      </c>
      <c r="B1148">
        <v>1</v>
      </c>
    </row>
    <row r="1149" spans="1:2" x14ac:dyDescent="0.25">
      <c r="A1149">
        <v>52221</v>
      </c>
      <c r="B1149">
        <v>0</v>
      </c>
    </row>
    <row r="1150" spans="1:2" x14ac:dyDescent="0.25">
      <c r="A1150">
        <v>23533</v>
      </c>
      <c r="B1150">
        <v>0</v>
      </c>
    </row>
    <row r="1151" spans="1:2" x14ac:dyDescent="0.25">
      <c r="A1151">
        <v>52244</v>
      </c>
      <c r="B1151">
        <v>0</v>
      </c>
    </row>
    <row r="1152" spans="1:2" x14ac:dyDescent="0.25">
      <c r="A1152">
        <v>23003</v>
      </c>
      <c r="B1152">
        <v>0</v>
      </c>
    </row>
    <row r="1153" spans="1:2" x14ac:dyDescent="0.25">
      <c r="A1153">
        <v>52151</v>
      </c>
      <c r="B1153">
        <v>0</v>
      </c>
    </row>
    <row r="1154" spans="1:2" x14ac:dyDescent="0.25">
      <c r="A1154">
        <v>23247</v>
      </c>
      <c r="B1154">
        <v>0</v>
      </c>
    </row>
    <row r="1155" spans="1:2" x14ac:dyDescent="0.25">
      <c r="A1155">
        <v>23611</v>
      </c>
      <c r="B1155">
        <v>0</v>
      </c>
    </row>
    <row r="1156" spans="1:2" x14ac:dyDescent="0.25">
      <c r="A1156">
        <v>52211</v>
      </c>
      <c r="B1156">
        <v>0</v>
      </c>
    </row>
    <row r="1157" spans="1:2" x14ac:dyDescent="0.25">
      <c r="A1157">
        <v>23227</v>
      </c>
      <c r="B1157">
        <v>0</v>
      </c>
    </row>
    <row r="1158" spans="1:2" x14ac:dyDescent="0.25">
      <c r="A1158">
        <v>23259</v>
      </c>
      <c r="B1158">
        <v>0</v>
      </c>
    </row>
    <row r="1159" spans="1:2" x14ac:dyDescent="0.25">
      <c r="A1159">
        <v>23643</v>
      </c>
      <c r="B1159">
        <v>0</v>
      </c>
    </row>
    <row r="1160" spans="1:2" x14ac:dyDescent="0.25">
      <c r="A1160">
        <v>23251</v>
      </c>
      <c r="B1160">
        <v>2</v>
      </c>
    </row>
    <row r="1161" spans="1:2" x14ac:dyDescent="0.25">
      <c r="A1161">
        <v>23635</v>
      </c>
      <c r="B1161">
        <v>0</v>
      </c>
    </row>
    <row r="1162" spans="1:2" x14ac:dyDescent="0.25">
      <c r="A1162">
        <v>23619</v>
      </c>
      <c r="B1162">
        <v>0</v>
      </c>
    </row>
    <row r="1163" spans="1:2" x14ac:dyDescent="0.25">
      <c r="A1163">
        <v>23651</v>
      </c>
      <c r="B1163">
        <v>0</v>
      </c>
    </row>
    <row r="1164" spans="1:2" x14ac:dyDescent="0.25">
      <c r="A1164">
        <v>23566</v>
      </c>
      <c r="B1164">
        <v>0</v>
      </c>
    </row>
    <row r="1165" spans="1:2" x14ac:dyDescent="0.25">
      <c r="A1165">
        <v>23631</v>
      </c>
      <c r="B1165">
        <v>0</v>
      </c>
    </row>
    <row r="1166" spans="1:2" x14ac:dyDescent="0.25">
      <c r="A1166">
        <v>23223</v>
      </c>
      <c r="B1166">
        <v>0</v>
      </c>
    </row>
    <row r="1167" spans="1:2" x14ac:dyDescent="0.25">
      <c r="A1167">
        <v>52217</v>
      </c>
      <c r="B1167">
        <v>0</v>
      </c>
    </row>
    <row r="1168" spans="1:2" x14ac:dyDescent="0.25">
      <c r="A1168">
        <v>23211</v>
      </c>
      <c r="B1168">
        <v>0</v>
      </c>
    </row>
    <row r="1169" spans="1:2" x14ac:dyDescent="0.25">
      <c r="A1169">
        <v>23639</v>
      </c>
      <c r="B1169">
        <v>0</v>
      </c>
    </row>
    <row r="1170" spans="1:2" x14ac:dyDescent="0.25">
      <c r="A1170">
        <v>23271</v>
      </c>
      <c r="B1170">
        <v>0</v>
      </c>
    </row>
    <row r="1171" spans="1:2" x14ac:dyDescent="0.25">
      <c r="A1171">
        <v>23239</v>
      </c>
      <c r="B1171">
        <v>1</v>
      </c>
    </row>
    <row r="1172" spans="1:2" x14ac:dyDescent="0.25">
      <c r="A1172">
        <v>23588</v>
      </c>
      <c r="B1172">
        <v>0</v>
      </c>
    </row>
    <row r="1173" spans="1:2" x14ac:dyDescent="0.25">
      <c r="A1173">
        <v>23235</v>
      </c>
      <c r="B1173">
        <v>0</v>
      </c>
    </row>
    <row r="1174" spans="1:2" x14ac:dyDescent="0.25">
      <c r="A1174">
        <v>52003</v>
      </c>
      <c r="B1174">
        <v>0</v>
      </c>
    </row>
    <row r="1175" spans="1:2" x14ac:dyDescent="0.25">
      <c r="A1175">
        <v>23243</v>
      </c>
      <c r="B1175">
        <v>0</v>
      </c>
    </row>
    <row r="1176" spans="1:2" x14ac:dyDescent="0.25">
      <c r="A1176">
        <v>52146</v>
      </c>
      <c r="B1176">
        <v>1</v>
      </c>
    </row>
    <row r="1177" spans="1:2" x14ac:dyDescent="0.25">
      <c r="A1177">
        <v>23219</v>
      </c>
      <c r="B1177">
        <v>0</v>
      </c>
    </row>
    <row r="1178" spans="1:2" x14ac:dyDescent="0.25">
      <c r="A1178">
        <v>23659</v>
      </c>
      <c r="B1178">
        <v>0</v>
      </c>
    </row>
    <row r="1179" spans="1:2" x14ac:dyDescent="0.25">
      <c r="A1179">
        <v>55184</v>
      </c>
      <c r="B1179">
        <v>0</v>
      </c>
    </row>
    <row r="1180" spans="1:2" x14ac:dyDescent="0.25">
      <c r="A1180">
        <v>23647</v>
      </c>
      <c r="B1180">
        <v>0</v>
      </c>
    </row>
    <row r="1181" spans="1:2" x14ac:dyDescent="0.25">
      <c r="A1181">
        <v>55197</v>
      </c>
      <c r="B1181">
        <v>0</v>
      </c>
    </row>
    <row r="1182" spans="1:2" x14ac:dyDescent="0.25">
      <c r="A1182">
        <v>23004</v>
      </c>
      <c r="B1182">
        <v>0</v>
      </c>
    </row>
    <row r="1183" spans="1:2" x14ac:dyDescent="0.25">
      <c r="A1183">
        <v>52136</v>
      </c>
      <c r="B1183">
        <v>0</v>
      </c>
    </row>
    <row r="1184" spans="1:2" x14ac:dyDescent="0.25">
      <c r="A1184">
        <v>52214</v>
      </c>
      <c r="B1184">
        <v>1</v>
      </c>
    </row>
    <row r="1185" spans="1:2" x14ac:dyDescent="0.25">
      <c r="A1185">
        <v>55164</v>
      </c>
      <c r="B1185">
        <v>0</v>
      </c>
    </row>
    <row r="1186" spans="1:2" x14ac:dyDescent="0.25">
      <c r="A1186">
        <v>23231</v>
      </c>
      <c r="B1186">
        <v>0</v>
      </c>
    </row>
    <row r="1187" spans="1:2" x14ac:dyDescent="0.25">
      <c r="A1187">
        <v>55181</v>
      </c>
      <c r="B1187">
        <v>0</v>
      </c>
    </row>
    <row r="1188" spans="1:2" x14ac:dyDescent="0.25">
      <c r="A1188">
        <v>23005</v>
      </c>
      <c r="B1188">
        <v>0</v>
      </c>
    </row>
    <row r="1189" spans="1:2" x14ac:dyDescent="0.25">
      <c r="A1189">
        <v>23331</v>
      </c>
      <c r="B1189">
        <v>0</v>
      </c>
    </row>
    <row r="1190" spans="1:2" x14ac:dyDescent="0.25">
      <c r="A1190">
        <v>23687</v>
      </c>
      <c r="B1190">
        <v>0</v>
      </c>
    </row>
    <row r="1191" spans="1:2" x14ac:dyDescent="0.25">
      <c r="A1191">
        <v>23215</v>
      </c>
      <c r="B1191">
        <v>0</v>
      </c>
    </row>
    <row r="1192" spans="1:2" x14ac:dyDescent="0.25">
      <c r="A1192">
        <v>23321</v>
      </c>
      <c r="B1192">
        <v>0</v>
      </c>
    </row>
    <row r="1193" spans="1:2" x14ac:dyDescent="0.25">
      <c r="A1193">
        <v>23381</v>
      </c>
      <c r="B1193">
        <v>0</v>
      </c>
    </row>
    <row r="1194" spans="1:2" x14ac:dyDescent="0.25">
      <c r="A1194">
        <v>23671</v>
      </c>
      <c r="B1194">
        <v>0</v>
      </c>
    </row>
    <row r="1195" spans="1:2" x14ac:dyDescent="0.25">
      <c r="A1195">
        <v>55177</v>
      </c>
      <c r="B1195">
        <v>0</v>
      </c>
    </row>
    <row r="1196" spans="1:2" x14ac:dyDescent="0.25">
      <c r="A1196">
        <v>23376</v>
      </c>
      <c r="B1196">
        <v>0</v>
      </c>
    </row>
    <row r="1197" spans="1:2" x14ac:dyDescent="0.25">
      <c r="A1197">
        <v>23386</v>
      </c>
      <c r="B1197">
        <v>0</v>
      </c>
    </row>
    <row r="1198" spans="1:2" x14ac:dyDescent="0.25">
      <c r="A1198">
        <v>23365</v>
      </c>
      <c r="B1198">
        <v>0</v>
      </c>
    </row>
    <row r="1199" spans="1:2" x14ac:dyDescent="0.25">
      <c r="A1199">
        <v>23341</v>
      </c>
      <c r="B1199">
        <v>0</v>
      </c>
    </row>
    <row r="1200" spans="1:2" x14ac:dyDescent="0.25">
      <c r="A1200">
        <v>55184</v>
      </c>
      <c r="B1200">
        <v>0</v>
      </c>
    </row>
    <row r="1201" spans="1:2" x14ac:dyDescent="0.25">
      <c r="A1201">
        <v>23675</v>
      </c>
      <c r="B1201">
        <v>0</v>
      </c>
    </row>
    <row r="1202" spans="1:2" x14ac:dyDescent="0.25">
      <c r="A1202">
        <v>23326</v>
      </c>
      <c r="B1202">
        <v>0</v>
      </c>
    </row>
    <row r="1203" spans="1:2" x14ac:dyDescent="0.25">
      <c r="A1203">
        <v>52224</v>
      </c>
      <c r="B1203">
        <v>0</v>
      </c>
    </row>
    <row r="1204" spans="1:2" x14ac:dyDescent="0.25">
      <c r="A1204">
        <v>23316</v>
      </c>
      <c r="B1204">
        <v>0</v>
      </c>
    </row>
    <row r="1205" spans="1:2" x14ac:dyDescent="0.25">
      <c r="A1205">
        <v>23311</v>
      </c>
      <c r="B1205">
        <v>0</v>
      </c>
    </row>
    <row r="1206" spans="1:2" x14ac:dyDescent="0.25">
      <c r="A1206">
        <v>23351</v>
      </c>
      <c r="B1206">
        <v>0</v>
      </c>
    </row>
    <row r="1207" spans="1:2" x14ac:dyDescent="0.25">
      <c r="A1207">
        <v>23366</v>
      </c>
      <c r="B1207">
        <v>0</v>
      </c>
    </row>
    <row r="1208" spans="1:2" x14ac:dyDescent="0.25">
      <c r="A1208">
        <v>23625</v>
      </c>
      <c r="B1208">
        <v>0</v>
      </c>
    </row>
    <row r="1209" spans="1:2" x14ac:dyDescent="0.25">
      <c r="A1209">
        <v>23361</v>
      </c>
      <c r="B1209">
        <v>0</v>
      </c>
    </row>
    <row r="1210" spans="1:2" x14ac:dyDescent="0.25">
      <c r="A1210">
        <v>52131</v>
      </c>
      <c r="B1210">
        <v>0</v>
      </c>
    </row>
    <row r="1211" spans="1:2" x14ac:dyDescent="0.25">
      <c r="A1211">
        <v>23356</v>
      </c>
      <c r="B1211">
        <v>0</v>
      </c>
    </row>
    <row r="1212" spans="1:2" x14ac:dyDescent="0.25">
      <c r="A1212">
        <v>52126</v>
      </c>
      <c r="B1212">
        <v>0</v>
      </c>
    </row>
    <row r="1213" spans="1:2" x14ac:dyDescent="0.25">
      <c r="A1213">
        <v>55151</v>
      </c>
      <c r="B1213">
        <v>0</v>
      </c>
    </row>
    <row r="1214" spans="1:2" x14ac:dyDescent="0.25">
      <c r="A1214">
        <v>63161</v>
      </c>
      <c r="B1214">
        <v>0</v>
      </c>
    </row>
    <row r="1215" spans="1:2" x14ac:dyDescent="0.25">
      <c r="A1215">
        <v>23006</v>
      </c>
      <c r="B1215">
        <v>0</v>
      </c>
    </row>
    <row r="1216" spans="1:2" x14ac:dyDescent="0.25">
      <c r="A1216">
        <v>23346</v>
      </c>
      <c r="B1216">
        <v>0</v>
      </c>
    </row>
    <row r="1217" spans="1:2" x14ac:dyDescent="0.25">
      <c r="A1217">
        <v>23336</v>
      </c>
      <c r="B1217">
        <v>0</v>
      </c>
    </row>
    <row r="1218" spans="1:2" x14ac:dyDescent="0.25">
      <c r="A1218">
        <v>55167</v>
      </c>
      <c r="B1218">
        <v>0</v>
      </c>
    </row>
    <row r="1219" spans="1:2" x14ac:dyDescent="0.25">
      <c r="A1219">
        <v>63171</v>
      </c>
      <c r="B1219">
        <v>0</v>
      </c>
    </row>
    <row r="1220" spans="1:2" x14ac:dyDescent="0.25">
      <c r="A1220">
        <v>55157</v>
      </c>
      <c r="B1220">
        <v>0</v>
      </c>
    </row>
    <row r="1221" spans="1:2" x14ac:dyDescent="0.25">
      <c r="A1221">
        <v>61111</v>
      </c>
      <c r="B1221">
        <v>0</v>
      </c>
    </row>
    <row r="1222" spans="1:2" x14ac:dyDescent="0.25">
      <c r="A1222">
        <v>63181</v>
      </c>
      <c r="B1222">
        <v>0</v>
      </c>
    </row>
    <row r="1223" spans="1:2" x14ac:dyDescent="0.25">
      <c r="A1223">
        <v>23007</v>
      </c>
      <c r="B1223">
        <v>0</v>
      </c>
    </row>
    <row r="1224" spans="1:2" x14ac:dyDescent="0.25">
      <c r="A1224">
        <v>61266</v>
      </c>
      <c r="B1224">
        <v>0</v>
      </c>
    </row>
    <row r="1225" spans="1:2" x14ac:dyDescent="0.25">
      <c r="A1225">
        <v>63141</v>
      </c>
      <c r="B1225">
        <v>0</v>
      </c>
    </row>
    <row r="1226" spans="1:2" x14ac:dyDescent="0.25">
      <c r="A1226">
        <v>55191</v>
      </c>
      <c r="B1226">
        <v>0</v>
      </c>
    </row>
    <row r="1227" spans="1:2" x14ac:dyDescent="0.25">
      <c r="A1227">
        <v>23371</v>
      </c>
      <c r="B1227">
        <v>0</v>
      </c>
    </row>
    <row r="1228" spans="1:2" x14ac:dyDescent="0.25">
      <c r="A1228">
        <v>55002</v>
      </c>
      <c r="B1228">
        <v>0</v>
      </c>
    </row>
    <row r="1229" spans="1:2" x14ac:dyDescent="0.25">
      <c r="A1229">
        <v>52237</v>
      </c>
      <c r="B1229">
        <v>1</v>
      </c>
    </row>
    <row r="1230" spans="1:2" x14ac:dyDescent="0.25">
      <c r="A1230">
        <v>63191</v>
      </c>
      <c r="B1230">
        <v>0</v>
      </c>
    </row>
    <row r="1231" spans="1:2" x14ac:dyDescent="0.25">
      <c r="A1231">
        <v>63001</v>
      </c>
      <c r="B1231">
        <v>0</v>
      </c>
    </row>
    <row r="1232" spans="1:2" x14ac:dyDescent="0.25">
      <c r="A1232">
        <v>63157</v>
      </c>
      <c r="B1232">
        <v>0</v>
      </c>
    </row>
    <row r="1233" spans="1:2" x14ac:dyDescent="0.25">
      <c r="A1233">
        <v>55141</v>
      </c>
      <c r="B1233">
        <v>0</v>
      </c>
    </row>
    <row r="1234" spans="1:2" x14ac:dyDescent="0.25">
      <c r="A1234">
        <v>63297</v>
      </c>
      <c r="B1234">
        <v>0</v>
      </c>
    </row>
    <row r="1235" spans="1:2" x14ac:dyDescent="0.25">
      <c r="A1235">
        <v>52121</v>
      </c>
      <c r="B1235">
        <v>0</v>
      </c>
    </row>
    <row r="1236" spans="1:2" x14ac:dyDescent="0.25">
      <c r="A1236">
        <v>63144</v>
      </c>
      <c r="B1236">
        <v>0</v>
      </c>
    </row>
    <row r="1237" spans="1:2" x14ac:dyDescent="0.25">
      <c r="A1237">
        <v>61123</v>
      </c>
      <c r="B1237">
        <v>0</v>
      </c>
    </row>
    <row r="1238" spans="1:2" x14ac:dyDescent="0.25">
      <c r="A1238">
        <v>55134</v>
      </c>
      <c r="B1238">
        <v>0</v>
      </c>
    </row>
    <row r="1239" spans="1:2" x14ac:dyDescent="0.25">
      <c r="A1239">
        <v>63151</v>
      </c>
      <c r="B1239">
        <v>0</v>
      </c>
    </row>
    <row r="1240" spans="1:2" x14ac:dyDescent="0.25">
      <c r="A1240">
        <v>63291</v>
      </c>
      <c r="B1240">
        <v>0</v>
      </c>
    </row>
    <row r="1241" spans="1:2" x14ac:dyDescent="0.25">
      <c r="A1241">
        <v>63187</v>
      </c>
      <c r="B1241">
        <v>0</v>
      </c>
    </row>
    <row r="1242" spans="1:2" x14ac:dyDescent="0.25">
      <c r="A1242">
        <v>61244</v>
      </c>
      <c r="B1242">
        <v>2</v>
      </c>
    </row>
    <row r="1243" spans="1:2" x14ac:dyDescent="0.25">
      <c r="A1243">
        <v>63244</v>
      </c>
      <c r="B1243">
        <v>0</v>
      </c>
    </row>
    <row r="1244" spans="1:2" x14ac:dyDescent="0.25">
      <c r="A1244">
        <v>63131</v>
      </c>
      <c r="B1244">
        <v>1</v>
      </c>
    </row>
    <row r="1245" spans="1:2" x14ac:dyDescent="0.25">
      <c r="A1245">
        <v>63124</v>
      </c>
      <c r="B1245">
        <v>0</v>
      </c>
    </row>
    <row r="1246" spans="1:2" x14ac:dyDescent="0.25">
      <c r="A1246">
        <v>63274</v>
      </c>
      <c r="B1246">
        <v>0</v>
      </c>
    </row>
    <row r="1247" spans="1:2" x14ac:dyDescent="0.25">
      <c r="A1247">
        <v>55187</v>
      </c>
      <c r="B1247">
        <v>0</v>
      </c>
    </row>
    <row r="1248" spans="1:2" x14ac:dyDescent="0.25">
      <c r="A1248">
        <v>61147</v>
      </c>
      <c r="B1248">
        <v>2</v>
      </c>
    </row>
    <row r="1249" spans="1:2" x14ac:dyDescent="0.25">
      <c r="A1249">
        <v>63274</v>
      </c>
      <c r="B1249">
        <v>0</v>
      </c>
    </row>
    <row r="1250" spans="1:2" x14ac:dyDescent="0.25">
      <c r="A1250">
        <v>63184</v>
      </c>
      <c r="B1250">
        <v>0</v>
      </c>
    </row>
    <row r="1251" spans="1:2" x14ac:dyDescent="0.25">
      <c r="A1251">
        <v>63134</v>
      </c>
      <c r="B1251">
        <v>0</v>
      </c>
    </row>
    <row r="1252" spans="1:2" x14ac:dyDescent="0.25">
      <c r="A1252">
        <v>61119</v>
      </c>
      <c r="B1252">
        <v>0</v>
      </c>
    </row>
    <row r="1253" spans="1:2" x14ac:dyDescent="0.25">
      <c r="A1253">
        <v>61115</v>
      </c>
      <c r="B1253">
        <v>23</v>
      </c>
    </row>
    <row r="1254" spans="1:2" x14ac:dyDescent="0.25">
      <c r="A1254">
        <v>63277</v>
      </c>
      <c r="B1254">
        <v>1</v>
      </c>
    </row>
    <row r="1255" spans="1:2" x14ac:dyDescent="0.25">
      <c r="A1255">
        <v>63211</v>
      </c>
      <c r="B1255">
        <v>0</v>
      </c>
    </row>
    <row r="1256" spans="1:2" x14ac:dyDescent="0.25">
      <c r="A1256">
        <v>63174</v>
      </c>
      <c r="B1256">
        <v>0</v>
      </c>
    </row>
    <row r="1257" spans="1:2" x14ac:dyDescent="0.25">
      <c r="A1257">
        <v>63237</v>
      </c>
      <c r="B1257">
        <v>0</v>
      </c>
    </row>
    <row r="1258" spans="1:2" x14ac:dyDescent="0.25">
      <c r="A1258">
        <v>61211</v>
      </c>
      <c r="B1258">
        <v>0</v>
      </c>
    </row>
    <row r="1259" spans="1:2" x14ac:dyDescent="0.25">
      <c r="A1259">
        <v>63111</v>
      </c>
      <c r="B1259">
        <v>4</v>
      </c>
    </row>
    <row r="1260" spans="1:2" x14ac:dyDescent="0.25">
      <c r="A1260">
        <v>61159</v>
      </c>
      <c r="B1260">
        <v>3</v>
      </c>
    </row>
    <row r="1261" spans="1:2" x14ac:dyDescent="0.25">
      <c r="A1261">
        <v>61233</v>
      </c>
      <c r="B1261">
        <v>1</v>
      </c>
    </row>
    <row r="1262" spans="1:2" x14ac:dyDescent="0.25">
      <c r="A1262">
        <v>61222</v>
      </c>
      <c r="B1262">
        <v>0</v>
      </c>
    </row>
    <row r="1263" spans="1:2" x14ac:dyDescent="0.25">
      <c r="A1263">
        <v>63227</v>
      </c>
      <c r="B1263">
        <v>0</v>
      </c>
    </row>
    <row r="1264" spans="1:2" x14ac:dyDescent="0.25">
      <c r="A1264">
        <v>55137</v>
      </c>
      <c r="B1264">
        <v>0</v>
      </c>
    </row>
    <row r="1265" spans="1:2" x14ac:dyDescent="0.25">
      <c r="A1265">
        <v>63247</v>
      </c>
      <c r="B1265">
        <v>1</v>
      </c>
    </row>
    <row r="1266" spans="1:2" x14ac:dyDescent="0.25">
      <c r="A1266">
        <v>63127</v>
      </c>
      <c r="B1266">
        <v>0</v>
      </c>
    </row>
    <row r="1267" spans="1:2" x14ac:dyDescent="0.25">
      <c r="A1267">
        <v>55174</v>
      </c>
      <c r="B1267">
        <v>0</v>
      </c>
    </row>
    <row r="1268" spans="1:2" x14ac:dyDescent="0.25">
      <c r="A1268">
        <v>63217</v>
      </c>
      <c r="B1268">
        <v>0</v>
      </c>
    </row>
    <row r="1269" spans="1:2" x14ac:dyDescent="0.25">
      <c r="A1269">
        <v>55003</v>
      </c>
      <c r="B1269">
        <v>0</v>
      </c>
    </row>
    <row r="1270" spans="1:2" x14ac:dyDescent="0.25">
      <c r="A1270">
        <v>63114</v>
      </c>
      <c r="B1270">
        <v>0</v>
      </c>
    </row>
    <row r="1271" spans="1:2" x14ac:dyDescent="0.25">
      <c r="A1271">
        <v>52111</v>
      </c>
      <c r="B1271">
        <v>5</v>
      </c>
    </row>
    <row r="1272" spans="1:2" x14ac:dyDescent="0.25">
      <c r="A1272">
        <v>61277</v>
      </c>
      <c r="B1272">
        <v>1</v>
      </c>
    </row>
    <row r="1273" spans="1:2" x14ac:dyDescent="0.25">
      <c r="A1273">
        <v>61255</v>
      </c>
      <c r="B1273">
        <v>1</v>
      </c>
    </row>
    <row r="1274" spans="1:2" x14ac:dyDescent="0.25">
      <c r="A1274">
        <v>63267</v>
      </c>
      <c r="B1274">
        <v>1</v>
      </c>
    </row>
    <row r="1275" spans="1:2" x14ac:dyDescent="0.25">
      <c r="A1275">
        <v>55124</v>
      </c>
      <c r="B1275">
        <v>0</v>
      </c>
    </row>
    <row r="1276" spans="1:2" x14ac:dyDescent="0.25">
      <c r="A1276">
        <v>61183</v>
      </c>
      <c r="B1276">
        <v>10</v>
      </c>
    </row>
    <row r="1277" spans="1:2" x14ac:dyDescent="0.25">
      <c r="A1277">
        <v>63251</v>
      </c>
      <c r="B1277">
        <v>1</v>
      </c>
    </row>
    <row r="1278" spans="1:2" x14ac:dyDescent="0.25">
      <c r="A1278">
        <v>63121</v>
      </c>
      <c r="B1278">
        <v>0</v>
      </c>
    </row>
    <row r="1279" spans="1:2" x14ac:dyDescent="0.25">
      <c r="A1279">
        <v>55004</v>
      </c>
      <c r="B1279">
        <v>0</v>
      </c>
    </row>
    <row r="1280" spans="1:2" x14ac:dyDescent="0.25">
      <c r="A1280">
        <v>63117</v>
      </c>
      <c r="B1280">
        <v>0</v>
      </c>
    </row>
    <row r="1281" spans="1:2" x14ac:dyDescent="0.25">
      <c r="A1281">
        <v>55144</v>
      </c>
      <c r="B1281">
        <v>0</v>
      </c>
    </row>
    <row r="1282" spans="1:2" x14ac:dyDescent="0.25">
      <c r="A1282">
        <v>63261</v>
      </c>
      <c r="B1282">
        <v>1</v>
      </c>
    </row>
    <row r="1283" spans="1:2" x14ac:dyDescent="0.25">
      <c r="A1283">
        <v>61335</v>
      </c>
      <c r="B1283">
        <v>0</v>
      </c>
    </row>
    <row r="1284" spans="1:2" x14ac:dyDescent="0.25">
      <c r="A1284">
        <v>63214</v>
      </c>
      <c r="B1284">
        <v>1</v>
      </c>
    </row>
    <row r="1285" spans="1:2" x14ac:dyDescent="0.25">
      <c r="A1285">
        <v>0</v>
      </c>
      <c r="B1285">
        <v>0</v>
      </c>
    </row>
    <row r="1286" spans="1:2" x14ac:dyDescent="0.25">
      <c r="A1286">
        <v>63221</v>
      </c>
      <c r="B1286">
        <v>0</v>
      </c>
    </row>
    <row r="1287" spans="1:2" x14ac:dyDescent="0.25">
      <c r="A1287">
        <v>55111</v>
      </c>
      <c r="B1287">
        <v>1</v>
      </c>
    </row>
    <row r="1288" spans="1:2" x14ac:dyDescent="0.25">
      <c r="A1288">
        <v>63264</v>
      </c>
      <c r="B1288">
        <v>0</v>
      </c>
    </row>
    <row r="1289" spans="1:2" x14ac:dyDescent="0.25">
      <c r="A1289">
        <v>55005</v>
      </c>
      <c r="B1289">
        <v>0</v>
      </c>
    </row>
    <row r="1290" spans="1:2" x14ac:dyDescent="0.25">
      <c r="A1290">
        <v>61311</v>
      </c>
      <c r="B1290">
        <v>1</v>
      </c>
    </row>
    <row r="1291" spans="1:2" x14ac:dyDescent="0.25">
      <c r="A1291">
        <v>61371</v>
      </c>
      <c r="B1291">
        <v>0</v>
      </c>
    </row>
    <row r="1292" spans="1:2" x14ac:dyDescent="0.25">
      <c r="A1292">
        <v>63284</v>
      </c>
      <c r="B1292">
        <v>0</v>
      </c>
    </row>
    <row r="1293" spans="1:2" x14ac:dyDescent="0.25">
      <c r="A1293">
        <v>63231</v>
      </c>
      <c r="B1293">
        <v>0</v>
      </c>
    </row>
    <row r="1294" spans="1:2" x14ac:dyDescent="0.25">
      <c r="A1294">
        <v>63147</v>
      </c>
      <c r="B1294">
        <v>0</v>
      </c>
    </row>
    <row r="1295" spans="1:2" x14ac:dyDescent="0.25">
      <c r="A1295">
        <v>63254</v>
      </c>
      <c r="B1295">
        <v>0</v>
      </c>
    </row>
    <row r="1296" spans="1:2" x14ac:dyDescent="0.25">
      <c r="A1296">
        <v>61323</v>
      </c>
      <c r="B1296">
        <v>1</v>
      </c>
    </row>
    <row r="1297" spans="1:2" x14ac:dyDescent="0.25">
      <c r="A1297">
        <v>63234</v>
      </c>
      <c r="B1297">
        <v>0</v>
      </c>
    </row>
    <row r="1298" spans="1:2" x14ac:dyDescent="0.25">
      <c r="A1298">
        <v>61488</v>
      </c>
      <c r="B1298">
        <v>0</v>
      </c>
    </row>
    <row r="1299" spans="1:2" x14ac:dyDescent="0.25">
      <c r="A1299">
        <v>55154</v>
      </c>
      <c r="B1299">
        <v>0</v>
      </c>
    </row>
    <row r="1300" spans="1:2" x14ac:dyDescent="0.25">
      <c r="A1300">
        <v>61383</v>
      </c>
      <c r="B1300">
        <v>0</v>
      </c>
    </row>
    <row r="1301" spans="1:2" x14ac:dyDescent="0.25">
      <c r="A1301">
        <v>63281</v>
      </c>
      <c r="B1301">
        <v>0</v>
      </c>
    </row>
    <row r="1302" spans="1:2" x14ac:dyDescent="0.25">
      <c r="A1302">
        <v>63271</v>
      </c>
      <c r="B1302">
        <v>0</v>
      </c>
    </row>
    <row r="1303" spans="1:2" x14ac:dyDescent="0.25">
      <c r="A1303">
        <v>52267</v>
      </c>
      <c r="B1303">
        <v>1</v>
      </c>
    </row>
    <row r="1304" spans="1:2" x14ac:dyDescent="0.25">
      <c r="A1304">
        <v>63257</v>
      </c>
      <c r="B1304">
        <v>0</v>
      </c>
    </row>
    <row r="1305" spans="1:2" x14ac:dyDescent="0.25">
      <c r="A1305">
        <v>63224</v>
      </c>
      <c r="B1305">
        <v>0</v>
      </c>
    </row>
    <row r="1306" spans="1:2" x14ac:dyDescent="0.25">
      <c r="A1306">
        <v>63241</v>
      </c>
      <c r="B1306">
        <v>0</v>
      </c>
    </row>
    <row r="1307" spans="1:2" x14ac:dyDescent="0.25">
      <c r="A1307">
        <v>63137</v>
      </c>
      <c r="B1307">
        <v>0</v>
      </c>
    </row>
    <row r="1308" spans="1:2" x14ac:dyDescent="0.25">
      <c r="A1308">
        <v>63287</v>
      </c>
      <c r="B1308">
        <v>0</v>
      </c>
    </row>
    <row r="1309" spans="1:2" x14ac:dyDescent="0.25">
      <c r="A1309">
        <v>61484</v>
      </c>
      <c r="B1309">
        <v>0</v>
      </c>
    </row>
    <row r="1310" spans="1:2" x14ac:dyDescent="0.25">
      <c r="A1310">
        <v>55114</v>
      </c>
      <c r="B1310">
        <v>0</v>
      </c>
    </row>
    <row r="1311" spans="1:2" x14ac:dyDescent="0.25">
      <c r="A1311">
        <v>55117</v>
      </c>
      <c r="B1311">
        <v>0</v>
      </c>
    </row>
    <row r="1312" spans="1:2" x14ac:dyDescent="0.25">
      <c r="A1312">
        <v>61359</v>
      </c>
      <c r="B1312">
        <v>0</v>
      </c>
    </row>
    <row r="1313" spans="1:2" x14ac:dyDescent="0.25">
      <c r="A1313">
        <v>61489</v>
      </c>
      <c r="B1313">
        <v>1</v>
      </c>
    </row>
    <row r="1314" spans="1:2" x14ac:dyDescent="0.25">
      <c r="A1314">
        <v>61493</v>
      </c>
      <c r="B1314">
        <v>0</v>
      </c>
    </row>
    <row r="1315" spans="1:2" x14ac:dyDescent="0.25">
      <c r="A1315">
        <v>61497</v>
      </c>
      <c r="B1315">
        <v>0</v>
      </c>
    </row>
    <row r="1316" spans="1:2" x14ac:dyDescent="0.25">
      <c r="A1316">
        <v>63154</v>
      </c>
      <c r="B1316">
        <v>0</v>
      </c>
    </row>
    <row r="1317" spans="1:2" x14ac:dyDescent="0.25">
      <c r="A1317">
        <v>61496</v>
      </c>
      <c r="B1317">
        <v>0</v>
      </c>
    </row>
    <row r="1318" spans="1:2" x14ac:dyDescent="0.25">
      <c r="A1318">
        <v>63177</v>
      </c>
      <c r="B1318">
        <v>0</v>
      </c>
    </row>
    <row r="1319" spans="1:2" x14ac:dyDescent="0.25">
      <c r="A1319">
        <v>61347</v>
      </c>
      <c r="B1319">
        <v>1</v>
      </c>
    </row>
    <row r="1320" spans="1:2" x14ac:dyDescent="0.25">
      <c r="A1320">
        <v>63385</v>
      </c>
      <c r="B1320">
        <v>0</v>
      </c>
    </row>
    <row r="1321" spans="1:2" x14ac:dyDescent="0.25">
      <c r="A1321">
        <v>55199</v>
      </c>
      <c r="B1321">
        <v>1</v>
      </c>
    </row>
    <row r="1322" spans="1:2" x14ac:dyDescent="0.25">
      <c r="A1322">
        <v>0</v>
      </c>
      <c r="B1322">
        <v>0</v>
      </c>
    </row>
    <row r="1323" spans="1:2" x14ac:dyDescent="0.25">
      <c r="A1323">
        <v>63167</v>
      </c>
      <c r="B1323">
        <v>0</v>
      </c>
    </row>
    <row r="1324" spans="1:2" x14ac:dyDescent="0.25">
      <c r="A1324">
        <v>71211</v>
      </c>
      <c r="B1324">
        <v>0</v>
      </c>
    </row>
    <row r="1325" spans="1:2" x14ac:dyDescent="0.25">
      <c r="A1325">
        <v>55111</v>
      </c>
      <c r="B1325">
        <v>0</v>
      </c>
    </row>
    <row r="1326" spans="1:2" x14ac:dyDescent="0.25">
      <c r="A1326">
        <v>63164</v>
      </c>
      <c r="B1326">
        <v>0</v>
      </c>
    </row>
    <row r="1327" spans="1:2" x14ac:dyDescent="0.25">
      <c r="A1327">
        <v>52116</v>
      </c>
      <c r="B1327">
        <v>2</v>
      </c>
    </row>
    <row r="1328" spans="1:2" x14ac:dyDescent="0.25">
      <c r="A1328">
        <v>61477</v>
      </c>
      <c r="B1328">
        <v>0</v>
      </c>
    </row>
    <row r="1329" spans="1:2" x14ac:dyDescent="0.25">
      <c r="A1329">
        <v>61491</v>
      </c>
      <c r="B1329">
        <v>0</v>
      </c>
    </row>
    <row r="1330" spans="1:2" x14ac:dyDescent="0.25">
      <c r="A1330">
        <v>61473</v>
      </c>
      <c r="B1330">
        <v>0</v>
      </c>
    </row>
    <row r="1331" spans="1:2" x14ac:dyDescent="0.25">
      <c r="A1331">
        <v>55121</v>
      </c>
      <c r="B1331">
        <v>0</v>
      </c>
    </row>
    <row r="1332" spans="1:2" x14ac:dyDescent="0.25">
      <c r="A1332">
        <v>61476</v>
      </c>
      <c r="B1332">
        <v>0</v>
      </c>
    </row>
    <row r="1333" spans="1:2" x14ac:dyDescent="0.25">
      <c r="A1333">
        <v>52281</v>
      </c>
      <c r="B1333">
        <v>3</v>
      </c>
    </row>
    <row r="1334" spans="1:2" x14ac:dyDescent="0.25">
      <c r="A1334">
        <v>63194</v>
      </c>
      <c r="B1334">
        <v>0</v>
      </c>
    </row>
    <row r="1335" spans="1:2" x14ac:dyDescent="0.25">
      <c r="A1335">
        <v>61481</v>
      </c>
      <c r="B1335">
        <v>0</v>
      </c>
    </row>
    <row r="1336" spans="1:2" x14ac:dyDescent="0.25">
      <c r="A1336">
        <v>63294</v>
      </c>
      <c r="B1336">
        <v>0</v>
      </c>
    </row>
    <row r="1337" spans="1:2" x14ac:dyDescent="0.25">
      <c r="A1337">
        <v>61494</v>
      </c>
      <c r="B1337">
        <v>0</v>
      </c>
    </row>
    <row r="1338" spans="1:2" x14ac:dyDescent="0.25">
      <c r="A1338">
        <v>52274</v>
      </c>
      <c r="B1338">
        <v>0</v>
      </c>
    </row>
    <row r="1339" spans="1:2" x14ac:dyDescent="0.25">
      <c r="A1339">
        <v>55006</v>
      </c>
      <c r="B1339">
        <v>0</v>
      </c>
    </row>
    <row r="1340" spans="1:2" x14ac:dyDescent="0.25">
      <c r="A1340">
        <v>55161</v>
      </c>
      <c r="B1340">
        <v>1</v>
      </c>
    </row>
    <row r="1341" spans="1:2" x14ac:dyDescent="0.25">
      <c r="A1341">
        <v>71221</v>
      </c>
      <c r="B1341">
        <v>0</v>
      </c>
    </row>
    <row r="1342" spans="1:2" x14ac:dyDescent="0.25">
      <c r="A1342">
        <v>61464</v>
      </c>
      <c r="B1342">
        <v>0</v>
      </c>
    </row>
    <row r="1343" spans="1:2" x14ac:dyDescent="0.25">
      <c r="A1343">
        <v>55127</v>
      </c>
      <c r="B1343">
        <v>0</v>
      </c>
    </row>
    <row r="1344" spans="1:2" x14ac:dyDescent="0.25">
      <c r="A1344">
        <v>61483</v>
      </c>
      <c r="B1344">
        <v>0</v>
      </c>
    </row>
    <row r="1345" spans="1:2" x14ac:dyDescent="0.25">
      <c r="A1345">
        <v>71236</v>
      </c>
      <c r="B1345">
        <v>0</v>
      </c>
    </row>
    <row r="1346" spans="1:2" x14ac:dyDescent="0.25">
      <c r="A1346">
        <v>61469</v>
      </c>
      <c r="B1346">
        <v>0</v>
      </c>
    </row>
    <row r="1347" spans="1:2" x14ac:dyDescent="0.25">
      <c r="A1347">
        <v>71266</v>
      </c>
      <c r="B1347">
        <v>0</v>
      </c>
    </row>
    <row r="1348" spans="1:2" x14ac:dyDescent="0.25">
      <c r="A1348">
        <v>61466</v>
      </c>
      <c r="B1348">
        <v>0</v>
      </c>
    </row>
    <row r="1349" spans="1:2" x14ac:dyDescent="0.25">
      <c r="A1349">
        <v>52141</v>
      </c>
      <c r="B1349">
        <v>0</v>
      </c>
    </row>
    <row r="1350" spans="1:2" x14ac:dyDescent="0.25">
      <c r="A1350">
        <v>61486</v>
      </c>
      <c r="B1350">
        <v>0</v>
      </c>
    </row>
    <row r="1351" spans="1:2" x14ac:dyDescent="0.25">
      <c r="A1351">
        <v>61479</v>
      </c>
      <c r="B1351">
        <v>0</v>
      </c>
    </row>
    <row r="1352" spans="1:2" x14ac:dyDescent="0.25">
      <c r="A1352">
        <v>63002</v>
      </c>
      <c r="B1352">
        <v>0</v>
      </c>
    </row>
    <row r="1353" spans="1:2" x14ac:dyDescent="0.25">
      <c r="A1353">
        <v>61487</v>
      </c>
      <c r="B1353">
        <v>1</v>
      </c>
    </row>
    <row r="1354" spans="1:2" x14ac:dyDescent="0.25">
      <c r="A1354">
        <v>63315</v>
      </c>
      <c r="B1354">
        <v>0</v>
      </c>
    </row>
    <row r="1355" spans="1:2" x14ac:dyDescent="0.25">
      <c r="A1355">
        <v>52287</v>
      </c>
      <c r="B1355">
        <v>0</v>
      </c>
    </row>
    <row r="1356" spans="1:2" x14ac:dyDescent="0.25">
      <c r="A1356">
        <v>61471</v>
      </c>
      <c r="B1356">
        <v>0</v>
      </c>
    </row>
    <row r="1357" spans="1:2" x14ac:dyDescent="0.25">
      <c r="A1357">
        <v>61453</v>
      </c>
      <c r="B1357">
        <v>0</v>
      </c>
    </row>
    <row r="1358" spans="1:2" x14ac:dyDescent="0.25">
      <c r="A1358">
        <v>71226</v>
      </c>
      <c r="B1358">
        <v>0</v>
      </c>
    </row>
    <row r="1359" spans="1:2" x14ac:dyDescent="0.25">
      <c r="A1359">
        <v>61467</v>
      </c>
      <c r="B1359">
        <v>0</v>
      </c>
    </row>
    <row r="1360" spans="1:2" x14ac:dyDescent="0.25">
      <c r="A1360">
        <v>71241</v>
      </c>
      <c r="B1360">
        <v>0</v>
      </c>
    </row>
    <row r="1361" spans="1:2" x14ac:dyDescent="0.25">
      <c r="A1361">
        <v>61474</v>
      </c>
      <c r="B1361">
        <v>0</v>
      </c>
    </row>
    <row r="1362" spans="1:2" x14ac:dyDescent="0.25">
      <c r="A1362">
        <v>71216</v>
      </c>
      <c r="B1362">
        <v>0</v>
      </c>
    </row>
    <row r="1363" spans="1:2" x14ac:dyDescent="0.25">
      <c r="A1363">
        <v>55131</v>
      </c>
      <c r="B1363">
        <v>0</v>
      </c>
    </row>
    <row r="1364" spans="1:2" x14ac:dyDescent="0.25">
      <c r="A1364">
        <v>55147</v>
      </c>
      <c r="B1364">
        <v>0</v>
      </c>
    </row>
    <row r="1365" spans="1:2" x14ac:dyDescent="0.25">
      <c r="A1365">
        <v>74131</v>
      </c>
      <c r="B1365">
        <v>0</v>
      </c>
    </row>
    <row r="1366" spans="1:2" x14ac:dyDescent="0.25">
      <c r="A1366">
        <v>61463</v>
      </c>
      <c r="B1366">
        <v>1</v>
      </c>
    </row>
    <row r="1367" spans="1:2" x14ac:dyDescent="0.25">
      <c r="A1367">
        <v>61449</v>
      </c>
      <c r="B1367">
        <v>1</v>
      </c>
    </row>
    <row r="1368" spans="1:2" x14ac:dyDescent="0.25">
      <c r="A1368">
        <v>63331</v>
      </c>
      <c r="B1368">
        <v>0</v>
      </c>
    </row>
    <row r="1369" spans="1:2" x14ac:dyDescent="0.25">
      <c r="A1369">
        <v>55007</v>
      </c>
      <c r="B1369">
        <v>0</v>
      </c>
    </row>
    <row r="1370" spans="1:2" x14ac:dyDescent="0.25">
      <c r="A1370">
        <v>63378</v>
      </c>
      <c r="B1370">
        <v>0</v>
      </c>
    </row>
    <row r="1371" spans="1:2" x14ac:dyDescent="0.25">
      <c r="A1371">
        <v>55008</v>
      </c>
      <c r="B1371">
        <v>0</v>
      </c>
    </row>
    <row r="1372" spans="1:2" x14ac:dyDescent="0.25">
      <c r="A1372">
        <v>71261</v>
      </c>
      <c r="B1372">
        <v>0</v>
      </c>
    </row>
    <row r="1373" spans="1:2" x14ac:dyDescent="0.25">
      <c r="A1373">
        <v>63311</v>
      </c>
      <c r="B1373">
        <v>0</v>
      </c>
    </row>
    <row r="1374" spans="1:2" x14ac:dyDescent="0.25">
      <c r="A1374">
        <v>61479</v>
      </c>
      <c r="B1374">
        <v>0</v>
      </c>
    </row>
    <row r="1375" spans="1:2" x14ac:dyDescent="0.25">
      <c r="A1375">
        <v>63003</v>
      </c>
      <c r="B1375">
        <v>0</v>
      </c>
    </row>
    <row r="1376" spans="1:2" x14ac:dyDescent="0.25">
      <c r="A1376">
        <v>61457</v>
      </c>
      <c r="B1376">
        <v>0</v>
      </c>
    </row>
    <row r="1377" spans="1:2" x14ac:dyDescent="0.25">
      <c r="A1377">
        <v>74175</v>
      </c>
      <c r="B1377">
        <v>0</v>
      </c>
    </row>
    <row r="1378" spans="1:2" x14ac:dyDescent="0.25">
      <c r="A1378">
        <v>74111</v>
      </c>
      <c r="B1378">
        <v>1</v>
      </c>
    </row>
    <row r="1379" spans="1:2" x14ac:dyDescent="0.25">
      <c r="A1379">
        <v>52284</v>
      </c>
      <c r="B1379">
        <v>0</v>
      </c>
    </row>
    <row r="1380" spans="1:2" x14ac:dyDescent="0.25">
      <c r="A1380">
        <v>71231</v>
      </c>
      <c r="B1380">
        <v>0</v>
      </c>
    </row>
    <row r="1381" spans="1:2" x14ac:dyDescent="0.25">
      <c r="A1381">
        <v>71271</v>
      </c>
      <c r="B1381">
        <v>0</v>
      </c>
    </row>
    <row r="1382" spans="1:2" x14ac:dyDescent="0.25">
      <c r="A1382">
        <v>74128</v>
      </c>
      <c r="B1382">
        <v>0</v>
      </c>
    </row>
    <row r="1383" spans="1:2" x14ac:dyDescent="0.25">
      <c r="A1383">
        <v>63323</v>
      </c>
      <c r="B1383">
        <v>0</v>
      </c>
    </row>
    <row r="1384" spans="1:2" x14ac:dyDescent="0.25">
      <c r="A1384">
        <v>61001</v>
      </c>
      <c r="B1384">
        <v>0</v>
      </c>
    </row>
    <row r="1385" spans="1:2" x14ac:dyDescent="0.25">
      <c r="A1385">
        <v>71281</v>
      </c>
      <c r="B1385">
        <v>0</v>
      </c>
    </row>
    <row r="1386" spans="1:2" x14ac:dyDescent="0.25">
      <c r="A1386">
        <v>61456</v>
      </c>
      <c r="B1386">
        <v>0</v>
      </c>
    </row>
    <row r="1387" spans="1:2" x14ac:dyDescent="0.25">
      <c r="A1387">
        <v>55171</v>
      </c>
      <c r="B1387">
        <v>0</v>
      </c>
    </row>
    <row r="1388" spans="1:2" x14ac:dyDescent="0.25">
      <c r="A1388">
        <v>71246</v>
      </c>
      <c r="B1388">
        <v>0</v>
      </c>
    </row>
    <row r="1389" spans="1:2" x14ac:dyDescent="0.25">
      <c r="A1389">
        <v>61459</v>
      </c>
      <c r="B1389">
        <v>0</v>
      </c>
    </row>
    <row r="1390" spans="1:2" x14ac:dyDescent="0.25">
      <c r="A1390">
        <v>71276</v>
      </c>
      <c r="B1390">
        <v>0</v>
      </c>
    </row>
    <row r="1391" spans="1:2" x14ac:dyDescent="0.25">
      <c r="A1391">
        <v>61451</v>
      </c>
      <c r="B1391">
        <v>1</v>
      </c>
    </row>
    <row r="1392" spans="1:2" x14ac:dyDescent="0.25">
      <c r="A1392">
        <v>55009</v>
      </c>
      <c r="B1392">
        <v>0</v>
      </c>
    </row>
    <row r="1393" spans="1:2" x14ac:dyDescent="0.25">
      <c r="A1393">
        <v>71251</v>
      </c>
      <c r="B1393">
        <v>0</v>
      </c>
    </row>
    <row r="1394" spans="1:2" x14ac:dyDescent="0.25">
      <c r="A1394">
        <v>63319</v>
      </c>
      <c r="B1394">
        <v>0</v>
      </c>
    </row>
    <row r="1395" spans="1:2" x14ac:dyDescent="0.25">
      <c r="A1395">
        <v>52291</v>
      </c>
      <c r="B1395">
        <v>0</v>
      </c>
    </row>
    <row r="1396" spans="1:2" x14ac:dyDescent="0.25">
      <c r="A1396">
        <v>0</v>
      </c>
      <c r="B1396">
        <v>0</v>
      </c>
    </row>
    <row r="1397" spans="1:2" x14ac:dyDescent="0.25">
      <c r="A1397">
        <v>63327</v>
      </c>
      <c r="B1397">
        <v>0</v>
      </c>
    </row>
    <row r="1398" spans="1:2" x14ac:dyDescent="0.25">
      <c r="A1398">
        <v>61461</v>
      </c>
      <c r="B1398">
        <v>1</v>
      </c>
    </row>
    <row r="1399" spans="1:2" x14ac:dyDescent="0.25">
      <c r="A1399">
        <v>63351</v>
      </c>
      <c r="B1399">
        <v>0</v>
      </c>
    </row>
    <row r="1400" spans="1:2" x14ac:dyDescent="0.25">
      <c r="A1400">
        <v>61443</v>
      </c>
      <c r="B1400">
        <v>0</v>
      </c>
    </row>
    <row r="1401" spans="1:2" x14ac:dyDescent="0.25">
      <c r="A1401">
        <v>63298</v>
      </c>
      <c r="B1401">
        <v>0</v>
      </c>
    </row>
    <row r="1402" spans="1:2" x14ac:dyDescent="0.25">
      <c r="A1402">
        <v>71311</v>
      </c>
      <c r="B1402">
        <v>2</v>
      </c>
    </row>
    <row r="1403" spans="1:2" x14ac:dyDescent="0.25">
      <c r="A1403">
        <v>63339</v>
      </c>
      <c r="B1403">
        <v>0</v>
      </c>
    </row>
    <row r="1404" spans="1:2" x14ac:dyDescent="0.25">
      <c r="A1404">
        <v>55010</v>
      </c>
      <c r="B1404">
        <v>0</v>
      </c>
    </row>
    <row r="1405" spans="1:2" x14ac:dyDescent="0.25">
      <c r="A1405">
        <v>61441</v>
      </c>
      <c r="B1405">
        <v>0</v>
      </c>
    </row>
    <row r="1406" spans="1:2" x14ac:dyDescent="0.25">
      <c r="A1406">
        <v>71256</v>
      </c>
      <c r="B1406">
        <v>0</v>
      </c>
    </row>
    <row r="1407" spans="1:2" x14ac:dyDescent="0.25">
      <c r="A1407">
        <v>71314</v>
      </c>
      <c r="B1407">
        <v>0</v>
      </c>
    </row>
    <row r="1408" spans="1:2" x14ac:dyDescent="0.25">
      <c r="A1408">
        <v>63347</v>
      </c>
      <c r="B1408">
        <v>0</v>
      </c>
    </row>
    <row r="1409" spans="1:2" x14ac:dyDescent="0.25">
      <c r="A1409">
        <v>61439</v>
      </c>
      <c r="B1409">
        <v>0</v>
      </c>
    </row>
    <row r="1410" spans="1:2" x14ac:dyDescent="0.25">
      <c r="A1410">
        <v>61454</v>
      </c>
      <c r="B1410">
        <v>1</v>
      </c>
    </row>
    <row r="1411" spans="1:2" x14ac:dyDescent="0.25">
      <c r="A1411">
        <v>71327</v>
      </c>
      <c r="B1411">
        <v>0</v>
      </c>
    </row>
    <row r="1412" spans="1:2" x14ac:dyDescent="0.25">
      <c r="A1412">
        <v>61444</v>
      </c>
      <c r="B1412">
        <v>1</v>
      </c>
    </row>
    <row r="1413" spans="1:2" x14ac:dyDescent="0.25">
      <c r="A1413">
        <v>74179</v>
      </c>
      <c r="B1413">
        <v>0</v>
      </c>
    </row>
    <row r="1414" spans="1:2" x14ac:dyDescent="0.25">
      <c r="A1414">
        <v>63335</v>
      </c>
      <c r="B1414">
        <v>0</v>
      </c>
    </row>
    <row r="1415" spans="1:2" x14ac:dyDescent="0.25">
      <c r="A1415">
        <v>61434</v>
      </c>
      <c r="B1415">
        <v>3</v>
      </c>
    </row>
    <row r="1416" spans="1:2" x14ac:dyDescent="0.25">
      <c r="A1416">
        <v>63343</v>
      </c>
      <c r="B1416">
        <v>0</v>
      </c>
    </row>
    <row r="1417" spans="1:2" x14ac:dyDescent="0.25">
      <c r="A1417">
        <v>61436</v>
      </c>
      <c r="B1417">
        <v>0</v>
      </c>
    </row>
    <row r="1418" spans="1:2" x14ac:dyDescent="0.25">
      <c r="A1418">
        <v>61447</v>
      </c>
      <c r="B1418">
        <v>1</v>
      </c>
    </row>
    <row r="1419" spans="1:2" x14ac:dyDescent="0.25">
      <c r="A1419">
        <v>71133</v>
      </c>
      <c r="B1419">
        <v>1</v>
      </c>
    </row>
    <row r="1420" spans="1:2" x14ac:dyDescent="0.25">
      <c r="A1420">
        <v>61439</v>
      </c>
      <c r="B1420">
        <v>0</v>
      </c>
    </row>
    <row r="1421" spans="1:2" x14ac:dyDescent="0.25">
      <c r="A1421">
        <v>71177</v>
      </c>
      <c r="B1421">
        <v>0</v>
      </c>
    </row>
    <row r="1422" spans="1:2" x14ac:dyDescent="0.25">
      <c r="A1422">
        <v>71321</v>
      </c>
      <c r="B1422">
        <v>0</v>
      </c>
    </row>
    <row r="1423" spans="1:2" x14ac:dyDescent="0.25">
      <c r="A1423">
        <v>74155</v>
      </c>
      <c r="B1423">
        <v>0</v>
      </c>
    </row>
    <row r="1424" spans="1:2" x14ac:dyDescent="0.25">
      <c r="A1424">
        <v>74168</v>
      </c>
      <c r="B1424">
        <v>0</v>
      </c>
    </row>
    <row r="1425" spans="1:2" x14ac:dyDescent="0.25">
      <c r="A1425">
        <v>63355</v>
      </c>
      <c r="B1425">
        <v>0</v>
      </c>
    </row>
    <row r="1426" spans="1:2" x14ac:dyDescent="0.25">
      <c r="A1426">
        <v>63348</v>
      </c>
      <c r="B1426">
        <v>0</v>
      </c>
    </row>
    <row r="1427" spans="1:2" x14ac:dyDescent="0.25">
      <c r="A1427">
        <v>71155</v>
      </c>
      <c r="B1427">
        <v>1</v>
      </c>
    </row>
    <row r="1428" spans="1:2" x14ac:dyDescent="0.25">
      <c r="A1428">
        <v>61446</v>
      </c>
      <c r="B1428">
        <v>0</v>
      </c>
    </row>
    <row r="1429" spans="1:2" x14ac:dyDescent="0.25">
      <c r="A1429">
        <v>63367</v>
      </c>
      <c r="B1429">
        <v>0</v>
      </c>
    </row>
    <row r="1430" spans="1:2" x14ac:dyDescent="0.25">
      <c r="A1430">
        <v>74133</v>
      </c>
      <c r="B1430">
        <v>0</v>
      </c>
    </row>
    <row r="1431" spans="1:2" x14ac:dyDescent="0.25">
      <c r="A1431">
        <v>61431</v>
      </c>
      <c r="B1431">
        <v>0</v>
      </c>
    </row>
    <row r="1432" spans="1:2" x14ac:dyDescent="0.25">
      <c r="A1432">
        <v>74126</v>
      </c>
      <c r="B1432">
        <v>0</v>
      </c>
    </row>
    <row r="1433" spans="1:2" x14ac:dyDescent="0.25">
      <c r="A1433">
        <v>63363</v>
      </c>
      <c r="B1433">
        <v>0</v>
      </c>
    </row>
    <row r="1434" spans="1:2" x14ac:dyDescent="0.25">
      <c r="A1434">
        <v>61437</v>
      </c>
      <c r="B1434">
        <v>0</v>
      </c>
    </row>
    <row r="1435" spans="1:2" x14ac:dyDescent="0.25">
      <c r="A1435">
        <v>71361</v>
      </c>
      <c r="B1435">
        <v>0</v>
      </c>
    </row>
    <row r="1436" spans="1:2" x14ac:dyDescent="0.25">
      <c r="A1436">
        <v>71386</v>
      </c>
      <c r="B1436">
        <v>0</v>
      </c>
    </row>
    <row r="1437" spans="1:2" x14ac:dyDescent="0.25">
      <c r="A1437">
        <v>71117</v>
      </c>
      <c r="B1437">
        <v>0</v>
      </c>
    </row>
    <row r="1438" spans="1:2" x14ac:dyDescent="0.25">
      <c r="A1438">
        <v>71334</v>
      </c>
      <c r="B1438">
        <v>0</v>
      </c>
    </row>
    <row r="1439" spans="1:2" x14ac:dyDescent="0.25">
      <c r="A1439">
        <v>71324</v>
      </c>
      <c r="B1439">
        <v>1</v>
      </c>
    </row>
    <row r="1440" spans="1:2" x14ac:dyDescent="0.25">
      <c r="A1440">
        <v>61433</v>
      </c>
      <c r="B1440">
        <v>0</v>
      </c>
    </row>
    <row r="1441" spans="1:2" x14ac:dyDescent="0.25">
      <c r="A1441">
        <v>61429</v>
      </c>
      <c r="B1441">
        <v>0</v>
      </c>
    </row>
    <row r="1442" spans="1:2" x14ac:dyDescent="0.25">
      <c r="A1442">
        <v>73135</v>
      </c>
      <c r="B1442">
        <v>0</v>
      </c>
    </row>
    <row r="1443" spans="1:2" x14ac:dyDescent="0.25">
      <c r="A1443">
        <v>61424</v>
      </c>
      <c r="B1443">
        <v>0</v>
      </c>
    </row>
    <row r="1444" spans="1:2" x14ac:dyDescent="0.25">
      <c r="A1444">
        <v>74124</v>
      </c>
      <c r="B1444">
        <v>0</v>
      </c>
    </row>
    <row r="1445" spans="1:2" x14ac:dyDescent="0.25">
      <c r="A1445">
        <v>63359</v>
      </c>
      <c r="B1445">
        <v>0</v>
      </c>
    </row>
    <row r="1446" spans="1:2" x14ac:dyDescent="0.25">
      <c r="A1446">
        <v>63375</v>
      </c>
      <c r="B1446">
        <v>0</v>
      </c>
    </row>
    <row r="1447" spans="1:2" x14ac:dyDescent="0.25">
      <c r="A1447">
        <v>61423</v>
      </c>
      <c r="B1447">
        <v>0</v>
      </c>
    </row>
    <row r="1448" spans="1:2" x14ac:dyDescent="0.25">
      <c r="A1448">
        <v>71111</v>
      </c>
      <c r="B1448">
        <v>0</v>
      </c>
    </row>
    <row r="1449" spans="1:2" x14ac:dyDescent="0.25">
      <c r="A1449">
        <v>71341</v>
      </c>
      <c r="B1449">
        <v>0</v>
      </c>
    </row>
    <row r="1450" spans="1:2" x14ac:dyDescent="0.25">
      <c r="A1450">
        <v>63371</v>
      </c>
      <c r="B1450">
        <v>0</v>
      </c>
    </row>
    <row r="1451" spans="1:2" x14ac:dyDescent="0.25">
      <c r="A1451">
        <v>71122</v>
      </c>
      <c r="B1451">
        <v>0</v>
      </c>
    </row>
    <row r="1452" spans="1:2" x14ac:dyDescent="0.25">
      <c r="A1452">
        <v>74112</v>
      </c>
      <c r="B1452">
        <v>0</v>
      </c>
    </row>
    <row r="1453" spans="1:2" x14ac:dyDescent="0.25">
      <c r="A1453">
        <v>71331</v>
      </c>
      <c r="B1453">
        <v>0</v>
      </c>
    </row>
    <row r="1454" spans="1:2" x14ac:dyDescent="0.25">
      <c r="A1454">
        <v>74114</v>
      </c>
      <c r="B1454">
        <v>0</v>
      </c>
    </row>
    <row r="1455" spans="1:2" x14ac:dyDescent="0.25">
      <c r="A1455">
        <v>61426</v>
      </c>
      <c r="B1455">
        <v>0</v>
      </c>
    </row>
    <row r="1456" spans="1:2" x14ac:dyDescent="0.25">
      <c r="A1456">
        <v>74122</v>
      </c>
      <c r="B1456">
        <v>0</v>
      </c>
    </row>
    <row r="1457" spans="1:2" x14ac:dyDescent="0.25">
      <c r="A1457">
        <v>73116</v>
      </c>
      <c r="B1457">
        <v>0</v>
      </c>
    </row>
    <row r="1458" spans="1:2" x14ac:dyDescent="0.25">
      <c r="A1458">
        <v>71357</v>
      </c>
      <c r="B1458">
        <v>0</v>
      </c>
    </row>
    <row r="1459" spans="1:2" x14ac:dyDescent="0.25">
      <c r="A1459">
        <v>74130</v>
      </c>
      <c r="B1459">
        <v>0</v>
      </c>
    </row>
    <row r="1460" spans="1:2" x14ac:dyDescent="0.25">
      <c r="A1460">
        <v>63379</v>
      </c>
      <c r="B1460">
        <v>0</v>
      </c>
    </row>
    <row r="1461" spans="1:2" x14ac:dyDescent="0.25">
      <c r="A1461">
        <v>61412</v>
      </c>
      <c r="B1461">
        <v>0</v>
      </c>
    </row>
    <row r="1462" spans="1:2" x14ac:dyDescent="0.25">
      <c r="A1462">
        <v>61418</v>
      </c>
      <c r="B1462">
        <v>0</v>
      </c>
    </row>
    <row r="1463" spans="1:2" x14ac:dyDescent="0.25">
      <c r="A1463">
        <v>71337</v>
      </c>
      <c r="B1463">
        <v>0</v>
      </c>
    </row>
    <row r="1464" spans="1:2" x14ac:dyDescent="0.25">
      <c r="A1464">
        <v>74116</v>
      </c>
      <c r="B1464">
        <v>0</v>
      </c>
    </row>
    <row r="1465" spans="1:2" x14ac:dyDescent="0.25">
      <c r="A1465">
        <v>71113</v>
      </c>
      <c r="B1465">
        <v>4</v>
      </c>
    </row>
    <row r="1466" spans="1:2" x14ac:dyDescent="0.25">
      <c r="A1466">
        <v>61421</v>
      </c>
      <c r="B1466">
        <v>0</v>
      </c>
    </row>
    <row r="1467" spans="1:2" x14ac:dyDescent="0.25">
      <c r="A1467">
        <v>73127</v>
      </c>
      <c r="B1467">
        <v>0</v>
      </c>
    </row>
    <row r="1468" spans="1:2" x14ac:dyDescent="0.25">
      <c r="A1468">
        <v>61419</v>
      </c>
      <c r="B1468">
        <v>0</v>
      </c>
    </row>
    <row r="1469" spans="1:2" x14ac:dyDescent="0.25">
      <c r="A1469">
        <v>73119</v>
      </c>
      <c r="B1469">
        <v>0</v>
      </c>
    </row>
    <row r="1470" spans="1:2" x14ac:dyDescent="0.25">
      <c r="A1470">
        <v>71351</v>
      </c>
      <c r="B1470">
        <v>0</v>
      </c>
    </row>
    <row r="1471" spans="1:2" x14ac:dyDescent="0.25">
      <c r="A1471">
        <v>71115</v>
      </c>
      <c r="B1471">
        <v>0</v>
      </c>
    </row>
    <row r="1472" spans="1:2" x14ac:dyDescent="0.25">
      <c r="A1472">
        <v>61427</v>
      </c>
      <c r="B1472">
        <v>0</v>
      </c>
    </row>
    <row r="1473" spans="1:2" x14ac:dyDescent="0.25">
      <c r="A1473">
        <v>73111</v>
      </c>
      <c r="B1473">
        <v>2</v>
      </c>
    </row>
    <row r="1474" spans="1:2" x14ac:dyDescent="0.25">
      <c r="A1474">
        <v>71166</v>
      </c>
      <c r="B1474">
        <v>0</v>
      </c>
    </row>
    <row r="1475" spans="1:2" x14ac:dyDescent="0.25">
      <c r="A1475">
        <v>71384</v>
      </c>
      <c r="B1475">
        <v>0</v>
      </c>
    </row>
    <row r="1476" spans="1:2" x14ac:dyDescent="0.25">
      <c r="A1476">
        <v>74118</v>
      </c>
      <c r="B1476">
        <v>0</v>
      </c>
    </row>
    <row r="1477" spans="1:2" x14ac:dyDescent="0.25">
      <c r="A1477">
        <v>61414</v>
      </c>
      <c r="B1477">
        <v>0</v>
      </c>
    </row>
    <row r="1478" spans="1:2" x14ac:dyDescent="0.25">
      <c r="A1478">
        <v>71144</v>
      </c>
      <c r="B1478">
        <v>0</v>
      </c>
    </row>
    <row r="1479" spans="1:2" x14ac:dyDescent="0.25">
      <c r="A1479">
        <v>63383</v>
      </c>
      <c r="B1479">
        <v>0</v>
      </c>
    </row>
    <row r="1480" spans="1:2" x14ac:dyDescent="0.25">
      <c r="A1480">
        <v>71344</v>
      </c>
      <c r="B1480">
        <v>0</v>
      </c>
    </row>
    <row r="1481" spans="1:2" x14ac:dyDescent="0.25">
      <c r="A1481">
        <v>71347</v>
      </c>
      <c r="B1481">
        <v>0</v>
      </c>
    </row>
    <row r="1482" spans="1:2" x14ac:dyDescent="0.25">
      <c r="A1482">
        <v>71387</v>
      </c>
      <c r="B1482">
        <v>0</v>
      </c>
    </row>
    <row r="1483" spans="1:2" x14ac:dyDescent="0.25">
      <c r="A1483">
        <v>73143</v>
      </c>
      <c r="B1483">
        <v>0</v>
      </c>
    </row>
    <row r="1484" spans="1:2" x14ac:dyDescent="0.25">
      <c r="A1484">
        <v>71377</v>
      </c>
      <c r="B1484">
        <v>0</v>
      </c>
    </row>
    <row r="1485" spans="1:2" x14ac:dyDescent="0.25">
      <c r="A1485">
        <v>61417</v>
      </c>
      <c r="B1485">
        <v>0</v>
      </c>
    </row>
    <row r="1486" spans="1:2" x14ac:dyDescent="0.25">
      <c r="A1486">
        <v>71354</v>
      </c>
      <c r="B1486">
        <v>0</v>
      </c>
    </row>
    <row r="1487" spans="1:2" x14ac:dyDescent="0.25">
      <c r="A1487">
        <v>73151</v>
      </c>
      <c r="B1487">
        <v>0</v>
      </c>
    </row>
    <row r="1488" spans="1:2" x14ac:dyDescent="0.25">
      <c r="A1488">
        <v>74120</v>
      </c>
      <c r="B1488">
        <v>0</v>
      </c>
    </row>
    <row r="1489" spans="1:2" x14ac:dyDescent="0.25">
      <c r="A1489">
        <v>73159</v>
      </c>
      <c r="B1489">
        <v>0</v>
      </c>
    </row>
    <row r="1490" spans="1:2" x14ac:dyDescent="0.25">
      <c r="A1490">
        <v>71374</v>
      </c>
      <c r="B1490">
        <v>0</v>
      </c>
    </row>
    <row r="1491" spans="1:2" x14ac:dyDescent="0.25">
      <c r="A1491">
        <v>61415</v>
      </c>
      <c r="B1491">
        <v>0</v>
      </c>
    </row>
    <row r="1492" spans="1:2" x14ac:dyDescent="0.25">
      <c r="A1492">
        <v>71381</v>
      </c>
      <c r="B1492">
        <v>0</v>
      </c>
    </row>
    <row r="1493" spans="1:2" x14ac:dyDescent="0.25">
      <c r="A1493">
        <v>62291</v>
      </c>
      <c r="B1493">
        <v>0</v>
      </c>
    </row>
    <row r="1494" spans="1:2" x14ac:dyDescent="0.25">
      <c r="A1494">
        <v>74160</v>
      </c>
      <c r="B1494">
        <v>0</v>
      </c>
    </row>
    <row r="1495" spans="1:2" x14ac:dyDescent="0.25">
      <c r="A1495">
        <v>61411</v>
      </c>
      <c r="B1495">
        <v>0</v>
      </c>
    </row>
    <row r="1496" spans="1:2" x14ac:dyDescent="0.25">
      <c r="A1496">
        <v>71371</v>
      </c>
      <c r="B1496">
        <v>0</v>
      </c>
    </row>
    <row r="1497" spans="1:2" x14ac:dyDescent="0.25">
      <c r="A1497">
        <v>71364</v>
      </c>
      <c r="B1497">
        <v>0</v>
      </c>
    </row>
    <row r="1498" spans="1:2" x14ac:dyDescent="0.25">
      <c r="A1498">
        <v>74181</v>
      </c>
      <c r="B1498">
        <v>0</v>
      </c>
    </row>
    <row r="1499" spans="1:2" x14ac:dyDescent="0.25">
      <c r="A1499">
        <v>71397</v>
      </c>
      <c r="B1499">
        <v>0</v>
      </c>
    </row>
    <row r="1500" spans="1:2" x14ac:dyDescent="0.25">
      <c r="A1500">
        <v>71367</v>
      </c>
      <c r="B1500">
        <v>0</v>
      </c>
    </row>
    <row r="1501" spans="1:2" x14ac:dyDescent="0.25">
      <c r="A1501">
        <v>71391</v>
      </c>
      <c r="B1501">
        <v>0</v>
      </c>
    </row>
    <row r="1502" spans="1:2" x14ac:dyDescent="0.25">
      <c r="A1502">
        <v>71394</v>
      </c>
      <c r="B1502">
        <v>0</v>
      </c>
    </row>
    <row r="1503" spans="1:2" x14ac:dyDescent="0.25">
      <c r="A1503">
        <v>62271</v>
      </c>
      <c r="B1503">
        <v>0</v>
      </c>
    </row>
    <row r="1504" spans="1:2" x14ac:dyDescent="0.25">
      <c r="A1504">
        <v>62274</v>
      </c>
      <c r="B1504">
        <v>0</v>
      </c>
    </row>
    <row r="1505" spans="1:2" x14ac:dyDescent="0.25">
      <c r="A1505">
        <v>74158</v>
      </c>
      <c r="B1505">
        <v>0</v>
      </c>
    </row>
    <row r="1506" spans="1:2" x14ac:dyDescent="0.25">
      <c r="A1506">
        <v>0</v>
      </c>
      <c r="B1506">
        <v>0</v>
      </c>
    </row>
    <row r="1507" spans="1:2" x14ac:dyDescent="0.25">
      <c r="A1507">
        <v>62245</v>
      </c>
      <c r="B1507">
        <v>0</v>
      </c>
    </row>
    <row r="1508" spans="1:2" x14ac:dyDescent="0.25">
      <c r="A1508">
        <v>73146</v>
      </c>
      <c r="B1508">
        <v>0</v>
      </c>
    </row>
    <row r="1509" spans="1:2" x14ac:dyDescent="0.25">
      <c r="A1509">
        <v>62269</v>
      </c>
      <c r="B1509">
        <v>0</v>
      </c>
    </row>
    <row r="1510" spans="1:2" x14ac:dyDescent="0.25">
      <c r="A1510">
        <v>62283</v>
      </c>
      <c r="B1510">
        <v>0</v>
      </c>
    </row>
    <row r="1511" spans="1:2" x14ac:dyDescent="0.25">
      <c r="A1511">
        <v>62276</v>
      </c>
      <c r="B1511">
        <v>3</v>
      </c>
    </row>
    <row r="1512" spans="1:2" x14ac:dyDescent="0.25">
      <c r="A1512">
        <v>62284</v>
      </c>
      <c r="B1512">
        <v>0</v>
      </c>
    </row>
    <row r="1513" spans="1:2" x14ac:dyDescent="0.25">
      <c r="A1513">
        <v>73167</v>
      </c>
      <c r="B1513">
        <v>0</v>
      </c>
    </row>
    <row r="1514" spans="1:2" x14ac:dyDescent="0.25">
      <c r="A1514">
        <v>62263</v>
      </c>
      <c r="B1514">
        <v>0</v>
      </c>
    </row>
    <row r="1515" spans="1:2" x14ac:dyDescent="0.25">
      <c r="A1515">
        <v>62264</v>
      </c>
      <c r="B1515">
        <v>0</v>
      </c>
    </row>
    <row r="1516" spans="1:2" x14ac:dyDescent="0.25">
      <c r="A1516">
        <v>73293</v>
      </c>
      <c r="B1516">
        <v>0</v>
      </c>
    </row>
    <row r="1517" spans="1:2" x14ac:dyDescent="0.25">
      <c r="A1517">
        <v>72276</v>
      </c>
      <c r="B1517">
        <v>0</v>
      </c>
    </row>
    <row r="1518" spans="1:2" x14ac:dyDescent="0.25">
      <c r="A1518">
        <v>73162</v>
      </c>
      <c r="B1518">
        <v>0</v>
      </c>
    </row>
    <row r="1519" spans="1:2" x14ac:dyDescent="0.25">
      <c r="A1519">
        <v>62281</v>
      </c>
      <c r="B1519">
        <v>0</v>
      </c>
    </row>
    <row r="1520" spans="1:2" x14ac:dyDescent="0.25">
      <c r="A1520">
        <v>73175</v>
      </c>
      <c r="B1520">
        <v>0</v>
      </c>
    </row>
    <row r="1521" spans="1:2" x14ac:dyDescent="0.25">
      <c r="A1521">
        <v>62244</v>
      </c>
      <c r="B1521">
        <v>0</v>
      </c>
    </row>
    <row r="1522" spans="1:2" x14ac:dyDescent="0.25">
      <c r="A1522">
        <v>73183</v>
      </c>
      <c r="B1522">
        <v>0</v>
      </c>
    </row>
    <row r="1523" spans="1:2" x14ac:dyDescent="0.25">
      <c r="A1523">
        <v>73230</v>
      </c>
      <c r="B1523">
        <v>1</v>
      </c>
    </row>
    <row r="1524" spans="1:2" x14ac:dyDescent="0.25">
      <c r="A1524">
        <v>74177</v>
      </c>
      <c r="B1524">
        <v>0</v>
      </c>
    </row>
    <row r="1525" spans="1:2" x14ac:dyDescent="0.25">
      <c r="A1525">
        <v>62261</v>
      </c>
      <c r="B1525">
        <v>0</v>
      </c>
    </row>
    <row r="1526" spans="1:2" x14ac:dyDescent="0.25">
      <c r="A1526">
        <v>62237</v>
      </c>
      <c r="B1526">
        <v>0</v>
      </c>
    </row>
    <row r="1527" spans="1:2" x14ac:dyDescent="0.25">
      <c r="A1527">
        <v>62234</v>
      </c>
      <c r="B1527">
        <v>0</v>
      </c>
    </row>
    <row r="1528" spans="1:2" x14ac:dyDescent="0.25">
      <c r="A1528">
        <v>73256</v>
      </c>
      <c r="B1528">
        <v>0</v>
      </c>
    </row>
    <row r="1529" spans="1:2" x14ac:dyDescent="0.25">
      <c r="A1529">
        <v>73232</v>
      </c>
      <c r="B1529">
        <v>1</v>
      </c>
    </row>
    <row r="1530" spans="1:2" x14ac:dyDescent="0.25">
      <c r="A1530">
        <v>62249</v>
      </c>
      <c r="B1530">
        <v>0</v>
      </c>
    </row>
    <row r="1531" spans="1:2" x14ac:dyDescent="0.25">
      <c r="A1531">
        <v>62239</v>
      </c>
      <c r="B1531">
        <v>0</v>
      </c>
    </row>
    <row r="1532" spans="1:2" x14ac:dyDescent="0.25">
      <c r="A1532">
        <v>62253</v>
      </c>
      <c r="B1532">
        <v>0</v>
      </c>
    </row>
    <row r="1533" spans="1:2" x14ac:dyDescent="0.25">
      <c r="A1533">
        <v>72274</v>
      </c>
      <c r="B1533">
        <v>0</v>
      </c>
    </row>
    <row r="1534" spans="1:2" x14ac:dyDescent="0.25">
      <c r="A1534">
        <v>62231</v>
      </c>
      <c r="B1534">
        <v>0</v>
      </c>
    </row>
    <row r="1535" spans="1:2" x14ac:dyDescent="0.25">
      <c r="A1535">
        <v>74141</v>
      </c>
      <c r="B1535">
        <v>0</v>
      </c>
    </row>
    <row r="1536" spans="1:2" x14ac:dyDescent="0.25">
      <c r="A1536">
        <v>62266</v>
      </c>
      <c r="B1536">
        <v>0</v>
      </c>
    </row>
    <row r="1537" spans="1:2" x14ac:dyDescent="0.25">
      <c r="A1537">
        <v>73228</v>
      </c>
      <c r="B1537">
        <v>2</v>
      </c>
    </row>
    <row r="1538" spans="1:2" x14ac:dyDescent="0.25">
      <c r="A1538">
        <v>62256</v>
      </c>
      <c r="B1538">
        <v>0</v>
      </c>
    </row>
    <row r="1539" spans="1:2" x14ac:dyDescent="0.25">
      <c r="A1539">
        <v>73191</v>
      </c>
      <c r="B1539">
        <v>0</v>
      </c>
    </row>
    <row r="1540" spans="1:2" x14ac:dyDescent="0.25">
      <c r="A1540">
        <v>62273</v>
      </c>
      <c r="B1540">
        <v>0</v>
      </c>
    </row>
    <row r="1541" spans="1:2" x14ac:dyDescent="0.25">
      <c r="A1541">
        <v>62128</v>
      </c>
      <c r="B1541">
        <v>7</v>
      </c>
    </row>
    <row r="1542" spans="1:2" x14ac:dyDescent="0.25">
      <c r="A1542">
        <v>73276</v>
      </c>
      <c r="B1542">
        <v>0</v>
      </c>
    </row>
    <row r="1543" spans="1:2" x14ac:dyDescent="0.25">
      <c r="A1543">
        <v>62257</v>
      </c>
      <c r="B1543">
        <v>0</v>
      </c>
    </row>
    <row r="1544" spans="1:2" x14ac:dyDescent="0.25">
      <c r="A1544">
        <v>62111</v>
      </c>
      <c r="B1544">
        <v>22</v>
      </c>
    </row>
    <row r="1545" spans="1:2" x14ac:dyDescent="0.25">
      <c r="A1545">
        <v>62224</v>
      </c>
      <c r="B1545">
        <v>0</v>
      </c>
    </row>
    <row r="1546" spans="1:2" x14ac:dyDescent="0.25">
      <c r="A1546">
        <v>62233</v>
      </c>
      <c r="B1546">
        <v>0</v>
      </c>
    </row>
    <row r="1547" spans="1:2" x14ac:dyDescent="0.25">
      <c r="A1547">
        <v>62246</v>
      </c>
      <c r="B1547">
        <v>0</v>
      </c>
    </row>
    <row r="1548" spans="1:2" x14ac:dyDescent="0.25">
      <c r="A1548">
        <v>62221</v>
      </c>
      <c r="B1548">
        <v>0</v>
      </c>
    </row>
    <row r="1549" spans="1:2" x14ac:dyDescent="0.25">
      <c r="A1549">
        <v>62251</v>
      </c>
      <c r="B1549">
        <v>0</v>
      </c>
    </row>
    <row r="1550" spans="1:2" x14ac:dyDescent="0.25">
      <c r="A1550">
        <v>73262</v>
      </c>
      <c r="B1550">
        <v>0</v>
      </c>
    </row>
    <row r="1551" spans="1:2" x14ac:dyDescent="0.25">
      <c r="A1551">
        <v>62219</v>
      </c>
      <c r="B1551">
        <v>0</v>
      </c>
    </row>
    <row r="1552" spans="1:2" x14ac:dyDescent="0.25">
      <c r="A1552">
        <v>62218</v>
      </c>
      <c r="B1552">
        <v>0</v>
      </c>
    </row>
    <row r="1553" spans="1:2" x14ac:dyDescent="0.25">
      <c r="A1553">
        <v>73282</v>
      </c>
      <c r="B1553">
        <v>0</v>
      </c>
    </row>
    <row r="1554" spans="1:2" x14ac:dyDescent="0.25">
      <c r="A1554">
        <v>73257</v>
      </c>
      <c r="B1554">
        <v>0</v>
      </c>
    </row>
    <row r="1555" spans="1:2" x14ac:dyDescent="0.25">
      <c r="A1555">
        <v>62227</v>
      </c>
      <c r="B1555">
        <v>0</v>
      </c>
    </row>
    <row r="1556" spans="1:2" x14ac:dyDescent="0.25">
      <c r="A1556">
        <v>72264</v>
      </c>
      <c r="B1556">
        <v>0</v>
      </c>
    </row>
    <row r="1557" spans="1:2" x14ac:dyDescent="0.25">
      <c r="A1557">
        <v>62212</v>
      </c>
      <c r="B1557">
        <v>0</v>
      </c>
    </row>
    <row r="1558" spans="1:2" x14ac:dyDescent="0.25">
      <c r="A1558">
        <v>62211</v>
      </c>
      <c r="B1558">
        <v>0</v>
      </c>
    </row>
    <row r="1559" spans="1:2" x14ac:dyDescent="0.25">
      <c r="A1559">
        <v>73211</v>
      </c>
      <c r="B1559">
        <v>0</v>
      </c>
    </row>
    <row r="1560" spans="1:2" x14ac:dyDescent="0.25">
      <c r="A1560">
        <v>72261</v>
      </c>
      <c r="B1560">
        <v>0</v>
      </c>
    </row>
    <row r="1561" spans="1:2" x14ac:dyDescent="0.25">
      <c r="A1561">
        <v>73226</v>
      </c>
      <c r="B1561">
        <v>0</v>
      </c>
    </row>
    <row r="1562" spans="1:2" x14ac:dyDescent="0.25">
      <c r="A1562">
        <v>62254</v>
      </c>
      <c r="B1562">
        <v>1</v>
      </c>
    </row>
    <row r="1563" spans="1:2" x14ac:dyDescent="0.25">
      <c r="A1563">
        <v>62243</v>
      </c>
      <c r="B1563">
        <v>2</v>
      </c>
    </row>
    <row r="1564" spans="1:2" x14ac:dyDescent="0.25">
      <c r="A1564">
        <v>72247</v>
      </c>
      <c r="B1564">
        <v>0</v>
      </c>
    </row>
    <row r="1565" spans="1:2" x14ac:dyDescent="0.25">
      <c r="A1565">
        <v>72234</v>
      </c>
      <c r="B1565">
        <v>0</v>
      </c>
    </row>
    <row r="1566" spans="1:2" x14ac:dyDescent="0.25">
      <c r="A1566">
        <v>73279</v>
      </c>
      <c r="B1566">
        <v>0</v>
      </c>
    </row>
    <row r="1567" spans="1:2" x14ac:dyDescent="0.25">
      <c r="A1567">
        <v>62162</v>
      </c>
      <c r="B1567">
        <v>1</v>
      </c>
    </row>
    <row r="1568" spans="1:2" x14ac:dyDescent="0.25">
      <c r="A1568">
        <v>73280</v>
      </c>
      <c r="B1568">
        <v>0</v>
      </c>
    </row>
    <row r="1569" spans="1:2" x14ac:dyDescent="0.25">
      <c r="A1569">
        <v>73245</v>
      </c>
      <c r="B1569">
        <v>0</v>
      </c>
    </row>
    <row r="1570" spans="1:2" x14ac:dyDescent="0.25">
      <c r="A1570">
        <v>62217</v>
      </c>
      <c r="B1570">
        <v>0</v>
      </c>
    </row>
    <row r="1571" spans="1:2" x14ac:dyDescent="0.25">
      <c r="A1571">
        <v>73244</v>
      </c>
      <c r="B1571">
        <v>0</v>
      </c>
    </row>
    <row r="1572" spans="1:2" x14ac:dyDescent="0.25">
      <c r="A1572">
        <v>62214</v>
      </c>
      <c r="B1572">
        <v>0</v>
      </c>
    </row>
    <row r="1573" spans="1:2" x14ac:dyDescent="0.25">
      <c r="A1573">
        <v>62215</v>
      </c>
      <c r="B1573">
        <v>0</v>
      </c>
    </row>
    <row r="1574" spans="1:2" x14ac:dyDescent="0.25">
      <c r="A1574">
        <v>62247</v>
      </c>
      <c r="B1574">
        <v>1</v>
      </c>
    </row>
    <row r="1575" spans="1:2" x14ac:dyDescent="0.25">
      <c r="A1575">
        <v>0</v>
      </c>
      <c r="B1575">
        <v>0</v>
      </c>
    </row>
    <row r="1576" spans="1:2" x14ac:dyDescent="0.25">
      <c r="A1576">
        <v>62179</v>
      </c>
      <c r="B1576">
        <v>0</v>
      </c>
    </row>
    <row r="1577" spans="1:2" x14ac:dyDescent="0.25">
      <c r="A1577">
        <v>72244</v>
      </c>
      <c r="B1577">
        <v>0</v>
      </c>
    </row>
    <row r="1578" spans="1:2" x14ac:dyDescent="0.25">
      <c r="A1578">
        <v>72221</v>
      </c>
      <c r="B1578">
        <v>0</v>
      </c>
    </row>
    <row r="1579" spans="1:2" x14ac:dyDescent="0.25">
      <c r="A1579">
        <v>73234</v>
      </c>
      <c r="B1579">
        <v>1</v>
      </c>
    </row>
    <row r="1580" spans="1:2" x14ac:dyDescent="0.25">
      <c r="A1580">
        <v>62229</v>
      </c>
      <c r="B1580">
        <v>2</v>
      </c>
    </row>
    <row r="1581" spans="1:2" x14ac:dyDescent="0.25">
      <c r="A1581">
        <v>62277</v>
      </c>
      <c r="B1581">
        <v>0</v>
      </c>
    </row>
    <row r="1582" spans="1:2" x14ac:dyDescent="0.25">
      <c r="A1582">
        <v>62287</v>
      </c>
      <c r="B1582">
        <v>0</v>
      </c>
    </row>
    <row r="1583" spans="1:2" x14ac:dyDescent="0.25">
      <c r="A1583">
        <v>72214</v>
      </c>
      <c r="B1583">
        <v>0</v>
      </c>
    </row>
    <row r="1584" spans="1:2" x14ac:dyDescent="0.25">
      <c r="A1584">
        <v>62267</v>
      </c>
      <c r="B1584">
        <v>0</v>
      </c>
    </row>
    <row r="1585" spans="1:2" x14ac:dyDescent="0.25">
      <c r="A1585">
        <v>62259</v>
      </c>
      <c r="B1585">
        <v>0</v>
      </c>
    </row>
    <row r="1586" spans="1:2" x14ac:dyDescent="0.25">
      <c r="A1586">
        <v>62226</v>
      </c>
      <c r="B1586">
        <v>0</v>
      </c>
    </row>
    <row r="1587" spans="1:2" x14ac:dyDescent="0.25">
      <c r="A1587">
        <v>62223</v>
      </c>
      <c r="B1587">
        <v>0</v>
      </c>
    </row>
    <row r="1588" spans="1:2" x14ac:dyDescent="0.25">
      <c r="A1588">
        <v>62236</v>
      </c>
      <c r="B1588">
        <v>0</v>
      </c>
    </row>
    <row r="1589" spans="1:2" x14ac:dyDescent="0.25">
      <c r="A1589">
        <v>72211</v>
      </c>
      <c r="B1589">
        <v>0</v>
      </c>
    </row>
    <row r="1590" spans="1:2" x14ac:dyDescent="0.25">
      <c r="A1590">
        <v>72217</v>
      </c>
      <c r="B1590">
        <v>0</v>
      </c>
    </row>
    <row r="1591" spans="1:2" x14ac:dyDescent="0.25">
      <c r="A1591">
        <v>72229</v>
      </c>
      <c r="B1591">
        <v>0</v>
      </c>
    </row>
    <row r="1592" spans="1:2" x14ac:dyDescent="0.25">
      <c r="A1592">
        <v>72257</v>
      </c>
      <c r="B1592">
        <v>1</v>
      </c>
    </row>
    <row r="1593" spans="1:2" x14ac:dyDescent="0.25">
      <c r="A1593">
        <v>62241</v>
      </c>
      <c r="B1593">
        <v>1</v>
      </c>
    </row>
    <row r="1594" spans="1:2" x14ac:dyDescent="0.25">
      <c r="A1594">
        <v>73250</v>
      </c>
      <c r="B1594">
        <v>0</v>
      </c>
    </row>
    <row r="1595" spans="1:2" x14ac:dyDescent="0.25">
      <c r="A1595">
        <v>62293</v>
      </c>
      <c r="B1595">
        <v>0</v>
      </c>
    </row>
    <row r="1596" spans="1:2" x14ac:dyDescent="0.25">
      <c r="A1596">
        <v>62279</v>
      </c>
      <c r="B1596">
        <v>1</v>
      </c>
    </row>
    <row r="1597" spans="1:2" x14ac:dyDescent="0.25">
      <c r="A1597">
        <v>72241</v>
      </c>
      <c r="B1597">
        <v>0</v>
      </c>
    </row>
    <row r="1598" spans="1:2" x14ac:dyDescent="0.25">
      <c r="A1598">
        <v>72227</v>
      </c>
      <c r="B1598">
        <v>0</v>
      </c>
    </row>
    <row r="1599" spans="1:2" x14ac:dyDescent="0.25">
      <c r="A1599">
        <v>62296</v>
      </c>
      <c r="B1599">
        <v>0</v>
      </c>
    </row>
    <row r="1600" spans="1:2" x14ac:dyDescent="0.25">
      <c r="A1600">
        <v>62294</v>
      </c>
      <c r="B1600">
        <v>0</v>
      </c>
    </row>
    <row r="1601" spans="1:2" x14ac:dyDescent="0.25">
      <c r="A1601">
        <v>62286</v>
      </c>
      <c r="B1601">
        <v>0</v>
      </c>
    </row>
    <row r="1602" spans="1:2" x14ac:dyDescent="0.25">
      <c r="A1602">
        <v>62242</v>
      </c>
      <c r="B1602">
        <v>0</v>
      </c>
    </row>
    <row r="1603" spans="1:2" x14ac:dyDescent="0.25">
      <c r="A1603">
        <v>72224</v>
      </c>
      <c r="B1603">
        <v>0</v>
      </c>
    </row>
    <row r="1604" spans="1:2" x14ac:dyDescent="0.25">
      <c r="A1604">
        <v>62297</v>
      </c>
      <c r="B1604">
        <v>1</v>
      </c>
    </row>
    <row r="1605" spans="1:2" x14ac:dyDescent="0.25">
      <c r="A1605">
        <v>62299</v>
      </c>
      <c r="B1605">
        <v>0</v>
      </c>
    </row>
    <row r="1606" spans="1:2" x14ac:dyDescent="0.25">
      <c r="A1606">
        <v>72231</v>
      </c>
      <c r="B1606">
        <v>0</v>
      </c>
    </row>
    <row r="1607" spans="1:2" x14ac:dyDescent="0.25">
      <c r="A1607">
        <v>72237</v>
      </c>
      <c r="B1607">
        <v>0</v>
      </c>
    </row>
    <row r="1608" spans="1:2" x14ac:dyDescent="0.25">
      <c r="A1608">
        <v>72277</v>
      </c>
      <c r="B1608">
        <v>0</v>
      </c>
    </row>
    <row r="1609" spans="1:2" x14ac:dyDescent="0.25">
      <c r="A1609">
        <v>72251</v>
      </c>
      <c r="B1609">
        <v>0</v>
      </c>
    </row>
    <row r="1610" spans="1:2" x14ac:dyDescent="0.25">
      <c r="A1610">
        <v>72267</v>
      </c>
      <c r="B1610">
        <v>0</v>
      </c>
    </row>
    <row r="1611" spans="1:2" x14ac:dyDescent="0.25">
      <c r="A1611">
        <v>62298</v>
      </c>
      <c r="B1611">
        <v>0</v>
      </c>
    </row>
    <row r="1612" spans="1:2" x14ac:dyDescent="0.25">
      <c r="A1612">
        <v>73248</v>
      </c>
      <c r="B1612">
        <v>0</v>
      </c>
    </row>
    <row r="1613" spans="1:2" x14ac:dyDescent="0.25">
      <c r="A1613">
        <v>73288</v>
      </c>
      <c r="B1613">
        <v>1</v>
      </c>
    </row>
    <row r="1614" spans="1:2" x14ac:dyDescent="0.25">
      <c r="A1614">
        <v>62314</v>
      </c>
      <c r="B1614">
        <v>0</v>
      </c>
    </row>
    <row r="1615" spans="1:2" x14ac:dyDescent="0.25">
      <c r="A1615">
        <v>72254</v>
      </c>
      <c r="B1615">
        <v>0</v>
      </c>
    </row>
    <row r="1616" spans="1:2" x14ac:dyDescent="0.25">
      <c r="A1616">
        <v>72271</v>
      </c>
      <c r="B1616">
        <v>0</v>
      </c>
    </row>
    <row r="1617" spans="1:2" x14ac:dyDescent="0.25">
      <c r="A1617">
        <v>62295</v>
      </c>
      <c r="B1617">
        <v>0</v>
      </c>
    </row>
    <row r="1618" spans="1:2" x14ac:dyDescent="0.25">
      <c r="A1618">
        <v>72287</v>
      </c>
      <c r="B1618">
        <v>2</v>
      </c>
    </row>
    <row r="1619" spans="1:2" x14ac:dyDescent="0.25">
      <c r="A1619">
        <v>62292</v>
      </c>
      <c r="B1619">
        <v>0</v>
      </c>
    </row>
    <row r="1620" spans="1:2" x14ac:dyDescent="0.25">
      <c r="A1620">
        <v>62285</v>
      </c>
      <c r="B1620">
        <v>0</v>
      </c>
    </row>
    <row r="1621" spans="1:2" x14ac:dyDescent="0.25">
      <c r="A1621">
        <v>62318</v>
      </c>
      <c r="B1621">
        <v>0</v>
      </c>
    </row>
    <row r="1622" spans="1:2" x14ac:dyDescent="0.25">
      <c r="A1622">
        <v>62319</v>
      </c>
      <c r="B1622">
        <v>0</v>
      </c>
    </row>
    <row r="1623" spans="1:2" x14ac:dyDescent="0.25">
      <c r="A1623">
        <v>72111</v>
      </c>
      <c r="B1623">
        <v>0</v>
      </c>
    </row>
    <row r="1624" spans="1:2" x14ac:dyDescent="0.25">
      <c r="A1624">
        <v>72135</v>
      </c>
      <c r="B1624">
        <v>0</v>
      </c>
    </row>
    <row r="1625" spans="1:2" x14ac:dyDescent="0.25">
      <c r="A1625">
        <v>72281</v>
      </c>
      <c r="B1625">
        <v>0</v>
      </c>
    </row>
    <row r="1626" spans="1:2" x14ac:dyDescent="0.25">
      <c r="A1626">
        <v>72119</v>
      </c>
      <c r="B1626">
        <v>0</v>
      </c>
    </row>
    <row r="1627" spans="1:2" x14ac:dyDescent="0.25">
      <c r="A1627">
        <v>72291</v>
      </c>
      <c r="B1627">
        <v>0</v>
      </c>
    </row>
    <row r="1628" spans="1:2" x14ac:dyDescent="0.25">
      <c r="A1628">
        <v>62312</v>
      </c>
      <c r="B1628">
        <v>0</v>
      </c>
    </row>
    <row r="1629" spans="1:2" x14ac:dyDescent="0.25">
      <c r="A1629">
        <v>72143</v>
      </c>
      <c r="B1629">
        <v>0</v>
      </c>
    </row>
    <row r="1630" spans="1:2" x14ac:dyDescent="0.25">
      <c r="A1630">
        <v>72151</v>
      </c>
      <c r="B1630">
        <v>2</v>
      </c>
    </row>
    <row r="1631" spans="1:2" x14ac:dyDescent="0.25">
      <c r="A1631">
        <v>62316</v>
      </c>
      <c r="B1631">
        <v>0</v>
      </c>
    </row>
    <row r="1632" spans="1:2" x14ac:dyDescent="0.25">
      <c r="A1632">
        <v>62311</v>
      </c>
      <c r="B1632">
        <v>0</v>
      </c>
    </row>
    <row r="1633" spans="1:2" x14ac:dyDescent="0.25">
      <c r="A1633">
        <v>72191</v>
      </c>
      <c r="B1633">
        <v>0</v>
      </c>
    </row>
    <row r="1634" spans="1:2" x14ac:dyDescent="0.25">
      <c r="A1634">
        <v>62331</v>
      </c>
      <c r="B1634">
        <v>0</v>
      </c>
    </row>
    <row r="1635" spans="1:2" x14ac:dyDescent="0.25">
      <c r="A1635">
        <v>62341</v>
      </c>
      <c r="B1635">
        <v>0</v>
      </c>
    </row>
    <row r="1636" spans="1:2" x14ac:dyDescent="0.25">
      <c r="A1636">
        <v>62351</v>
      </c>
      <c r="B1636">
        <v>0</v>
      </c>
    </row>
    <row r="1637" spans="1:2" x14ac:dyDescent="0.25">
      <c r="A1637">
        <v>62308</v>
      </c>
      <c r="B1637">
        <v>0</v>
      </c>
    </row>
    <row r="1638" spans="1:2" x14ac:dyDescent="0.25">
      <c r="A1638">
        <v>72284</v>
      </c>
      <c r="B1638">
        <v>0</v>
      </c>
    </row>
    <row r="1639" spans="1:2" x14ac:dyDescent="0.25">
      <c r="A1639">
        <v>72127</v>
      </c>
      <c r="B1639">
        <v>0</v>
      </c>
    </row>
    <row r="1640" spans="1:2" x14ac:dyDescent="0.25">
      <c r="A1640">
        <v>72183</v>
      </c>
      <c r="B1640">
        <v>0</v>
      </c>
    </row>
    <row r="1641" spans="1:2" x14ac:dyDescent="0.25">
      <c r="A1641">
        <v>62321</v>
      </c>
      <c r="B1641">
        <v>0</v>
      </c>
    </row>
    <row r="1642" spans="1:2" x14ac:dyDescent="0.25">
      <c r="A1642">
        <v>72159</v>
      </c>
      <c r="B1642">
        <v>0</v>
      </c>
    </row>
    <row r="1643" spans="1:2" x14ac:dyDescent="0.25">
      <c r="A1643">
        <v>72167</v>
      </c>
      <c r="B1643">
        <v>0</v>
      </c>
    </row>
    <row r="1644" spans="1:2" x14ac:dyDescent="0.25">
      <c r="A1644">
        <v>72175</v>
      </c>
      <c r="B1644">
        <v>0</v>
      </c>
    </row>
  </sheetData>
  <conditionalFormatting sqref="A455:A537 A1">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5FD97-4A75-4A40-AF17-0B7B9A5CB0BE}">
  <dimension ref="A1:BA1644"/>
  <sheetViews>
    <sheetView topLeftCell="AK1" workbookViewId="0">
      <selection activeCell="AX1" sqref="AX1"/>
    </sheetView>
  </sheetViews>
  <sheetFormatPr defaultRowHeight="15" x14ac:dyDescent="0.25"/>
  <sheetData>
    <row r="1" spans="1:53" x14ac:dyDescent="0.25">
      <c r="A1" t="s">
        <v>7597</v>
      </c>
      <c r="B1" t="s">
        <v>7598</v>
      </c>
      <c r="C1" t="s">
        <v>7599</v>
      </c>
      <c r="D1" t="s">
        <v>7600</v>
      </c>
      <c r="E1" t="s">
        <v>7601</v>
      </c>
      <c r="F1" t="s">
        <v>7602</v>
      </c>
      <c r="G1" t="s">
        <v>7603</v>
      </c>
      <c r="H1" t="s">
        <v>7604</v>
      </c>
      <c r="I1" t="s">
        <v>7605</v>
      </c>
      <c r="J1" t="s">
        <v>2802</v>
      </c>
      <c r="K1" t="s">
        <v>3033</v>
      </c>
      <c r="L1" t="s">
        <v>7606</v>
      </c>
      <c r="M1" t="s">
        <v>7607</v>
      </c>
      <c r="N1" t="s">
        <v>7608</v>
      </c>
      <c r="O1" t="s">
        <v>7609</v>
      </c>
      <c r="P1" t="s">
        <v>7610</v>
      </c>
      <c r="Q1" t="s">
        <v>7611</v>
      </c>
      <c r="R1" t="s">
        <v>7612</v>
      </c>
      <c r="S1" t="s">
        <v>7613</v>
      </c>
      <c r="T1" t="s">
        <v>7614</v>
      </c>
      <c r="U1" t="s">
        <v>7615</v>
      </c>
      <c r="V1" t="s">
        <v>7616</v>
      </c>
      <c r="W1" t="s">
        <v>7617</v>
      </c>
      <c r="X1" t="s">
        <v>7618</v>
      </c>
      <c r="Y1" t="s">
        <v>7619</v>
      </c>
      <c r="Z1" t="s">
        <v>6972</v>
      </c>
      <c r="AA1" t="s">
        <v>6973</v>
      </c>
      <c r="AB1" t="s">
        <v>6974</v>
      </c>
      <c r="AC1" t="s">
        <v>6975</v>
      </c>
      <c r="AD1" t="s">
        <v>6976</v>
      </c>
      <c r="AE1" t="s">
        <v>6977</v>
      </c>
      <c r="AF1" t="s">
        <v>6929</v>
      </c>
      <c r="AG1" t="s">
        <v>6930</v>
      </c>
      <c r="AH1" t="s">
        <v>6943</v>
      </c>
      <c r="AI1" t="s">
        <v>6978</v>
      </c>
      <c r="AJ1" t="s">
        <v>6979</v>
      </c>
      <c r="AK1" t="s">
        <v>6980</v>
      </c>
      <c r="AL1" t="s">
        <v>6981</v>
      </c>
      <c r="AM1" t="s">
        <v>6982</v>
      </c>
      <c r="AN1" t="s">
        <v>6983</v>
      </c>
      <c r="AO1" t="s">
        <v>6984</v>
      </c>
      <c r="AP1" t="s">
        <v>6985</v>
      </c>
      <c r="AQ1" t="s">
        <v>6986</v>
      </c>
      <c r="AR1" t="s">
        <v>6987</v>
      </c>
      <c r="AS1" t="s">
        <v>7620</v>
      </c>
      <c r="AT1" t="s">
        <v>6988</v>
      </c>
      <c r="AU1" t="s">
        <v>6989</v>
      </c>
      <c r="AV1" t="s">
        <v>6990</v>
      </c>
      <c r="AW1" t="s">
        <v>7621</v>
      </c>
      <c r="AX1" t="s">
        <v>7622</v>
      </c>
      <c r="AY1" t="s">
        <v>6991</v>
      </c>
      <c r="AZ1" t="s">
        <v>7623</v>
      </c>
      <c r="BA1" t="s">
        <v>7624</v>
      </c>
    </row>
    <row r="2" spans="1:53" x14ac:dyDescent="0.25">
      <c r="A2">
        <v>0</v>
      </c>
      <c r="B2" t="s">
        <v>7625</v>
      </c>
      <c r="C2">
        <v>101126</v>
      </c>
      <c r="D2" t="s">
        <v>886</v>
      </c>
      <c r="E2" t="s">
        <v>3217</v>
      </c>
      <c r="F2">
        <v>5791574</v>
      </c>
      <c r="G2">
        <v>11585.917969</v>
      </c>
      <c r="H2">
        <v>20</v>
      </c>
      <c r="I2">
        <v>89</v>
      </c>
      <c r="J2">
        <v>35518</v>
      </c>
      <c r="K2" t="s">
        <v>2267</v>
      </c>
      <c r="L2">
        <v>12</v>
      </c>
      <c r="M2">
        <v>12</v>
      </c>
      <c r="N2">
        <v>35518</v>
      </c>
      <c r="O2">
        <v>19</v>
      </c>
      <c r="P2" t="s">
        <v>3215</v>
      </c>
      <c r="Q2">
        <v>1</v>
      </c>
      <c r="R2">
        <v>59.74</v>
      </c>
      <c r="S2">
        <v>0.19</v>
      </c>
      <c r="T2">
        <v>11</v>
      </c>
      <c r="U2">
        <v>5791574.1019000001</v>
      </c>
      <c r="V2">
        <v>11585.917837999999</v>
      </c>
      <c r="W2">
        <v>1</v>
      </c>
      <c r="X2">
        <v>0</v>
      </c>
      <c r="Y2">
        <v>0</v>
      </c>
      <c r="Z2" t="s">
        <v>6966</v>
      </c>
      <c r="AA2" t="s">
        <v>6966</v>
      </c>
      <c r="AB2" t="s">
        <v>6966</v>
      </c>
      <c r="AC2" t="s">
        <v>6966</v>
      </c>
      <c r="AD2" t="s">
        <v>6966</v>
      </c>
      <c r="AE2" t="s">
        <v>6966</v>
      </c>
      <c r="AF2" t="s">
        <v>6966</v>
      </c>
      <c r="AG2" t="s">
        <v>6966</v>
      </c>
      <c r="AH2" t="s">
        <v>6966</v>
      </c>
      <c r="AI2" t="s">
        <v>6966</v>
      </c>
      <c r="AJ2" t="s">
        <v>6966</v>
      </c>
      <c r="AK2" t="s">
        <v>6966</v>
      </c>
      <c r="AL2" t="s">
        <v>6966</v>
      </c>
      <c r="AM2" t="s">
        <v>6966</v>
      </c>
      <c r="AN2" t="s">
        <v>6966</v>
      </c>
      <c r="AO2" t="s">
        <v>6966</v>
      </c>
      <c r="AP2" t="s">
        <v>6966</v>
      </c>
      <c r="AQ2" t="s">
        <v>6966</v>
      </c>
      <c r="AR2" t="s">
        <v>6966</v>
      </c>
      <c r="AS2" t="s">
        <v>6966</v>
      </c>
      <c r="AT2" t="s">
        <v>6966</v>
      </c>
      <c r="AU2" t="s">
        <v>6966</v>
      </c>
      <c r="AV2" t="s">
        <v>6966</v>
      </c>
      <c r="AW2" t="s">
        <v>6966</v>
      </c>
      <c r="AX2" t="s">
        <v>6966</v>
      </c>
      <c r="AY2" t="s">
        <v>6966</v>
      </c>
      <c r="AZ2">
        <v>0.116212</v>
      </c>
      <c r="BA2">
        <v>5.6899999999999995E-4</v>
      </c>
    </row>
    <row r="3" spans="1:53" x14ac:dyDescent="0.25">
      <c r="A3">
        <v>1</v>
      </c>
      <c r="B3" t="s">
        <v>7625</v>
      </c>
      <c r="C3">
        <v>101154</v>
      </c>
      <c r="D3" t="s">
        <v>783</v>
      </c>
      <c r="E3" t="s">
        <v>3217</v>
      </c>
      <c r="F3">
        <v>3682581</v>
      </c>
      <c r="G3">
        <v>10452.669921999999</v>
      </c>
      <c r="H3">
        <v>21</v>
      </c>
      <c r="I3">
        <v>91</v>
      </c>
      <c r="J3">
        <v>35237</v>
      </c>
      <c r="K3" t="s">
        <v>2185</v>
      </c>
      <c r="L3">
        <v>12</v>
      </c>
      <c r="M3">
        <v>12</v>
      </c>
      <c r="N3">
        <v>35237</v>
      </c>
      <c r="O3">
        <v>20</v>
      </c>
      <c r="P3" t="s">
        <v>3215</v>
      </c>
      <c r="Q3">
        <v>2.6</v>
      </c>
      <c r="R3">
        <v>63.8</v>
      </c>
      <c r="S3">
        <v>0.42</v>
      </c>
      <c r="T3">
        <v>10</v>
      </c>
      <c r="U3">
        <v>3682580.8412899999</v>
      </c>
      <c r="V3">
        <v>10452.669932000001</v>
      </c>
      <c r="W3">
        <v>2</v>
      </c>
      <c r="X3">
        <v>0</v>
      </c>
      <c r="Y3">
        <v>1</v>
      </c>
      <c r="Z3" t="s">
        <v>6966</v>
      </c>
      <c r="AA3" t="s">
        <v>6966</v>
      </c>
      <c r="AB3" t="s">
        <v>6966</v>
      </c>
      <c r="AC3" t="s">
        <v>6966</v>
      </c>
      <c r="AD3" t="s">
        <v>6966</v>
      </c>
      <c r="AE3" t="s">
        <v>6966</v>
      </c>
      <c r="AF3" t="s">
        <v>6966</v>
      </c>
      <c r="AG3" t="s">
        <v>6966</v>
      </c>
      <c r="AH3" t="s">
        <v>6966</v>
      </c>
      <c r="AI3" t="s">
        <v>6966</v>
      </c>
      <c r="AJ3" t="s">
        <v>6966</v>
      </c>
      <c r="AK3" t="s">
        <v>6966</v>
      </c>
      <c r="AL3" t="s">
        <v>6966</v>
      </c>
      <c r="AM3" t="s">
        <v>6966</v>
      </c>
      <c r="AN3" t="s">
        <v>6966</v>
      </c>
      <c r="AO3" t="s">
        <v>6966</v>
      </c>
      <c r="AP3" t="s">
        <v>6966</v>
      </c>
      <c r="AQ3" t="s">
        <v>6966</v>
      </c>
      <c r="AR3" t="s">
        <v>6966</v>
      </c>
      <c r="AS3" t="s">
        <v>6966</v>
      </c>
      <c r="AT3" t="s">
        <v>6966</v>
      </c>
      <c r="AU3" t="s">
        <v>6966</v>
      </c>
      <c r="AV3" t="s">
        <v>6966</v>
      </c>
      <c r="AW3" t="s">
        <v>6966</v>
      </c>
      <c r="AX3" t="s">
        <v>6966</v>
      </c>
      <c r="AY3" t="s">
        <v>6966</v>
      </c>
      <c r="AZ3">
        <v>0.10251</v>
      </c>
      <c r="BA3">
        <v>3.6200000000000002E-4</v>
      </c>
    </row>
    <row r="4" spans="1:53" x14ac:dyDescent="0.25">
      <c r="A4">
        <v>2</v>
      </c>
      <c r="B4" t="s">
        <v>7625</v>
      </c>
      <c r="C4">
        <v>101168</v>
      </c>
      <c r="D4" t="s">
        <v>87</v>
      </c>
      <c r="E4" t="s">
        <v>3217</v>
      </c>
      <c r="F4">
        <v>30039.734375</v>
      </c>
      <c r="G4">
        <v>835.16784700000005</v>
      </c>
      <c r="H4">
        <v>22</v>
      </c>
      <c r="I4">
        <v>104</v>
      </c>
      <c r="J4">
        <v>35001</v>
      </c>
      <c r="K4" t="s">
        <v>87</v>
      </c>
      <c r="L4">
        <v>12</v>
      </c>
      <c r="M4">
        <v>12</v>
      </c>
      <c r="N4">
        <v>35001</v>
      </c>
      <c r="O4">
        <v>22</v>
      </c>
      <c r="P4" t="s">
        <v>3215</v>
      </c>
      <c r="Q4">
        <v>0</v>
      </c>
      <c r="R4">
        <v>0</v>
      </c>
      <c r="S4">
        <v>0</v>
      </c>
      <c r="T4">
        <v>0</v>
      </c>
      <c r="U4">
        <v>30039.73962</v>
      </c>
      <c r="V4">
        <v>835.16782899999998</v>
      </c>
      <c r="W4">
        <v>3</v>
      </c>
      <c r="X4">
        <v>0</v>
      </c>
      <c r="Y4">
        <v>2</v>
      </c>
      <c r="Z4" t="s">
        <v>6966</v>
      </c>
      <c r="AA4" t="s">
        <v>6966</v>
      </c>
      <c r="AB4" t="s">
        <v>6966</v>
      </c>
      <c r="AC4" t="s">
        <v>6966</v>
      </c>
      <c r="AD4" t="s">
        <v>6966</v>
      </c>
      <c r="AE4" t="s">
        <v>6966</v>
      </c>
      <c r="AF4" t="s">
        <v>6966</v>
      </c>
      <c r="AG4" t="s">
        <v>6966</v>
      </c>
      <c r="AH4" t="s">
        <v>6966</v>
      </c>
      <c r="AI4" t="s">
        <v>6966</v>
      </c>
      <c r="AJ4" t="s">
        <v>6966</v>
      </c>
      <c r="AK4" t="s">
        <v>6966</v>
      </c>
      <c r="AL4" t="s">
        <v>6966</v>
      </c>
      <c r="AM4" t="s">
        <v>6966</v>
      </c>
      <c r="AN4" t="s">
        <v>6966</v>
      </c>
      <c r="AO4" t="s">
        <v>6966</v>
      </c>
      <c r="AP4" t="s">
        <v>6966</v>
      </c>
      <c r="AQ4" t="s">
        <v>6966</v>
      </c>
      <c r="AR4" t="s">
        <v>6966</v>
      </c>
      <c r="AS4" t="s">
        <v>6966</v>
      </c>
      <c r="AT4" t="s">
        <v>6966</v>
      </c>
      <c r="AU4" t="s">
        <v>6966</v>
      </c>
      <c r="AV4" t="s">
        <v>6966</v>
      </c>
      <c r="AW4" t="s">
        <v>6966</v>
      </c>
      <c r="AX4" t="s">
        <v>6966</v>
      </c>
      <c r="AY4" t="s">
        <v>6966</v>
      </c>
      <c r="AZ4">
        <v>8.2559999999999995E-3</v>
      </c>
      <c r="BA4">
        <v>3.0000000000000001E-6</v>
      </c>
    </row>
    <row r="5" spans="1:53" x14ac:dyDescent="0.25">
      <c r="A5">
        <v>3</v>
      </c>
      <c r="B5" t="s">
        <v>7625</v>
      </c>
      <c r="C5">
        <v>101014</v>
      </c>
      <c r="D5" t="s">
        <v>7626</v>
      </c>
      <c r="E5" t="s">
        <v>3217</v>
      </c>
      <c r="F5">
        <v>1748065.25</v>
      </c>
      <c r="G5">
        <v>5743.7963870000003</v>
      </c>
      <c r="H5">
        <v>23</v>
      </c>
      <c r="I5">
        <v>107</v>
      </c>
      <c r="J5">
        <v>35484</v>
      </c>
      <c r="K5" t="s">
        <v>2259</v>
      </c>
      <c r="L5">
        <v>12</v>
      </c>
      <c r="M5">
        <v>12</v>
      </c>
      <c r="N5">
        <v>35484</v>
      </c>
      <c r="O5">
        <v>23</v>
      </c>
      <c r="P5" t="s">
        <v>3215</v>
      </c>
      <c r="Q5">
        <v>0.1</v>
      </c>
      <c r="R5">
        <v>0</v>
      </c>
      <c r="S5">
        <v>0.02</v>
      </c>
      <c r="T5">
        <v>0</v>
      </c>
      <c r="U5">
        <v>1748065.1733200001</v>
      </c>
      <c r="V5">
        <v>5743.7956130000002</v>
      </c>
      <c r="W5">
        <v>4</v>
      </c>
      <c r="X5">
        <v>0</v>
      </c>
      <c r="Y5">
        <v>3</v>
      </c>
      <c r="Z5" t="s">
        <v>6966</v>
      </c>
      <c r="AA5" t="s">
        <v>6966</v>
      </c>
      <c r="AB5" t="s">
        <v>6966</v>
      </c>
      <c r="AC5" t="s">
        <v>6966</v>
      </c>
      <c r="AD5" t="s">
        <v>6966</v>
      </c>
      <c r="AE5" t="s">
        <v>6966</v>
      </c>
      <c r="AF5" t="s">
        <v>6966</v>
      </c>
      <c r="AG5" t="s">
        <v>6966</v>
      </c>
      <c r="AH5" t="s">
        <v>6966</v>
      </c>
      <c r="AI5" t="s">
        <v>6966</v>
      </c>
      <c r="AJ5" t="s">
        <v>6966</v>
      </c>
      <c r="AK5" t="s">
        <v>6966</v>
      </c>
      <c r="AL5" t="s">
        <v>6966</v>
      </c>
      <c r="AM5" t="s">
        <v>6966</v>
      </c>
      <c r="AN5" t="s">
        <v>6966</v>
      </c>
      <c r="AO5" t="s">
        <v>6966</v>
      </c>
      <c r="AP5" t="s">
        <v>6966</v>
      </c>
      <c r="AQ5" t="s">
        <v>6966</v>
      </c>
      <c r="AR5" t="s">
        <v>6966</v>
      </c>
      <c r="AS5" t="s">
        <v>6966</v>
      </c>
      <c r="AT5" t="s">
        <v>6966</v>
      </c>
      <c r="AU5" t="s">
        <v>6966</v>
      </c>
      <c r="AV5" t="s">
        <v>6966</v>
      </c>
      <c r="AW5" t="s">
        <v>6966</v>
      </c>
      <c r="AX5" t="s">
        <v>6966</v>
      </c>
      <c r="AY5" t="s">
        <v>6966</v>
      </c>
      <c r="AZ5">
        <v>5.8314999999999999E-2</v>
      </c>
      <c r="BA5">
        <v>1.7200000000000001E-4</v>
      </c>
    </row>
    <row r="6" spans="1:53" x14ac:dyDescent="0.25">
      <c r="A6">
        <v>4</v>
      </c>
      <c r="B6" t="s">
        <v>7625</v>
      </c>
      <c r="C6">
        <v>101089</v>
      </c>
      <c r="D6" t="s">
        <v>838</v>
      </c>
      <c r="E6" t="s">
        <v>3217</v>
      </c>
      <c r="F6">
        <v>2071295</v>
      </c>
      <c r="G6">
        <v>7560.3295900000003</v>
      </c>
      <c r="H6">
        <v>24</v>
      </c>
      <c r="I6">
        <v>112</v>
      </c>
      <c r="J6">
        <v>35410</v>
      </c>
      <c r="K6" t="s">
        <v>838</v>
      </c>
      <c r="L6">
        <v>12</v>
      </c>
      <c r="M6">
        <v>12</v>
      </c>
      <c r="N6">
        <v>35410</v>
      </c>
      <c r="O6">
        <v>24</v>
      </c>
      <c r="P6" t="s">
        <v>3215</v>
      </c>
      <c r="Q6">
        <v>0</v>
      </c>
      <c r="R6">
        <v>0</v>
      </c>
      <c r="S6">
        <v>0</v>
      </c>
      <c r="T6">
        <v>0</v>
      </c>
      <c r="U6">
        <v>2071294.99994</v>
      </c>
      <c r="V6">
        <v>7560.3295179999996</v>
      </c>
      <c r="W6">
        <v>5</v>
      </c>
      <c r="X6">
        <v>0</v>
      </c>
      <c r="Y6">
        <v>4</v>
      </c>
      <c r="Z6" t="s">
        <v>6966</v>
      </c>
      <c r="AA6" t="s">
        <v>6966</v>
      </c>
      <c r="AB6" t="s">
        <v>6966</v>
      </c>
      <c r="AC6" t="s">
        <v>6966</v>
      </c>
      <c r="AD6" t="s">
        <v>6966</v>
      </c>
      <c r="AE6" t="s">
        <v>6966</v>
      </c>
      <c r="AF6" t="s">
        <v>6966</v>
      </c>
      <c r="AG6" t="s">
        <v>6966</v>
      </c>
      <c r="AH6" t="s">
        <v>6966</v>
      </c>
      <c r="AI6" t="s">
        <v>6966</v>
      </c>
      <c r="AJ6" t="s">
        <v>6966</v>
      </c>
      <c r="AK6" t="s">
        <v>6966</v>
      </c>
      <c r="AL6" t="s">
        <v>6966</v>
      </c>
      <c r="AM6" t="s">
        <v>6966</v>
      </c>
      <c r="AN6" t="s">
        <v>6966</v>
      </c>
      <c r="AO6" t="s">
        <v>6966</v>
      </c>
      <c r="AP6" t="s">
        <v>6966</v>
      </c>
      <c r="AQ6" t="s">
        <v>6966</v>
      </c>
      <c r="AR6" t="s">
        <v>6966</v>
      </c>
      <c r="AS6" t="s">
        <v>6966</v>
      </c>
      <c r="AT6" t="s">
        <v>6966</v>
      </c>
      <c r="AU6" t="s">
        <v>6966</v>
      </c>
      <c r="AV6" t="s">
        <v>6966</v>
      </c>
      <c r="AW6" t="s">
        <v>6966</v>
      </c>
      <c r="AX6" t="s">
        <v>6966</v>
      </c>
      <c r="AY6" t="s">
        <v>6966</v>
      </c>
      <c r="AZ6">
        <v>7.6626E-2</v>
      </c>
      <c r="BA6">
        <v>2.04E-4</v>
      </c>
    </row>
    <row r="7" spans="1:53" x14ac:dyDescent="0.25">
      <c r="A7">
        <v>5</v>
      </c>
      <c r="B7" t="s">
        <v>7625</v>
      </c>
      <c r="C7">
        <v>101104</v>
      </c>
      <c r="D7" t="s">
        <v>7627</v>
      </c>
      <c r="E7" t="s">
        <v>3217</v>
      </c>
      <c r="F7">
        <v>5072205.5</v>
      </c>
      <c r="G7">
        <v>14342.013671999999</v>
      </c>
      <c r="H7">
        <v>25</v>
      </c>
      <c r="I7">
        <v>115</v>
      </c>
      <c r="J7">
        <v>35229</v>
      </c>
      <c r="K7" t="s">
        <v>7628</v>
      </c>
      <c r="L7">
        <v>12</v>
      </c>
      <c r="M7">
        <v>12</v>
      </c>
      <c r="N7">
        <v>35229</v>
      </c>
      <c r="O7">
        <v>25</v>
      </c>
      <c r="P7" t="s">
        <v>3215</v>
      </c>
      <c r="Q7">
        <v>2.1</v>
      </c>
      <c r="R7">
        <v>70.19</v>
      </c>
      <c r="S7">
        <v>0.5</v>
      </c>
      <c r="T7">
        <v>17</v>
      </c>
      <c r="U7">
        <v>5072205.7254299996</v>
      </c>
      <c r="V7">
        <v>14342.013643</v>
      </c>
      <c r="W7">
        <v>6</v>
      </c>
      <c r="X7">
        <v>0</v>
      </c>
      <c r="Y7">
        <v>5</v>
      </c>
      <c r="Z7" t="s">
        <v>6966</v>
      </c>
      <c r="AA7" t="s">
        <v>6966</v>
      </c>
      <c r="AB7" t="s">
        <v>6966</v>
      </c>
      <c r="AC7" t="s">
        <v>6966</v>
      </c>
      <c r="AD7" t="s">
        <v>6966</v>
      </c>
      <c r="AE7" t="s">
        <v>6966</v>
      </c>
      <c r="AF7" t="s">
        <v>6966</v>
      </c>
      <c r="AG7" t="s">
        <v>6966</v>
      </c>
      <c r="AH7" t="s">
        <v>6966</v>
      </c>
      <c r="AI7" t="s">
        <v>6966</v>
      </c>
      <c r="AJ7" t="s">
        <v>6966</v>
      </c>
      <c r="AK7" t="s">
        <v>6966</v>
      </c>
      <c r="AL7" t="s">
        <v>6966</v>
      </c>
      <c r="AM7" t="s">
        <v>6966</v>
      </c>
      <c r="AN7" t="s">
        <v>6966</v>
      </c>
      <c r="AO7" t="s">
        <v>6966</v>
      </c>
      <c r="AP7" t="s">
        <v>6966</v>
      </c>
      <c r="AQ7" t="s">
        <v>6966</v>
      </c>
      <c r="AR7" t="s">
        <v>6966</v>
      </c>
      <c r="AS7" t="s">
        <v>6966</v>
      </c>
      <c r="AT7" t="s">
        <v>6966</v>
      </c>
      <c r="AU7" t="s">
        <v>6966</v>
      </c>
      <c r="AV7" t="s">
        <v>6966</v>
      </c>
      <c r="AW7" t="s">
        <v>6966</v>
      </c>
      <c r="AX7" t="s">
        <v>6966</v>
      </c>
      <c r="AY7" t="s">
        <v>6966</v>
      </c>
      <c r="AZ7">
        <v>0.14274400000000001</v>
      </c>
      <c r="BA7">
        <v>4.9799999999999996E-4</v>
      </c>
    </row>
    <row r="8" spans="1:53" x14ac:dyDescent="0.25">
      <c r="A8">
        <v>6</v>
      </c>
      <c r="B8" t="s">
        <v>7625</v>
      </c>
      <c r="C8">
        <v>101020</v>
      </c>
      <c r="D8" t="s">
        <v>785</v>
      </c>
      <c r="E8" t="s">
        <v>3217</v>
      </c>
      <c r="F8">
        <v>1002045.6875</v>
      </c>
      <c r="G8">
        <v>4919.7060549999997</v>
      </c>
      <c r="H8">
        <v>26</v>
      </c>
      <c r="I8">
        <v>118</v>
      </c>
      <c r="J8">
        <v>35241</v>
      </c>
      <c r="K8" t="s">
        <v>785</v>
      </c>
      <c r="L8">
        <v>12</v>
      </c>
      <c r="M8">
        <v>12</v>
      </c>
      <c r="N8">
        <v>35241</v>
      </c>
      <c r="O8">
        <v>26</v>
      </c>
      <c r="P8" t="s">
        <v>3215</v>
      </c>
      <c r="Q8">
        <v>2.1</v>
      </c>
      <c r="R8">
        <v>83</v>
      </c>
      <c r="S8">
        <v>0.32</v>
      </c>
      <c r="T8">
        <v>13</v>
      </c>
      <c r="U8">
        <v>1002045.69967</v>
      </c>
      <c r="V8">
        <v>4919.7058790000001</v>
      </c>
      <c r="W8">
        <v>7</v>
      </c>
      <c r="X8">
        <v>0</v>
      </c>
      <c r="Y8">
        <v>6</v>
      </c>
      <c r="Z8" t="s">
        <v>6966</v>
      </c>
      <c r="AA8" t="s">
        <v>6966</v>
      </c>
      <c r="AB8" t="s">
        <v>6966</v>
      </c>
      <c r="AC8" t="s">
        <v>6966</v>
      </c>
      <c r="AD8" t="s">
        <v>6966</v>
      </c>
      <c r="AE8" t="s">
        <v>6966</v>
      </c>
      <c r="AF8" t="s">
        <v>6966</v>
      </c>
      <c r="AG8" t="s">
        <v>6966</v>
      </c>
      <c r="AH8" t="s">
        <v>6966</v>
      </c>
      <c r="AI8" t="s">
        <v>6966</v>
      </c>
      <c r="AJ8" t="s">
        <v>6966</v>
      </c>
      <c r="AK8" t="s">
        <v>6966</v>
      </c>
      <c r="AL8" t="s">
        <v>6966</v>
      </c>
      <c r="AM8" t="s">
        <v>6966</v>
      </c>
      <c r="AN8" t="s">
        <v>6966</v>
      </c>
      <c r="AO8" t="s">
        <v>6966</v>
      </c>
      <c r="AP8" t="s">
        <v>6966</v>
      </c>
      <c r="AQ8" t="s">
        <v>6966</v>
      </c>
      <c r="AR8" t="s">
        <v>6966</v>
      </c>
      <c r="AS8" t="s">
        <v>6966</v>
      </c>
      <c r="AT8" t="s">
        <v>6966</v>
      </c>
      <c r="AU8" t="s">
        <v>6966</v>
      </c>
      <c r="AV8" t="s">
        <v>6966</v>
      </c>
      <c r="AW8" t="s">
        <v>6966</v>
      </c>
      <c r="AX8" t="s">
        <v>6966</v>
      </c>
      <c r="AY8" t="s">
        <v>6966</v>
      </c>
      <c r="AZ8">
        <v>5.0869999999999999E-2</v>
      </c>
      <c r="BA8">
        <v>9.7999999999999997E-5</v>
      </c>
    </row>
    <row r="9" spans="1:53" x14ac:dyDescent="0.25">
      <c r="A9">
        <v>7</v>
      </c>
      <c r="B9" t="s">
        <v>7625</v>
      </c>
      <c r="C9">
        <v>101042</v>
      </c>
      <c r="D9" t="s">
        <v>798</v>
      </c>
      <c r="E9" t="s">
        <v>3217</v>
      </c>
      <c r="F9">
        <v>8898158</v>
      </c>
      <c r="G9">
        <v>14164.570313</v>
      </c>
      <c r="H9">
        <v>27</v>
      </c>
      <c r="I9">
        <v>121</v>
      </c>
      <c r="J9">
        <v>35267</v>
      </c>
      <c r="K9" t="s">
        <v>7629</v>
      </c>
      <c r="L9">
        <v>12</v>
      </c>
      <c r="M9">
        <v>12</v>
      </c>
      <c r="N9">
        <v>35267</v>
      </c>
      <c r="O9">
        <v>27</v>
      </c>
      <c r="P9" t="s">
        <v>3215</v>
      </c>
      <c r="Q9">
        <v>1.1000000000000001</v>
      </c>
      <c r="R9">
        <v>53.69</v>
      </c>
      <c r="S9">
        <v>0.19</v>
      </c>
      <c r="T9">
        <v>10</v>
      </c>
      <c r="U9">
        <v>8898157.9178999998</v>
      </c>
      <c r="V9">
        <v>14164.571518999999</v>
      </c>
      <c r="W9">
        <v>8</v>
      </c>
      <c r="X9">
        <v>0</v>
      </c>
      <c r="Y9">
        <v>7</v>
      </c>
      <c r="Z9" t="s">
        <v>6966</v>
      </c>
      <c r="AA9" t="s">
        <v>6966</v>
      </c>
      <c r="AB9" t="s">
        <v>6966</v>
      </c>
      <c r="AC9" t="s">
        <v>6966</v>
      </c>
      <c r="AD9" t="s">
        <v>6966</v>
      </c>
      <c r="AE9" t="s">
        <v>6966</v>
      </c>
      <c r="AF9" t="s">
        <v>6966</v>
      </c>
      <c r="AG9" t="s">
        <v>6966</v>
      </c>
      <c r="AH9" t="s">
        <v>6966</v>
      </c>
      <c r="AI9" t="s">
        <v>6966</v>
      </c>
      <c r="AJ9" t="s">
        <v>6966</v>
      </c>
      <c r="AK9" t="s">
        <v>6966</v>
      </c>
      <c r="AL9" t="s">
        <v>6966</v>
      </c>
      <c r="AM9" t="s">
        <v>6966</v>
      </c>
      <c r="AN9" t="s">
        <v>6966</v>
      </c>
      <c r="AO9" t="s">
        <v>6966</v>
      </c>
      <c r="AP9" t="s">
        <v>6966</v>
      </c>
      <c r="AQ9" t="s">
        <v>6966</v>
      </c>
      <c r="AR9" t="s">
        <v>6966</v>
      </c>
      <c r="AS9" t="s">
        <v>6966</v>
      </c>
      <c r="AT9" t="s">
        <v>6966</v>
      </c>
      <c r="AU9" t="s">
        <v>6966</v>
      </c>
      <c r="AV9" t="s">
        <v>6966</v>
      </c>
      <c r="AW9" t="s">
        <v>6966</v>
      </c>
      <c r="AX9" t="s">
        <v>6966</v>
      </c>
      <c r="AY9" t="s">
        <v>6966</v>
      </c>
      <c r="AZ9">
        <v>0.139575</v>
      </c>
      <c r="BA9">
        <v>8.7399999999999999E-4</v>
      </c>
    </row>
    <row r="10" spans="1:53" x14ac:dyDescent="0.25">
      <c r="A10">
        <v>8</v>
      </c>
      <c r="B10" t="s">
        <v>7625</v>
      </c>
      <c r="C10">
        <v>101068</v>
      </c>
      <c r="D10" t="s">
        <v>883</v>
      </c>
      <c r="E10" t="s">
        <v>3217</v>
      </c>
      <c r="F10">
        <v>9959809</v>
      </c>
      <c r="G10">
        <v>19391.900390999999</v>
      </c>
      <c r="H10">
        <v>28</v>
      </c>
      <c r="I10">
        <v>131</v>
      </c>
      <c r="J10">
        <v>35514</v>
      </c>
      <c r="K10" t="s">
        <v>7630</v>
      </c>
      <c r="L10">
        <v>12</v>
      </c>
      <c r="M10">
        <v>12</v>
      </c>
      <c r="N10">
        <v>35514</v>
      </c>
      <c r="O10">
        <v>28</v>
      </c>
      <c r="P10" t="s">
        <v>3215</v>
      </c>
      <c r="Q10">
        <v>0.4</v>
      </c>
      <c r="R10">
        <v>14.36</v>
      </c>
      <c r="S10">
        <v>0.08</v>
      </c>
      <c r="T10">
        <v>3</v>
      </c>
      <c r="U10">
        <v>9959808.6818899997</v>
      </c>
      <c r="V10">
        <v>19391.901157</v>
      </c>
      <c r="W10">
        <v>9</v>
      </c>
      <c r="X10">
        <v>0</v>
      </c>
      <c r="Y10">
        <v>8</v>
      </c>
      <c r="Z10" t="s">
        <v>6966</v>
      </c>
      <c r="AA10" t="s">
        <v>6966</v>
      </c>
      <c r="AB10" t="s">
        <v>6966</v>
      </c>
      <c r="AC10" t="s">
        <v>6966</v>
      </c>
      <c r="AD10" t="s">
        <v>6966</v>
      </c>
      <c r="AE10" t="s">
        <v>6966</v>
      </c>
      <c r="AF10" t="s">
        <v>6966</v>
      </c>
      <c r="AG10" t="s">
        <v>6966</v>
      </c>
      <c r="AH10" t="s">
        <v>6966</v>
      </c>
      <c r="AI10" t="s">
        <v>6966</v>
      </c>
      <c r="AJ10" t="s">
        <v>6966</v>
      </c>
      <c r="AK10" t="s">
        <v>6966</v>
      </c>
      <c r="AL10" t="s">
        <v>6966</v>
      </c>
      <c r="AM10" t="s">
        <v>6966</v>
      </c>
      <c r="AN10" t="s">
        <v>6966</v>
      </c>
      <c r="AO10" t="s">
        <v>6966</v>
      </c>
      <c r="AP10" t="s">
        <v>6966</v>
      </c>
      <c r="AQ10" t="s">
        <v>6966</v>
      </c>
      <c r="AR10" t="s">
        <v>6966</v>
      </c>
      <c r="AS10" t="s">
        <v>6966</v>
      </c>
      <c r="AT10" t="s">
        <v>6966</v>
      </c>
      <c r="AU10" t="s">
        <v>6966</v>
      </c>
      <c r="AV10" t="s">
        <v>6966</v>
      </c>
      <c r="AW10" t="s">
        <v>6966</v>
      </c>
      <c r="AX10" t="s">
        <v>6966</v>
      </c>
      <c r="AY10" t="s">
        <v>6966</v>
      </c>
      <c r="AZ10">
        <v>0.195851</v>
      </c>
      <c r="BA10">
        <v>9.7900000000000005E-4</v>
      </c>
    </row>
    <row r="11" spans="1:53" x14ac:dyDescent="0.25">
      <c r="A11">
        <v>9</v>
      </c>
      <c r="B11" t="s">
        <v>7625</v>
      </c>
      <c r="C11">
        <v>101113</v>
      </c>
      <c r="D11" t="s">
        <v>841</v>
      </c>
      <c r="E11" t="s">
        <v>3217</v>
      </c>
      <c r="F11">
        <v>5913824</v>
      </c>
      <c r="G11">
        <v>14111.041992</v>
      </c>
      <c r="H11">
        <v>29</v>
      </c>
      <c r="I11">
        <v>133</v>
      </c>
      <c r="J11">
        <v>35414</v>
      </c>
      <c r="K11" t="s">
        <v>841</v>
      </c>
      <c r="L11">
        <v>12</v>
      </c>
      <c r="M11">
        <v>12</v>
      </c>
      <c r="N11">
        <v>35414</v>
      </c>
      <c r="O11">
        <v>29</v>
      </c>
      <c r="P11" t="s">
        <v>3215</v>
      </c>
      <c r="Q11">
        <v>1.2</v>
      </c>
      <c r="R11">
        <v>97</v>
      </c>
      <c r="S11">
        <v>0.27</v>
      </c>
      <c r="T11">
        <v>22</v>
      </c>
      <c r="U11">
        <v>5913824.2048000004</v>
      </c>
      <c r="V11">
        <v>14111.040453</v>
      </c>
      <c r="W11">
        <v>10</v>
      </c>
      <c r="X11">
        <v>1</v>
      </c>
      <c r="Y11">
        <v>9</v>
      </c>
      <c r="Z11">
        <v>59419</v>
      </c>
      <c r="AA11" s="76">
        <v>45742</v>
      </c>
      <c r="AB11">
        <v>2025</v>
      </c>
      <c r="AC11" t="s">
        <v>7104</v>
      </c>
      <c r="AD11">
        <v>26</v>
      </c>
      <c r="AE11" t="s">
        <v>7175</v>
      </c>
      <c r="AF11" t="s">
        <v>3217</v>
      </c>
      <c r="AG11" t="s">
        <v>3217</v>
      </c>
      <c r="AH11" t="s">
        <v>841</v>
      </c>
      <c r="AI11" t="s">
        <v>841</v>
      </c>
      <c r="AJ11" t="s">
        <v>6966</v>
      </c>
      <c r="AK11">
        <v>34.615459999999999</v>
      </c>
      <c r="AL11">
        <v>36.244349999999997</v>
      </c>
      <c r="AM11" t="s">
        <v>6995</v>
      </c>
      <c r="AN11" t="s">
        <v>6966</v>
      </c>
      <c r="AO11" t="s">
        <v>7008</v>
      </c>
      <c r="AP11" t="s">
        <v>7176</v>
      </c>
      <c r="AQ11" t="s">
        <v>6998</v>
      </c>
      <c r="AR11" t="s">
        <v>6999</v>
      </c>
      <c r="AS11" t="s">
        <v>7000</v>
      </c>
      <c r="AT11">
        <v>0</v>
      </c>
      <c r="AU11">
        <v>0</v>
      </c>
      <c r="AV11" t="s">
        <v>7177</v>
      </c>
      <c r="AW11" t="s">
        <v>7178</v>
      </c>
      <c r="AX11" t="s">
        <v>6966</v>
      </c>
      <c r="AY11" t="s">
        <v>7003</v>
      </c>
      <c r="AZ11">
        <v>0.14199899999999999</v>
      </c>
      <c r="BA11">
        <v>5.8100000000000003E-4</v>
      </c>
    </row>
    <row r="12" spans="1:53" x14ac:dyDescent="0.25">
      <c r="A12">
        <v>10</v>
      </c>
      <c r="B12" t="s">
        <v>7625</v>
      </c>
      <c r="C12">
        <v>101043</v>
      </c>
      <c r="D12" t="s">
        <v>834</v>
      </c>
      <c r="E12" t="s">
        <v>3217</v>
      </c>
      <c r="F12">
        <v>2651064.75</v>
      </c>
      <c r="G12">
        <v>7405.8168949999999</v>
      </c>
      <c r="H12">
        <v>30</v>
      </c>
      <c r="I12">
        <v>135</v>
      </c>
      <c r="J12">
        <v>35402</v>
      </c>
      <c r="K12" t="s">
        <v>2225</v>
      </c>
      <c r="L12">
        <v>12</v>
      </c>
      <c r="M12">
        <v>12</v>
      </c>
      <c r="N12">
        <v>35402</v>
      </c>
      <c r="O12">
        <v>30</v>
      </c>
      <c r="P12" t="s">
        <v>3215</v>
      </c>
      <c r="Q12">
        <v>2.1</v>
      </c>
      <c r="R12">
        <v>59.77</v>
      </c>
      <c r="S12">
        <v>0.45</v>
      </c>
      <c r="T12">
        <v>13</v>
      </c>
      <c r="U12">
        <v>2651064.6719200001</v>
      </c>
      <c r="V12">
        <v>7405.8174319999998</v>
      </c>
      <c r="W12">
        <v>11</v>
      </c>
      <c r="X12">
        <v>0</v>
      </c>
      <c r="Y12">
        <v>10</v>
      </c>
      <c r="Z12" t="s">
        <v>6966</v>
      </c>
      <c r="AA12" t="s">
        <v>6966</v>
      </c>
      <c r="AB12" t="s">
        <v>6966</v>
      </c>
      <c r="AC12" t="s">
        <v>6966</v>
      </c>
      <c r="AD12" t="s">
        <v>6966</v>
      </c>
      <c r="AE12" t="s">
        <v>6966</v>
      </c>
      <c r="AF12" t="s">
        <v>6966</v>
      </c>
      <c r="AG12" t="s">
        <v>6966</v>
      </c>
      <c r="AH12" t="s">
        <v>6966</v>
      </c>
      <c r="AI12" t="s">
        <v>6966</v>
      </c>
      <c r="AJ12" t="s">
        <v>6966</v>
      </c>
      <c r="AK12" t="s">
        <v>6966</v>
      </c>
      <c r="AL12" t="s">
        <v>6966</v>
      </c>
      <c r="AM12" t="s">
        <v>6966</v>
      </c>
      <c r="AN12" t="s">
        <v>6966</v>
      </c>
      <c r="AO12" t="s">
        <v>6966</v>
      </c>
      <c r="AP12" t="s">
        <v>6966</v>
      </c>
      <c r="AQ12" t="s">
        <v>6966</v>
      </c>
      <c r="AR12" t="s">
        <v>6966</v>
      </c>
      <c r="AS12" t="s">
        <v>6966</v>
      </c>
      <c r="AT12" t="s">
        <v>6966</v>
      </c>
      <c r="AU12" t="s">
        <v>6966</v>
      </c>
      <c r="AV12" t="s">
        <v>6966</v>
      </c>
      <c r="AW12" t="s">
        <v>6966</v>
      </c>
      <c r="AX12" t="s">
        <v>6966</v>
      </c>
      <c r="AY12" t="s">
        <v>6966</v>
      </c>
      <c r="AZ12">
        <v>7.4274999999999994E-2</v>
      </c>
      <c r="BA12">
        <v>2.61E-4</v>
      </c>
    </row>
    <row r="13" spans="1:53" x14ac:dyDescent="0.25">
      <c r="A13">
        <v>11</v>
      </c>
      <c r="B13" t="s">
        <v>7625</v>
      </c>
      <c r="C13">
        <v>101137</v>
      </c>
      <c r="D13" t="s">
        <v>835</v>
      </c>
      <c r="E13" t="s">
        <v>3217</v>
      </c>
      <c r="F13">
        <v>1976062.25</v>
      </c>
      <c r="G13">
        <v>7191.4877930000002</v>
      </c>
      <c r="H13">
        <v>31</v>
      </c>
      <c r="I13">
        <v>136</v>
      </c>
      <c r="J13">
        <v>35404</v>
      </c>
      <c r="K13" t="s">
        <v>835</v>
      </c>
      <c r="L13">
        <v>12</v>
      </c>
      <c r="M13">
        <v>12</v>
      </c>
      <c r="N13">
        <v>35404</v>
      </c>
      <c r="O13">
        <v>31</v>
      </c>
      <c r="P13" t="s">
        <v>3215</v>
      </c>
      <c r="Q13">
        <v>2</v>
      </c>
      <c r="R13">
        <v>55.88</v>
      </c>
      <c r="S13">
        <v>0.44</v>
      </c>
      <c r="T13">
        <v>12</v>
      </c>
      <c r="U13">
        <v>1976062.2356</v>
      </c>
      <c r="V13">
        <v>7191.4871800000001</v>
      </c>
      <c r="W13">
        <v>12</v>
      </c>
      <c r="X13">
        <v>1</v>
      </c>
      <c r="Y13">
        <v>11</v>
      </c>
      <c r="Z13">
        <v>60515</v>
      </c>
      <c r="AA13" s="76">
        <v>45760</v>
      </c>
      <c r="AB13">
        <v>2025</v>
      </c>
      <c r="AC13" t="s">
        <v>7183</v>
      </c>
      <c r="AD13">
        <v>13</v>
      </c>
      <c r="AE13" t="s">
        <v>7203</v>
      </c>
      <c r="AF13" t="s">
        <v>3217</v>
      </c>
      <c r="AG13" t="s">
        <v>3217</v>
      </c>
      <c r="AH13" t="s">
        <v>835</v>
      </c>
      <c r="AI13" t="s">
        <v>835</v>
      </c>
      <c r="AJ13" t="s">
        <v>6966</v>
      </c>
      <c r="AK13">
        <v>34.622669999999999</v>
      </c>
      <c r="AL13">
        <v>36.264200000000002</v>
      </c>
      <c r="AM13" t="s">
        <v>6995</v>
      </c>
      <c r="AN13" t="s">
        <v>6966</v>
      </c>
      <c r="AO13" t="s">
        <v>7008</v>
      </c>
      <c r="AP13" t="s">
        <v>7204</v>
      </c>
      <c r="AQ13" t="s">
        <v>6998</v>
      </c>
      <c r="AR13" t="s">
        <v>6999</v>
      </c>
      <c r="AS13" t="s">
        <v>7000</v>
      </c>
      <c r="AT13">
        <v>0</v>
      </c>
      <c r="AU13">
        <v>0</v>
      </c>
      <c r="AV13" t="s">
        <v>7205</v>
      </c>
      <c r="AW13" t="s">
        <v>7041</v>
      </c>
      <c r="AX13" t="s">
        <v>6966</v>
      </c>
      <c r="AY13" t="s">
        <v>7003</v>
      </c>
      <c r="AZ13">
        <v>7.1368000000000001E-2</v>
      </c>
      <c r="BA13">
        <v>1.94E-4</v>
      </c>
    </row>
    <row r="14" spans="1:53" x14ac:dyDescent="0.25">
      <c r="A14">
        <v>12</v>
      </c>
      <c r="B14" t="s">
        <v>7625</v>
      </c>
      <c r="C14">
        <v>101123</v>
      </c>
      <c r="D14" t="s">
        <v>865</v>
      </c>
      <c r="E14" t="s">
        <v>3217</v>
      </c>
      <c r="F14">
        <v>1970819.25</v>
      </c>
      <c r="G14">
        <v>7284.8334960000002</v>
      </c>
      <c r="H14">
        <v>32</v>
      </c>
      <c r="I14">
        <v>139</v>
      </c>
      <c r="J14">
        <v>35453</v>
      </c>
      <c r="K14" t="s">
        <v>2250</v>
      </c>
      <c r="L14">
        <v>12</v>
      </c>
      <c r="M14">
        <v>12</v>
      </c>
      <c r="N14">
        <v>35453</v>
      </c>
      <c r="O14">
        <v>32</v>
      </c>
      <c r="P14" t="s">
        <v>3215</v>
      </c>
      <c r="Q14">
        <v>1.1000000000000001</v>
      </c>
      <c r="R14">
        <v>33.51</v>
      </c>
      <c r="S14">
        <v>0.23</v>
      </c>
      <c r="T14">
        <v>7</v>
      </c>
      <c r="U14">
        <v>1970819.26177</v>
      </c>
      <c r="V14">
        <v>7284.8333110000003</v>
      </c>
      <c r="W14">
        <v>13</v>
      </c>
      <c r="X14">
        <v>0</v>
      </c>
      <c r="Y14">
        <v>12</v>
      </c>
      <c r="Z14" t="s">
        <v>6966</v>
      </c>
      <c r="AA14" t="s">
        <v>6966</v>
      </c>
      <c r="AB14" t="s">
        <v>6966</v>
      </c>
      <c r="AC14" t="s">
        <v>6966</v>
      </c>
      <c r="AD14" t="s">
        <v>6966</v>
      </c>
      <c r="AE14" t="s">
        <v>6966</v>
      </c>
      <c r="AF14" t="s">
        <v>6966</v>
      </c>
      <c r="AG14" t="s">
        <v>6966</v>
      </c>
      <c r="AH14" t="s">
        <v>6966</v>
      </c>
      <c r="AI14" t="s">
        <v>6966</v>
      </c>
      <c r="AJ14" t="s">
        <v>6966</v>
      </c>
      <c r="AK14" t="s">
        <v>6966</v>
      </c>
      <c r="AL14" t="s">
        <v>6966</v>
      </c>
      <c r="AM14" t="s">
        <v>6966</v>
      </c>
      <c r="AN14" t="s">
        <v>6966</v>
      </c>
      <c r="AO14" t="s">
        <v>6966</v>
      </c>
      <c r="AP14" t="s">
        <v>6966</v>
      </c>
      <c r="AQ14" t="s">
        <v>6966</v>
      </c>
      <c r="AR14" t="s">
        <v>6966</v>
      </c>
      <c r="AS14" t="s">
        <v>6966</v>
      </c>
      <c r="AT14" t="s">
        <v>6966</v>
      </c>
      <c r="AU14" t="s">
        <v>6966</v>
      </c>
      <c r="AV14" t="s">
        <v>6966</v>
      </c>
      <c r="AW14" t="s">
        <v>6966</v>
      </c>
      <c r="AX14" t="s">
        <v>6966</v>
      </c>
      <c r="AY14" t="s">
        <v>6966</v>
      </c>
      <c r="AZ14">
        <v>7.3577000000000004E-2</v>
      </c>
      <c r="BA14">
        <v>1.94E-4</v>
      </c>
    </row>
    <row r="15" spans="1:53" x14ac:dyDescent="0.25">
      <c r="A15">
        <v>13</v>
      </c>
      <c r="B15" t="s">
        <v>7625</v>
      </c>
      <c r="C15">
        <v>101092</v>
      </c>
      <c r="D15" t="s">
        <v>787</v>
      </c>
      <c r="E15" t="s">
        <v>3217</v>
      </c>
      <c r="F15">
        <v>1744470</v>
      </c>
      <c r="G15">
        <v>6422.4560549999997</v>
      </c>
      <c r="H15">
        <v>33</v>
      </c>
      <c r="I15">
        <v>140</v>
      </c>
      <c r="J15">
        <v>35245</v>
      </c>
      <c r="K15" t="s">
        <v>7631</v>
      </c>
      <c r="L15">
        <v>12</v>
      </c>
      <c r="M15">
        <v>12</v>
      </c>
      <c r="N15">
        <v>35245</v>
      </c>
      <c r="O15">
        <v>33</v>
      </c>
      <c r="P15" t="s">
        <v>3215</v>
      </c>
      <c r="Q15">
        <v>3.4</v>
      </c>
      <c r="R15">
        <v>118.46</v>
      </c>
      <c r="S15">
        <v>0.53</v>
      </c>
      <c r="T15">
        <v>19</v>
      </c>
      <c r="U15">
        <v>1744470.0279600001</v>
      </c>
      <c r="V15">
        <v>6422.456553</v>
      </c>
      <c r="W15">
        <v>14</v>
      </c>
      <c r="X15">
        <v>0</v>
      </c>
      <c r="Y15">
        <v>13</v>
      </c>
      <c r="Z15" t="s">
        <v>6966</v>
      </c>
      <c r="AA15" t="s">
        <v>6966</v>
      </c>
      <c r="AB15" t="s">
        <v>6966</v>
      </c>
      <c r="AC15" t="s">
        <v>6966</v>
      </c>
      <c r="AD15" t="s">
        <v>6966</v>
      </c>
      <c r="AE15" t="s">
        <v>6966</v>
      </c>
      <c r="AF15" t="s">
        <v>6966</v>
      </c>
      <c r="AG15" t="s">
        <v>6966</v>
      </c>
      <c r="AH15" t="s">
        <v>6966</v>
      </c>
      <c r="AI15" t="s">
        <v>6966</v>
      </c>
      <c r="AJ15" t="s">
        <v>6966</v>
      </c>
      <c r="AK15" t="s">
        <v>6966</v>
      </c>
      <c r="AL15" t="s">
        <v>6966</v>
      </c>
      <c r="AM15" t="s">
        <v>6966</v>
      </c>
      <c r="AN15" t="s">
        <v>6966</v>
      </c>
      <c r="AO15" t="s">
        <v>6966</v>
      </c>
      <c r="AP15" t="s">
        <v>6966</v>
      </c>
      <c r="AQ15" t="s">
        <v>6966</v>
      </c>
      <c r="AR15" t="s">
        <v>6966</v>
      </c>
      <c r="AS15" t="s">
        <v>6966</v>
      </c>
      <c r="AT15" t="s">
        <v>6966</v>
      </c>
      <c r="AU15" t="s">
        <v>6966</v>
      </c>
      <c r="AV15" t="s">
        <v>6966</v>
      </c>
      <c r="AW15" t="s">
        <v>6966</v>
      </c>
      <c r="AX15" t="s">
        <v>6966</v>
      </c>
      <c r="AY15" t="s">
        <v>6966</v>
      </c>
      <c r="AZ15">
        <v>6.4868999999999996E-2</v>
      </c>
      <c r="BA15">
        <v>1.7100000000000001E-4</v>
      </c>
    </row>
    <row r="16" spans="1:53" x14ac:dyDescent="0.25">
      <c r="A16">
        <v>14</v>
      </c>
      <c r="B16" t="s">
        <v>7625</v>
      </c>
      <c r="C16">
        <v>101056</v>
      </c>
      <c r="D16" t="s">
        <v>840</v>
      </c>
      <c r="E16" t="s">
        <v>3217</v>
      </c>
      <c r="F16">
        <v>1378431.125</v>
      </c>
      <c r="G16">
        <v>5462.2387699999999</v>
      </c>
      <c r="H16">
        <v>34</v>
      </c>
      <c r="I16">
        <v>141</v>
      </c>
      <c r="J16">
        <v>35412</v>
      </c>
      <c r="K16" t="s">
        <v>2229</v>
      </c>
      <c r="L16">
        <v>12</v>
      </c>
      <c r="M16">
        <v>12</v>
      </c>
      <c r="N16">
        <v>35412</v>
      </c>
      <c r="O16">
        <v>34</v>
      </c>
      <c r="P16" t="s">
        <v>3215</v>
      </c>
      <c r="Q16">
        <v>1.9</v>
      </c>
      <c r="R16">
        <v>36.78</v>
      </c>
      <c r="S16">
        <v>0.37</v>
      </c>
      <c r="T16">
        <v>7</v>
      </c>
      <c r="U16">
        <v>1378431.1000300001</v>
      </c>
      <c r="V16">
        <v>5462.2393620000003</v>
      </c>
      <c r="W16">
        <v>15</v>
      </c>
      <c r="X16">
        <v>0</v>
      </c>
      <c r="Y16">
        <v>14</v>
      </c>
      <c r="Z16" t="s">
        <v>6966</v>
      </c>
      <c r="AA16" t="s">
        <v>6966</v>
      </c>
      <c r="AB16" t="s">
        <v>6966</v>
      </c>
      <c r="AC16" t="s">
        <v>6966</v>
      </c>
      <c r="AD16" t="s">
        <v>6966</v>
      </c>
      <c r="AE16" t="s">
        <v>6966</v>
      </c>
      <c r="AF16" t="s">
        <v>6966</v>
      </c>
      <c r="AG16" t="s">
        <v>6966</v>
      </c>
      <c r="AH16" t="s">
        <v>6966</v>
      </c>
      <c r="AI16" t="s">
        <v>6966</v>
      </c>
      <c r="AJ16" t="s">
        <v>6966</v>
      </c>
      <c r="AK16" t="s">
        <v>6966</v>
      </c>
      <c r="AL16" t="s">
        <v>6966</v>
      </c>
      <c r="AM16" t="s">
        <v>6966</v>
      </c>
      <c r="AN16" t="s">
        <v>6966</v>
      </c>
      <c r="AO16" t="s">
        <v>6966</v>
      </c>
      <c r="AP16" t="s">
        <v>6966</v>
      </c>
      <c r="AQ16" t="s">
        <v>6966</v>
      </c>
      <c r="AR16" t="s">
        <v>6966</v>
      </c>
      <c r="AS16" t="s">
        <v>6966</v>
      </c>
      <c r="AT16" t="s">
        <v>6966</v>
      </c>
      <c r="AU16" t="s">
        <v>6966</v>
      </c>
      <c r="AV16" t="s">
        <v>6966</v>
      </c>
      <c r="AW16" t="s">
        <v>6966</v>
      </c>
      <c r="AX16" t="s">
        <v>6966</v>
      </c>
      <c r="AY16" t="s">
        <v>6966</v>
      </c>
      <c r="AZ16">
        <v>5.3728999999999999E-2</v>
      </c>
      <c r="BA16">
        <v>1.35E-4</v>
      </c>
    </row>
    <row r="17" spans="1:53" x14ac:dyDescent="0.25">
      <c r="A17">
        <v>15</v>
      </c>
      <c r="B17" t="s">
        <v>7625</v>
      </c>
      <c r="C17">
        <v>101009</v>
      </c>
      <c r="D17" t="s">
        <v>863</v>
      </c>
      <c r="E17" t="s">
        <v>3217</v>
      </c>
      <c r="F17">
        <v>3829461.75</v>
      </c>
      <c r="G17">
        <v>9697.7548829999996</v>
      </c>
      <c r="H17">
        <v>35</v>
      </c>
      <c r="I17">
        <v>142</v>
      </c>
      <c r="J17">
        <v>35449</v>
      </c>
      <c r="K17" t="s">
        <v>2248</v>
      </c>
      <c r="L17">
        <v>12</v>
      </c>
      <c r="M17">
        <v>12</v>
      </c>
      <c r="N17">
        <v>35449</v>
      </c>
      <c r="O17">
        <v>35</v>
      </c>
      <c r="P17" t="s">
        <v>3215</v>
      </c>
      <c r="Q17">
        <v>1.8</v>
      </c>
      <c r="R17">
        <v>68.22</v>
      </c>
      <c r="S17">
        <v>0.28000000000000003</v>
      </c>
      <c r="T17">
        <v>11</v>
      </c>
      <c r="U17">
        <v>3829461.8374899998</v>
      </c>
      <c r="V17">
        <v>9697.7547030000005</v>
      </c>
      <c r="W17">
        <v>16</v>
      </c>
      <c r="X17">
        <v>0</v>
      </c>
      <c r="Y17">
        <v>15</v>
      </c>
      <c r="Z17" t="s">
        <v>6966</v>
      </c>
      <c r="AA17" t="s">
        <v>6966</v>
      </c>
      <c r="AB17" t="s">
        <v>6966</v>
      </c>
      <c r="AC17" t="s">
        <v>6966</v>
      </c>
      <c r="AD17" t="s">
        <v>6966</v>
      </c>
      <c r="AE17" t="s">
        <v>6966</v>
      </c>
      <c r="AF17" t="s">
        <v>6966</v>
      </c>
      <c r="AG17" t="s">
        <v>6966</v>
      </c>
      <c r="AH17" t="s">
        <v>6966</v>
      </c>
      <c r="AI17" t="s">
        <v>6966</v>
      </c>
      <c r="AJ17" t="s">
        <v>6966</v>
      </c>
      <c r="AK17" t="s">
        <v>6966</v>
      </c>
      <c r="AL17" t="s">
        <v>6966</v>
      </c>
      <c r="AM17" t="s">
        <v>6966</v>
      </c>
      <c r="AN17" t="s">
        <v>6966</v>
      </c>
      <c r="AO17" t="s">
        <v>6966</v>
      </c>
      <c r="AP17" t="s">
        <v>6966</v>
      </c>
      <c r="AQ17" t="s">
        <v>6966</v>
      </c>
      <c r="AR17" t="s">
        <v>6966</v>
      </c>
      <c r="AS17" t="s">
        <v>6966</v>
      </c>
      <c r="AT17" t="s">
        <v>6966</v>
      </c>
      <c r="AU17" t="s">
        <v>6966</v>
      </c>
      <c r="AV17" t="s">
        <v>6966</v>
      </c>
      <c r="AW17" t="s">
        <v>6966</v>
      </c>
      <c r="AX17" t="s">
        <v>6966</v>
      </c>
      <c r="AY17" t="s">
        <v>6966</v>
      </c>
      <c r="AZ17">
        <v>9.6213999999999994E-2</v>
      </c>
      <c r="BA17">
        <v>3.7599999999999998E-4</v>
      </c>
    </row>
    <row r="18" spans="1:53" x14ac:dyDescent="0.25">
      <c r="A18">
        <v>16</v>
      </c>
      <c r="B18" t="s">
        <v>7625</v>
      </c>
      <c r="C18">
        <v>101150</v>
      </c>
      <c r="D18" t="s">
        <v>875</v>
      </c>
      <c r="E18" t="s">
        <v>3217</v>
      </c>
      <c r="F18">
        <v>1942323.25</v>
      </c>
      <c r="G18">
        <v>6005.0263670000004</v>
      </c>
      <c r="H18">
        <v>36</v>
      </c>
      <c r="I18">
        <v>144</v>
      </c>
      <c r="J18">
        <v>35471</v>
      </c>
      <c r="K18" t="s">
        <v>875</v>
      </c>
      <c r="L18">
        <v>12</v>
      </c>
      <c r="M18">
        <v>12</v>
      </c>
      <c r="N18">
        <v>35471</v>
      </c>
      <c r="O18">
        <v>36</v>
      </c>
      <c r="P18" t="s">
        <v>3215</v>
      </c>
      <c r="Q18">
        <v>0.2</v>
      </c>
      <c r="R18">
        <v>0</v>
      </c>
      <c r="S18">
        <v>0.03</v>
      </c>
      <c r="T18">
        <v>0</v>
      </c>
      <c r="U18">
        <v>1942323.34344</v>
      </c>
      <c r="V18">
        <v>6005.0257009999996</v>
      </c>
      <c r="W18">
        <v>17</v>
      </c>
      <c r="X18">
        <v>0</v>
      </c>
      <c r="Y18">
        <v>16</v>
      </c>
      <c r="Z18" t="s">
        <v>6966</v>
      </c>
      <c r="AA18" t="s">
        <v>6966</v>
      </c>
      <c r="AB18" t="s">
        <v>6966</v>
      </c>
      <c r="AC18" t="s">
        <v>6966</v>
      </c>
      <c r="AD18" t="s">
        <v>6966</v>
      </c>
      <c r="AE18" t="s">
        <v>6966</v>
      </c>
      <c r="AF18" t="s">
        <v>6966</v>
      </c>
      <c r="AG18" t="s">
        <v>6966</v>
      </c>
      <c r="AH18" t="s">
        <v>6966</v>
      </c>
      <c r="AI18" t="s">
        <v>6966</v>
      </c>
      <c r="AJ18" t="s">
        <v>6966</v>
      </c>
      <c r="AK18" t="s">
        <v>6966</v>
      </c>
      <c r="AL18" t="s">
        <v>6966</v>
      </c>
      <c r="AM18" t="s">
        <v>6966</v>
      </c>
      <c r="AN18" t="s">
        <v>6966</v>
      </c>
      <c r="AO18" t="s">
        <v>6966</v>
      </c>
      <c r="AP18" t="s">
        <v>6966</v>
      </c>
      <c r="AQ18" t="s">
        <v>6966</v>
      </c>
      <c r="AR18" t="s">
        <v>6966</v>
      </c>
      <c r="AS18" t="s">
        <v>6966</v>
      </c>
      <c r="AT18" t="s">
        <v>6966</v>
      </c>
      <c r="AU18" t="s">
        <v>6966</v>
      </c>
      <c r="AV18" t="s">
        <v>6966</v>
      </c>
      <c r="AW18" t="s">
        <v>6966</v>
      </c>
      <c r="AX18" t="s">
        <v>6966</v>
      </c>
      <c r="AY18" t="s">
        <v>6966</v>
      </c>
      <c r="AZ18">
        <v>6.0991999999999998E-2</v>
      </c>
      <c r="BA18">
        <v>1.9100000000000001E-4</v>
      </c>
    </row>
    <row r="19" spans="1:53" x14ac:dyDescent="0.25">
      <c r="A19">
        <v>17</v>
      </c>
      <c r="B19" t="s">
        <v>7625</v>
      </c>
      <c r="C19">
        <v>101095</v>
      </c>
      <c r="D19" t="s">
        <v>851</v>
      </c>
      <c r="E19" t="s">
        <v>3217</v>
      </c>
      <c r="F19">
        <v>5577292.5</v>
      </c>
      <c r="G19">
        <v>12460.118164</v>
      </c>
      <c r="H19">
        <v>37</v>
      </c>
      <c r="I19">
        <v>145</v>
      </c>
      <c r="J19">
        <v>35429</v>
      </c>
      <c r="K19" t="s">
        <v>2238</v>
      </c>
      <c r="L19">
        <v>12</v>
      </c>
      <c r="M19">
        <v>12</v>
      </c>
      <c r="N19">
        <v>35429</v>
      </c>
      <c r="O19">
        <v>37</v>
      </c>
      <c r="P19" t="s">
        <v>3215</v>
      </c>
      <c r="Q19">
        <v>2.2000000000000002</v>
      </c>
      <c r="R19">
        <v>74.95</v>
      </c>
      <c r="S19">
        <v>0.37</v>
      </c>
      <c r="T19">
        <v>13</v>
      </c>
      <c r="U19">
        <v>5577292.4985699998</v>
      </c>
      <c r="V19">
        <v>12460.119339999999</v>
      </c>
      <c r="W19">
        <v>18</v>
      </c>
      <c r="X19">
        <v>0</v>
      </c>
      <c r="Y19">
        <v>17</v>
      </c>
      <c r="Z19" t="s">
        <v>6966</v>
      </c>
      <c r="AA19" t="s">
        <v>6966</v>
      </c>
      <c r="AB19" t="s">
        <v>6966</v>
      </c>
      <c r="AC19" t="s">
        <v>6966</v>
      </c>
      <c r="AD19" t="s">
        <v>6966</v>
      </c>
      <c r="AE19" t="s">
        <v>6966</v>
      </c>
      <c r="AF19" t="s">
        <v>6966</v>
      </c>
      <c r="AG19" t="s">
        <v>6966</v>
      </c>
      <c r="AH19" t="s">
        <v>6966</v>
      </c>
      <c r="AI19" t="s">
        <v>6966</v>
      </c>
      <c r="AJ19" t="s">
        <v>6966</v>
      </c>
      <c r="AK19" t="s">
        <v>6966</v>
      </c>
      <c r="AL19" t="s">
        <v>6966</v>
      </c>
      <c r="AM19" t="s">
        <v>6966</v>
      </c>
      <c r="AN19" t="s">
        <v>6966</v>
      </c>
      <c r="AO19" t="s">
        <v>6966</v>
      </c>
      <c r="AP19" t="s">
        <v>6966</v>
      </c>
      <c r="AQ19" t="s">
        <v>6966</v>
      </c>
      <c r="AR19" t="s">
        <v>6966</v>
      </c>
      <c r="AS19" t="s">
        <v>6966</v>
      </c>
      <c r="AT19" t="s">
        <v>6966</v>
      </c>
      <c r="AU19" t="s">
        <v>6966</v>
      </c>
      <c r="AV19" t="s">
        <v>6966</v>
      </c>
      <c r="AW19" t="s">
        <v>6966</v>
      </c>
      <c r="AX19" t="s">
        <v>6966</v>
      </c>
      <c r="AY19" t="s">
        <v>6966</v>
      </c>
      <c r="AZ19">
        <v>0.12551200000000001</v>
      </c>
      <c r="BA19">
        <v>5.4799999999999998E-4</v>
      </c>
    </row>
    <row r="20" spans="1:53" x14ac:dyDescent="0.25">
      <c r="A20">
        <v>18</v>
      </c>
      <c r="B20" t="s">
        <v>7625</v>
      </c>
      <c r="C20">
        <v>101048</v>
      </c>
      <c r="D20" t="s">
        <v>776</v>
      </c>
      <c r="E20" t="s">
        <v>3217</v>
      </c>
      <c r="F20">
        <v>4159096</v>
      </c>
      <c r="G20">
        <v>11524.791015999999</v>
      </c>
      <c r="H20">
        <v>38</v>
      </c>
      <c r="I20">
        <v>146</v>
      </c>
      <c r="J20">
        <v>35225</v>
      </c>
      <c r="K20" t="s">
        <v>2178</v>
      </c>
      <c r="L20">
        <v>12</v>
      </c>
      <c r="M20">
        <v>12</v>
      </c>
      <c r="N20">
        <v>35225</v>
      </c>
      <c r="O20">
        <v>38</v>
      </c>
      <c r="P20" t="s">
        <v>3215</v>
      </c>
      <c r="Q20">
        <v>0.7</v>
      </c>
      <c r="R20">
        <v>51.95</v>
      </c>
      <c r="S20">
        <v>0.11</v>
      </c>
      <c r="T20">
        <v>8</v>
      </c>
      <c r="U20">
        <v>4159096.01835</v>
      </c>
      <c r="V20">
        <v>11524.791475</v>
      </c>
      <c r="W20">
        <v>19</v>
      </c>
      <c r="X20">
        <v>0</v>
      </c>
      <c r="Y20">
        <v>18</v>
      </c>
      <c r="Z20" t="s">
        <v>6966</v>
      </c>
      <c r="AA20" t="s">
        <v>6966</v>
      </c>
      <c r="AB20" t="s">
        <v>6966</v>
      </c>
      <c r="AC20" t="s">
        <v>6966</v>
      </c>
      <c r="AD20" t="s">
        <v>6966</v>
      </c>
      <c r="AE20" t="s">
        <v>6966</v>
      </c>
      <c r="AF20" t="s">
        <v>6966</v>
      </c>
      <c r="AG20" t="s">
        <v>6966</v>
      </c>
      <c r="AH20" t="s">
        <v>6966</v>
      </c>
      <c r="AI20" t="s">
        <v>6966</v>
      </c>
      <c r="AJ20" t="s">
        <v>6966</v>
      </c>
      <c r="AK20" t="s">
        <v>6966</v>
      </c>
      <c r="AL20" t="s">
        <v>6966</v>
      </c>
      <c r="AM20" t="s">
        <v>6966</v>
      </c>
      <c r="AN20" t="s">
        <v>6966</v>
      </c>
      <c r="AO20" t="s">
        <v>6966</v>
      </c>
      <c r="AP20" t="s">
        <v>6966</v>
      </c>
      <c r="AQ20" t="s">
        <v>6966</v>
      </c>
      <c r="AR20" t="s">
        <v>6966</v>
      </c>
      <c r="AS20" t="s">
        <v>6966</v>
      </c>
      <c r="AT20" t="s">
        <v>6966</v>
      </c>
      <c r="AU20" t="s">
        <v>6966</v>
      </c>
      <c r="AV20" t="s">
        <v>6966</v>
      </c>
      <c r="AW20" t="s">
        <v>6966</v>
      </c>
      <c r="AX20" t="s">
        <v>6966</v>
      </c>
      <c r="AY20" t="s">
        <v>6966</v>
      </c>
      <c r="AZ20">
        <v>0.116259</v>
      </c>
      <c r="BA20">
        <v>4.0900000000000002E-4</v>
      </c>
    </row>
    <row r="21" spans="1:53" x14ac:dyDescent="0.25">
      <c r="A21">
        <v>19</v>
      </c>
      <c r="B21" t="s">
        <v>7625</v>
      </c>
      <c r="C21">
        <v>101049</v>
      </c>
      <c r="D21" t="s">
        <v>881</v>
      </c>
      <c r="E21" t="s">
        <v>3217</v>
      </c>
      <c r="F21">
        <v>0</v>
      </c>
      <c r="G21">
        <v>14686.670898</v>
      </c>
      <c r="H21">
        <v>2</v>
      </c>
      <c r="I21">
        <v>1</v>
      </c>
      <c r="J21">
        <v>35511</v>
      </c>
      <c r="K21" t="s">
        <v>7632</v>
      </c>
      <c r="L21">
        <v>12</v>
      </c>
      <c r="M21">
        <v>12</v>
      </c>
      <c r="N21">
        <v>35511</v>
      </c>
      <c r="O21">
        <v>2</v>
      </c>
      <c r="P21" t="s">
        <v>3215</v>
      </c>
      <c r="Q21">
        <v>0.8</v>
      </c>
      <c r="R21">
        <v>168.47</v>
      </c>
      <c r="S21">
        <v>0.17</v>
      </c>
      <c r="T21">
        <v>34</v>
      </c>
      <c r="U21">
        <v>0</v>
      </c>
      <c r="V21">
        <v>14686.67006</v>
      </c>
      <c r="W21">
        <v>20</v>
      </c>
      <c r="X21">
        <v>0</v>
      </c>
      <c r="Y21">
        <v>19</v>
      </c>
      <c r="Z21" t="s">
        <v>6966</v>
      </c>
      <c r="AA21" t="s">
        <v>6966</v>
      </c>
      <c r="AB21" t="s">
        <v>6966</v>
      </c>
      <c r="AC21" t="s">
        <v>6966</v>
      </c>
      <c r="AD21" t="s">
        <v>6966</v>
      </c>
      <c r="AE21" t="s">
        <v>6966</v>
      </c>
      <c r="AF21" t="s">
        <v>6966</v>
      </c>
      <c r="AG21" t="s">
        <v>6966</v>
      </c>
      <c r="AH21" t="s">
        <v>6966</v>
      </c>
      <c r="AI21" t="s">
        <v>6966</v>
      </c>
      <c r="AJ21" t="s">
        <v>6966</v>
      </c>
      <c r="AK21" t="s">
        <v>6966</v>
      </c>
      <c r="AL21" t="s">
        <v>6966</v>
      </c>
      <c r="AM21" t="s">
        <v>6966</v>
      </c>
      <c r="AN21" t="s">
        <v>6966</v>
      </c>
      <c r="AO21" t="s">
        <v>6966</v>
      </c>
      <c r="AP21" t="s">
        <v>6966</v>
      </c>
      <c r="AQ21" t="s">
        <v>6966</v>
      </c>
      <c r="AR21" t="s">
        <v>6966</v>
      </c>
      <c r="AS21" t="s">
        <v>6966</v>
      </c>
      <c r="AT21" t="s">
        <v>6966</v>
      </c>
      <c r="AU21" t="s">
        <v>6966</v>
      </c>
      <c r="AV21" t="s">
        <v>6966</v>
      </c>
      <c r="AW21" t="s">
        <v>6966</v>
      </c>
      <c r="AX21" t="s">
        <v>6966</v>
      </c>
      <c r="AY21" t="s">
        <v>6966</v>
      </c>
      <c r="AZ21">
        <v>0.149669</v>
      </c>
      <c r="BA21">
        <v>1.14E-3</v>
      </c>
    </row>
    <row r="22" spans="1:53" x14ac:dyDescent="0.25">
      <c r="A22">
        <v>20</v>
      </c>
      <c r="B22" t="s">
        <v>7625</v>
      </c>
      <c r="C22">
        <v>101099</v>
      </c>
      <c r="D22" t="s">
        <v>857</v>
      </c>
      <c r="E22" t="s">
        <v>3217</v>
      </c>
      <c r="F22">
        <v>0</v>
      </c>
      <c r="G22">
        <v>39298.960937999997</v>
      </c>
      <c r="H22">
        <v>3</v>
      </c>
      <c r="I22">
        <v>30</v>
      </c>
      <c r="J22">
        <v>35437</v>
      </c>
      <c r="K22" t="s">
        <v>857</v>
      </c>
      <c r="L22">
        <v>12</v>
      </c>
      <c r="M22">
        <v>12</v>
      </c>
      <c r="N22">
        <v>35437</v>
      </c>
      <c r="O22">
        <v>3</v>
      </c>
      <c r="P22" t="s">
        <v>3215</v>
      </c>
      <c r="Q22">
        <v>4.5999999999999996</v>
      </c>
      <c r="R22">
        <v>99.68</v>
      </c>
      <c r="S22">
        <v>0.91</v>
      </c>
      <c r="T22">
        <v>19</v>
      </c>
      <c r="U22">
        <v>0</v>
      </c>
      <c r="V22">
        <v>39298.959372999998</v>
      </c>
      <c r="W22">
        <v>21</v>
      </c>
      <c r="X22">
        <v>1</v>
      </c>
      <c r="Y22">
        <v>20</v>
      </c>
      <c r="Z22">
        <v>68367</v>
      </c>
      <c r="AA22" s="76">
        <v>45886</v>
      </c>
      <c r="AB22">
        <v>2025</v>
      </c>
      <c r="AC22" t="s">
        <v>7379</v>
      </c>
      <c r="AD22">
        <v>17</v>
      </c>
      <c r="AE22" t="s">
        <v>7404</v>
      </c>
      <c r="AF22" t="s">
        <v>3217</v>
      </c>
      <c r="AG22" t="s">
        <v>3217</v>
      </c>
      <c r="AH22" t="s">
        <v>857</v>
      </c>
      <c r="AI22" t="s">
        <v>7405</v>
      </c>
      <c r="AJ22" t="s">
        <v>6966</v>
      </c>
      <c r="AK22">
        <v>34.62003</v>
      </c>
      <c r="AL22">
        <v>36.32235</v>
      </c>
      <c r="AM22" t="s">
        <v>6995</v>
      </c>
      <c r="AN22" t="s">
        <v>6995</v>
      </c>
      <c r="AO22" t="s">
        <v>7086</v>
      </c>
      <c r="AP22" t="s">
        <v>7406</v>
      </c>
      <c r="AQ22" t="s">
        <v>6998</v>
      </c>
      <c r="AR22" t="s">
        <v>7048</v>
      </c>
      <c r="AS22" t="s">
        <v>7071</v>
      </c>
      <c r="AT22">
        <v>0</v>
      </c>
      <c r="AU22">
        <v>0</v>
      </c>
      <c r="AV22" t="s">
        <v>6966</v>
      </c>
      <c r="AW22" t="s">
        <v>7119</v>
      </c>
      <c r="AX22" t="s">
        <v>6966</v>
      </c>
      <c r="AY22" t="s">
        <v>7114</v>
      </c>
      <c r="AZ22">
        <v>0.38974700000000001</v>
      </c>
      <c r="BA22">
        <v>1.9109999999999999E-3</v>
      </c>
    </row>
    <row r="23" spans="1:53" x14ac:dyDescent="0.25">
      <c r="A23">
        <v>21</v>
      </c>
      <c r="B23" t="s">
        <v>7625</v>
      </c>
      <c r="C23">
        <v>101105</v>
      </c>
      <c r="D23" t="s">
        <v>885</v>
      </c>
      <c r="E23" t="s">
        <v>3217</v>
      </c>
      <c r="F23">
        <v>0</v>
      </c>
      <c r="G23">
        <v>78676.828125</v>
      </c>
      <c r="H23">
        <v>4</v>
      </c>
      <c r="I23">
        <v>33</v>
      </c>
      <c r="J23">
        <v>35516</v>
      </c>
      <c r="K23" t="s">
        <v>2266</v>
      </c>
      <c r="L23">
        <v>12</v>
      </c>
      <c r="M23">
        <v>12</v>
      </c>
      <c r="N23">
        <v>35516</v>
      </c>
      <c r="O23">
        <v>4</v>
      </c>
      <c r="P23" t="s">
        <v>3215</v>
      </c>
      <c r="Q23">
        <v>0.6</v>
      </c>
      <c r="R23">
        <v>63.43</v>
      </c>
      <c r="S23">
        <v>0.16</v>
      </c>
      <c r="T23">
        <v>16</v>
      </c>
      <c r="U23">
        <v>0</v>
      </c>
      <c r="V23">
        <v>78676.829880000005</v>
      </c>
      <c r="W23">
        <v>22</v>
      </c>
      <c r="X23">
        <v>0</v>
      </c>
      <c r="Y23">
        <v>21</v>
      </c>
      <c r="Z23" t="s">
        <v>6966</v>
      </c>
      <c r="AA23" t="s">
        <v>6966</v>
      </c>
      <c r="AB23" t="s">
        <v>6966</v>
      </c>
      <c r="AC23" t="s">
        <v>6966</v>
      </c>
      <c r="AD23" t="s">
        <v>6966</v>
      </c>
      <c r="AE23" t="s">
        <v>6966</v>
      </c>
      <c r="AF23" t="s">
        <v>6966</v>
      </c>
      <c r="AG23" t="s">
        <v>6966</v>
      </c>
      <c r="AH23" t="s">
        <v>6966</v>
      </c>
      <c r="AI23" t="s">
        <v>6966</v>
      </c>
      <c r="AJ23" t="s">
        <v>6966</v>
      </c>
      <c r="AK23" t="s">
        <v>6966</v>
      </c>
      <c r="AL23" t="s">
        <v>6966</v>
      </c>
      <c r="AM23" t="s">
        <v>6966</v>
      </c>
      <c r="AN23" t="s">
        <v>6966</v>
      </c>
      <c r="AO23" t="s">
        <v>6966</v>
      </c>
      <c r="AP23" t="s">
        <v>6966</v>
      </c>
      <c r="AQ23" t="s">
        <v>6966</v>
      </c>
      <c r="AR23" t="s">
        <v>6966</v>
      </c>
      <c r="AS23" t="s">
        <v>6966</v>
      </c>
      <c r="AT23" t="s">
        <v>6966</v>
      </c>
      <c r="AU23" t="s">
        <v>6966</v>
      </c>
      <c r="AV23" t="s">
        <v>6966</v>
      </c>
      <c r="AW23" t="s">
        <v>6966</v>
      </c>
      <c r="AX23" t="s">
        <v>6966</v>
      </c>
      <c r="AY23" t="s">
        <v>6966</v>
      </c>
      <c r="AZ23">
        <v>0.77332400000000001</v>
      </c>
      <c r="BA23">
        <v>8.659E-3</v>
      </c>
    </row>
    <row r="24" spans="1:53" x14ac:dyDescent="0.25">
      <c r="A24">
        <v>22</v>
      </c>
      <c r="B24" t="s">
        <v>7625</v>
      </c>
      <c r="C24">
        <v>101001</v>
      </c>
      <c r="D24" t="s">
        <v>801</v>
      </c>
      <c r="E24" t="s">
        <v>3217</v>
      </c>
      <c r="F24">
        <v>4224552</v>
      </c>
      <c r="G24">
        <v>12324.375977</v>
      </c>
      <c r="H24">
        <v>5</v>
      </c>
      <c r="I24">
        <v>35</v>
      </c>
      <c r="J24">
        <v>35273</v>
      </c>
      <c r="K24" t="s">
        <v>2201</v>
      </c>
      <c r="L24">
        <v>12</v>
      </c>
      <c r="M24">
        <v>12</v>
      </c>
      <c r="N24">
        <v>35273</v>
      </c>
      <c r="O24">
        <v>5</v>
      </c>
      <c r="P24" t="s">
        <v>3215</v>
      </c>
      <c r="Q24">
        <v>2.1</v>
      </c>
      <c r="R24">
        <v>99.27</v>
      </c>
      <c r="S24">
        <v>0.36</v>
      </c>
      <c r="T24">
        <v>17</v>
      </c>
      <c r="U24">
        <v>4224552.03859</v>
      </c>
      <c r="V24">
        <v>12324.376479</v>
      </c>
      <c r="W24">
        <v>23</v>
      </c>
      <c r="X24">
        <v>0</v>
      </c>
      <c r="Y24">
        <v>22</v>
      </c>
      <c r="Z24" t="s">
        <v>6966</v>
      </c>
      <c r="AA24" t="s">
        <v>6966</v>
      </c>
      <c r="AB24" t="s">
        <v>6966</v>
      </c>
      <c r="AC24" t="s">
        <v>6966</v>
      </c>
      <c r="AD24" t="s">
        <v>6966</v>
      </c>
      <c r="AE24" t="s">
        <v>6966</v>
      </c>
      <c r="AF24" t="s">
        <v>6966</v>
      </c>
      <c r="AG24" t="s">
        <v>6966</v>
      </c>
      <c r="AH24" t="s">
        <v>6966</v>
      </c>
      <c r="AI24" t="s">
        <v>6966</v>
      </c>
      <c r="AJ24" t="s">
        <v>6966</v>
      </c>
      <c r="AK24" t="s">
        <v>6966</v>
      </c>
      <c r="AL24" t="s">
        <v>6966</v>
      </c>
      <c r="AM24" t="s">
        <v>6966</v>
      </c>
      <c r="AN24" t="s">
        <v>6966</v>
      </c>
      <c r="AO24" t="s">
        <v>6966</v>
      </c>
      <c r="AP24" t="s">
        <v>6966</v>
      </c>
      <c r="AQ24" t="s">
        <v>6966</v>
      </c>
      <c r="AR24" t="s">
        <v>6966</v>
      </c>
      <c r="AS24" t="s">
        <v>6966</v>
      </c>
      <c r="AT24" t="s">
        <v>6966</v>
      </c>
      <c r="AU24" t="s">
        <v>6966</v>
      </c>
      <c r="AV24" t="s">
        <v>6966</v>
      </c>
      <c r="AW24" t="s">
        <v>6966</v>
      </c>
      <c r="AX24" t="s">
        <v>6966</v>
      </c>
      <c r="AY24" t="s">
        <v>6966</v>
      </c>
      <c r="AZ24">
        <v>0.121973</v>
      </c>
      <c r="BA24">
        <v>4.15E-4</v>
      </c>
    </row>
    <row r="25" spans="1:53" x14ac:dyDescent="0.25">
      <c r="A25">
        <v>23</v>
      </c>
      <c r="B25" t="s">
        <v>7625</v>
      </c>
      <c r="C25">
        <v>101142</v>
      </c>
      <c r="D25" t="s">
        <v>7633</v>
      </c>
      <c r="E25" t="s">
        <v>3217</v>
      </c>
      <c r="F25">
        <v>3348934.25</v>
      </c>
      <c r="G25">
        <v>12352.940430000001</v>
      </c>
      <c r="H25">
        <v>6</v>
      </c>
      <c r="I25">
        <v>40</v>
      </c>
      <c r="J25">
        <v>35271</v>
      </c>
      <c r="K25" t="s">
        <v>7634</v>
      </c>
      <c r="L25">
        <v>12</v>
      </c>
      <c r="M25">
        <v>12</v>
      </c>
      <c r="N25">
        <v>35271</v>
      </c>
      <c r="O25">
        <v>6</v>
      </c>
      <c r="P25" t="s">
        <v>3215</v>
      </c>
      <c r="Q25">
        <v>2.9</v>
      </c>
      <c r="R25">
        <v>104.59</v>
      </c>
      <c r="S25">
        <v>0.48</v>
      </c>
      <c r="T25">
        <v>17</v>
      </c>
      <c r="U25">
        <v>3348934.3379299999</v>
      </c>
      <c r="V25">
        <v>12352.941478999999</v>
      </c>
      <c r="W25">
        <v>24</v>
      </c>
      <c r="X25">
        <v>0</v>
      </c>
      <c r="Y25">
        <v>23</v>
      </c>
      <c r="Z25" t="s">
        <v>6966</v>
      </c>
      <c r="AA25" t="s">
        <v>6966</v>
      </c>
      <c r="AB25" t="s">
        <v>6966</v>
      </c>
      <c r="AC25" t="s">
        <v>6966</v>
      </c>
      <c r="AD25" t="s">
        <v>6966</v>
      </c>
      <c r="AE25" t="s">
        <v>6966</v>
      </c>
      <c r="AF25" t="s">
        <v>6966</v>
      </c>
      <c r="AG25" t="s">
        <v>6966</v>
      </c>
      <c r="AH25" t="s">
        <v>6966</v>
      </c>
      <c r="AI25" t="s">
        <v>6966</v>
      </c>
      <c r="AJ25" t="s">
        <v>6966</v>
      </c>
      <c r="AK25" t="s">
        <v>6966</v>
      </c>
      <c r="AL25" t="s">
        <v>6966</v>
      </c>
      <c r="AM25" t="s">
        <v>6966</v>
      </c>
      <c r="AN25" t="s">
        <v>6966</v>
      </c>
      <c r="AO25" t="s">
        <v>6966</v>
      </c>
      <c r="AP25" t="s">
        <v>6966</v>
      </c>
      <c r="AQ25" t="s">
        <v>6966</v>
      </c>
      <c r="AR25" t="s">
        <v>6966</v>
      </c>
      <c r="AS25" t="s">
        <v>6966</v>
      </c>
      <c r="AT25" t="s">
        <v>6966</v>
      </c>
      <c r="AU25" t="s">
        <v>6966</v>
      </c>
      <c r="AV25" t="s">
        <v>6966</v>
      </c>
      <c r="AW25" t="s">
        <v>6966</v>
      </c>
      <c r="AX25" t="s">
        <v>6966</v>
      </c>
      <c r="AY25" t="s">
        <v>6966</v>
      </c>
      <c r="AZ25">
        <v>0.12501399999999999</v>
      </c>
      <c r="BA25">
        <v>3.2899999999999997E-4</v>
      </c>
    </row>
    <row r="26" spans="1:53" x14ac:dyDescent="0.25">
      <c r="A26">
        <v>24</v>
      </c>
      <c r="B26" t="s">
        <v>7625</v>
      </c>
      <c r="C26">
        <v>101076</v>
      </c>
      <c r="D26" t="s">
        <v>796</v>
      </c>
      <c r="E26" t="s">
        <v>3217</v>
      </c>
      <c r="F26">
        <v>2742968.75</v>
      </c>
      <c r="G26">
        <v>9685.0234380000002</v>
      </c>
      <c r="H26">
        <v>7</v>
      </c>
      <c r="I26">
        <v>51</v>
      </c>
      <c r="J26">
        <v>35263</v>
      </c>
      <c r="K26" t="s">
        <v>796</v>
      </c>
      <c r="L26">
        <v>12</v>
      </c>
      <c r="M26">
        <v>12</v>
      </c>
      <c r="N26">
        <v>35263</v>
      </c>
      <c r="O26">
        <v>7</v>
      </c>
      <c r="P26" t="s">
        <v>3215</v>
      </c>
      <c r="Q26">
        <v>0.4</v>
      </c>
      <c r="R26">
        <v>0</v>
      </c>
      <c r="S26">
        <v>0.06</v>
      </c>
      <c r="T26">
        <v>0</v>
      </c>
      <c r="U26">
        <v>2742968.7804800002</v>
      </c>
      <c r="V26">
        <v>9685.0221039999997</v>
      </c>
      <c r="W26">
        <v>25</v>
      </c>
      <c r="X26">
        <v>0</v>
      </c>
      <c r="Y26">
        <v>24</v>
      </c>
      <c r="Z26" t="s">
        <v>6966</v>
      </c>
      <c r="AA26" t="s">
        <v>6966</v>
      </c>
      <c r="AB26" t="s">
        <v>6966</v>
      </c>
      <c r="AC26" t="s">
        <v>6966</v>
      </c>
      <c r="AD26" t="s">
        <v>6966</v>
      </c>
      <c r="AE26" t="s">
        <v>6966</v>
      </c>
      <c r="AF26" t="s">
        <v>6966</v>
      </c>
      <c r="AG26" t="s">
        <v>6966</v>
      </c>
      <c r="AH26" t="s">
        <v>6966</v>
      </c>
      <c r="AI26" t="s">
        <v>6966</v>
      </c>
      <c r="AJ26" t="s">
        <v>6966</v>
      </c>
      <c r="AK26" t="s">
        <v>6966</v>
      </c>
      <c r="AL26" t="s">
        <v>6966</v>
      </c>
      <c r="AM26" t="s">
        <v>6966</v>
      </c>
      <c r="AN26" t="s">
        <v>6966</v>
      </c>
      <c r="AO26" t="s">
        <v>6966</v>
      </c>
      <c r="AP26" t="s">
        <v>6966</v>
      </c>
      <c r="AQ26" t="s">
        <v>6966</v>
      </c>
      <c r="AR26" t="s">
        <v>6966</v>
      </c>
      <c r="AS26" t="s">
        <v>6966</v>
      </c>
      <c r="AT26" t="s">
        <v>6966</v>
      </c>
      <c r="AU26" t="s">
        <v>6966</v>
      </c>
      <c r="AV26" t="s">
        <v>6966</v>
      </c>
      <c r="AW26" t="s">
        <v>6966</v>
      </c>
      <c r="AX26" t="s">
        <v>6966</v>
      </c>
      <c r="AY26" t="s">
        <v>6966</v>
      </c>
      <c r="AZ26">
        <v>9.8951999999999998E-2</v>
      </c>
      <c r="BA26">
        <v>2.7E-4</v>
      </c>
    </row>
    <row r="27" spans="1:53" x14ac:dyDescent="0.25">
      <c r="A27">
        <v>25</v>
      </c>
      <c r="B27" t="s">
        <v>7625</v>
      </c>
      <c r="C27">
        <v>101010</v>
      </c>
      <c r="D27" t="s">
        <v>882</v>
      </c>
      <c r="E27" t="s">
        <v>3217</v>
      </c>
      <c r="F27">
        <v>0</v>
      </c>
      <c r="G27">
        <v>20234.798827999999</v>
      </c>
      <c r="H27">
        <v>8</v>
      </c>
      <c r="I27">
        <v>55</v>
      </c>
      <c r="J27">
        <v>35512</v>
      </c>
      <c r="K27" t="s">
        <v>2264</v>
      </c>
      <c r="L27">
        <v>12</v>
      </c>
      <c r="M27">
        <v>12</v>
      </c>
      <c r="N27">
        <v>35512</v>
      </c>
      <c r="O27">
        <v>8</v>
      </c>
      <c r="P27" t="s">
        <v>3215</v>
      </c>
      <c r="Q27">
        <v>3.7</v>
      </c>
      <c r="R27">
        <v>76.489999999999995</v>
      </c>
      <c r="S27">
        <v>0.62</v>
      </c>
      <c r="T27">
        <v>13</v>
      </c>
      <c r="U27">
        <v>0</v>
      </c>
      <c r="V27">
        <v>20234.797772999998</v>
      </c>
      <c r="W27">
        <v>26</v>
      </c>
      <c r="X27">
        <v>0</v>
      </c>
      <c r="Y27">
        <v>25</v>
      </c>
      <c r="Z27" t="s">
        <v>6966</v>
      </c>
      <c r="AA27" t="s">
        <v>6966</v>
      </c>
      <c r="AB27" t="s">
        <v>6966</v>
      </c>
      <c r="AC27" t="s">
        <v>6966</v>
      </c>
      <c r="AD27" t="s">
        <v>6966</v>
      </c>
      <c r="AE27" t="s">
        <v>6966</v>
      </c>
      <c r="AF27" t="s">
        <v>6966</v>
      </c>
      <c r="AG27" t="s">
        <v>6966</v>
      </c>
      <c r="AH27" t="s">
        <v>6966</v>
      </c>
      <c r="AI27" t="s">
        <v>6966</v>
      </c>
      <c r="AJ27" t="s">
        <v>6966</v>
      </c>
      <c r="AK27" t="s">
        <v>6966</v>
      </c>
      <c r="AL27" t="s">
        <v>6966</v>
      </c>
      <c r="AM27" t="s">
        <v>6966</v>
      </c>
      <c r="AN27" t="s">
        <v>6966</v>
      </c>
      <c r="AO27" t="s">
        <v>6966</v>
      </c>
      <c r="AP27" t="s">
        <v>6966</v>
      </c>
      <c r="AQ27" t="s">
        <v>6966</v>
      </c>
      <c r="AR27" t="s">
        <v>6966</v>
      </c>
      <c r="AS27" t="s">
        <v>6966</v>
      </c>
      <c r="AT27" t="s">
        <v>6966</v>
      </c>
      <c r="AU27" t="s">
        <v>6966</v>
      </c>
      <c r="AV27" t="s">
        <v>6966</v>
      </c>
      <c r="AW27" t="s">
        <v>6966</v>
      </c>
      <c r="AX27" t="s">
        <v>6966</v>
      </c>
      <c r="AY27" t="s">
        <v>6966</v>
      </c>
      <c r="AZ27">
        <v>0.20255500000000001</v>
      </c>
      <c r="BA27">
        <v>1.56E-3</v>
      </c>
    </row>
    <row r="28" spans="1:53" x14ac:dyDescent="0.25">
      <c r="A28">
        <v>26</v>
      </c>
      <c r="B28" t="s">
        <v>7625</v>
      </c>
      <c r="C28">
        <v>101002</v>
      </c>
      <c r="D28" t="s">
        <v>7635</v>
      </c>
      <c r="E28" t="s">
        <v>3217</v>
      </c>
      <c r="F28">
        <v>261266.765625</v>
      </c>
      <c r="G28">
        <v>2518.6501459999999</v>
      </c>
      <c r="H28">
        <v>9</v>
      </c>
      <c r="I28">
        <v>57</v>
      </c>
      <c r="J28">
        <v>35249</v>
      </c>
      <c r="K28" t="s">
        <v>7636</v>
      </c>
      <c r="L28">
        <v>12</v>
      </c>
      <c r="M28">
        <v>12</v>
      </c>
      <c r="N28">
        <v>35249</v>
      </c>
      <c r="O28">
        <v>9</v>
      </c>
      <c r="P28" t="s">
        <v>3215</v>
      </c>
      <c r="Q28">
        <v>1.7</v>
      </c>
      <c r="R28">
        <v>31.28</v>
      </c>
      <c r="S28">
        <v>0.38</v>
      </c>
      <c r="T28">
        <v>7</v>
      </c>
      <c r="U28">
        <v>261266.77754400001</v>
      </c>
      <c r="V28">
        <v>2518.6498369999999</v>
      </c>
      <c r="W28">
        <v>27</v>
      </c>
      <c r="X28">
        <v>0</v>
      </c>
      <c r="Y28">
        <v>26</v>
      </c>
      <c r="Z28" t="s">
        <v>6966</v>
      </c>
      <c r="AA28" t="s">
        <v>6966</v>
      </c>
      <c r="AB28" t="s">
        <v>6966</v>
      </c>
      <c r="AC28" t="s">
        <v>6966</v>
      </c>
      <c r="AD28" t="s">
        <v>6966</v>
      </c>
      <c r="AE28" t="s">
        <v>6966</v>
      </c>
      <c r="AF28" t="s">
        <v>6966</v>
      </c>
      <c r="AG28" t="s">
        <v>6966</v>
      </c>
      <c r="AH28" t="s">
        <v>6966</v>
      </c>
      <c r="AI28" t="s">
        <v>6966</v>
      </c>
      <c r="AJ28" t="s">
        <v>6966</v>
      </c>
      <c r="AK28" t="s">
        <v>6966</v>
      </c>
      <c r="AL28" t="s">
        <v>6966</v>
      </c>
      <c r="AM28" t="s">
        <v>6966</v>
      </c>
      <c r="AN28" t="s">
        <v>6966</v>
      </c>
      <c r="AO28" t="s">
        <v>6966</v>
      </c>
      <c r="AP28" t="s">
        <v>6966</v>
      </c>
      <c r="AQ28" t="s">
        <v>6966</v>
      </c>
      <c r="AR28" t="s">
        <v>6966</v>
      </c>
      <c r="AS28" t="s">
        <v>6966</v>
      </c>
      <c r="AT28" t="s">
        <v>6966</v>
      </c>
      <c r="AU28" t="s">
        <v>6966</v>
      </c>
      <c r="AV28" t="s">
        <v>6966</v>
      </c>
      <c r="AW28" t="s">
        <v>6966</v>
      </c>
      <c r="AX28" t="s">
        <v>6966</v>
      </c>
      <c r="AY28" t="s">
        <v>6966</v>
      </c>
      <c r="AZ28">
        <v>2.4740999999999999E-2</v>
      </c>
      <c r="BA28">
        <v>2.5999999999999998E-5</v>
      </c>
    </row>
    <row r="29" spans="1:53" x14ac:dyDescent="0.25">
      <c r="A29">
        <v>27</v>
      </c>
      <c r="B29" t="s">
        <v>7625</v>
      </c>
      <c r="C29">
        <v>101013</v>
      </c>
      <c r="D29" t="s">
        <v>846</v>
      </c>
      <c r="E29" t="s">
        <v>3217</v>
      </c>
      <c r="F29">
        <v>2711341.25</v>
      </c>
      <c r="G29">
        <v>7906.9638670000004</v>
      </c>
      <c r="H29">
        <v>10</v>
      </c>
      <c r="I29">
        <v>59</v>
      </c>
      <c r="J29">
        <v>35420</v>
      </c>
      <c r="K29" t="s">
        <v>2233</v>
      </c>
      <c r="L29">
        <v>12</v>
      </c>
      <c r="M29">
        <v>12</v>
      </c>
      <c r="N29">
        <v>35420</v>
      </c>
      <c r="O29">
        <v>10</v>
      </c>
      <c r="P29" t="s">
        <v>3215</v>
      </c>
      <c r="Q29">
        <v>2</v>
      </c>
      <c r="R29">
        <v>58.21</v>
      </c>
      <c r="S29">
        <v>0.61</v>
      </c>
      <c r="T29">
        <v>17</v>
      </c>
      <c r="U29">
        <v>2711341.3398600002</v>
      </c>
      <c r="V29">
        <v>7906.9634660000002</v>
      </c>
      <c r="W29">
        <v>28</v>
      </c>
      <c r="X29">
        <v>0</v>
      </c>
      <c r="Y29">
        <v>27</v>
      </c>
      <c r="Z29" t="s">
        <v>6966</v>
      </c>
      <c r="AA29" t="s">
        <v>6966</v>
      </c>
      <c r="AB29" t="s">
        <v>6966</v>
      </c>
      <c r="AC29" t="s">
        <v>6966</v>
      </c>
      <c r="AD29" t="s">
        <v>6966</v>
      </c>
      <c r="AE29" t="s">
        <v>6966</v>
      </c>
      <c r="AF29" t="s">
        <v>6966</v>
      </c>
      <c r="AG29" t="s">
        <v>6966</v>
      </c>
      <c r="AH29" t="s">
        <v>6966</v>
      </c>
      <c r="AI29" t="s">
        <v>6966</v>
      </c>
      <c r="AJ29" t="s">
        <v>6966</v>
      </c>
      <c r="AK29" t="s">
        <v>6966</v>
      </c>
      <c r="AL29" t="s">
        <v>6966</v>
      </c>
      <c r="AM29" t="s">
        <v>6966</v>
      </c>
      <c r="AN29" t="s">
        <v>6966</v>
      </c>
      <c r="AO29" t="s">
        <v>6966</v>
      </c>
      <c r="AP29" t="s">
        <v>6966</v>
      </c>
      <c r="AQ29" t="s">
        <v>6966</v>
      </c>
      <c r="AR29" t="s">
        <v>6966</v>
      </c>
      <c r="AS29" t="s">
        <v>6966</v>
      </c>
      <c r="AT29" t="s">
        <v>6966</v>
      </c>
      <c r="AU29" t="s">
        <v>6966</v>
      </c>
      <c r="AV29" t="s">
        <v>6966</v>
      </c>
      <c r="AW29" t="s">
        <v>6966</v>
      </c>
      <c r="AX29" t="s">
        <v>6966</v>
      </c>
      <c r="AY29" t="s">
        <v>6966</v>
      </c>
      <c r="AZ29">
        <v>7.7453999999999995E-2</v>
      </c>
      <c r="BA29">
        <v>2.6699999999999998E-4</v>
      </c>
    </row>
    <row r="30" spans="1:53" x14ac:dyDescent="0.25">
      <c r="A30">
        <v>28</v>
      </c>
      <c r="B30" t="s">
        <v>7625</v>
      </c>
      <c r="C30">
        <v>101069</v>
      </c>
      <c r="D30" t="s">
        <v>791</v>
      </c>
      <c r="E30" t="s">
        <v>3217</v>
      </c>
      <c r="F30">
        <v>363177.8125</v>
      </c>
      <c r="G30">
        <v>3047.695068</v>
      </c>
      <c r="H30">
        <v>11</v>
      </c>
      <c r="I30">
        <v>64</v>
      </c>
      <c r="J30">
        <v>35253</v>
      </c>
      <c r="K30" t="s">
        <v>2192</v>
      </c>
      <c r="L30">
        <v>12</v>
      </c>
      <c r="M30">
        <v>12</v>
      </c>
      <c r="N30">
        <v>35253</v>
      </c>
      <c r="O30">
        <v>11</v>
      </c>
      <c r="P30" t="s">
        <v>3215</v>
      </c>
      <c r="Q30">
        <v>9.4</v>
      </c>
      <c r="R30">
        <v>83.62</v>
      </c>
      <c r="S30">
        <v>2.04</v>
      </c>
      <c r="T30">
        <v>18</v>
      </c>
      <c r="U30">
        <v>363177.824089</v>
      </c>
      <c r="V30">
        <v>3047.6950360000001</v>
      </c>
      <c r="W30">
        <v>29</v>
      </c>
      <c r="X30">
        <v>0</v>
      </c>
      <c r="Y30">
        <v>28</v>
      </c>
      <c r="Z30" t="s">
        <v>6966</v>
      </c>
      <c r="AA30" t="s">
        <v>6966</v>
      </c>
      <c r="AB30" t="s">
        <v>6966</v>
      </c>
      <c r="AC30" t="s">
        <v>6966</v>
      </c>
      <c r="AD30" t="s">
        <v>6966</v>
      </c>
      <c r="AE30" t="s">
        <v>6966</v>
      </c>
      <c r="AF30" t="s">
        <v>6966</v>
      </c>
      <c r="AG30" t="s">
        <v>6966</v>
      </c>
      <c r="AH30" t="s">
        <v>6966</v>
      </c>
      <c r="AI30" t="s">
        <v>6966</v>
      </c>
      <c r="AJ30" t="s">
        <v>6966</v>
      </c>
      <c r="AK30" t="s">
        <v>6966</v>
      </c>
      <c r="AL30" t="s">
        <v>6966</v>
      </c>
      <c r="AM30" t="s">
        <v>6966</v>
      </c>
      <c r="AN30" t="s">
        <v>6966</v>
      </c>
      <c r="AO30" t="s">
        <v>6966</v>
      </c>
      <c r="AP30" t="s">
        <v>6966</v>
      </c>
      <c r="AQ30" t="s">
        <v>6966</v>
      </c>
      <c r="AR30" t="s">
        <v>6966</v>
      </c>
      <c r="AS30" t="s">
        <v>6966</v>
      </c>
      <c r="AT30" t="s">
        <v>6966</v>
      </c>
      <c r="AU30" t="s">
        <v>6966</v>
      </c>
      <c r="AV30" t="s">
        <v>6966</v>
      </c>
      <c r="AW30" t="s">
        <v>6966</v>
      </c>
      <c r="AX30" t="s">
        <v>6966</v>
      </c>
      <c r="AY30" t="s">
        <v>6966</v>
      </c>
      <c r="AZ30">
        <v>2.9766999999999998E-2</v>
      </c>
      <c r="BA30">
        <v>3.6000000000000001E-5</v>
      </c>
    </row>
    <row r="31" spans="1:53" x14ac:dyDescent="0.25">
      <c r="A31">
        <v>29</v>
      </c>
      <c r="B31" t="s">
        <v>7625</v>
      </c>
      <c r="C31">
        <v>101085</v>
      </c>
      <c r="D31" t="s">
        <v>852</v>
      </c>
      <c r="E31" t="s">
        <v>3217</v>
      </c>
      <c r="F31">
        <v>993805.3125</v>
      </c>
      <c r="G31">
        <v>4052.8115229999999</v>
      </c>
      <c r="H31">
        <v>12</v>
      </c>
      <c r="I31">
        <v>65</v>
      </c>
      <c r="J31">
        <v>35430</v>
      </c>
      <c r="K31" t="s">
        <v>852</v>
      </c>
      <c r="L31">
        <v>12</v>
      </c>
      <c r="M31">
        <v>12</v>
      </c>
      <c r="N31">
        <v>35430</v>
      </c>
      <c r="O31">
        <v>12</v>
      </c>
      <c r="P31" t="s">
        <v>3215</v>
      </c>
      <c r="Q31">
        <v>1</v>
      </c>
      <c r="R31">
        <v>0</v>
      </c>
      <c r="S31">
        <v>0.24</v>
      </c>
      <c r="T31">
        <v>0</v>
      </c>
      <c r="U31">
        <v>993805.28529599996</v>
      </c>
      <c r="V31">
        <v>4052.810915</v>
      </c>
      <c r="W31">
        <v>30</v>
      </c>
      <c r="X31">
        <v>0</v>
      </c>
      <c r="Y31">
        <v>29</v>
      </c>
      <c r="Z31" t="s">
        <v>6966</v>
      </c>
      <c r="AA31" t="s">
        <v>6966</v>
      </c>
      <c r="AB31" t="s">
        <v>6966</v>
      </c>
      <c r="AC31" t="s">
        <v>6966</v>
      </c>
      <c r="AD31" t="s">
        <v>6966</v>
      </c>
      <c r="AE31" t="s">
        <v>6966</v>
      </c>
      <c r="AF31" t="s">
        <v>6966</v>
      </c>
      <c r="AG31" t="s">
        <v>6966</v>
      </c>
      <c r="AH31" t="s">
        <v>6966</v>
      </c>
      <c r="AI31" t="s">
        <v>6966</v>
      </c>
      <c r="AJ31" t="s">
        <v>6966</v>
      </c>
      <c r="AK31" t="s">
        <v>6966</v>
      </c>
      <c r="AL31" t="s">
        <v>6966</v>
      </c>
      <c r="AM31" t="s">
        <v>6966</v>
      </c>
      <c r="AN31" t="s">
        <v>6966</v>
      </c>
      <c r="AO31" t="s">
        <v>6966</v>
      </c>
      <c r="AP31" t="s">
        <v>6966</v>
      </c>
      <c r="AQ31" t="s">
        <v>6966</v>
      </c>
      <c r="AR31" t="s">
        <v>6966</v>
      </c>
      <c r="AS31" t="s">
        <v>6966</v>
      </c>
      <c r="AT31" t="s">
        <v>6966</v>
      </c>
      <c r="AU31" t="s">
        <v>6966</v>
      </c>
      <c r="AV31" t="s">
        <v>6966</v>
      </c>
      <c r="AW31" t="s">
        <v>6966</v>
      </c>
      <c r="AX31" t="s">
        <v>6966</v>
      </c>
      <c r="AY31" t="s">
        <v>6966</v>
      </c>
      <c r="AZ31">
        <v>4.0432999999999997E-2</v>
      </c>
      <c r="BA31">
        <v>9.7999999999999997E-5</v>
      </c>
    </row>
    <row r="32" spans="1:53" x14ac:dyDescent="0.25">
      <c r="A32">
        <v>30</v>
      </c>
      <c r="B32" t="s">
        <v>7625</v>
      </c>
      <c r="C32">
        <v>101086</v>
      </c>
      <c r="D32" t="s">
        <v>793</v>
      </c>
      <c r="E32" t="s">
        <v>3217</v>
      </c>
      <c r="F32">
        <v>1515188.875</v>
      </c>
      <c r="G32">
        <v>6447.6259769999997</v>
      </c>
      <c r="H32">
        <v>13</v>
      </c>
      <c r="I32">
        <v>66</v>
      </c>
      <c r="J32">
        <v>35257</v>
      </c>
      <c r="K32" t="s">
        <v>7637</v>
      </c>
      <c r="L32">
        <v>12</v>
      </c>
      <c r="M32">
        <v>12</v>
      </c>
      <c r="N32">
        <v>35257</v>
      </c>
      <c r="O32">
        <v>13</v>
      </c>
      <c r="P32" t="s">
        <v>3215</v>
      </c>
      <c r="Q32">
        <v>5.3</v>
      </c>
      <c r="R32">
        <v>64.34</v>
      </c>
      <c r="S32">
        <v>0.91</v>
      </c>
      <c r="T32">
        <v>11</v>
      </c>
      <c r="U32">
        <v>1515188.7922</v>
      </c>
      <c r="V32">
        <v>6447.6255700000002</v>
      </c>
      <c r="W32">
        <v>31</v>
      </c>
      <c r="X32">
        <v>0</v>
      </c>
      <c r="Y32">
        <v>30</v>
      </c>
      <c r="Z32" t="s">
        <v>6966</v>
      </c>
      <c r="AA32" t="s">
        <v>6966</v>
      </c>
      <c r="AB32" t="s">
        <v>6966</v>
      </c>
      <c r="AC32" t="s">
        <v>6966</v>
      </c>
      <c r="AD32" t="s">
        <v>6966</v>
      </c>
      <c r="AE32" t="s">
        <v>6966</v>
      </c>
      <c r="AF32" t="s">
        <v>6966</v>
      </c>
      <c r="AG32" t="s">
        <v>6966</v>
      </c>
      <c r="AH32" t="s">
        <v>6966</v>
      </c>
      <c r="AI32" t="s">
        <v>6966</v>
      </c>
      <c r="AJ32" t="s">
        <v>6966</v>
      </c>
      <c r="AK32" t="s">
        <v>6966</v>
      </c>
      <c r="AL32" t="s">
        <v>6966</v>
      </c>
      <c r="AM32" t="s">
        <v>6966</v>
      </c>
      <c r="AN32" t="s">
        <v>6966</v>
      </c>
      <c r="AO32" t="s">
        <v>6966</v>
      </c>
      <c r="AP32" t="s">
        <v>6966</v>
      </c>
      <c r="AQ32" t="s">
        <v>6966</v>
      </c>
      <c r="AR32" t="s">
        <v>6966</v>
      </c>
      <c r="AS32" t="s">
        <v>6966</v>
      </c>
      <c r="AT32" t="s">
        <v>6966</v>
      </c>
      <c r="AU32" t="s">
        <v>6966</v>
      </c>
      <c r="AV32" t="s">
        <v>6966</v>
      </c>
      <c r="AW32" t="s">
        <v>6966</v>
      </c>
      <c r="AX32" t="s">
        <v>6966</v>
      </c>
      <c r="AY32" t="s">
        <v>6966</v>
      </c>
      <c r="AZ32">
        <v>6.6292000000000004E-2</v>
      </c>
      <c r="BA32">
        <v>1.4899999999999999E-4</v>
      </c>
    </row>
    <row r="33" spans="1:53" x14ac:dyDescent="0.25">
      <c r="A33">
        <v>31</v>
      </c>
      <c r="B33" t="s">
        <v>7625</v>
      </c>
      <c r="C33">
        <v>101052</v>
      </c>
      <c r="D33" t="s">
        <v>7638</v>
      </c>
      <c r="E33" t="s">
        <v>3217</v>
      </c>
      <c r="F33">
        <v>3877644.25</v>
      </c>
      <c r="G33">
        <v>9641.4746090000008</v>
      </c>
      <c r="H33">
        <v>14</v>
      </c>
      <c r="I33">
        <v>67</v>
      </c>
      <c r="J33">
        <v>35432</v>
      </c>
      <c r="K33" t="s">
        <v>7639</v>
      </c>
      <c r="L33">
        <v>12</v>
      </c>
      <c r="M33">
        <v>12</v>
      </c>
      <c r="N33">
        <v>35432</v>
      </c>
      <c r="O33">
        <v>14</v>
      </c>
      <c r="P33" t="s">
        <v>3215</v>
      </c>
      <c r="Q33">
        <v>1.6</v>
      </c>
      <c r="R33">
        <v>47.07</v>
      </c>
      <c r="S33">
        <v>0.31</v>
      </c>
      <c r="T33">
        <v>9</v>
      </c>
      <c r="U33">
        <v>3877644.0811800002</v>
      </c>
      <c r="V33">
        <v>9641.4745509999993</v>
      </c>
      <c r="W33">
        <v>32</v>
      </c>
      <c r="X33">
        <v>0</v>
      </c>
      <c r="Y33">
        <v>31</v>
      </c>
      <c r="Z33" t="s">
        <v>6966</v>
      </c>
      <c r="AA33" t="s">
        <v>6966</v>
      </c>
      <c r="AB33" t="s">
        <v>6966</v>
      </c>
      <c r="AC33" t="s">
        <v>6966</v>
      </c>
      <c r="AD33" t="s">
        <v>6966</v>
      </c>
      <c r="AE33" t="s">
        <v>6966</v>
      </c>
      <c r="AF33" t="s">
        <v>6966</v>
      </c>
      <c r="AG33" t="s">
        <v>6966</v>
      </c>
      <c r="AH33" t="s">
        <v>6966</v>
      </c>
      <c r="AI33" t="s">
        <v>6966</v>
      </c>
      <c r="AJ33" t="s">
        <v>6966</v>
      </c>
      <c r="AK33" t="s">
        <v>6966</v>
      </c>
      <c r="AL33" t="s">
        <v>6966</v>
      </c>
      <c r="AM33" t="s">
        <v>6966</v>
      </c>
      <c r="AN33" t="s">
        <v>6966</v>
      </c>
      <c r="AO33" t="s">
        <v>6966</v>
      </c>
      <c r="AP33" t="s">
        <v>6966</v>
      </c>
      <c r="AQ33" t="s">
        <v>6966</v>
      </c>
      <c r="AR33" t="s">
        <v>6966</v>
      </c>
      <c r="AS33" t="s">
        <v>6966</v>
      </c>
      <c r="AT33" t="s">
        <v>6966</v>
      </c>
      <c r="AU33" t="s">
        <v>6966</v>
      </c>
      <c r="AV33" t="s">
        <v>6966</v>
      </c>
      <c r="AW33" t="s">
        <v>6966</v>
      </c>
      <c r="AX33" t="s">
        <v>6966</v>
      </c>
      <c r="AY33" t="s">
        <v>6966</v>
      </c>
      <c r="AZ33">
        <v>9.8059999999999994E-2</v>
      </c>
      <c r="BA33">
        <v>3.8099999999999999E-4</v>
      </c>
    </row>
    <row r="34" spans="1:53" x14ac:dyDescent="0.25">
      <c r="A34">
        <v>32</v>
      </c>
      <c r="B34" t="s">
        <v>7625</v>
      </c>
      <c r="C34">
        <v>101044</v>
      </c>
      <c r="D34" t="s">
        <v>775</v>
      </c>
      <c r="E34" t="s">
        <v>3217</v>
      </c>
      <c r="F34">
        <v>4873514.5</v>
      </c>
      <c r="G34">
        <v>15043.103515999999</v>
      </c>
      <c r="H34">
        <v>15</v>
      </c>
      <c r="I34">
        <v>75</v>
      </c>
      <c r="J34">
        <v>35224</v>
      </c>
      <c r="K34" t="s">
        <v>2177</v>
      </c>
      <c r="L34">
        <v>12</v>
      </c>
      <c r="M34">
        <v>12</v>
      </c>
      <c r="N34">
        <v>35224</v>
      </c>
      <c r="O34">
        <v>16</v>
      </c>
      <c r="P34" t="s">
        <v>3215</v>
      </c>
      <c r="Q34">
        <v>4.0999999999999996</v>
      </c>
      <c r="R34">
        <v>57.92</v>
      </c>
      <c r="S34">
        <v>0.69</v>
      </c>
      <c r="T34">
        <v>10</v>
      </c>
      <c r="U34">
        <v>4873514.4396099998</v>
      </c>
      <c r="V34">
        <v>15043.102833000001</v>
      </c>
      <c r="W34">
        <v>33</v>
      </c>
      <c r="X34">
        <v>0</v>
      </c>
      <c r="Y34">
        <v>32</v>
      </c>
      <c r="Z34" t="s">
        <v>6966</v>
      </c>
      <c r="AA34" t="s">
        <v>6966</v>
      </c>
      <c r="AB34" t="s">
        <v>6966</v>
      </c>
      <c r="AC34" t="s">
        <v>6966</v>
      </c>
      <c r="AD34" t="s">
        <v>6966</v>
      </c>
      <c r="AE34" t="s">
        <v>6966</v>
      </c>
      <c r="AF34" t="s">
        <v>6966</v>
      </c>
      <c r="AG34" t="s">
        <v>6966</v>
      </c>
      <c r="AH34" t="s">
        <v>6966</v>
      </c>
      <c r="AI34" t="s">
        <v>6966</v>
      </c>
      <c r="AJ34" t="s">
        <v>6966</v>
      </c>
      <c r="AK34" t="s">
        <v>6966</v>
      </c>
      <c r="AL34" t="s">
        <v>6966</v>
      </c>
      <c r="AM34" t="s">
        <v>6966</v>
      </c>
      <c r="AN34" t="s">
        <v>6966</v>
      </c>
      <c r="AO34" t="s">
        <v>6966</v>
      </c>
      <c r="AP34" t="s">
        <v>6966</v>
      </c>
      <c r="AQ34" t="s">
        <v>6966</v>
      </c>
      <c r="AR34" t="s">
        <v>6966</v>
      </c>
      <c r="AS34" t="s">
        <v>6966</v>
      </c>
      <c r="AT34" t="s">
        <v>6966</v>
      </c>
      <c r="AU34" t="s">
        <v>6966</v>
      </c>
      <c r="AV34" t="s">
        <v>6966</v>
      </c>
      <c r="AW34" t="s">
        <v>6966</v>
      </c>
      <c r="AX34" t="s">
        <v>6966</v>
      </c>
      <c r="AY34" t="s">
        <v>6966</v>
      </c>
      <c r="AZ34">
        <v>0.151999</v>
      </c>
      <c r="BA34">
        <v>4.7899999999999999E-4</v>
      </c>
    </row>
    <row r="35" spans="1:53" x14ac:dyDescent="0.25">
      <c r="A35">
        <v>33</v>
      </c>
      <c r="B35" t="s">
        <v>7625</v>
      </c>
      <c r="C35">
        <v>101153</v>
      </c>
      <c r="D35" t="s">
        <v>7640</v>
      </c>
      <c r="E35" t="s">
        <v>3217</v>
      </c>
      <c r="F35">
        <v>5078284</v>
      </c>
      <c r="G35">
        <v>10931.324219</v>
      </c>
      <c r="H35">
        <v>16</v>
      </c>
      <c r="I35">
        <v>72</v>
      </c>
      <c r="J35">
        <v>35235</v>
      </c>
      <c r="K35" t="s">
        <v>7641</v>
      </c>
      <c r="L35">
        <v>12</v>
      </c>
      <c r="M35">
        <v>12</v>
      </c>
      <c r="N35">
        <v>35235</v>
      </c>
      <c r="O35">
        <v>15</v>
      </c>
      <c r="P35" t="s">
        <v>3215</v>
      </c>
      <c r="Q35">
        <v>1.2</v>
      </c>
      <c r="R35">
        <v>116.08</v>
      </c>
      <c r="S35">
        <v>0.27</v>
      </c>
      <c r="T35">
        <v>26</v>
      </c>
      <c r="U35">
        <v>5078283.9175699996</v>
      </c>
      <c r="V35">
        <v>10931.323371</v>
      </c>
      <c r="W35">
        <v>34</v>
      </c>
      <c r="X35">
        <v>0</v>
      </c>
      <c r="Y35">
        <v>33</v>
      </c>
      <c r="Z35" t="s">
        <v>6966</v>
      </c>
      <c r="AA35" t="s">
        <v>6966</v>
      </c>
      <c r="AB35" t="s">
        <v>6966</v>
      </c>
      <c r="AC35" t="s">
        <v>6966</v>
      </c>
      <c r="AD35" t="s">
        <v>6966</v>
      </c>
      <c r="AE35" t="s">
        <v>6966</v>
      </c>
      <c r="AF35" t="s">
        <v>6966</v>
      </c>
      <c r="AG35" t="s">
        <v>6966</v>
      </c>
      <c r="AH35" t="s">
        <v>6966</v>
      </c>
      <c r="AI35" t="s">
        <v>6966</v>
      </c>
      <c r="AJ35" t="s">
        <v>6966</v>
      </c>
      <c r="AK35" t="s">
        <v>6966</v>
      </c>
      <c r="AL35" t="s">
        <v>6966</v>
      </c>
      <c r="AM35" t="s">
        <v>6966</v>
      </c>
      <c r="AN35" t="s">
        <v>6966</v>
      </c>
      <c r="AO35" t="s">
        <v>6966</v>
      </c>
      <c r="AP35" t="s">
        <v>6966</v>
      </c>
      <c r="AQ35" t="s">
        <v>6966</v>
      </c>
      <c r="AR35" t="s">
        <v>6966</v>
      </c>
      <c r="AS35" t="s">
        <v>6966</v>
      </c>
      <c r="AT35" t="s">
        <v>6966</v>
      </c>
      <c r="AU35" t="s">
        <v>6966</v>
      </c>
      <c r="AV35" t="s">
        <v>6966</v>
      </c>
      <c r="AW35" t="s">
        <v>6966</v>
      </c>
      <c r="AX35" t="s">
        <v>6966</v>
      </c>
      <c r="AY35" t="s">
        <v>6966</v>
      </c>
      <c r="AZ35">
        <v>0.106264</v>
      </c>
      <c r="BA35">
        <v>4.9899999999999999E-4</v>
      </c>
    </row>
    <row r="36" spans="1:53" x14ac:dyDescent="0.25">
      <c r="A36">
        <v>34</v>
      </c>
      <c r="B36" t="s">
        <v>7625</v>
      </c>
      <c r="C36">
        <v>101071</v>
      </c>
      <c r="D36" t="s">
        <v>784</v>
      </c>
      <c r="E36" t="s">
        <v>3217</v>
      </c>
      <c r="F36">
        <v>777342.8125</v>
      </c>
      <c r="G36">
        <v>5252.8432620000003</v>
      </c>
      <c r="H36">
        <v>17</v>
      </c>
      <c r="I36">
        <v>93</v>
      </c>
      <c r="J36">
        <v>35239</v>
      </c>
      <c r="K36" t="s">
        <v>2186</v>
      </c>
      <c r="L36">
        <v>12</v>
      </c>
      <c r="M36">
        <v>12</v>
      </c>
      <c r="N36">
        <v>35239</v>
      </c>
      <c r="O36">
        <v>21</v>
      </c>
      <c r="P36" t="s">
        <v>3215</v>
      </c>
      <c r="Q36">
        <v>7.8</v>
      </c>
      <c r="R36">
        <v>216.2</v>
      </c>
      <c r="S36">
        <v>1.43</v>
      </c>
      <c r="T36">
        <v>40</v>
      </c>
      <c r="U36">
        <v>777342.75859600003</v>
      </c>
      <c r="V36">
        <v>5252.8431479999999</v>
      </c>
      <c r="W36">
        <v>35</v>
      </c>
      <c r="X36">
        <v>0</v>
      </c>
      <c r="Y36">
        <v>34</v>
      </c>
      <c r="Z36" t="s">
        <v>6966</v>
      </c>
      <c r="AA36" t="s">
        <v>6966</v>
      </c>
      <c r="AB36" t="s">
        <v>6966</v>
      </c>
      <c r="AC36" t="s">
        <v>6966</v>
      </c>
      <c r="AD36" t="s">
        <v>6966</v>
      </c>
      <c r="AE36" t="s">
        <v>6966</v>
      </c>
      <c r="AF36" t="s">
        <v>6966</v>
      </c>
      <c r="AG36" t="s">
        <v>6966</v>
      </c>
      <c r="AH36" t="s">
        <v>6966</v>
      </c>
      <c r="AI36" t="s">
        <v>6966</v>
      </c>
      <c r="AJ36" t="s">
        <v>6966</v>
      </c>
      <c r="AK36" t="s">
        <v>6966</v>
      </c>
      <c r="AL36" t="s">
        <v>6966</v>
      </c>
      <c r="AM36" t="s">
        <v>6966</v>
      </c>
      <c r="AN36" t="s">
        <v>6966</v>
      </c>
      <c r="AO36" t="s">
        <v>6966</v>
      </c>
      <c r="AP36" t="s">
        <v>6966</v>
      </c>
      <c r="AQ36" t="s">
        <v>6966</v>
      </c>
      <c r="AR36" t="s">
        <v>6966</v>
      </c>
      <c r="AS36" t="s">
        <v>6966</v>
      </c>
      <c r="AT36" t="s">
        <v>6966</v>
      </c>
      <c r="AU36" t="s">
        <v>6966</v>
      </c>
      <c r="AV36" t="s">
        <v>6966</v>
      </c>
      <c r="AW36" t="s">
        <v>6966</v>
      </c>
      <c r="AX36" t="s">
        <v>6966</v>
      </c>
      <c r="AY36" t="s">
        <v>6966</v>
      </c>
      <c r="AZ36">
        <v>5.3331000000000003E-2</v>
      </c>
      <c r="BA36">
        <v>7.6000000000000004E-5</v>
      </c>
    </row>
    <row r="37" spans="1:53" x14ac:dyDescent="0.25">
      <c r="A37">
        <v>35</v>
      </c>
      <c r="B37" t="s">
        <v>7625</v>
      </c>
      <c r="C37">
        <v>101118</v>
      </c>
      <c r="D37" t="s">
        <v>861</v>
      </c>
      <c r="E37" t="s">
        <v>3217</v>
      </c>
      <c r="F37">
        <v>3967224</v>
      </c>
      <c r="G37">
        <v>8765.8759769999997</v>
      </c>
      <c r="H37">
        <v>18</v>
      </c>
      <c r="I37">
        <v>78</v>
      </c>
      <c r="J37">
        <v>35445</v>
      </c>
      <c r="K37" t="s">
        <v>2246</v>
      </c>
      <c r="L37">
        <v>12</v>
      </c>
      <c r="M37">
        <v>12</v>
      </c>
      <c r="N37">
        <v>35445</v>
      </c>
      <c r="O37">
        <v>17</v>
      </c>
      <c r="P37" t="s">
        <v>3215</v>
      </c>
      <c r="Q37">
        <v>1.2</v>
      </c>
      <c r="R37">
        <v>63.37</v>
      </c>
      <c r="S37">
        <v>0.2</v>
      </c>
      <c r="T37">
        <v>11</v>
      </c>
      <c r="U37">
        <v>3967223.9837699998</v>
      </c>
      <c r="V37">
        <v>8765.8754960000006</v>
      </c>
      <c r="W37">
        <v>36</v>
      </c>
      <c r="X37">
        <v>0</v>
      </c>
      <c r="Y37">
        <v>35</v>
      </c>
      <c r="Z37" t="s">
        <v>6966</v>
      </c>
      <c r="AA37" t="s">
        <v>6966</v>
      </c>
      <c r="AB37" t="s">
        <v>6966</v>
      </c>
      <c r="AC37" t="s">
        <v>6966</v>
      </c>
      <c r="AD37" t="s">
        <v>6966</v>
      </c>
      <c r="AE37" t="s">
        <v>6966</v>
      </c>
      <c r="AF37" t="s">
        <v>6966</v>
      </c>
      <c r="AG37" t="s">
        <v>6966</v>
      </c>
      <c r="AH37" t="s">
        <v>6966</v>
      </c>
      <c r="AI37" t="s">
        <v>6966</v>
      </c>
      <c r="AJ37" t="s">
        <v>6966</v>
      </c>
      <c r="AK37" t="s">
        <v>6966</v>
      </c>
      <c r="AL37" t="s">
        <v>6966</v>
      </c>
      <c r="AM37" t="s">
        <v>6966</v>
      </c>
      <c r="AN37" t="s">
        <v>6966</v>
      </c>
      <c r="AO37" t="s">
        <v>6966</v>
      </c>
      <c r="AP37" t="s">
        <v>6966</v>
      </c>
      <c r="AQ37" t="s">
        <v>6966</v>
      </c>
      <c r="AR37" t="s">
        <v>6966</v>
      </c>
      <c r="AS37" t="s">
        <v>6966</v>
      </c>
      <c r="AT37" t="s">
        <v>6966</v>
      </c>
      <c r="AU37" t="s">
        <v>6966</v>
      </c>
      <c r="AV37" t="s">
        <v>6966</v>
      </c>
      <c r="AW37" t="s">
        <v>6966</v>
      </c>
      <c r="AX37" t="s">
        <v>6966</v>
      </c>
      <c r="AY37" t="s">
        <v>6966</v>
      </c>
      <c r="AZ37">
        <v>8.6909E-2</v>
      </c>
      <c r="BA37">
        <v>3.8999999999999999E-4</v>
      </c>
    </row>
    <row r="38" spans="1:53" x14ac:dyDescent="0.25">
      <c r="A38">
        <v>36</v>
      </c>
      <c r="B38" t="s">
        <v>7625</v>
      </c>
      <c r="C38">
        <v>101084</v>
      </c>
      <c r="D38" t="s">
        <v>836</v>
      </c>
      <c r="E38" t="s">
        <v>3217</v>
      </c>
      <c r="F38">
        <v>1813658.5</v>
      </c>
      <c r="G38">
        <v>7511.3500979999999</v>
      </c>
      <c r="H38">
        <v>19</v>
      </c>
      <c r="I38">
        <v>84</v>
      </c>
      <c r="J38">
        <v>35406</v>
      </c>
      <c r="K38" t="s">
        <v>2226</v>
      </c>
      <c r="L38">
        <v>12</v>
      </c>
      <c r="M38">
        <v>12</v>
      </c>
      <c r="N38">
        <v>35406</v>
      </c>
      <c r="O38">
        <v>18</v>
      </c>
      <c r="P38" t="s">
        <v>3215</v>
      </c>
      <c r="Q38">
        <v>1</v>
      </c>
      <c r="R38">
        <v>68.17</v>
      </c>
      <c r="S38">
        <v>0.19</v>
      </c>
      <c r="T38">
        <v>13</v>
      </c>
      <c r="U38">
        <v>1813658.5826399999</v>
      </c>
      <c r="V38">
        <v>7511.3502559999997</v>
      </c>
      <c r="W38">
        <v>37</v>
      </c>
      <c r="X38">
        <v>0</v>
      </c>
      <c r="Y38">
        <v>36</v>
      </c>
      <c r="Z38" t="s">
        <v>6966</v>
      </c>
      <c r="AA38" t="s">
        <v>6966</v>
      </c>
      <c r="AB38" t="s">
        <v>6966</v>
      </c>
      <c r="AC38" t="s">
        <v>6966</v>
      </c>
      <c r="AD38" t="s">
        <v>6966</v>
      </c>
      <c r="AE38" t="s">
        <v>6966</v>
      </c>
      <c r="AF38" t="s">
        <v>6966</v>
      </c>
      <c r="AG38" t="s">
        <v>6966</v>
      </c>
      <c r="AH38" t="s">
        <v>6966</v>
      </c>
      <c r="AI38" t="s">
        <v>6966</v>
      </c>
      <c r="AJ38" t="s">
        <v>6966</v>
      </c>
      <c r="AK38" t="s">
        <v>6966</v>
      </c>
      <c r="AL38" t="s">
        <v>6966</v>
      </c>
      <c r="AM38" t="s">
        <v>6966</v>
      </c>
      <c r="AN38" t="s">
        <v>6966</v>
      </c>
      <c r="AO38" t="s">
        <v>6966</v>
      </c>
      <c r="AP38" t="s">
        <v>6966</v>
      </c>
      <c r="AQ38" t="s">
        <v>6966</v>
      </c>
      <c r="AR38" t="s">
        <v>6966</v>
      </c>
      <c r="AS38" t="s">
        <v>6966</v>
      </c>
      <c r="AT38" t="s">
        <v>6966</v>
      </c>
      <c r="AU38" t="s">
        <v>6966</v>
      </c>
      <c r="AV38" t="s">
        <v>6966</v>
      </c>
      <c r="AW38" t="s">
        <v>6966</v>
      </c>
      <c r="AX38" t="s">
        <v>6966</v>
      </c>
      <c r="AY38" t="s">
        <v>6966</v>
      </c>
      <c r="AZ38">
        <v>7.6226000000000002E-2</v>
      </c>
      <c r="BA38">
        <v>1.7799999999999999E-4</v>
      </c>
    </row>
    <row r="39" spans="1:53" x14ac:dyDescent="0.25">
      <c r="A39">
        <v>37</v>
      </c>
      <c r="B39" t="s">
        <v>7625</v>
      </c>
      <c r="C39">
        <v>101012</v>
      </c>
      <c r="D39" t="s">
        <v>880</v>
      </c>
      <c r="E39" t="s">
        <v>3217</v>
      </c>
      <c r="F39">
        <v>0</v>
      </c>
      <c r="G39">
        <v>34060</v>
      </c>
      <c r="H39">
        <v>39</v>
      </c>
      <c r="I39">
        <v>148</v>
      </c>
      <c r="J39">
        <v>35498</v>
      </c>
      <c r="K39" t="s">
        <v>2262</v>
      </c>
      <c r="L39">
        <v>12</v>
      </c>
      <c r="M39">
        <v>12</v>
      </c>
      <c r="N39">
        <v>35498</v>
      </c>
      <c r="O39">
        <v>39</v>
      </c>
      <c r="P39" t="s">
        <v>3215</v>
      </c>
      <c r="Q39">
        <v>1.1000000000000001</v>
      </c>
      <c r="R39">
        <v>75.09</v>
      </c>
      <c r="S39">
        <v>0.24</v>
      </c>
      <c r="T39">
        <v>16</v>
      </c>
      <c r="U39">
        <v>0</v>
      </c>
      <c r="V39">
        <v>34059.998893999997</v>
      </c>
      <c r="W39">
        <v>38</v>
      </c>
      <c r="X39">
        <v>0</v>
      </c>
      <c r="Y39">
        <v>37</v>
      </c>
      <c r="Z39" t="s">
        <v>6966</v>
      </c>
      <c r="AA39" t="s">
        <v>6966</v>
      </c>
      <c r="AB39" t="s">
        <v>6966</v>
      </c>
      <c r="AC39" t="s">
        <v>6966</v>
      </c>
      <c r="AD39" t="s">
        <v>6966</v>
      </c>
      <c r="AE39" t="s">
        <v>6966</v>
      </c>
      <c r="AF39" t="s">
        <v>6966</v>
      </c>
      <c r="AG39" t="s">
        <v>6966</v>
      </c>
      <c r="AH39" t="s">
        <v>6966</v>
      </c>
      <c r="AI39" t="s">
        <v>6966</v>
      </c>
      <c r="AJ39" t="s">
        <v>6966</v>
      </c>
      <c r="AK39" t="s">
        <v>6966</v>
      </c>
      <c r="AL39" t="s">
        <v>6966</v>
      </c>
      <c r="AM39" t="s">
        <v>6966</v>
      </c>
      <c r="AN39" t="s">
        <v>6966</v>
      </c>
      <c r="AO39" t="s">
        <v>6966</v>
      </c>
      <c r="AP39" t="s">
        <v>6966</v>
      </c>
      <c r="AQ39" t="s">
        <v>6966</v>
      </c>
      <c r="AR39" t="s">
        <v>6966</v>
      </c>
      <c r="AS39" t="s">
        <v>6966</v>
      </c>
      <c r="AT39" t="s">
        <v>6966</v>
      </c>
      <c r="AU39" t="s">
        <v>6966</v>
      </c>
      <c r="AV39" t="s">
        <v>6966</v>
      </c>
      <c r="AW39" t="s">
        <v>6966</v>
      </c>
      <c r="AX39" t="s">
        <v>6966</v>
      </c>
      <c r="AY39" t="s">
        <v>6966</v>
      </c>
      <c r="AZ39">
        <v>0.330513</v>
      </c>
      <c r="BA39">
        <v>2.6679999999999998E-3</v>
      </c>
    </row>
    <row r="40" spans="1:53" x14ac:dyDescent="0.25">
      <c r="A40">
        <v>38</v>
      </c>
      <c r="B40" t="s">
        <v>7625</v>
      </c>
      <c r="C40">
        <v>101018</v>
      </c>
      <c r="D40" t="s">
        <v>858</v>
      </c>
      <c r="E40" t="s">
        <v>3217</v>
      </c>
      <c r="F40">
        <v>4017642</v>
      </c>
      <c r="G40">
        <v>12939.904296999999</v>
      </c>
      <c r="H40">
        <v>40</v>
      </c>
      <c r="I40">
        <v>149</v>
      </c>
      <c r="J40">
        <v>35439</v>
      </c>
      <c r="K40" t="s">
        <v>7642</v>
      </c>
      <c r="L40">
        <v>12</v>
      </c>
      <c r="M40">
        <v>12</v>
      </c>
      <c r="N40">
        <v>35439</v>
      </c>
      <c r="O40">
        <v>40</v>
      </c>
      <c r="P40" t="s">
        <v>3215</v>
      </c>
      <c r="Q40">
        <v>2.5</v>
      </c>
      <c r="R40">
        <v>69.91</v>
      </c>
      <c r="S40">
        <v>0.39</v>
      </c>
      <c r="T40">
        <v>11</v>
      </c>
      <c r="U40">
        <v>4017641.9645199999</v>
      </c>
      <c r="V40">
        <v>12939.904809</v>
      </c>
      <c r="W40">
        <v>39</v>
      </c>
      <c r="X40">
        <v>0</v>
      </c>
      <c r="Y40">
        <v>38</v>
      </c>
      <c r="Z40" t="s">
        <v>6966</v>
      </c>
      <c r="AA40" t="s">
        <v>6966</v>
      </c>
      <c r="AB40" t="s">
        <v>6966</v>
      </c>
      <c r="AC40" t="s">
        <v>6966</v>
      </c>
      <c r="AD40" t="s">
        <v>6966</v>
      </c>
      <c r="AE40" t="s">
        <v>6966</v>
      </c>
      <c r="AF40" t="s">
        <v>6966</v>
      </c>
      <c r="AG40" t="s">
        <v>6966</v>
      </c>
      <c r="AH40" t="s">
        <v>6966</v>
      </c>
      <c r="AI40" t="s">
        <v>6966</v>
      </c>
      <c r="AJ40" t="s">
        <v>6966</v>
      </c>
      <c r="AK40" t="s">
        <v>6966</v>
      </c>
      <c r="AL40" t="s">
        <v>6966</v>
      </c>
      <c r="AM40" t="s">
        <v>6966</v>
      </c>
      <c r="AN40" t="s">
        <v>6966</v>
      </c>
      <c r="AO40" t="s">
        <v>6966</v>
      </c>
      <c r="AP40" t="s">
        <v>6966</v>
      </c>
      <c r="AQ40" t="s">
        <v>6966</v>
      </c>
      <c r="AR40" t="s">
        <v>6966</v>
      </c>
      <c r="AS40" t="s">
        <v>6966</v>
      </c>
      <c r="AT40" t="s">
        <v>6966</v>
      </c>
      <c r="AU40" t="s">
        <v>6966</v>
      </c>
      <c r="AV40" t="s">
        <v>6966</v>
      </c>
      <c r="AW40" t="s">
        <v>6966</v>
      </c>
      <c r="AX40" t="s">
        <v>6966</v>
      </c>
      <c r="AY40" t="s">
        <v>6966</v>
      </c>
      <c r="AZ40">
        <v>0.12861300000000001</v>
      </c>
      <c r="BA40">
        <v>3.9500000000000001E-4</v>
      </c>
    </row>
    <row r="41" spans="1:53" x14ac:dyDescent="0.25">
      <c r="A41">
        <v>39</v>
      </c>
      <c r="B41" t="s">
        <v>7625</v>
      </c>
      <c r="C41">
        <v>101111</v>
      </c>
      <c r="D41" t="s">
        <v>790</v>
      </c>
      <c r="E41" t="s">
        <v>3217</v>
      </c>
      <c r="F41">
        <v>515818.03125</v>
      </c>
      <c r="G41">
        <v>3198.4201659999999</v>
      </c>
      <c r="H41">
        <v>41</v>
      </c>
      <c r="I41">
        <v>150</v>
      </c>
      <c r="J41">
        <v>35251</v>
      </c>
      <c r="K41" t="s">
        <v>2191</v>
      </c>
      <c r="L41">
        <v>12</v>
      </c>
      <c r="M41">
        <v>12</v>
      </c>
      <c r="N41">
        <v>35251</v>
      </c>
      <c r="O41">
        <v>41</v>
      </c>
      <c r="P41" t="s">
        <v>3215</v>
      </c>
      <c r="Q41">
        <v>4.2</v>
      </c>
      <c r="R41">
        <v>0</v>
      </c>
      <c r="S41">
        <v>0.7</v>
      </c>
      <c r="T41">
        <v>0</v>
      </c>
      <c r="U41">
        <v>515818.06043200003</v>
      </c>
      <c r="V41">
        <v>3198.4204909999999</v>
      </c>
      <c r="W41">
        <v>40</v>
      </c>
      <c r="X41">
        <v>0</v>
      </c>
      <c r="Y41">
        <v>39</v>
      </c>
      <c r="Z41" t="s">
        <v>6966</v>
      </c>
      <c r="AA41" t="s">
        <v>6966</v>
      </c>
      <c r="AB41" t="s">
        <v>6966</v>
      </c>
      <c r="AC41" t="s">
        <v>6966</v>
      </c>
      <c r="AD41" t="s">
        <v>6966</v>
      </c>
      <c r="AE41" t="s">
        <v>6966</v>
      </c>
      <c r="AF41" t="s">
        <v>6966</v>
      </c>
      <c r="AG41" t="s">
        <v>6966</v>
      </c>
      <c r="AH41" t="s">
        <v>6966</v>
      </c>
      <c r="AI41" t="s">
        <v>6966</v>
      </c>
      <c r="AJ41" t="s">
        <v>6966</v>
      </c>
      <c r="AK41" t="s">
        <v>6966</v>
      </c>
      <c r="AL41" t="s">
        <v>6966</v>
      </c>
      <c r="AM41" t="s">
        <v>6966</v>
      </c>
      <c r="AN41" t="s">
        <v>6966</v>
      </c>
      <c r="AO41" t="s">
        <v>6966</v>
      </c>
      <c r="AP41" t="s">
        <v>6966</v>
      </c>
      <c r="AQ41" t="s">
        <v>6966</v>
      </c>
      <c r="AR41" t="s">
        <v>6966</v>
      </c>
      <c r="AS41" t="s">
        <v>6966</v>
      </c>
      <c r="AT41" t="s">
        <v>6966</v>
      </c>
      <c r="AU41" t="s">
        <v>6966</v>
      </c>
      <c r="AV41" t="s">
        <v>6966</v>
      </c>
      <c r="AW41" t="s">
        <v>6966</v>
      </c>
      <c r="AX41" t="s">
        <v>6966</v>
      </c>
      <c r="AY41" t="s">
        <v>6966</v>
      </c>
      <c r="AZ41">
        <v>3.2131E-2</v>
      </c>
      <c r="BA41">
        <v>5.1E-5</v>
      </c>
    </row>
    <row r="42" spans="1:53" x14ac:dyDescent="0.25">
      <c r="A42">
        <v>40</v>
      </c>
      <c r="B42" t="s">
        <v>7625</v>
      </c>
      <c r="C42">
        <v>101116</v>
      </c>
      <c r="D42" t="s">
        <v>7643</v>
      </c>
      <c r="E42" t="s">
        <v>3217</v>
      </c>
      <c r="F42">
        <v>1430892.375</v>
      </c>
      <c r="G42">
        <v>5626.4765630000002</v>
      </c>
      <c r="H42">
        <v>42</v>
      </c>
      <c r="I42">
        <v>151</v>
      </c>
      <c r="J42">
        <v>35461</v>
      </c>
      <c r="K42" t="s">
        <v>7644</v>
      </c>
      <c r="L42">
        <v>12</v>
      </c>
      <c r="M42">
        <v>12</v>
      </c>
      <c r="N42">
        <v>35461</v>
      </c>
      <c r="O42">
        <v>42</v>
      </c>
      <c r="P42" t="s">
        <v>3215</v>
      </c>
      <c r="Q42">
        <v>0</v>
      </c>
      <c r="R42">
        <v>9.74</v>
      </c>
      <c r="S42">
        <v>0.01</v>
      </c>
      <c r="T42">
        <v>3</v>
      </c>
      <c r="U42">
        <v>1430892.2816099999</v>
      </c>
      <c r="V42">
        <v>5626.4756170000001</v>
      </c>
      <c r="W42">
        <v>41</v>
      </c>
      <c r="X42">
        <v>0</v>
      </c>
      <c r="Y42">
        <v>40</v>
      </c>
      <c r="Z42" t="s">
        <v>6966</v>
      </c>
      <c r="AA42" t="s">
        <v>6966</v>
      </c>
      <c r="AB42" t="s">
        <v>6966</v>
      </c>
      <c r="AC42" t="s">
        <v>6966</v>
      </c>
      <c r="AD42" t="s">
        <v>6966</v>
      </c>
      <c r="AE42" t="s">
        <v>6966</v>
      </c>
      <c r="AF42" t="s">
        <v>6966</v>
      </c>
      <c r="AG42" t="s">
        <v>6966</v>
      </c>
      <c r="AH42" t="s">
        <v>6966</v>
      </c>
      <c r="AI42" t="s">
        <v>6966</v>
      </c>
      <c r="AJ42" t="s">
        <v>6966</v>
      </c>
      <c r="AK42" t="s">
        <v>6966</v>
      </c>
      <c r="AL42" t="s">
        <v>6966</v>
      </c>
      <c r="AM42" t="s">
        <v>6966</v>
      </c>
      <c r="AN42" t="s">
        <v>6966</v>
      </c>
      <c r="AO42" t="s">
        <v>6966</v>
      </c>
      <c r="AP42" t="s">
        <v>6966</v>
      </c>
      <c r="AQ42" t="s">
        <v>6966</v>
      </c>
      <c r="AR42" t="s">
        <v>6966</v>
      </c>
      <c r="AS42" t="s">
        <v>6966</v>
      </c>
      <c r="AT42" t="s">
        <v>6966</v>
      </c>
      <c r="AU42" t="s">
        <v>6966</v>
      </c>
      <c r="AV42" t="s">
        <v>6966</v>
      </c>
      <c r="AW42" t="s">
        <v>6966</v>
      </c>
      <c r="AX42" t="s">
        <v>6966</v>
      </c>
      <c r="AY42" t="s">
        <v>6966</v>
      </c>
      <c r="AZ42">
        <v>5.6603000000000001E-2</v>
      </c>
      <c r="BA42">
        <v>1.4100000000000001E-4</v>
      </c>
    </row>
    <row r="43" spans="1:53" x14ac:dyDescent="0.25">
      <c r="A43">
        <v>41</v>
      </c>
      <c r="B43" t="s">
        <v>7625</v>
      </c>
      <c r="C43">
        <v>101139</v>
      </c>
      <c r="D43" t="s">
        <v>771</v>
      </c>
      <c r="E43" t="s">
        <v>3217</v>
      </c>
      <c r="F43">
        <v>2966191.75</v>
      </c>
      <c r="G43">
        <v>8735.9570309999999</v>
      </c>
      <c r="H43">
        <v>43</v>
      </c>
      <c r="I43">
        <v>153</v>
      </c>
      <c r="J43">
        <v>35217</v>
      </c>
      <c r="K43" t="s">
        <v>771</v>
      </c>
      <c r="L43">
        <v>12</v>
      </c>
      <c r="M43">
        <v>12</v>
      </c>
      <c r="N43">
        <v>35217</v>
      </c>
      <c r="O43">
        <v>43</v>
      </c>
      <c r="P43" t="s">
        <v>3215</v>
      </c>
      <c r="Q43">
        <v>0.6</v>
      </c>
      <c r="R43">
        <v>55.65</v>
      </c>
      <c r="S43">
        <v>0.09</v>
      </c>
      <c r="T43">
        <v>9</v>
      </c>
      <c r="U43">
        <v>2966191.6859800001</v>
      </c>
      <c r="V43">
        <v>8735.956827</v>
      </c>
      <c r="W43">
        <v>42</v>
      </c>
      <c r="X43">
        <v>0</v>
      </c>
      <c r="Y43">
        <v>41</v>
      </c>
      <c r="Z43" t="s">
        <v>6966</v>
      </c>
      <c r="AA43" t="s">
        <v>6966</v>
      </c>
      <c r="AB43" t="s">
        <v>6966</v>
      </c>
      <c r="AC43" t="s">
        <v>6966</v>
      </c>
      <c r="AD43" t="s">
        <v>6966</v>
      </c>
      <c r="AE43" t="s">
        <v>6966</v>
      </c>
      <c r="AF43" t="s">
        <v>6966</v>
      </c>
      <c r="AG43" t="s">
        <v>6966</v>
      </c>
      <c r="AH43" t="s">
        <v>6966</v>
      </c>
      <c r="AI43" t="s">
        <v>6966</v>
      </c>
      <c r="AJ43" t="s">
        <v>6966</v>
      </c>
      <c r="AK43" t="s">
        <v>6966</v>
      </c>
      <c r="AL43" t="s">
        <v>6966</v>
      </c>
      <c r="AM43" t="s">
        <v>6966</v>
      </c>
      <c r="AN43" t="s">
        <v>6966</v>
      </c>
      <c r="AO43" t="s">
        <v>6966</v>
      </c>
      <c r="AP43" t="s">
        <v>6966</v>
      </c>
      <c r="AQ43" t="s">
        <v>6966</v>
      </c>
      <c r="AR43" t="s">
        <v>6966</v>
      </c>
      <c r="AS43" t="s">
        <v>6966</v>
      </c>
      <c r="AT43" t="s">
        <v>6966</v>
      </c>
      <c r="AU43" t="s">
        <v>6966</v>
      </c>
      <c r="AV43" t="s">
        <v>6966</v>
      </c>
      <c r="AW43" t="s">
        <v>6966</v>
      </c>
      <c r="AX43" t="s">
        <v>6966</v>
      </c>
      <c r="AY43" t="s">
        <v>6966</v>
      </c>
      <c r="AZ43">
        <v>8.5508000000000001E-2</v>
      </c>
      <c r="BA43">
        <v>2.9100000000000003E-4</v>
      </c>
    </row>
    <row r="44" spans="1:53" x14ac:dyDescent="0.25">
      <c r="A44">
        <v>42</v>
      </c>
      <c r="B44" t="s">
        <v>7625</v>
      </c>
      <c r="C44">
        <v>101155</v>
      </c>
      <c r="D44" t="s">
        <v>779</v>
      </c>
      <c r="E44" t="s">
        <v>3217</v>
      </c>
      <c r="F44">
        <v>7261349</v>
      </c>
      <c r="G44">
        <v>14726.092773</v>
      </c>
      <c r="H44">
        <v>44</v>
      </c>
      <c r="I44">
        <v>154</v>
      </c>
      <c r="J44">
        <v>35231</v>
      </c>
      <c r="K44" t="s">
        <v>2181</v>
      </c>
      <c r="L44">
        <v>12</v>
      </c>
      <c r="M44">
        <v>12</v>
      </c>
      <c r="N44">
        <v>35231</v>
      </c>
      <c r="O44">
        <v>44</v>
      </c>
      <c r="P44" t="s">
        <v>3215</v>
      </c>
      <c r="Q44">
        <v>2.4</v>
      </c>
      <c r="R44">
        <v>115.96</v>
      </c>
      <c r="S44">
        <v>0.51</v>
      </c>
      <c r="T44">
        <v>25</v>
      </c>
      <c r="U44">
        <v>7261349.2668399997</v>
      </c>
      <c r="V44">
        <v>14726.091872000001</v>
      </c>
      <c r="W44">
        <v>43</v>
      </c>
      <c r="X44">
        <v>0</v>
      </c>
      <c r="Y44">
        <v>42</v>
      </c>
      <c r="Z44" t="s">
        <v>6966</v>
      </c>
      <c r="AA44" t="s">
        <v>6966</v>
      </c>
      <c r="AB44" t="s">
        <v>6966</v>
      </c>
      <c r="AC44" t="s">
        <v>6966</v>
      </c>
      <c r="AD44" t="s">
        <v>6966</v>
      </c>
      <c r="AE44" t="s">
        <v>6966</v>
      </c>
      <c r="AF44" t="s">
        <v>6966</v>
      </c>
      <c r="AG44" t="s">
        <v>6966</v>
      </c>
      <c r="AH44" t="s">
        <v>6966</v>
      </c>
      <c r="AI44" t="s">
        <v>6966</v>
      </c>
      <c r="AJ44" t="s">
        <v>6966</v>
      </c>
      <c r="AK44" t="s">
        <v>6966</v>
      </c>
      <c r="AL44" t="s">
        <v>6966</v>
      </c>
      <c r="AM44" t="s">
        <v>6966</v>
      </c>
      <c r="AN44" t="s">
        <v>6966</v>
      </c>
      <c r="AO44" t="s">
        <v>6966</v>
      </c>
      <c r="AP44" t="s">
        <v>6966</v>
      </c>
      <c r="AQ44" t="s">
        <v>6966</v>
      </c>
      <c r="AR44" t="s">
        <v>6966</v>
      </c>
      <c r="AS44" t="s">
        <v>6966</v>
      </c>
      <c r="AT44" t="s">
        <v>6966</v>
      </c>
      <c r="AU44" t="s">
        <v>6966</v>
      </c>
      <c r="AV44" t="s">
        <v>6966</v>
      </c>
      <c r="AW44" t="s">
        <v>6966</v>
      </c>
      <c r="AX44" t="s">
        <v>6966</v>
      </c>
      <c r="AY44" t="s">
        <v>6966</v>
      </c>
      <c r="AZ44">
        <v>0.14829800000000001</v>
      </c>
      <c r="BA44">
        <v>7.1299999999999998E-4</v>
      </c>
    </row>
    <row r="45" spans="1:53" x14ac:dyDescent="0.25">
      <c r="A45">
        <v>43</v>
      </c>
      <c r="B45" t="s">
        <v>7625</v>
      </c>
      <c r="C45">
        <v>101119</v>
      </c>
      <c r="D45" t="s">
        <v>866</v>
      </c>
      <c r="E45" t="s">
        <v>3217</v>
      </c>
      <c r="F45">
        <v>734338.8125</v>
      </c>
      <c r="G45">
        <v>4066.5559079999998</v>
      </c>
      <c r="H45">
        <v>45</v>
      </c>
      <c r="I45">
        <v>155</v>
      </c>
      <c r="J45">
        <v>35455</v>
      </c>
      <c r="K45" t="s">
        <v>2251</v>
      </c>
      <c r="L45">
        <v>12</v>
      </c>
      <c r="M45">
        <v>12</v>
      </c>
      <c r="N45">
        <v>35455</v>
      </c>
      <c r="O45">
        <v>45</v>
      </c>
      <c r="P45" t="s">
        <v>3215</v>
      </c>
      <c r="Q45">
        <v>4.0999999999999996</v>
      </c>
      <c r="R45">
        <v>59.19</v>
      </c>
      <c r="S45">
        <v>0.75</v>
      </c>
      <c r="T45">
        <v>11</v>
      </c>
      <c r="U45">
        <v>734338.90020999999</v>
      </c>
      <c r="V45">
        <v>4066.5558030000002</v>
      </c>
      <c r="W45">
        <v>44</v>
      </c>
      <c r="X45">
        <v>0</v>
      </c>
      <c r="Y45">
        <v>43</v>
      </c>
      <c r="Z45" t="s">
        <v>6966</v>
      </c>
      <c r="AA45" t="s">
        <v>6966</v>
      </c>
      <c r="AB45" t="s">
        <v>6966</v>
      </c>
      <c r="AC45" t="s">
        <v>6966</v>
      </c>
      <c r="AD45" t="s">
        <v>6966</v>
      </c>
      <c r="AE45" t="s">
        <v>6966</v>
      </c>
      <c r="AF45" t="s">
        <v>6966</v>
      </c>
      <c r="AG45" t="s">
        <v>6966</v>
      </c>
      <c r="AH45" t="s">
        <v>6966</v>
      </c>
      <c r="AI45" t="s">
        <v>6966</v>
      </c>
      <c r="AJ45" t="s">
        <v>6966</v>
      </c>
      <c r="AK45" t="s">
        <v>6966</v>
      </c>
      <c r="AL45" t="s">
        <v>6966</v>
      </c>
      <c r="AM45" t="s">
        <v>6966</v>
      </c>
      <c r="AN45" t="s">
        <v>6966</v>
      </c>
      <c r="AO45" t="s">
        <v>6966</v>
      </c>
      <c r="AP45" t="s">
        <v>6966</v>
      </c>
      <c r="AQ45" t="s">
        <v>6966</v>
      </c>
      <c r="AR45" t="s">
        <v>6966</v>
      </c>
      <c r="AS45" t="s">
        <v>6966</v>
      </c>
      <c r="AT45" t="s">
        <v>6966</v>
      </c>
      <c r="AU45" t="s">
        <v>6966</v>
      </c>
      <c r="AV45" t="s">
        <v>6966</v>
      </c>
      <c r="AW45" t="s">
        <v>6966</v>
      </c>
      <c r="AX45" t="s">
        <v>6966</v>
      </c>
      <c r="AY45" t="s">
        <v>6966</v>
      </c>
      <c r="AZ45">
        <v>4.0015000000000002E-2</v>
      </c>
      <c r="BA45">
        <v>7.2000000000000002E-5</v>
      </c>
    </row>
    <row r="46" spans="1:53" x14ac:dyDescent="0.25">
      <c r="A46">
        <v>44</v>
      </c>
      <c r="B46" t="s">
        <v>7625</v>
      </c>
      <c r="C46">
        <v>101151</v>
      </c>
      <c r="D46" t="s">
        <v>768</v>
      </c>
      <c r="E46" t="s">
        <v>3217</v>
      </c>
      <c r="F46">
        <v>3734113.75</v>
      </c>
      <c r="G46">
        <v>9830.8359380000002</v>
      </c>
      <c r="H46">
        <v>46</v>
      </c>
      <c r="I46">
        <v>156</v>
      </c>
      <c r="J46">
        <v>35213</v>
      </c>
      <c r="K46" t="s">
        <v>7645</v>
      </c>
      <c r="L46">
        <v>12</v>
      </c>
      <c r="M46">
        <v>12</v>
      </c>
      <c r="N46">
        <v>35213</v>
      </c>
      <c r="O46">
        <v>46</v>
      </c>
      <c r="P46" t="s">
        <v>3215</v>
      </c>
      <c r="Q46">
        <v>1.2</v>
      </c>
      <c r="R46">
        <v>319.44</v>
      </c>
      <c r="S46">
        <v>0.27</v>
      </c>
      <c r="T46">
        <v>72</v>
      </c>
      <c r="U46">
        <v>3734113.9214499998</v>
      </c>
      <c r="V46">
        <v>9830.8353860000007</v>
      </c>
      <c r="W46">
        <v>45</v>
      </c>
      <c r="X46">
        <v>0</v>
      </c>
      <c r="Y46">
        <v>44</v>
      </c>
      <c r="Z46" t="s">
        <v>6966</v>
      </c>
      <c r="AA46" t="s">
        <v>6966</v>
      </c>
      <c r="AB46" t="s">
        <v>6966</v>
      </c>
      <c r="AC46" t="s">
        <v>6966</v>
      </c>
      <c r="AD46" t="s">
        <v>6966</v>
      </c>
      <c r="AE46" t="s">
        <v>6966</v>
      </c>
      <c r="AF46" t="s">
        <v>6966</v>
      </c>
      <c r="AG46" t="s">
        <v>6966</v>
      </c>
      <c r="AH46" t="s">
        <v>6966</v>
      </c>
      <c r="AI46" t="s">
        <v>6966</v>
      </c>
      <c r="AJ46" t="s">
        <v>6966</v>
      </c>
      <c r="AK46" t="s">
        <v>6966</v>
      </c>
      <c r="AL46" t="s">
        <v>6966</v>
      </c>
      <c r="AM46" t="s">
        <v>6966</v>
      </c>
      <c r="AN46" t="s">
        <v>6966</v>
      </c>
      <c r="AO46" t="s">
        <v>6966</v>
      </c>
      <c r="AP46" t="s">
        <v>6966</v>
      </c>
      <c r="AQ46" t="s">
        <v>6966</v>
      </c>
      <c r="AR46" t="s">
        <v>6966</v>
      </c>
      <c r="AS46" t="s">
        <v>6966</v>
      </c>
      <c r="AT46" t="s">
        <v>6966</v>
      </c>
      <c r="AU46" t="s">
        <v>6966</v>
      </c>
      <c r="AV46" t="s">
        <v>6966</v>
      </c>
      <c r="AW46" t="s">
        <v>6966</v>
      </c>
      <c r="AX46" t="s">
        <v>6966</v>
      </c>
      <c r="AY46" t="s">
        <v>6966</v>
      </c>
      <c r="AZ46">
        <v>9.6007999999999996E-2</v>
      </c>
      <c r="BA46">
        <v>3.6699999999999998E-4</v>
      </c>
    </row>
    <row r="47" spans="1:53" x14ac:dyDescent="0.25">
      <c r="A47">
        <v>45</v>
      </c>
      <c r="B47" t="s">
        <v>7625</v>
      </c>
      <c r="C47">
        <v>101134</v>
      </c>
      <c r="D47" t="s">
        <v>842</v>
      </c>
      <c r="E47" t="s">
        <v>3217</v>
      </c>
      <c r="F47">
        <v>909500.9375</v>
      </c>
      <c r="G47">
        <v>4985.138672</v>
      </c>
      <c r="H47">
        <v>47</v>
      </c>
      <c r="I47">
        <v>157</v>
      </c>
      <c r="J47">
        <v>35415</v>
      </c>
      <c r="K47" t="s">
        <v>2230</v>
      </c>
      <c r="L47">
        <v>12</v>
      </c>
      <c r="M47">
        <v>12</v>
      </c>
      <c r="N47">
        <v>35415</v>
      </c>
      <c r="O47">
        <v>47</v>
      </c>
      <c r="P47" t="s">
        <v>3215</v>
      </c>
      <c r="Q47">
        <v>1.1000000000000001</v>
      </c>
      <c r="R47">
        <v>41.46</v>
      </c>
      <c r="S47">
        <v>0.17</v>
      </c>
      <c r="T47">
        <v>6</v>
      </c>
      <c r="U47">
        <v>909500.91801699996</v>
      </c>
      <c r="V47">
        <v>4985.1388079999997</v>
      </c>
      <c r="W47">
        <v>46</v>
      </c>
      <c r="X47">
        <v>0</v>
      </c>
      <c r="Y47">
        <v>45</v>
      </c>
      <c r="Z47" t="s">
        <v>6966</v>
      </c>
      <c r="AA47" t="s">
        <v>6966</v>
      </c>
      <c r="AB47" t="s">
        <v>6966</v>
      </c>
      <c r="AC47" t="s">
        <v>6966</v>
      </c>
      <c r="AD47" t="s">
        <v>6966</v>
      </c>
      <c r="AE47" t="s">
        <v>6966</v>
      </c>
      <c r="AF47" t="s">
        <v>6966</v>
      </c>
      <c r="AG47" t="s">
        <v>6966</v>
      </c>
      <c r="AH47" t="s">
        <v>6966</v>
      </c>
      <c r="AI47" t="s">
        <v>6966</v>
      </c>
      <c r="AJ47" t="s">
        <v>6966</v>
      </c>
      <c r="AK47" t="s">
        <v>6966</v>
      </c>
      <c r="AL47" t="s">
        <v>6966</v>
      </c>
      <c r="AM47" t="s">
        <v>6966</v>
      </c>
      <c r="AN47" t="s">
        <v>6966</v>
      </c>
      <c r="AO47" t="s">
        <v>6966</v>
      </c>
      <c r="AP47" t="s">
        <v>6966</v>
      </c>
      <c r="AQ47" t="s">
        <v>6966</v>
      </c>
      <c r="AR47" t="s">
        <v>6966</v>
      </c>
      <c r="AS47" t="s">
        <v>6966</v>
      </c>
      <c r="AT47" t="s">
        <v>6966</v>
      </c>
      <c r="AU47" t="s">
        <v>6966</v>
      </c>
      <c r="AV47" t="s">
        <v>6966</v>
      </c>
      <c r="AW47" t="s">
        <v>6966</v>
      </c>
      <c r="AX47" t="s">
        <v>6966</v>
      </c>
      <c r="AY47" t="s">
        <v>6966</v>
      </c>
      <c r="AZ47">
        <v>4.9023999999999998E-2</v>
      </c>
      <c r="BA47">
        <v>8.8999999999999995E-5</v>
      </c>
    </row>
    <row r="48" spans="1:53" x14ac:dyDescent="0.25">
      <c r="A48">
        <v>46</v>
      </c>
      <c r="B48" t="s">
        <v>7625</v>
      </c>
      <c r="C48">
        <v>101063</v>
      </c>
      <c r="D48" t="s">
        <v>870</v>
      </c>
      <c r="E48" t="s">
        <v>3217</v>
      </c>
      <c r="F48">
        <v>2400134</v>
      </c>
      <c r="G48">
        <v>7636.6176759999998</v>
      </c>
      <c r="H48">
        <v>48</v>
      </c>
      <c r="I48">
        <v>158</v>
      </c>
      <c r="J48">
        <v>35463</v>
      </c>
      <c r="K48" t="s">
        <v>870</v>
      </c>
      <c r="L48">
        <v>12</v>
      </c>
      <c r="M48">
        <v>12</v>
      </c>
      <c r="N48">
        <v>35463</v>
      </c>
      <c r="O48">
        <v>48</v>
      </c>
      <c r="P48" t="s">
        <v>3215</v>
      </c>
      <c r="Q48">
        <v>2</v>
      </c>
      <c r="R48">
        <v>55.6</v>
      </c>
      <c r="S48">
        <v>0.33</v>
      </c>
      <c r="T48">
        <v>9</v>
      </c>
      <c r="U48">
        <v>2400134.0527300001</v>
      </c>
      <c r="V48">
        <v>7636.6186729999999</v>
      </c>
      <c r="W48">
        <v>47</v>
      </c>
      <c r="X48">
        <v>0</v>
      </c>
      <c r="Y48">
        <v>46</v>
      </c>
      <c r="Z48" t="s">
        <v>6966</v>
      </c>
      <c r="AA48" t="s">
        <v>6966</v>
      </c>
      <c r="AB48" t="s">
        <v>6966</v>
      </c>
      <c r="AC48" t="s">
        <v>6966</v>
      </c>
      <c r="AD48" t="s">
        <v>6966</v>
      </c>
      <c r="AE48" t="s">
        <v>6966</v>
      </c>
      <c r="AF48" t="s">
        <v>6966</v>
      </c>
      <c r="AG48" t="s">
        <v>6966</v>
      </c>
      <c r="AH48" t="s">
        <v>6966</v>
      </c>
      <c r="AI48" t="s">
        <v>6966</v>
      </c>
      <c r="AJ48" t="s">
        <v>6966</v>
      </c>
      <c r="AK48" t="s">
        <v>6966</v>
      </c>
      <c r="AL48" t="s">
        <v>6966</v>
      </c>
      <c r="AM48" t="s">
        <v>6966</v>
      </c>
      <c r="AN48" t="s">
        <v>6966</v>
      </c>
      <c r="AO48" t="s">
        <v>6966</v>
      </c>
      <c r="AP48" t="s">
        <v>6966</v>
      </c>
      <c r="AQ48" t="s">
        <v>6966</v>
      </c>
      <c r="AR48" t="s">
        <v>6966</v>
      </c>
      <c r="AS48" t="s">
        <v>6966</v>
      </c>
      <c r="AT48" t="s">
        <v>6966</v>
      </c>
      <c r="AU48" t="s">
        <v>6966</v>
      </c>
      <c r="AV48" t="s">
        <v>6966</v>
      </c>
      <c r="AW48" t="s">
        <v>6966</v>
      </c>
      <c r="AX48" t="s">
        <v>6966</v>
      </c>
      <c r="AY48" t="s">
        <v>6966</v>
      </c>
      <c r="AZ48">
        <v>7.6987E-2</v>
      </c>
      <c r="BA48">
        <v>2.3599999999999999E-4</v>
      </c>
    </row>
    <row r="49" spans="1:53" x14ac:dyDescent="0.25">
      <c r="A49">
        <v>47</v>
      </c>
      <c r="B49" t="s">
        <v>7625</v>
      </c>
      <c r="C49">
        <v>101107</v>
      </c>
      <c r="D49" t="s">
        <v>7646</v>
      </c>
      <c r="E49" t="s">
        <v>3217</v>
      </c>
      <c r="F49">
        <v>7569366.5</v>
      </c>
      <c r="G49">
        <v>13275.823242</v>
      </c>
      <c r="H49">
        <v>49</v>
      </c>
      <c r="I49">
        <v>159</v>
      </c>
      <c r="J49">
        <v>35486</v>
      </c>
      <c r="K49" t="s">
        <v>2260</v>
      </c>
      <c r="L49">
        <v>12</v>
      </c>
      <c r="M49">
        <v>12</v>
      </c>
      <c r="N49">
        <v>35486</v>
      </c>
      <c r="O49">
        <v>49</v>
      </c>
      <c r="P49" t="s">
        <v>3215</v>
      </c>
      <c r="Q49">
        <v>2.6</v>
      </c>
      <c r="R49">
        <v>115.49</v>
      </c>
      <c r="S49">
        <v>0.53</v>
      </c>
      <c r="T49">
        <v>23</v>
      </c>
      <c r="U49">
        <v>7569366.5291999998</v>
      </c>
      <c r="V49">
        <v>13275.822195999999</v>
      </c>
      <c r="W49">
        <v>48</v>
      </c>
      <c r="X49">
        <v>0</v>
      </c>
      <c r="Y49">
        <v>47</v>
      </c>
      <c r="Z49" t="s">
        <v>6966</v>
      </c>
      <c r="AA49" t="s">
        <v>6966</v>
      </c>
      <c r="AB49" t="s">
        <v>6966</v>
      </c>
      <c r="AC49" t="s">
        <v>6966</v>
      </c>
      <c r="AD49" t="s">
        <v>6966</v>
      </c>
      <c r="AE49" t="s">
        <v>6966</v>
      </c>
      <c r="AF49" t="s">
        <v>6966</v>
      </c>
      <c r="AG49" t="s">
        <v>6966</v>
      </c>
      <c r="AH49" t="s">
        <v>6966</v>
      </c>
      <c r="AI49" t="s">
        <v>6966</v>
      </c>
      <c r="AJ49" t="s">
        <v>6966</v>
      </c>
      <c r="AK49" t="s">
        <v>6966</v>
      </c>
      <c r="AL49" t="s">
        <v>6966</v>
      </c>
      <c r="AM49" t="s">
        <v>6966</v>
      </c>
      <c r="AN49" t="s">
        <v>6966</v>
      </c>
      <c r="AO49" t="s">
        <v>6966</v>
      </c>
      <c r="AP49" t="s">
        <v>6966</v>
      </c>
      <c r="AQ49" t="s">
        <v>6966</v>
      </c>
      <c r="AR49" t="s">
        <v>6966</v>
      </c>
      <c r="AS49" t="s">
        <v>6966</v>
      </c>
      <c r="AT49" t="s">
        <v>6966</v>
      </c>
      <c r="AU49" t="s">
        <v>6966</v>
      </c>
      <c r="AV49" t="s">
        <v>6966</v>
      </c>
      <c r="AW49" t="s">
        <v>6966</v>
      </c>
      <c r="AX49" t="s">
        <v>6966</v>
      </c>
      <c r="AY49" t="s">
        <v>6966</v>
      </c>
      <c r="AZ49">
        <v>0.13501199999999999</v>
      </c>
      <c r="BA49">
        <v>7.4399999999999998E-4</v>
      </c>
    </row>
    <row r="50" spans="1:53" x14ac:dyDescent="0.25">
      <c r="A50">
        <v>48</v>
      </c>
      <c r="B50" t="s">
        <v>7625</v>
      </c>
      <c r="C50">
        <v>101129</v>
      </c>
      <c r="D50" t="s">
        <v>786</v>
      </c>
      <c r="E50" t="s">
        <v>3217</v>
      </c>
      <c r="F50">
        <v>6543504.5</v>
      </c>
      <c r="G50">
        <v>13773.033203000001</v>
      </c>
      <c r="H50">
        <v>50</v>
      </c>
      <c r="I50">
        <v>160</v>
      </c>
      <c r="J50">
        <v>35243</v>
      </c>
      <c r="K50" t="s">
        <v>2187</v>
      </c>
      <c r="L50">
        <v>12</v>
      </c>
      <c r="M50">
        <v>12</v>
      </c>
      <c r="N50">
        <v>35243</v>
      </c>
      <c r="O50">
        <v>50</v>
      </c>
      <c r="P50" t="s">
        <v>3215</v>
      </c>
      <c r="Q50">
        <v>2.6</v>
      </c>
      <c r="R50">
        <v>54.26</v>
      </c>
      <c r="S50">
        <v>0.47</v>
      </c>
      <c r="T50">
        <v>10</v>
      </c>
      <c r="U50">
        <v>6543504.4304099996</v>
      </c>
      <c r="V50">
        <v>13773.031677999999</v>
      </c>
      <c r="W50">
        <v>49</v>
      </c>
      <c r="X50">
        <v>0</v>
      </c>
      <c r="Y50">
        <v>48</v>
      </c>
      <c r="Z50" t="s">
        <v>6966</v>
      </c>
      <c r="AA50" t="s">
        <v>6966</v>
      </c>
      <c r="AB50" t="s">
        <v>6966</v>
      </c>
      <c r="AC50" t="s">
        <v>6966</v>
      </c>
      <c r="AD50" t="s">
        <v>6966</v>
      </c>
      <c r="AE50" t="s">
        <v>6966</v>
      </c>
      <c r="AF50" t="s">
        <v>6966</v>
      </c>
      <c r="AG50" t="s">
        <v>6966</v>
      </c>
      <c r="AH50" t="s">
        <v>6966</v>
      </c>
      <c r="AI50" t="s">
        <v>6966</v>
      </c>
      <c r="AJ50" t="s">
        <v>6966</v>
      </c>
      <c r="AK50" t="s">
        <v>6966</v>
      </c>
      <c r="AL50" t="s">
        <v>6966</v>
      </c>
      <c r="AM50" t="s">
        <v>6966</v>
      </c>
      <c r="AN50" t="s">
        <v>6966</v>
      </c>
      <c r="AO50" t="s">
        <v>6966</v>
      </c>
      <c r="AP50" t="s">
        <v>6966</v>
      </c>
      <c r="AQ50" t="s">
        <v>6966</v>
      </c>
      <c r="AR50" t="s">
        <v>6966</v>
      </c>
      <c r="AS50" t="s">
        <v>6966</v>
      </c>
      <c r="AT50" t="s">
        <v>6966</v>
      </c>
      <c r="AU50" t="s">
        <v>6966</v>
      </c>
      <c r="AV50" t="s">
        <v>6966</v>
      </c>
      <c r="AW50" t="s">
        <v>6966</v>
      </c>
      <c r="AX50" t="s">
        <v>6966</v>
      </c>
      <c r="AY50" t="s">
        <v>6966</v>
      </c>
      <c r="AZ50">
        <v>0.13713800000000001</v>
      </c>
      <c r="BA50">
        <v>6.4300000000000002E-4</v>
      </c>
    </row>
    <row r="51" spans="1:53" x14ac:dyDescent="0.25">
      <c r="A51">
        <v>49</v>
      </c>
      <c r="B51" t="s">
        <v>7625</v>
      </c>
      <c r="C51">
        <v>101011</v>
      </c>
      <c r="D51" t="s">
        <v>847</v>
      </c>
      <c r="E51" t="s">
        <v>3217</v>
      </c>
      <c r="F51">
        <v>3153055.25</v>
      </c>
      <c r="G51">
        <v>10822.493164</v>
      </c>
      <c r="H51">
        <v>51</v>
      </c>
      <c r="I51">
        <v>164</v>
      </c>
      <c r="J51">
        <v>35421</v>
      </c>
      <c r="K51" t="s">
        <v>7647</v>
      </c>
      <c r="L51">
        <v>12</v>
      </c>
      <c r="M51">
        <v>12</v>
      </c>
      <c r="N51">
        <v>35421</v>
      </c>
      <c r="O51">
        <v>51</v>
      </c>
      <c r="P51" t="s">
        <v>3215</v>
      </c>
      <c r="Q51">
        <v>0.6</v>
      </c>
      <c r="R51">
        <v>39.06</v>
      </c>
      <c r="S51">
        <v>0.19</v>
      </c>
      <c r="T51">
        <v>13</v>
      </c>
      <c r="U51">
        <v>3153055.2906800001</v>
      </c>
      <c r="V51">
        <v>10822.493372000001</v>
      </c>
      <c r="W51">
        <v>50</v>
      </c>
      <c r="X51">
        <v>0</v>
      </c>
      <c r="Y51">
        <v>49</v>
      </c>
      <c r="Z51" t="s">
        <v>6966</v>
      </c>
      <c r="AA51" t="s">
        <v>6966</v>
      </c>
      <c r="AB51" t="s">
        <v>6966</v>
      </c>
      <c r="AC51" t="s">
        <v>6966</v>
      </c>
      <c r="AD51" t="s">
        <v>6966</v>
      </c>
      <c r="AE51" t="s">
        <v>6966</v>
      </c>
      <c r="AF51" t="s">
        <v>6966</v>
      </c>
      <c r="AG51" t="s">
        <v>6966</v>
      </c>
      <c r="AH51" t="s">
        <v>6966</v>
      </c>
      <c r="AI51" t="s">
        <v>6966</v>
      </c>
      <c r="AJ51" t="s">
        <v>6966</v>
      </c>
      <c r="AK51" t="s">
        <v>6966</v>
      </c>
      <c r="AL51" t="s">
        <v>6966</v>
      </c>
      <c r="AM51" t="s">
        <v>6966</v>
      </c>
      <c r="AN51" t="s">
        <v>6966</v>
      </c>
      <c r="AO51" t="s">
        <v>6966</v>
      </c>
      <c r="AP51" t="s">
        <v>6966</v>
      </c>
      <c r="AQ51" t="s">
        <v>6966</v>
      </c>
      <c r="AR51" t="s">
        <v>6966</v>
      </c>
      <c r="AS51" t="s">
        <v>6966</v>
      </c>
      <c r="AT51" t="s">
        <v>6966</v>
      </c>
      <c r="AU51" t="s">
        <v>6966</v>
      </c>
      <c r="AV51" t="s">
        <v>6966</v>
      </c>
      <c r="AW51" t="s">
        <v>6966</v>
      </c>
      <c r="AX51" t="s">
        <v>6966</v>
      </c>
      <c r="AY51" t="s">
        <v>6966</v>
      </c>
      <c r="AZ51">
        <v>0.110445</v>
      </c>
      <c r="BA51">
        <v>3.1E-4</v>
      </c>
    </row>
    <row r="52" spans="1:53" x14ac:dyDescent="0.25">
      <c r="A52">
        <v>50</v>
      </c>
      <c r="B52" t="s">
        <v>7625</v>
      </c>
      <c r="C52">
        <v>101057</v>
      </c>
      <c r="D52" t="s">
        <v>7648</v>
      </c>
      <c r="E52" t="s">
        <v>3217</v>
      </c>
      <c r="F52">
        <v>2915837</v>
      </c>
      <c r="G52">
        <v>8675.7265630000002</v>
      </c>
      <c r="H52">
        <v>52</v>
      </c>
      <c r="I52">
        <v>168</v>
      </c>
      <c r="J52">
        <v>35475</v>
      </c>
      <c r="K52" t="s">
        <v>2258</v>
      </c>
      <c r="L52">
        <v>12</v>
      </c>
      <c r="M52">
        <v>12</v>
      </c>
      <c r="N52">
        <v>35475</v>
      </c>
      <c r="O52">
        <v>52</v>
      </c>
      <c r="P52" t="s">
        <v>3215</v>
      </c>
      <c r="Q52">
        <v>0.9</v>
      </c>
      <c r="R52">
        <v>48.69</v>
      </c>
      <c r="S52">
        <v>0.16</v>
      </c>
      <c r="T52">
        <v>9</v>
      </c>
      <c r="U52">
        <v>2915836.92894</v>
      </c>
      <c r="V52">
        <v>8675.7270239999998</v>
      </c>
      <c r="W52">
        <v>51</v>
      </c>
      <c r="X52">
        <v>0</v>
      </c>
      <c r="Y52">
        <v>50</v>
      </c>
      <c r="Z52" t="s">
        <v>6966</v>
      </c>
      <c r="AA52" t="s">
        <v>6966</v>
      </c>
      <c r="AB52" t="s">
        <v>6966</v>
      </c>
      <c r="AC52" t="s">
        <v>6966</v>
      </c>
      <c r="AD52" t="s">
        <v>6966</v>
      </c>
      <c r="AE52" t="s">
        <v>6966</v>
      </c>
      <c r="AF52" t="s">
        <v>6966</v>
      </c>
      <c r="AG52" t="s">
        <v>6966</v>
      </c>
      <c r="AH52" t="s">
        <v>6966</v>
      </c>
      <c r="AI52" t="s">
        <v>6966</v>
      </c>
      <c r="AJ52" t="s">
        <v>6966</v>
      </c>
      <c r="AK52" t="s">
        <v>6966</v>
      </c>
      <c r="AL52" t="s">
        <v>6966</v>
      </c>
      <c r="AM52" t="s">
        <v>6966</v>
      </c>
      <c r="AN52" t="s">
        <v>6966</v>
      </c>
      <c r="AO52" t="s">
        <v>6966</v>
      </c>
      <c r="AP52" t="s">
        <v>6966</v>
      </c>
      <c r="AQ52" t="s">
        <v>6966</v>
      </c>
      <c r="AR52" t="s">
        <v>6966</v>
      </c>
      <c r="AS52" t="s">
        <v>6966</v>
      </c>
      <c r="AT52" t="s">
        <v>6966</v>
      </c>
      <c r="AU52" t="s">
        <v>6966</v>
      </c>
      <c r="AV52" t="s">
        <v>6966</v>
      </c>
      <c r="AW52" t="s">
        <v>6966</v>
      </c>
      <c r="AX52" t="s">
        <v>6966</v>
      </c>
      <c r="AY52" t="s">
        <v>6966</v>
      </c>
      <c r="AZ52">
        <v>8.7542999999999996E-2</v>
      </c>
      <c r="BA52">
        <v>2.8699999999999998E-4</v>
      </c>
    </row>
    <row r="53" spans="1:53" x14ac:dyDescent="0.25">
      <c r="A53">
        <v>51</v>
      </c>
      <c r="B53" t="s">
        <v>7625</v>
      </c>
      <c r="C53">
        <v>101159</v>
      </c>
      <c r="D53" t="s">
        <v>868</v>
      </c>
      <c r="E53" t="s">
        <v>3217</v>
      </c>
      <c r="F53">
        <v>3072718.5</v>
      </c>
      <c r="G53">
        <v>10001.817383</v>
      </c>
      <c r="H53">
        <v>53</v>
      </c>
      <c r="I53">
        <v>172</v>
      </c>
      <c r="J53">
        <v>35459</v>
      </c>
      <c r="K53" t="s">
        <v>2252</v>
      </c>
      <c r="L53">
        <v>12</v>
      </c>
      <c r="M53">
        <v>12</v>
      </c>
      <c r="N53">
        <v>35459</v>
      </c>
      <c r="O53">
        <v>53</v>
      </c>
      <c r="P53" t="s">
        <v>3215</v>
      </c>
      <c r="Q53">
        <v>4.7</v>
      </c>
      <c r="R53">
        <v>50.34</v>
      </c>
      <c r="S53">
        <v>0.81</v>
      </c>
      <c r="T53">
        <v>9</v>
      </c>
      <c r="U53">
        <v>3072718.66671</v>
      </c>
      <c r="V53">
        <v>10001.81806</v>
      </c>
      <c r="W53">
        <v>52</v>
      </c>
      <c r="X53">
        <v>0</v>
      </c>
      <c r="Y53">
        <v>51</v>
      </c>
      <c r="Z53" t="s">
        <v>6966</v>
      </c>
      <c r="AA53" t="s">
        <v>6966</v>
      </c>
      <c r="AB53" t="s">
        <v>6966</v>
      </c>
      <c r="AC53" t="s">
        <v>6966</v>
      </c>
      <c r="AD53" t="s">
        <v>6966</v>
      </c>
      <c r="AE53" t="s">
        <v>6966</v>
      </c>
      <c r="AF53" t="s">
        <v>6966</v>
      </c>
      <c r="AG53" t="s">
        <v>6966</v>
      </c>
      <c r="AH53" t="s">
        <v>6966</v>
      </c>
      <c r="AI53" t="s">
        <v>6966</v>
      </c>
      <c r="AJ53" t="s">
        <v>6966</v>
      </c>
      <c r="AK53" t="s">
        <v>6966</v>
      </c>
      <c r="AL53" t="s">
        <v>6966</v>
      </c>
      <c r="AM53" t="s">
        <v>6966</v>
      </c>
      <c r="AN53" t="s">
        <v>6966</v>
      </c>
      <c r="AO53" t="s">
        <v>6966</v>
      </c>
      <c r="AP53" t="s">
        <v>6966</v>
      </c>
      <c r="AQ53" t="s">
        <v>6966</v>
      </c>
      <c r="AR53" t="s">
        <v>6966</v>
      </c>
      <c r="AS53" t="s">
        <v>6966</v>
      </c>
      <c r="AT53" t="s">
        <v>6966</v>
      </c>
      <c r="AU53" t="s">
        <v>6966</v>
      </c>
      <c r="AV53" t="s">
        <v>6966</v>
      </c>
      <c r="AW53" t="s">
        <v>6966</v>
      </c>
      <c r="AX53" t="s">
        <v>6966</v>
      </c>
      <c r="AY53" t="s">
        <v>6966</v>
      </c>
      <c r="AZ53">
        <v>0.101502</v>
      </c>
      <c r="BA53">
        <v>3.0200000000000002E-4</v>
      </c>
    </row>
    <row r="54" spans="1:53" x14ac:dyDescent="0.25">
      <c r="A54">
        <v>52</v>
      </c>
      <c r="B54" t="s">
        <v>7625</v>
      </c>
      <c r="C54">
        <v>101093</v>
      </c>
      <c r="D54" t="s">
        <v>884</v>
      </c>
      <c r="E54" t="s">
        <v>3217</v>
      </c>
      <c r="F54">
        <v>2846530.25</v>
      </c>
      <c r="G54">
        <v>8104.1264650000003</v>
      </c>
      <c r="H54">
        <v>54</v>
      </c>
      <c r="I54">
        <v>173</v>
      </c>
      <c r="J54">
        <v>35515</v>
      </c>
      <c r="K54" t="s">
        <v>7649</v>
      </c>
      <c r="L54">
        <v>12</v>
      </c>
      <c r="M54">
        <v>12</v>
      </c>
      <c r="N54">
        <v>35515</v>
      </c>
      <c r="O54">
        <v>54</v>
      </c>
      <c r="P54" t="s">
        <v>3215</v>
      </c>
      <c r="Q54">
        <v>1.5</v>
      </c>
      <c r="R54">
        <v>25.34</v>
      </c>
      <c r="S54">
        <v>0.28000000000000003</v>
      </c>
      <c r="T54">
        <v>5</v>
      </c>
      <c r="U54">
        <v>2846530.1730599999</v>
      </c>
      <c r="V54">
        <v>8104.1267470000003</v>
      </c>
      <c r="W54">
        <v>53</v>
      </c>
      <c r="X54">
        <v>0</v>
      </c>
      <c r="Y54">
        <v>52</v>
      </c>
      <c r="Z54" t="s">
        <v>6966</v>
      </c>
      <c r="AA54" t="s">
        <v>6966</v>
      </c>
      <c r="AB54" t="s">
        <v>6966</v>
      </c>
      <c r="AC54" t="s">
        <v>6966</v>
      </c>
      <c r="AD54" t="s">
        <v>6966</v>
      </c>
      <c r="AE54" t="s">
        <v>6966</v>
      </c>
      <c r="AF54" t="s">
        <v>6966</v>
      </c>
      <c r="AG54" t="s">
        <v>6966</v>
      </c>
      <c r="AH54" t="s">
        <v>6966</v>
      </c>
      <c r="AI54" t="s">
        <v>6966</v>
      </c>
      <c r="AJ54" t="s">
        <v>6966</v>
      </c>
      <c r="AK54" t="s">
        <v>6966</v>
      </c>
      <c r="AL54" t="s">
        <v>6966</v>
      </c>
      <c r="AM54" t="s">
        <v>6966</v>
      </c>
      <c r="AN54" t="s">
        <v>6966</v>
      </c>
      <c r="AO54" t="s">
        <v>6966</v>
      </c>
      <c r="AP54" t="s">
        <v>6966</v>
      </c>
      <c r="AQ54" t="s">
        <v>6966</v>
      </c>
      <c r="AR54" t="s">
        <v>6966</v>
      </c>
      <c r="AS54" t="s">
        <v>6966</v>
      </c>
      <c r="AT54" t="s">
        <v>6966</v>
      </c>
      <c r="AU54" t="s">
        <v>6966</v>
      </c>
      <c r="AV54" t="s">
        <v>6966</v>
      </c>
      <c r="AW54" t="s">
        <v>6966</v>
      </c>
      <c r="AX54" t="s">
        <v>6966</v>
      </c>
      <c r="AY54" t="s">
        <v>6966</v>
      </c>
      <c r="AZ54">
        <v>8.2956000000000002E-2</v>
      </c>
      <c r="BA54">
        <v>2.7999999999999998E-4</v>
      </c>
    </row>
    <row r="55" spans="1:53" x14ac:dyDescent="0.25">
      <c r="A55">
        <v>53</v>
      </c>
      <c r="B55" t="s">
        <v>7625</v>
      </c>
      <c r="C55">
        <v>101021</v>
      </c>
      <c r="D55" t="s">
        <v>7650</v>
      </c>
      <c r="E55" t="s">
        <v>3217</v>
      </c>
      <c r="F55">
        <v>1814242.5</v>
      </c>
      <c r="G55">
        <v>7402.126953</v>
      </c>
      <c r="H55">
        <v>55</v>
      </c>
      <c r="I55">
        <v>177</v>
      </c>
      <c r="J55">
        <v>35408</v>
      </c>
      <c r="K55" t="s">
        <v>7651</v>
      </c>
      <c r="L55">
        <v>12</v>
      </c>
      <c r="M55">
        <v>12</v>
      </c>
      <c r="N55">
        <v>35408</v>
      </c>
      <c r="O55">
        <v>55</v>
      </c>
      <c r="P55" t="s">
        <v>3215</v>
      </c>
      <c r="Q55">
        <v>0.6</v>
      </c>
      <c r="R55">
        <v>0</v>
      </c>
      <c r="S55">
        <v>0.13</v>
      </c>
      <c r="T55">
        <v>0</v>
      </c>
      <c r="U55">
        <v>1814242.46236</v>
      </c>
      <c r="V55">
        <v>7402.1263529999997</v>
      </c>
      <c r="W55">
        <v>54</v>
      </c>
      <c r="X55">
        <v>0</v>
      </c>
      <c r="Y55">
        <v>53</v>
      </c>
      <c r="Z55" t="s">
        <v>6966</v>
      </c>
      <c r="AA55" t="s">
        <v>6966</v>
      </c>
      <c r="AB55" t="s">
        <v>6966</v>
      </c>
      <c r="AC55" t="s">
        <v>6966</v>
      </c>
      <c r="AD55" t="s">
        <v>6966</v>
      </c>
      <c r="AE55" t="s">
        <v>6966</v>
      </c>
      <c r="AF55" t="s">
        <v>6966</v>
      </c>
      <c r="AG55" t="s">
        <v>6966</v>
      </c>
      <c r="AH55" t="s">
        <v>6966</v>
      </c>
      <c r="AI55" t="s">
        <v>6966</v>
      </c>
      <c r="AJ55" t="s">
        <v>6966</v>
      </c>
      <c r="AK55" t="s">
        <v>6966</v>
      </c>
      <c r="AL55" t="s">
        <v>6966</v>
      </c>
      <c r="AM55" t="s">
        <v>6966</v>
      </c>
      <c r="AN55" t="s">
        <v>6966</v>
      </c>
      <c r="AO55" t="s">
        <v>6966</v>
      </c>
      <c r="AP55" t="s">
        <v>6966</v>
      </c>
      <c r="AQ55" t="s">
        <v>6966</v>
      </c>
      <c r="AR55" t="s">
        <v>6966</v>
      </c>
      <c r="AS55" t="s">
        <v>6966</v>
      </c>
      <c r="AT55" t="s">
        <v>6966</v>
      </c>
      <c r="AU55" t="s">
        <v>6966</v>
      </c>
      <c r="AV55" t="s">
        <v>6966</v>
      </c>
      <c r="AW55" t="s">
        <v>6966</v>
      </c>
      <c r="AX55" t="s">
        <v>6966</v>
      </c>
      <c r="AY55" t="s">
        <v>6966</v>
      </c>
      <c r="AZ55">
        <v>7.4955999999999995E-2</v>
      </c>
      <c r="BA55">
        <v>1.7799999999999999E-4</v>
      </c>
    </row>
    <row r="56" spans="1:53" x14ac:dyDescent="0.25">
      <c r="A56">
        <v>54</v>
      </c>
      <c r="B56" t="s">
        <v>7625</v>
      </c>
      <c r="C56">
        <v>101031</v>
      </c>
      <c r="D56" t="s">
        <v>843</v>
      </c>
      <c r="E56" t="s">
        <v>3217</v>
      </c>
      <c r="F56">
        <v>3644183.5</v>
      </c>
      <c r="G56">
        <v>10811.261719</v>
      </c>
      <c r="H56">
        <v>56</v>
      </c>
      <c r="I56">
        <v>178</v>
      </c>
      <c r="J56">
        <v>35416</v>
      </c>
      <c r="K56" t="s">
        <v>7652</v>
      </c>
      <c r="L56">
        <v>12</v>
      </c>
      <c r="M56">
        <v>12</v>
      </c>
      <c r="N56">
        <v>35416</v>
      </c>
      <c r="O56">
        <v>56</v>
      </c>
      <c r="P56" t="s">
        <v>3215</v>
      </c>
      <c r="Q56">
        <v>4.4000000000000004</v>
      </c>
      <c r="R56">
        <v>50.29</v>
      </c>
      <c r="S56">
        <v>0.94</v>
      </c>
      <c r="T56">
        <v>11</v>
      </c>
      <c r="U56">
        <v>3644183.5520700002</v>
      </c>
      <c r="V56">
        <v>10811.261522999999</v>
      </c>
      <c r="W56">
        <v>55</v>
      </c>
      <c r="X56">
        <v>0</v>
      </c>
      <c r="Y56">
        <v>54</v>
      </c>
      <c r="Z56" t="s">
        <v>6966</v>
      </c>
      <c r="AA56" t="s">
        <v>6966</v>
      </c>
      <c r="AB56" t="s">
        <v>6966</v>
      </c>
      <c r="AC56" t="s">
        <v>6966</v>
      </c>
      <c r="AD56" t="s">
        <v>6966</v>
      </c>
      <c r="AE56" t="s">
        <v>6966</v>
      </c>
      <c r="AF56" t="s">
        <v>6966</v>
      </c>
      <c r="AG56" t="s">
        <v>6966</v>
      </c>
      <c r="AH56" t="s">
        <v>6966</v>
      </c>
      <c r="AI56" t="s">
        <v>6966</v>
      </c>
      <c r="AJ56" t="s">
        <v>6966</v>
      </c>
      <c r="AK56" t="s">
        <v>6966</v>
      </c>
      <c r="AL56" t="s">
        <v>6966</v>
      </c>
      <c r="AM56" t="s">
        <v>6966</v>
      </c>
      <c r="AN56" t="s">
        <v>6966</v>
      </c>
      <c r="AO56" t="s">
        <v>6966</v>
      </c>
      <c r="AP56" t="s">
        <v>6966</v>
      </c>
      <c r="AQ56" t="s">
        <v>6966</v>
      </c>
      <c r="AR56" t="s">
        <v>6966</v>
      </c>
      <c r="AS56" t="s">
        <v>6966</v>
      </c>
      <c r="AT56" t="s">
        <v>6966</v>
      </c>
      <c r="AU56" t="s">
        <v>6966</v>
      </c>
      <c r="AV56" t="s">
        <v>6966</v>
      </c>
      <c r="AW56" t="s">
        <v>6966</v>
      </c>
      <c r="AX56" t="s">
        <v>6966</v>
      </c>
      <c r="AY56" t="s">
        <v>6966</v>
      </c>
      <c r="AZ56">
        <v>0.109003</v>
      </c>
      <c r="BA56">
        <v>3.5799999999999997E-4</v>
      </c>
    </row>
    <row r="57" spans="1:53" x14ac:dyDescent="0.25">
      <c r="A57">
        <v>55</v>
      </c>
      <c r="B57" t="s">
        <v>7625</v>
      </c>
      <c r="C57">
        <v>101115</v>
      </c>
      <c r="D57" t="s">
        <v>864</v>
      </c>
      <c r="E57" t="s">
        <v>3217</v>
      </c>
      <c r="F57">
        <v>3276156</v>
      </c>
      <c r="G57">
        <v>9321.9257809999999</v>
      </c>
      <c r="H57">
        <v>57</v>
      </c>
      <c r="I57">
        <v>181</v>
      </c>
      <c r="J57">
        <v>35451</v>
      </c>
      <c r="K57" t="s">
        <v>7653</v>
      </c>
      <c r="L57">
        <v>12</v>
      </c>
      <c r="M57">
        <v>12</v>
      </c>
      <c r="N57">
        <v>35451</v>
      </c>
      <c r="O57">
        <v>57</v>
      </c>
      <c r="P57" t="s">
        <v>3215</v>
      </c>
      <c r="Q57">
        <v>0.2</v>
      </c>
      <c r="R57">
        <v>101.55</v>
      </c>
      <c r="S57">
        <v>0.04</v>
      </c>
      <c r="T57">
        <v>24</v>
      </c>
      <c r="U57">
        <v>3276155.9861400002</v>
      </c>
      <c r="V57">
        <v>9321.9253659999995</v>
      </c>
      <c r="W57">
        <v>56</v>
      </c>
      <c r="X57">
        <v>0</v>
      </c>
      <c r="Y57">
        <v>55</v>
      </c>
      <c r="Z57" t="s">
        <v>6966</v>
      </c>
      <c r="AA57" t="s">
        <v>6966</v>
      </c>
      <c r="AB57" t="s">
        <v>6966</v>
      </c>
      <c r="AC57" t="s">
        <v>6966</v>
      </c>
      <c r="AD57" t="s">
        <v>6966</v>
      </c>
      <c r="AE57" t="s">
        <v>6966</v>
      </c>
      <c r="AF57" t="s">
        <v>6966</v>
      </c>
      <c r="AG57" t="s">
        <v>6966</v>
      </c>
      <c r="AH57" t="s">
        <v>6966</v>
      </c>
      <c r="AI57" t="s">
        <v>6966</v>
      </c>
      <c r="AJ57" t="s">
        <v>6966</v>
      </c>
      <c r="AK57" t="s">
        <v>6966</v>
      </c>
      <c r="AL57" t="s">
        <v>6966</v>
      </c>
      <c r="AM57" t="s">
        <v>6966</v>
      </c>
      <c r="AN57" t="s">
        <v>6966</v>
      </c>
      <c r="AO57" t="s">
        <v>6966</v>
      </c>
      <c r="AP57" t="s">
        <v>6966</v>
      </c>
      <c r="AQ57" t="s">
        <v>6966</v>
      </c>
      <c r="AR57" t="s">
        <v>6966</v>
      </c>
      <c r="AS57" t="s">
        <v>6966</v>
      </c>
      <c r="AT57" t="s">
        <v>6966</v>
      </c>
      <c r="AU57" t="s">
        <v>6966</v>
      </c>
      <c r="AV57" t="s">
        <v>6966</v>
      </c>
      <c r="AW57" t="s">
        <v>6966</v>
      </c>
      <c r="AX57" t="s">
        <v>6966</v>
      </c>
      <c r="AY57" t="s">
        <v>6966</v>
      </c>
      <c r="AZ57">
        <v>9.5287999999999998E-2</v>
      </c>
      <c r="BA57">
        <v>3.2200000000000002E-4</v>
      </c>
    </row>
    <row r="58" spans="1:53" x14ac:dyDescent="0.25">
      <c r="A58">
        <v>56</v>
      </c>
      <c r="B58" t="s">
        <v>7625</v>
      </c>
      <c r="C58">
        <v>101062</v>
      </c>
      <c r="D58" t="s">
        <v>773</v>
      </c>
      <c r="E58" t="s">
        <v>3217</v>
      </c>
      <c r="F58">
        <v>2096252.5</v>
      </c>
      <c r="G58">
        <v>6523.2026370000003</v>
      </c>
      <c r="H58">
        <v>58</v>
      </c>
      <c r="I58">
        <v>183</v>
      </c>
      <c r="J58">
        <v>35221</v>
      </c>
      <c r="K58" t="s">
        <v>2175</v>
      </c>
      <c r="L58">
        <v>12</v>
      </c>
      <c r="M58">
        <v>12</v>
      </c>
      <c r="N58">
        <v>35221</v>
      </c>
      <c r="O58">
        <v>58</v>
      </c>
      <c r="P58" t="s">
        <v>3215</v>
      </c>
      <c r="Q58">
        <v>2.8</v>
      </c>
      <c r="R58">
        <v>0</v>
      </c>
      <c r="S58">
        <v>0.46</v>
      </c>
      <c r="T58">
        <v>0</v>
      </c>
      <c r="U58">
        <v>2096252.4380900001</v>
      </c>
      <c r="V58">
        <v>6523.2024250000004</v>
      </c>
      <c r="W58">
        <v>57</v>
      </c>
      <c r="X58">
        <v>0</v>
      </c>
      <c r="Y58">
        <v>56</v>
      </c>
      <c r="Z58" t="s">
        <v>6966</v>
      </c>
      <c r="AA58" t="s">
        <v>6966</v>
      </c>
      <c r="AB58" t="s">
        <v>6966</v>
      </c>
      <c r="AC58" t="s">
        <v>6966</v>
      </c>
      <c r="AD58" t="s">
        <v>6966</v>
      </c>
      <c r="AE58" t="s">
        <v>6966</v>
      </c>
      <c r="AF58" t="s">
        <v>6966</v>
      </c>
      <c r="AG58" t="s">
        <v>6966</v>
      </c>
      <c r="AH58" t="s">
        <v>6966</v>
      </c>
      <c r="AI58" t="s">
        <v>6966</v>
      </c>
      <c r="AJ58" t="s">
        <v>6966</v>
      </c>
      <c r="AK58" t="s">
        <v>6966</v>
      </c>
      <c r="AL58" t="s">
        <v>6966</v>
      </c>
      <c r="AM58" t="s">
        <v>6966</v>
      </c>
      <c r="AN58" t="s">
        <v>6966</v>
      </c>
      <c r="AO58" t="s">
        <v>6966</v>
      </c>
      <c r="AP58" t="s">
        <v>6966</v>
      </c>
      <c r="AQ58" t="s">
        <v>6966</v>
      </c>
      <c r="AR58" t="s">
        <v>6966</v>
      </c>
      <c r="AS58" t="s">
        <v>6966</v>
      </c>
      <c r="AT58" t="s">
        <v>6966</v>
      </c>
      <c r="AU58" t="s">
        <v>6966</v>
      </c>
      <c r="AV58" t="s">
        <v>6966</v>
      </c>
      <c r="AW58" t="s">
        <v>6966</v>
      </c>
      <c r="AX58" t="s">
        <v>6966</v>
      </c>
      <c r="AY58" t="s">
        <v>6966</v>
      </c>
      <c r="AZ58">
        <v>6.6061999999999996E-2</v>
      </c>
      <c r="BA58">
        <v>2.0599999999999999E-4</v>
      </c>
    </row>
    <row r="59" spans="1:53" x14ac:dyDescent="0.25">
      <c r="A59">
        <v>57</v>
      </c>
      <c r="B59" t="s">
        <v>7625</v>
      </c>
      <c r="C59">
        <v>101152</v>
      </c>
      <c r="D59" t="s">
        <v>767</v>
      </c>
      <c r="E59" t="s">
        <v>3217</v>
      </c>
      <c r="F59">
        <v>5063417.5</v>
      </c>
      <c r="G59">
        <v>9938.453125</v>
      </c>
      <c r="H59">
        <v>59</v>
      </c>
      <c r="I59">
        <v>184</v>
      </c>
      <c r="J59">
        <v>35211</v>
      </c>
      <c r="K59" t="s">
        <v>7654</v>
      </c>
      <c r="L59">
        <v>12</v>
      </c>
      <c r="M59">
        <v>12</v>
      </c>
      <c r="N59">
        <v>35211</v>
      </c>
      <c r="O59">
        <v>59</v>
      </c>
      <c r="P59" t="s">
        <v>3215</v>
      </c>
      <c r="Q59">
        <v>3.8</v>
      </c>
      <c r="R59">
        <v>96.17</v>
      </c>
      <c r="S59">
        <v>0.73</v>
      </c>
      <c r="T59">
        <v>19</v>
      </c>
      <c r="U59">
        <v>5063417.4270000001</v>
      </c>
      <c r="V59">
        <v>9938.4538730000004</v>
      </c>
      <c r="W59">
        <v>58</v>
      </c>
      <c r="X59">
        <v>0</v>
      </c>
      <c r="Y59">
        <v>57</v>
      </c>
      <c r="Z59" t="s">
        <v>6966</v>
      </c>
      <c r="AA59" t="s">
        <v>6966</v>
      </c>
      <c r="AB59" t="s">
        <v>6966</v>
      </c>
      <c r="AC59" t="s">
        <v>6966</v>
      </c>
      <c r="AD59" t="s">
        <v>6966</v>
      </c>
      <c r="AE59" t="s">
        <v>6966</v>
      </c>
      <c r="AF59" t="s">
        <v>6966</v>
      </c>
      <c r="AG59" t="s">
        <v>6966</v>
      </c>
      <c r="AH59" t="s">
        <v>6966</v>
      </c>
      <c r="AI59" t="s">
        <v>6966</v>
      </c>
      <c r="AJ59" t="s">
        <v>6966</v>
      </c>
      <c r="AK59" t="s">
        <v>6966</v>
      </c>
      <c r="AL59" t="s">
        <v>6966</v>
      </c>
      <c r="AM59" t="s">
        <v>6966</v>
      </c>
      <c r="AN59" t="s">
        <v>6966</v>
      </c>
      <c r="AO59" t="s">
        <v>6966</v>
      </c>
      <c r="AP59" t="s">
        <v>6966</v>
      </c>
      <c r="AQ59" t="s">
        <v>6966</v>
      </c>
      <c r="AR59" t="s">
        <v>6966</v>
      </c>
      <c r="AS59" t="s">
        <v>6966</v>
      </c>
      <c r="AT59" t="s">
        <v>6966</v>
      </c>
      <c r="AU59" t="s">
        <v>6966</v>
      </c>
      <c r="AV59" t="s">
        <v>6966</v>
      </c>
      <c r="AW59" t="s">
        <v>6966</v>
      </c>
      <c r="AX59" t="s">
        <v>6966</v>
      </c>
      <c r="AY59" t="s">
        <v>6966</v>
      </c>
      <c r="AZ59">
        <v>0.100679</v>
      </c>
      <c r="BA59">
        <v>4.9700000000000005E-4</v>
      </c>
    </row>
    <row r="60" spans="1:53" x14ac:dyDescent="0.25">
      <c r="A60">
        <v>58</v>
      </c>
      <c r="B60" t="s">
        <v>7625</v>
      </c>
      <c r="C60">
        <v>101003</v>
      </c>
      <c r="D60" t="s">
        <v>850</v>
      </c>
      <c r="E60" t="s">
        <v>3217</v>
      </c>
      <c r="F60">
        <v>1605918</v>
      </c>
      <c r="G60">
        <v>7054.5263670000004</v>
      </c>
      <c r="H60">
        <v>60</v>
      </c>
      <c r="I60">
        <v>185</v>
      </c>
      <c r="J60">
        <v>35427</v>
      </c>
      <c r="K60" t="s">
        <v>7655</v>
      </c>
      <c r="L60">
        <v>12</v>
      </c>
      <c r="M60">
        <v>12</v>
      </c>
      <c r="N60">
        <v>35427</v>
      </c>
      <c r="O60">
        <v>60</v>
      </c>
      <c r="P60" t="s">
        <v>3215</v>
      </c>
      <c r="Q60">
        <v>7.1</v>
      </c>
      <c r="R60">
        <v>109.75</v>
      </c>
      <c r="S60">
        <v>1.1200000000000001</v>
      </c>
      <c r="T60">
        <v>17</v>
      </c>
      <c r="U60">
        <v>1605917.9053799999</v>
      </c>
      <c r="V60">
        <v>7054.5268660000002</v>
      </c>
      <c r="W60">
        <v>59</v>
      </c>
      <c r="X60">
        <v>0</v>
      </c>
      <c r="Y60">
        <v>58</v>
      </c>
      <c r="Z60" t="s">
        <v>6966</v>
      </c>
      <c r="AA60" t="s">
        <v>6966</v>
      </c>
      <c r="AB60" t="s">
        <v>6966</v>
      </c>
      <c r="AC60" t="s">
        <v>6966</v>
      </c>
      <c r="AD60" t="s">
        <v>6966</v>
      </c>
      <c r="AE60" t="s">
        <v>6966</v>
      </c>
      <c r="AF60" t="s">
        <v>6966</v>
      </c>
      <c r="AG60" t="s">
        <v>6966</v>
      </c>
      <c r="AH60" t="s">
        <v>6966</v>
      </c>
      <c r="AI60" t="s">
        <v>6966</v>
      </c>
      <c r="AJ60" t="s">
        <v>6966</v>
      </c>
      <c r="AK60" t="s">
        <v>6966</v>
      </c>
      <c r="AL60" t="s">
        <v>6966</v>
      </c>
      <c r="AM60" t="s">
        <v>6966</v>
      </c>
      <c r="AN60" t="s">
        <v>6966</v>
      </c>
      <c r="AO60" t="s">
        <v>6966</v>
      </c>
      <c r="AP60" t="s">
        <v>6966</v>
      </c>
      <c r="AQ60" t="s">
        <v>6966</v>
      </c>
      <c r="AR60" t="s">
        <v>6966</v>
      </c>
      <c r="AS60" t="s">
        <v>6966</v>
      </c>
      <c r="AT60" t="s">
        <v>6966</v>
      </c>
      <c r="AU60" t="s">
        <v>6966</v>
      </c>
      <c r="AV60" t="s">
        <v>6966</v>
      </c>
      <c r="AW60" t="s">
        <v>6966</v>
      </c>
      <c r="AX60" t="s">
        <v>6966</v>
      </c>
      <c r="AY60" t="s">
        <v>6966</v>
      </c>
      <c r="AZ60">
        <v>7.0513999999999993E-2</v>
      </c>
      <c r="BA60">
        <v>1.5799999999999999E-4</v>
      </c>
    </row>
    <row r="61" spans="1:53" x14ac:dyDescent="0.25">
      <c r="A61">
        <v>59</v>
      </c>
      <c r="B61" t="s">
        <v>7625</v>
      </c>
      <c r="C61">
        <v>101080</v>
      </c>
      <c r="D61" t="s">
        <v>848</v>
      </c>
      <c r="E61" t="s">
        <v>3217</v>
      </c>
      <c r="F61">
        <v>974446</v>
      </c>
      <c r="G61">
        <v>6941.8120120000003</v>
      </c>
      <c r="H61">
        <v>61</v>
      </c>
      <c r="I61">
        <v>188</v>
      </c>
      <c r="J61">
        <v>35423</v>
      </c>
      <c r="K61" t="s">
        <v>2235</v>
      </c>
      <c r="L61">
        <v>12</v>
      </c>
      <c r="M61">
        <v>12</v>
      </c>
      <c r="N61">
        <v>35423</v>
      </c>
      <c r="O61">
        <v>61</v>
      </c>
      <c r="P61" t="s">
        <v>3215</v>
      </c>
      <c r="Q61">
        <v>0.3</v>
      </c>
      <c r="R61">
        <v>0</v>
      </c>
      <c r="S61">
        <v>0.06</v>
      </c>
      <c r="T61">
        <v>0</v>
      </c>
      <c r="U61">
        <v>974446.08836599998</v>
      </c>
      <c r="V61">
        <v>6941.8116419999997</v>
      </c>
      <c r="W61">
        <v>60</v>
      </c>
      <c r="X61">
        <v>0</v>
      </c>
      <c r="Y61">
        <v>59</v>
      </c>
      <c r="Z61" t="s">
        <v>6966</v>
      </c>
      <c r="AA61" t="s">
        <v>6966</v>
      </c>
      <c r="AB61" t="s">
        <v>6966</v>
      </c>
      <c r="AC61" t="s">
        <v>6966</v>
      </c>
      <c r="AD61" t="s">
        <v>6966</v>
      </c>
      <c r="AE61" t="s">
        <v>6966</v>
      </c>
      <c r="AF61" t="s">
        <v>6966</v>
      </c>
      <c r="AG61" t="s">
        <v>6966</v>
      </c>
      <c r="AH61" t="s">
        <v>6966</v>
      </c>
      <c r="AI61" t="s">
        <v>6966</v>
      </c>
      <c r="AJ61" t="s">
        <v>6966</v>
      </c>
      <c r="AK61" t="s">
        <v>6966</v>
      </c>
      <c r="AL61" t="s">
        <v>6966</v>
      </c>
      <c r="AM61" t="s">
        <v>6966</v>
      </c>
      <c r="AN61" t="s">
        <v>6966</v>
      </c>
      <c r="AO61" t="s">
        <v>6966</v>
      </c>
      <c r="AP61" t="s">
        <v>6966</v>
      </c>
      <c r="AQ61" t="s">
        <v>6966</v>
      </c>
      <c r="AR61" t="s">
        <v>6966</v>
      </c>
      <c r="AS61" t="s">
        <v>6966</v>
      </c>
      <c r="AT61" t="s">
        <v>6966</v>
      </c>
      <c r="AU61" t="s">
        <v>6966</v>
      </c>
      <c r="AV61" t="s">
        <v>6966</v>
      </c>
      <c r="AW61" t="s">
        <v>6966</v>
      </c>
      <c r="AX61" t="s">
        <v>6966</v>
      </c>
      <c r="AY61" t="s">
        <v>6966</v>
      </c>
      <c r="AZ61">
        <v>6.9947999999999996E-2</v>
      </c>
      <c r="BA61">
        <v>9.6000000000000002E-5</v>
      </c>
    </row>
    <row r="62" spans="1:53" x14ac:dyDescent="0.25">
      <c r="A62">
        <v>60</v>
      </c>
      <c r="B62" t="s">
        <v>7625</v>
      </c>
      <c r="C62">
        <v>101038</v>
      </c>
      <c r="D62" t="s">
        <v>867</v>
      </c>
      <c r="E62" t="s">
        <v>3217</v>
      </c>
      <c r="F62">
        <v>5175822.5</v>
      </c>
      <c r="G62">
        <v>11722.433594</v>
      </c>
      <c r="H62">
        <v>62</v>
      </c>
      <c r="I62">
        <v>189</v>
      </c>
      <c r="J62">
        <v>35457</v>
      </c>
      <c r="K62" t="s">
        <v>867</v>
      </c>
      <c r="L62">
        <v>12</v>
      </c>
      <c r="M62">
        <v>12</v>
      </c>
      <c r="N62">
        <v>35457</v>
      </c>
      <c r="O62">
        <v>62</v>
      </c>
      <c r="P62" t="s">
        <v>3215</v>
      </c>
      <c r="Q62">
        <v>0.7</v>
      </c>
      <c r="R62">
        <v>59.05</v>
      </c>
      <c r="S62">
        <v>0.12</v>
      </c>
      <c r="T62">
        <v>9</v>
      </c>
      <c r="U62">
        <v>5175822.5415599998</v>
      </c>
      <c r="V62">
        <v>11722.434577</v>
      </c>
      <c r="W62">
        <v>61</v>
      </c>
      <c r="X62">
        <v>0</v>
      </c>
      <c r="Y62">
        <v>60</v>
      </c>
      <c r="Z62" t="s">
        <v>6966</v>
      </c>
      <c r="AA62" t="s">
        <v>6966</v>
      </c>
      <c r="AB62" t="s">
        <v>6966</v>
      </c>
      <c r="AC62" t="s">
        <v>6966</v>
      </c>
      <c r="AD62" t="s">
        <v>6966</v>
      </c>
      <c r="AE62" t="s">
        <v>6966</v>
      </c>
      <c r="AF62" t="s">
        <v>6966</v>
      </c>
      <c r="AG62" t="s">
        <v>6966</v>
      </c>
      <c r="AH62" t="s">
        <v>6966</v>
      </c>
      <c r="AI62" t="s">
        <v>6966</v>
      </c>
      <c r="AJ62" t="s">
        <v>6966</v>
      </c>
      <c r="AK62" t="s">
        <v>6966</v>
      </c>
      <c r="AL62" t="s">
        <v>6966</v>
      </c>
      <c r="AM62" t="s">
        <v>6966</v>
      </c>
      <c r="AN62" t="s">
        <v>6966</v>
      </c>
      <c r="AO62" t="s">
        <v>6966</v>
      </c>
      <c r="AP62" t="s">
        <v>6966</v>
      </c>
      <c r="AQ62" t="s">
        <v>6966</v>
      </c>
      <c r="AR62" t="s">
        <v>6966</v>
      </c>
      <c r="AS62" t="s">
        <v>6966</v>
      </c>
      <c r="AT62" t="s">
        <v>6966</v>
      </c>
      <c r="AU62" t="s">
        <v>6966</v>
      </c>
      <c r="AV62" t="s">
        <v>6966</v>
      </c>
      <c r="AW62" t="s">
        <v>6966</v>
      </c>
      <c r="AX62" t="s">
        <v>6966</v>
      </c>
      <c r="AY62" t="s">
        <v>6966</v>
      </c>
      <c r="AZ62">
        <v>0.11683</v>
      </c>
      <c r="BA62">
        <v>5.0799999999999999E-4</v>
      </c>
    </row>
    <row r="63" spans="1:53" x14ac:dyDescent="0.25">
      <c r="A63">
        <v>61</v>
      </c>
      <c r="B63" t="s">
        <v>7625</v>
      </c>
      <c r="C63">
        <v>101088</v>
      </c>
      <c r="D63" t="s">
        <v>844</v>
      </c>
      <c r="E63" t="s">
        <v>3217</v>
      </c>
      <c r="F63">
        <v>1416261.625</v>
      </c>
      <c r="G63">
        <v>6388.0551759999998</v>
      </c>
      <c r="H63">
        <v>63</v>
      </c>
      <c r="I63">
        <v>190</v>
      </c>
      <c r="J63">
        <v>35417</v>
      </c>
      <c r="K63" t="s">
        <v>2231</v>
      </c>
      <c r="L63">
        <v>12</v>
      </c>
      <c r="M63">
        <v>12</v>
      </c>
      <c r="N63">
        <v>35417</v>
      </c>
      <c r="O63">
        <v>63</v>
      </c>
      <c r="P63" t="s">
        <v>3215</v>
      </c>
      <c r="Q63">
        <v>5.2</v>
      </c>
      <c r="R63">
        <v>51.43</v>
      </c>
      <c r="S63">
        <v>0.8</v>
      </c>
      <c r="T63">
        <v>8</v>
      </c>
      <c r="U63">
        <v>1416261.60262</v>
      </c>
      <c r="V63">
        <v>6388.0536300000003</v>
      </c>
      <c r="W63">
        <v>62</v>
      </c>
      <c r="X63">
        <v>0</v>
      </c>
      <c r="Y63">
        <v>61</v>
      </c>
      <c r="Z63" t="s">
        <v>6966</v>
      </c>
      <c r="AA63" t="s">
        <v>6966</v>
      </c>
      <c r="AB63" t="s">
        <v>6966</v>
      </c>
      <c r="AC63" t="s">
        <v>6966</v>
      </c>
      <c r="AD63" t="s">
        <v>6966</v>
      </c>
      <c r="AE63" t="s">
        <v>6966</v>
      </c>
      <c r="AF63" t="s">
        <v>6966</v>
      </c>
      <c r="AG63" t="s">
        <v>6966</v>
      </c>
      <c r="AH63" t="s">
        <v>6966</v>
      </c>
      <c r="AI63" t="s">
        <v>6966</v>
      </c>
      <c r="AJ63" t="s">
        <v>6966</v>
      </c>
      <c r="AK63" t="s">
        <v>6966</v>
      </c>
      <c r="AL63" t="s">
        <v>6966</v>
      </c>
      <c r="AM63" t="s">
        <v>6966</v>
      </c>
      <c r="AN63" t="s">
        <v>6966</v>
      </c>
      <c r="AO63" t="s">
        <v>6966</v>
      </c>
      <c r="AP63" t="s">
        <v>6966</v>
      </c>
      <c r="AQ63" t="s">
        <v>6966</v>
      </c>
      <c r="AR63" t="s">
        <v>6966</v>
      </c>
      <c r="AS63" t="s">
        <v>6966</v>
      </c>
      <c r="AT63" t="s">
        <v>6966</v>
      </c>
      <c r="AU63" t="s">
        <v>6966</v>
      </c>
      <c r="AV63" t="s">
        <v>6966</v>
      </c>
      <c r="AW63" t="s">
        <v>6966</v>
      </c>
      <c r="AX63" t="s">
        <v>6966</v>
      </c>
      <c r="AY63" t="s">
        <v>6966</v>
      </c>
      <c r="AZ63">
        <v>6.3606999999999997E-2</v>
      </c>
      <c r="BA63">
        <v>1.3899999999999999E-4</v>
      </c>
    </row>
    <row r="64" spans="1:53" x14ac:dyDescent="0.25">
      <c r="A64">
        <v>62</v>
      </c>
      <c r="B64" t="s">
        <v>7625</v>
      </c>
      <c r="C64">
        <v>101141</v>
      </c>
      <c r="D64" t="s">
        <v>873</v>
      </c>
      <c r="E64" t="s">
        <v>3217</v>
      </c>
      <c r="F64">
        <v>836387.25</v>
      </c>
      <c r="G64">
        <v>5439.2490230000003</v>
      </c>
      <c r="H64">
        <v>64</v>
      </c>
      <c r="I64">
        <v>191</v>
      </c>
      <c r="J64">
        <v>35469</v>
      </c>
      <c r="K64" t="s">
        <v>7656</v>
      </c>
      <c r="L64">
        <v>12</v>
      </c>
      <c r="M64">
        <v>12</v>
      </c>
      <c r="N64">
        <v>35469</v>
      </c>
      <c r="O64">
        <v>64</v>
      </c>
      <c r="P64" t="s">
        <v>3215</v>
      </c>
      <c r="Q64">
        <v>3</v>
      </c>
      <c r="R64">
        <v>90.27</v>
      </c>
      <c r="S64">
        <v>0.48</v>
      </c>
      <c r="T64">
        <v>14</v>
      </c>
      <c r="U64">
        <v>836387.20933099999</v>
      </c>
      <c r="V64">
        <v>5439.2498429999996</v>
      </c>
      <c r="W64">
        <v>63</v>
      </c>
      <c r="X64">
        <v>0</v>
      </c>
      <c r="Y64">
        <v>62</v>
      </c>
      <c r="Z64" t="s">
        <v>6966</v>
      </c>
      <c r="AA64" t="s">
        <v>6966</v>
      </c>
      <c r="AB64" t="s">
        <v>6966</v>
      </c>
      <c r="AC64" t="s">
        <v>6966</v>
      </c>
      <c r="AD64" t="s">
        <v>6966</v>
      </c>
      <c r="AE64" t="s">
        <v>6966</v>
      </c>
      <c r="AF64" t="s">
        <v>6966</v>
      </c>
      <c r="AG64" t="s">
        <v>6966</v>
      </c>
      <c r="AH64" t="s">
        <v>6966</v>
      </c>
      <c r="AI64" t="s">
        <v>6966</v>
      </c>
      <c r="AJ64" t="s">
        <v>6966</v>
      </c>
      <c r="AK64" t="s">
        <v>6966</v>
      </c>
      <c r="AL64" t="s">
        <v>6966</v>
      </c>
      <c r="AM64" t="s">
        <v>6966</v>
      </c>
      <c r="AN64" t="s">
        <v>6966</v>
      </c>
      <c r="AO64" t="s">
        <v>6966</v>
      </c>
      <c r="AP64" t="s">
        <v>6966</v>
      </c>
      <c r="AQ64" t="s">
        <v>6966</v>
      </c>
      <c r="AR64" t="s">
        <v>6966</v>
      </c>
      <c r="AS64" t="s">
        <v>6966</v>
      </c>
      <c r="AT64" t="s">
        <v>6966</v>
      </c>
      <c r="AU64" t="s">
        <v>6966</v>
      </c>
      <c r="AV64" t="s">
        <v>6966</v>
      </c>
      <c r="AW64" t="s">
        <v>6966</v>
      </c>
      <c r="AX64" t="s">
        <v>6966</v>
      </c>
      <c r="AY64" t="s">
        <v>6966</v>
      </c>
      <c r="AZ64">
        <v>5.6438000000000002E-2</v>
      </c>
      <c r="BA64">
        <v>8.2000000000000001E-5</v>
      </c>
    </row>
    <row r="65" spans="1:53" x14ac:dyDescent="0.25">
      <c r="A65">
        <v>63</v>
      </c>
      <c r="B65" t="s">
        <v>7625</v>
      </c>
      <c r="C65">
        <v>101061</v>
      </c>
      <c r="D65" t="s">
        <v>772</v>
      </c>
      <c r="E65" t="s">
        <v>3217</v>
      </c>
      <c r="F65">
        <v>1488508.25</v>
      </c>
      <c r="G65">
        <v>5616.0615230000003</v>
      </c>
      <c r="H65">
        <v>65</v>
      </c>
      <c r="I65">
        <v>192</v>
      </c>
      <c r="J65">
        <v>35219</v>
      </c>
      <c r="K65" t="s">
        <v>2174</v>
      </c>
      <c r="L65">
        <v>12</v>
      </c>
      <c r="M65">
        <v>12</v>
      </c>
      <c r="N65">
        <v>35219</v>
      </c>
      <c r="O65">
        <v>65</v>
      </c>
      <c r="P65" t="s">
        <v>3215</v>
      </c>
      <c r="Q65">
        <v>6.3</v>
      </c>
      <c r="R65">
        <v>41.37</v>
      </c>
      <c r="S65">
        <v>0.98</v>
      </c>
      <c r="T65">
        <v>6</v>
      </c>
      <c r="U65">
        <v>1488508.23077</v>
      </c>
      <c r="V65">
        <v>5616.0610500000003</v>
      </c>
      <c r="W65">
        <v>64</v>
      </c>
      <c r="X65">
        <v>0</v>
      </c>
      <c r="Y65">
        <v>63</v>
      </c>
      <c r="Z65" t="s">
        <v>6966</v>
      </c>
      <c r="AA65" t="s">
        <v>6966</v>
      </c>
      <c r="AB65" t="s">
        <v>6966</v>
      </c>
      <c r="AC65" t="s">
        <v>6966</v>
      </c>
      <c r="AD65" t="s">
        <v>6966</v>
      </c>
      <c r="AE65" t="s">
        <v>6966</v>
      </c>
      <c r="AF65" t="s">
        <v>6966</v>
      </c>
      <c r="AG65" t="s">
        <v>6966</v>
      </c>
      <c r="AH65" t="s">
        <v>6966</v>
      </c>
      <c r="AI65" t="s">
        <v>6966</v>
      </c>
      <c r="AJ65" t="s">
        <v>6966</v>
      </c>
      <c r="AK65" t="s">
        <v>6966</v>
      </c>
      <c r="AL65" t="s">
        <v>6966</v>
      </c>
      <c r="AM65" t="s">
        <v>6966</v>
      </c>
      <c r="AN65" t="s">
        <v>6966</v>
      </c>
      <c r="AO65" t="s">
        <v>6966</v>
      </c>
      <c r="AP65" t="s">
        <v>6966</v>
      </c>
      <c r="AQ65" t="s">
        <v>6966</v>
      </c>
      <c r="AR65" t="s">
        <v>6966</v>
      </c>
      <c r="AS65" t="s">
        <v>6966</v>
      </c>
      <c r="AT65" t="s">
        <v>6966</v>
      </c>
      <c r="AU65" t="s">
        <v>6966</v>
      </c>
      <c r="AV65" t="s">
        <v>6966</v>
      </c>
      <c r="AW65" t="s">
        <v>6966</v>
      </c>
      <c r="AX65" t="s">
        <v>6966</v>
      </c>
      <c r="AY65" t="s">
        <v>6966</v>
      </c>
      <c r="AZ65">
        <v>5.7088E-2</v>
      </c>
      <c r="BA65">
        <v>1.46E-4</v>
      </c>
    </row>
    <row r="66" spans="1:53" x14ac:dyDescent="0.25">
      <c r="A66">
        <v>64</v>
      </c>
      <c r="B66" t="s">
        <v>7625</v>
      </c>
      <c r="C66">
        <v>101127</v>
      </c>
      <c r="D66" t="s">
        <v>879</v>
      </c>
      <c r="E66" t="s">
        <v>3217</v>
      </c>
      <c r="F66">
        <v>0</v>
      </c>
      <c r="G66">
        <v>34099.605469000002</v>
      </c>
      <c r="H66">
        <v>66</v>
      </c>
      <c r="I66">
        <v>193</v>
      </c>
      <c r="J66">
        <v>35487</v>
      </c>
      <c r="K66" t="s">
        <v>2261</v>
      </c>
      <c r="L66">
        <v>12</v>
      </c>
      <c r="M66">
        <v>12</v>
      </c>
      <c r="N66">
        <v>35487</v>
      </c>
      <c r="O66">
        <v>66</v>
      </c>
      <c r="P66" t="s">
        <v>3215</v>
      </c>
      <c r="Q66">
        <v>2.1</v>
      </c>
      <c r="R66">
        <v>61.87</v>
      </c>
      <c r="S66">
        <v>0.48</v>
      </c>
      <c r="T66">
        <v>15</v>
      </c>
      <c r="U66">
        <v>0</v>
      </c>
      <c r="V66">
        <v>34099.606302</v>
      </c>
      <c r="W66">
        <v>65</v>
      </c>
      <c r="X66">
        <v>0</v>
      </c>
      <c r="Y66">
        <v>64</v>
      </c>
      <c r="Z66" t="s">
        <v>6966</v>
      </c>
      <c r="AA66" t="s">
        <v>6966</v>
      </c>
      <c r="AB66" t="s">
        <v>6966</v>
      </c>
      <c r="AC66" t="s">
        <v>6966</v>
      </c>
      <c r="AD66" t="s">
        <v>6966</v>
      </c>
      <c r="AE66" t="s">
        <v>6966</v>
      </c>
      <c r="AF66" t="s">
        <v>6966</v>
      </c>
      <c r="AG66" t="s">
        <v>6966</v>
      </c>
      <c r="AH66" t="s">
        <v>6966</v>
      </c>
      <c r="AI66" t="s">
        <v>6966</v>
      </c>
      <c r="AJ66" t="s">
        <v>6966</v>
      </c>
      <c r="AK66" t="s">
        <v>6966</v>
      </c>
      <c r="AL66" t="s">
        <v>6966</v>
      </c>
      <c r="AM66" t="s">
        <v>6966</v>
      </c>
      <c r="AN66" t="s">
        <v>6966</v>
      </c>
      <c r="AO66" t="s">
        <v>6966</v>
      </c>
      <c r="AP66" t="s">
        <v>6966</v>
      </c>
      <c r="AQ66" t="s">
        <v>6966</v>
      </c>
      <c r="AR66" t="s">
        <v>6966</v>
      </c>
      <c r="AS66" t="s">
        <v>6966</v>
      </c>
      <c r="AT66" t="s">
        <v>6966</v>
      </c>
      <c r="AU66" t="s">
        <v>6966</v>
      </c>
      <c r="AV66" t="s">
        <v>6966</v>
      </c>
      <c r="AW66" t="s">
        <v>6966</v>
      </c>
      <c r="AX66" t="s">
        <v>6966</v>
      </c>
      <c r="AY66" t="s">
        <v>6966</v>
      </c>
      <c r="AZ66">
        <v>0.33621000000000001</v>
      </c>
      <c r="BA66">
        <v>3.0370000000000002E-3</v>
      </c>
    </row>
    <row r="67" spans="1:53" x14ac:dyDescent="0.25">
      <c r="A67">
        <v>65</v>
      </c>
      <c r="B67" t="s">
        <v>7625</v>
      </c>
      <c r="C67">
        <v>101004</v>
      </c>
      <c r="D67" t="s">
        <v>856</v>
      </c>
      <c r="E67" t="s">
        <v>3217</v>
      </c>
      <c r="F67">
        <v>1522478.5</v>
      </c>
      <c r="G67">
        <v>7265.6123049999997</v>
      </c>
      <c r="H67">
        <v>67</v>
      </c>
      <c r="I67">
        <v>194</v>
      </c>
      <c r="J67">
        <v>35435</v>
      </c>
      <c r="K67" t="s">
        <v>7657</v>
      </c>
      <c r="L67">
        <v>12</v>
      </c>
      <c r="M67">
        <v>12</v>
      </c>
      <c r="N67">
        <v>35435</v>
      </c>
      <c r="O67">
        <v>67</v>
      </c>
      <c r="P67" t="s">
        <v>3215</v>
      </c>
      <c r="Q67">
        <v>3.2</v>
      </c>
      <c r="R67">
        <v>105.43</v>
      </c>
      <c r="S67">
        <v>0.56999999999999995</v>
      </c>
      <c r="T67">
        <v>19</v>
      </c>
      <c r="U67">
        <v>1522478.4227400001</v>
      </c>
      <c r="V67">
        <v>7265.6123109999999</v>
      </c>
      <c r="W67">
        <v>66</v>
      </c>
      <c r="X67">
        <v>0</v>
      </c>
      <c r="Y67">
        <v>65</v>
      </c>
      <c r="Z67" t="s">
        <v>6966</v>
      </c>
      <c r="AA67" t="s">
        <v>6966</v>
      </c>
      <c r="AB67" t="s">
        <v>6966</v>
      </c>
      <c r="AC67" t="s">
        <v>6966</v>
      </c>
      <c r="AD67" t="s">
        <v>6966</v>
      </c>
      <c r="AE67" t="s">
        <v>6966</v>
      </c>
      <c r="AF67" t="s">
        <v>6966</v>
      </c>
      <c r="AG67" t="s">
        <v>6966</v>
      </c>
      <c r="AH67" t="s">
        <v>6966</v>
      </c>
      <c r="AI67" t="s">
        <v>6966</v>
      </c>
      <c r="AJ67" t="s">
        <v>6966</v>
      </c>
      <c r="AK67" t="s">
        <v>6966</v>
      </c>
      <c r="AL67" t="s">
        <v>6966</v>
      </c>
      <c r="AM67" t="s">
        <v>6966</v>
      </c>
      <c r="AN67" t="s">
        <v>6966</v>
      </c>
      <c r="AO67" t="s">
        <v>6966</v>
      </c>
      <c r="AP67" t="s">
        <v>6966</v>
      </c>
      <c r="AQ67" t="s">
        <v>6966</v>
      </c>
      <c r="AR67" t="s">
        <v>6966</v>
      </c>
      <c r="AS67" t="s">
        <v>6966</v>
      </c>
      <c r="AT67" t="s">
        <v>6966</v>
      </c>
      <c r="AU67" t="s">
        <v>6966</v>
      </c>
      <c r="AV67" t="s">
        <v>6966</v>
      </c>
      <c r="AW67" t="s">
        <v>6966</v>
      </c>
      <c r="AX67" t="s">
        <v>6966</v>
      </c>
      <c r="AY67" t="s">
        <v>6966</v>
      </c>
      <c r="AZ67">
        <v>7.5453999999999993E-2</v>
      </c>
      <c r="BA67">
        <v>1.4999999999999999E-4</v>
      </c>
    </row>
    <row r="68" spans="1:53" x14ac:dyDescent="0.25">
      <c r="A68">
        <v>66</v>
      </c>
      <c r="B68" t="s">
        <v>7625</v>
      </c>
      <c r="C68">
        <v>101096</v>
      </c>
      <c r="D68" t="s">
        <v>769</v>
      </c>
      <c r="E68" t="s">
        <v>3217</v>
      </c>
      <c r="F68">
        <v>1163525</v>
      </c>
      <c r="G68">
        <v>5570.2060549999997</v>
      </c>
      <c r="H68">
        <v>68</v>
      </c>
      <c r="I68">
        <v>195</v>
      </c>
      <c r="J68">
        <v>35215</v>
      </c>
      <c r="K68" t="s">
        <v>769</v>
      </c>
      <c r="L68">
        <v>12</v>
      </c>
      <c r="M68">
        <v>12</v>
      </c>
      <c r="N68">
        <v>35215</v>
      </c>
      <c r="O68">
        <v>68</v>
      </c>
      <c r="P68" t="s">
        <v>3215</v>
      </c>
      <c r="Q68">
        <v>7.9</v>
      </c>
      <c r="R68">
        <v>239.22</v>
      </c>
      <c r="S68">
        <v>1.28</v>
      </c>
      <c r="T68">
        <v>39</v>
      </c>
      <c r="U68">
        <v>1163525.05458</v>
      </c>
      <c r="V68">
        <v>5570.2055499999997</v>
      </c>
      <c r="W68">
        <v>67</v>
      </c>
      <c r="X68">
        <v>0</v>
      </c>
      <c r="Y68">
        <v>66</v>
      </c>
      <c r="Z68" t="s">
        <v>6966</v>
      </c>
      <c r="AA68" t="s">
        <v>6966</v>
      </c>
      <c r="AB68" t="s">
        <v>6966</v>
      </c>
      <c r="AC68" t="s">
        <v>6966</v>
      </c>
      <c r="AD68" t="s">
        <v>6966</v>
      </c>
      <c r="AE68" t="s">
        <v>6966</v>
      </c>
      <c r="AF68" t="s">
        <v>6966</v>
      </c>
      <c r="AG68" t="s">
        <v>6966</v>
      </c>
      <c r="AH68" t="s">
        <v>6966</v>
      </c>
      <c r="AI68" t="s">
        <v>6966</v>
      </c>
      <c r="AJ68" t="s">
        <v>6966</v>
      </c>
      <c r="AK68" t="s">
        <v>6966</v>
      </c>
      <c r="AL68" t="s">
        <v>6966</v>
      </c>
      <c r="AM68" t="s">
        <v>6966</v>
      </c>
      <c r="AN68" t="s">
        <v>6966</v>
      </c>
      <c r="AO68" t="s">
        <v>6966</v>
      </c>
      <c r="AP68" t="s">
        <v>6966</v>
      </c>
      <c r="AQ68" t="s">
        <v>6966</v>
      </c>
      <c r="AR68" t="s">
        <v>6966</v>
      </c>
      <c r="AS68" t="s">
        <v>6966</v>
      </c>
      <c r="AT68" t="s">
        <v>6966</v>
      </c>
      <c r="AU68" t="s">
        <v>6966</v>
      </c>
      <c r="AV68" t="s">
        <v>6966</v>
      </c>
      <c r="AW68" t="s">
        <v>6966</v>
      </c>
      <c r="AX68" t="s">
        <v>6966</v>
      </c>
      <c r="AY68" t="s">
        <v>6966</v>
      </c>
      <c r="AZ68">
        <v>5.5745999999999997E-2</v>
      </c>
      <c r="BA68">
        <v>1.1400000000000001E-4</v>
      </c>
    </row>
    <row r="69" spans="1:53" x14ac:dyDescent="0.25">
      <c r="A69">
        <v>67</v>
      </c>
      <c r="B69" t="s">
        <v>7625</v>
      </c>
      <c r="C69">
        <v>101136</v>
      </c>
      <c r="D69" t="s">
        <v>872</v>
      </c>
      <c r="E69" t="s">
        <v>3217</v>
      </c>
      <c r="F69">
        <v>2967860.75</v>
      </c>
      <c r="G69">
        <v>9468.6201170000004</v>
      </c>
      <c r="H69">
        <v>69</v>
      </c>
      <c r="I69">
        <v>196</v>
      </c>
      <c r="J69">
        <v>35467</v>
      </c>
      <c r="K69" t="s">
        <v>7658</v>
      </c>
      <c r="L69">
        <v>12</v>
      </c>
      <c r="M69">
        <v>12</v>
      </c>
      <c r="N69">
        <v>35467</v>
      </c>
      <c r="O69">
        <v>69</v>
      </c>
      <c r="P69" t="s">
        <v>3215</v>
      </c>
      <c r="Q69">
        <v>1.9</v>
      </c>
      <c r="R69">
        <v>68.23</v>
      </c>
      <c r="S69">
        <v>0.3</v>
      </c>
      <c r="T69">
        <v>11</v>
      </c>
      <c r="U69">
        <v>2967860.7996200002</v>
      </c>
      <c r="V69">
        <v>9468.6199280000001</v>
      </c>
      <c r="W69">
        <v>68</v>
      </c>
      <c r="X69">
        <v>0</v>
      </c>
      <c r="Y69">
        <v>67</v>
      </c>
      <c r="Z69" t="s">
        <v>6966</v>
      </c>
      <c r="AA69" t="s">
        <v>6966</v>
      </c>
      <c r="AB69" t="s">
        <v>6966</v>
      </c>
      <c r="AC69" t="s">
        <v>6966</v>
      </c>
      <c r="AD69" t="s">
        <v>6966</v>
      </c>
      <c r="AE69" t="s">
        <v>6966</v>
      </c>
      <c r="AF69" t="s">
        <v>6966</v>
      </c>
      <c r="AG69" t="s">
        <v>6966</v>
      </c>
      <c r="AH69" t="s">
        <v>6966</v>
      </c>
      <c r="AI69" t="s">
        <v>6966</v>
      </c>
      <c r="AJ69" t="s">
        <v>6966</v>
      </c>
      <c r="AK69" t="s">
        <v>6966</v>
      </c>
      <c r="AL69" t="s">
        <v>6966</v>
      </c>
      <c r="AM69" t="s">
        <v>6966</v>
      </c>
      <c r="AN69" t="s">
        <v>6966</v>
      </c>
      <c r="AO69" t="s">
        <v>6966</v>
      </c>
      <c r="AP69" t="s">
        <v>6966</v>
      </c>
      <c r="AQ69" t="s">
        <v>6966</v>
      </c>
      <c r="AR69" t="s">
        <v>6966</v>
      </c>
      <c r="AS69" t="s">
        <v>6966</v>
      </c>
      <c r="AT69" t="s">
        <v>6966</v>
      </c>
      <c r="AU69" t="s">
        <v>6966</v>
      </c>
      <c r="AV69" t="s">
        <v>6966</v>
      </c>
      <c r="AW69" t="s">
        <v>6966</v>
      </c>
      <c r="AX69" t="s">
        <v>6966</v>
      </c>
      <c r="AY69" t="s">
        <v>6966</v>
      </c>
      <c r="AZ69">
        <v>9.6419000000000005E-2</v>
      </c>
      <c r="BA69">
        <v>2.92E-4</v>
      </c>
    </row>
    <row r="70" spans="1:53" x14ac:dyDescent="0.25">
      <c r="A70">
        <v>68</v>
      </c>
      <c r="B70" t="s">
        <v>7625</v>
      </c>
      <c r="C70">
        <v>101143</v>
      </c>
      <c r="D70" t="s">
        <v>7659</v>
      </c>
      <c r="E70" t="s">
        <v>3217</v>
      </c>
      <c r="F70">
        <v>7336121</v>
      </c>
      <c r="G70">
        <v>15054.160156</v>
      </c>
      <c r="H70">
        <v>70</v>
      </c>
      <c r="I70">
        <v>198</v>
      </c>
      <c r="J70">
        <v>35227</v>
      </c>
      <c r="K70" t="s">
        <v>7660</v>
      </c>
      <c r="L70">
        <v>12</v>
      </c>
      <c r="M70">
        <v>12</v>
      </c>
      <c r="N70">
        <v>35227</v>
      </c>
      <c r="O70">
        <v>70</v>
      </c>
      <c r="P70" t="s">
        <v>3215</v>
      </c>
      <c r="Q70">
        <v>1.2</v>
      </c>
      <c r="R70">
        <v>0</v>
      </c>
      <c r="S70">
        <v>0.22</v>
      </c>
      <c r="T70">
        <v>0</v>
      </c>
      <c r="U70">
        <v>7336120.9988000002</v>
      </c>
      <c r="V70">
        <v>15054.159444999999</v>
      </c>
      <c r="W70">
        <v>69</v>
      </c>
      <c r="X70">
        <v>0</v>
      </c>
      <c r="Y70">
        <v>68</v>
      </c>
      <c r="Z70" t="s">
        <v>6966</v>
      </c>
      <c r="AA70" t="s">
        <v>6966</v>
      </c>
      <c r="AB70" t="s">
        <v>6966</v>
      </c>
      <c r="AC70" t="s">
        <v>6966</v>
      </c>
      <c r="AD70" t="s">
        <v>6966</v>
      </c>
      <c r="AE70" t="s">
        <v>6966</v>
      </c>
      <c r="AF70" t="s">
        <v>6966</v>
      </c>
      <c r="AG70" t="s">
        <v>6966</v>
      </c>
      <c r="AH70" t="s">
        <v>6966</v>
      </c>
      <c r="AI70" t="s">
        <v>6966</v>
      </c>
      <c r="AJ70" t="s">
        <v>6966</v>
      </c>
      <c r="AK70" t="s">
        <v>6966</v>
      </c>
      <c r="AL70" t="s">
        <v>6966</v>
      </c>
      <c r="AM70" t="s">
        <v>6966</v>
      </c>
      <c r="AN70" t="s">
        <v>6966</v>
      </c>
      <c r="AO70" t="s">
        <v>6966</v>
      </c>
      <c r="AP70" t="s">
        <v>6966</v>
      </c>
      <c r="AQ70" t="s">
        <v>6966</v>
      </c>
      <c r="AR70" t="s">
        <v>6966</v>
      </c>
      <c r="AS70" t="s">
        <v>6966</v>
      </c>
      <c r="AT70" t="s">
        <v>6966</v>
      </c>
      <c r="AU70" t="s">
        <v>6966</v>
      </c>
      <c r="AV70" t="s">
        <v>6966</v>
      </c>
      <c r="AW70" t="s">
        <v>6966</v>
      </c>
      <c r="AX70" t="s">
        <v>6966</v>
      </c>
      <c r="AY70" t="s">
        <v>6966</v>
      </c>
      <c r="AZ70">
        <v>0.15281600000000001</v>
      </c>
      <c r="BA70">
        <v>7.2099999999999996E-4</v>
      </c>
    </row>
    <row r="71" spans="1:53" x14ac:dyDescent="0.25">
      <c r="A71">
        <v>69</v>
      </c>
      <c r="B71" t="s">
        <v>7625</v>
      </c>
      <c r="C71">
        <v>101147</v>
      </c>
      <c r="D71" t="s">
        <v>862</v>
      </c>
      <c r="E71" t="s">
        <v>3217</v>
      </c>
      <c r="F71">
        <v>1805197.625</v>
      </c>
      <c r="G71">
        <v>9664.9277340000008</v>
      </c>
      <c r="H71">
        <v>71</v>
      </c>
      <c r="I71">
        <v>199</v>
      </c>
      <c r="J71">
        <v>35447</v>
      </c>
      <c r="K71" t="s">
        <v>2247</v>
      </c>
      <c r="L71">
        <v>12</v>
      </c>
      <c r="M71">
        <v>12</v>
      </c>
      <c r="N71">
        <v>35447</v>
      </c>
      <c r="O71">
        <v>71</v>
      </c>
      <c r="P71" t="s">
        <v>3215</v>
      </c>
      <c r="Q71">
        <v>2.2000000000000002</v>
      </c>
      <c r="R71">
        <v>66.48</v>
      </c>
      <c r="S71">
        <v>0.4</v>
      </c>
      <c r="T71">
        <v>12</v>
      </c>
      <c r="U71">
        <v>1805197.59445</v>
      </c>
      <c r="V71">
        <v>9664.9279229999993</v>
      </c>
      <c r="W71">
        <v>70</v>
      </c>
      <c r="X71">
        <v>0</v>
      </c>
      <c r="Y71">
        <v>69</v>
      </c>
      <c r="Z71" t="s">
        <v>6966</v>
      </c>
      <c r="AA71" t="s">
        <v>6966</v>
      </c>
      <c r="AB71" t="s">
        <v>6966</v>
      </c>
      <c r="AC71" t="s">
        <v>6966</v>
      </c>
      <c r="AD71" t="s">
        <v>6966</v>
      </c>
      <c r="AE71" t="s">
        <v>6966</v>
      </c>
      <c r="AF71" t="s">
        <v>6966</v>
      </c>
      <c r="AG71" t="s">
        <v>6966</v>
      </c>
      <c r="AH71" t="s">
        <v>6966</v>
      </c>
      <c r="AI71" t="s">
        <v>6966</v>
      </c>
      <c r="AJ71" t="s">
        <v>6966</v>
      </c>
      <c r="AK71" t="s">
        <v>6966</v>
      </c>
      <c r="AL71" t="s">
        <v>6966</v>
      </c>
      <c r="AM71" t="s">
        <v>6966</v>
      </c>
      <c r="AN71" t="s">
        <v>6966</v>
      </c>
      <c r="AO71" t="s">
        <v>6966</v>
      </c>
      <c r="AP71" t="s">
        <v>6966</v>
      </c>
      <c r="AQ71" t="s">
        <v>6966</v>
      </c>
      <c r="AR71" t="s">
        <v>6966</v>
      </c>
      <c r="AS71" t="s">
        <v>6966</v>
      </c>
      <c r="AT71" t="s">
        <v>6966</v>
      </c>
      <c r="AU71" t="s">
        <v>6966</v>
      </c>
      <c r="AV71" t="s">
        <v>6966</v>
      </c>
      <c r="AW71" t="s">
        <v>6966</v>
      </c>
      <c r="AX71" t="s">
        <v>6966</v>
      </c>
      <c r="AY71" t="s">
        <v>6966</v>
      </c>
      <c r="AZ71">
        <v>9.6893000000000007E-2</v>
      </c>
      <c r="BA71">
        <v>1.7699999999999999E-4</v>
      </c>
    </row>
    <row r="72" spans="1:53" x14ac:dyDescent="0.25">
      <c r="A72">
        <v>70</v>
      </c>
      <c r="B72" t="s">
        <v>7625</v>
      </c>
      <c r="C72">
        <v>101034</v>
      </c>
      <c r="D72" t="s">
        <v>849</v>
      </c>
      <c r="E72" t="s">
        <v>3217</v>
      </c>
      <c r="F72">
        <v>1308423.875</v>
      </c>
      <c r="G72">
        <v>6541.3969729999999</v>
      </c>
      <c r="H72">
        <v>72</v>
      </c>
      <c r="I72">
        <v>200</v>
      </c>
      <c r="J72">
        <v>35425</v>
      </c>
      <c r="K72" t="s">
        <v>7661</v>
      </c>
      <c r="L72">
        <v>12</v>
      </c>
      <c r="M72">
        <v>12</v>
      </c>
      <c r="N72">
        <v>35425</v>
      </c>
      <c r="O72">
        <v>72</v>
      </c>
      <c r="P72" t="s">
        <v>3215</v>
      </c>
      <c r="Q72">
        <v>0.6</v>
      </c>
      <c r="R72">
        <v>0</v>
      </c>
      <c r="S72">
        <v>0.12</v>
      </c>
      <c r="T72">
        <v>0</v>
      </c>
      <c r="U72">
        <v>1308423.9742999999</v>
      </c>
      <c r="V72">
        <v>6541.3974539999999</v>
      </c>
      <c r="W72">
        <v>71</v>
      </c>
      <c r="X72">
        <v>0</v>
      </c>
      <c r="Y72">
        <v>70</v>
      </c>
      <c r="Z72" t="s">
        <v>6966</v>
      </c>
      <c r="AA72" t="s">
        <v>6966</v>
      </c>
      <c r="AB72" t="s">
        <v>6966</v>
      </c>
      <c r="AC72" t="s">
        <v>6966</v>
      </c>
      <c r="AD72" t="s">
        <v>6966</v>
      </c>
      <c r="AE72" t="s">
        <v>6966</v>
      </c>
      <c r="AF72" t="s">
        <v>6966</v>
      </c>
      <c r="AG72" t="s">
        <v>6966</v>
      </c>
      <c r="AH72" t="s">
        <v>6966</v>
      </c>
      <c r="AI72" t="s">
        <v>6966</v>
      </c>
      <c r="AJ72" t="s">
        <v>6966</v>
      </c>
      <c r="AK72" t="s">
        <v>6966</v>
      </c>
      <c r="AL72" t="s">
        <v>6966</v>
      </c>
      <c r="AM72" t="s">
        <v>6966</v>
      </c>
      <c r="AN72" t="s">
        <v>6966</v>
      </c>
      <c r="AO72" t="s">
        <v>6966</v>
      </c>
      <c r="AP72" t="s">
        <v>6966</v>
      </c>
      <c r="AQ72" t="s">
        <v>6966</v>
      </c>
      <c r="AR72" t="s">
        <v>6966</v>
      </c>
      <c r="AS72" t="s">
        <v>6966</v>
      </c>
      <c r="AT72" t="s">
        <v>6966</v>
      </c>
      <c r="AU72" t="s">
        <v>6966</v>
      </c>
      <c r="AV72" t="s">
        <v>6966</v>
      </c>
      <c r="AW72" t="s">
        <v>6966</v>
      </c>
      <c r="AX72" t="s">
        <v>6966</v>
      </c>
      <c r="AY72" t="s">
        <v>6966</v>
      </c>
      <c r="AZ72">
        <v>6.5352999999999994E-2</v>
      </c>
      <c r="BA72">
        <v>1.2899999999999999E-4</v>
      </c>
    </row>
    <row r="73" spans="1:53" x14ac:dyDescent="0.25">
      <c r="A73">
        <v>71</v>
      </c>
      <c r="B73" t="s">
        <v>7625</v>
      </c>
      <c r="C73">
        <v>101121</v>
      </c>
      <c r="D73" t="s">
        <v>780</v>
      </c>
      <c r="E73" t="s">
        <v>3217</v>
      </c>
      <c r="F73">
        <v>4177486</v>
      </c>
      <c r="G73">
        <v>9366.9238280000009</v>
      </c>
      <c r="H73">
        <v>73</v>
      </c>
      <c r="I73">
        <v>202</v>
      </c>
      <c r="J73">
        <v>35233</v>
      </c>
      <c r="K73" t="s">
        <v>2182</v>
      </c>
      <c r="L73">
        <v>12</v>
      </c>
      <c r="M73">
        <v>12</v>
      </c>
      <c r="N73">
        <v>35233</v>
      </c>
      <c r="O73">
        <v>73</v>
      </c>
      <c r="P73" t="s">
        <v>3215</v>
      </c>
      <c r="Q73">
        <v>2.6</v>
      </c>
      <c r="R73">
        <v>230.64</v>
      </c>
      <c r="S73">
        <v>0.46</v>
      </c>
      <c r="T73">
        <v>41</v>
      </c>
      <c r="U73">
        <v>4177486.0779499998</v>
      </c>
      <c r="V73">
        <v>9366.9236650000003</v>
      </c>
      <c r="W73">
        <v>72</v>
      </c>
      <c r="X73">
        <v>0</v>
      </c>
      <c r="Y73">
        <v>71</v>
      </c>
      <c r="Z73" t="s">
        <v>6966</v>
      </c>
      <c r="AA73" t="s">
        <v>6966</v>
      </c>
      <c r="AB73" t="s">
        <v>6966</v>
      </c>
      <c r="AC73" t="s">
        <v>6966</v>
      </c>
      <c r="AD73" t="s">
        <v>6966</v>
      </c>
      <c r="AE73" t="s">
        <v>6966</v>
      </c>
      <c r="AF73" t="s">
        <v>6966</v>
      </c>
      <c r="AG73" t="s">
        <v>6966</v>
      </c>
      <c r="AH73" t="s">
        <v>6966</v>
      </c>
      <c r="AI73" t="s">
        <v>6966</v>
      </c>
      <c r="AJ73" t="s">
        <v>6966</v>
      </c>
      <c r="AK73" t="s">
        <v>6966</v>
      </c>
      <c r="AL73" t="s">
        <v>6966</v>
      </c>
      <c r="AM73" t="s">
        <v>6966</v>
      </c>
      <c r="AN73" t="s">
        <v>6966</v>
      </c>
      <c r="AO73" t="s">
        <v>6966</v>
      </c>
      <c r="AP73" t="s">
        <v>6966</v>
      </c>
      <c r="AQ73" t="s">
        <v>6966</v>
      </c>
      <c r="AR73" t="s">
        <v>6966</v>
      </c>
      <c r="AS73" t="s">
        <v>6966</v>
      </c>
      <c r="AT73" t="s">
        <v>6966</v>
      </c>
      <c r="AU73" t="s">
        <v>6966</v>
      </c>
      <c r="AV73" t="s">
        <v>6966</v>
      </c>
      <c r="AW73" t="s">
        <v>6966</v>
      </c>
      <c r="AX73" t="s">
        <v>6966</v>
      </c>
      <c r="AY73" t="s">
        <v>6966</v>
      </c>
      <c r="AZ73">
        <v>9.1808000000000001E-2</v>
      </c>
      <c r="BA73">
        <v>4.0999999999999999E-4</v>
      </c>
    </row>
    <row r="74" spans="1:53" x14ac:dyDescent="0.25">
      <c r="A74">
        <v>72</v>
      </c>
      <c r="B74" t="s">
        <v>7625</v>
      </c>
      <c r="C74">
        <v>101045</v>
      </c>
      <c r="D74" t="s">
        <v>7662</v>
      </c>
      <c r="E74" t="s">
        <v>3217</v>
      </c>
      <c r="F74">
        <v>1009090.9375</v>
      </c>
      <c r="G74">
        <v>5430.546875</v>
      </c>
      <c r="H74">
        <v>74</v>
      </c>
      <c r="I74">
        <v>203</v>
      </c>
      <c r="J74">
        <v>35419</v>
      </c>
      <c r="K74" t="s">
        <v>7663</v>
      </c>
      <c r="L74">
        <v>12</v>
      </c>
      <c r="M74">
        <v>12</v>
      </c>
      <c r="N74">
        <v>35419</v>
      </c>
      <c r="O74">
        <v>74</v>
      </c>
      <c r="P74" t="s">
        <v>3215</v>
      </c>
      <c r="Q74">
        <v>2.6</v>
      </c>
      <c r="R74">
        <v>62.19</v>
      </c>
      <c r="S74">
        <v>0.4</v>
      </c>
      <c r="T74">
        <v>10</v>
      </c>
      <c r="U74">
        <v>1009090.827</v>
      </c>
      <c r="V74">
        <v>5430.5457409999999</v>
      </c>
      <c r="W74">
        <v>73</v>
      </c>
      <c r="X74">
        <v>0</v>
      </c>
      <c r="Y74">
        <v>72</v>
      </c>
      <c r="Z74" t="s">
        <v>6966</v>
      </c>
      <c r="AA74" t="s">
        <v>6966</v>
      </c>
      <c r="AB74" t="s">
        <v>6966</v>
      </c>
      <c r="AC74" t="s">
        <v>6966</v>
      </c>
      <c r="AD74" t="s">
        <v>6966</v>
      </c>
      <c r="AE74" t="s">
        <v>6966</v>
      </c>
      <c r="AF74" t="s">
        <v>6966</v>
      </c>
      <c r="AG74" t="s">
        <v>6966</v>
      </c>
      <c r="AH74" t="s">
        <v>6966</v>
      </c>
      <c r="AI74" t="s">
        <v>6966</v>
      </c>
      <c r="AJ74" t="s">
        <v>6966</v>
      </c>
      <c r="AK74" t="s">
        <v>6966</v>
      </c>
      <c r="AL74" t="s">
        <v>6966</v>
      </c>
      <c r="AM74" t="s">
        <v>6966</v>
      </c>
      <c r="AN74" t="s">
        <v>6966</v>
      </c>
      <c r="AO74" t="s">
        <v>6966</v>
      </c>
      <c r="AP74" t="s">
        <v>6966</v>
      </c>
      <c r="AQ74" t="s">
        <v>6966</v>
      </c>
      <c r="AR74" t="s">
        <v>6966</v>
      </c>
      <c r="AS74" t="s">
        <v>6966</v>
      </c>
      <c r="AT74" t="s">
        <v>6966</v>
      </c>
      <c r="AU74" t="s">
        <v>6966</v>
      </c>
      <c r="AV74" t="s">
        <v>6966</v>
      </c>
      <c r="AW74" t="s">
        <v>6966</v>
      </c>
      <c r="AX74" t="s">
        <v>6966</v>
      </c>
      <c r="AY74" t="s">
        <v>6966</v>
      </c>
      <c r="AZ74">
        <v>5.5063000000000001E-2</v>
      </c>
      <c r="BA74">
        <v>9.8999999999999994E-5</v>
      </c>
    </row>
    <row r="75" spans="1:53" x14ac:dyDescent="0.25">
      <c r="A75">
        <v>73</v>
      </c>
      <c r="B75" t="s">
        <v>7625</v>
      </c>
      <c r="C75">
        <v>101148</v>
      </c>
      <c r="D75" t="s">
        <v>839</v>
      </c>
      <c r="E75" t="s">
        <v>3217</v>
      </c>
      <c r="F75">
        <v>3217633.75</v>
      </c>
      <c r="G75">
        <v>9014.7382809999999</v>
      </c>
      <c r="H75">
        <v>75</v>
      </c>
      <c r="I75">
        <v>204</v>
      </c>
      <c r="J75">
        <v>35411</v>
      </c>
      <c r="K75" t="s">
        <v>2228</v>
      </c>
      <c r="L75">
        <v>12</v>
      </c>
      <c r="M75">
        <v>12</v>
      </c>
      <c r="N75">
        <v>35411</v>
      </c>
      <c r="O75">
        <v>75</v>
      </c>
      <c r="P75" t="s">
        <v>3215</v>
      </c>
      <c r="Q75">
        <v>4.5</v>
      </c>
      <c r="R75">
        <v>97.98</v>
      </c>
      <c r="S75">
        <v>0.92</v>
      </c>
      <c r="T75">
        <v>20</v>
      </c>
      <c r="U75">
        <v>3217633.6023900001</v>
      </c>
      <c r="V75">
        <v>9014.7386420000003</v>
      </c>
      <c r="W75">
        <v>74</v>
      </c>
      <c r="X75">
        <v>0</v>
      </c>
      <c r="Y75">
        <v>73</v>
      </c>
      <c r="Z75" t="s">
        <v>6966</v>
      </c>
      <c r="AA75" t="s">
        <v>6966</v>
      </c>
      <c r="AB75" t="s">
        <v>6966</v>
      </c>
      <c r="AC75" t="s">
        <v>6966</v>
      </c>
      <c r="AD75" t="s">
        <v>6966</v>
      </c>
      <c r="AE75" t="s">
        <v>6966</v>
      </c>
      <c r="AF75" t="s">
        <v>6966</v>
      </c>
      <c r="AG75" t="s">
        <v>6966</v>
      </c>
      <c r="AH75" t="s">
        <v>6966</v>
      </c>
      <c r="AI75" t="s">
        <v>6966</v>
      </c>
      <c r="AJ75" t="s">
        <v>6966</v>
      </c>
      <c r="AK75" t="s">
        <v>6966</v>
      </c>
      <c r="AL75" t="s">
        <v>6966</v>
      </c>
      <c r="AM75" t="s">
        <v>6966</v>
      </c>
      <c r="AN75" t="s">
        <v>6966</v>
      </c>
      <c r="AO75" t="s">
        <v>6966</v>
      </c>
      <c r="AP75" t="s">
        <v>6966</v>
      </c>
      <c r="AQ75" t="s">
        <v>6966</v>
      </c>
      <c r="AR75" t="s">
        <v>6966</v>
      </c>
      <c r="AS75" t="s">
        <v>6966</v>
      </c>
      <c r="AT75" t="s">
        <v>6966</v>
      </c>
      <c r="AU75" t="s">
        <v>6966</v>
      </c>
      <c r="AV75" t="s">
        <v>6966</v>
      </c>
      <c r="AW75" t="s">
        <v>6966</v>
      </c>
      <c r="AX75" t="s">
        <v>6966</v>
      </c>
      <c r="AY75" t="s">
        <v>6966</v>
      </c>
      <c r="AZ75">
        <v>9.1048000000000004E-2</v>
      </c>
      <c r="BA75">
        <v>3.1599999999999998E-4</v>
      </c>
    </row>
    <row r="76" spans="1:53" x14ac:dyDescent="0.25">
      <c r="A76">
        <v>74</v>
      </c>
      <c r="B76" t="s">
        <v>7625</v>
      </c>
      <c r="C76">
        <v>101114</v>
      </c>
      <c r="D76" t="s">
        <v>795</v>
      </c>
      <c r="E76" t="s">
        <v>3217</v>
      </c>
      <c r="F76">
        <v>3655262.25</v>
      </c>
      <c r="G76">
        <v>11642.5625</v>
      </c>
      <c r="H76">
        <v>76</v>
      </c>
      <c r="I76">
        <v>206</v>
      </c>
      <c r="J76">
        <v>35261</v>
      </c>
      <c r="K76" t="s">
        <v>2196</v>
      </c>
      <c r="L76">
        <v>12</v>
      </c>
      <c r="M76">
        <v>12</v>
      </c>
      <c r="N76">
        <v>35261</v>
      </c>
      <c r="O76">
        <v>76</v>
      </c>
      <c r="P76" t="s">
        <v>3215</v>
      </c>
      <c r="Q76">
        <v>5.3</v>
      </c>
      <c r="R76">
        <v>222.6</v>
      </c>
      <c r="S76">
        <v>0.96</v>
      </c>
      <c r="T76">
        <v>40</v>
      </c>
      <c r="U76">
        <v>3655262.4152099998</v>
      </c>
      <c r="V76">
        <v>11642.561439999999</v>
      </c>
      <c r="W76">
        <v>75</v>
      </c>
      <c r="X76">
        <v>0</v>
      </c>
      <c r="Y76">
        <v>74</v>
      </c>
      <c r="Z76" t="s">
        <v>6966</v>
      </c>
      <c r="AA76" t="s">
        <v>6966</v>
      </c>
      <c r="AB76" t="s">
        <v>6966</v>
      </c>
      <c r="AC76" t="s">
        <v>6966</v>
      </c>
      <c r="AD76" t="s">
        <v>6966</v>
      </c>
      <c r="AE76" t="s">
        <v>6966</v>
      </c>
      <c r="AF76" t="s">
        <v>6966</v>
      </c>
      <c r="AG76" t="s">
        <v>6966</v>
      </c>
      <c r="AH76" t="s">
        <v>6966</v>
      </c>
      <c r="AI76" t="s">
        <v>6966</v>
      </c>
      <c r="AJ76" t="s">
        <v>6966</v>
      </c>
      <c r="AK76" t="s">
        <v>6966</v>
      </c>
      <c r="AL76" t="s">
        <v>6966</v>
      </c>
      <c r="AM76" t="s">
        <v>6966</v>
      </c>
      <c r="AN76" t="s">
        <v>6966</v>
      </c>
      <c r="AO76" t="s">
        <v>6966</v>
      </c>
      <c r="AP76" t="s">
        <v>6966</v>
      </c>
      <c r="AQ76" t="s">
        <v>6966</v>
      </c>
      <c r="AR76" t="s">
        <v>6966</v>
      </c>
      <c r="AS76" t="s">
        <v>6966</v>
      </c>
      <c r="AT76" t="s">
        <v>6966</v>
      </c>
      <c r="AU76" t="s">
        <v>6966</v>
      </c>
      <c r="AV76" t="s">
        <v>6966</v>
      </c>
      <c r="AW76" t="s">
        <v>6966</v>
      </c>
      <c r="AX76" t="s">
        <v>6966</v>
      </c>
      <c r="AY76" t="s">
        <v>6966</v>
      </c>
      <c r="AZ76">
        <v>0.111315</v>
      </c>
      <c r="BA76">
        <v>3.59E-4</v>
      </c>
    </row>
    <row r="77" spans="1:53" x14ac:dyDescent="0.25">
      <c r="A77">
        <v>75</v>
      </c>
      <c r="B77" t="s">
        <v>7625</v>
      </c>
      <c r="C77">
        <v>101138</v>
      </c>
      <c r="D77" t="s">
        <v>804</v>
      </c>
      <c r="E77" t="s">
        <v>3217</v>
      </c>
      <c r="F77">
        <v>2406061</v>
      </c>
      <c r="G77">
        <v>7631.7358400000003</v>
      </c>
      <c r="H77">
        <v>77</v>
      </c>
      <c r="I77">
        <v>207</v>
      </c>
      <c r="J77">
        <v>35281</v>
      </c>
      <c r="K77" t="s">
        <v>2203</v>
      </c>
      <c r="L77">
        <v>12</v>
      </c>
      <c r="M77">
        <v>12</v>
      </c>
      <c r="N77">
        <v>35281</v>
      </c>
      <c r="O77">
        <v>77</v>
      </c>
      <c r="P77" t="s">
        <v>3215</v>
      </c>
      <c r="Q77">
        <v>3.9</v>
      </c>
      <c r="R77">
        <v>116.87</v>
      </c>
      <c r="S77">
        <v>0.62</v>
      </c>
      <c r="T77">
        <v>18</v>
      </c>
      <c r="U77">
        <v>2406060.8891099999</v>
      </c>
      <c r="V77">
        <v>7631.7351420000005</v>
      </c>
      <c r="W77">
        <v>76</v>
      </c>
      <c r="X77">
        <v>0</v>
      </c>
      <c r="Y77">
        <v>75</v>
      </c>
      <c r="Z77" t="s">
        <v>6966</v>
      </c>
      <c r="AA77" t="s">
        <v>6966</v>
      </c>
      <c r="AB77" t="s">
        <v>6966</v>
      </c>
      <c r="AC77" t="s">
        <v>6966</v>
      </c>
      <c r="AD77" t="s">
        <v>6966</v>
      </c>
      <c r="AE77" t="s">
        <v>6966</v>
      </c>
      <c r="AF77" t="s">
        <v>6966</v>
      </c>
      <c r="AG77" t="s">
        <v>6966</v>
      </c>
      <c r="AH77" t="s">
        <v>6966</v>
      </c>
      <c r="AI77" t="s">
        <v>6966</v>
      </c>
      <c r="AJ77" t="s">
        <v>6966</v>
      </c>
      <c r="AK77" t="s">
        <v>6966</v>
      </c>
      <c r="AL77" t="s">
        <v>6966</v>
      </c>
      <c r="AM77" t="s">
        <v>6966</v>
      </c>
      <c r="AN77" t="s">
        <v>6966</v>
      </c>
      <c r="AO77" t="s">
        <v>6966</v>
      </c>
      <c r="AP77" t="s">
        <v>6966</v>
      </c>
      <c r="AQ77" t="s">
        <v>6966</v>
      </c>
      <c r="AR77" t="s">
        <v>6966</v>
      </c>
      <c r="AS77" t="s">
        <v>6966</v>
      </c>
      <c r="AT77" t="s">
        <v>6966</v>
      </c>
      <c r="AU77" t="s">
        <v>6966</v>
      </c>
      <c r="AV77" t="s">
        <v>6966</v>
      </c>
      <c r="AW77" t="s">
        <v>6966</v>
      </c>
      <c r="AX77" t="s">
        <v>6966</v>
      </c>
      <c r="AY77" t="s">
        <v>6966</v>
      </c>
      <c r="AZ77">
        <v>7.6049000000000005E-2</v>
      </c>
      <c r="BA77">
        <v>2.3599999999999999E-4</v>
      </c>
    </row>
    <row r="78" spans="1:53" x14ac:dyDescent="0.25">
      <c r="A78">
        <v>76</v>
      </c>
      <c r="B78" t="s">
        <v>7625</v>
      </c>
      <c r="C78">
        <v>101054</v>
      </c>
      <c r="D78" t="s">
        <v>7664</v>
      </c>
      <c r="E78" t="s">
        <v>3217</v>
      </c>
      <c r="F78">
        <v>595756.0625</v>
      </c>
      <c r="G78">
        <v>5045.4897460000002</v>
      </c>
      <c r="H78">
        <v>78</v>
      </c>
      <c r="I78">
        <v>208</v>
      </c>
      <c r="J78">
        <v>35443</v>
      </c>
      <c r="K78" t="s">
        <v>7665</v>
      </c>
      <c r="L78">
        <v>12</v>
      </c>
      <c r="M78">
        <v>12</v>
      </c>
      <c r="N78">
        <v>35443</v>
      </c>
      <c r="O78">
        <v>78</v>
      </c>
      <c r="P78" t="s">
        <v>3215</v>
      </c>
      <c r="Q78">
        <v>6.5</v>
      </c>
      <c r="R78">
        <v>67.25</v>
      </c>
      <c r="S78">
        <v>1.01</v>
      </c>
      <c r="T78">
        <v>10</v>
      </c>
      <c r="U78">
        <v>595756.03757799999</v>
      </c>
      <c r="V78">
        <v>5045.4897129999999</v>
      </c>
      <c r="W78">
        <v>77</v>
      </c>
      <c r="X78">
        <v>0</v>
      </c>
      <c r="Y78">
        <v>76</v>
      </c>
      <c r="Z78" t="s">
        <v>6966</v>
      </c>
      <c r="AA78" t="s">
        <v>6966</v>
      </c>
      <c r="AB78" t="s">
        <v>6966</v>
      </c>
      <c r="AC78" t="s">
        <v>6966</v>
      </c>
      <c r="AD78" t="s">
        <v>6966</v>
      </c>
      <c r="AE78" t="s">
        <v>6966</v>
      </c>
      <c r="AF78" t="s">
        <v>6966</v>
      </c>
      <c r="AG78" t="s">
        <v>6966</v>
      </c>
      <c r="AH78" t="s">
        <v>6966</v>
      </c>
      <c r="AI78" t="s">
        <v>6966</v>
      </c>
      <c r="AJ78" t="s">
        <v>6966</v>
      </c>
      <c r="AK78" t="s">
        <v>6966</v>
      </c>
      <c r="AL78" t="s">
        <v>6966</v>
      </c>
      <c r="AM78" t="s">
        <v>6966</v>
      </c>
      <c r="AN78" t="s">
        <v>6966</v>
      </c>
      <c r="AO78" t="s">
        <v>6966</v>
      </c>
      <c r="AP78" t="s">
        <v>6966</v>
      </c>
      <c r="AQ78" t="s">
        <v>6966</v>
      </c>
      <c r="AR78" t="s">
        <v>6966</v>
      </c>
      <c r="AS78" t="s">
        <v>6966</v>
      </c>
      <c r="AT78" t="s">
        <v>6966</v>
      </c>
      <c r="AU78" t="s">
        <v>6966</v>
      </c>
      <c r="AV78" t="s">
        <v>6966</v>
      </c>
      <c r="AW78" t="s">
        <v>6966</v>
      </c>
      <c r="AX78" t="s">
        <v>6966</v>
      </c>
      <c r="AY78" t="s">
        <v>6966</v>
      </c>
      <c r="AZ78">
        <v>5.1776999999999997E-2</v>
      </c>
      <c r="BA78">
        <v>5.8999999999999998E-5</v>
      </c>
    </row>
    <row r="79" spans="1:53" x14ac:dyDescent="0.25">
      <c r="A79">
        <v>77</v>
      </c>
      <c r="B79" t="s">
        <v>7625</v>
      </c>
      <c r="C79">
        <v>101087</v>
      </c>
      <c r="D79" t="s">
        <v>853</v>
      </c>
      <c r="E79" t="s">
        <v>3217</v>
      </c>
      <c r="F79">
        <v>743369.625</v>
      </c>
      <c r="G79">
        <v>4238.2294920000004</v>
      </c>
      <c r="H79">
        <v>79</v>
      </c>
      <c r="I79">
        <v>209</v>
      </c>
      <c r="J79">
        <v>35431</v>
      </c>
      <c r="K79" t="s">
        <v>2239</v>
      </c>
      <c r="L79">
        <v>12</v>
      </c>
      <c r="M79">
        <v>12</v>
      </c>
      <c r="N79">
        <v>35431</v>
      </c>
      <c r="O79">
        <v>79</v>
      </c>
      <c r="P79" t="s">
        <v>3215</v>
      </c>
      <c r="Q79">
        <v>10.5</v>
      </c>
      <c r="R79">
        <v>71.319999999999993</v>
      </c>
      <c r="S79">
        <v>1.79</v>
      </c>
      <c r="T79">
        <v>12</v>
      </c>
      <c r="U79">
        <v>743369.64051699999</v>
      </c>
      <c r="V79">
        <v>4238.2294160000001</v>
      </c>
      <c r="W79">
        <v>78</v>
      </c>
      <c r="X79">
        <v>0</v>
      </c>
      <c r="Y79">
        <v>77</v>
      </c>
      <c r="Z79" t="s">
        <v>6966</v>
      </c>
      <c r="AA79" t="s">
        <v>6966</v>
      </c>
      <c r="AB79" t="s">
        <v>6966</v>
      </c>
      <c r="AC79" t="s">
        <v>6966</v>
      </c>
      <c r="AD79" t="s">
        <v>6966</v>
      </c>
      <c r="AE79" t="s">
        <v>6966</v>
      </c>
      <c r="AF79" t="s">
        <v>6966</v>
      </c>
      <c r="AG79" t="s">
        <v>6966</v>
      </c>
      <c r="AH79" t="s">
        <v>6966</v>
      </c>
      <c r="AI79" t="s">
        <v>6966</v>
      </c>
      <c r="AJ79" t="s">
        <v>6966</v>
      </c>
      <c r="AK79" t="s">
        <v>6966</v>
      </c>
      <c r="AL79" t="s">
        <v>6966</v>
      </c>
      <c r="AM79" t="s">
        <v>6966</v>
      </c>
      <c r="AN79" t="s">
        <v>6966</v>
      </c>
      <c r="AO79" t="s">
        <v>6966</v>
      </c>
      <c r="AP79" t="s">
        <v>6966</v>
      </c>
      <c r="AQ79" t="s">
        <v>6966</v>
      </c>
      <c r="AR79" t="s">
        <v>6966</v>
      </c>
      <c r="AS79" t="s">
        <v>6966</v>
      </c>
      <c r="AT79" t="s">
        <v>6966</v>
      </c>
      <c r="AU79" t="s">
        <v>6966</v>
      </c>
      <c r="AV79" t="s">
        <v>6966</v>
      </c>
      <c r="AW79" t="s">
        <v>6966</v>
      </c>
      <c r="AX79" t="s">
        <v>6966</v>
      </c>
      <c r="AY79" t="s">
        <v>6966</v>
      </c>
      <c r="AZ79">
        <v>4.2813999999999998E-2</v>
      </c>
      <c r="BA79">
        <v>7.2999999999999999E-5</v>
      </c>
    </row>
    <row r="80" spans="1:53" x14ac:dyDescent="0.25">
      <c r="A80">
        <v>78</v>
      </c>
      <c r="B80" t="s">
        <v>7625</v>
      </c>
      <c r="C80">
        <v>101091</v>
      </c>
      <c r="D80" t="s">
        <v>770</v>
      </c>
      <c r="E80" t="s">
        <v>3217</v>
      </c>
      <c r="F80">
        <v>4835001</v>
      </c>
      <c r="G80">
        <v>13172.227539</v>
      </c>
      <c r="H80">
        <v>80</v>
      </c>
      <c r="I80">
        <v>210</v>
      </c>
      <c r="J80">
        <v>35216</v>
      </c>
      <c r="K80" t="s">
        <v>7666</v>
      </c>
      <c r="L80">
        <v>12</v>
      </c>
      <c r="M80">
        <v>12</v>
      </c>
      <c r="N80">
        <v>35216</v>
      </c>
      <c r="O80">
        <v>80</v>
      </c>
      <c r="P80" t="s">
        <v>3215</v>
      </c>
      <c r="Q80">
        <v>7.6</v>
      </c>
      <c r="R80">
        <v>124.43</v>
      </c>
      <c r="S80">
        <v>1.43</v>
      </c>
      <c r="T80">
        <v>23</v>
      </c>
      <c r="U80">
        <v>4835000.8524200004</v>
      </c>
      <c r="V80">
        <v>13172.226758000001</v>
      </c>
      <c r="W80">
        <v>79</v>
      </c>
      <c r="X80">
        <v>0</v>
      </c>
      <c r="Y80">
        <v>78</v>
      </c>
      <c r="Z80" t="s">
        <v>6966</v>
      </c>
      <c r="AA80" t="s">
        <v>6966</v>
      </c>
      <c r="AB80" t="s">
        <v>6966</v>
      </c>
      <c r="AC80" t="s">
        <v>6966</v>
      </c>
      <c r="AD80" t="s">
        <v>6966</v>
      </c>
      <c r="AE80" t="s">
        <v>6966</v>
      </c>
      <c r="AF80" t="s">
        <v>6966</v>
      </c>
      <c r="AG80" t="s">
        <v>6966</v>
      </c>
      <c r="AH80" t="s">
        <v>6966</v>
      </c>
      <c r="AI80" t="s">
        <v>6966</v>
      </c>
      <c r="AJ80" t="s">
        <v>6966</v>
      </c>
      <c r="AK80" t="s">
        <v>6966</v>
      </c>
      <c r="AL80" t="s">
        <v>6966</v>
      </c>
      <c r="AM80" t="s">
        <v>6966</v>
      </c>
      <c r="AN80" t="s">
        <v>6966</v>
      </c>
      <c r="AO80" t="s">
        <v>6966</v>
      </c>
      <c r="AP80" t="s">
        <v>6966</v>
      </c>
      <c r="AQ80" t="s">
        <v>6966</v>
      </c>
      <c r="AR80" t="s">
        <v>6966</v>
      </c>
      <c r="AS80" t="s">
        <v>6966</v>
      </c>
      <c r="AT80" t="s">
        <v>6966</v>
      </c>
      <c r="AU80" t="s">
        <v>6966</v>
      </c>
      <c r="AV80" t="s">
        <v>6966</v>
      </c>
      <c r="AW80" t="s">
        <v>6966</v>
      </c>
      <c r="AX80" t="s">
        <v>6966</v>
      </c>
      <c r="AY80" t="s">
        <v>6966</v>
      </c>
      <c r="AZ80">
        <v>0.13165499999999999</v>
      </c>
      <c r="BA80">
        <v>4.75E-4</v>
      </c>
    </row>
    <row r="81" spans="1:53" x14ac:dyDescent="0.25">
      <c r="A81">
        <v>79</v>
      </c>
      <c r="B81" t="s">
        <v>7625</v>
      </c>
      <c r="C81">
        <v>101101</v>
      </c>
      <c r="D81" t="s">
        <v>732</v>
      </c>
      <c r="E81" t="s">
        <v>3217</v>
      </c>
      <c r="F81">
        <v>4023783.75</v>
      </c>
      <c r="G81">
        <v>10359.379883</v>
      </c>
      <c r="H81">
        <v>81</v>
      </c>
      <c r="I81">
        <v>211</v>
      </c>
      <c r="J81">
        <v>35128</v>
      </c>
      <c r="K81" t="s">
        <v>1273</v>
      </c>
      <c r="L81">
        <v>12</v>
      </c>
      <c r="M81">
        <v>12</v>
      </c>
      <c r="N81">
        <v>35128</v>
      </c>
      <c r="O81">
        <v>81</v>
      </c>
      <c r="P81" t="s">
        <v>3215</v>
      </c>
      <c r="Q81">
        <v>1.5</v>
      </c>
      <c r="R81">
        <v>126.59</v>
      </c>
      <c r="S81">
        <v>0.24</v>
      </c>
      <c r="T81">
        <v>20</v>
      </c>
      <c r="U81">
        <v>4023783.7434200002</v>
      </c>
      <c r="V81">
        <v>10359.379822999999</v>
      </c>
      <c r="W81">
        <v>80</v>
      </c>
      <c r="X81">
        <v>0</v>
      </c>
      <c r="Y81">
        <v>79</v>
      </c>
      <c r="Z81" t="s">
        <v>6966</v>
      </c>
      <c r="AA81" t="s">
        <v>6966</v>
      </c>
      <c r="AB81" t="s">
        <v>6966</v>
      </c>
      <c r="AC81" t="s">
        <v>6966</v>
      </c>
      <c r="AD81" t="s">
        <v>6966</v>
      </c>
      <c r="AE81" t="s">
        <v>6966</v>
      </c>
      <c r="AF81" t="s">
        <v>6966</v>
      </c>
      <c r="AG81" t="s">
        <v>6966</v>
      </c>
      <c r="AH81" t="s">
        <v>6966</v>
      </c>
      <c r="AI81" t="s">
        <v>6966</v>
      </c>
      <c r="AJ81" t="s">
        <v>6966</v>
      </c>
      <c r="AK81" t="s">
        <v>6966</v>
      </c>
      <c r="AL81" t="s">
        <v>6966</v>
      </c>
      <c r="AM81" t="s">
        <v>6966</v>
      </c>
      <c r="AN81" t="s">
        <v>6966</v>
      </c>
      <c r="AO81" t="s">
        <v>6966</v>
      </c>
      <c r="AP81" t="s">
        <v>6966</v>
      </c>
      <c r="AQ81" t="s">
        <v>6966</v>
      </c>
      <c r="AR81" t="s">
        <v>6966</v>
      </c>
      <c r="AS81" t="s">
        <v>6966</v>
      </c>
      <c r="AT81" t="s">
        <v>6966</v>
      </c>
      <c r="AU81" t="s">
        <v>6966</v>
      </c>
      <c r="AV81" t="s">
        <v>6966</v>
      </c>
      <c r="AW81" t="s">
        <v>6966</v>
      </c>
      <c r="AX81" t="s">
        <v>6966</v>
      </c>
      <c r="AY81" t="s">
        <v>6966</v>
      </c>
      <c r="AZ81">
        <v>0.10536</v>
      </c>
      <c r="BA81">
        <v>3.9500000000000001E-4</v>
      </c>
    </row>
    <row r="82" spans="1:53" x14ac:dyDescent="0.25">
      <c r="A82">
        <v>80</v>
      </c>
      <c r="B82" t="s">
        <v>7625</v>
      </c>
      <c r="C82">
        <v>101067</v>
      </c>
      <c r="D82" t="s">
        <v>874</v>
      </c>
      <c r="E82" t="s">
        <v>3217</v>
      </c>
      <c r="F82">
        <v>1712577.75</v>
      </c>
      <c r="G82">
        <v>5912.6293949999999</v>
      </c>
      <c r="H82">
        <v>82</v>
      </c>
      <c r="I82">
        <v>212</v>
      </c>
      <c r="J82">
        <v>35470</v>
      </c>
      <c r="K82" t="s">
        <v>2257</v>
      </c>
      <c r="L82">
        <v>12</v>
      </c>
      <c r="M82">
        <v>12</v>
      </c>
      <c r="N82">
        <v>35470</v>
      </c>
      <c r="O82">
        <v>82</v>
      </c>
      <c r="P82" t="s">
        <v>3215</v>
      </c>
      <c r="Q82">
        <v>0.1</v>
      </c>
      <c r="R82">
        <v>0</v>
      </c>
      <c r="S82">
        <v>0.01</v>
      </c>
      <c r="T82">
        <v>0</v>
      </c>
      <c r="U82">
        <v>1712577.8476</v>
      </c>
      <c r="V82">
        <v>5912.6287830000001</v>
      </c>
      <c r="W82">
        <v>81</v>
      </c>
      <c r="X82">
        <v>0</v>
      </c>
      <c r="Y82">
        <v>80</v>
      </c>
      <c r="Z82" t="s">
        <v>6966</v>
      </c>
      <c r="AA82" t="s">
        <v>6966</v>
      </c>
      <c r="AB82" t="s">
        <v>6966</v>
      </c>
      <c r="AC82" t="s">
        <v>6966</v>
      </c>
      <c r="AD82" t="s">
        <v>6966</v>
      </c>
      <c r="AE82" t="s">
        <v>6966</v>
      </c>
      <c r="AF82" t="s">
        <v>6966</v>
      </c>
      <c r="AG82" t="s">
        <v>6966</v>
      </c>
      <c r="AH82" t="s">
        <v>6966</v>
      </c>
      <c r="AI82" t="s">
        <v>6966</v>
      </c>
      <c r="AJ82" t="s">
        <v>6966</v>
      </c>
      <c r="AK82" t="s">
        <v>6966</v>
      </c>
      <c r="AL82" t="s">
        <v>6966</v>
      </c>
      <c r="AM82" t="s">
        <v>6966</v>
      </c>
      <c r="AN82" t="s">
        <v>6966</v>
      </c>
      <c r="AO82" t="s">
        <v>6966</v>
      </c>
      <c r="AP82" t="s">
        <v>6966</v>
      </c>
      <c r="AQ82" t="s">
        <v>6966</v>
      </c>
      <c r="AR82" t="s">
        <v>6966</v>
      </c>
      <c r="AS82" t="s">
        <v>6966</v>
      </c>
      <c r="AT82" t="s">
        <v>6966</v>
      </c>
      <c r="AU82" t="s">
        <v>6966</v>
      </c>
      <c r="AV82" t="s">
        <v>6966</v>
      </c>
      <c r="AW82" t="s">
        <v>6966</v>
      </c>
      <c r="AX82" t="s">
        <v>6966</v>
      </c>
      <c r="AY82" t="s">
        <v>6966</v>
      </c>
      <c r="AZ82">
        <v>6.0144999999999997E-2</v>
      </c>
      <c r="BA82">
        <v>1.6799999999999999E-4</v>
      </c>
    </row>
    <row r="83" spans="1:53" x14ac:dyDescent="0.25">
      <c r="A83">
        <v>81</v>
      </c>
      <c r="B83" t="s">
        <v>7625</v>
      </c>
      <c r="C83">
        <v>101028</v>
      </c>
      <c r="D83" t="s">
        <v>855</v>
      </c>
      <c r="E83" t="s">
        <v>3217</v>
      </c>
      <c r="F83">
        <v>1146535.25</v>
      </c>
      <c r="G83">
        <v>6150.8374020000001</v>
      </c>
      <c r="H83">
        <v>83</v>
      </c>
      <c r="I83">
        <v>213</v>
      </c>
      <c r="J83">
        <v>35433</v>
      </c>
      <c r="K83" t="s">
        <v>2241</v>
      </c>
      <c r="L83">
        <v>12</v>
      </c>
      <c r="M83">
        <v>12</v>
      </c>
      <c r="N83">
        <v>35433</v>
      </c>
      <c r="O83">
        <v>83</v>
      </c>
      <c r="P83" t="s">
        <v>3215</v>
      </c>
      <c r="Q83">
        <v>2.9</v>
      </c>
      <c r="R83">
        <v>47.37</v>
      </c>
      <c r="S83">
        <v>0.45</v>
      </c>
      <c r="T83">
        <v>7</v>
      </c>
      <c r="U83">
        <v>1146535.20793</v>
      </c>
      <c r="V83">
        <v>6150.8375210000004</v>
      </c>
      <c r="W83">
        <v>82</v>
      </c>
      <c r="X83">
        <v>0</v>
      </c>
      <c r="Y83">
        <v>81</v>
      </c>
      <c r="Z83" t="s">
        <v>6966</v>
      </c>
      <c r="AA83" t="s">
        <v>6966</v>
      </c>
      <c r="AB83" t="s">
        <v>6966</v>
      </c>
      <c r="AC83" t="s">
        <v>6966</v>
      </c>
      <c r="AD83" t="s">
        <v>6966</v>
      </c>
      <c r="AE83" t="s">
        <v>6966</v>
      </c>
      <c r="AF83" t="s">
        <v>6966</v>
      </c>
      <c r="AG83" t="s">
        <v>6966</v>
      </c>
      <c r="AH83" t="s">
        <v>6966</v>
      </c>
      <c r="AI83" t="s">
        <v>6966</v>
      </c>
      <c r="AJ83" t="s">
        <v>6966</v>
      </c>
      <c r="AK83" t="s">
        <v>6966</v>
      </c>
      <c r="AL83" t="s">
        <v>6966</v>
      </c>
      <c r="AM83" t="s">
        <v>6966</v>
      </c>
      <c r="AN83" t="s">
        <v>6966</v>
      </c>
      <c r="AO83" t="s">
        <v>6966</v>
      </c>
      <c r="AP83" t="s">
        <v>6966</v>
      </c>
      <c r="AQ83" t="s">
        <v>6966</v>
      </c>
      <c r="AR83" t="s">
        <v>6966</v>
      </c>
      <c r="AS83" t="s">
        <v>6966</v>
      </c>
      <c r="AT83" t="s">
        <v>6966</v>
      </c>
      <c r="AU83" t="s">
        <v>6966</v>
      </c>
      <c r="AV83" t="s">
        <v>6966</v>
      </c>
      <c r="AW83" t="s">
        <v>6966</v>
      </c>
      <c r="AX83" t="s">
        <v>6966</v>
      </c>
      <c r="AY83" t="s">
        <v>6966</v>
      </c>
      <c r="AZ83">
        <v>6.2405000000000002E-2</v>
      </c>
      <c r="BA83">
        <v>1.13E-4</v>
      </c>
    </row>
    <row r="84" spans="1:53" x14ac:dyDescent="0.25">
      <c r="A84">
        <v>82</v>
      </c>
      <c r="B84" t="s">
        <v>7625</v>
      </c>
      <c r="C84">
        <v>101051</v>
      </c>
      <c r="D84" t="s">
        <v>859</v>
      </c>
      <c r="E84" t="s">
        <v>3217</v>
      </c>
      <c r="F84">
        <v>5844285</v>
      </c>
      <c r="G84">
        <v>19553.402343999998</v>
      </c>
      <c r="H84">
        <v>84</v>
      </c>
      <c r="I84">
        <v>214</v>
      </c>
      <c r="J84">
        <v>35441</v>
      </c>
      <c r="K84" t="s">
        <v>2244</v>
      </c>
      <c r="L84">
        <v>12</v>
      </c>
      <c r="M84">
        <v>12</v>
      </c>
      <c r="N84">
        <v>35441</v>
      </c>
      <c r="O84">
        <v>84</v>
      </c>
      <c r="P84" t="s">
        <v>3215</v>
      </c>
      <c r="Q84">
        <v>1.1000000000000001</v>
      </c>
      <c r="R84">
        <v>47.12</v>
      </c>
      <c r="S84">
        <v>0.17</v>
      </c>
      <c r="T84">
        <v>7</v>
      </c>
      <c r="U84">
        <v>5844284.9156400003</v>
      </c>
      <c r="V84">
        <v>19553.401676000001</v>
      </c>
      <c r="W84">
        <v>83</v>
      </c>
      <c r="X84">
        <v>0</v>
      </c>
      <c r="Y84">
        <v>82</v>
      </c>
      <c r="Z84" t="s">
        <v>6966</v>
      </c>
      <c r="AA84" t="s">
        <v>6966</v>
      </c>
      <c r="AB84" t="s">
        <v>6966</v>
      </c>
      <c r="AC84" t="s">
        <v>6966</v>
      </c>
      <c r="AD84" t="s">
        <v>6966</v>
      </c>
      <c r="AE84" t="s">
        <v>6966</v>
      </c>
      <c r="AF84" t="s">
        <v>6966</v>
      </c>
      <c r="AG84" t="s">
        <v>6966</v>
      </c>
      <c r="AH84" t="s">
        <v>6966</v>
      </c>
      <c r="AI84" t="s">
        <v>6966</v>
      </c>
      <c r="AJ84" t="s">
        <v>6966</v>
      </c>
      <c r="AK84" t="s">
        <v>6966</v>
      </c>
      <c r="AL84" t="s">
        <v>6966</v>
      </c>
      <c r="AM84" t="s">
        <v>6966</v>
      </c>
      <c r="AN84" t="s">
        <v>6966</v>
      </c>
      <c r="AO84" t="s">
        <v>6966</v>
      </c>
      <c r="AP84" t="s">
        <v>6966</v>
      </c>
      <c r="AQ84" t="s">
        <v>6966</v>
      </c>
      <c r="AR84" t="s">
        <v>6966</v>
      </c>
      <c r="AS84" t="s">
        <v>6966</v>
      </c>
      <c r="AT84" t="s">
        <v>6966</v>
      </c>
      <c r="AU84" t="s">
        <v>6966</v>
      </c>
      <c r="AV84" t="s">
        <v>6966</v>
      </c>
      <c r="AW84" t="s">
        <v>6966</v>
      </c>
      <c r="AX84" t="s">
        <v>6966</v>
      </c>
      <c r="AY84" t="s">
        <v>6966</v>
      </c>
      <c r="AZ84">
        <v>0.19745699999999999</v>
      </c>
      <c r="BA84">
        <v>5.7399999999999997E-4</v>
      </c>
    </row>
    <row r="85" spans="1:53" x14ac:dyDescent="0.25">
      <c r="A85">
        <v>83</v>
      </c>
      <c r="B85" t="s">
        <v>7625</v>
      </c>
      <c r="C85">
        <v>101070</v>
      </c>
      <c r="D85" t="s">
        <v>774</v>
      </c>
      <c r="E85" t="s">
        <v>3217</v>
      </c>
      <c r="F85">
        <v>2531048.75</v>
      </c>
      <c r="G85">
        <v>8284.2978519999997</v>
      </c>
      <c r="H85">
        <v>85</v>
      </c>
      <c r="I85">
        <v>215</v>
      </c>
      <c r="J85">
        <v>35223</v>
      </c>
      <c r="K85" t="s">
        <v>7667</v>
      </c>
      <c r="L85">
        <v>12</v>
      </c>
      <c r="M85">
        <v>12</v>
      </c>
      <c r="N85">
        <v>35223</v>
      </c>
      <c r="O85">
        <v>85</v>
      </c>
      <c r="P85" t="s">
        <v>3215</v>
      </c>
      <c r="Q85">
        <v>1</v>
      </c>
      <c r="R85">
        <v>0</v>
      </c>
      <c r="S85">
        <v>0.23</v>
      </c>
      <c r="T85">
        <v>0</v>
      </c>
      <c r="U85">
        <v>2531048.7610399998</v>
      </c>
      <c r="V85">
        <v>8284.297208</v>
      </c>
      <c r="W85">
        <v>84</v>
      </c>
      <c r="X85">
        <v>0</v>
      </c>
      <c r="Y85">
        <v>83</v>
      </c>
      <c r="Z85" t="s">
        <v>6966</v>
      </c>
      <c r="AA85" t="s">
        <v>6966</v>
      </c>
      <c r="AB85" t="s">
        <v>6966</v>
      </c>
      <c r="AC85" t="s">
        <v>6966</v>
      </c>
      <c r="AD85" t="s">
        <v>6966</v>
      </c>
      <c r="AE85" t="s">
        <v>6966</v>
      </c>
      <c r="AF85" t="s">
        <v>6966</v>
      </c>
      <c r="AG85" t="s">
        <v>6966</v>
      </c>
      <c r="AH85" t="s">
        <v>6966</v>
      </c>
      <c r="AI85" t="s">
        <v>6966</v>
      </c>
      <c r="AJ85" t="s">
        <v>6966</v>
      </c>
      <c r="AK85" t="s">
        <v>6966</v>
      </c>
      <c r="AL85" t="s">
        <v>6966</v>
      </c>
      <c r="AM85" t="s">
        <v>6966</v>
      </c>
      <c r="AN85" t="s">
        <v>6966</v>
      </c>
      <c r="AO85" t="s">
        <v>6966</v>
      </c>
      <c r="AP85" t="s">
        <v>6966</v>
      </c>
      <c r="AQ85" t="s">
        <v>6966</v>
      </c>
      <c r="AR85" t="s">
        <v>6966</v>
      </c>
      <c r="AS85" t="s">
        <v>6966</v>
      </c>
      <c r="AT85" t="s">
        <v>6966</v>
      </c>
      <c r="AU85" t="s">
        <v>6966</v>
      </c>
      <c r="AV85" t="s">
        <v>6966</v>
      </c>
      <c r="AW85" t="s">
        <v>6966</v>
      </c>
      <c r="AX85" t="s">
        <v>6966</v>
      </c>
      <c r="AY85" t="s">
        <v>6966</v>
      </c>
      <c r="AZ85">
        <v>8.3956000000000003E-2</v>
      </c>
      <c r="BA85">
        <v>2.4899999999999998E-4</v>
      </c>
    </row>
    <row r="86" spans="1:53" x14ac:dyDescent="0.25">
      <c r="A86">
        <v>84</v>
      </c>
      <c r="B86" t="s">
        <v>7625</v>
      </c>
      <c r="C86">
        <v>101082</v>
      </c>
      <c r="D86" t="s">
        <v>748</v>
      </c>
      <c r="E86" t="s">
        <v>3217</v>
      </c>
      <c r="F86">
        <v>1648856.25</v>
      </c>
      <c r="G86">
        <v>7631.2646480000003</v>
      </c>
      <c r="H86">
        <v>86</v>
      </c>
      <c r="I86">
        <v>216</v>
      </c>
      <c r="J86">
        <v>35157</v>
      </c>
      <c r="K86" t="s">
        <v>748</v>
      </c>
      <c r="L86">
        <v>12</v>
      </c>
      <c r="M86">
        <v>12</v>
      </c>
      <c r="N86">
        <v>35157</v>
      </c>
      <c r="O86">
        <v>86</v>
      </c>
      <c r="P86" t="s">
        <v>3215</v>
      </c>
      <c r="Q86">
        <v>1.5</v>
      </c>
      <c r="R86">
        <v>45.21</v>
      </c>
      <c r="S86">
        <v>0.27</v>
      </c>
      <c r="T86">
        <v>8</v>
      </c>
      <c r="U86">
        <v>1648856.22529</v>
      </c>
      <c r="V86">
        <v>7631.265429</v>
      </c>
      <c r="W86">
        <v>85</v>
      </c>
      <c r="X86">
        <v>0</v>
      </c>
      <c r="Y86">
        <v>84</v>
      </c>
      <c r="Z86" t="s">
        <v>6966</v>
      </c>
      <c r="AA86" t="s">
        <v>6966</v>
      </c>
      <c r="AB86" t="s">
        <v>6966</v>
      </c>
      <c r="AC86" t="s">
        <v>6966</v>
      </c>
      <c r="AD86" t="s">
        <v>6966</v>
      </c>
      <c r="AE86" t="s">
        <v>6966</v>
      </c>
      <c r="AF86" t="s">
        <v>6966</v>
      </c>
      <c r="AG86" t="s">
        <v>6966</v>
      </c>
      <c r="AH86" t="s">
        <v>6966</v>
      </c>
      <c r="AI86" t="s">
        <v>6966</v>
      </c>
      <c r="AJ86" t="s">
        <v>6966</v>
      </c>
      <c r="AK86" t="s">
        <v>6966</v>
      </c>
      <c r="AL86" t="s">
        <v>6966</v>
      </c>
      <c r="AM86" t="s">
        <v>6966</v>
      </c>
      <c r="AN86" t="s">
        <v>6966</v>
      </c>
      <c r="AO86" t="s">
        <v>6966</v>
      </c>
      <c r="AP86" t="s">
        <v>6966</v>
      </c>
      <c r="AQ86" t="s">
        <v>6966</v>
      </c>
      <c r="AR86" t="s">
        <v>6966</v>
      </c>
      <c r="AS86" t="s">
        <v>6966</v>
      </c>
      <c r="AT86" t="s">
        <v>6966</v>
      </c>
      <c r="AU86" t="s">
        <v>6966</v>
      </c>
      <c r="AV86" t="s">
        <v>6966</v>
      </c>
      <c r="AW86" t="s">
        <v>6966</v>
      </c>
      <c r="AX86" t="s">
        <v>6966</v>
      </c>
      <c r="AY86" t="s">
        <v>6966</v>
      </c>
      <c r="AZ86">
        <v>7.5018000000000001E-2</v>
      </c>
      <c r="BA86">
        <v>1.6200000000000001E-4</v>
      </c>
    </row>
    <row r="87" spans="1:53" ht="255" x14ac:dyDescent="0.25">
      <c r="A87">
        <v>85</v>
      </c>
      <c r="B87" t="s">
        <v>7625</v>
      </c>
      <c r="C87">
        <v>101060</v>
      </c>
      <c r="D87" t="s">
        <v>722</v>
      </c>
      <c r="E87" t="s">
        <v>3217</v>
      </c>
      <c r="F87">
        <v>4998010.5</v>
      </c>
      <c r="G87">
        <v>13652.384765999999</v>
      </c>
      <c r="H87">
        <v>87</v>
      </c>
      <c r="I87">
        <v>217</v>
      </c>
      <c r="J87">
        <v>35111</v>
      </c>
      <c r="K87" t="s">
        <v>722</v>
      </c>
      <c r="L87">
        <v>12</v>
      </c>
      <c r="M87">
        <v>12</v>
      </c>
      <c r="N87">
        <v>35111</v>
      </c>
      <c r="O87">
        <v>87</v>
      </c>
      <c r="P87" t="s">
        <v>3215</v>
      </c>
      <c r="Q87">
        <v>11.7</v>
      </c>
      <c r="R87">
        <v>120.87</v>
      </c>
      <c r="S87">
        <v>2.23</v>
      </c>
      <c r="T87">
        <v>23</v>
      </c>
      <c r="U87">
        <v>4998010.7817000002</v>
      </c>
      <c r="V87">
        <v>13652.385077000001</v>
      </c>
      <c r="W87">
        <v>86</v>
      </c>
      <c r="X87">
        <v>3</v>
      </c>
      <c r="Y87">
        <v>85</v>
      </c>
      <c r="Z87">
        <v>59227</v>
      </c>
      <c r="AA87" s="76">
        <v>45739</v>
      </c>
      <c r="AB87">
        <v>2025</v>
      </c>
      <c r="AC87" t="s">
        <v>7104</v>
      </c>
      <c r="AD87">
        <v>23</v>
      </c>
      <c r="AE87" t="s">
        <v>7166</v>
      </c>
      <c r="AF87" t="s">
        <v>3217</v>
      </c>
      <c r="AG87" t="s">
        <v>3217</v>
      </c>
      <c r="AH87" t="s">
        <v>722</v>
      </c>
      <c r="AI87" t="s">
        <v>722</v>
      </c>
      <c r="AJ87" t="s">
        <v>6966</v>
      </c>
      <c r="AK87">
        <v>34.543329999999997</v>
      </c>
      <c r="AL87">
        <v>36.0777</v>
      </c>
      <c r="AM87" t="s">
        <v>6995</v>
      </c>
      <c r="AN87" t="s">
        <v>7014</v>
      </c>
      <c r="AO87" t="s">
        <v>7077</v>
      </c>
      <c r="AP87" t="s">
        <v>7167</v>
      </c>
      <c r="AQ87" t="s">
        <v>6998</v>
      </c>
      <c r="AR87" t="s">
        <v>6999</v>
      </c>
      <c r="AS87" t="s">
        <v>7000</v>
      </c>
      <c r="AT87">
        <v>0</v>
      </c>
      <c r="AU87">
        <v>0</v>
      </c>
      <c r="AV87" s="77" t="s">
        <v>7168</v>
      </c>
      <c r="AW87" t="s">
        <v>7043</v>
      </c>
      <c r="AX87" t="s">
        <v>6966</v>
      </c>
      <c r="AY87" t="s">
        <v>7114</v>
      </c>
      <c r="AZ87">
        <v>0.13497400000000001</v>
      </c>
      <c r="BA87">
        <v>4.9100000000000001E-4</v>
      </c>
    </row>
    <row r="88" spans="1:53" x14ac:dyDescent="0.25">
      <c r="A88">
        <v>86</v>
      </c>
      <c r="B88" t="s">
        <v>7625</v>
      </c>
      <c r="C88">
        <v>101083</v>
      </c>
      <c r="D88" t="s">
        <v>781</v>
      </c>
      <c r="E88" t="s">
        <v>3217</v>
      </c>
      <c r="F88">
        <v>4183137</v>
      </c>
      <c r="G88">
        <v>9495.7373050000006</v>
      </c>
      <c r="H88">
        <v>88</v>
      </c>
      <c r="I88">
        <v>218</v>
      </c>
      <c r="J88">
        <v>35234</v>
      </c>
      <c r="K88" t="s">
        <v>2183</v>
      </c>
      <c r="L88">
        <v>12</v>
      </c>
      <c r="M88">
        <v>12</v>
      </c>
      <c r="N88">
        <v>35234</v>
      </c>
      <c r="O88">
        <v>88</v>
      </c>
      <c r="P88" t="s">
        <v>3215</v>
      </c>
      <c r="Q88">
        <v>0.6</v>
      </c>
      <c r="R88">
        <v>827.29</v>
      </c>
      <c r="S88">
        <v>0.14000000000000001</v>
      </c>
      <c r="T88">
        <v>208</v>
      </c>
      <c r="U88">
        <v>4183136.9296400002</v>
      </c>
      <c r="V88">
        <v>9495.7361619999992</v>
      </c>
      <c r="W88">
        <v>87</v>
      </c>
      <c r="X88">
        <v>0</v>
      </c>
      <c r="Y88">
        <v>86</v>
      </c>
      <c r="Z88" t="s">
        <v>6966</v>
      </c>
      <c r="AA88" t="s">
        <v>6966</v>
      </c>
      <c r="AB88" t="s">
        <v>6966</v>
      </c>
      <c r="AC88" t="s">
        <v>6966</v>
      </c>
      <c r="AD88" t="s">
        <v>6966</v>
      </c>
      <c r="AE88" t="s">
        <v>6966</v>
      </c>
      <c r="AF88" t="s">
        <v>6966</v>
      </c>
      <c r="AG88" t="s">
        <v>6966</v>
      </c>
      <c r="AH88" t="s">
        <v>6966</v>
      </c>
      <c r="AI88" t="s">
        <v>6966</v>
      </c>
      <c r="AJ88" t="s">
        <v>6966</v>
      </c>
      <c r="AK88" t="s">
        <v>6966</v>
      </c>
      <c r="AL88" t="s">
        <v>6966</v>
      </c>
      <c r="AM88" t="s">
        <v>6966</v>
      </c>
      <c r="AN88" t="s">
        <v>6966</v>
      </c>
      <c r="AO88" t="s">
        <v>6966</v>
      </c>
      <c r="AP88" t="s">
        <v>6966</v>
      </c>
      <c r="AQ88" t="s">
        <v>6966</v>
      </c>
      <c r="AR88" t="s">
        <v>6966</v>
      </c>
      <c r="AS88" t="s">
        <v>6966</v>
      </c>
      <c r="AT88" t="s">
        <v>6966</v>
      </c>
      <c r="AU88" t="s">
        <v>6966</v>
      </c>
      <c r="AV88" t="s">
        <v>6966</v>
      </c>
      <c r="AW88" t="s">
        <v>6966</v>
      </c>
      <c r="AX88" t="s">
        <v>6966</v>
      </c>
      <c r="AY88" t="s">
        <v>6966</v>
      </c>
      <c r="AZ88">
        <v>9.2060000000000003E-2</v>
      </c>
      <c r="BA88">
        <v>4.1100000000000002E-4</v>
      </c>
    </row>
    <row r="89" spans="1:53" x14ac:dyDescent="0.25">
      <c r="A89">
        <v>87</v>
      </c>
      <c r="B89" t="s">
        <v>7625</v>
      </c>
      <c r="C89">
        <v>101094</v>
      </c>
      <c r="D89" t="s">
        <v>7668</v>
      </c>
      <c r="E89" t="s">
        <v>3217</v>
      </c>
      <c r="F89">
        <v>1358595.625</v>
      </c>
      <c r="G89">
        <v>5692.2612300000001</v>
      </c>
      <c r="H89">
        <v>89</v>
      </c>
      <c r="I89">
        <v>219</v>
      </c>
      <c r="J89">
        <v>35465</v>
      </c>
      <c r="K89" t="s">
        <v>7669</v>
      </c>
      <c r="L89">
        <v>12</v>
      </c>
      <c r="M89">
        <v>12</v>
      </c>
      <c r="N89">
        <v>35465</v>
      </c>
      <c r="O89">
        <v>89</v>
      </c>
      <c r="P89" t="s">
        <v>3215</v>
      </c>
      <c r="Q89">
        <v>0.1</v>
      </c>
      <c r="R89">
        <v>0</v>
      </c>
      <c r="S89">
        <v>0.01</v>
      </c>
      <c r="T89">
        <v>0</v>
      </c>
      <c r="U89">
        <v>1358595.60323</v>
      </c>
      <c r="V89">
        <v>5692.2613879999999</v>
      </c>
      <c r="W89">
        <v>88</v>
      </c>
      <c r="X89">
        <v>0</v>
      </c>
      <c r="Y89">
        <v>87</v>
      </c>
      <c r="Z89" t="s">
        <v>6966</v>
      </c>
      <c r="AA89" t="s">
        <v>6966</v>
      </c>
      <c r="AB89" t="s">
        <v>6966</v>
      </c>
      <c r="AC89" t="s">
        <v>6966</v>
      </c>
      <c r="AD89" t="s">
        <v>6966</v>
      </c>
      <c r="AE89" t="s">
        <v>6966</v>
      </c>
      <c r="AF89" t="s">
        <v>6966</v>
      </c>
      <c r="AG89" t="s">
        <v>6966</v>
      </c>
      <c r="AH89" t="s">
        <v>6966</v>
      </c>
      <c r="AI89" t="s">
        <v>6966</v>
      </c>
      <c r="AJ89" t="s">
        <v>6966</v>
      </c>
      <c r="AK89" t="s">
        <v>6966</v>
      </c>
      <c r="AL89" t="s">
        <v>6966</v>
      </c>
      <c r="AM89" t="s">
        <v>6966</v>
      </c>
      <c r="AN89" t="s">
        <v>6966</v>
      </c>
      <c r="AO89" t="s">
        <v>6966</v>
      </c>
      <c r="AP89" t="s">
        <v>6966</v>
      </c>
      <c r="AQ89" t="s">
        <v>6966</v>
      </c>
      <c r="AR89" t="s">
        <v>6966</v>
      </c>
      <c r="AS89" t="s">
        <v>6966</v>
      </c>
      <c r="AT89" t="s">
        <v>6966</v>
      </c>
      <c r="AU89" t="s">
        <v>6966</v>
      </c>
      <c r="AV89" t="s">
        <v>6966</v>
      </c>
      <c r="AW89" t="s">
        <v>6966</v>
      </c>
      <c r="AX89" t="s">
        <v>6966</v>
      </c>
      <c r="AY89" t="s">
        <v>6966</v>
      </c>
      <c r="AZ89">
        <v>5.7942E-2</v>
      </c>
      <c r="BA89">
        <v>1.3300000000000001E-4</v>
      </c>
    </row>
    <row r="90" spans="1:53" x14ac:dyDescent="0.25">
      <c r="A90">
        <v>88</v>
      </c>
      <c r="B90" t="s">
        <v>7625</v>
      </c>
      <c r="C90">
        <v>101019</v>
      </c>
      <c r="D90" t="s">
        <v>7670</v>
      </c>
      <c r="E90" t="s">
        <v>3217</v>
      </c>
      <c r="F90">
        <v>1812160.375</v>
      </c>
      <c r="G90">
        <v>8345.8583980000003</v>
      </c>
      <c r="H90">
        <v>90</v>
      </c>
      <c r="I90">
        <v>220</v>
      </c>
      <c r="J90">
        <v>35158</v>
      </c>
      <c r="K90" t="s">
        <v>7671</v>
      </c>
      <c r="L90">
        <v>12</v>
      </c>
      <c r="M90">
        <v>12</v>
      </c>
      <c r="N90">
        <v>35158</v>
      </c>
      <c r="O90">
        <v>90</v>
      </c>
      <c r="P90" t="s">
        <v>3215</v>
      </c>
      <c r="Q90">
        <v>4.5999999999999996</v>
      </c>
      <c r="R90">
        <v>164.67</v>
      </c>
      <c r="S90">
        <v>0.88</v>
      </c>
      <c r="T90">
        <v>31</v>
      </c>
      <c r="U90">
        <v>1812160.33565</v>
      </c>
      <c r="V90">
        <v>8345.8583259999996</v>
      </c>
      <c r="W90">
        <v>89</v>
      </c>
      <c r="X90">
        <v>0</v>
      </c>
      <c r="Y90">
        <v>88</v>
      </c>
      <c r="Z90" t="s">
        <v>6966</v>
      </c>
      <c r="AA90" t="s">
        <v>6966</v>
      </c>
      <c r="AB90" t="s">
        <v>6966</v>
      </c>
      <c r="AC90" t="s">
        <v>6966</v>
      </c>
      <c r="AD90" t="s">
        <v>6966</v>
      </c>
      <c r="AE90" t="s">
        <v>6966</v>
      </c>
      <c r="AF90" t="s">
        <v>6966</v>
      </c>
      <c r="AG90" t="s">
        <v>6966</v>
      </c>
      <c r="AH90" t="s">
        <v>6966</v>
      </c>
      <c r="AI90" t="s">
        <v>6966</v>
      </c>
      <c r="AJ90" t="s">
        <v>6966</v>
      </c>
      <c r="AK90" t="s">
        <v>6966</v>
      </c>
      <c r="AL90" t="s">
        <v>6966</v>
      </c>
      <c r="AM90" t="s">
        <v>6966</v>
      </c>
      <c r="AN90" t="s">
        <v>6966</v>
      </c>
      <c r="AO90" t="s">
        <v>6966</v>
      </c>
      <c r="AP90" t="s">
        <v>6966</v>
      </c>
      <c r="AQ90" t="s">
        <v>6966</v>
      </c>
      <c r="AR90" t="s">
        <v>6966</v>
      </c>
      <c r="AS90" t="s">
        <v>6966</v>
      </c>
      <c r="AT90" t="s">
        <v>6966</v>
      </c>
      <c r="AU90" t="s">
        <v>6966</v>
      </c>
      <c r="AV90" t="s">
        <v>6966</v>
      </c>
      <c r="AW90" t="s">
        <v>6966</v>
      </c>
      <c r="AX90" t="s">
        <v>6966</v>
      </c>
      <c r="AY90" t="s">
        <v>6966</v>
      </c>
      <c r="AZ90">
        <v>8.2990999999999995E-2</v>
      </c>
      <c r="BA90">
        <v>1.7799999999999999E-4</v>
      </c>
    </row>
    <row r="91" spans="1:53" x14ac:dyDescent="0.25">
      <c r="A91">
        <v>89</v>
      </c>
      <c r="B91" t="s">
        <v>7625</v>
      </c>
      <c r="C91">
        <v>101065</v>
      </c>
      <c r="D91" t="s">
        <v>754</v>
      </c>
      <c r="E91" t="s">
        <v>3217</v>
      </c>
      <c r="F91">
        <v>1230005.75</v>
      </c>
      <c r="G91">
        <v>5315.4067379999997</v>
      </c>
      <c r="H91">
        <v>91</v>
      </c>
      <c r="I91">
        <v>221</v>
      </c>
      <c r="J91">
        <v>35169</v>
      </c>
      <c r="K91" t="s">
        <v>2159</v>
      </c>
      <c r="L91">
        <v>12</v>
      </c>
      <c r="M91">
        <v>12</v>
      </c>
      <c r="N91">
        <v>35169</v>
      </c>
      <c r="O91">
        <v>91</v>
      </c>
      <c r="P91" t="s">
        <v>3215</v>
      </c>
      <c r="Q91">
        <v>1.5</v>
      </c>
      <c r="R91">
        <v>0</v>
      </c>
      <c r="S91">
        <v>0.24</v>
      </c>
      <c r="T91">
        <v>0</v>
      </c>
      <c r="U91">
        <v>1230005.7548700001</v>
      </c>
      <c r="V91">
        <v>5315.4068829999997</v>
      </c>
      <c r="W91">
        <v>90</v>
      </c>
      <c r="X91">
        <v>0</v>
      </c>
      <c r="Y91">
        <v>89</v>
      </c>
      <c r="Z91" t="s">
        <v>6966</v>
      </c>
      <c r="AA91" t="s">
        <v>6966</v>
      </c>
      <c r="AB91" t="s">
        <v>6966</v>
      </c>
      <c r="AC91" t="s">
        <v>6966</v>
      </c>
      <c r="AD91" t="s">
        <v>6966</v>
      </c>
      <c r="AE91" t="s">
        <v>6966</v>
      </c>
      <c r="AF91" t="s">
        <v>6966</v>
      </c>
      <c r="AG91" t="s">
        <v>6966</v>
      </c>
      <c r="AH91" t="s">
        <v>6966</v>
      </c>
      <c r="AI91" t="s">
        <v>6966</v>
      </c>
      <c r="AJ91" t="s">
        <v>6966</v>
      </c>
      <c r="AK91" t="s">
        <v>6966</v>
      </c>
      <c r="AL91" t="s">
        <v>6966</v>
      </c>
      <c r="AM91" t="s">
        <v>6966</v>
      </c>
      <c r="AN91" t="s">
        <v>6966</v>
      </c>
      <c r="AO91" t="s">
        <v>6966</v>
      </c>
      <c r="AP91" t="s">
        <v>6966</v>
      </c>
      <c r="AQ91" t="s">
        <v>6966</v>
      </c>
      <c r="AR91" t="s">
        <v>6966</v>
      </c>
      <c r="AS91" t="s">
        <v>6966</v>
      </c>
      <c r="AT91" t="s">
        <v>6966</v>
      </c>
      <c r="AU91" t="s">
        <v>6966</v>
      </c>
      <c r="AV91" t="s">
        <v>6966</v>
      </c>
      <c r="AW91" t="s">
        <v>6966</v>
      </c>
      <c r="AX91" t="s">
        <v>6966</v>
      </c>
      <c r="AY91" t="s">
        <v>6966</v>
      </c>
      <c r="AZ91">
        <v>5.3865999999999997E-2</v>
      </c>
      <c r="BA91">
        <v>1.21E-4</v>
      </c>
    </row>
    <row r="92" spans="1:53" x14ac:dyDescent="0.25">
      <c r="A92">
        <v>90</v>
      </c>
      <c r="B92" t="s">
        <v>7625</v>
      </c>
      <c r="C92">
        <v>101007</v>
      </c>
      <c r="D92" t="s">
        <v>766</v>
      </c>
      <c r="E92" t="s">
        <v>3217</v>
      </c>
      <c r="F92">
        <v>0</v>
      </c>
      <c r="G92">
        <v>34691.71875</v>
      </c>
      <c r="H92">
        <v>92</v>
      </c>
      <c r="I92">
        <v>222</v>
      </c>
      <c r="J92">
        <v>35191</v>
      </c>
      <c r="K92" t="s">
        <v>2170</v>
      </c>
      <c r="L92">
        <v>12</v>
      </c>
      <c r="M92">
        <v>12</v>
      </c>
      <c r="N92">
        <v>35191</v>
      </c>
      <c r="O92">
        <v>92</v>
      </c>
      <c r="P92" t="s">
        <v>3215</v>
      </c>
      <c r="Q92">
        <v>2.7</v>
      </c>
      <c r="R92">
        <v>102.9</v>
      </c>
      <c r="S92">
        <v>0.59</v>
      </c>
      <c r="T92">
        <v>23</v>
      </c>
      <c r="U92">
        <v>0</v>
      </c>
      <c r="V92">
        <v>34691.717477999999</v>
      </c>
      <c r="W92">
        <v>91</v>
      </c>
      <c r="X92">
        <v>0</v>
      </c>
      <c r="Y92">
        <v>90</v>
      </c>
      <c r="Z92" t="s">
        <v>6966</v>
      </c>
      <c r="AA92" t="s">
        <v>6966</v>
      </c>
      <c r="AB92" t="s">
        <v>6966</v>
      </c>
      <c r="AC92" t="s">
        <v>6966</v>
      </c>
      <c r="AD92" t="s">
        <v>6966</v>
      </c>
      <c r="AE92" t="s">
        <v>6966</v>
      </c>
      <c r="AF92" t="s">
        <v>6966</v>
      </c>
      <c r="AG92" t="s">
        <v>6966</v>
      </c>
      <c r="AH92" t="s">
        <v>6966</v>
      </c>
      <c r="AI92" t="s">
        <v>6966</v>
      </c>
      <c r="AJ92" t="s">
        <v>6966</v>
      </c>
      <c r="AK92" t="s">
        <v>6966</v>
      </c>
      <c r="AL92" t="s">
        <v>6966</v>
      </c>
      <c r="AM92" t="s">
        <v>6966</v>
      </c>
      <c r="AN92" t="s">
        <v>6966</v>
      </c>
      <c r="AO92" t="s">
        <v>6966</v>
      </c>
      <c r="AP92" t="s">
        <v>6966</v>
      </c>
      <c r="AQ92" t="s">
        <v>6966</v>
      </c>
      <c r="AR92" t="s">
        <v>6966</v>
      </c>
      <c r="AS92" t="s">
        <v>6966</v>
      </c>
      <c r="AT92" t="s">
        <v>6966</v>
      </c>
      <c r="AU92" t="s">
        <v>6966</v>
      </c>
      <c r="AV92" t="s">
        <v>6966</v>
      </c>
      <c r="AW92" t="s">
        <v>6966</v>
      </c>
      <c r="AX92" t="s">
        <v>6966</v>
      </c>
      <c r="AY92" t="s">
        <v>6966</v>
      </c>
      <c r="AZ92">
        <v>0.34879199999999999</v>
      </c>
      <c r="BA92">
        <v>2.7650000000000001E-3</v>
      </c>
    </row>
    <row r="93" spans="1:53" x14ac:dyDescent="0.25">
      <c r="A93">
        <v>91</v>
      </c>
      <c r="B93" t="s">
        <v>7625</v>
      </c>
      <c r="C93">
        <v>101015</v>
      </c>
      <c r="D93" t="s">
        <v>740</v>
      </c>
      <c r="E93" t="s">
        <v>3217</v>
      </c>
      <c r="F93">
        <v>8399693</v>
      </c>
      <c r="G93">
        <v>16536.744140999999</v>
      </c>
      <c r="H93">
        <v>93</v>
      </c>
      <c r="I93">
        <v>223</v>
      </c>
      <c r="J93">
        <v>35141</v>
      </c>
      <c r="K93" t="s">
        <v>2147</v>
      </c>
      <c r="L93">
        <v>12</v>
      </c>
      <c r="M93">
        <v>12</v>
      </c>
      <c r="N93">
        <v>35141</v>
      </c>
      <c r="O93">
        <v>93</v>
      </c>
      <c r="P93" t="s">
        <v>3215</v>
      </c>
      <c r="Q93">
        <v>2.9</v>
      </c>
      <c r="R93">
        <v>116.77</v>
      </c>
      <c r="S93">
        <v>0.51</v>
      </c>
      <c r="T93">
        <v>21</v>
      </c>
      <c r="U93">
        <v>8399693.0380700007</v>
      </c>
      <c r="V93">
        <v>16536.744332999999</v>
      </c>
      <c r="W93">
        <v>92</v>
      </c>
      <c r="X93">
        <v>0</v>
      </c>
      <c r="Y93">
        <v>91</v>
      </c>
      <c r="Z93" t="s">
        <v>6966</v>
      </c>
      <c r="AA93" t="s">
        <v>6966</v>
      </c>
      <c r="AB93" t="s">
        <v>6966</v>
      </c>
      <c r="AC93" t="s">
        <v>6966</v>
      </c>
      <c r="AD93" t="s">
        <v>6966</v>
      </c>
      <c r="AE93" t="s">
        <v>6966</v>
      </c>
      <c r="AF93" t="s">
        <v>6966</v>
      </c>
      <c r="AG93" t="s">
        <v>6966</v>
      </c>
      <c r="AH93" t="s">
        <v>6966</v>
      </c>
      <c r="AI93" t="s">
        <v>6966</v>
      </c>
      <c r="AJ93" t="s">
        <v>6966</v>
      </c>
      <c r="AK93" t="s">
        <v>6966</v>
      </c>
      <c r="AL93" t="s">
        <v>6966</v>
      </c>
      <c r="AM93" t="s">
        <v>6966</v>
      </c>
      <c r="AN93" t="s">
        <v>6966</v>
      </c>
      <c r="AO93" t="s">
        <v>6966</v>
      </c>
      <c r="AP93" t="s">
        <v>6966</v>
      </c>
      <c r="AQ93" t="s">
        <v>6966</v>
      </c>
      <c r="AR93" t="s">
        <v>6966</v>
      </c>
      <c r="AS93" t="s">
        <v>6966</v>
      </c>
      <c r="AT93" t="s">
        <v>6966</v>
      </c>
      <c r="AU93" t="s">
        <v>6966</v>
      </c>
      <c r="AV93" t="s">
        <v>6966</v>
      </c>
      <c r="AW93" t="s">
        <v>6966</v>
      </c>
      <c r="AX93" t="s">
        <v>6966</v>
      </c>
      <c r="AY93" t="s">
        <v>6966</v>
      </c>
      <c r="AZ93">
        <v>0.163215</v>
      </c>
      <c r="BA93">
        <v>8.25E-4</v>
      </c>
    </row>
    <row r="94" spans="1:53" x14ac:dyDescent="0.25">
      <c r="A94">
        <v>92</v>
      </c>
      <c r="B94" t="s">
        <v>7625</v>
      </c>
      <c r="C94">
        <v>101156</v>
      </c>
      <c r="D94" t="s">
        <v>788</v>
      </c>
      <c r="E94" t="s">
        <v>3217</v>
      </c>
      <c r="F94">
        <v>942837.6875</v>
      </c>
      <c r="G94">
        <v>4692.9287109999996</v>
      </c>
      <c r="H94">
        <v>94</v>
      </c>
      <c r="I94">
        <v>224</v>
      </c>
      <c r="J94">
        <v>35247</v>
      </c>
      <c r="K94" t="s">
        <v>2189</v>
      </c>
      <c r="L94">
        <v>12</v>
      </c>
      <c r="M94">
        <v>12</v>
      </c>
      <c r="N94">
        <v>35247</v>
      </c>
      <c r="O94">
        <v>94</v>
      </c>
      <c r="P94" t="s">
        <v>3215</v>
      </c>
      <c r="Q94">
        <v>0.8</v>
      </c>
      <c r="R94">
        <v>0</v>
      </c>
      <c r="S94">
        <v>0.18</v>
      </c>
      <c r="T94">
        <v>0</v>
      </c>
      <c r="U94">
        <v>942837.75144400005</v>
      </c>
      <c r="V94">
        <v>4692.9284960000005</v>
      </c>
      <c r="W94">
        <v>93</v>
      </c>
      <c r="X94">
        <v>0</v>
      </c>
      <c r="Y94">
        <v>92</v>
      </c>
      <c r="Z94" t="s">
        <v>6966</v>
      </c>
      <c r="AA94" t="s">
        <v>6966</v>
      </c>
      <c r="AB94" t="s">
        <v>6966</v>
      </c>
      <c r="AC94" t="s">
        <v>6966</v>
      </c>
      <c r="AD94" t="s">
        <v>6966</v>
      </c>
      <c r="AE94" t="s">
        <v>6966</v>
      </c>
      <c r="AF94" t="s">
        <v>6966</v>
      </c>
      <c r="AG94" t="s">
        <v>6966</v>
      </c>
      <c r="AH94" t="s">
        <v>6966</v>
      </c>
      <c r="AI94" t="s">
        <v>6966</v>
      </c>
      <c r="AJ94" t="s">
        <v>6966</v>
      </c>
      <c r="AK94" t="s">
        <v>6966</v>
      </c>
      <c r="AL94" t="s">
        <v>6966</v>
      </c>
      <c r="AM94" t="s">
        <v>6966</v>
      </c>
      <c r="AN94" t="s">
        <v>6966</v>
      </c>
      <c r="AO94" t="s">
        <v>6966</v>
      </c>
      <c r="AP94" t="s">
        <v>6966</v>
      </c>
      <c r="AQ94" t="s">
        <v>6966</v>
      </c>
      <c r="AR94" t="s">
        <v>6966</v>
      </c>
      <c r="AS94" t="s">
        <v>6966</v>
      </c>
      <c r="AT94" t="s">
        <v>6966</v>
      </c>
      <c r="AU94" t="s">
        <v>6966</v>
      </c>
      <c r="AV94" t="s">
        <v>6966</v>
      </c>
      <c r="AW94" t="s">
        <v>6966</v>
      </c>
      <c r="AX94" t="s">
        <v>6966</v>
      </c>
      <c r="AY94" t="s">
        <v>6966</v>
      </c>
      <c r="AZ94">
        <v>4.5025999999999997E-2</v>
      </c>
      <c r="BA94">
        <v>9.2999999999999997E-5</v>
      </c>
    </row>
    <row r="95" spans="1:53" x14ac:dyDescent="0.25">
      <c r="A95">
        <v>93</v>
      </c>
      <c r="B95" t="s">
        <v>7625</v>
      </c>
      <c r="C95">
        <v>101149</v>
      </c>
      <c r="D95" t="s">
        <v>741</v>
      </c>
      <c r="E95" t="s">
        <v>3217</v>
      </c>
      <c r="F95">
        <v>1215970.625</v>
      </c>
      <c r="G95">
        <v>5771.7431640000004</v>
      </c>
      <c r="H95">
        <v>95</v>
      </c>
      <c r="I95">
        <v>225</v>
      </c>
      <c r="J95">
        <v>35143</v>
      </c>
      <c r="K95" t="s">
        <v>7672</v>
      </c>
      <c r="L95">
        <v>12</v>
      </c>
      <c r="M95">
        <v>12</v>
      </c>
      <c r="N95">
        <v>35143</v>
      </c>
      <c r="O95">
        <v>95</v>
      </c>
      <c r="P95" t="s">
        <v>3215</v>
      </c>
      <c r="Q95">
        <v>8.6999999999999993</v>
      </c>
      <c r="R95">
        <v>63.4</v>
      </c>
      <c r="S95">
        <v>1.49</v>
      </c>
      <c r="T95">
        <v>11</v>
      </c>
      <c r="U95">
        <v>1215970.5926900001</v>
      </c>
      <c r="V95">
        <v>5771.7429810000003</v>
      </c>
      <c r="W95">
        <v>94</v>
      </c>
      <c r="X95">
        <v>0</v>
      </c>
      <c r="Y95">
        <v>93</v>
      </c>
      <c r="Z95" t="s">
        <v>6966</v>
      </c>
      <c r="AA95" t="s">
        <v>6966</v>
      </c>
      <c r="AB95" t="s">
        <v>6966</v>
      </c>
      <c r="AC95" t="s">
        <v>6966</v>
      </c>
      <c r="AD95" t="s">
        <v>6966</v>
      </c>
      <c r="AE95" t="s">
        <v>6966</v>
      </c>
      <c r="AF95" t="s">
        <v>6966</v>
      </c>
      <c r="AG95" t="s">
        <v>6966</v>
      </c>
      <c r="AH95" t="s">
        <v>6966</v>
      </c>
      <c r="AI95" t="s">
        <v>6966</v>
      </c>
      <c r="AJ95" t="s">
        <v>6966</v>
      </c>
      <c r="AK95" t="s">
        <v>6966</v>
      </c>
      <c r="AL95" t="s">
        <v>6966</v>
      </c>
      <c r="AM95" t="s">
        <v>6966</v>
      </c>
      <c r="AN95" t="s">
        <v>6966</v>
      </c>
      <c r="AO95" t="s">
        <v>6966</v>
      </c>
      <c r="AP95" t="s">
        <v>6966</v>
      </c>
      <c r="AQ95" t="s">
        <v>6966</v>
      </c>
      <c r="AR95" t="s">
        <v>6966</v>
      </c>
      <c r="AS95" t="s">
        <v>6966</v>
      </c>
      <c r="AT95" t="s">
        <v>6966</v>
      </c>
      <c r="AU95" t="s">
        <v>6966</v>
      </c>
      <c r="AV95" t="s">
        <v>6966</v>
      </c>
      <c r="AW95" t="s">
        <v>6966</v>
      </c>
      <c r="AX95" t="s">
        <v>6966</v>
      </c>
      <c r="AY95" t="s">
        <v>6966</v>
      </c>
      <c r="AZ95">
        <v>5.8140999999999998E-2</v>
      </c>
      <c r="BA95">
        <v>1.1900000000000001E-4</v>
      </c>
    </row>
    <row r="96" spans="1:53" x14ac:dyDescent="0.25">
      <c r="A96">
        <v>94</v>
      </c>
      <c r="B96" t="s">
        <v>7625</v>
      </c>
      <c r="C96">
        <v>101047</v>
      </c>
      <c r="D96" t="s">
        <v>730</v>
      </c>
      <c r="E96" t="s">
        <v>3217</v>
      </c>
      <c r="F96">
        <v>7014759</v>
      </c>
      <c r="G96">
        <v>12577.327148</v>
      </c>
      <c r="H96">
        <v>96</v>
      </c>
      <c r="I96">
        <v>226</v>
      </c>
      <c r="J96">
        <v>35126</v>
      </c>
      <c r="K96" t="s">
        <v>2140</v>
      </c>
      <c r="L96">
        <v>12</v>
      </c>
      <c r="M96">
        <v>12</v>
      </c>
      <c r="N96">
        <v>35126</v>
      </c>
      <c r="O96">
        <v>96</v>
      </c>
      <c r="P96" t="s">
        <v>3215</v>
      </c>
      <c r="Q96">
        <v>2.6</v>
      </c>
      <c r="R96">
        <v>102.95</v>
      </c>
      <c r="S96">
        <v>0.52</v>
      </c>
      <c r="T96">
        <v>21</v>
      </c>
      <c r="U96">
        <v>7014759.2423400003</v>
      </c>
      <c r="V96">
        <v>12577.326501</v>
      </c>
      <c r="W96">
        <v>95</v>
      </c>
      <c r="X96">
        <v>0</v>
      </c>
      <c r="Y96">
        <v>94</v>
      </c>
      <c r="Z96" t="s">
        <v>6966</v>
      </c>
      <c r="AA96" t="s">
        <v>6966</v>
      </c>
      <c r="AB96" t="s">
        <v>6966</v>
      </c>
      <c r="AC96" t="s">
        <v>6966</v>
      </c>
      <c r="AD96" t="s">
        <v>6966</v>
      </c>
      <c r="AE96" t="s">
        <v>6966</v>
      </c>
      <c r="AF96" t="s">
        <v>6966</v>
      </c>
      <c r="AG96" t="s">
        <v>6966</v>
      </c>
      <c r="AH96" t="s">
        <v>6966</v>
      </c>
      <c r="AI96" t="s">
        <v>6966</v>
      </c>
      <c r="AJ96" t="s">
        <v>6966</v>
      </c>
      <c r="AK96" t="s">
        <v>6966</v>
      </c>
      <c r="AL96" t="s">
        <v>6966</v>
      </c>
      <c r="AM96" t="s">
        <v>6966</v>
      </c>
      <c r="AN96" t="s">
        <v>6966</v>
      </c>
      <c r="AO96" t="s">
        <v>6966</v>
      </c>
      <c r="AP96" t="s">
        <v>6966</v>
      </c>
      <c r="AQ96" t="s">
        <v>6966</v>
      </c>
      <c r="AR96" t="s">
        <v>6966</v>
      </c>
      <c r="AS96" t="s">
        <v>6966</v>
      </c>
      <c r="AT96" t="s">
        <v>6966</v>
      </c>
      <c r="AU96" t="s">
        <v>6966</v>
      </c>
      <c r="AV96" t="s">
        <v>6966</v>
      </c>
      <c r="AW96" t="s">
        <v>6966</v>
      </c>
      <c r="AX96" t="s">
        <v>6966</v>
      </c>
      <c r="AY96" t="s">
        <v>6966</v>
      </c>
      <c r="AZ96">
        <v>0.125051</v>
      </c>
      <c r="BA96">
        <v>6.8900000000000005E-4</v>
      </c>
    </row>
    <row r="97" spans="1:53" x14ac:dyDescent="0.25">
      <c r="A97">
        <v>95</v>
      </c>
      <c r="B97" t="s">
        <v>7625</v>
      </c>
      <c r="C97">
        <v>101039</v>
      </c>
      <c r="D97" t="s">
        <v>723</v>
      </c>
      <c r="E97" t="s">
        <v>3217</v>
      </c>
      <c r="F97">
        <v>971838.8125</v>
      </c>
      <c r="G97">
        <v>4360.6494140000004</v>
      </c>
      <c r="H97">
        <v>97</v>
      </c>
      <c r="I97">
        <v>227</v>
      </c>
      <c r="J97">
        <v>35113</v>
      </c>
      <c r="K97" t="s">
        <v>2133</v>
      </c>
      <c r="L97">
        <v>12</v>
      </c>
      <c r="M97">
        <v>12</v>
      </c>
      <c r="N97">
        <v>35113</v>
      </c>
      <c r="O97">
        <v>97</v>
      </c>
      <c r="P97" t="s">
        <v>3215</v>
      </c>
      <c r="Q97">
        <v>21.8</v>
      </c>
      <c r="R97">
        <v>177.98</v>
      </c>
      <c r="S97">
        <v>4.2</v>
      </c>
      <c r="T97">
        <v>34</v>
      </c>
      <c r="U97">
        <v>971838.74006600003</v>
      </c>
      <c r="V97">
        <v>4360.6490089999998</v>
      </c>
      <c r="W97">
        <v>96</v>
      </c>
      <c r="X97">
        <v>0</v>
      </c>
      <c r="Y97">
        <v>95</v>
      </c>
      <c r="Z97" t="s">
        <v>6966</v>
      </c>
      <c r="AA97" t="s">
        <v>6966</v>
      </c>
      <c r="AB97" t="s">
        <v>6966</v>
      </c>
      <c r="AC97" t="s">
        <v>6966</v>
      </c>
      <c r="AD97" t="s">
        <v>6966</v>
      </c>
      <c r="AE97" t="s">
        <v>6966</v>
      </c>
      <c r="AF97" t="s">
        <v>6966</v>
      </c>
      <c r="AG97" t="s">
        <v>6966</v>
      </c>
      <c r="AH97" t="s">
        <v>6966</v>
      </c>
      <c r="AI97" t="s">
        <v>6966</v>
      </c>
      <c r="AJ97" t="s">
        <v>6966</v>
      </c>
      <c r="AK97" t="s">
        <v>6966</v>
      </c>
      <c r="AL97" t="s">
        <v>6966</v>
      </c>
      <c r="AM97" t="s">
        <v>6966</v>
      </c>
      <c r="AN97" t="s">
        <v>6966</v>
      </c>
      <c r="AO97" t="s">
        <v>6966</v>
      </c>
      <c r="AP97" t="s">
        <v>6966</v>
      </c>
      <c r="AQ97" t="s">
        <v>6966</v>
      </c>
      <c r="AR97" t="s">
        <v>6966</v>
      </c>
      <c r="AS97" t="s">
        <v>6966</v>
      </c>
      <c r="AT97" t="s">
        <v>6966</v>
      </c>
      <c r="AU97" t="s">
        <v>6966</v>
      </c>
      <c r="AV97" t="s">
        <v>6966</v>
      </c>
      <c r="AW97" t="s">
        <v>6966</v>
      </c>
      <c r="AX97" t="s">
        <v>6966</v>
      </c>
      <c r="AY97" t="s">
        <v>6966</v>
      </c>
      <c r="AZ97">
        <v>4.3193000000000002E-2</v>
      </c>
      <c r="BA97">
        <v>9.5000000000000005E-5</v>
      </c>
    </row>
    <row r="98" spans="1:53" x14ac:dyDescent="0.25">
      <c r="A98">
        <v>96</v>
      </c>
      <c r="B98" t="s">
        <v>7625</v>
      </c>
      <c r="C98">
        <v>101064</v>
      </c>
      <c r="D98" t="s">
        <v>739</v>
      </c>
      <c r="E98" t="s">
        <v>3217</v>
      </c>
      <c r="F98">
        <v>3001628.75</v>
      </c>
      <c r="G98">
        <v>9244.3769530000009</v>
      </c>
      <c r="H98">
        <v>98</v>
      </c>
      <c r="I98">
        <v>228</v>
      </c>
      <c r="J98">
        <v>35139</v>
      </c>
      <c r="K98" t="s">
        <v>2146</v>
      </c>
      <c r="L98">
        <v>12</v>
      </c>
      <c r="M98">
        <v>12</v>
      </c>
      <c r="N98">
        <v>35139</v>
      </c>
      <c r="O98">
        <v>98</v>
      </c>
      <c r="P98" t="s">
        <v>3215</v>
      </c>
      <c r="Q98">
        <v>3.7</v>
      </c>
      <c r="R98">
        <v>128.11000000000001</v>
      </c>
      <c r="S98">
        <v>0.57999999999999996</v>
      </c>
      <c r="T98">
        <v>20</v>
      </c>
      <c r="U98">
        <v>3001628.87744</v>
      </c>
      <c r="V98">
        <v>9244.3771039999992</v>
      </c>
      <c r="W98">
        <v>97</v>
      </c>
      <c r="X98">
        <v>0</v>
      </c>
      <c r="Y98">
        <v>96</v>
      </c>
      <c r="Z98" t="s">
        <v>6966</v>
      </c>
      <c r="AA98" t="s">
        <v>6966</v>
      </c>
      <c r="AB98" t="s">
        <v>6966</v>
      </c>
      <c r="AC98" t="s">
        <v>6966</v>
      </c>
      <c r="AD98" t="s">
        <v>6966</v>
      </c>
      <c r="AE98" t="s">
        <v>6966</v>
      </c>
      <c r="AF98" t="s">
        <v>6966</v>
      </c>
      <c r="AG98" t="s">
        <v>6966</v>
      </c>
      <c r="AH98" t="s">
        <v>6966</v>
      </c>
      <c r="AI98" t="s">
        <v>6966</v>
      </c>
      <c r="AJ98" t="s">
        <v>6966</v>
      </c>
      <c r="AK98" t="s">
        <v>6966</v>
      </c>
      <c r="AL98" t="s">
        <v>6966</v>
      </c>
      <c r="AM98" t="s">
        <v>6966</v>
      </c>
      <c r="AN98" t="s">
        <v>6966</v>
      </c>
      <c r="AO98" t="s">
        <v>6966</v>
      </c>
      <c r="AP98" t="s">
        <v>6966</v>
      </c>
      <c r="AQ98" t="s">
        <v>6966</v>
      </c>
      <c r="AR98" t="s">
        <v>6966</v>
      </c>
      <c r="AS98" t="s">
        <v>6966</v>
      </c>
      <c r="AT98" t="s">
        <v>6966</v>
      </c>
      <c r="AU98" t="s">
        <v>6966</v>
      </c>
      <c r="AV98" t="s">
        <v>6966</v>
      </c>
      <c r="AW98" t="s">
        <v>6966</v>
      </c>
      <c r="AX98" t="s">
        <v>6966</v>
      </c>
      <c r="AY98" t="s">
        <v>6966</v>
      </c>
      <c r="AZ98">
        <v>9.2598E-2</v>
      </c>
      <c r="BA98">
        <v>2.9500000000000001E-4</v>
      </c>
    </row>
    <row r="99" spans="1:53" x14ac:dyDescent="0.25">
      <c r="A99">
        <v>97</v>
      </c>
      <c r="B99" t="s">
        <v>7625</v>
      </c>
      <c r="C99">
        <v>101097</v>
      </c>
      <c r="D99" t="s">
        <v>726</v>
      </c>
      <c r="E99" t="s">
        <v>3217</v>
      </c>
      <c r="F99">
        <v>568074.375</v>
      </c>
      <c r="G99">
        <v>3155.1499020000001</v>
      </c>
      <c r="H99">
        <v>99</v>
      </c>
      <c r="I99">
        <v>229</v>
      </c>
      <c r="J99">
        <v>35119</v>
      </c>
      <c r="K99" t="s">
        <v>2136</v>
      </c>
      <c r="L99">
        <v>12</v>
      </c>
      <c r="M99">
        <v>12</v>
      </c>
      <c r="N99">
        <v>35119</v>
      </c>
      <c r="O99">
        <v>99</v>
      </c>
      <c r="P99" t="s">
        <v>3215</v>
      </c>
      <c r="Q99">
        <v>8.5</v>
      </c>
      <c r="R99">
        <v>0</v>
      </c>
      <c r="S99">
        <v>1.44</v>
      </c>
      <c r="T99">
        <v>0</v>
      </c>
      <c r="U99">
        <v>568074.38801700005</v>
      </c>
      <c r="V99">
        <v>3155.1497570000001</v>
      </c>
      <c r="W99">
        <v>98</v>
      </c>
      <c r="X99">
        <v>0</v>
      </c>
      <c r="Y99">
        <v>97</v>
      </c>
      <c r="Z99" t="s">
        <v>6966</v>
      </c>
      <c r="AA99" t="s">
        <v>6966</v>
      </c>
      <c r="AB99" t="s">
        <v>6966</v>
      </c>
      <c r="AC99" t="s">
        <v>6966</v>
      </c>
      <c r="AD99" t="s">
        <v>6966</v>
      </c>
      <c r="AE99" t="s">
        <v>6966</v>
      </c>
      <c r="AF99" t="s">
        <v>6966</v>
      </c>
      <c r="AG99" t="s">
        <v>6966</v>
      </c>
      <c r="AH99" t="s">
        <v>6966</v>
      </c>
      <c r="AI99" t="s">
        <v>6966</v>
      </c>
      <c r="AJ99" t="s">
        <v>6966</v>
      </c>
      <c r="AK99" t="s">
        <v>6966</v>
      </c>
      <c r="AL99" t="s">
        <v>6966</v>
      </c>
      <c r="AM99" t="s">
        <v>6966</v>
      </c>
      <c r="AN99" t="s">
        <v>6966</v>
      </c>
      <c r="AO99" t="s">
        <v>6966</v>
      </c>
      <c r="AP99" t="s">
        <v>6966</v>
      </c>
      <c r="AQ99" t="s">
        <v>6966</v>
      </c>
      <c r="AR99" t="s">
        <v>6966</v>
      </c>
      <c r="AS99" t="s">
        <v>6966</v>
      </c>
      <c r="AT99" t="s">
        <v>6966</v>
      </c>
      <c r="AU99" t="s">
        <v>6966</v>
      </c>
      <c r="AV99" t="s">
        <v>6966</v>
      </c>
      <c r="AW99" t="s">
        <v>6966</v>
      </c>
      <c r="AX99" t="s">
        <v>6966</v>
      </c>
      <c r="AY99" t="s">
        <v>6966</v>
      </c>
      <c r="AZ99">
        <v>3.1257E-2</v>
      </c>
      <c r="BA99">
        <v>5.5999999999999999E-5</v>
      </c>
    </row>
    <row r="100" spans="1:53" x14ac:dyDescent="0.25">
      <c r="A100">
        <v>98</v>
      </c>
      <c r="B100" t="s">
        <v>7625</v>
      </c>
      <c r="C100">
        <v>101041</v>
      </c>
      <c r="D100" t="s">
        <v>727</v>
      </c>
      <c r="E100" t="s">
        <v>3217</v>
      </c>
      <c r="F100">
        <v>1251375</v>
      </c>
      <c r="G100">
        <v>5788.1616210000002</v>
      </c>
      <c r="H100">
        <v>100</v>
      </c>
      <c r="I100">
        <v>230</v>
      </c>
      <c r="J100">
        <v>35121</v>
      </c>
      <c r="K100" t="s">
        <v>2137</v>
      </c>
      <c r="L100">
        <v>12</v>
      </c>
      <c r="M100">
        <v>12</v>
      </c>
      <c r="N100">
        <v>35121</v>
      </c>
      <c r="O100">
        <v>100</v>
      </c>
      <c r="P100" t="s">
        <v>3215</v>
      </c>
      <c r="Q100">
        <v>1</v>
      </c>
      <c r="R100">
        <v>0</v>
      </c>
      <c r="S100">
        <v>0.2</v>
      </c>
      <c r="T100">
        <v>0</v>
      </c>
      <c r="U100">
        <v>1251375.0086399999</v>
      </c>
      <c r="V100">
        <v>5788.1619479999999</v>
      </c>
      <c r="W100">
        <v>99</v>
      </c>
      <c r="X100">
        <v>0</v>
      </c>
      <c r="Y100">
        <v>98</v>
      </c>
      <c r="Z100" t="s">
        <v>6966</v>
      </c>
      <c r="AA100" t="s">
        <v>6966</v>
      </c>
      <c r="AB100" t="s">
        <v>6966</v>
      </c>
      <c r="AC100" t="s">
        <v>6966</v>
      </c>
      <c r="AD100" t="s">
        <v>6966</v>
      </c>
      <c r="AE100" t="s">
        <v>6966</v>
      </c>
      <c r="AF100" t="s">
        <v>6966</v>
      </c>
      <c r="AG100" t="s">
        <v>6966</v>
      </c>
      <c r="AH100" t="s">
        <v>6966</v>
      </c>
      <c r="AI100" t="s">
        <v>6966</v>
      </c>
      <c r="AJ100" t="s">
        <v>6966</v>
      </c>
      <c r="AK100" t="s">
        <v>6966</v>
      </c>
      <c r="AL100" t="s">
        <v>6966</v>
      </c>
      <c r="AM100" t="s">
        <v>6966</v>
      </c>
      <c r="AN100" t="s">
        <v>6966</v>
      </c>
      <c r="AO100" t="s">
        <v>6966</v>
      </c>
      <c r="AP100" t="s">
        <v>6966</v>
      </c>
      <c r="AQ100" t="s">
        <v>6966</v>
      </c>
      <c r="AR100" t="s">
        <v>6966</v>
      </c>
      <c r="AS100" t="s">
        <v>6966</v>
      </c>
      <c r="AT100" t="s">
        <v>6966</v>
      </c>
      <c r="AU100" t="s">
        <v>6966</v>
      </c>
      <c r="AV100" t="s">
        <v>6966</v>
      </c>
      <c r="AW100" t="s">
        <v>6966</v>
      </c>
      <c r="AX100" t="s">
        <v>6966</v>
      </c>
      <c r="AY100" t="s">
        <v>6966</v>
      </c>
      <c r="AZ100">
        <v>5.7255E-2</v>
      </c>
      <c r="BA100">
        <v>1.2300000000000001E-4</v>
      </c>
    </row>
    <row r="101" spans="1:53" x14ac:dyDescent="0.25">
      <c r="A101">
        <v>99</v>
      </c>
      <c r="B101" t="s">
        <v>7625</v>
      </c>
      <c r="C101">
        <v>101023</v>
      </c>
      <c r="D101" t="s">
        <v>758</v>
      </c>
      <c r="E101" t="s">
        <v>3217</v>
      </c>
      <c r="F101">
        <v>9612572</v>
      </c>
      <c r="G101">
        <v>19512.517577999999</v>
      </c>
      <c r="H101">
        <v>101</v>
      </c>
      <c r="I101">
        <v>231</v>
      </c>
      <c r="J101">
        <v>35175</v>
      </c>
      <c r="K101" t="s">
        <v>758</v>
      </c>
      <c r="L101">
        <v>12</v>
      </c>
      <c r="M101">
        <v>12</v>
      </c>
      <c r="N101">
        <v>35175</v>
      </c>
      <c r="O101">
        <v>101</v>
      </c>
      <c r="P101" t="s">
        <v>3215</v>
      </c>
      <c r="Q101">
        <v>1.6</v>
      </c>
      <c r="R101">
        <v>41.2</v>
      </c>
      <c r="S101">
        <v>0.38</v>
      </c>
      <c r="T101">
        <v>10</v>
      </c>
      <c r="U101">
        <v>9612572.15123</v>
      </c>
      <c r="V101">
        <v>19512.517316000001</v>
      </c>
      <c r="W101">
        <v>100</v>
      </c>
      <c r="X101">
        <v>0</v>
      </c>
      <c r="Y101">
        <v>99</v>
      </c>
      <c r="Z101" t="s">
        <v>6966</v>
      </c>
      <c r="AA101" t="s">
        <v>6966</v>
      </c>
      <c r="AB101" t="s">
        <v>6966</v>
      </c>
      <c r="AC101" t="s">
        <v>6966</v>
      </c>
      <c r="AD101" t="s">
        <v>6966</v>
      </c>
      <c r="AE101" t="s">
        <v>6966</v>
      </c>
      <c r="AF101" t="s">
        <v>6966</v>
      </c>
      <c r="AG101" t="s">
        <v>6966</v>
      </c>
      <c r="AH101" t="s">
        <v>6966</v>
      </c>
      <c r="AI101" t="s">
        <v>6966</v>
      </c>
      <c r="AJ101" t="s">
        <v>6966</v>
      </c>
      <c r="AK101" t="s">
        <v>6966</v>
      </c>
      <c r="AL101" t="s">
        <v>6966</v>
      </c>
      <c r="AM101" t="s">
        <v>6966</v>
      </c>
      <c r="AN101" t="s">
        <v>6966</v>
      </c>
      <c r="AO101" t="s">
        <v>6966</v>
      </c>
      <c r="AP101" t="s">
        <v>6966</v>
      </c>
      <c r="AQ101" t="s">
        <v>6966</v>
      </c>
      <c r="AR101" t="s">
        <v>6966</v>
      </c>
      <c r="AS101" t="s">
        <v>6966</v>
      </c>
      <c r="AT101" t="s">
        <v>6966</v>
      </c>
      <c r="AU101" t="s">
        <v>6966</v>
      </c>
      <c r="AV101" t="s">
        <v>6966</v>
      </c>
      <c r="AW101" t="s">
        <v>6966</v>
      </c>
      <c r="AX101" t="s">
        <v>6966</v>
      </c>
      <c r="AY101" t="s">
        <v>6966</v>
      </c>
      <c r="AZ101">
        <v>0.197432</v>
      </c>
      <c r="BA101">
        <v>9.4399999999999996E-4</v>
      </c>
    </row>
    <row r="102" spans="1:53" x14ac:dyDescent="0.25">
      <c r="A102">
        <v>100</v>
      </c>
      <c r="B102" t="s">
        <v>7625</v>
      </c>
      <c r="C102">
        <v>101098</v>
      </c>
      <c r="D102" t="s">
        <v>738</v>
      </c>
      <c r="E102" t="s">
        <v>3217</v>
      </c>
      <c r="F102">
        <v>5718075</v>
      </c>
      <c r="G102">
        <v>13390.291992</v>
      </c>
      <c r="H102">
        <v>102</v>
      </c>
      <c r="I102">
        <v>232</v>
      </c>
      <c r="J102">
        <v>35137</v>
      </c>
      <c r="K102" t="s">
        <v>738</v>
      </c>
      <c r="L102">
        <v>12</v>
      </c>
      <c r="M102">
        <v>12</v>
      </c>
      <c r="N102">
        <v>35137</v>
      </c>
      <c r="O102">
        <v>102</v>
      </c>
      <c r="P102" t="s">
        <v>3215</v>
      </c>
      <c r="Q102">
        <v>6.1</v>
      </c>
      <c r="R102">
        <v>125.2</v>
      </c>
      <c r="S102">
        <v>1.1299999999999999</v>
      </c>
      <c r="T102">
        <v>23</v>
      </c>
      <c r="U102">
        <v>5718075.2373700002</v>
      </c>
      <c r="V102">
        <v>13390.292837000001</v>
      </c>
      <c r="W102">
        <v>101</v>
      </c>
      <c r="X102">
        <v>0</v>
      </c>
      <c r="Y102">
        <v>100</v>
      </c>
      <c r="Z102" t="s">
        <v>6966</v>
      </c>
      <c r="AA102" t="s">
        <v>6966</v>
      </c>
      <c r="AB102" t="s">
        <v>6966</v>
      </c>
      <c r="AC102" t="s">
        <v>6966</v>
      </c>
      <c r="AD102" t="s">
        <v>6966</v>
      </c>
      <c r="AE102" t="s">
        <v>6966</v>
      </c>
      <c r="AF102" t="s">
        <v>6966</v>
      </c>
      <c r="AG102" t="s">
        <v>6966</v>
      </c>
      <c r="AH102" t="s">
        <v>6966</v>
      </c>
      <c r="AI102" t="s">
        <v>6966</v>
      </c>
      <c r="AJ102" t="s">
        <v>6966</v>
      </c>
      <c r="AK102" t="s">
        <v>6966</v>
      </c>
      <c r="AL102" t="s">
        <v>6966</v>
      </c>
      <c r="AM102" t="s">
        <v>6966</v>
      </c>
      <c r="AN102" t="s">
        <v>6966</v>
      </c>
      <c r="AO102" t="s">
        <v>6966</v>
      </c>
      <c r="AP102" t="s">
        <v>6966</v>
      </c>
      <c r="AQ102" t="s">
        <v>6966</v>
      </c>
      <c r="AR102" t="s">
        <v>6966</v>
      </c>
      <c r="AS102" t="s">
        <v>6966</v>
      </c>
      <c r="AT102" t="s">
        <v>6966</v>
      </c>
      <c r="AU102" t="s">
        <v>6966</v>
      </c>
      <c r="AV102" t="s">
        <v>6966</v>
      </c>
      <c r="AW102" t="s">
        <v>6966</v>
      </c>
      <c r="AX102" t="s">
        <v>6966</v>
      </c>
      <c r="AY102" t="s">
        <v>6966</v>
      </c>
      <c r="AZ102">
        <v>0.13445799999999999</v>
      </c>
      <c r="BA102">
        <v>5.62E-4</v>
      </c>
    </row>
    <row r="103" spans="1:53" x14ac:dyDescent="0.25">
      <c r="A103">
        <v>101</v>
      </c>
      <c r="B103" t="s">
        <v>7625</v>
      </c>
      <c r="C103">
        <v>101117</v>
      </c>
      <c r="D103" t="s">
        <v>7673</v>
      </c>
      <c r="E103" t="s">
        <v>3217</v>
      </c>
      <c r="F103">
        <v>745663.5</v>
      </c>
      <c r="G103">
        <v>3831.0266109999998</v>
      </c>
      <c r="H103">
        <v>103</v>
      </c>
      <c r="I103">
        <v>233</v>
      </c>
      <c r="J103">
        <v>35115</v>
      </c>
      <c r="K103" t="s">
        <v>7674</v>
      </c>
      <c r="L103">
        <v>12</v>
      </c>
      <c r="M103">
        <v>12</v>
      </c>
      <c r="N103">
        <v>35115</v>
      </c>
      <c r="O103">
        <v>103</v>
      </c>
      <c r="P103" t="s">
        <v>3215</v>
      </c>
      <c r="Q103">
        <v>11.6</v>
      </c>
      <c r="R103">
        <v>125.31</v>
      </c>
      <c r="S103">
        <v>2.85</v>
      </c>
      <c r="T103">
        <v>31</v>
      </c>
      <c r="U103">
        <v>745663.53041699994</v>
      </c>
      <c r="V103">
        <v>3831.0265909999998</v>
      </c>
      <c r="W103">
        <v>102</v>
      </c>
      <c r="X103">
        <v>0</v>
      </c>
      <c r="Y103">
        <v>101</v>
      </c>
      <c r="Z103" t="s">
        <v>6966</v>
      </c>
      <c r="AA103" t="s">
        <v>6966</v>
      </c>
      <c r="AB103" t="s">
        <v>6966</v>
      </c>
      <c r="AC103" t="s">
        <v>6966</v>
      </c>
      <c r="AD103" t="s">
        <v>6966</v>
      </c>
      <c r="AE103" t="s">
        <v>6966</v>
      </c>
      <c r="AF103" t="s">
        <v>6966</v>
      </c>
      <c r="AG103" t="s">
        <v>6966</v>
      </c>
      <c r="AH103" t="s">
        <v>6966</v>
      </c>
      <c r="AI103" t="s">
        <v>6966</v>
      </c>
      <c r="AJ103" t="s">
        <v>6966</v>
      </c>
      <c r="AK103" t="s">
        <v>6966</v>
      </c>
      <c r="AL103" t="s">
        <v>6966</v>
      </c>
      <c r="AM103" t="s">
        <v>6966</v>
      </c>
      <c r="AN103" t="s">
        <v>6966</v>
      </c>
      <c r="AO103" t="s">
        <v>6966</v>
      </c>
      <c r="AP103" t="s">
        <v>6966</v>
      </c>
      <c r="AQ103" t="s">
        <v>6966</v>
      </c>
      <c r="AR103" t="s">
        <v>6966</v>
      </c>
      <c r="AS103" t="s">
        <v>6966</v>
      </c>
      <c r="AT103" t="s">
        <v>6966</v>
      </c>
      <c r="AU103" t="s">
        <v>6966</v>
      </c>
      <c r="AV103" t="s">
        <v>6966</v>
      </c>
      <c r="AW103" t="s">
        <v>6966</v>
      </c>
      <c r="AX103" t="s">
        <v>6966</v>
      </c>
      <c r="AY103" t="s">
        <v>6966</v>
      </c>
      <c r="AZ103">
        <v>3.7745000000000001E-2</v>
      </c>
      <c r="BA103">
        <v>7.2999999999999999E-5</v>
      </c>
    </row>
    <row r="104" spans="1:53" x14ac:dyDescent="0.25">
      <c r="A104">
        <v>102</v>
      </c>
      <c r="B104" t="s">
        <v>7625</v>
      </c>
      <c r="C104">
        <v>101132</v>
      </c>
      <c r="D104" t="s">
        <v>799</v>
      </c>
      <c r="E104" t="s">
        <v>3217</v>
      </c>
      <c r="F104">
        <v>3566752.5</v>
      </c>
      <c r="G104">
        <v>8987.5341800000006</v>
      </c>
      <c r="H104">
        <v>104</v>
      </c>
      <c r="I104">
        <v>234</v>
      </c>
      <c r="J104">
        <v>35269</v>
      </c>
      <c r="K104" t="s">
        <v>2199</v>
      </c>
      <c r="L104">
        <v>12</v>
      </c>
      <c r="M104">
        <v>12</v>
      </c>
      <c r="N104">
        <v>35269</v>
      </c>
      <c r="O104">
        <v>104</v>
      </c>
      <c r="P104" t="s">
        <v>3215</v>
      </c>
      <c r="Q104">
        <v>3.3</v>
      </c>
      <c r="R104">
        <v>143.29</v>
      </c>
      <c r="S104">
        <v>0.56000000000000005</v>
      </c>
      <c r="T104">
        <v>24</v>
      </c>
      <c r="U104">
        <v>3566752.4351400002</v>
      </c>
      <c r="V104">
        <v>8987.533915</v>
      </c>
      <c r="W104">
        <v>103</v>
      </c>
      <c r="X104">
        <v>0</v>
      </c>
      <c r="Y104">
        <v>102</v>
      </c>
      <c r="Z104" t="s">
        <v>6966</v>
      </c>
      <c r="AA104" t="s">
        <v>6966</v>
      </c>
      <c r="AB104" t="s">
        <v>6966</v>
      </c>
      <c r="AC104" t="s">
        <v>6966</v>
      </c>
      <c r="AD104" t="s">
        <v>6966</v>
      </c>
      <c r="AE104" t="s">
        <v>6966</v>
      </c>
      <c r="AF104" t="s">
        <v>6966</v>
      </c>
      <c r="AG104" t="s">
        <v>6966</v>
      </c>
      <c r="AH104" t="s">
        <v>6966</v>
      </c>
      <c r="AI104" t="s">
        <v>6966</v>
      </c>
      <c r="AJ104" t="s">
        <v>6966</v>
      </c>
      <c r="AK104" t="s">
        <v>6966</v>
      </c>
      <c r="AL104" t="s">
        <v>6966</v>
      </c>
      <c r="AM104" t="s">
        <v>6966</v>
      </c>
      <c r="AN104" t="s">
        <v>6966</v>
      </c>
      <c r="AO104" t="s">
        <v>6966</v>
      </c>
      <c r="AP104" t="s">
        <v>6966</v>
      </c>
      <c r="AQ104" t="s">
        <v>6966</v>
      </c>
      <c r="AR104" t="s">
        <v>6966</v>
      </c>
      <c r="AS104" t="s">
        <v>6966</v>
      </c>
      <c r="AT104" t="s">
        <v>6966</v>
      </c>
      <c r="AU104" t="s">
        <v>6966</v>
      </c>
      <c r="AV104" t="s">
        <v>6966</v>
      </c>
      <c r="AW104" t="s">
        <v>6966</v>
      </c>
      <c r="AX104" t="s">
        <v>6966</v>
      </c>
      <c r="AY104" t="s">
        <v>6966</v>
      </c>
      <c r="AZ104">
        <v>8.8316000000000006E-2</v>
      </c>
      <c r="BA104">
        <v>3.5E-4</v>
      </c>
    </row>
    <row r="105" spans="1:53" x14ac:dyDescent="0.25">
      <c r="A105">
        <v>103</v>
      </c>
      <c r="B105" t="s">
        <v>7625</v>
      </c>
      <c r="C105">
        <v>101078</v>
      </c>
      <c r="D105" t="s">
        <v>729</v>
      </c>
      <c r="E105" t="s">
        <v>3217</v>
      </c>
      <c r="F105">
        <v>762979.375</v>
      </c>
      <c r="G105">
        <v>5181.8579099999997</v>
      </c>
      <c r="H105">
        <v>105</v>
      </c>
      <c r="I105">
        <v>235</v>
      </c>
      <c r="J105">
        <v>35125</v>
      </c>
      <c r="K105" t="s">
        <v>7675</v>
      </c>
      <c r="L105">
        <v>12</v>
      </c>
      <c r="M105">
        <v>12</v>
      </c>
      <c r="N105">
        <v>35125</v>
      </c>
      <c r="O105">
        <v>105</v>
      </c>
      <c r="P105" t="s">
        <v>3215</v>
      </c>
      <c r="Q105">
        <v>27.6</v>
      </c>
      <c r="R105">
        <v>132.37</v>
      </c>
      <c r="S105">
        <v>6.49</v>
      </c>
      <c r="T105">
        <v>31</v>
      </c>
      <c r="U105">
        <v>762979.37833600002</v>
      </c>
      <c r="V105">
        <v>5181.8578260000004</v>
      </c>
      <c r="W105">
        <v>104</v>
      </c>
      <c r="X105">
        <v>0</v>
      </c>
      <c r="Y105">
        <v>103</v>
      </c>
      <c r="Z105" t="s">
        <v>6966</v>
      </c>
      <c r="AA105" t="s">
        <v>6966</v>
      </c>
      <c r="AB105" t="s">
        <v>6966</v>
      </c>
      <c r="AC105" t="s">
        <v>6966</v>
      </c>
      <c r="AD105" t="s">
        <v>6966</v>
      </c>
      <c r="AE105" t="s">
        <v>6966</v>
      </c>
      <c r="AF105" t="s">
        <v>6966</v>
      </c>
      <c r="AG105" t="s">
        <v>6966</v>
      </c>
      <c r="AH105" t="s">
        <v>6966</v>
      </c>
      <c r="AI105" t="s">
        <v>6966</v>
      </c>
      <c r="AJ105" t="s">
        <v>6966</v>
      </c>
      <c r="AK105" t="s">
        <v>6966</v>
      </c>
      <c r="AL105" t="s">
        <v>6966</v>
      </c>
      <c r="AM105" t="s">
        <v>6966</v>
      </c>
      <c r="AN105" t="s">
        <v>6966</v>
      </c>
      <c r="AO105" t="s">
        <v>6966</v>
      </c>
      <c r="AP105" t="s">
        <v>6966</v>
      </c>
      <c r="AQ105" t="s">
        <v>6966</v>
      </c>
      <c r="AR105" t="s">
        <v>6966</v>
      </c>
      <c r="AS105" t="s">
        <v>6966</v>
      </c>
      <c r="AT105" t="s">
        <v>6966</v>
      </c>
      <c r="AU105" t="s">
        <v>6966</v>
      </c>
      <c r="AV105" t="s">
        <v>6966</v>
      </c>
      <c r="AW105" t="s">
        <v>6966</v>
      </c>
      <c r="AX105" t="s">
        <v>6966</v>
      </c>
      <c r="AY105" t="s">
        <v>6966</v>
      </c>
      <c r="AZ105">
        <v>5.0147999999999998E-2</v>
      </c>
      <c r="BA105">
        <v>7.4999999999999993E-5</v>
      </c>
    </row>
    <row r="106" spans="1:53" x14ac:dyDescent="0.25">
      <c r="A106">
        <v>104</v>
      </c>
      <c r="B106" t="s">
        <v>7625</v>
      </c>
      <c r="C106">
        <v>101145</v>
      </c>
      <c r="D106" t="s">
        <v>794</v>
      </c>
      <c r="E106" t="s">
        <v>3217</v>
      </c>
      <c r="F106">
        <v>445393.34375</v>
      </c>
      <c r="G106">
        <v>3279.671875</v>
      </c>
      <c r="H106">
        <v>106</v>
      </c>
      <c r="I106">
        <v>237</v>
      </c>
      <c r="J106">
        <v>35259</v>
      </c>
      <c r="K106" t="s">
        <v>2195</v>
      </c>
      <c r="L106">
        <v>12</v>
      </c>
      <c r="M106">
        <v>12</v>
      </c>
      <c r="N106">
        <v>35259</v>
      </c>
      <c r="O106">
        <v>106</v>
      </c>
      <c r="P106" t="s">
        <v>3215</v>
      </c>
      <c r="Q106">
        <v>1.7</v>
      </c>
      <c r="R106">
        <v>0</v>
      </c>
      <c r="S106">
        <v>0.27</v>
      </c>
      <c r="T106">
        <v>0</v>
      </c>
      <c r="U106">
        <v>445393.31229600002</v>
      </c>
      <c r="V106">
        <v>3279.6718070000002</v>
      </c>
      <c r="W106">
        <v>105</v>
      </c>
      <c r="X106">
        <v>0</v>
      </c>
      <c r="Y106">
        <v>104</v>
      </c>
      <c r="Z106" t="s">
        <v>6966</v>
      </c>
      <c r="AA106" t="s">
        <v>6966</v>
      </c>
      <c r="AB106" t="s">
        <v>6966</v>
      </c>
      <c r="AC106" t="s">
        <v>6966</v>
      </c>
      <c r="AD106" t="s">
        <v>6966</v>
      </c>
      <c r="AE106" t="s">
        <v>6966</v>
      </c>
      <c r="AF106" t="s">
        <v>6966</v>
      </c>
      <c r="AG106" t="s">
        <v>6966</v>
      </c>
      <c r="AH106" t="s">
        <v>6966</v>
      </c>
      <c r="AI106" t="s">
        <v>6966</v>
      </c>
      <c r="AJ106" t="s">
        <v>6966</v>
      </c>
      <c r="AK106" t="s">
        <v>6966</v>
      </c>
      <c r="AL106" t="s">
        <v>6966</v>
      </c>
      <c r="AM106" t="s">
        <v>6966</v>
      </c>
      <c r="AN106" t="s">
        <v>6966</v>
      </c>
      <c r="AO106" t="s">
        <v>6966</v>
      </c>
      <c r="AP106" t="s">
        <v>6966</v>
      </c>
      <c r="AQ106" t="s">
        <v>6966</v>
      </c>
      <c r="AR106" t="s">
        <v>6966</v>
      </c>
      <c r="AS106" t="s">
        <v>6966</v>
      </c>
      <c r="AT106" t="s">
        <v>6966</v>
      </c>
      <c r="AU106" t="s">
        <v>6966</v>
      </c>
      <c r="AV106" t="s">
        <v>6966</v>
      </c>
      <c r="AW106" t="s">
        <v>6966</v>
      </c>
      <c r="AX106" t="s">
        <v>6966</v>
      </c>
      <c r="AY106" t="s">
        <v>6966</v>
      </c>
      <c r="AZ106">
        <v>3.2878999999999999E-2</v>
      </c>
      <c r="BA106">
        <v>4.3999999999999999E-5</v>
      </c>
    </row>
    <row r="107" spans="1:53" x14ac:dyDescent="0.25">
      <c r="A107">
        <v>105</v>
      </c>
      <c r="B107" t="s">
        <v>7625</v>
      </c>
      <c r="C107">
        <v>101103</v>
      </c>
      <c r="D107" t="s">
        <v>792</v>
      </c>
      <c r="E107" t="s">
        <v>3217</v>
      </c>
      <c r="F107">
        <v>1375066.125</v>
      </c>
      <c r="G107">
        <v>5024</v>
      </c>
      <c r="H107">
        <v>107</v>
      </c>
      <c r="I107">
        <v>238</v>
      </c>
      <c r="J107">
        <v>35255</v>
      </c>
      <c r="K107" t="s">
        <v>2193</v>
      </c>
      <c r="L107">
        <v>12</v>
      </c>
      <c r="M107">
        <v>12</v>
      </c>
      <c r="N107">
        <v>35255</v>
      </c>
      <c r="O107">
        <v>107</v>
      </c>
      <c r="P107" t="s">
        <v>3215</v>
      </c>
      <c r="Q107">
        <v>1.7</v>
      </c>
      <c r="R107">
        <v>0</v>
      </c>
      <c r="S107">
        <v>0.33</v>
      </c>
      <c r="T107">
        <v>0</v>
      </c>
      <c r="U107">
        <v>1375066.11069</v>
      </c>
      <c r="V107">
        <v>5023.999726</v>
      </c>
      <c r="W107">
        <v>106</v>
      </c>
      <c r="X107">
        <v>0</v>
      </c>
      <c r="Y107">
        <v>105</v>
      </c>
      <c r="Z107" t="s">
        <v>6966</v>
      </c>
      <c r="AA107" t="s">
        <v>6966</v>
      </c>
      <c r="AB107" t="s">
        <v>6966</v>
      </c>
      <c r="AC107" t="s">
        <v>6966</v>
      </c>
      <c r="AD107" t="s">
        <v>6966</v>
      </c>
      <c r="AE107" t="s">
        <v>6966</v>
      </c>
      <c r="AF107" t="s">
        <v>6966</v>
      </c>
      <c r="AG107" t="s">
        <v>6966</v>
      </c>
      <c r="AH107" t="s">
        <v>6966</v>
      </c>
      <c r="AI107" t="s">
        <v>6966</v>
      </c>
      <c r="AJ107" t="s">
        <v>6966</v>
      </c>
      <c r="AK107" t="s">
        <v>6966</v>
      </c>
      <c r="AL107" t="s">
        <v>6966</v>
      </c>
      <c r="AM107" t="s">
        <v>6966</v>
      </c>
      <c r="AN107" t="s">
        <v>6966</v>
      </c>
      <c r="AO107" t="s">
        <v>6966</v>
      </c>
      <c r="AP107" t="s">
        <v>6966</v>
      </c>
      <c r="AQ107" t="s">
        <v>6966</v>
      </c>
      <c r="AR107" t="s">
        <v>6966</v>
      </c>
      <c r="AS107" t="s">
        <v>6966</v>
      </c>
      <c r="AT107" t="s">
        <v>6966</v>
      </c>
      <c r="AU107" t="s">
        <v>6966</v>
      </c>
      <c r="AV107" t="s">
        <v>6966</v>
      </c>
      <c r="AW107" t="s">
        <v>6966</v>
      </c>
      <c r="AX107" t="s">
        <v>6966</v>
      </c>
      <c r="AY107" t="s">
        <v>6966</v>
      </c>
      <c r="AZ107">
        <v>4.9950000000000001E-2</v>
      </c>
      <c r="BA107">
        <v>1.35E-4</v>
      </c>
    </row>
    <row r="108" spans="1:53" x14ac:dyDescent="0.25">
      <c r="A108">
        <v>106</v>
      </c>
      <c r="B108" t="s">
        <v>7625</v>
      </c>
      <c r="C108">
        <v>101046</v>
      </c>
      <c r="D108" t="s">
        <v>747</v>
      </c>
      <c r="E108" t="s">
        <v>3217</v>
      </c>
      <c r="F108">
        <v>3035297.75</v>
      </c>
      <c r="G108">
        <v>9587.75</v>
      </c>
      <c r="H108">
        <v>108</v>
      </c>
      <c r="I108">
        <v>239</v>
      </c>
      <c r="J108">
        <v>35155</v>
      </c>
      <c r="K108" t="s">
        <v>7676</v>
      </c>
      <c r="L108">
        <v>12</v>
      </c>
      <c r="M108">
        <v>12</v>
      </c>
      <c r="N108">
        <v>35155</v>
      </c>
      <c r="O108">
        <v>108</v>
      </c>
      <c r="P108" t="s">
        <v>3215</v>
      </c>
      <c r="Q108">
        <v>0.9</v>
      </c>
      <c r="R108">
        <v>51.63</v>
      </c>
      <c r="S108">
        <v>0.26</v>
      </c>
      <c r="T108">
        <v>14</v>
      </c>
      <c r="U108">
        <v>3035297.64586</v>
      </c>
      <c r="V108">
        <v>9587.7499659999994</v>
      </c>
      <c r="W108">
        <v>107</v>
      </c>
      <c r="X108">
        <v>0</v>
      </c>
      <c r="Y108">
        <v>106</v>
      </c>
      <c r="Z108" t="s">
        <v>6966</v>
      </c>
      <c r="AA108" t="s">
        <v>6966</v>
      </c>
      <c r="AB108" t="s">
        <v>6966</v>
      </c>
      <c r="AC108" t="s">
        <v>6966</v>
      </c>
      <c r="AD108" t="s">
        <v>6966</v>
      </c>
      <c r="AE108" t="s">
        <v>6966</v>
      </c>
      <c r="AF108" t="s">
        <v>6966</v>
      </c>
      <c r="AG108" t="s">
        <v>6966</v>
      </c>
      <c r="AH108" t="s">
        <v>6966</v>
      </c>
      <c r="AI108" t="s">
        <v>6966</v>
      </c>
      <c r="AJ108" t="s">
        <v>6966</v>
      </c>
      <c r="AK108" t="s">
        <v>6966</v>
      </c>
      <c r="AL108" t="s">
        <v>6966</v>
      </c>
      <c r="AM108" t="s">
        <v>6966</v>
      </c>
      <c r="AN108" t="s">
        <v>6966</v>
      </c>
      <c r="AO108" t="s">
        <v>6966</v>
      </c>
      <c r="AP108" t="s">
        <v>6966</v>
      </c>
      <c r="AQ108" t="s">
        <v>6966</v>
      </c>
      <c r="AR108" t="s">
        <v>6966</v>
      </c>
      <c r="AS108" t="s">
        <v>6966</v>
      </c>
      <c r="AT108" t="s">
        <v>6966</v>
      </c>
      <c r="AU108" t="s">
        <v>6966</v>
      </c>
      <c r="AV108" t="s">
        <v>6966</v>
      </c>
      <c r="AW108" t="s">
        <v>6966</v>
      </c>
      <c r="AX108" t="s">
        <v>6966</v>
      </c>
      <c r="AY108" t="s">
        <v>6966</v>
      </c>
      <c r="AZ108">
        <v>9.8461999999999994E-2</v>
      </c>
      <c r="BA108">
        <v>2.9799999999999998E-4</v>
      </c>
    </row>
    <row r="109" spans="1:53" x14ac:dyDescent="0.25">
      <c r="A109">
        <v>107</v>
      </c>
      <c r="B109" t="s">
        <v>7625</v>
      </c>
      <c r="C109">
        <v>101112</v>
      </c>
      <c r="D109" t="s">
        <v>733</v>
      </c>
      <c r="E109" t="s">
        <v>3217</v>
      </c>
      <c r="F109">
        <v>1133372.75</v>
      </c>
      <c r="G109">
        <v>6998.0620120000003</v>
      </c>
      <c r="H109">
        <v>109</v>
      </c>
      <c r="I109">
        <v>240</v>
      </c>
      <c r="J109">
        <v>35129</v>
      </c>
      <c r="K109" t="s">
        <v>733</v>
      </c>
      <c r="L109">
        <v>12</v>
      </c>
      <c r="M109">
        <v>12</v>
      </c>
      <c r="N109">
        <v>35129</v>
      </c>
      <c r="O109">
        <v>109</v>
      </c>
      <c r="P109" t="s">
        <v>3215</v>
      </c>
      <c r="Q109">
        <v>36</v>
      </c>
      <c r="R109">
        <v>217.29</v>
      </c>
      <c r="S109">
        <v>7.26</v>
      </c>
      <c r="T109">
        <v>44</v>
      </c>
      <c r="U109">
        <v>1133372.5953599999</v>
      </c>
      <c r="V109">
        <v>6998.0625360000004</v>
      </c>
      <c r="W109">
        <v>108</v>
      </c>
      <c r="X109">
        <v>0</v>
      </c>
      <c r="Y109">
        <v>107</v>
      </c>
      <c r="Z109" t="s">
        <v>6966</v>
      </c>
      <c r="AA109" t="s">
        <v>6966</v>
      </c>
      <c r="AB109" t="s">
        <v>6966</v>
      </c>
      <c r="AC109" t="s">
        <v>6966</v>
      </c>
      <c r="AD109" t="s">
        <v>6966</v>
      </c>
      <c r="AE109" t="s">
        <v>6966</v>
      </c>
      <c r="AF109" t="s">
        <v>6966</v>
      </c>
      <c r="AG109" t="s">
        <v>6966</v>
      </c>
      <c r="AH109" t="s">
        <v>6966</v>
      </c>
      <c r="AI109" t="s">
        <v>6966</v>
      </c>
      <c r="AJ109" t="s">
        <v>6966</v>
      </c>
      <c r="AK109" t="s">
        <v>6966</v>
      </c>
      <c r="AL109" t="s">
        <v>6966</v>
      </c>
      <c r="AM109" t="s">
        <v>6966</v>
      </c>
      <c r="AN109" t="s">
        <v>6966</v>
      </c>
      <c r="AO109" t="s">
        <v>6966</v>
      </c>
      <c r="AP109" t="s">
        <v>6966</v>
      </c>
      <c r="AQ109" t="s">
        <v>6966</v>
      </c>
      <c r="AR109" t="s">
        <v>6966</v>
      </c>
      <c r="AS109" t="s">
        <v>6966</v>
      </c>
      <c r="AT109" t="s">
        <v>6966</v>
      </c>
      <c r="AU109" t="s">
        <v>6966</v>
      </c>
      <c r="AV109" t="s">
        <v>6966</v>
      </c>
      <c r="AW109" t="s">
        <v>6966</v>
      </c>
      <c r="AX109" t="s">
        <v>6966</v>
      </c>
      <c r="AY109" t="s">
        <v>6966</v>
      </c>
      <c r="AZ109">
        <v>6.8666000000000005E-2</v>
      </c>
      <c r="BA109">
        <v>1.11E-4</v>
      </c>
    </row>
    <row r="110" spans="1:53" x14ac:dyDescent="0.25">
      <c r="A110">
        <v>108</v>
      </c>
      <c r="B110" t="s">
        <v>7625</v>
      </c>
      <c r="C110">
        <v>101006</v>
      </c>
      <c r="D110" t="s">
        <v>763</v>
      </c>
      <c r="E110" t="s">
        <v>3217</v>
      </c>
      <c r="F110">
        <v>2783615.5</v>
      </c>
      <c r="G110">
        <v>8220.3496090000008</v>
      </c>
      <c r="H110">
        <v>110</v>
      </c>
      <c r="I110">
        <v>242</v>
      </c>
      <c r="J110">
        <v>35185</v>
      </c>
      <c r="K110" t="s">
        <v>2167</v>
      </c>
      <c r="L110">
        <v>12</v>
      </c>
      <c r="M110">
        <v>12</v>
      </c>
      <c r="N110">
        <v>35185</v>
      </c>
      <c r="O110">
        <v>110</v>
      </c>
      <c r="P110" t="s">
        <v>3215</v>
      </c>
      <c r="Q110">
        <v>5.0999999999999996</v>
      </c>
      <c r="R110">
        <v>81.319999999999993</v>
      </c>
      <c r="S110">
        <v>1.1599999999999999</v>
      </c>
      <c r="T110">
        <v>19</v>
      </c>
      <c r="U110">
        <v>2783615.3942999998</v>
      </c>
      <c r="V110">
        <v>8220.3486680000005</v>
      </c>
      <c r="W110">
        <v>109</v>
      </c>
      <c r="X110">
        <v>1</v>
      </c>
      <c r="Y110">
        <v>108</v>
      </c>
      <c r="Z110">
        <v>69459</v>
      </c>
      <c r="AA110" s="76">
        <v>45900</v>
      </c>
      <c r="AB110">
        <v>2025</v>
      </c>
      <c r="AC110" t="s">
        <v>7379</v>
      </c>
      <c r="AD110">
        <v>31</v>
      </c>
      <c r="AE110" t="s">
        <v>7431</v>
      </c>
      <c r="AF110" t="s">
        <v>3217</v>
      </c>
      <c r="AG110" t="s">
        <v>3217</v>
      </c>
      <c r="AH110" t="s">
        <v>763</v>
      </c>
      <c r="AI110" t="s">
        <v>763</v>
      </c>
      <c r="AJ110" t="s">
        <v>6966</v>
      </c>
      <c r="AK110">
        <v>34.535339999999998</v>
      </c>
      <c r="AL110">
        <v>36.196820000000002</v>
      </c>
      <c r="AM110" t="s">
        <v>6995</v>
      </c>
      <c r="AN110" t="s">
        <v>6966</v>
      </c>
      <c r="AO110" t="s">
        <v>7008</v>
      </c>
      <c r="AP110" t="s">
        <v>7432</v>
      </c>
      <c r="AQ110" t="s">
        <v>6998</v>
      </c>
      <c r="AR110" t="s">
        <v>6999</v>
      </c>
      <c r="AS110" t="s">
        <v>7036</v>
      </c>
      <c r="AT110">
        <v>0</v>
      </c>
      <c r="AU110">
        <v>0</v>
      </c>
      <c r="AV110" t="s">
        <v>6966</v>
      </c>
      <c r="AW110" t="s">
        <v>7119</v>
      </c>
      <c r="AX110" t="s">
        <v>6966</v>
      </c>
      <c r="AY110" t="s">
        <v>7003</v>
      </c>
      <c r="AZ110">
        <v>8.2270999999999997E-2</v>
      </c>
      <c r="BA110">
        <v>2.7300000000000002E-4</v>
      </c>
    </row>
    <row r="111" spans="1:53" x14ac:dyDescent="0.25">
      <c r="A111">
        <v>109</v>
      </c>
      <c r="B111" t="s">
        <v>7625</v>
      </c>
      <c r="C111">
        <v>101040</v>
      </c>
      <c r="D111" t="s">
        <v>728</v>
      </c>
      <c r="E111" t="s">
        <v>3217</v>
      </c>
      <c r="F111">
        <v>1735538.875</v>
      </c>
      <c r="G111">
        <v>6979.0253910000001</v>
      </c>
      <c r="H111">
        <v>111</v>
      </c>
      <c r="I111">
        <v>243</v>
      </c>
      <c r="J111">
        <v>35123</v>
      </c>
      <c r="K111" t="s">
        <v>2138</v>
      </c>
      <c r="L111">
        <v>12</v>
      </c>
      <c r="M111">
        <v>12</v>
      </c>
      <c r="N111">
        <v>35123</v>
      </c>
      <c r="O111">
        <v>111</v>
      </c>
      <c r="P111" t="s">
        <v>3215</v>
      </c>
      <c r="Q111">
        <v>9.8000000000000007</v>
      </c>
      <c r="R111">
        <v>139.99</v>
      </c>
      <c r="S111">
        <v>2.12</v>
      </c>
      <c r="T111">
        <v>32</v>
      </c>
      <c r="U111">
        <v>1735538.8298500001</v>
      </c>
      <c r="V111">
        <v>6979.025815</v>
      </c>
      <c r="W111">
        <v>110</v>
      </c>
      <c r="X111">
        <v>0</v>
      </c>
      <c r="Y111">
        <v>109</v>
      </c>
      <c r="Z111" t="s">
        <v>6966</v>
      </c>
      <c r="AA111" t="s">
        <v>6966</v>
      </c>
      <c r="AB111" t="s">
        <v>6966</v>
      </c>
      <c r="AC111" t="s">
        <v>6966</v>
      </c>
      <c r="AD111" t="s">
        <v>6966</v>
      </c>
      <c r="AE111" t="s">
        <v>6966</v>
      </c>
      <c r="AF111" t="s">
        <v>6966</v>
      </c>
      <c r="AG111" t="s">
        <v>6966</v>
      </c>
      <c r="AH111" t="s">
        <v>6966</v>
      </c>
      <c r="AI111" t="s">
        <v>6966</v>
      </c>
      <c r="AJ111" t="s">
        <v>6966</v>
      </c>
      <c r="AK111" t="s">
        <v>6966</v>
      </c>
      <c r="AL111" t="s">
        <v>6966</v>
      </c>
      <c r="AM111" t="s">
        <v>6966</v>
      </c>
      <c r="AN111" t="s">
        <v>6966</v>
      </c>
      <c r="AO111" t="s">
        <v>6966</v>
      </c>
      <c r="AP111" t="s">
        <v>6966</v>
      </c>
      <c r="AQ111" t="s">
        <v>6966</v>
      </c>
      <c r="AR111" t="s">
        <v>6966</v>
      </c>
      <c r="AS111" t="s">
        <v>6966</v>
      </c>
      <c r="AT111" t="s">
        <v>6966</v>
      </c>
      <c r="AU111" t="s">
        <v>6966</v>
      </c>
      <c r="AV111" t="s">
        <v>6966</v>
      </c>
      <c r="AW111" t="s">
        <v>6966</v>
      </c>
      <c r="AX111" t="s">
        <v>6966</v>
      </c>
      <c r="AY111" t="s">
        <v>6966</v>
      </c>
      <c r="AZ111">
        <v>7.0405999999999996E-2</v>
      </c>
      <c r="BA111">
        <v>1.7000000000000001E-4</v>
      </c>
    </row>
    <row r="112" spans="1:53" x14ac:dyDescent="0.25">
      <c r="A112">
        <v>110</v>
      </c>
      <c r="B112" t="s">
        <v>7625</v>
      </c>
      <c r="C112">
        <v>101008</v>
      </c>
      <c r="D112" t="s">
        <v>797</v>
      </c>
      <c r="E112" t="s">
        <v>3217</v>
      </c>
      <c r="F112">
        <v>2278307</v>
      </c>
      <c r="G112">
        <v>8120.4423829999996</v>
      </c>
      <c r="H112">
        <v>112</v>
      </c>
      <c r="I112">
        <v>244</v>
      </c>
      <c r="J112">
        <v>35265</v>
      </c>
      <c r="K112" t="s">
        <v>2197</v>
      </c>
      <c r="L112">
        <v>12</v>
      </c>
      <c r="M112">
        <v>12</v>
      </c>
      <c r="N112">
        <v>35265</v>
      </c>
      <c r="O112">
        <v>112</v>
      </c>
      <c r="P112" t="s">
        <v>3215</v>
      </c>
      <c r="Q112">
        <v>4.5</v>
      </c>
      <c r="R112">
        <v>188.28</v>
      </c>
      <c r="S112">
        <v>0.81</v>
      </c>
      <c r="T112">
        <v>34</v>
      </c>
      <c r="U112">
        <v>2278307.0348800002</v>
      </c>
      <c r="V112">
        <v>8120.4426480000002</v>
      </c>
      <c r="W112">
        <v>111</v>
      </c>
      <c r="X112">
        <v>0</v>
      </c>
      <c r="Y112">
        <v>110</v>
      </c>
      <c r="Z112" t="s">
        <v>6966</v>
      </c>
      <c r="AA112" t="s">
        <v>6966</v>
      </c>
      <c r="AB112" t="s">
        <v>6966</v>
      </c>
      <c r="AC112" t="s">
        <v>6966</v>
      </c>
      <c r="AD112" t="s">
        <v>6966</v>
      </c>
      <c r="AE112" t="s">
        <v>6966</v>
      </c>
      <c r="AF112" t="s">
        <v>6966</v>
      </c>
      <c r="AG112" t="s">
        <v>6966</v>
      </c>
      <c r="AH112" t="s">
        <v>6966</v>
      </c>
      <c r="AI112" t="s">
        <v>6966</v>
      </c>
      <c r="AJ112" t="s">
        <v>6966</v>
      </c>
      <c r="AK112" t="s">
        <v>6966</v>
      </c>
      <c r="AL112" t="s">
        <v>6966</v>
      </c>
      <c r="AM112" t="s">
        <v>6966</v>
      </c>
      <c r="AN112" t="s">
        <v>6966</v>
      </c>
      <c r="AO112" t="s">
        <v>6966</v>
      </c>
      <c r="AP112" t="s">
        <v>6966</v>
      </c>
      <c r="AQ112" t="s">
        <v>6966</v>
      </c>
      <c r="AR112" t="s">
        <v>6966</v>
      </c>
      <c r="AS112" t="s">
        <v>6966</v>
      </c>
      <c r="AT112" t="s">
        <v>6966</v>
      </c>
      <c r="AU112" t="s">
        <v>6966</v>
      </c>
      <c r="AV112" t="s">
        <v>6966</v>
      </c>
      <c r="AW112" t="s">
        <v>6966</v>
      </c>
      <c r="AX112" t="s">
        <v>6966</v>
      </c>
      <c r="AY112" t="s">
        <v>6966</v>
      </c>
      <c r="AZ112">
        <v>8.2407999999999995E-2</v>
      </c>
      <c r="BA112">
        <v>2.24E-4</v>
      </c>
    </row>
    <row r="113" spans="1:53" x14ac:dyDescent="0.25">
      <c r="A113">
        <v>111</v>
      </c>
      <c r="B113" t="s">
        <v>7625</v>
      </c>
      <c r="C113">
        <v>101026</v>
      </c>
      <c r="D113" t="s">
        <v>757</v>
      </c>
      <c r="E113" t="s">
        <v>3217</v>
      </c>
      <c r="F113">
        <v>2657368</v>
      </c>
      <c r="G113">
        <v>9129.2138670000004</v>
      </c>
      <c r="H113">
        <v>113</v>
      </c>
      <c r="I113">
        <v>245</v>
      </c>
      <c r="J113">
        <v>35174</v>
      </c>
      <c r="K113" t="s">
        <v>2162</v>
      </c>
      <c r="L113">
        <v>12</v>
      </c>
      <c r="M113">
        <v>12</v>
      </c>
      <c r="N113">
        <v>35174</v>
      </c>
      <c r="O113">
        <v>113</v>
      </c>
      <c r="P113" t="s">
        <v>3215</v>
      </c>
      <c r="Q113">
        <v>3.2</v>
      </c>
      <c r="R113">
        <v>35.86</v>
      </c>
      <c r="S113">
        <v>1.23</v>
      </c>
      <c r="T113">
        <v>14</v>
      </c>
      <c r="U113">
        <v>2657368.0839999998</v>
      </c>
      <c r="V113">
        <v>9129.2143539999997</v>
      </c>
      <c r="W113">
        <v>112</v>
      </c>
      <c r="X113">
        <v>0</v>
      </c>
      <c r="Y113">
        <v>111</v>
      </c>
      <c r="Z113" t="s">
        <v>6966</v>
      </c>
      <c r="AA113" t="s">
        <v>6966</v>
      </c>
      <c r="AB113" t="s">
        <v>6966</v>
      </c>
      <c r="AC113" t="s">
        <v>6966</v>
      </c>
      <c r="AD113" t="s">
        <v>6966</v>
      </c>
      <c r="AE113" t="s">
        <v>6966</v>
      </c>
      <c r="AF113" t="s">
        <v>6966</v>
      </c>
      <c r="AG113" t="s">
        <v>6966</v>
      </c>
      <c r="AH113" t="s">
        <v>6966</v>
      </c>
      <c r="AI113" t="s">
        <v>6966</v>
      </c>
      <c r="AJ113" t="s">
        <v>6966</v>
      </c>
      <c r="AK113" t="s">
        <v>6966</v>
      </c>
      <c r="AL113" t="s">
        <v>6966</v>
      </c>
      <c r="AM113" t="s">
        <v>6966</v>
      </c>
      <c r="AN113" t="s">
        <v>6966</v>
      </c>
      <c r="AO113" t="s">
        <v>6966</v>
      </c>
      <c r="AP113" t="s">
        <v>6966</v>
      </c>
      <c r="AQ113" t="s">
        <v>6966</v>
      </c>
      <c r="AR113" t="s">
        <v>6966</v>
      </c>
      <c r="AS113" t="s">
        <v>6966</v>
      </c>
      <c r="AT113" t="s">
        <v>6966</v>
      </c>
      <c r="AU113" t="s">
        <v>6966</v>
      </c>
      <c r="AV113" t="s">
        <v>6966</v>
      </c>
      <c r="AW113" t="s">
        <v>6966</v>
      </c>
      <c r="AX113" t="s">
        <v>6966</v>
      </c>
      <c r="AY113" t="s">
        <v>6966</v>
      </c>
      <c r="AZ113">
        <v>9.2000999999999999E-2</v>
      </c>
      <c r="BA113">
        <v>2.61E-4</v>
      </c>
    </row>
    <row r="114" spans="1:53" x14ac:dyDescent="0.25">
      <c r="A114">
        <v>112</v>
      </c>
      <c r="B114" t="s">
        <v>7625</v>
      </c>
      <c r="C114">
        <v>101161</v>
      </c>
      <c r="D114" t="s">
        <v>731</v>
      </c>
      <c r="E114" t="s">
        <v>3217</v>
      </c>
      <c r="F114">
        <v>753453.125</v>
      </c>
      <c r="G114">
        <v>6116.6728519999997</v>
      </c>
      <c r="H114">
        <v>114</v>
      </c>
      <c r="I114">
        <v>246</v>
      </c>
      <c r="J114">
        <v>35127</v>
      </c>
      <c r="K114" t="s">
        <v>2141</v>
      </c>
      <c r="L114">
        <v>12</v>
      </c>
      <c r="M114">
        <v>12</v>
      </c>
      <c r="N114">
        <v>35127</v>
      </c>
      <c r="O114">
        <v>114</v>
      </c>
      <c r="P114" t="s">
        <v>3215</v>
      </c>
      <c r="Q114">
        <v>23.9</v>
      </c>
      <c r="R114">
        <v>458.28</v>
      </c>
      <c r="S114">
        <v>5.0199999999999996</v>
      </c>
      <c r="T114">
        <v>96</v>
      </c>
      <c r="U114">
        <v>753453.08845100005</v>
      </c>
      <c r="V114">
        <v>6116.6727890000002</v>
      </c>
      <c r="W114">
        <v>113</v>
      </c>
      <c r="X114">
        <v>0</v>
      </c>
      <c r="Y114">
        <v>112</v>
      </c>
      <c r="Z114" t="s">
        <v>6966</v>
      </c>
      <c r="AA114" t="s">
        <v>6966</v>
      </c>
      <c r="AB114" t="s">
        <v>6966</v>
      </c>
      <c r="AC114" t="s">
        <v>6966</v>
      </c>
      <c r="AD114" t="s">
        <v>6966</v>
      </c>
      <c r="AE114" t="s">
        <v>6966</v>
      </c>
      <c r="AF114" t="s">
        <v>6966</v>
      </c>
      <c r="AG114" t="s">
        <v>6966</v>
      </c>
      <c r="AH114" t="s">
        <v>6966</v>
      </c>
      <c r="AI114" t="s">
        <v>6966</v>
      </c>
      <c r="AJ114" t="s">
        <v>6966</v>
      </c>
      <c r="AK114" t="s">
        <v>6966</v>
      </c>
      <c r="AL114" t="s">
        <v>6966</v>
      </c>
      <c r="AM114" t="s">
        <v>6966</v>
      </c>
      <c r="AN114" t="s">
        <v>6966</v>
      </c>
      <c r="AO114" t="s">
        <v>6966</v>
      </c>
      <c r="AP114" t="s">
        <v>6966</v>
      </c>
      <c r="AQ114" t="s">
        <v>6966</v>
      </c>
      <c r="AR114" t="s">
        <v>6966</v>
      </c>
      <c r="AS114" t="s">
        <v>6966</v>
      </c>
      <c r="AT114" t="s">
        <v>6966</v>
      </c>
      <c r="AU114" t="s">
        <v>6966</v>
      </c>
      <c r="AV114" t="s">
        <v>6966</v>
      </c>
      <c r="AW114" t="s">
        <v>6966</v>
      </c>
      <c r="AX114" t="s">
        <v>6966</v>
      </c>
      <c r="AY114" t="s">
        <v>6966</v>
      </c>
      <c r="AZ114">
        <v>6.0769999999999998E-2</v>
      </c>
      <c r="BA114">
        <v>7.3999999999999996E-5</v>
      </c>
    </row>
    <row r="115" spans="1:53" x14ac:dyDescent="0.25">
      <c r="A115">
        <v>113</v>
      </c>
      <c r="B115" t="s">
        <v>7625</v>
      </c>
      <c r="C115">
        <v>101074</v>
      </c>
      <c r="D115" t="s">
        <v>725</v>
      </c>
      <c r="E115" t="s">
        <v>3217</v>
      </c>
      <c r="F115">
        <v>1926592.75</v>
      </c>
      <c r="G115">
        <v>8201.8730469999991</v>
      </c>
      <c r="H115">
        <v>115</v>
      </c>
      <c r="I115">
        <v>247</v>
      </c>
      <c r="J115">
        <v>35117</v>
      </c>
      <c r="K115" t="s">
        <v>2135</v>
      </c>
      <c r="L115">
        <v>12</v>
      </c>
      <c r="M115">
        <v>12</v>
      </c>
      <c r="N115">
        <v>35117</v>
      </c>
      <c r="O115">
        <v>115</v>
      </c>
      <c r="P115" t="s">
        <v>3215</v>
      </c>
      <c r="Q115">
        <v>7.4</v>
      </c>
      <c r="R115">
        <v>170.66</v>
      </c>
      <c r="S115">
        <v>1.41</v>
      </c>
      <c r="T115">
        <v>47</v>
      </c>
      <c r="U115">
        <v>1926592.6718900001</v>
      </c>
      <c r="V115">
        <v>8201.8730610000002</v>
      </c>
      <c r="W115">
        <v>114</v>
      </c>
      <c r="X115">
        <v>0</v>
      </c>
      <c r="Y115">
        <v>113</v>
      </c>
      <c r="Z115" t="s">
        <v>6966</v>
      </c>
      <c r="AA115" t="s">
        <v>6966</v>
      </c>
      <c r="AB115" t="s">
        <v>6966</v>
      </c>
      <c r="AC115" t="s">
        <v>6966</v>
      </c>
      <c r="AD115" t="s">
        <v>6966</v>
      </c>
      <c r="AE115" t="s">
        <v>6966</v>
      </c>
      <c r="AF115" t="s">
        <v>6966</v>
      </c>
      <c r="AG115" t="s">
        <v>6966</v>
      </c>
      <c r="AH115" t="s">
        <v>6966</v>
      </c>
      <c r="AI115" t="s">
        <v>6966</v>
      </c>
      <c r="AJ115" t="s">
        <v>6966</v>
      </c>
      <c r="AK115" t="s">
        <v>6966</v>
      </c>
      <c r="AL115" t="s">
        <v>6966</v>
      </c>
      <c r="AM115" t="s">
        <v>6966</v>
      </c>
      <c r="AN115" t="s">
        <v>6966</v>
      </c>
      <c r="AO115" t="s">
        <v>6966</v>
      </c>
      <c r="AP115" t="s">
        <v>6966</v>
      </c>
      <c r="AQ115" t="s">
        <v>6966</v>
      </c>
      <c r="AR115" t="s">
        <v>6966</v>
      </c>
      <c r="AS115" t="s">
        <v>6966</v>
      </c>
      <c r="AT115" t="s">
        <v>6966</v>
      </c>
      <c r="AU115" t="s">
        <v>6966</v>
      </c>
      <c r="AV115" t="s">
        <v>6966</v>
      </c>
      <c r="AW115" t="s">
        <v>6966</v>
      </c>
      <c r="AX115" t="s">
        <v>6966</v>
      </c>
      <c r="AY115" t="s">
        <v>6966</v>
      </c>
      <c r="AZ115">
        <v>8.3396999999999999E-2</v>
      </c>
      <c r="BA115">
        <v>1.8900000000000001E-4</v>
      </c>
    </row>
    <row r="116" spans="1:53" x14ac:dyDescent="0.25">
      <c r="A116">
        <v>114</v>
      </c>
      <c r="B116" t="s">
        <v>7625</v>
      </c>
      <c r="C116">
        <v>101016</v>
      </c>
      <c r="D116" t="s">
        <v>759</v>
      </c>
      <c r="E116" t="s">
        <v>3217</v>
      </c>
      <c r="F116">
        <v>507266.46875</v>
      </c>
      <c r="G116">
        <v>4434.5815430000002</v>
      </c>
      <c r="H116">
        <v>116</v>
      </c>
      <c r="I116">
        <v>248</v>
      </c>
      <c r="J116">
        <v>35177</v>
      </c>
      <c r="K116" t="s">
        <v>2163</v>
      </c>
      <c r="L116">
        <v>12</v>
      </c>
      <c r="M116">
        <v>12</v>
      </c>
      <c r="N116">
        <v>35177</v>
      </c>
      <c r="O116">
        <v>116</v>
      </c>
      <c r="P116" t="s">
        <v>3215</v>
      </c>
      <c r="Q116">
        <v>18.100000000000001</v>
      </c>
      <c r="R116">
        <v>36.74</v>
      </c>
      <c r="S116">
        <v>3.85</v>
      </c>
      <c r="T116">
        <v>8</v>
      </c>
      <c r="U116">
        <v>507266.51240200002</v>
      </c>
      <c r="V116">
        <v>4434.5819799999999</v>
      </c>
      <c r="W116">
        <v>115</v>
      </c>
      <c r="X116">
        <v>0</v>
      </c>
      <c r="Y116">
        <v>114</v>
      </c>
      <c r="Z116" t="s">
        <v>6966</v>
      </c>
      <c r="AA116" t="s">
        <v>6966</v>
      </c>
      <c r="AB116" t="s">
        <v>6966</v>
      </c>
      <c r="AC116" t="s">
        <v>6966</v>
      </c>
      <c r="AD116" t="s">
        <v>6966</v>
      </c>
      <c r="AE116" t="s">
        <v>6966</v>
      </c>
      <c r="AF116" t="s">
        <v>6966</v>
      </c>
      <c r="AG116" t="s">
        <v>6966</v>
      </c>
      <c r="AH116" t="s">
        <v>6966</v>
      </c>
      <c r="AI116" t="s">
        <v>6966</v>
      </c>
      <c r="AJ116" t="s">
        <v>6966</v>
      </c>
      <c r="AK116" t="s">
        <v>6966</v>
      </c>
      <c r="AL116" t="s">
        <v>6966</v>
      </c>
      <c r="AM116" t="s">
        <v>6966</v>
      </c>
      <c r="AN116" t="s">
        <v>6966</v>
      </c>
      <c r="AO116" t="s">
        <v>6966</v>
      </c>
      <c r="AP116" t="s">
        <v>6966</v>
      </c>
      <c r="AQ116" t="s">
        <v>6966</v>
      </c>
      <c r="AR116" t="s">
        <v>6966</v>
      </c>
      <c r="AS116" t="s">
        <v>6966</v>
      </c>
      <c r="AT116" t="s">
        <v>6966</v>
      </c>
      <c r="AU116" t="s">
        <v>6966</v>
      </c>
      <c r="AV116" t="s">
        <v>6966</v>
      </c>
      <c r="AW116" t="s">
        <v>6966</v>
      </c>
      <c r="AX116" t="s">
        <v>6966</v>
      </c>
      <c r="AY116" t="s">
        <v>6966</v>
      </c>
      <c r="AZ116">
        <v>4.3140999999999999E-2</v>
      </c>
      <c r="BA116">
        <v>5.0000000000000002E-5</v>
      </c>
    </row>
    <row r="117" spans="1:53" x14ac:dyDescent="0.25">
      <c r="A117">
        <v>115</v>
      </c>
      <c r="B117" t="s">
        <v>7625</v>
      </c>
      <c r="C117">
        <v>101050</v>
      </c>
      <c r="D117" t="s">
        <v>744</v>
      </c>
      <c r="E117" t="s">
        <v>3217</v>
      </c>
      <c r="F117">
        <v>3392466</v>
      </c>
      <c r="G117">
        <v>12843.125</v>
      </c>
      <c r="H117">
        <v>117</v>
      </c>
      <c r="I117">
        <v>249</v>
      </c>
      <c r="J117">
        <v>35149</v>
      </c>
      <c r="K117" t="s">
        <v>2151</v>
      </c>
      <c r="L117">
        <v>12</v>
      </c>
      <c r="M117">
        <v>12</v>
      </c>
      <c r="N117">
        <v>35149</v>
      </c>
      <c r="O117">
        <v>117</v>
      </c>
      <c r="P117" t="s">
        <v>3215</v>
      </c>
      <c r="Q117">
        <v>9.9</v>
      </c>
      <c r="R117">
        <v>72.87</v>
      </c>
      <c r="S117">
        <v>2.04</v>
      </c>
      <c r="T117">
        <v>15</v>
      </c>
      <c r="U117">
        <v>3392466.0502900002</v>
      </c>
      <c r="V117">
        <v>12843.124913</v>
      </c>
      <c r="W117">
        <v>116</v>
      </c>
      <c r="X117">
        <v>0</v>
      </c>
      <c r="Y117">
        <v>115</v>
      </c>
      <c r="Z117" t="s">
        <v>6966</v>
      </c>
      <c r="AA117" t="s">
        <v>6966</v>
      </c>
      <c r="AB117" t="s">
        <v>6966</v>
      </c>
      <c r="AC117" t="s">
        <v>6966</v>
      </c>
      <c r="AD117" t="s">
        <v>6966</v>
      </c>
      <c r="AE117" t="s">
        <v>6966</v>
      </c>
      <c r="AF117" t="s">
        <v>6966</v>
      </c>
      <c r="AG117" t="s">
        <v>6966</v>
      </c>
      <c r="AH117" t="s">
        <v>6966</v>
      </c>
      <c r="AI117" t="s">
        <v>6966</v>
      </c>
      <c r="AJ117" t="s">
        <v>6966</v>
      </c>
      <c r="AK117" t="s">
        <v>6966</v>
      </c>
      <c r="AL117" t="s">
        <v>6966</v>
      </c>
      <c r="AM117" t="s">
        <v>6966</v>
      </c>
      <c r="AN117" t="s">
        <v>6966</v>
      </c>
      <c r="AO117" t="s">
        <v>6966</v>
      </c>
      <c r="AP117" t="s">
        <v>6966</v>
      </c>
      <c r="AQ117" t="s">
        <v>6966</v>
      </c>
      <c r="AR117" t="s">
        <v>6966</v>
      </c>
      <c r="AS117" t="s">
        <v>6966</v>
      </c>
      <c r="AT117" t="s">
        <v>6966</v>
      </c>
      <c r="AU117" t="s">
        <v>6966</v>
      </c>
      <c r="AV117" t="s">
        <v>6966</v>
      </c>
      <c r="AW117" t="s">
        <v>6966</v>
      </c>
      <c r="AX117" t="s">
        <v>6966</v>
      </c>
      <c r="AY117" t="s">
        <v>6966</v>
      </c>
      <c r="AZ117">
        <v>0.12947600000000001</v>
      </c>
      <c r="BA117">
        <v>3.3300000000000002E-4</v>
      </c>
    </row>
    <row r="118" spans="1:53" x14ac:dyDescent="0.25">
      <c r="A118">
        <v>116</v>
      </c>
      <c r="B118" t="s">
        <v>7625</v>
      </c>
      <c r="C118">
        <v>101079</v>
      </c>
      <c r="D118" t="s">
        <v>752</v>
      </c>
      <c r="E118" t="s">
        <v>3217</v>
      </c>
      <c r="F118">
        <v>5529152</v>
      </c>
      <c r="G118">
        <v>13188.263671999999</v>
      </c>
      <c r="H118">
        <v>118</v>
      </c>
      <c r="I118">
        <v>250</v>
      </c>
      <c r="J118">
        <v>35163</v>
      </c>
      <c r="K118" t="s">
        <v>7677</v>
      </c>
      <c r="L118">
        <v>12</v>
      </c>
      <c r="M118">
        <v>12</v>
      </c>
      <c r="N118">
        <v>35163</v>
      </c>
      <c r="O118">
        <v>118</v>
      </c>
      <c r="P118" t="s">
        <v>3215</v>
      </c>
      <c r="Q118">
        <v>1.6</v>
      </c>
      <c r="R118">
        <v>49.84</v>
      </c>
      <c r="S118">
        <v>0.41</v>
      </c>
      <c r="T118">
        <v>13</v>
      </c>
      <c r="U118">
        <v>5529152.0931099998</v>
      </c>
      <c r="V118">
        <v>13188.265089</v>
      </c>
      <c r="W118">
        <v>117</v>
      </c>
      <c r="X118">
        <v>0</v>
      </c>
      <c r="Y118">
        <v>116</v>
      </c>
      <c r="Z118" t="s">
        <v>6966</v>
      </c>
      <c r="AA118" t="s">
        <v>6966</v>
      </c>
      <c r="AB118" t="s">
        <v>6966</v>
      </c>
      <c r="AC118" t="s">
        <v>6966</v>
      </c>
      <c r="AD118" t="s">
        <v>6966</v>
      </c>
      <c r="AE118" t="s">
        <v>6966</v>
      </c>
      <c r="AF118" t="s">
        <v>6966</v>
      </c>
      <c r="AG118" t="s">
        <v>6966</v>
      </c>
      <c r="AH118" t="s">
        <v>6966</v>
      </c>
      <c r="AI118" t="s">
        <v>6966</v>
      </c>
      <c r="AJ118" t="s">
        <v>6966</v>
      </c>
      <c r="AK118" t="s">
        <v>6966</v>
      </c>
      <c r="AL118" t="s">
        <v>6966</v>
      </c>
      <c r="AM118" t="s">
        <v>6966</v>
      </c>
      <c r="AN118" t="s">
        <v>6966</v>
      </c>
      <c r="AO118" t="s">
        <v>6966</v>
      </c>
      <c r="AP118" t="s">
        <v>6966</v>
      </c>
      <c r="AQ118" t="s">
        <v>6966</v>
      </c>
      <c r="AR118" t="s">
        <v>6966</v>
      </c>
      <c r="AS118" t="s">
        <v>6966</v>
      </c>
      <c r="AT118" t="s">
        <v>6966</v>
      </c>
      <c r="AU118" t="s">
        <v>6966</v>
      </c>
      <c r="AV118" t="s">
        <v>6966</v>
      </c>
      <c r="AW118" t="s">
        <v>6966</v>
      </c>
      <c r="AX118" t="s">
        <v>6966</v>
      </c>
      <c r="AY118" t="s">
        <v>6966</v>
      </c>
      <c r="AZ118">
        <v>0.132102</v>
      </c>
      <c r="BA118">
        <v>5.4299999999999997E-4</v>
      </c>
    </row>
    <row r="119" spans="1:53" x14ac:dyDescent="0.25">
      <c r="A119">
        <v>117</v>
      </c>
      <c r="B119" t="s">
        <v>7625</v>
      </c>
      <c r="C119">
        <v>101128</v>
      </c>
      <c r="D119" t="s">
        <v>760</v>
      </c>
      <c r="E119" t="s">
        <v>3217</v>
      </c>
      <c r="F119">
        <v>859029.75</v>
      </c>
      <c r="G119">
        <v>6350.4096680000002</v>
      </c>
      <c r="H119">
        <v>119</v>
      </c>
      <c r="I119">
        <v>251</v>
      </c>
      <c r="J119">
        <v>35179</v>
      </c>
      <c r="K119" t="s">
        <v>2164</v>
      </c>
      <c r="L119">
        <v>12</v>
      </c>
      <c r="M119">
        <v>12</v>
      </c>
      <c r="N119">
        <v>35179</v>
      </c>
      <c r="O119">
        <v>119</v>
      </c>
      <c r="P119" t="s">
        <v>3215</v>
      </c>
      <c r="Q119">
        <v>7.1</v>
      </c>
      <c r="R119">
        <v>24.16</v>
      </c>
      <c r="S119">
        <v>1.57</v>
      </c>
      <c r="T119">
        <v>5</v>
      </c>
      <c r="U119">
        <v>859029.73125800001</v>
      </c>
      <c r="V119">
        <v>6350.4078710000003</v>
      </c>
      <c r="W119">
        <v>118</v>
      </c>
      <c r="X119">
        <v>0</v>
      </c>
      <c r="Y119">
        <v>117</v>
      </c>
      <c r="Z119" t="s">
        <v>6966</v>
      </c>
      <c r="AA119" t="s">
        <v>6966</v>
      </c>
      <c r="AB119" t="s">
        <v>6966</v>
      </c>
      <c r="AC119" t="s">
        <v>6966</v>
      </c>
      <c r="AD119" t="s">
        <v>6966</v>
      </c>
      <c r="AE119" t="s">
        <v>6966</v>
      </c>
      <c r="AF119" t="s">
        <v>6966</v>
      </c>
      <c r="AG119" t="s">
        <v>6966</v>
      </c>
      <c r="AH119" t="s">
        <v>6966</v>
      </c>
      <c r="AI119" t="s">
        <v>6966</v>
      </c>
      <c r="AJ119" t="s">
        <v>6966</v>
      </c>
      <c r="AK119" t="s">
        <v>6966</v>
      </c>
      <c r="AL119" t="s">
        <v>6966</v>
      </c>
      <c r="AM119" t="s">
        <v>6966</v>
      </c>
      <c r="AN119" t="s">
        <v>6966</v>
      </c>
      <c r="AO119" t="s">
        <v>6966</v>
      </c>
      <c r="AP119" t="s">
        <v>6966</v>
      </c>
      <c r="AQ119" t="s">
        <v>6966</v>
      </c>
      <c r="AR119" t="s">
        <v>6966</v>
      </c>
      <c r="AS119" t="s">
        <v>6966</v>
      </c>
      <c r="AT119" t="s">
        <v>6966</v>
      </c>
      <c r="AU119" t="s">
        <v>6966</v>
      </c>
      <c r="AV119" t="s">
        <v>6966</v>
      </c>
      <c r="AW119" t="s">
        <v>6966</v>
      </c>
      <c r="AX119" t="s">
        <v>6966</v>
      </c>
      <c r="AY119" t="s">
        <v>6966</v>
      </c>
      <c r="AZ119">
        <v>6.3002000000000002E-2</v>
      </c>
      <c r="BA119">
        <v>8.3999999999999995E-5</v>
      </c>
    </row>
    <row r="120" spans="1:53" x14ac:dyDescent="0.25">
      <c r="A120">
        <v>118</v>
      </c>
      <c r="B120" t="s">
        <v>7625</v>
      </c>
      <c r="C120">
        <v>101032</v>
      </c>
      <c r="D120" t="s">
        <v>762</v>
      </c>
      <c r="E120" t="s">
        <v>3217</v>
      </c>
      <c r="F120">
        <v>245916.375</v>
      </c>
      <c r="G120">
        <v>3138.2924800000001</v>
      </c>
      <c r="H120">
        <v>120</v>
      </c>
      <c r="I120">
        <v>252</v>
      </c>
      <c r="J120">
        <v>35183</v>
      </c>
      <c r="K120" t="s">
        <v>2166</v>
      </c>
      <c r="L120">
        <v>12</v>
      </c>
      <c r="M120">
        <v>12</v>
      </c>
      <c r="N120">
        <v>35183</v>
      </c>
      <c r="O120">
        <v>120</v>
      </c>
      <c r="P120" t="s">
        <v>3215</v>
      </c>
      <c r="Q120">
        <v>28.3</v>
      </c>
      <c r="R120">
        <v>87</v>
      </c>
      <c r="S120">
        <v>6.31</v>
      </c>
      <c r="T120">
        <v>19</v>
      </c>
      <c r="U120">
        <v>245916.338326</v>
      </c>
      <c r="V120">
        <v>3138.2912059999999</v>
      </c>
      <c r="W120">
        <v>119</v>
      </c>
      <c r="X120">
        <v>0</v>
      </c>
      <c r="Y120">
        <v>118</v>
      </c>
      <c r="Z120" t="s">
        <v>6966</v>
      </c>
      <c r="AA120" t="s">
        <v>6966</v>
      </c>
      <c r="AB120" t="s">
        <v>6966</v>
      </c>
      <c r="AC120" t="s">
        <v>6966</v>
      </c>
      <c r="AD120" t="s">
        <v>6966</v>
      </c>
      <c r="AE120" t="s">
        <v>6966</v>
      </c>
      <c r="AF120" t="s">
        <v>6966</v>
      </c>
      <c r="AG120" t="s">
        <v>6966</v>
      </c>
      <c r="AH120" t="s">
        <v>6966</v>
      </c>
      <c r="AI120" t="s">
        <v>6966</v>
      </c>
      <c r="AJ120" t="s">
        <v>6966</v>
      </c>
      <c r="AK120" t="s">
        <v>6966</v>
      </c>
      <c r="AL120" t="s">
        <v>6966</v>
      </c>
      <c r="AM120" t="s">
        <v>6966</v>
      </c>
      <c r="AN120" t="s">
        <v>6966</v>
      </c>
      <c r="AO120" t="s">
        <v>6966</v>
      </c>
      <c r="AP120" t="s">
        <v>6966</v>
      </c>
      <c r="AQ120" t="s">
        <v>6966</v>
      </c>
      <c r="AR120" t="s">
        <v>6966</v>
      </c>
      <c r="AS120" t="s">
        <v>6966</v>
      </c>
      <c r="AT120" t="s">
        <v>6966</v>
      </c>
      <c r="AU120" t="s">
        <v>6966</v>
      </c>
      <c r="AV120" t="s">
        <v>6966</v>
      </c>
      <c r="AW120" t="s">
        <v>6966</v>
      </c>
      <c r="AX120" t="s">
        <v>6966</v>
      </c>
      <c r="AY120" t="s">
        <v>6966</v>
      </c>
      <c r="AZ120">
        <v>3.1347E-2</v>
      </c>
      <c r="BA120">
        <v>2.4000000000000001E-5</v>
      </c>
    </row>
    <row r="121" spans="1:53" x14ac:dyDescent="0.25">
      <c r="A121">
        <v>119</v>
      </c>
      <c r="B121" t="s">
        <v>7625</v>
      </c>
      <c r="C121">
        <v>101157</v>
      </c>
      <c r="D121" t="s">
        <v>756</v>
      </c>
      <c r="E121" t="s">
        <v>3217</v>
      </c>
      <c r="F121">
        <v>80261.820313000004</v>
      </c>
      <c r="G121">
        <v>1307.746948</v>
      </c>
      <c r="H121">
        <v>121</v>
      </c>
      <c r="I121">
        <v>253</v>
      </c>
      <c r="J121">
        <v>35173</v>
      </c>
      <c r="K121" t="s">
        <v>7678</v>
      </c>
      <c r="L121">
        <v>12</v>
      </c>
      <c r="M121">
        <v>12</v>
      </c>
      <c r="N121">
        <v>35173</v>
      </c>
      <c r="O121">
        <v>121</v>
      </c>
      <c r="P121" t="s">
        <v>3215</v>
      </c>
      <c r="Q121">
        <v>62</v>
      </c>
      <c r="R121">
        <v>75.36</v>
      </c>
      <c r="S121">
        <v>11.35</v>
      </c>
      <c r="T121">
        <v>14</v>
      </c>
      <c r="U121">
        <v>80261.826690000002</v>
      </c>
      <c r="V121">
        <v>1307.747196</v>
      </c>
      <c r="W121">
        <v>120</v>
      </c>
      <c r="X121">
        <v>0</v>
      </c>
      <c r="Y121">
        <v>119</v>
      </c>
      <c r="Z121" t="s">
        <v>6966</v>
      </c>
      <c r="AA121" t="s">
        <v>6966</v>
      </c>
      <c r="AB121" t="s">
        <v>6966</v>
      </c>
      <c r="AC121" t="s">
        <v>6966</v>
      </c>
      <c r="AD121" t="s">
        <v>6966</v>
      </c>
      <c r="AE121" t="s">
        <v>6966</v>
      </c>
      <c r="AF121" t="s">
        <v>6966</v>
      </c>
      <c r="AG121" t="s">
        <v>6966</v>
      </c>
      <c r="AH121" t="s">
        <v>6966</v>
      </c>
      <c r="AI121" t="s">
        <v>6966</v>
      </c>
      <c r="AJ121" t="s">
        <v>6966</v>
      </c>
      <c r="AK121" t="s">
        <v>6966</v>
      </c>
      <c r="AL121" t="s">
        <v>6966</v>
      </c>
      <c r="AM121" t="s">
        <v>6966</v>
      </c>
      <c r="AN121" t="s">
        <v>6966</v>
      </c>
      <c r="AO121" t="s">
        <v>6966</v>
      </c>
      <c r="AP121" t="s">
        <v>6966</v>
      </c>
      <c r="AQ121" t="s">
        <v>6966</v>
      </c>
      <c r="AR121" t="s">
        <v>6966</v>
      </c>
      <c r="AS121" t="s">
        <v>6966</v>
      </c>
      <c r="AT121" t="s">
        <v>6966</v>
      </c>
      <c r="AU121" t="s">
        <v>6966</v>
      </c>
      <c r="AV121" t="s">
        <v>6966</v>
      </c>
      <c r="AW121" t="s">
        <v>6966</v>
      </c>
      <c r="AX121" t="s">
        <v>6966</v>
      </c>
      <c r="AY121" t="s">
        <v>6966</v>
      </c>
      <c r="AZ121">
        <v>1.2737999999999999E-2</v>
      </c>
      <c r="BA121">
        <v>7.9999999999999996E-6</v>
      </c>
    </row>
    <row r="122" spans="1:53" x14ac:dyDescent="0.25">
      <c r="A122">
        <v>120</v>
      </c>
      <c r="B122" t="s">
        <v>7625</v>
      </c>
      <c r="C122">
        <v>101158</v>
      </c>
      <c r="D122" t="s">
        <v>755</v>
      </c>
      <c r="E122" t="s">
        <v>3217</v>
      </c>
      <c r="F122">
        <v>5646789.5</v>
      </c>
      <c r="G122">
        <v>14654.782227</v>
      </c>
      <c r="H122">
        <v>122</v>
      </c>
      <c r="I122">
        <v>256</v>
      </c>
      <c r="J122">
        <v>35171</v>
      </c>
      <c r="K122" t="s">
        <v>2160</v>
      </c>
      <c r="L122">
        <v>12</v>
      </c>
      <c r="M122">
        <v>12</v>
      </c>
      <c r="N122">
        <v>35171</v>
      </c>
      <c r="O122">
        <v>122</v>
      </c>
      <c r="P122" t="s">
        <v>3215</v>
      </c>
      <c r="Q122">
        <v>8</v>
      </c>
      <c r="R122">
        <v>209.08</v>
      </c>
      <c r="S122">
        <v>1.3</v>
      </c>
      <c r="T122">
        <v>34</v>
      </c>
      <c r="U122">
        <v>5646789.54146</v>
      </c>
      <c r="V122">
        <v>14654.782109</v>
      </c>
      <c r="W122">
        <v>121</v>
      </c>
      <c r="X122">
        <v>0</v>
      </c>
      <c r="Y122">
        <v>120</v>
      </c>
      <c r="Z122" t="s">
        <v>6966</v>
      </c>
      <c r="AA122" t="s">
        <v>6966</v>
      </c>
      <c r="AB122" t="s">
        <v>6966</v>
      </c>
      <c r="AC122" t="s">
        <v>6966</v>
      </c>
      <c r="AD122" t="s">
        <v>6966</v>
      </c>
      <c r="AE122" t="s">
        <v>6966</v>
      </c>
      <c r="AF122" t="s">
        <v>6966</v>
      </c>
      <c r="AG122" t="s">
        <v>6966</v>
      </c>
      <c r="AH122" t="s">
        <v>6966</v>
      </c>
      <c r="AI122" t="s">
        <v>6966</v>
      </c>
      <c r="AJ122" t="s">
        <v>6966</v>
      </c>
      <c r="AK122" t="s">
        <v>6966</v>
      </c>
      <c r="AL122" t="s">
        <v>6966</v>
      </c>
      <c r="AM122" t="s">
        <v>6966</v>
      </c>
      <c r="AN122" t="s">
        <v>6966</v>
      </c>
      <c r="AO122" t="s">
        <v>6966</v>
      </c>
      <c r="AP122" t="s">
        <v>6966</v>
      </c>
      <c r="AQ122" t="s">
        <v>6966</v>
      </c>
      <c r="AR122" t="s">
        <v>6966</v>
      </c>
      <c r="AS122" t="s">
        <v>6966</v>
      </c>
      <c r="AT122" t="s">
        <v>6966</v>
      </c>
      <c r="AU122" t="s">
        <v>6966</v>
      </c>
      <c r="AV122" t="s">
        <v>6966</v>
      </c>
      <c r="AW122" t="s">
        <v>6966</v>
      </c>
      <c r="AX122" t="s">
        <v>6966</v>
      </c>
      <c r="AY122" t="s">
        <v>6966</v>
      </c>
      <c r="AZ122">
        <v>0.14546400000000001</v>
      </c>
      <c r="BA122">
        <v>5.5400000000000002E-4</v>
      </c>
    </row>
    <row r="123" spans="1:53" x14ac:dyDescent="0.25">
      <c r="A123">
        <v>121</v>
      </c>
      <c r="B123" t="s">
        <v>7625</v>
      </c>
      <c r="C123">
        <v>101075</v>
      </c>
      <c r="D123" t="s">
        <v>742</v>
      </c>
      <c r="E123" t="s">
        <v>3217</v>
      </c>
      <c r="F123">
        <v>4014139.75</v>
      </c>
      <c r="G123">
        <v>9625.3447269999997</v>
      </c>
      <c r="H123">
        <v>123</v>
      </c>
      <c r="I123">
        <v>257</v>
      </c>
      <c r="J123">
        <v>35145</v>
      </c>
      <c r="K123" t="s">
        <v>2149</v>
      </c>
      <c r="L123">
        <v>12</v>
      </c>
      <c r="M123">
        <v>12</v>
      </c>
      <c r="N123">
        <v>35145</v>
      </c>
      <c r="O123">
        <v>123</v>
      </c>
      <c r="P123" t="s">
        <v>3215</v>
      </c>
      <c r="Q123">
        <v>1.9</v>
      </c>
      <c r="R123">
        <v>96.34</v>
      </c>
      <c r="S123">
        <v>0.41</v>
      </c>
      <c r="T123">
        <v>21</v>
      </c>
      <c r="U123">
        <v>4014139.6134899999</v>
      </c>
      <c r="V123">
        <v>9625.3450470000007</v>
      </c>
      <c r="W123">
        <v>122</v>
      </c>
      <c r="X123">
        <v>0</v>
      </c>
      <c r="Y123">
        <v>121</v>
      </c>
      <c r="Z123" t="s">
        <v>6966</v>
      </c>
      <c r="AA123" t="s">
        <v>6966</v>
      </c>
      <c r="AB123" t="s">
        <v>6966</v>
      </c>
      <c r="AC123" t="s">
        <v>6966</v>
      </c>
      <c r="AD123" t="s">
        <v>6966</v>
      </c>
      <c r="AE123" t="s">
        <v>6966</v>
      </c>
      <c r="AF123" t="s">
        <v>6966</v>
      </c>
      <c r="AG123" t="s">
        <v>6966</v>
      </c>
      <c r="AH123" t="s">
        <v>6966</v>
      </c>
      <c r="AI123" t="s">
        <v>6966</v>
      </c>
      <c r="AJ123" t="s">
        <v>6966</v>
      </c>
      <c r="AK123" t="s">
        <v>6966</v>
      </c>
      <c r="AL123" t="s">
        <v>6966</v>
      </c>
      <c r="AM123" t="s">
        <v>6966</v>
      </c>
      <c r="AN123" t="s">
        <v>6966</v>
      </c>
      <c r="AO123" t="s">
        <v>6966</v>
      </c>
      <c r="AP123" t="s">
        <v>6966</v>
      </c>
      <c r="AQ123" t="s">
        <v>6966</v>
      </c>
      <c r="AR123" t="s">
        <v>6966</v>
      </c>
      <c r="AS123" t="s">
        <v>6966</v>
      </c>
      <c r="AT123" t="s">
        <v>6966</v>
      </c>
      <c r="AU123" t="s">
        <v>6966</v>
      </c>
      <c r="AV123" t="s">
        <v>6966</v>
      </c>
      <c r="AW123" t="s">
        <v>6966</v>
      </c>
      <c r="AX123" t="s">
        <v>6966</v>
      </c>
      <c r="AY123" t="s">
        <v>6966</v>
      </c>
      <c r="AZ123">
        <v>9.5947000000000005E-2</v>
      </c>
      <c r="BA123">
        <v>3.9399999999999998E-4</v>
      </c>
    </row>
    <row r="124" spans="1:53" x14ac:dyDescent="0.25">
      <c r="A124">
        <v>122</v>
      </c>
      <c r="B124" t="s">
        <v>7625</v>
      </c>
      <c r="C124">
        <v>101005</v>
      </c>
      <c r="D124" t="s">
        <v>764</v>
      </c>
      <c r="E124" t="s">
        <v>3217</v>
      </c>
      <c r="F124">
        <v>3761994.25</v>
      </c>
      <c r="G124">
        <v>12269.322265999999</v>
      </c>
      <c r="H124">
        <v>124</v>
      </c>
      <c r="I124">
        <v>258</v>
      </c>
      <c r="J124">
        <v>35187</v>
      </c>
      <c r="K124" t="s">
        <v>7679</v>
      </c>
      <c r="L124">
        <v>12</v>
      </c>
      <c r="M124">
        <v>12</v>
      </c>
      <c r="N124">
        <v>35187</v>
      </c>
      <c r="O124">
        <v>124</v>
      </c>
      <c r="P124" t="s">
        <v>3215</v>
      </c>
      <c r="Q124">
        <v>3.3</v>
      </c>
      <c r="R124">
        <v>50.35</v>
      </c>
      <c r="S124">
        <v>0.91</v>
      </c>
      <c r="T124">
        <v>14</v>
      </c>
      <c r="U124">
        <v>3761994.1896700002</v>
      </c>
      <c r="V124">
        <v>12269.321258</v>
      </c>
      <c r="W124">
        <v>123</v>
      </c>
      <c r="X124">
        <v>0</v>
      </c>
      <c r="Y124">
        <v>122</v>
      </c>
      <c r="Z124" t="s">
        <v>6966</v>
      </c>
      <c r="AA124" t="s">
        <v>6966</v>
      </c>
      <c r="AB124" t="s">
        <v>6966</v>
      </c>
      <c r="AC124" t="s">
        <v>6966</v>
      </c>
      <c r="AD124" t="s">
        <v>6966</v>
      </c>
      <c r="AE124" t="s">
        <v>6966</v>
      </c>
      <c r="AF124" t="s">
        <v>6966</v>
      </c>
      <c r="AG124" t="s">
        <v>6966</v>
      </c>
      <c r="AH124" t="s">
        <v>6966</v>
      </c>
      <c r="AI124" t="s">
        <v>6966</v>
      </c>
      <c r="AJ124" t="s">
        <v>6966</v>
      </c>
      <c r="AK124" t="s">
        <v>6966</v>
      </c>
      <c r="AL124" t="s">
        <v>6966</v>
      </c>
      <c r="AM124" t="s">
        <v>6966</v>
      </c>
      <c r="AN124" t="s">
        <v>6966</v>
      </c>
      <c r="AO124" t="s">
        <v>6966</v>
      </c>
      <c r="AP124" t="s">
        <v>6966</v>
      </c>
      <c r="AQ124" t="s">
        <v>6966</v>
      </c>
      <c r="AR124" t="s">
        <v>6966</v>
      </c>
      <c r="AS124" t="s">
        <v>6966</v>
      </c>
      <c r="AT124" t="s">
        <v>6966</v>
      </c>
      <c r="AU124" t="s">
        <v>6966</v>
      </c>
      <c r="AV124" t="s">
        <v>6966</v>
      </c>
      <c r="AW124" t="s">
        <v>6966</v>
      </c>
      <c r="AX124" t="s">
        <v>6966</v>
      </c>
      <c r="AY124" t="s">
        <v>6966</v>
      </c>
      <c r="AZ124">
        <v>0.123976</v>
      </c>
      <c r="BA124">
        <v>3.6900000000000002E-4</v>
      </c>
    </row>
    <row r="125" spans="1:53" x14ac:dyDescent="0.25">
      <c r="A125">
        <v>123</v>
      </c>
      <c r="B125" t="s">
        <v>7625</v>
      </c>
      <c r="C125">
        <v>101081</v>
      </c>
      <c r="D125" t="s">
        <v>735</v>
      </c>
      <c r="E125" t="s">
        <v>3217</v>
      </c>
      <c r="F125">
        <v>741633.9375</v>
      </c>
      <c r="G125">
        <v>5994.6723629999997</v>
      </c>
      <c r="H125">
        <v>125</v>
      </c>
      <c r="I125">
        <v>259</v>
      </c>
      <c r="J125">
        <v>35133</v>
      </c>
      <c r="K125" t="s">
        <v>2143</v>
      </c>
      <c r="L125">
        <v>12</v>
      </c>
      <c r="M125">
        <v>12</v>
      </c>
      <c r="N125">
        <v>35133</v>
      </c>
      <c r="O125">
        <v>125</v>
      </c>
      <c r="P125" t="s">
        <v>3215</v>
      </c>
      <c r="Q125">
        <v>8.1999999999999993</v>
      </c>
      <c r="R125">
        <v>112.19</v>
      </c>
      <c r="S125">
        <v>1.88</v>
      </c>
      <c r="T125">
        <v>26</v>
      </c>
      <c r="U125">
        <v>741633.94554400002</v>
      </c>
      <c r="V125">
        <v>5994.6720960000002</v>
      </c>
      <c r="W125">
        <v>124</v>
      </c>
      <c r="X125">
        <v>0</v>
      </c>
      <c r="Y125">
        <v>123</v>
      </c>
      <c r="Z125" t="s">
        <v>6966</v>
      </c>
      <c r="AA125" t="s">
        <v>6966</v>
      </c>
      <c r="AB125" t="s">
        <v>6966</v>
      </c>
      <c r="AC125" t="s">
        <v>6966</v>
      </c>
      <c r="AD125" t="s">
        <v>6966</v>
      </c>
      <c r="AE125" t="s">
        <v>6966</v>
      </c>
      <c r="AF125" t="s">
        <v>6966</v>
      </c>
      <c r="AG125" t="s">
        <v>6966</v>
      </c>
      <c r="AH125" t="s">
        <v>6966</v>
      </c>
      <c r="AI125" t="s">
        <v>6966</v>
      </c>
      <c r="AJ125" t="s">
        <v>6966</v>
      </c>
      <c r="AK125" t="s">
        <v>6966</v>
      </c>
      <c r="AL125" t="s">
        <v>6966</v>
      </c>
      <c r="AM125" t="s">
        <v>6966</v>
      </c>
      <c r="AN125" t="s">
        <v>6966</v>
      </c>
      <c r="AO125" t="s">
        <v>6966</v>
      </c>
      <c r="AP125" t="s">
        <v>6966</v>
      </c>
      <c r="AQ125" t="s">
        <v>6966</v>
      </c>
      <c r="AR125" t="s">
        <v>6966</v>
      </c>
      <c r="AS125" t="s">
        <v>6966</v>
      </c>
      <c r="AT125" t="s">
        <v>6966</v>
      </c>
      <c r="AU125" t="s">
        <v>6966</v>
      </c>
      <c r="AV125" t="s">
        <v>6966</v>
      </c>
      <c r="AW125" t="s">
        <v>6966</v>
      </c>
      <c r="AX125" t="s">
        <v>6966</v>
      </c>
      <c r="AY125" t="s">
        <v>6966</v>
      </c>
      <c r="AZ125">
        <v>6.0319999999999999E-2</v>
      </c>
      <c r="BA125">
        <v>7.2999999999999999E-5</v>
      </c>
    </row>
    <row r="126" spans="1:53" x14ac:dyDescent="0.25">
      <c r="A126">
        <v>124</v>
      </c>
      <c r="B126" t="s">
        <v>7625</v>
      </c>
      <c r="C126">
        <v>101059</v>
      </c>
      <c r="D126" t="s">
        <v>734</v>
      </c>
      <c r="E126" t="s">
        <v>3217</v>
      </c>
      <c r="F126">
        <v>726470.25</v>
      </c>
      <c r="G126">
        <v>4175.4521480000003</v>
      </c>
      <c r="H126">
        <v>126</v>
      </c>
      <c r="I126">
        <v>260</v>
      </c>
      <c r="J126">
        <v>35131</v>
      </c>
      <c r="K126" t="s">
        <v>7680</v>
      </c>
      <c r="L126">
        <v>12</v>
      </c>
      <c r="M126">
        <v>12</v>
      </c>
      <c r="N126">
        <v>35131</v>
      </c>
      <c r="O126">
        <v>126</v>
      </c>
      <c r="P126" t="s">
        <v>3215</v>
      </c>
      <c r="Q126">
        <v>7.5</v>
      </c>
      <c r="R126">
        <v>75.31</v>
      </c>
      <c r="S126">
        <v>2.38</v>
      </c>
      <c r="T126">
        <v>24</v>
      </c>
      <c r="U126">
        <v>726470.26216100005</v>
      </c>
      <c r="V126">
        <v>4175.4522820000002</v>
      </c>
      <c r="W126">
        <v>125</v>
      </c>
      <c r="X126">
        <v>0</v>
      </c>
      <c r="Y126">
        <v>124</v>
      </c>
      <c r="Z126" t="s">
        <v>6966</v>
      </c>
      <c r="AA126" t="s">
        <v>6966</v>
      </c>
      <c r="AB126" t="s">
        <v>6966</v>
      </c>
      <c r="AC126" t="s">
        <v>6966</v>
      </c>
      <c r="AD126" t="s">
        <v>6966</v>
      </c>
      <c r="AE126" t="s">
        <v>6966</v>
      </c>
      <c r="AF126" t="s">
        <v>6966</v>
      </c>
      <c r="AG126" t="s">
        <v>6966</v>
      </c>
      <c r="AH126" t="s">
        <v>6966</v>
      </c>
      <c r="AI126" t="s">
        <v>6966</v>
      </c>
      <c r="AJ126" t="s">
        <v>6966</v>
      </c>
      <c r="AK126" t="s">
        <v>6966</v>
      </c>
      <c r="AL126" t="s">
        <v>6966</v>
      </c>
      <c r="AM126" t="s">
        <v>6966</v>
      </c>
      <c r="AN126" t="s">
        <v>6966</v>
      </c>
      <c r="AO126" t="s">
        <v>6966</v>
      </c>
      <c r="AP126" t="s">
        <v>6966</v>
      </c>
      <c r="AQ126" t="s">
        <v>6966</v>
      </c>
      <c r="AR126" t="s">
        <v>6966</v>
      </c>
      <c r="AS126" t="s">
        <v>6966</v>
      </c>
      <c r="AT126" t="s">
        <v>6966</v>
      </c>
      <c r="AU126" t="s">
        <v>6966</v>
      </c>
      <c r="AV126" t="s">
        <v>6966</v>
      </c>
      <c r="AW126" t="s">
        <v>6966</v>
      </c>
      <c r="AX126" t="s">
        <v>6966</v>
      </c>
      <c r="AY126" t="s">
        <v>6966</v>
      </c>
      <c r="AZ126">
        <v>4.2077999999999997E-2</v>
      </c>
      <c r="BA126">
        <v>7.1000000000000005E-5</v>
      </c>
    </row>
    <row r="127" spans="1:53" x14ac:dyDescent="0.25">
      <c r="A127">
        <v>125</v>
      </c>
      <c r="B127" t="s">
        <v>7625</v>
      </c>
      <c r="C127">
        <v>101037</v>
      </c>
      <c r="D127" t="s">
        <v>761</v>
      </c>
      <c r="E127" t="s">
        <v>3217</v>
      </c>
      <c r="F127">
        <v>93988.304688000004</v>
      </c>
      <c r="G127">
        <v>1257.8999020000001</v>
      </c>
      <c r="H127">
        <v>127</v>
      </c>
      <c r="I127">
        <v>261</v>
      </c>
      <c r="J127">
        <v>35181</v>
      </c>
      <c r="K127" t="s">
        <v>2165</v>
      </c>
      <c r="L127">
        <v>12</v>
      </c>
      <c r="M127">
        <v>12</v>
      </c>
      <c r="N127">
        <v>35181</v>
      </c>
      <c r="O127">
        <v>127</v>
      </c>
      <c r="P127" t="s">
        <v>3215</v>
      </c>
      <c r="Q127">
        <v>29.6</v>
      </c>
      <c r="R127">
        <v>111.11</v>
      </c>
      <c r="S127">
        <v>6.39</v>
      </c>
      <c r="T127">
        <v>24</v>
      </c>
      <c r="U127">
        <v>93988.309943999993</v>
      </c>
      <c r="V127">
        <v>1257.900165</v>
      </c>
      <c r="W127">
        <v>126</v>
      </c>
      <c r="X127">
        <v>0</v>
      </c>
      <c r="Y127">
        <v>125</v>
      </c>
      <c r="Z127" t="s">
        <v>6966</v>
      </c>
      <c r="AA127" t="s">
        <v>6966</v>
      </c>
      <c r="AB127" t="s">
        <v>6966</v>
      </c>
      <c r="AC127" t="s">
        <v>6966</v>
      </c>
      <c r="AD127" t="s">
        <v>6966</v>
      </c>
      <c r="AE127" t="s">
        <v>6966</v>
      </c>
      <c r="AF127" t="s">
        <v>6966</v>
      </c>
      <c r="AG127" t="s">
        <v>6966</v>
      </c>
      <c r="AH127" t="s">
        <v>6966</v>
      </c>
      <c r="AI127" t="s">
        <v>6966</v>
      </c>
      <c r="AJ127" t="s">
        <v>6966</v>
      </c>
      <c r="AK127" t="s">
        <v>6966</v>
      </c>
      <c r="AL127" t="s">
        <v>6966</v>
      </c>
      <c r="AM127" t="s">
        <v>6966</v>
      </c>
      <c r="AN127" t="s">
        <v>6966</v>
      </c>
      <c r="AO127" t="s">
        <v>6966</v>
      </c>
      <c r="AP127" t="s">
        <v>6966</v>
      </c>
      <c r="AQ127" t="s">
        <v>6966</v>
      </c>
      <c r="AR127" t="s">
        <v>6966</v>
      </c>
      <c r="AS127" t="s">
        <v>6966</v>
      </c>
      <c r="AT127" t="s">
        <v>6966</v>
      </c>
      <c r="AU127" t="s">
        <v>6966</v>
      </c>
      <c r="AV127" t="s">
        <v>6966</v>
      </c>
      <c r="AW127" t="s">
        <v>6966</v>
      </c>
      <c r="AX127" t="s">
        <v>6966</v>
      </c>
      <c r="AY127" t="s">
        <v>6966</v>
      </c>
      <c r="AZ127">
        <v>1.257E-2</v>
      </c>
      <c r="BA127">
        <v>9.0000000000000002E-6</v>
      </c>
    </row>
    <row r="128" spans="1:53" x14ac:dyDescent="0.25">
      <c r="A128">
        <v>126</v>
      </c>
      <c r="B128" t="s">
        <v>7625</v>
      </c>
      <c r="C128">
        <v>101124</v>
      </c>
      <c r="D128" t="s">
        <v>737</v>
      </c>
      <c r="E128" t="s">
        <v>3217</v>
      </c>
      <c r="F128">
        <v>1905173</v>
      </c>
      <c r="G128">
        <v>7044.8632809999999</v>
      </c>
      <c r="H128">
        <v>128</v>
      </c>
      <c r="I128">
        <v>262</v>
      </c>
      <c r="J128">
        <v>35135</v>
      </c>
      <c r="K128" t="s">
        <v>2145</v>
      </c>
      <c r="L128">
        <v>12</v>
      </c>
      <c r="M128">
        <v>12</v>
      </c>
      <c r="N128">
        <v>35135</v>
      </c>
      <c r="O128">
        <v>128</v>
      </c>
      <c r="P128" t="s">
        <v>3215</v>
      </c>
      <c r="Q128">
        <v>3.3</v>
      </c>
      <c r="R128">
        <v>134.47</v>
      </c>
      <c r="S128">
        <v>0.75</v>
      </c>
      <c r="T128">
        <v>31</v>
      </c>
      <c r="U128">
        <v>1905173.0483299999</v>
      </c>
      <c r="V128">
        <v>7044.8630329999996</v>
      </c>
      <c r="W128">
        <v>127</v>
      </c>
      <c r="X128">
        <v>0</v>
      </c>
      <c r="Y128">
        <v>126</v>
      </c>
      <c r="Z128" t="s">
        <v>6966</v>
      </c>
      <c r="AA128" t="s">
        <v>6966</v>
      </c>
      <c r="AB128" t="s">
        <v>6966</v>
      </c>
      <c r="AC128" t="s">
        <v>6966</v>
      </c>
      <c r="AD128" t="s">
        <v>6966</v>
      </c>
      <c r="AE128" t="s">
        <v>6966</v>
      </c>
      <c r="AF128" t="s">
        <v>6966</v>
      </c>
      <c r="AG128" t="s">
        <v>6966</v>
      </c>
      <c r="AH128" t="s">
        <v>6966</v>
      </c>
      <c r="AI128" t="s">
        <v>6966</v>
      </c>
      <c r="AJ128" t="s">
        <v>6966</v>
      </c>
      <c r="AK128" t="s">
        <v>6966</v>
      </c>
      <c r="AL128" t="s">
        <v>6966</v>
      </c>
      <c r="AM128" t="s">
        <v>6966</v>
      </c>
      <c r="AN128" t="s">
        <v>6966</v>
      </c>
      <c r="AO128" t="s">
        <v>6966</v>
      </c>
      <c r="AP128" t="s">
        <v>6966</v>
      </c>
      <c r="AQ128" t="s">
        <v>6966</v>
      </c>
      <c r="AR128" t="s">
        <v>6966</v>
      </c>
      <c r="AS128" t="s">
        <v>6966</v>
      </c>
      <c r="AT128" t="s">
        <v>6966</v>
      </c>
      <c r="AU128" t="s">
        <v>6966</v>
      </c>
      <c r="AV128" t="s">
        <v>6966</v>
      </c>
      <c r="AW128" t="s">
        <v>6966</v>
      </c>
      <c r="AX128" t="s">
        <v>6966</v>
      </c>
      <c r="AY128" t="s">
        <v>6966</v>
      </c>
      <c r="AZ128">
        <v>7.2847999999999996E-2</v>
      </c>
      <c r="BA128">
        <v>1.8699999999999999E-4</v>
      </c>
    </row>
    <row r="129" spans="1:53" x14ac:dyDescent="0.25">
      <c r="A129">
        <v>127</v>
      </c>
      <c r="B129" t="s">
        <v>7625</v>
      </c>
      <c r="C129">
        <v>101022</v>
      </c>
      <c r="D129" t="s">
        <v>802</v>
      </c>
      <c r="E129" t="s">
        <v>3217</v>
      </c>
      <c r="F129">
        <v>6772554</v>
      </c>
      <c r="G129">
        <v>17321.097656000002</v>
      </c>
      <c r="H129">
        <v>129</v>
      </c>
      <c r="I129">
        <v>263</v>
      </c>
      <c r="J129">
        <v>35275</v>
      </c>
      <c r="K129" t="s">
        <v>802</v>
      </c>
      <c r="L129">
        <v>12</v>
      </c>
      <c r="M129">
        <v>12</v>
      </c>
      <c r="N129">
        <v>35275</v>
      </c>
      <c r="O129">
        <v>129</v>
      </c>
      <c r="P129" t="s">
        <v>3215</v>
      </c>
      <c r="Q129">
        <v>18.899999999999999</v>
      </c>
      <c r="R129">
        <v>237.25</v>
      </c>
      <c r="S129">
        <v>3.41</v>
      </c>
      <c r="T129">
        <v>43</v>
      </c>
      <c r="U129">
        <v>6772554.1872100001</v>
      </c>
      <c r="V129">
        <v>17321.096844</v>
      </c>
      <c r="W129">
        <v>128</v>
      </c>
      <c r="X129">
        <v>0</v>
      </c>
      <c r="Y129">
        <v>127</v>
      </c>
      <c r="Z129" t="s">
        <v>6966</v>
      </c>
      <c r="AA129" t="s">
        <v>6966</v>
      </c>
      <c r="AB129" t="s">
        <v>6966</v>
      </c>
      <c r="AC129" t="s">
        <v>6966</v>
      </c>
      <c r="AD129" t="s">
        <v>6966</v>
      </c>
      <c r="AE129" t="s">
        <v>6966</v>
      </c>
      <c r="AF129" t="s">
        <v>6966</v>
      </c>
      <c r="AG129" t="s">
        <v>6966</v>
      </c>
      <c r="AH129" t="s">
        <v>6966</v>
      </c>
      <c r="AI129" t="s">
        <v>6966</v>
      </c>
      <c r="AJ129" t="s">
        <v>6966</v>
      </c>
      <c r="AK129" t="s">
        <v>6966</v>
      </c>
      <c r="AL129" t="s">
        <v>6966</v>
      </c>
      <c r="AM129" t="s">
        <v>6966</v>
      </c>
      <c r="AN129" t="s">
        <v>6966</v>
      </c>
      <c r="AO129" t="s">
        <v>6966</v>
      </c>
      <c r="AP129" t="s">
        <v>6966</v>
      </c>
      <c r="AQ129" t="s">
        <v>6966</v>
      </c>
      <c r="AR129" t="s">
        <v>6966</v>
      </c>
      <c r="AS129" t="s">
        <v>6966</v>
      </c>
      <c r="AT129" t="s">
        <v>6966</v>
      </c>
      <c r="AU129" t="s">
        <v>6966</v>
      </c>
      <c r="AV129" t="s">
        <v>6966</v>
      </c>
      <c r="AW129" t="s">
        <v>6966</v>
      </c>
      <c r="AX129" t="s">
        <v>6966</v>
      </c>
      <c r="AY129" t="s">
        <v>6966</v>
      </c>
      <c r="AZ129">
        <v>0.17175299999999999</v>
      </c>
      <c r="BA129">
        <v>6.6500000000000001E-4</v>
      </c>
    </row>
    <row r="130" spans="1:53" x14ac:dyDescent="0.25">
      <c r="A130">
        <v>128</v>
      </c>
      <c r="B130" t="s">
        <v>7625</v>
      </c>
      <c r="C130">
        <v>101162</v>
      </c>
      <c r="D130" t="s">
        <v>7681</v>
      </c>
      <c r="E130" t="s">
        <v>3217</v>
      </c>
      <c r="F130">
        <v>966753.5</v>
      </c>
      <c r="G130">
        <v>5281.3740230000003</v>
      </c>
      <c r="H130">
        <v>130</v>
      </c>
      <c r="I130">
        <v>264</v>
      </c>
      <c r="J130">
        <v>35151</v>
      </c>
      <c r="K130" t="s">
        <v>2152</v>
      </c>
      <c r="L130">
        <v>12</v>
      </c>
      <c r="M130">
        <v>12</v>
      </c>
      <c r="N130">
        <v>35151</v>
      </c>
      <c r="O130">
        <v>130</v>
      </c>
      <c r="P130" t="s">
        <v>3215</v>
      </c>
      <c r="Q130">
        <v>14.2</v>
      </c>
      <c r="R130">
        <v>131.41999999999999</v>
      </c>
      <c r="S130">
        <v>2.73</v>
      </c>
      <c r="T130">
        <v>25</v>
      </c>
      <c r="U130">
        <v>966753.54180400004</v>
      </c>
      <c r="V130">
        <v>5281.3745730000001</v>
      </c>
      <c r="W130">
        <v>129</v>
      </c>
      <c r="X130">
        <v>0</v>
      </c>
      <c r="Y130">
        <v>128</v>
      </c>
      <c r="Z130" t="s">
        <v>6966</v>
      </c>
      <c r="AA130" t="s">
        <v>6966</v>
      </c>
      <c r="AB130" t="s">
        <v>6966</v>
      </c>
      <c r="AC130" t="s">
        <v>6966</v>
      </c>
      <c r="AD130" t="s">
        <v>6966</v>
      </c>
      <c r="AE130" t="s">
        <v>6966</v>
      </c>
      <c r="AF130" t="s">
        <v>6966</v>
      </c>
      <c r="AG130" t="s">
        <v>6966</v>
      </c>
      <c r="AH130" t="s">
        <v>6966</v>
      </c>
      <c r="AI130" t="s">
        <v>6966</v>
      </c>
      <c r="AJ130" t="s">
        <v>6966</v>
      </c>
      <c r="AK130" t="s">
        <v>6966</v>
      </c>
      <c r="AL130" t="s">
        <v>6966</v>
      </c>
      <c r="AM130" t="s">
        <v>6966</v>
      </c>
      <c r="AN130" t="s">
        <v>6966</v>
      </c>
      <c r="AO130" t="s">
        <v>6966</v>
      </c>
      <c r="AP130" t="s">
        <v>6966</v>
      </c>
      <c r="AQ130" t="s">
        <v>6966</v>
      </c>
      <c r="AR130" t="s">
        <v>6966</v>
      </c>
      <c r="AS130" t="s">
        <v>6966</v>
      </c>
      <c r="AT130" t="s">
        <v>6966</v>
      </c>
      <c r="AU130" t="s">
        <v>6966</v>
      </c>
      <c r="AV130" t="s">
        <v>6966</v>
      </c>
      <c r="AW130" t="s">
        <v>6966</v>
      </c>
      <c r="AX130" t="s">
        <v>6966</v>
      </c>
      <c r="AY130" t="s">
        <v>6966</v>
      </c>
      <c r="AZ130">
        <v>5.3859999999999998E-2</v>
      </c>
      <c r="BA130">
        <v>9.5000000000000005E-5</v>
      </c>
    </row>
    <row r="131" spans="1:53" x14ac:dyDescent="0.25">
      <c r="A131">
        <v>129</v>
      </c>
      <c r="B131" t="s">
        <v>7625</v>
      </c>
      <c r="C131">
        <v>101106</v>
      </c>
      <c r="D131" t="s">
        <v>736</v>
      </c>
      <c r="E131" t="s">
        <v>3217</v>
      </c>
      <c r="F131">
        <v>39285.085937999997</v>
      </c>
      <c r="G131">
        <v>1101.7825929999999</v>
      </c>
      <c r="H131">
        <v>131</v>
      </c>
      <c r="I131">
        <v>265</v>
      </c>
      <c r="J131">
        <v>35134</v>
      </c>
      <c r="K131" t="s">
        <v>2144</v>
      </c>
      <c r="L131">
        <v>12</v>
      </c>
      <c r="M131">
        <v>12</v>
      </c>
      <c r="N131">
        <v>35134</v>
      </c>
      <c r="O131">
        <v>131</v>
      </c>
      <c r="P131" t="s">
        <v>3215</v>
      </c>
      <c r="Q131">
        <v>26.5</v>
      </c>
      <c r="R131">
        <v>2214.71</v>
      </c>
      <c r="S131">
        <v>6.62</v>
      </c>
      <c r="T131">
        <v>554</v>
      </c>
      <c r="U131">
        <v>39285.097958999999</v>
      </c>
      <c r="V131">
        <v>1101.782839</v>
      </c>
      <c r="W131">
        <v>130</v>
      </c>
      <c r="X131">
        <v>0</v>
      </c>
      <c r="Y131">
        <v>129</v>
      </c>
      <c r="Z131" t="s">
        <v>6966</v>
      </c>
      <c r="AA131" t="s">
        <v>6966</v>
      </c>
      <c r="AB131" t="s">
        <v>6966</v>
      </c>
      <c r="AC131" t="s">
        <v>6966</v>
      </c>
      <c r="AD131" t="s">
        <v>6966</v>
      </c>
      <c r="AE131" t="s">
        <v>6966</v>
      </c>
      <c r="AF131" t="s">
        <v>6966</v>
      </c>
      <c r="AG131" t="s">
        <v>6966</v>
      </c>
      <c r="AH131" t="s">
        <v>6966</v>
      </c>
      <c r="AI131" t="s">
        <v>6966</v>
      </c>
      <c r="AJ131" t="s">
        <v>6966</v>
      </c>
      <c r="AK131" t="s">
        <v>6966</v>
      </c>
      <c r="AL131" t="s">
        <v>6966</v>
      </c>
      <c r="AM131" t="s">
        <v>6966</v>
      </c>
      <c r="AN131" t="s">
        <v>6966</v>
      </c>
      <c r="AO131" t="s">
        <v>6966</v>
      </c>
      <c r="AP131" t="s">
        <v>6966</v>
      </c>
      <c r="AQ131" t="s">
        <v>6966</v>
      </c>
      <c r="AR131" t="s">
        <v>6966</v>
      </c>
      <c r="AS131" t="s">
        <v>6966</v>
      </c>
      <c r="AT131" t="s">
        <v>6966</v>
      </c>
      <c r="AU131" t="s">
        <v>6966</v>
      </c>
      <c r="AV131" t="s">
        <v>6966</v>
      </c>
      <c r="AW131" t="s">
        <v>6966</v>
      </c>
      <c r="AX131" t="s">
        <v>6966</v>
      </c>
      <c r="AY131" t="s">
        <v>6966</v>
      </c>
      <c r="AZ131">
        <v>1.0802000000000001E-2</v>
      </c>
      <c r="BA131">
        <v>3.9999999999999998E-6</v>
      </c>
    </row>
    <row r="132" spans="1:53" x14ac:dyDescent="0.25">
      <c r="A132">
        <v>130</v>
      </c>
      <c r="B132" t="s">
        <v>7625</v>
      </c>
      <c r="C132">
        <v>101030</v>
      </c>
      <c r="D132" t="s">
        <v>765</v>
      </c>
      <c r="E132" t="s">
        <v>3217</v>
      </c>
      <c r="F132">
        <v>5925308</v>
      </c>
      <c r="G132">
        <v>14535.041015999999</v>
      </c>
      <c r="H132">
        <v>132</v>
      </c>
      <c r="I132">
        <v>267</v>
      </c>
      <c r="J132">
        <v>35189</v>
      </c>
      <c r="K132" t="s">
        <v>2169</v>
      </c>
      <c r="L132">
        <v>12</v>
      </c>
      <c r="M132">
        <v>12</v>
      </c>
      <c r="N132">
        <v>35189</v>
      </c>
      <c r="O132">
        <v>132</v>
      </c>
      <c r="P132" t="s">
        <v>3215</v>
      </c>
      <c r="Q132">
        <v>3.7</v>
      </c>
      <c r="R132">
        <v>69.209999999999994</v>
      </c>
      <c r="S132">
        <v>0.77</v>
      </c>
      <c r="T132">
        <v>14</v>
      </c>
      <c r="U132">
        <v>5925307.7370199999</v>
      </c>
      <c r="V132">
        <v>14535.041342</v>
      </c>
      <c r="W132">
        <v>131</v>
      </c>
      <c r="X132">
        <v>0</v>
      </c>
      <c r="Y132">
        <v>130</v>
      </c>
      <c r="Z132" t="s">
        <v>6966</v>
      </c>
      <c r="AA132" t="s">
        <v>6966</v>
      </c>
      <c r="AB132" t="s">
        <v>6966</v>
      </c>
      <c r="AC132" t="s">
        <v>6966</v>
      </c>
      <c r="AD132" t="s">
        <v>6966</v>
      </c>
      <c r="AE132" t="s">
        <v>6966</v>
      </c>
      <c r="AF132" t="s">
        <v>6966</v>
      </c>
      <c r="AG132" t="s">
        <v>6966</v>
      </c>
      <c r="AH132" t="s">
        <v>6966</v>
      </c>
      <c r="AI132" t="s">
        <v>6966</v>
      </c>
      <c r="AJ132" t="s">
        <v>6966</v>
      </c>
      <c r="AK132" t="s">
        <v>6966</v>
      </c>
      <c r="AL132" t="s">
        <v>6966</v>
      </c>
      <c r="AM132" t="s">
        <v>6966</v>
      </c>
      <c r="AN132" t="s">
        <v>6966</v>
      </c>
      <c r="AO132" t="s">
        <v>6966</v>
      </c>
      <c r="AP132" t="s">
        <v>6966</v>
      </c>
      <c r="AQ132" t="s">
        <v>6966</v>
      </c>
      <c r="AR132" t="s">
        <v>6966</v>
      </c>
      <c r="AS132" t="s">
        <v>6966</v>
      </c>
      <c r="AT132" t="s">
        <v>6966</v>
      </c>
      <c r="AU132" t="s">
        <v>6966</v>
      </c>
      <c r="AV132" t="s">
        <v>6966</v>
      </c>
      <c r="AW132" t="s">
        <v>6966</v>
      </c>
      <c r="AX132" t="s">
        <v>6966</v>
      </c>
      <c r="AY132" t="s">
        <v>6966</v>
      </c>
      <c r="AZ132">
        <v>0.145903</v>
      </c>
      <c r="BA132">
        <v>5.8200000000000005E-4</v>
      </c>
    </row>
    <row r="133" spans="1:53" x14ac:dyDescent="0.25">
      <c r="A133">
        <v>131</v>
      </c>
      <c r="B133" t="s">
        <v>7625</v>
      </c>
      <c r="C133">
        <v>101033</v>
      </c>
      <c r="D133" t="s">
        <v>743</v>
      </c>
      <c r="E133" t="s">
        <v>3217</v>
      </c>
      <c r="F133">
        <v>8176830.5</v>
      </c>
      <c r="G133">
        <v>16504.417968999998</v>
      </c>
      <c r="H133">
        <v>133</v>
      </c>
      <c r="I133">
        <v>268</v>
      </c>
      <c r="J133">
        <v>35147</v>
      </c>
      <c r="K133" t="s">
        <v>2150</v>
      </c>
      <c r="L133">
        <v>12</v>
      </c>
      <c r="M133">
        <v>12</v>
      </c>
      <c r="N133">
        <v>35147</v>
      </c>
      <c r="O133">
        <v>133</v>
      </c>
      <c r="P133" t="s">
        <v>3215</v>
      </c>
      <c r="Q133">
        <v>2.2000000000000002</v>
      </c>
      <c r="R133">
        <v>106.59</v>
      </c>
      <c r="S133">
        <v>0.46</v>
      </c>
      <c r="T133">
        <v>22</v>
      </c>
      <c r="U133">
        <v>8176830.7543799998</v>
      </c>
      <c r="V133">
        <v>16504.417991999999</v>
      </c>
      <c r="W133">
        <v>132</v>
      </c>
      <c r="X133">
        <v>0</v>
      </c>
      <c r="Y133">
        <v>131</v>
      </c>
      <c r="Z133" t="s">
        <v>6966</v>
      </c>
      <c r="AA133" t="s">
        <v>6966</v>
      </c>
      <c r="AB133" t="s">
        <v>6966</v>
      </c>
      <c r="AC133" t="s">
        <v>6966</v>
      </c>
      <c r="AD133" t="s">
        <v>6966</v>
      </c>
      <c r="AE133" t="s">
        <v>6966</v>
      </c>
      <c r="AF133" t="s">
        <v>6966</v>
      </c>
      <c r="AG133" t="s">
        <v>6966</v>
      </c>
      <c r="AH133" t="s">
        <v>6966</v>
      </c>
      <c r="AI133" t="s">
        <v>6966</v>
      </c>
      <c r="AJ133" t="s">
        <v>6966</v>
      </c>
      <c r="AK133" t="s">
        <v>6966</v>
      </c>
      <c r="AL133" t="s">
        <v>6966</v>
      </c>
      <c r="AM133" t="s">
        <v>6966</v>
      </c>
      <c r="AN133" t="s">
        <v>6966</v>
      </c>
      <c r="AO133" t="s">
        <v>6966</v>
      </c>
      <c r="AP133" t="s">
        <v>6966</v>
      </c>
      <c r="AQ133" t="s">
        <v>6966</v>
      </c>
      <c r="AR133" t="s">
        <v>6966</v>
      </c>
      <c r="AS133" t="s">
        <v>6966</v>
      </c>
      <c r="AT133" t="s">
        <v>6966</v>
      </c>
      <c r="AU133" t="s">
        <v>6966</v>
      </c>
      <c r="AV133" t="s">
        <v>6966</v>
      </c>
      <c r="AW133" t="s">
        <v>6966</v>
      </c>
      <c r="AX133" t="s">
        <v>6966</v>
      </c>
      <c r="AY133" t="s">
        <v>6966</v>
      </c>
      <c r="AZ133">
        <v>0.16703100000000001</v>
      </c>
      <c r="BA133">
        <v>8.03E-4</v>
      </c>
    </row>
    <row r="134" spans="1:53" x14ac:dyDescent="0.25">
      <c r="A134">
        <v>132</v>
      </c>
      <c r="B134" t="s">
        <v>7625</v>
      </c>
      <c r="C134">
        <v>101102</v>
      </c>
      <c r="D134" t="s">
        <v>753</v>
      </c>
      <c r="E134" t="s">
        <v>3217</v>
      </c>
      <c r="F134">
        <v>2256458.75</v>
      </c>
      <c r="G134">
        <v>7168.591797</v>
      </c>
      <c r="H134">
        <v>134</v>
      </c>
      <c r="I134">
        <v>269</v>
      </c>
      <c r="J134">
        <v>35167</v>
      </c>
      <c r="K134" t="s">
        <v>753</v>
      </c>
      <c r="L134">
        <v>12</v>
      </c>
      <c r="M134">
        <v>12</v>
      </c>
      <c r="N134">
        <v>35167</v>
      </c>
      <c r="O134">
        <v>134</v>
      </c>
      <c r="P134" t="s">
        <v>3215</v>
      </c>
      <c r="Q134">
        <v>3.9</v>
      </c>
      <c r="R134">
        <v>0</v>
      </c>
      <c r="S134">
        <v>0.73</v>
      </c>
      <c r="T134">
        <v>0</v>
      </c>
      <c r="U134">
        <v>2256458.6564099998</v>
      </c>
      <c r="V134">
        <v>7168.5920100000003</v>
      </c>
      <c r="W134">
        <v>133</v>
      </c>
      <c r="X134">
        <v>0</v>
      </c>
      <c r="Y134">
        <v>132</v>
      </c>
      <c r="Z134" t="s">
        <v>6966</v>
      </c>
      <c r="AA134" t="s">
        <v>6966</v>
      </c>
      <c r="AB134" t="s">
        <v>6966</v>
      </c>
      <c r="AC134" t="s">
        <v>6966</v>
      </c>
      <c r="AD134" t="s">
        <v>6966</v>
      </c>
      <c r="AE134" t="s">
        <v>6966</v>
      </c>
      <c r="AF134" t="s">
        <v>6966</v>
      </c>
      <c r="AG134" t="s">
        <v>6966</v>
      </c>
      <c r="AH134" t="s">
        <v>6966</v>
      </c>
      <c r="AI134" t="s">
        <v>6966</v>
      </c>
      <c r="AJ134" t="s">
        <v>6966</v>
      </c>
      <c r="AK134" t="s">
        <v>6966</v>
      </c>
      <c r="AL134" t="s">
        <v>6966</v>
      </c>
      <c r="AM134" t="s">
        <v>6966</v>
      </c>
      <c r="AN134" t="s">
        <v>6966</v>
      </c>
      <c r="AO134" t="s">
        <v>6966</v>
      </c>
      <c r="AP134" t="s">
        <v>6966</v>
      </c>
      <c r="AQ134" t="s">
        <v>6966</v>
      </c>
      <c r="AR134" t="s">
        <v>6966</v>
      </c>
      <c r="AS134" t="s">
        <v>6966</v>
      </c>
      <c r="AT134" t="s">
        <v>6966</v>
      </c>
      <c r="AU134" t="s">
        <v>6966</v>
      </c>
      <c r="AV134" t="s">
        <v>6966</v>
      </c>
      <c r="AW134" t="s">
        <v>6966</v>
      </c>
      <c r="AX134" t="s">
        <v>6966</v>
      </c>
      <c r="AY134" t="s">
        <v>6966</v>
      </c>
      <c r="AZ134">
        <v>7.1930999999999995E-2</v>
      </c>
      <c r="BA134">
        <v>2.2100000000000001E-4</v>
      </c>
    </row>
    <row r="135" spans="1:53" x14ac:dyDescent="0.25">
      <c r="A135">
        <v>133</v>
      </c>
      <c r="B135" t="s">
        <v>7625</v>
      </c>
      <c r="C135">
        <v>101120</v>
      </c>
      <c r="D135" t="s">
        <v>831</v>
      </c>
      <c r="E135" t="s">
        <v>3217</v>
      </c>
      <c r="F135">
        <v>3425929.25</v>
      </c>
      <c r="G135">
        <v>12099.117188</v>
      </c>
      <c r="H135">
        <v>135</v>
      </c>
      <c r="I135">
        <v>270</v>
      </c>
      <c r="J135">
        <v>35364</v>
      </c>
      <c r="K135" t="s">
        <v>831</v>
      </c>
      <c r="L135">
        <v>12</v>
      </c>
      <c r="M135">
        <v>12</v>
      </c>
      <c r="N135">
        <v>35364</v>
      </c>
      <c r="O135">
        <v>135</v>
      </c>
      <c r="P135" t="s">
        <v>3215</v>
      </c>
      <c r="Q135">
        <v>12.6</v>
      </c>
      <c r="R135">
        <v>156.97999999999999</v>
      </c>
      <c r="S135">
        <v>2.44</v>
      </c>
      <c r="T135">
        <v>30</v>
      </c>
      <c r="U135">
        <v>3425929.09711</v>
      </c>
      <c r="V135">
        <v>12099.117227000001</v>
      </c>
      <c r="W135">
        <v>134</v>
      </c>
      <c r="X135">
        <v>1</v>
      </c>
      <c r="Y135">
        <v>133</v>
      </c>
      <c r="Z135">
        <v>67917</v>
      </c>
      <c r="AA135" s="76">
        <v>45880</v>
      </c>
      <c r="AB135">
        <v>2025</v>
      </c>
      <c r="AC135" t="s">
        <v>7379</v>
      </c>
      <c r="AD135">
        <v>11</v>
      </c>
      <c r="AE135" t="s">
        <v>7392</v>
      </c>
      <c r="AF135" t="s">
        <v>3217</v>
      </c>
      <c r="AG135" t="s">
        <v>3217</v>
      </c>
      <c r="AH135" t="s">
        <v>831</v>
      </c>
      <c r="AI135" t="s">
        <v>7393</v>
      </c>
      <c r="AJ135" t="s">
        <v>6966</v>
      </c>
      <c r="AK135">
        <v>34.498579999999997</v>
      </c>
      <c r="AL135">
        <v>36.014139999999998</v>
      </c>
      <c r="AM135" t="s">
        <v>7013</v>
      </c>
      <c r="AN135" t="s">
        <v>6966</v>
      </c>
      <c r="AO135" t="s">
        <v>7008</v>
      </c>
      <c r="AP135" t="s">
        <v>7394</v>
      </c>
      <c r="AQ135" t="s">
        <v>6998</v>
      </c>
      <c r="AR135" t="s">
        <v>6999</v>
      </c>
      <c r="AS135" t="s">
        <v>7000</v>
      </c>
      <c r="AT135">
        <v>0</v>
      </c>
      <c r="AU135">
        <v>0</v>
      </c>
      <c r="AV135" t="s">
        <v>7395</v>
      </c>
      <c r="AW135" t="s">
        <v>7043</v>
      </c>
      <c r="AX135" t="s">
        <v>6966</v>
      </c>
      <c r="AY135" t="s">
        <v>7003</v>
      </c>
      <c r="AZ135">
        <v>0.122195</v>
      </c>
      <c r="BA135">
        <v>3.3599999999999998E-4</v>
      </c>
    </row>
    <row r="136" spans="1:53" x14ac:dyDescent="0.25">
      <c r="A136">
        <v>134</v>
      </c>
      <c r="B136" t="s">
        <v>7625</v>
      </c>
      <c r="C136">
        <v>101165</v>
      </c>
      <c r="D136" t="s">
        <v>751</v>
      </c>
      <c r="E136" t="s">
        <v>3217</v>
      </c>
      <c r="F136">
        <v>252245.1875</v>
      </c>
      <c r="G136">
        <v>2822.7761230000001</v>
      </c>
      <c r="H136">
        <v>136</v>
      </c>
      <c r="I136">
        <v>271</v>
      </c>
      <c r="J136">
        <v>35161</v>
      </c>
      <c r="K136" t="s">
        <v>7682</v>
      </c>
      <c r="L136">
        <v>12</v>
      </c>
      <c r="M136">
        <v>12</v>
      </c>
      <c r="N136">
        <v>35161</v>
      </c>
      <c r="O136">
        <v>136</v>
      </c>
      <c r="P136" t="s">
        <v>3215</v>
      </c>
      <c r="Q136">
        <v>15.4</v>
      </c>
      <c r="R136">
        <v>91.31</v>
      </c>
      <c r="S136">
        <v>3.09</v>
      </c>
      <c r="T136">
        <v>18</v>
      </c>
      <c r="U136">
        <v>252245.22291000001</v>
      </c>
      <c r="V136">
        <v>2822.77655</v>
      </c>
      <c r="W136">
        <v>135</v>
      </c>
      <c r="X136">
        <v>0</v>
      </c>
      <c r="Y136">
        <v>134</v>
      </c>
      <c r="Z136" t="s">
        <v>6966</v>
      </c>
      <c r="AA136" t="s">
        <v>6966</v>
      </c>
      <c r="AB136" t="s">
        <v>6966</v>
      </c>
      <c r="AC136" t="s">
        <v>6966</v>
      </c>
      <c r="AD136" t="s">
        <v>6966</v>
      </c>
      <c r="AE136" t="s">
        <v>6966</v>
      </c>
      <c r="AF136" t="s">
        <v>6966</v>
      </c>
      <c r="AG136" t="s">
        <v>6966</v>
      </c>
      <c r="AH136" t="s">
        <v>6966</v>
      </c>
      <c r="AI136" t="s">
        <v>6966</v>
      </c>
      <c r="AJ136" t="s">
        <v>6966</v>
      </c>
      <c r="AK136" t="s">
        <v>6966</v>
      </c>
      <c r="AL136" t="s">
        <v>6966</v>
      </c>
      <c r="AM136" t="s">
        <v>6966</v>
      </c>
      <c r="AN136" t="s">
        <v>6966</v>
      </c>
      <c r="AO136" t="s">
        <v>6966</v>
      </c>
      <c r="AP136" t="s">
        <v>6966</v>
      </c>
      <c r="AQ136" t="s">
        <v>6966</v>
      </c>
      <c r="AR136" t="s">
        <v>6966</v>
      </c>
      <c r="AS136" t="s">
        <v>6966</v>
      </c>
      <c r="AT136" t="s">
        <v>6966</v>
      </c>
      <c r="AU136" t="s">
        <v>6966</v>
      </c>
      <c r="AV136" t="s">
        <v>6966</v>
      </c>
      <c r="AW136" t="s">
        <v>6966</v>
      </c>
      <c r="AX136" t="s">
        <v>6966</v>
      </c>
      <c r="AY136" t="s">
        <v>6966</v>
      </c>
      <c r="AZ136">
        <v>2.7966999999999999E-2</v>
      </c>
      <c r="BA136">
        <v>2.5000000000000001E-5</v>
      </c>
    </row>
    <row r="137" spans="1:53" x14ac:dyDescent="0.25">
      <c r="A137">
        <v>135</v>
      </c>
      <c r="B137" t="s">
        <v>7625</v>
      </c>
      <c r="C137">
        <v>101135</v>
      </c>
      <c r="D137" t="s">
        <v>7683</v>
      </c>
      <c r="E137" t="s">
        <v>3217</v>
      </c>
      <c r="F137">
        <v>0</v>
      </c>
      <c r="G137">
        <v>19900.306640999999</v>
      </c>
      <c r="H137">
        <v>137</v>
      </c>
      <c r="I137">
        <v>272</v>
      </c>
      <c r="J137">
        <v>35357</v>
      </c>
      <c r="K137" t="s">
        <v>7683</v>
      </c>
      <c r="L137">
        <v>12</v>
      </c>
      <c r="M137">
        <v>12</v>
      </c>
      <c r="N137">
        <v>35357</v>
      </c>
      <c r="O137">
        <v>137</v>
      </c>
      <c r="P137" t="s">
        <v>3215</v>
      </c>
      <c r="Q137">
        <v>5.3</v>
      </c>
      <c r="R137">
        <v>90.51</v>
      </c>
      <c r="S137">
        <v>1.1000000000000001</v>
      </c>
      <c r="T137">
        <v>19</v>
      </c>
      <c r="U137">
        <v>0</v>
      </c>
      <c r="V137">
        <v>19900.307138</v>
      </c>
      <c r="W137">
        <v>136</v>
      </c>
      <c r="X137">
        <v>0</v>
      </c>
      <c r="Y137">
        <v>135</v>
      </c>
      <c r="Z137" t="s">
        <v>6966</v>
      </c>
      <c r="AA137" t="s">
        <v>6966</v>
      </c>
      <c r="AB137" t="s">
        <v>6966</v>
      </c>
      <c r="AC137" t="s">
        <v>6966</v>
      </c>
      <c r="AD137" t="s">
        <v>6966</v>
      </c>
      <c r="AE137" t="s">
        <v>6966</v>
      </c>
      <c r="AF137" t="s">
        <v>6966</v>
      </c>
      <c r="AG137" t="s">
        <v>6966</v>
      </c>
      <c r="AH137" t="s">
        <v>6966</v>
      </c>
      <c r="AI137" t="s">
        <v>6966</v>
      </c>
      <c r="AJ137" t="s">
        <v>6966</v>
      </c>
      <c r="AK137" t="s">
        <v>6966</v>
      </c>
      <c r="AL137" t="s">
        <v>6966</v>
      </c>
      <c r="AM137" t="s">
        <v>6966</v>
      </c>
      <c r="AN137" t="s">
        <v>6966</v>
      </c>
      <c r="AO137" t="s">
        <v>6966</v>
      </c>
      <c r="AP137" t="s">
        <v>6966</v>
      </c>
      <c r="AQ137" t="s">
        <v>6966</v>
      </c>
      <c r="AR137" t="s">
        <v>6966</v>
      </c>
      <c r="AS137" t="s">
        <v>6966</v>
      </c>
      <c r="AT137" t="s">
        <v>6966</v>
      </c>
      <c r="AU137" t="s">
        <v>6966</v>
      </c>
      <c r="AV137" t="s">
        <v>6966</v>
      </c>
      <c r="AW137" t="s">
        <v>6966</v>
      </c>
      <c r="AX137" t="s">
        <v>6966</v>
      </c>
      <c r="AY137" t="s">
        <v>6966</v>
      </c>
      <c r="AZ137">
        <v>0.19848499999999999</v>
      </c>
      <c r="BA137">
        <v>1.129E-3</v>
      </c>
    </row>
    <row r="138" spans="1:53" x14ac:dyDescent="0.25">
      <c r="A138">
        <v>136</v>
      </c>
      <c r="B138" t="s">
        <v>7625</v>
      </c>
      <c r="C138">
        <v>202001</v>
      </c>
      <c r="D138" t="s">
        <v>1155</v>
      </c>
      <c r="E138" t="s">
        <v>1152</v>
      </c>
      <c r="F138">
        <v>0</v>
      </c>
      <c r="G138">
        <v>51165.546875</v>
      </c>
      <c r="H138">
        <v>138</v>
      </c>
      <c r="I138">
        <v>273</v>
      </c>
      <c r="J138">
        <v>54127</v>
      </c>
      <c r="K138" t="s">
        <v>2480</v>
      </c>
      <c r="L138">
        <v>18</v>
      </c>
      <c r="M138">
        <v>18</v>
      </c>
      <c r="N138">
        <v>54127</v>
      </c>
      <c r="O138">
        <v>138</v>
      </c>
      <c r="P138" t="s">
        <v>3214</v>
      </c>
      <c r="Q138">
        <v>0.4</v>
      </c>
      <c r="R138">
        <v>71.489999999999995</v>
      </c>
      <c r="S138">
        <v>0.08</v>
      </c>
      <c r="T138">
        <v>13</v>
      </c>
      <c r="U138">
        <v>0</v>
      </c>
      <c r="V138">
        <v>51165.544997999998</v>
      </c>
      <c r="W138">
        <v>137</v>
      </c>
      <c r="X138">
        <v>0</v>
      </c>
      <c r="Y138">
        <v>136</v>
      </c>
      <c r="Z138" t="s">
        <v>6966</v>
      </c>
      <c r="AA138" t="s">
        <v>6966</v>
      </c>
      <c r="AB138" t="s">
        <v>6966</v>
      </c>
      <c r="AC138" t="s">
        <v>6966</v>
      </c>
      <c r="AD138" t="s">
        <v>6966</v>
      </c>
      <c r="AE138" t="s">
        <v>6966</v>
      </c>
      <c r="AF138" t="s">
        <v>6966</v>
      </c>
      <c r="AG138" t="s">
        <v>6966</v>
      </c>
      <c r="AH138" t="s">
        <v>6966</v>
      </c>
      <c r="AI138" t="s">
        <v>6966</v>
      </c>
      <c r="AJ138" t="s">
        <v>6966</v>
      </c>
      <c r="AK138" t="s">
        <v>6966</v>
      </c>
      <c r="AL138" t="s">
        <v>6966</v>
      </c>
      <c r="AM138" t="s">
        <v>6966</v>
      </c>
      <c r="AN138" t="s">
        <v>6966</v>
      </c>
      <c r="AO138" t="s">
        <v>6966</v>
      </c>
      <c r="AP138" t="s">
        <v>6966</v>
      </c>
      <c r="AQ138" t="s">
        <v>6966</v>
      </c>
      <c r="AR138" t="s">
        <v>6966</v>
      </c>
      <c r="AS138" t="s">
        <v>6966</v>
      </c>
      <c r="AT138" t="s">
        <v>6966</v>
      </c>
      <c r="AU138" t="s">
        <v>6966</v>
      </c>
      <c r="AV138" t="s">
        <v>6966</v>
      </c>
      <c r="AW138" t="s">
        <v>6966</v>
      </c>
      <c r="AX138" t="s">
        <v>6966</v>
      </c>
      <c r="AY138" t="s">
        <v>6966</v>
      </c>
      <c r="AZ138">
        <v>0.50757399999999997</v>
      </c>
      <c r="BA138">
        <v>6.8430000000000001E-3</v>
      </c>
    </row>
    <row r="139" spans="1:53" x14ac:dyDescent="0.25">
      <c r="A139">
        <v>137</v>
      </c>
      <c r="B139" t="s">
        <v>7625</v>
      </c>
      <c r="C139">
        <v>101164</v>
      </c>
      <c r="D139" t="s">
        <v>746</v>
      </c>
      <c r="E139" t="s">
        <v>3217</v>
      </c>
      <c r="F139">
        <v>552061.375</v>
      </c>
      <c r="G139">
        <v>4233.1328130000002</v>
      </c>
      <c r="H139">
        <v>139</v>
      </c>
      <c r="I139">
        <v>274</v>
      </c>
      <c r="J139">
        <v>35153</v>
      </c>
      <c r="K139" t="s">
        <v>7684</v>
      </c>
      <c r="L139">
        <v>12</v>
      </c>
      <c r="M139">
        <v>12</v>
      </c>
      <c r="N139">
        <v>35153</v>
      </c>
      <c r="O139">
        <v>139</v>
      </c>
      <c r="P139" t="s">
        <v>3215</v>
      </c>
      <c r="Q139">
        <v>9.6</v>
      </c>
      <c r="R139">
        <v>4399.0600000000004</v>
      </c>
      <c r="S139">
        <v>2.0299999999999998</v>
      </c>
      <c r="T139">
        <v>931</v>
      </c>
      <c r="U139">
        <v>552061.37757400004</v>
      </c>
      <c r="V139">
        <v>4233.1328919999996</v>
      </c>
      <c r="W139">
        <v>138</v>
      </c>
      <c r="X139">
        <v>0</v>
      </c>
      <c r="Y139">
        <v>137</v>
      </c>
      <c r="Z139" t="s">
        <v>6966</v>
      </c>
      <c r="AA139" t="s">
        <v>6966</v>
      </c>
      <c r="AB139" t="s">
        <v>6966</v>
      </c>
      <c r="AC139" t="s">
        <v>6966</v>
      </c>
      <c r="AD139" t="s">
        <v>6966</v>
      </c>
      <c r="AE139" t="s">
        <v>6966</v>
      </c>
      <c r="AF139" t="s">
        <v>6966</v>
      </c>
      <c r="AG139" t="s">
        <v>6966</v>
      </c>
      <c r="AH139" t="s">
        <v>6966</v>
      </c>
      <c r="AI139" t="s">
        <v>6966</v>
      </c>
      <c r="AJ139" t="s">
        <v>6966</v>
      </c>
      <c r="AK139" t="s">
        <v>6966</v>
      </c>
      <c r="AL139" t="s">
        <v>6966</v>
      </c>
      <c r="AM139" t="s">
        <v>6966</v>
      </c>
      <c r="AN139" t="s">
        <v>6966</v>
      </c>
      <c r="AO139" t="s">
        <v>6966</v>
      </c>
      <c r="AP139" t="s">
        <v>6966</v>
      </c>
      <c r="AQ139" t="s">
        <v>6966</v>
      </c>
      <c r="AR139" t="s">
        <v>6966</v>
      </c>
      <c r="AS139" t="s">
        <v>6966</v>
      </c>
      <c r="AT139" t="s">
        <v>6966</v>
      </c>
      <c r="AU139" t="s">
        <v>6966</v>
      </c>
      <c r="AV139" t="s">
        <v>6966</v>
      </c>
      <c r="AW139" t="s">
        <v>6966</v>
      </c>
      <c r="AX139" t="s">
        <v>6966</v>
      </c>
      <c r="AY139" t="s">
        <v>6966</v>
      </c>
      <c r="AZ139">
        <v>4.2861999999999997E-2</v>
      </c>
      <c r="BA139">
        <v>5.3999999999999998E-5</v>
      </c>
    </row>
    <row r="140" spans="1:53" ht="345" x14ac:dyDescent="0.25">
      <c r="A140">
        <v>138</v>
      </c>
      <c r="B140" t="s">
        <v>7625</v>
      </c>
      <c r="C140">
        <v>101109</v>
      </c>
      <c r="D140" t="s">
        <v>803</v>
      </c>
      <c r="E140" t="s">
        <v>3217</v>
      </c>
      <c r="F140">
        <v>3856803.25</v>
      </c>
      <c r="G140">
        <v>9127.0957030000009</v>
      </c>
      <c r="H140">
        <v>140</v>
      </c>
      <c r="I140">
        <v>275</v>
      </c>
      <c r="J140">
        <v>35277</v>
      </c>
      <c r="K140" t="s">
        <v>2202</v>
      </c>
      <c r="L140">
        <v>12</v>
      </c>
      <c r="M140">
        <v>12</v>
      </c>
      <c r="N140">
        <v>35277</v>
      </c>
      <c r="O140">
        <v>140</v>
      </c>
      <c r="P140" t="s">
        <v>3215</v>
      </c>
      <c r="Q140">
        <v>69.400000000000006</v>
      </c>
      <c r="R140">
        <v>294.31</v>
      </c>
      <c r="S140">
        <v>12.06</v>
      </c>
      <c r="T140">
        <v>51</v>
      </c>
      <c r="U140">
        <v>3856803.2545699999</v>
      </c>
      <c r="V140">
        <v>9127.0961289999996</v>
      </c>
      <c r="W140">
        <v>139</v>
      </c>
      <c r="X140">
        <v>11</v>
      </c>
      <c r="Y140">
        <v>138</v>
      </c>
      <c r="Z140">
        <v>55454</v>
      </c>
      <c r="AA140" s="76">
        <v>45672</v>
      </c>
      <c r="AB140">
        <v>2025</v>
      </c>
      <c r="AC140" t="s">
        <v>6992</v>
      </c>
      <c r="AD140">
        <v>15</v>
      </c>
      <c r="AE140" t="s">
        <v>7054</v>
      </c>
      <c r="AF140" t="s">
        <v>3217</v>
      </c>
      <c r="AG140" t="s">
        <v>3217</v>
      </c>
      <c r="AH140" t="s">
        <v>803</v>
      </c>
      <c r="AI140" t="s">
        <v>7055</v>
      </c>
      <c r="AJ140" t="s">
        <v>6966</v>
      </c>
      <c r="AK140">
        <v>34.512070000000001</v>
      </c>
      <c r="AL140">
        <v>35.959910000000001</v>
      </c>
      <c r="AM140" t="s">
        <v>7028</v>
      </c>
      <c r="AN140" t="s">
        <v>7056</v>
      </c>
      <c r="AO140" t="s">
        <v>6996</v>
      </c>
      <c r="AP140" s="77" t="s">
        <v>7057</v>
      </c>
      <c r="AQ140" t="s">
        <v>6998</v>
      </c>
      <c r="AR140" t="s">
        <v>6999</v>
      </c>
      <c r="AS140" t="s">
        <v>7000</v>
      </c>
      <c r="AT140">
        <v>0</v>
      </c>
      <c r="AU140">
        <v>0</v>
      </c>
      <c r="AV140" t="s">
        <v>7058</v>
      </c>
      <c r="AW140" t="s">
        <v>7031</v>
      </c>
      <c r="AX140" t="s">
        <v>6966</v>
      </c>
      <c r="AY140" t="s">
        <v>7003</v>
      </c>
      <c r="AZ140">
        <v>9.1447000000000001E-2</v>
      </c>
      <c r="BA140">
        <v>3.79E-4</v>
      </c>
    </row>
    <row r="141" spans="1:53" x14ac:dyDescent="0.25">
      <c r="A141">
        <v>139</v>
      </c>
      <c r="B141" t="s">
        <v>7625</v>
      </c>
      <c r="C141">
        <v>101163</v>
      </c>
      <c r="D141" t="s">
        <v>750</v>
      </c>
      <c r="E141" t="s">
        <v>3217</v>
      </c>
      <c r="F141">
        <v>732422.0625</v>
      </c>
      <c r="G141">
        <v>4998.5502930000002</v>
      </c>
      <c r="H141">
        <v>141</v>
      </c>
      <c r="I141">
        <v>276</v>
      </c>
      <c r="J141">
        <v>35159</v>
      </c>
      <c r="K141" t="s">
        <v>2156</v>
      </c>
      <c r="L141">
        <v>12</v>
      </c>
      <c r="M141">
        <v>12</v>
      </c>
      <c r="N141">
        <v>35159</v>
      </c>
      <c r="O141">
        <v>141</v>
      </c>
      <c r="P141" t="s">
        <v>3215</v>
      </c>
      <c r="Q141">
        <v>6.6</v>
      </c>
      <c r="R141">
        <v>53.61</v>
      </c>
      <c r="S141">
        <v>1.38</v>
      </c>
      <c r="T141">
        <v>11</v>
      </c>
      <c r="U141">
        <v>732422.06375500001</v>
      </c>
      <c r="V141">
        <v>4998.5500030000003</v>
      </c>
      <c r="W141">
        <v>140</v>
      </c>
      <c r="X141">
        <v>0</v>
      </c>
      <c r="Y141">
        <v>139</v>
      </c>
      <c r="Z141" t="s">
        <v>6966</v>
      </c>
      <c r="AA141" t="s">
        <v>6966</v>
      </c>
      <c r="AB141" t="s">
        <v>6966</v>
      </c>
      <c r="AC141" t="s">
        <v>6966</v>
      </c>
      <c r="AD141" t="s">
        <v>6966</v>
      </c>
      <c r="AE141" t="s">
        <v>6966</v>
      </c>
      <c r="AF141" t="s">
        <v>6966</v>
      </c>
      <c r="AG141" t="s">
        <v>6966</v>
      </c>
      <c r="AH141" t="s">
        <v>6966</v>
      </c>
      <c r="AI141" t="s">
        <v>6966</v>
      </c>
      <c r="AJ141" t="s">
        <v>6966</v>
      </c>
      <c r="AK141" t="s">
        <v>6966</v>
      </c>
      <c r="AL141" t="s">
        <v>6966</v>
      </c>
      <c r="AM141" t="s">
        <v>6966</v>
      </c>
      <c r="AN141" t="s">
        <v>6966</v>
      </c>
      <c r="AO141" t="s">
        <v>6966</v>
      </c>
      <c r="AP141" t="s">
        <v>6966</v>
      </c>
      <c r="AQ141" t="s">
        <v>6966</v>
      </c>
      <c r="AR141" t="s">
        <v>6966</v>
      </c>
      <c r="AS141" t="s">
        <v>6966</v>
      </c>
      <c r="AT141" t="s">
        <v>6966</v>
      </c>
      <c r="AU141" t="s">
        <v>6966</v>
      </c>
      <c r="AV141" t="s">
        <v>6966</v>
      </c>
      <c r="AW141" t="s">
        <v>6966</v>
      </c>
      <c r="AX141" t="s">
        <v>6966</v>
      </c>
      <c r="AY141" t="s">
        <v>6966</v>
      </c>
      <c r="AZ141">
        <v>5.0129E-2</v>
      </c>
      <c r="BA141">
        <v>7.2000000000000002E-5</v>
      </c>
    </row>
    <row r="142" spans="1:53" x14ac:dyDescent="0.25">
      <c r="A142">
        <v>140</v>
      </c>
      <c r="B142" t="s">
        <v>7625</v>
      </c>
      <c r="C142">
        <v>704057</v>
      </c>
      <c r="D142" t="s">
        <v>917</v>
      </c>
      <c r="E142" t="s">
        <v>7685</v>
      </c>
      <c r="F142">
        <v>6557191.5</v>
      </c>
      <c r="G142">
        <v>13638.139648</v>
      </c>
      <c r="H142">
        <v>142</v>
      </c>
      <c r="I142">
        <v>279</v>
      </c>
      <c r="J142">
        <v>37291</v>
      </c>
      <c r="K142" t="s">
        <v>2289</v>
      </c>
      <c r="L142">
        <v>14</v>
      </c>
      <c r="M142">
        <v>14</v>
      </c>
      <c r="N142">
        <v>37291</v>
      </c>
      <c r="O142">
        <v>142</v>
      </c>
      <c r="P142" t="s">
        <v>3215</v>
      </c>
      <c r="Q142">
        <v>6.7</v>
      </c>
      <c r="R142">
        <v>106.02</v>
      </c>
      <c r="S142">
        <v>1.2</v>
      </c>
      <c r="T142">
        <v>19</v>
      </c>
      <c r="U142">
        <v>6557191.4296300001</v>
      </c>
      <c r="V142">
        <v>13638.140681999999</v>
      </c>
      <c r="W142">
        <v>141</v>
      </c>
      <c r="X142">
        <v>1</v>
      </c>
      <c r="Y142">
        <v>140</v>
      </c>
      <c r="Z142">
        <v>70575</v>
      </c>
      <c r="AA142" s="76">
        <v>45905</v>
      </c>
      <c r="AB142">
        <v>2025</v>
      </c>
      <c r="AC142" t="s">
        <v>7433</v>
      </c>
      <c r="AD142">
        <v>5</v>
      </c>
      <c r="AE142" t="s">
        <v>7451</v>
      </c>
      <c r="AF142" t="s">
        <v>3215</v>
      </c>
      <c r="AG142" t="s">
        <v>3228</v>
      </c>
      <c r="AH142" t="s">
        <v>917</v>
      </c>
      <c r="AI142" t="s">
        <v>3121</v>
      </c>
      <c r="AJ142" t="s">
        <v>6966</v>
      </c>
      <c r="AK142">
        <v>34.502749999999999</v>
      </c>
      <c r="AL142">
        <v>35.950229999999998</v>
      </c>
      <c r="AM142" t="s">
        <v>7013</v>
      </c>
      <c r="AN142" t="s">
        <v>7028</v>
      </c>
      <c r="AO142" t="s">
        <v>7008</v>
      </c>
      <c r="AP142" t="s">
        <v>7452</v>
      </c>
      <c r="AQ142" t="s">
        <v>6998</v>
      </c>
      <c r="AR142" t="s">
        <v>6999</v>
      </c>
      <c r="AS142" t="s">
        <v>7000</v>
      </c>
      <c r="AT142">
        <v>0</v>
      </c>
      <c r="AU142">
        <v>0</v>
      </c>
      <c r="AV142" t="s">
        <v>7453</v>
      </c>
      <c r="AW142" t="s">
        <v>7043</v>
      </c>
      <c r="AX142" t="s">
        <v>6966</v>
      </c>
      <c r="AY142" t="s">
        <v>7003</v>
      </c>
      <c r="AZ142">
        <v>0.13612199999999999</v>
      </c>
      <c r="BA142">
        <v>6.4300000000000002E-4</v>
      </c>
    </row>
    <row r="143" spans="1:53" x14ac:dyDescent="0.25">
      <c r="A143">
        <v>141</v>
      </c>
      <c r="B143" t="s">
        <v>7625</v>
      </c>
      <c r="C143">
        <v>101108</v>
      </c>
      <c r="D143" t="s">
        <v>833</v>
      </c>
      <c r="E143" t="s">
        <v>3217</v>
      </c>
      <c r="F143">
        <v>2521333.75</v>
      </c>
      <c r="G143">
        <v>7020.9785160000001</v>
      </c>
      <c r="H143">
        <v>143</v>
      </c>
      <c r="I143">
        <v>280</v>
      </c>
      <c r="J143">
        <v>35371</v>
      </c>
      <c r="K143" t="s">
        <v>2224</v>
      </c>
      <c r="L143">
        <v>12</v>
      </c>
      <c r="M143">
        <v>12</v>
      </c>
      <c r="N143">
        <v>35371</v>
      </c>
      <c r="O143">
        <v>143</v>
      </c>
      <c r="P143" t="s">
        <v>3215</v>
      </c>
      <c r="Q143">
        <v>0.8</v>
      </c>
      <c r="R143">
        <v>46.94</v>
      </c>
      <c r="S143">
        <v>0.41</v>
      </c>
      <c r="T143">
        <v>23</v>
      </c>
      <c r="U143">
        <v>2521333.7160700001</v>
      </c>
      <c r="V143">
        <v>7020.9783150000003</v>
      </c>
      <c r="W143">
        <v>142</v>
      </c>
      <c r="X143">
        <v>0</v>
      </c>
      <c r="Y143">
        <v>141</v>
      </c>
      <c r="Z143" t="s">
        <v>6966</v>
      </c>
      <c r="AA143" t="s">
        <v>6966</v>
      </c>
      <c r="AB143" t="s">
        <v>6966</v>
      </c>
      <c r="AC143" t="s">
        <v>6966</v>
      </c>
      <c r="AD143" t="s">
        <v>6966</v>
      </c>
      <c r="AE143" t="s">
        <v>6966</v>
      </c>
      <c r="AF143" t="s">
        <v>6966</v>
      </c>
      <c r="AG143" t="s">
        <v>6966</v>
      </c>
      <c r="AH143" t="s">
        <v>6966</v>
      </c>
      <c r="AI143" t="s">
        <v>6966</v>
      </c>
      <c r="AJ143" t="s">
        <v>6966</v>
      </c>
      <c r="AK143" t="s">
        <v>6966</v>
      </c>
      <c r="AL143" t="s">
        <v>6966</v>
      </c>
      <c r="AM143" t="s">
        <v>6966</v>
      </c>
      <c r="AN143" t="s">
        <v>6966</v>
      </c>
      <c r="AO143" t="s">
        <v>6966</v>
      </c>
      <c r="AP143" t="s">
        <v>6966</v>
      </c>
      <c r="AQ143" t="s">
        <v>6966</v>
      </c>
      <c r="AR143" t="s">
        <v>6966</v>
      </c>
      <c r="AS143" t="s">
        <v>6966</v>
      </c>
      <c r="AT143" t="s">
        <v>6966</v>
      </c>
      <c r="AU143" t="s">
        <v>6966</v>
      </c>
      <c r="AV143" t="s">
        <v>6966</v>
      </c>
      <c r="AW143" t="s">
        <v>6966</v>
      </c>
      <c r="AX143" t="s">
        <v>6966</v>
      </c>
      <c r="AY143" t="s">
        <v>6966</v>
      </c>
      <c r="AZ143">
        <v>6.9899000000000003E-2</v>
      </c>
      <c r="BA143">
        <v>2.4699999999999999E-4</v>
      </c>
    </row>
    <row r="144" spans="1:53" x14ac:dyDescent="0.25">
      <c r="A144">
        <v>142</v>
      </c>
      <c r="B144" t="s">
        <v>7625</v>
      </c>
      <c r="C144">
        <v>101072</v>
      </c>
      <c r="D144" t="s">
        <v>812</v>
      </c>
      <c r="E144" t="s">
        <v>3217</v>
      </c>
      <c r="F144">
        <v>6402054</v>
      </c>
      <c r="G144">
        <v>17678.476563</v>
      </c>
      <c r="H144">
        <v>144</v>
      </c>
      <c r="I144">
        <v>281</v>
      </c>
      <c r="J144">
        <v>35322</v>
      </c>
      <c r="K144" t="s">
        <v>7686</v>
      </c>
      <c r="L144">
        <v>12</v>
      </c>
      <c r="M144">
        <v>12</v>
      </c>
      <c r="N144">
        <v>35322</v>
      </c>
      <c r="O144">
        <v>144</v>
      </c>
      <c r="P144" t="s">
        <v>3215</v>
      </c>
      <c r="Q144">
        <v>2.4</v>
      </c>
      <c r="R144">
        <v>113.27</v>
      </c>
      <c r="S144">
        <v>0.43</v>
      </c>
      <c r="T144">
        <v>21</v>
      </c>
      <c r="U144">
        <v>6402054.1194099998</v>
      </c>
      <c r="V144">
        <v>17678.477139999999</v>
      </c>
      <c r="W144">
        <v>143</v>
      </c>
      <c r="X144">
        <v>0</v>
      </c>
      <c r="Y144">
        <v>142</v>
      </c>
      <c r="Z144" t="s">
        <v>6966</v>
      </c>
      <c r="AA144" t="s">
        <v>6966</v>
      </c>
      <c r="AB144" t="s">
        <v>6966</v>
      </c>
      <c r="AC144" t="s">
        <v>6966</v>
      </c>
      <c r="AD144" t="s">
        <v>6966</v>
      </c>
      <c r="AE144" t="s">
        <v>6966</v>
      </c>
      <c r="AF144" t="s">
        <v>6966</v>
      </c>
      <c r="AG144" t="s">
        <v>6966</v>
      </c>
      <c r="AH144" t="s">
        <v>6966</v>
      </c>
      <c r="AI144" t="s">
        <v>6966</v>
      </c>
      <c r="AJ144" t="s">
        <v>6966</v>
      </c>
      <c r="AK144" t="s">
        <v>6966</v>
      </c>
      <c r="AL144" t="s">
        <v>6966</v>
      </c>
      <c r="AM144" t="s">
        <v>6966</v>
      </c>
      <c r="AN144" t="s">
        <v>6966</v>
      </c>
      <c r="AO144" t="s">
        <v>6966</v>
      </c>
      <c r="AP144" t="s">
        <v>6966</v>
      </c>
      <c r="AQ144" t="s">
        <v>6966</v>
      </c>
      <c r="AR144" t="s">
        <v>6966</v>
      </c>
      <c r="AS144" t="s">
        <v>6966</v>
      </c>
      <c r="AT144" t="s">
        <v>6966</v>
      </c>
      <c r="AU144" t="s">
        <v>6966</v>
      </c>
      <c r="AV144" t="s">
        <v>6966</v>
      </c>
      <c r="AW144" t="s">
        <v>6966</v>
      </c>
      <c r="AX144" t="s">
        <v>6966</v>
      </c>
      <c r="AY144" t="s">
        <v>6966</v>
      </c>
      <c r="AZ144">
        <v>0.177482</v>
      </c>
      <c r="BA144">
        <v>6.2799999999999998E-4</v>
      </c>
    </row>
    <row r="145" spans="1:53" x14ac:dyDescent="0.25">
      <c r="A145">
        <v>143</v>
      </c>
      <c r="B145" t="s">
        <v>7625</v>
      </c>
      <c r="C145">
        <v>101029</v>
      </c>
      <c r="D145" t="s">
        <v>3205</v>
      </c>
      <c r="E145" t="s">
        <v>3217</v>
      </c>
      <c r="F145">
        <v>6278875</v>
      </c>
      <c r="G145">
        <v>17465.505859000001</v>
      </c>
      <c r="H145">
        <v>145</v>
      </c>
      <c r="I145">
        <v>282</v>
      </c>
      <c r="J145">
        <v>35314</v>
      </c>
      <c r="K145" t="s">
        <v>2205</v>
      </c>
      <c r="L145">
        <v>12</v>
      </c>
      <c r="M145">
        <v>12</v>
      </c>
      <c r="N145">
        <v>35314</v>
      </c>
      <c r="O145">
        <v>145</v>
      </c>
      <c r="P145" t="s">
        <v>3215</v>
      </c>
      <c r="Q145">
        <v>10.4</v>
      </c>
      <c r="R145">
        <v>129.03</v>
      </c>
      <c r="S145">
        <v>1.81</v>
      </c>
      <c r="T145">
        <v>22</v>
      </c>
      <c r="U145">
        <v>6278874.9029599996</v>
      </c>
      <c r="V145">
        <v>17465.504153999998</v>
      </c>
      <c r="W145">
        <v>144</v>
      </c>
      <c r="X145">
        <v>1</v>
      </c>
      <c r="Y145">
        <v>143</v>
      </c>
      <c r="Z145">
        <v>71611</v>
      </c>
      <c r="AA145" s="76">
        <v>45929</v>
      </c>
      <c r="AB145">
        <v>2025</v>
      </c>
      <c r="AC145" t="s">
        <v>7433</v>
      </c>
      <c r="AD145">
        <v>29</v>
      </c>
      <c r="AE145" t="s">
        <v>7460</v>
      </c>
      <c r="AF145" t="s">
        <v>3217</v>
      </c>
      <c r="AG145" t="s">
        <v>3217</v>
      </c>
      <c r="AH145" t="s">
        <v>806</v>
      </c>
      <c r="AI145" t="s">
        <v>3205</v>
      </c>
      <c r="AJ145" t="s">
        <v>6966</v>
      </c>
      <c r="AK145">
        <v>34.477420000000002</v>
      </c>
      <c r="AL145">
        <v>36.03266</v>
      </c>
      <c r="AM145" t="s">
        <v>7295</v>
      </c>
      <c r="AN145" t="s">
        <v>7014</v>
      </c>
      <c r="AO145" t="s">
        <v>7461</v>
      </c>
      <c r="AP145" t="s">
        <v>7462</v>
      </c>
      <c r="AQ145" t="s">
        <v>6998</v>
      </c>
      <c r="AR145" t="s">
        <v>6999</v>
      </c>
      <c r="AS145" t="s">
        <v>7036</v>
      </c>
      <c r="AT145">
        <v>0</v>
      </c>
      <c r="AU145">
        <v>0</v>
      </c>
      <c r="AV145" t="s">
        <v>7463</v>
      </c>
      <c r="AW145" t="s">
        <v>7032</v>
      </c>
      <c r="AX145" t="s">
        <v>6966</v>
      </c>
      <c r="AY145" t="s">
        <v>7003</v>
      </c>
      <c r="AZ145">
        <v>0.172039</v>
      </c>
      <c r="BA145">
        <v>6.1600000000000001E-4</v>
      </c>
    </row>
    <row r="146" spans="1:53" x14ac:dyDescent="0.25">
      <c r="A146">
        <v>144</v>
      </c>
      <c r="B146" t="s">
        <v>7625</v>
      </c>
      <c r="C146">
        <v>101100</v>
      </c>
      <c r="D146" t="s">
        <v>828</v>
      </c>
      <c r="E146" t="s">
        <v>3217</v>
      </c>
      <c r="F146">
        <v>1094176.5</v>
      </c>
      <c r="G146">
        <v>5833.2202150000003</v>
      </c>
      <c r="H146">
        <v>146</v>
      </c>
      <c r="I146">
        <v>284</v>
      </c>
      <c r="J146">
        <v>35354</v>
      </c>
      <c r="K146" t="s">
        <v>2222</v>
      </c>
      <c r="L146">
        <v>12</v>
      </c>
      <c r="M146">
        <v>12</v>
      </c>
      <c r="N146">
        <v>35354</v>
      </c>
      <c r="O146">
        <v>147</v>
      </c>
      <c r="P146" t="s">
        <v>3215</v>
      </c>
      <c r="Q146">
        <v>8</v>
      </c>
      <c r="R146">
        <v>123.02</v>
      </c>
      <c r="S146">
        <v>1.76</v>
      </c>
      <c r="T146">
        <v>27</v>
      </c>
      <c r="U146">
        <v>1094176.4808799999</v>
      </c>
      <c r="V146">
        <v>5833.220362</v>
      </c>
      <c r="W146">
        <v>145</v>
      </c>
      <c r="X146">
        <v>0</v>
      </c>
      <c r="Y146">
        <v>144</v>
      </c>
      <c r="Z146" t="s">
        <v>6966</v>
      </c>
      <c r="AA146" t="s">
        <v>6966</v>
      </c>
      <c r="AB146" t="s">
        <v>6966</v>
      </c>
      <c r="AC146" t="s">
        <v>6966</v>
      </c>
      <c r="AD146" t="s">
        <v>6966</v>
      </c>
      <c r="AE146" t="s">
        <v>6966</v>
      </c>
      <c r="AF146" t="s">
        <v>6966</v>
      </c>
      <c r="AG146" t="s">
        <v>6966</v>
      </c>
      <c r="AH146" t="s">
        <v>6966</v>
      </c>
      <c r="AI146" t="s">
        <v>6966</v>
      </c>
      <c r="AJ146" t="s">
        <v>6966</v>
      </c>
      <c r="AK146" t="s">
        <v>6966</v>
      </c>
      <c r="AL146" t="s">
        <v>6966</v>
      </c>
      <c r="AM146" t="s">
        <v>6966</v>
      </c>
      <c r="AN146" t="s">
        <v>6966</v>
      </c>
      <c r="AO146" t="s">
        <v>6966</v>
      </c>
      <c r="AP146" t="s">
        <v>6966</v>
      </c>
      <c r="AQ146" t="s">
        <v>6966</v>
      </c>
      <c r="AR146" t="s">
        <v>6966</v>
      </c>
      <c r="AS146" t="s">
        <v>6966</v>
      </c>
      <c r="AT146" t="s">
        <v>6966</v>
      </c>
      <c r="AU146" t="s">
        <v>6966</v>
      </c>
      <c r="AV146" t="s">
        <v>6966</v>
      </c>
      <c r="AW146" t="s">
        <v>6966</v>
      </c>
      <c r="AX146" t="s">
        <v>6966</v>
      </c>
      <c r="AY146" t="s">
        <v>6966</v>
      </c>
      <c r="AZ146">
        <v>5.7232999999999999E-2</v>
      </c>
      <c r="BA146">
        <v>1.07E-4</v>
      </c>
    </row>
    <row r="147" spans="1:53" x14ac:dyDescent="0.25">
      <c r="A147">
        <v>145</v>
      </c>
      <c r="B147" t="s">
        <v>7625</v>
      </c>
      <c r="C147">
        <v>101066</v>
      </c>
      <c r="D147" t="s">
        <v>7687</v>
      </c>
      <c r="E147" t="s">
        <v>3217</v>
      </c>
      <c r="F147">
        <v>2861011.75</v>
      </c>
      <c r="G147">
        <v>9014.8730469999991</v>
      </c>
      <c r="H147">
        <v>147</v>
      </c>
      <c r="I147">
        <v>285</v>
      </c>
      <c r="J147">
        <v>35331</v>
      </c>
      <c r="K147" t="s">
        <v>2214</v>
      </c>
      <c r="L147">
        <v>12</v>
      </c>
      <c r="M147">
        <v>12</v>
      </c>
      <c r="N147">
        <v>35331</v>
      </c>
      <c r="O147">
        <v>148</v>
      </c>
      <c r="P147" t="s">
        <v>3215</v>
      </c>
      <c r="Q147">
        <v>1.6</v>
      </c>
      <c r="R147">
        <v>151.31</v>
      </c>
      <c r="S147">
        <v>0.26</v>
      </c>
      <c r="T147">
        <v>24</v>
      </c>
      <c r="U147">
        <v>2861011.82253</v>
      </c>
      <c r="V147">
        <v>9014.872308</v>
      </c>
      <c r="W147">
        <v>146</v>
      </c>
      <c r="X147">
        <v>0</v>
      </c>
      <c r="Y147">
        <v>145</v>
      </c>
      <c r="Z147" t="s">
        <v>6966</v>
      </c>
      <c r="AA147" t="s">
        <v>6966</v>
      </c>
      <c r="AB147" t="s">
        <v>6966</v>
      </c>
      <c r="AC147" t="s">
        <v>6966</v>
      </c>
      <c r="AD147" t="s">
        <v>6966</v>
      </c>
      <c r="AE147" t="s">
        <v>6966</v>
      </c>
      <c r="AF147" t="s">
        <v>6966</v>
      </c>
      <c r="AG147" t="s">
        <v>6966</v>
      </c>
      <c r="AH147" t="s">
        <v>6966</v>
      </c>
      <c r="AI147" t="s">
        <v>6966</v>
      </c>
      <c r="AJ147" t="s">
        <v>6966</v>
      </c>
      <c r="AK147" t="s">
        <v>6966</v>
      </c>
      <c r="AL147" t="s">
        <v>6966</v>
      </c>
      <c r="AM147" t="s">
        <v>6966</v>
      </c>
      <c r="AN147" t="s">
        <v>6966</v>
      </c>
      <c r="AO147" t="s">
        <v>6966</v>
      </c>
      <c r="AP147" t="s">
        <v>6966</v>
      </c>
      <c r="AQ147" t="s">
        <v>6966</v>
      </c>
      <c r="AR147" t="s">
        <v>6966</v>
      </c>
      <c r="AS147" t="s">
        <v>6966</v>
      </c>
      <c r="AT147" t="s">
        <v>6966</v>
      </c>
      <c r="AU147" t="s">
        <v>6966</v>
      </c>
      <c r="AV147" t="s">
        <v>6966</v>
      </c>
      <c r="AW147" t="s">
        <v>6966</v>
      </c>
      <c r="AX147" t="s">
        <v>6966</v>
      </c>
      <c r="AY147" t="s">
        <v>6966</v>
      </c>
      <c r="AZ147">
        <v>8.8467000000000004E-2</v>
      </c>
      <c r="BA147">
        <v>2.81E-4</v>
      </c>
    </row>
    <row r="148" spans="1:53" x14ac:dyDescent="0.25">
      <c r="A148">
        <v>146</v>
      </c>
      <c r="B148" t="s">
        <v>7625</v>
      </c>
      <c r="C148">
        <v>101053</v>
      </c>
      <c r="D148" t="s">
        <v>809</v>
      </c>
      <c r="E148" t="s">
        <v>3217</v>
      </c>
      <c r="F148">
        <v>0</v>
      </c>
      <c r="G148">
        <v>16406.105468999998</v>
      </c>
      <c r="H148">
        <v>148</v>
      </c>
      <c r="I148">
        <v>286</v>
      </c>
      <c r="J148">
        <v>35318</v>
      </c>
      <c r="K148" t="s">
        <v>2207</v>
      </c>
      <c r="L148">
        <v>12</v>
      </c>
      <c r="M148">
        <v>12</v>
      </c>
      <c r="N148">
        <v>35318</v>
      </c>
      <c r="O148">
        <v>149</v>
      </c>
      <c r="P148" t="s">
        <v>3215</v>
      </c>
      <c r="Q148">
        <v>4.2</v>
      </c>
      <c r="R148">
        <v>167.38</v>
      </c>
      <c r="S148">
        <v>0.82</v>
      </c>
      <c r="T148">
        <v>32</v>
      </c>
      <c r="U148">
        <v>0</v>
      </c>
      <c r="V148">
        <v>16406.105792999999</v>
      </c>
      <c r="W148">
        <v>147</v>
      </c>
      <c r="X148">
        <v>0</v>
      </c>
      <c r="Y148">
        <v>146</v>
      </c>
      <c r="Z148" t="s">
        <v>6966</v>
      </c>
      <c r="AA148" t="s">
        <v>6966</v>
      </c>
      <c r="AB148" t="s">
        <v>6966</v>
      </c>
      <c r="AC148" t="s">
        <v>6966</v>
      </c>
      <c r="AD148" t="s">
        <v>6966</v>
      </c>
      <c r="AE148" t="s">
        <v>6966</v>
      </c>
      <c r="AF148" t="s">
        <v>6966</v>
      </c>
      <c r="AG148" t="s">
        <v>6966</v>
      </c>
      <c r="AH148" t="s">
        <v>6966</v>
      </c>
      <c r="AI148" t="s">
        <v>6966</v>
      </c>
      <c r="AJ148" t="s">
        <v>6966</v>
      </c>
      <c r="AK148" t="s">
        <v>6966</v>
      </c>
      <c r="AL148" t="s">
        <v>6966</v>
      </c>
      <c r="AM148" t="s">
        <v>6966</v>
      </c>
      <c r="AN148" t="s">
        <v>6966</v>
      </c>
      <c r="AO148" t="s">
        <v>6966</v>
      </c>
      <c r="AP148" t="s">
        <v>6966</v>
      </c>
      <c r="AQ148" t="s">
        <v>6966</v>
      </c>
      <c r="AR148" t="s">
        <v>6966</v>
      </c>
      <c r="AS148" t="s">
        <v>6966</v>
      </c>
      <c r="AT148" t="s">
        <v>6966</v>
      </c>
      <c r="AU148" t="s">
        <v>6966</v>
      </c>
      <c r="AV148" t="s">
        <v>6966</v>
      </c>
      <c r="AW148" t="s">
        <v>6966</v>
      </c>
      <c r="AX148" t="s">
        <v>6966</v>
      </c>
      <c r="AY148" t="s">
        <v>6966</v>
      </c>
      <c r="AZ148">
        <v>0.165709</v>
      </c>
      <c r="BA148">
        <v>1.1720000000000001E-3</v>
      </c>
    </row>
    <row r="149" spans="1:53" x14ac:dyDescent="0.25">
      <c r="A149">
        <v>147</v>
      </c>
      <c r="B149" t="s">
        <v>7625</v>
      </c>
      <c r="C149">
        <v>101160</v>
      </c>
      <c r="D149" t="s">
        <v>829</v>
      </c>
      <c r="E149" t="s">
        <v>3217</v>
      </c>
      <c r="F149">
        <v>3786640.75</v>
      </c>
      <c r="G149">
        <v>10807.985352</v>
      </c>
      <c r="H149">
        <v>149</v>
      </c>
      <c r="I149">
        <v>288</v>
      </c>
      <c r="J149">
        <v>35356</v>
      </c>
      <c r="K149" t="s">
        <v>829</v>
      </c>
      <c r="L149">
        <v>12</v>
      </c>
      <c r="M149">
        <v>12</v>
      </c>
      <c r="N149">
        <v>35356</v>
      </c>
      <c r="O149">
        <v>150</v>
      </c>
      <c r="P149" t="s">
        <v>3215</v>
      </c>
      <c r="Q149">
        <v>0.6</v>
      </c>
      <c r="R149">
        <v>51.81</v>
      </c>
      <c r="S149">
        <v>0.25</v>
      </c>
      <c r="T149">
        <v>21</v>
      </c>
      <c r="U149">
        <v>3786640.6692599999</v>
      </c>
      <c r="V149">
        <v>10807.985182</v>
      </c>
      <c r="W149">
        <v>148</v>
      </c>
      <c r="X149">
        <v>0</v>
      </c>
      <c r="Y149">
        <v>147</v>
      </c>
      <c r="Z149" t="s">
        <v>6966</v>
      </c>
      <c r="AA149" t="s">
        <v>6966</v>
      </c>
      <c r="AB149" t="s">
        <v>6966</v>
      </c>
      <c r="AC149" t="s">
        <v>6966</v>
      </c>
      <c r="AD149" t="s">
        <v>6966</v>
      </c>
      <c r="AE149" t="s">
        <v>6966</v>
      </c>
      <c r="AF149" t="s">
        <v>6966</v>
      </c>
      <c r="AG149" t="s">
        <v>6966</v>
      </c>
      <c r="AH149" t="s">
        <v>6966</v>
      </c>
      <c r="AI149" t="s">
        <v>6966</v>
      </c>
      <c r="AJ149" t="s">
        <v>6966</v>
      </c>
      <c r="AK149" t="s">
        <v>6966</v>
      </c>
      <c r="AL149" t="s">
        <v>6966</v>
      </c>
      <c r="AM149" t="s">
        <v>6966</v>
      </c>
      <c r="AN149" t="s">
        <v>6966</v>
      </c>
      <c r="AO149" t="s">
        <v>6966</v>
      </c>
      <c r="AP149" t="s">
        <v>6966</v>
      </c>
      <c r="AQ149" t="s">
        <v>6966</v>
      </c>
      <c r="AR149" t="s">
        <v>6966</v>
      </c>
      <c r="AS149" t="s">
        <v>6966</v>
      </c>
      <c r="AT149" t="s">
        <v>6966</v>
      </c>
      <c r="AU149" t="s">
        <v>6966</v>
      </c>
      <c r="AV149" t="s">
        <v>6966</v>
      </c>
      <c r="AW149" t="s">
        <v>6966</v>
      </c>
      <c r="AX149" t="s">
        <v>6966</v>
      </c>
      <c r="AY149" t="s">
        <v>6966</v>
      </c>
      <c r="AZ149">
        <v>0.109462</v>
      </c>
      <c r="BA149">
        <v>3.7199999999999999E-4</v>
      </c>
    </row>
    <row r="150" spans="1:53" x14ac:dyDescent="0.25">
      <c r="A150">
        <v>148</v>
      </c>
      <c r="B150" t="s">
        <v>7625</v>
      </c>
      <c r="C150">
        <v>101125</v>
      </c>
      <c r="D150" t="s">
        <v>822</v>
      </c>
      <c r="E150" t="s">
        <v>3217</v>
      </c>
      <c r="F150">
        <v>2829699.5</v>
      </c>
      <c r="G150">
        <v>10511.583008</v>
      </c>
      <c r="H150">
        <v>150</v>
      </c>
      <c r="I150">
        <v>289</v>
      </c>
      <c r="J150">
        <v>35341</v>
      </c>
      <c r="K150" t="s">
        <v>2216</v>
      </c>
      <c r="L150">
        <v>12</v>
      </c>
      <c r="M150">
        <v>12</v>
      </c>
      <c r="N150">
        <v>35341</v>
      </c>
      <c r="O150">
        <v>151</v>
      </c>
      <c r="P150" t="s">
        <v>3215</v>
      </c>
      <c r="Q150">
        <v>5.5</v>
      </c>
      <c r="R150">
        <v>109.36</v>
      </c>
      <c r="S150">
        <v>0.95</v>
      </c>
      <c r="T150">
        <v>19</v>
      </c>
      <c r="U150">
        <v>2829699.44233</v>
      </c>
      <c r="V150">
        <v>10511.582963999999</v>
      </c>
      <c r="W150">
        <v>149</v>
      </c>
      <c r="X150">
        <v>0</v>
      </c>
      <c r="Y150">
        <v>148</v>
      </c>
      <c r="Z150" t="s">
        <v>6966</v>
      </c>
      <c r="AA150" t="s">
        <v>6966</v>
      </c>
      <c r="AB150" t="s">
        <v>6966</v>
      </c>
      <c r="AC150" t="s">
        <v>6966</v>
      </c>
      <c r="AD150" t="s">
        <v>6966</v>
      </c>
      <c r="AE150" t="s">
        <v>6966</v>
      </c>
      <c r="AF150" t="s">
        <v>6966</v>
      </c>
      <c r="AG150" t="s">
        <v>6966</v>
      </c>
      <c r="AH150" t="s">
        <v>6966</v>
      </c>
      <c r="AI150" t="s">
        <v>6966</v>
      </c>
      <c r="AJ150" t="s">
        <v>6966</v>
      </c>
      <c r="AK150" t="s">
        <v>6966</v>
      </c>
      <c r="AL150" t="s">
        <v>6966</v>
      </c>
      <c r="AM150" t="s">
        <v>6966</v>
      </c>
      <c r="AN150" t="s">
        <v>6966</v>
      </c>
      <c r="AO150" t="s">
        <v>6966</v>
      </c>
      <c r="AP150" t="s">
        <v>6966</v>
      </c>
      <c r="AQ150" t="s">
        <v>6966</v>
      </c>
      <c r="AR150" t="s">
        <v>6966</v>
      </c>
      <c r="AS150" t="s">
        <v>6966</v>
      </c>
      <c r="AT150" t="s">
        <v>6966</v>
      </c>
      <c r="AU150" t="s">
        <v>6966</v>
      </c>
      <c r="AV150" t="s">
        <v>6966</v>
      </c>
      <c r="AW150" t="s">
        <v>6966</v>
      </c>
      <c r="AX150" t="s">
        <v>6966</v>
      </c>
      <c r="AY150" t="s">
        <v>6966</v>
      </c>
      <c r="AZ150">
        <v>0.103274</v>
      </c>
      <c r="BA150">
        <v>2.7799999999999998E-4</v>
      </c>
    </row>
    <row r="151" spans="1:53" x14ac:dyDescent="0.25">
      <c r="A151">
        <v>149</v>
      </c>
      <c r="B151" t="s">
        <v>7625</v>
      </c>
      <c r="C151">
        <v>704051</v>
      </c>
      <c r="D151" t="s">
        <v>7688</v>
      </c>
      <c r="E151" t="s">
        <v>7685</v>
      </c>
      <c r="F151">
        <v>1516434.375</v>
      </c>
      <c r="G151">
        <v>5958.5971680000002</v>
      </c>
      <c r="H151">
        <v>151</v>
      </c>
      <c r="I151">
        <v>290</v>
      </c>
      <c r="J151">
        <v>37281</v>
      </c>
      <c r="K151" t="s">
        <v>7658</v>
      </c>
      <c r="L151">
        <v>14</v>
      </c>
      <c r="M151">
        <v>14</v>
      </c>
      <c r="N151">
        <v>37281</v>
      </c>
      <c r="O151">
        <v>152</v>
      </c>
      <c r="P151" t="s">
        <v>3215</v>
      </c>
      <c r="Q151">
        <v>0.8</v>
      </c>
      <c r="R151">
        <v>0</v>
      </c>
      <c r="S151">
        <v>0.13</v>
      </c>
      <c r="T151">
        <v>0</v>
      </c>
      <c r="U151">
        <v>1516434.3123999999</v>
      </c>
      <c r="V151">
        <v>5958.5978370000003</v>
      </c>
      <c r="W151">
        <v>150</v>
      </c>
      <c r="X151">
        <v>0</v>
      </c>
      <c r="Y151">
        <v>149</v>
      </c>
      <c r="Z151" t="s">
        <v>6966</v>
      </c>
      <c r="AA151" t="s">
        <v>6966</v>
      </c>
      <c r="AB151" t="s">
        <v>6966</v>
      </c>
      <c r="AC151" t="s">
        <v>6966</v>
      </c>
      <c r="AD151" t="s">
        <v>6966</v>
      </c>
      <c r="AE151" t="s">
        <v>6966</v>
      </c>
      <c r="AF151" t="s">
        <v>6966</v>
      </c>
      <c r="AG151" t="s">
        <v>6966</v>
      </c>
      <c r="AH151" t="s">
        <v>6966</v>
      </c>
      <c r="AI151" t="s">
        <v>6966</v>
      </c>
      <c r="AJ151" t="s">
        <v>6966</v>
      </c>
      <c r="AK151" t="s">
        <v>6966</v>
      </c>
      <c r="AL151" t="s">
        <v>6966</v>
      </c>
      <c r="AM151" t="s">
        <v>6966</v>
      </c>
      <c r="AN151" t="s">
        <v>6966</v>
      </c>
      <c r="AO151" t="s">
        <v>6966</v>
      </c>
      <c r="AP151" t="s">
        <v>6966</v>
      </c>
      <c r="AQ151" t="s">
        <v>6966</v>
      </c>
      <c r="AR151" t="s">
        <v>6966</v>
      </c>
      <c r="AS151" t="s">
        <v>6966</v>
      </c>
      <c r="AT151" t="s">
        <v>6966</v>
      </c>
      <c r="AU151" t="s">
        <v>6966</v>
      </c>
      <c r="AV151" t="s">
        <v>6966</v>
      </c>
      <c r="AW151" t="s">
        <v>6966</v>
      </c>
      <c r="AX151" t="s">
        <v>6966</v>
      </c>
      <c r="AY151" t="s">
        <v>6966</v>
      </c>
      <c r="AZ151">
        <v>5.8687999999999997E-2</v>
      </c>
      <c r="BA151">
        <v>1.4899999999999999E-4</v>
      </c>
    </row>
    <row r="152" spans="1:53" x14ac:dyDescent="0.25">
      <c r="A152">
        <v>150</v>
      </c>
      <c r="B152" t="s">
        <v>7625</v>
      </c>
      <c r="C152">
        <v>101166</v>
      </c>
      <c r="D152" t="s">
        <v>87</v>
      </c>
      <c r="E152" t="s">
        <v>3217</v>
      </c>
      <c r="F152">
        <v>0</v>
      </c>
      <c r="G152">
        <v>14336.523438</v>
      </c>
      <c r="H152">
        <v>152</v>
      </c>
      <c r="I152">
        <v>291</v>
      </c>
      <c r="J152">
        <v>35002</v>
      </c>
      <c r="K152" t="s">
        <v>87</v>
      </c>
      <c r="L152">
        <v>12</v>
      </c>
      <c r="M152">
        <v>12</v>
      </c>
      <c r="N152">
        <v>35002</v>
      </c>
      <c r="O152">
        <v>153</v>
      </c>
      <c r="P152" t="s">
        <v>3215</v>
      </c>
      <c r="Q152">
        <v>0</v>
      </c>
      <c r="R152">
        <v>0</v>
      </c>
      <c r="S152">
        <v>0</v>
      </c>
      <c r="T152">
        <v>0</v>
      </c>
      <c r="U152">
        <v>0</v>
      </c>
      <c r="V152">
        <v>14336.52305</v>
      </c>
      <c r="W152">
        <v>151</v>
      </c>
      <c r="X152">
        <v>0</v>
      </c>
      <c r="Y152">
        <v>150</v>
      </c>
      <c r="Z152" t="s">
        <v>6966</v>
      </c>
      <c r="AA152" t="s">
        <v>6966</v>
      </c>
      <c r="AB152" t="s">
        <v>6966</v>
      </c>
      <c r="AC152" t="s">
        <v>6966</v>
      </c>
      <c r="AD152" t="s">
        <v>6966</v>
      </c>
      <c r="AE152" t="s">
        <v>6966</v>
      </c>
      <c r="AF152" t="s">
        <v>6966</v>
      </c>
      <c r="AG152" t="s">
        <v>6966</v>
      </c>
      <c r="AH152" t="s">
        <v>6966</v>
      </c>
      <c r="AI152" t="s">
        <v>6966</v>
      </c>
      <c r="AJ152" t="s">
        <v>6966</v>
      </c>
      <c r="AK152" t="s">
        <v>6966</v>
      </c>
      <c r="AL152" t="s">
        <v>6966</v>
      </c>
      <c r="AM152" t="s">
        <v>6966</v>
      </c>
      <c r="AN152" t="s">
        <v>6966</v>
      </c>
      <c r="AO152" t="s">
        <v>6966</v>
      </c>
      <c r="AP152" t="s">
        <v>6966</v>
      </c>
      <c r="AQ152" t="s">
        <v>6966</v>
      </c>
      <c r="AR152" t="s">
        <v>6966</v>
      </c>
      <c r="AS152" t="s">
        <v>6966</v>
      </c>
      <c r="AT152" t="s">
        <v>6966</v>
      </c>
      <c r="AU152" t="s">
        <v>6966</v>
      </c>
      <c r="AV152" t="s">
        <v>6966</v>
      </c>
      <c r="AW152" t="s">
        <v>6966</v>
      </c>
      <c r="AX152" t="s">
        <v>6966</v>
      </c>
      <c r="AY152" t="s">
        <v>6966</v>
      </c>
      <c r="AZ152">
        <v>0.144708</v>
      </c>
      <c r="BA152">
        <v>1.0039999999999999E-3</v>
      </c>
    </row>
    <row r="153" spans="1:53" x14ac:dyDescent="0.25">
      <c r="A153">
        <v>151</v>
      </c>
      <c r="B153" t="s">
        <v>7625</v>
      </c>
      <c r="C153">
        <v>101167</v>
      </c>
      <c r="D153" t="s">
        <v>87</v>
      </c>
      <c r="E153" t="s">
        <v>3217</v>
      </c>
      <c r="F153">
        <v>216630.84375</v>
      </c>
      <c r="G153">
        <v>1846.886841</v>
      </c>
      <c r="H153">
        <v>153</v>
      </c>
      <c r="I153">
        <v>292</v>
      </c>
      <c r="J153">
        <v>35003</v>
      </c>
      <c r="K153" t="s">
        <v>87</v>
      </c>
      <c r="L153">
        <v>12</v>
      </c>
      <c r="M153">
        <v>12</v>
      </c>
      <c r="N153">
        <v>35003</v>
      </c>
      <c r="O153">
        <v>154</v>
      </c>
      <c r="P153" t="s">
        <v>3215</v>
      </c>
      <c r="Q153">
        <v>0</v>
      </c>
      <c r="R153">
        <v>0</v>
      </c>
      <c r="S153">
        <v>0</v>
      </c>
      <c r="T153">
        <v>0</v>
      </c>
      <c r="U153">
        <v>216630.79109899999</v>
      </c>
      <c r="V153">
        <v>1846.886751</v>
      </c>
      <c r="W153">
        <v>152</v>
      </c>
      <c r="X153">
        <v>0</v>
      </c>
      <c r="Y153">
        <v>151</v>
      </c>
      <c r="Z153" t="s">
        <v>6966</v>
      </c>
      <c r="AA153" t="s">
        <v>6966</v>
      </c>
      <c r="AB153" t="s">
        <v>6966</v>
      </c>
      <c r="AC153" t="s">
        <v>6966</v>
      </c>
      <c r="AD153" t="s">
        <v>6966</v>
      </c>
      <c r="AE153" t="s">
        <v>6966</v>
      </c>
      <c r="AF153" t="s">
        <v>6966</v>
      </c>
      <c r="AG153" t="s">
        <v>6966</v>
      </c>
      <c r="AH153" t="s">
        <v>6966</v>
      </c>
      <c r="AI153" t="s">
        <v>6966</v>
      </c>
      <c r="AJ153" t="s">
        <v>6966</v>
      </c>
      <c r="AK153" t="s">
        <v>6966</v>
      </c>
      <c r="AL153" t="s">
        <v>6966</v>
      </c>
      <c r="AM153" t="s">
        <v>6966</v>
      </c>
      <c r="AN153" t="s">
        <v>6966</v>
      </c>
      <c r="AO153" t="s">
        <v>6966</v>
      </c>
      <c r="AP153" t="s">
        <v>6966</v>
      </c>
      <c r="AQ153" t="s">
        <v>6966</v>
      </c>
      <c r="AR153" t="s">
        <v>6966</v>
      </c>
      <c r="AS153" t="s">
        <v>6966</v>
      </c>
      <c r="AT153" t="s">
        <v>6966</v>
      </c>
      <c r="AU153" t="s">
        <v>6966</v>
      </c>
      <c r="AV153" t="s">
        <v>6966</v>
      </c>
      <c r="AW153" t="s">
        <v>6966</v>
      </c>
      <c r="AX153" t="s">
        <v>6966</v>
      </c>
      <c r="AY153" t="s">
        <v>6966</v>
      </c>
      <c r="AZ153">
        <v>1.8467999999999998E-2</v>
      </c>
      <c r="BA153">
        <v>2.0999999999999999E-5</v>
      </c>
    </row>
    <row r="154" spans="1:53" x14ac:dyDescent="0.25">
      <c r="A154">
        <v>152</v>
      </c>
      <c r="B154" t="s">
        <v>7625</v>
      </c>
      <c r="C154">
        <v>101130</v>
      </c>
      <c r="D154" t="s">
        <v>7689</v>
      </c>
      <c r="E154" t="s">
        <v>3217</v>
      </c>
      <c r="F154">
        <v>480988.03125</v>
      </c>
      <c r="G154">
        <v>2885.4772950000001</v>
      </c>
      <c r="H154">
        <v>154</v>
      </c>
      <c r="I154">
        <v>296</v>
      </c>
      <c r="J154">
        <v>35317</v>
      </c>
      <c r="K154" t="s">
        <v>2206</v>
      </c>
      <c r="L154">
        <v>12</v>
      </c>
      <c r="M154">
        <v>12</v>
      </c>
      <c r="N154">
        <v>35317</v>
      </c>
      <c r="O154">
        <v>155</v>
      </c>
      <c r="P154" t="s">
        <v>3215</v>
      </c>
      <c r="Q154">
        <v>3.2</v>
      </c>
      <c r="R154">
        <v>23.09</v>
      </c>
      <c r="S154">
        <v>0.69</v>
      </c>
      <c r="T154">
        <v>5</v>
      </c>
      <c r="U154">
        <v>480988.01458800002</v>
      </c>
      <c r="V154">
        <v>2885.4775209999998</v>
      </c>
      <c r="W154">
        <v>153</v>
      </c>
      <c r="X154">
        <v>0</v>
      </c>
      <c r="Y154">
        <v>152</v>
      </c>
      <c r="Z154" t="s">
        <v>6966</v>
      </c>
      <c r="AA154" t="s">
        <v>6966</v>
      </c>
      <c r="AB154" t="s">
        <v>6966</v>
      </c>
      <c r="AC154" t="s">
        <v>6966</v>
      </c>
      <c r="AD154" t="s">
        <v>6966</v>
      </c>
      <c r="AE154" t="s">
        <v>6966</v>
      </c>
      <c r="AF154" t="s">
        <v>6966</v>
      </c>
      <c r="AG154" t="s">
        <v>6966</v>
      </c>
      <c r="AH154" t="s">
        <v>6966</v>
      </c>
      <c r="AI154" t="s">
        <v>6966</v>
      </c>
      <c r="AJ154" t="s">
        <v>6966</v>
      </c>
      <c r="AK154" t="s">
        <v>6966</v>
      </c>
      <c r="AL154" t="s">
        <v>6966</v>
      </c>
      <c r="AM154" t="s">
        <v>6966</v>
      </c>
      <c r="AN154" t="s">
        <v>6966</v>
      </c>
      <c r="AO154" t="s">
        <v>6966</v>
      </c>
      <c r="AP154" t="s">
        <v>6966</v>
      </c>
      <c r="AQ154" t="s">
        <v>6966</v>
      </c>
      <c r="AR154" t="s">
        <v>6966</v>
      </c>
      <c r="AS154" t="s">
        <v>6966</v>
      </c>
      <c r="AT154" t="s">
        <v>6966</v>
      </c>
      <c r="AU154" t="s">
        <v>6966</v>
      </c>
      <c r="AV154" t="s">
        <v>6966</v>
      </c>
      <c r="AW154" t="s">
        <v>6966</v>
      </c>
      <c r="AX154" t="s">
        <v>6966</v>
      </c>
      <c r="AY154" t="s">
        <v>6966</v>
      </c>
      <c r="AZ154">
        <v>2.9165E-2</v>
      </c>
      <c r="BA154">
        <v>4.6999999999999997E-5</v>
      </c>
    </row>
    <row r="155" spans="1:53" x14ac:dyDescent="0.25">
      <c r="A155">
        <v>153</v>
      </c>
      <c r="B155" t="s">
        <v>7625</v>
      </c>
      <c r="C155">
        <v>202003</v>
      </c>
      <c r="D155" t="s">
        <v>1152</v>
      </c>
      <c r="E155" t="s">
        <v>1152</v>
      </c>
      <c r="F155">
        <v>0</v>
      </c>
      <c r="G155">
        <v>71682.96875</v>
      </c>
      <c r="H155">
        <v>155</v>
      </c>
      <c r="I155">
        <v>297</v>
      </c>
      <c r="J155">
        <v>54111</v>
      </c>
      <c r="K155" t="s">
        <v>1152</v>
      </c>
      <c r="L155">
        <v>18</v>
      </c>
      <c r="M155">
        <v>18</v>
      </c>
      <c r="N155">
        <v>54111</v>
      </c>
      <c r="O155">
        <v>146</v>
      </c>
      <c r="P155" t="s">
        <v>3214</v>
      </c>
      <c r="Q155">
        <v>2.2999999999999998</v>
      </c>
      <c r="R155">
        <v>78.650000000000006</v>
      </c>
      <c r="S155">
        <v>0.41</v>
      </c>
      <c r="T155">
        <v>14</v>
      </c>
      <c r="U155">
        <v>0</v>
      </c>
      <c r="V155">
        <v>71682.966681999998</v>
      </c>
      <c r="W155">
        <v>154</v>
      </c>
      <c r="X155">
        <v>2</v>
      </c>
      <c r="Y155">
        <v>153</v>
      </c>
      <c r="Z155">
        <v>72620</v>
      </c>
      <c r="AA155" s="76">
        <v>45943</v>
      </c>
      <c r="AB155">
        <v>2025</v>
      </c>
      <c r="AC155" t="s">
        <v>7473</v>
      </c>
      <c r="AD155">
        <v>13</v>
      </c>
      <c r="AE155" t="s">
        <v>7499</v>
      </c>
      <c r="AF155" t="s">
        <v>3216</v>
      </c>
      <c r="AG155" t="s">
        <v>6936</v>
      </c>
      <c r="AH155" t="s">
        <v>1152</v>
      </c>
      <c r="AI155" t="s">
        <v>7500</v>
      </c>
      <c r="AJ155" t="s">
        <v>6966</v>
      </c>
      <c r="AK155">
        <v>34.480930000000001</v>
      </c>
      <c r="AL155">
        <v>36.440550000000002</v>
      </c>
      <c r="AM155" t="s">
        <v>6995</v>
      </c>
      <c r="AN155" t="s">
        <v>6966</v>
      </c>
      <c r="AO155" t="s">
        <v>7301</v>
      </c>
      <c r="AP155" t="s">
        <v>7501</v>
      </c>
      <c r="AQ155" t="s">
        <v>6998</v>
      </c>
      <c r="AR155" t="s">
        <v>6999</v>
      </c>
      <c r="AS155" t="s">
        <v>7036</v>
      </c>
      <c r="AT155">
        <v>0</v>
      </c>
      <c r="AU155">
        <v>0</v>
      </c>
      <c r="AV155" t="s">
        <v>7587</v>
      </c>
      <c r="AW155" t="s">
        <v>7043</v>
      </c>
      <c r="AX155" t="s">
        <v>6966</v>
      </c>
      <c r="AY155" t="s">
        <v>7003</v>
      </c>
      <c r="AZ155">
        <v>0.71489100000000005</v>
      </c>
      <c r="BA155">
        <v>1.2862E-2</v>
      </c>
    </row>
    <row r="156" spans="1:53" x14ac:dyDescent="0.25">
      <c r="A156">
        <v>154</v>
      </c>
      <c r="B156" t="s">
        <v>7625</v>
      </c>
      <c r="C156">
        <v>704039</v>
      </c>
      <c r="D156" t="s">
        <v>915</v>
      </c>
      <c r="E156" t="s">
        <v>7685</v>
      </c>
      <c r="F156">
        <v>9911767</v>
      </c>
      <c r="G156">
        <v>17595.689452999999</v>
      </c>
      <c r="H156">
        <v>156</v>
      </c>
      <c r="I156">
        <v>298</v>
      </c>
      <c r="J156">
        <v>37271</v>
      </c>
      <c r="K156" t="s">
        <v>2288</v>
      </c>
      <c r="L156">
        <v>14</v>
      </c>
      <c r="M156">
        <v>14</v>
      </c>
      <c r="N156">
        <v>37271</v>
      </c>
      <c r="O156">
        <v>156</v>
      </c>
      <c r="P156" t="s">
        <v>3215</v>
      </c>
      <c r="Q156">
        <v>21.5</v>
      </c>
      <c r="R156">
        <v>121.6</v>
      </c>
      <c r="S156">
        <v>3.99</v>
      </c>
      <c r="T156">
        <v>26</v>
      </c>
      <c r="U156">
        <v>9911767.2604499999</v>
      </c>
      <c r="V156">
        <v>17595.687275</v>
      </c>
      <c r="W156">
        <v>155</v>
      </c>
      <c r="X156">
        <v>6</v>
      </c>
      <c r="Y156">
        <v>154</v>
      </c>
      <c r="Z156">
        <v>63351</v>
      </c>
      <c r="AA156" s="76">
        <v>45807</v>
      </c>
      <c r="AB156">
        <v>2025</v>
      </c>
      <c r="AC156" t="s">
        <v>7215</v>
      </c>
      <c r="AD156">
        <v>30</v>
      </c>
      <c r="AE156" t="s">
        <v>7291</v>
      </c>
      <c r="AF156" t="s">
        <v>3215</v>
      </c>
      <c r="AG156" t="s">
        <v>3228</v>
      </c>
      <c r="AH156" t="s">
        <v>915</v>
      </c>
      <c r="AI156" t="s">
        <v>3115</v>
      </c>
      <c r="AJ156" t="s">
        <v>6966</v>
      </c>
      <c r="AK156">
        <v>34.48021</v>
      </c>
      <c r="AL156">
        <v>35.92933</v>
      </c>
      <c r="AM156" t="s">
        <v>7013</v>
      </c>
      <c r="AN156" t="s">
        <v>7028</v>
      </c>
      <c r="AO156" t="s">
        <v>7008</v>
      </c>
      <c r="AP156" t="s">
        <v>7292</v>
      </c>
      <c r="AQ156" t="s">
        <v>6998</v>
      </c>
      <c r="AR156" t="s">
        <v>6999</v>
      </c>
      <c r="AS156" t="s">
        <v>7000</v>
      </c>
      <c r="AT156">
        <v>0</v>
      </c>
      <c r="AU156">
        <v>0</v>
      </c>
      <c r="AV156" t="s">
        <v>7293</v>
      </c>
      <c r="AW156" t="s">
        <v>7041</v>
      </c>
      <c r="AX156" t="s">
        <v>6966</v>
      </c>
      <c r="AY156" t="s">
        <v>7003</v>
      </c>
      <c r="AZ156">
        <v>0.17680599999999999</v>
      </c>
      <c r="BA156">
        <v>9.7199999999999999E-4</v>
      </c>
    </row>
    <row r="157" spans="1:53" x14ac:dyDescent="0.25">
      <c r="A157">
        <v>155</v>
      </c>
      <c r="B157" t="s">
        <v>7625</v>
      </c>
      <c r="C157">
        <v>101055</v>
      </c>
      <c r="D157" t="s">
        <v>827</v>
      </c>
      <c r="E157" t="s">
        <v>3217</v>
      </c>
      <c r="F157">
        <v>0</v>
      </c>
      <c r="G157">
        <v>37983.285155999998</v>
      </c>
      <c r="H157">
        <v>157</v>
      </c>
      <c r="I157">
        <v>299</v>
      </c>
      <c r="J157">
        <v>35353</v>
      </c>
      <c r="K157" t="s">
        <v>2221</v>
      </c>
      <c r="L157">
        <v>12</v>
      </c>
      <c r="M157">
        <v>12</v>
      </c>
      <c r="N157">
        <v>35353</v>
      </c>
      <c r="O157">
        <v>157</v>
      </c>
      <c r="P157" t="s">
        <v>3215</v>
      </c>
      <c r="Q157">
        <v>3</v>
      </c>
      <c r="R157">
        <v>200.62</v>
      </c>
      <c r="S157">
        <v>0.53</v>
      </c>
      <c r="T157">
        <v>36</v>
      </c>
      <c r="U157">
        <v>0</v>
      </c>
      <c r="V157">
        <v>37983.28312</v>
      </c>
      <c r="W157">
        <v>156</v>
      </c>
      <c r="X157">
        <v>0</v>
      </c>
      <c r="Y157">
        <v>155</v>
      </c>
      <c r="Z157" t="s">
        <v>6966</v>
      </c>
      <c r="AA157" t="s">
        <v>6966</v>
      </c>
      <c r="AB157" t="s">
        <v>6966</v>
      </c>
      <c r="AC157" t="s">
        <v>6966</v>
      </c>
      <c r="AD157" t="s">
        <v>6966</v>
      </c>
      <c r="AE157" t="s">
        <v>6966</v>
      </c>
      <c r="AF157" t="s">
        <v>6966</v>
      </c>
      <c r="AG157" t="s">
        <v>6966</v>
      </c>
      <c r="AH157" t="s">
        <v>6966</v>
      </c>
      <c r="AI157" t="s">
        <v>6966</v>
      </c>
      <c r="AJ157" t="s">
        <v>6966</v>
      </c>
      <c r="AK157" t="s">
        <v>6966</v>
      </c>
      <c r="AL157" t="s">
        <v>6966</v>
      </c>
      <c r="AM157" t="s">
        <v>6966</v>
      </c>
      <c r="AN157" t="s">
        <v>6966</v>
      </c>
      <c r="AO157" t="s">
        <v>6966</v>
      </c>
      <c r="AP157" t="s">
        <v>6966</v>
      </c>
      <c r="AQ157" t="s">
        <v>6966</v>
      </c>
      <c r="AR157" t="s">
        <v>6966</v>
      </c>
      <c r="AS157" t="s">
        <v>6966</v>
      </c>
      <c r="AT157" t="s">
        <v>6966</v>
      </c>
      <c r="AU157" t="s">
        <v>6966</v>
      </c>
      <c r="AV157" t="s">
        <v>6966</v>
      </c>
      <c r="AW157" t="s">
        <v>6966</v>
      </c>
      <c r="AX157" t="s">
        <v>6966</v>
      </c>
      <c r="AY157" t="s">
        <v>6966</v>
      </c>
      <c r="AZ157">
        <v>0.38125100000000001</v>
      </c>
      <c r="BA157">
        <v>3.1619999999999999E-3</v>
      </c>
    </row>
    <row r="158" spans="1:53" x14ac:dyDescent="0.25">
      <c r="A158">
        <v>156</v>
      </c>
      <c r="B158" t="s">
        <v>7625</v>
      </c>
      <c r="C158">
        <v>101036</v>
      </c>
      <c r="D158" t="s">
        <v>810</v>
      </c>
      <c r="E158" t="s">
        <v>3217</v>
      </c>
      <c r="F158">
        <v>2379593</v>
      </c>
      <c r="G158">
        <v>8835.6943360000005</v>
      </c>
      <c r="H158">
        <v>158</v>
      </c>
      <c r="I158">
        <v>301</v>
      </c>
      <c r="J158">
        <v>35320</v>
      </c>
      <c r="K158" t="s">
        <v>810</v>
      </c>
      <c r="L158">
        <v>12</v>
      </c>
      <c r="M158">
        <v>12</v>
      </c>
      <c r="N158">
        <v>35320</v>
      </c>
      <c r="O158">
        <v>158</v>
      </c>
      <c r="P158" t="s">
        <v>3215</v>
      </c>
      <c r="Q158">
        <v>5.9</v>
      </c>
      <c r="R158">
        <v>170.52</v>
      </c>
      <c r="S158">
        <v>1.08</v>
      </c>
      <c r="T158">
        <v>31</v>
      </c>
      <c r="U158">
        <v>2379592.9104499999</v>
      </c>
      <c r="V158">
        <v>8835.6935489999996</v>
      </c>
      <c r="W158">
        <v>157</v>
      </c>
      <c r="X158">
        <v>0</v>
      </c>
      <c r="Y158">
        <v>156</v>
      </c>
      <c r="Z158" t="s">
        <v>6966</v>
      </c>
      <c r="AA158" t="s">
        <v>6966</v>
      </c>
      <c r="AB158" t="s">
        <v>6966</v>
      </c>
      <c r="AC158" t="s">
        <v>6966</v>
      </c>
      <c r="AD158" t="s">
        <v>6966</v>
      </c>
      <c r="AE158" t="s">
        <v>6966</v>
      </c>
      <c r="AF158" t="s">
        <v>6966</v>
      </c>
      <c r="AG158" t="s">
        <v>6966</v>
      </c>
      <c r="AH158" t="s">
        <v>6966</v>
      </c>
      <c r="AI158" t="s">
        <v>6966</v>
      </c>
      <c r="AJ158" t="s">
        <v>6966</v>
      </c>
      <c r="AK158" t="s">
        <v>6966</v>
      </c>
      <c r="AL158" t="s">
        <v>6966</v>
      </c>
      <c r="AM158" t="s">
        <v>6966</v>
      </c>
      <c r="AN158" t="s">
        <v>6966</v>
      </c>
      <c r="AO158" t="s">
        <v>6966</v>
      </c>
      <c r="AP158" t="s">
        <v>6966</v>
      </c>
      <c r="AQ158" t="s">
        <v>6966</v>
      </c>
      <c r="AR158" t="s">
        <v>6966</v>
      </c>
      <c r="AS158" t="s">
        <v>6966</v>
      </c>
      <c r="AT158" t="s">
        <v>6966</v>
      </c>
      <c r="AU158" t="s">
        <v>6966</v>
      </c>
      <c r="AV158" t="s">
        <v>6966</v>
      </c>
      <c r="AW158" t="s">
        <v>6966</v>
      </c>
      <c r="AX158" t="s">
        <v>6966</v>
      </c>
      <c r="AY158" t="s">
        <v>6966</v>
      </c>
      <c r="AZ158">
        <v>8.7372000000000005E-2</v>
      </c>
      <c r="BA158">
        <v>2.34E-4</v>
      </c>
    </row>
    <row r="159" spans="1:53" x14ac:dyDescent="0.25">
      <c r="A159">
        <v>157</v>
      </c>
      <c r="B159" t="s">
        <v>7625</v>
      </c>
      <c r="C159">
        <v>101144</v>
      </c>
      <c r="D159" t="s">
        <v>805</v>
      </c>
      <c r="E159" t="s">
        <v>3217</v>
      </c>
      <c r="F159">
        <v>1950065.625</v>
      </c>
      <c r="G159">
        <v>5955.5576170000004</v>
      </c>
      <c r="H159">
        <v>159</v>
      </c>
      <c r="I159">
        <v>302</v>
      </c>
      <c r="J159">
        <v>35311</v>
      </c>
      <c r="K159" t="s">
        <v>7690</v>
      </c>
      <c r="L159">
        <v>12</v>
      </c>
      <c r="M159">
        <v>12</v>
      </c>
      <c r="N159">
        <v>35311</v>
      </c>
      <c r="O159">
        <v>159</v>
      </c>
      <c r="P159" t="s">
        <v>3215</v>
      </c>
      <c r="Q159">
        <v>0.7</v>
      </c>
      <c r="R159">
        <v>21.8</v>
      </c>
      <c r="S159">
        <v>0.28000000000000003</v>
      </c>
      <c r="T159">
        <v>8</v>
      </c>
      <c r="U159">
        <v>1950065.5145099999</v>
      </c>
      <c r="V159">
        <v>5955.5574450000004</v>
      </c>
      <c r="W159">
        <v>158</v>
      </c>
      <c r="X159">
        <v>0</v>
      </c>
      <c r="Y159">
        <v>157</v>
      </c>
      <c r="Z159" t="s">
        <v>6966</v>
      </c>
      <c r="AA159" t="s">
        <v>6966</v>
      </c>
      <c r="AB159" t="s">
        <v>6966</v>
      </c>
      <c r="AC159" t="s">
        <v>6966</v>
      </c>
      <c r="AD159" t="s">
        <v>6966</v>
      </c>
      <c r="AE159" t="s">
        <v>6966</v>
      </c>
      <c r="AF159" t="s">
        <v>6966</v>
      </c>
      <c r="AG159" t="s">
        <v>6966</v>
      </c>
      <c r="AH159" t="s">
        <v>6966</v>
      </c>
      <c r="AI159" t="s">
        <v>6966</v>
      </c>
      <c r="AJ159" t="s">
        <v>6966</v>
      </c>
      <c r="AK159" t="s">
        <v>6966</v>
      </c>
      <c r="AL159" t="s">
        <v>6966</v>
      </c>
      <c r="AM159" t="s">
        <v>6966</v>
      </c>
      <c r="AN159" t="s">
        <v>6966</v>
      </c>
      <c r="AO159" t="s">
        <v>6966</v>
      </c>
      <c r="AP159" t="s">
        <v>6966</v>
      </c>
      <c r="AQ159" t="s">
        <v>6966</v>
      </c>
      <c r="AR159" t="s">
        <v>6966</v>
      </c>
      <c r="AS159" t="s">
        <v>6966</v>
      </c>
      <c r="AT159" t="s">
        <v>6966</v>
      </c>
      <c r="AU159" t="s">
        <v>6966</v>
      </c>
      <c r="AV159" t="s">
        <v>6966</v>
      </c>
      <c r="AW159" t="s">
        <v>6966</v>
      </c>
      <c r="AX159" t="s">
        <v>6966</v>
      </c>
      <c r="AY159" t="s">
        <v>6966</v>
      </c>
      <c r="AZ159">
        <v>5.9101000000000001E-2</v>
      </c>
      <c r="BA159">
        <v>1.9100000000000001E-4</v>
      </c>
    </row>
    <row r="160" spans="1:53" x14ac:dyDescent="0.25">
      <c r="A160">
        <v>158</v>
      </c>
      <c r="B160" t="s">
        <v>7625</v>
      </c>
      <c r="C160">
        <v>101131</v>
      </c>
      <c r="D160" t="s">
        <v>826</v>
      </c>
      <c r="E160" t="s">
        <v>3217</v>
      </c>
      <c r="F160">
        <v>2234635</v>
      </c>
      <c r="G160">
        <v>9901.0771480000003</v>
      </c>
      <c r="H160">
        <v>160</v>
      </c>
      <c r="I160">
        <v>303</v>
      </c>
      <c r="J160">
        <v>35352</v>
      </c>
      <c r="K160" t="s">
        <v>7691</v>
      </c>
      <c r="L160">
        <v>12</v>
      </c>
      <c r="M160">
        <v>12</v>
      </c>
      <c r="N160">
        <v>35352</v>
      </c>
      <c r="O160">
        <v>160</v>
      </c>
      <c r="P160" t="s">
        <v>3215</v>
      </c>
      <c r="Q160">
        <v>11.2</v>
      </c>
      <c r="R160">
        <v>167.28</v>
      </c>
      <c r="S160">
        <v>2.15</v>
      </c>
      <c r="T160">
        <v>32</v>
      </c>
      <c r="U160">
        <v>2234634.9706000001</v>
      </c>
      <c r="V160">
        <v>9901.0761160000002</v>
      </c>
      <c r="W160">
        <v>159</v>
      </c>
      <c r="X160">
        <v>0</v>
      </c>
      <c r="Y160">
        <v>158</v>
      </c>
      <c r="Z160" t="s">
        <v>6966</v>
      </c>
      <c r="AA160" t="s">
        <v>6966</v>
      </c>
      <c r="AB160" t="s">
        <v>6966</v>
      </c>
      <c r="AC160" t="s">
        <v>6966</v>
      </c>
      <c r="AD160" t="s">
        <v>6966</v>
      </c>
      <c r="AE160" t="s">
        <v>6966</v>
      </c>
      <c r="AF160" t="s">
        <v>6966</v>
      </c>
      <c r="AG160" t="s">
        <v>6966</v>
      </c>
      <c r="AH160" t="s">
        <v>6966</v>
      </c>
      <c r="AI160" t="s">
        <v>6966</v>
      </c>
      <c r="AJ160" t="s">
        <v>6966</v>
      </c>
      <c r="AK160" t="s">
        <v>6966</v>
      </c>
      <c r="AL160" t="s">
        <v>6966</v>
      </c>
      <c r="AM160" t="s">
        <v>6966</v>
      </c>
      <c r="AN160" t="s">
        <v>6966</v>
      </c>
      <c r="AO160" t="s">
        <v>6966</v>
      </c>
      <c r="AP160" t="s">
        <v>6966</v>
      </c>
      <c r="AQ160" t="s">
        <v>6966</v>
      </c>
      <c r="AR160" t="s">
        <v>6966</v>
      </c>
      <c r="AS160" t="s">
        <v>6966</v>
      </c>
      <c r="AT160" t="s">
        <v>6966</v>
      </c>
      <c r="AU160" t="s">
        <v>6966</v>
      </c>
      <c r="AV160" t="s">
        <v>6966</v>
      </c>
      <c r="AW160" t="s">
        <v>6966</v>
      </c>
      <c r="AX160" t="s">
        <v>6966</v>
      </c>
      <c r="AY160" t="s">
        <v>6966</v>
      </c>
      <c r="AZ160">
        <v>9.9333000000000005E-2</v>
      </c>
      <c r="BA160">
        <v>2.1900000000000001E-4</v>
      </c>
    </row>
    <row r="161" spans="1:53" x14ac:dyDescent="0.25">
      <c r="A161">
        <v>159</v>
      </c>
      <c r="B161" t="s">
        <v>7625</v>
      </c>
      <c r="C161">
        <v>101025</v>
      </c>
      <c r="D161" t="s">
        <v>832</v>
      </c>
      <c r="E161" t="s">
        <v>3217</v>
      </c>
      <c r="F161">
        <v>3312152.75</v>
      </c>
      <c r="G161">
        <v>10585.163086</v>
      </c>
      <c r="H161">
        <v>161</v>
      </c>
      <c r="I161">
        <v>304</v>
      </c>
      <c r="J161">
        <v>35367</v>
      </c>
      <c r="K161" t="s">
        <v>2223</v>
      </c>
      <c r="L161">
        <v>12</v>
      </c>
      <c r="M161">
        <v>12</v>
      </c>
      <c r="N161">
        <v>35367</v>
      </c>
      <c r="O161">
        <v>161</v>
      </c>
      <c r="P161" t="s">
        <v>3215</v>
      </c>
      <c r="Q161">
        <v>0.4</v>
      </c>
      <c r="R161">
        <v>4229.08</v>
      </c>
      <c r="S161">
        <v>0.1</v>
      </c>
      <c r="T161">
        <v>983</v>
      </c>
      <c r="U161">
        <v>3312152.7783400002</v>
      </c>
      <c r="V161">
        <v>10585.161999</v>
      </c>
      <c r="W161">
        <v>160</v>
      </c>
      <c r="X161">
        <v>0</v>
      </c>
      <c r="Y161">
        <v>159</v>
      </c>
      <c r="Z161" t="s">
        <v>6966</v>
      </c>
      <c r="AA161" t="s">
        <v>6966</v>
      </c>
      <c r="AB161" t="s">
        <v>6966</v>
      </c>
      <c r="AC161" t="s">
        <v>6966</v>
      </c>
      <c r="AD161" t="s">
        <v>6966</v>
      </c>
      <c r="AE161" t="s">
        <v>6966</v>
      </c>
      <c r="AF161" t="s">
        <v>6966</v>
      </c>
      <c r="AG161" t="s">
        <v>6966</v>
      </c>
      <c r="AH161" t="s">
        <v>6966</v>
      </c>
      <c r="AI161" t="s">
        <v>6966</v>
      </c>
      <c r="AJ161" t="s">
        <v>6966</v>
      </c>
      <c r="AK161" t="s">
        <v>6966</v>
      </c>
      <c r="AL161" t="s">
        <v>6966</v>
      </c>
      <c r="AM161" t="s">
        <v>6966</v>
      </c>
      <c r="AN161" t="s">
        <v>6966</v>
      </c>
      <c r="AO161" t="s">
        <v>6966</v>
      </c>
      <c r="AP161" t="s">
        <v>6966</v>
      </c>
      <c r="AQ161" t="s">
        <v>6966</v>
      </c>
      <c r="AR161" t="s">
        <v>6966</v>
      </c>
      <c r="AS161" t="s">
        <v>6966</v>
      </c>
      <c r="AT161" t="s">
        <v>6966</v>
      </c>
      <c r="AU161" t="s">
        <v>6966</v>
      </c>
      <c r="AV161" t="s">
        <v>6966</v>
      </c>
      <c r="AW161" t="s">
        <v>6966</v>
      </c>
      <c r="AX161" t="s">
        <v>6966</v>
      </c>
      <c r="AY161" t="s">
        <v>6966</v>
      </c>
      <c r="AZ161">
        <v>0.105825</v>
      </c>
      <c r="BA161">
        <v>3.2499999999999999E-4</v>
      </c>
    </row>
    <row r="162" spans="1:53" x14ac:dyDescent="0.25">
      <c r="A162">
        <v>160</v>
      </c>
      <c r="B162" t="s">
        <v>7625</v>
      </c>
      <c r="C162">
        <v>101133</v>
      </c>
      <c r="D162" t="s">
        <v>820</v>
      </c>
      <c r="E162" t="s">
        <v>3217</v>
      </c>
      <c r="F162">
        <v>1964098.5</v>
      </c>
      <c r="G162">
        <v>6650.2695309999999</v>
      </c>
      <c r="H162">
        <v>162</v>
      </c>
      <c r="I162">
        <v>305</v>
      </c>
      <c r="J162">
        <v>35334</v>
      </c>
      <c r="K162" t="s">
        <v>2215</v>
      </c>
      <c r="L162">
        <v>12</v>
      </c>
      <c r="M162">
        <v>12</v>
      </c>
      <c r="N162">
        <v>35334</v>
      </c>
      <c r="O162">
        <v>162</v>
      </c>
      <c r="P162" t="s">
        <v>3215</v>
      </c>
      <c r="Q162">
        <v>3.6</v>
      </c>
      <c r="R162">
        <v>261</v>
      </c>
      <c r="S162">
        <v>0.83</v>
      </c>
      <c r="T162">
        <v>60</v>
      </c>
      <c r="U162">
        <v>1964098.46643</v>
      </c>
      <c r="V162">
        <v>6650.2696889999997</v>
      </c>
      <c r="W162">
        <v>161</v>
      </c>
      <c r="X162">
        <v>0</v>
      </c>
      <c r="Y162">
        <v>160</v>
      </c>
      <c r="Z162" t="s">
        <v>6966</v>
      </c>
      <c r="AA162" t="s">
        <v>6966</v>
      </c>
      <c r="AB162" t="s">
        <v>6966</v>
      </c>
      <c r="AC162" t="s">
        <v>6966</v>
      </c>
      <c r="AD162" t="s">
        <v>6966</v>
      </c>
      <c r="AE162" t="s">
        <v>6966</v>
      </c>
      <c r="AF162" t="s">
        <v>6966</v>
      </c>
      <c r="AG162" t="s">
        <v>6966</v>
      </c>
      <c r="AH162" t="s">
        <v>6966</v>
      </c>
      <c r="AI162" t="s">
        <v>6966</v>
      </c>
      <c r="AJ162" t="s">
        <v>6966</v>
      </c>
      <c r="AK162" t="s">
        <v>6966</v>
      </c>
      <c r="AL162" t="s">
        <v>6966</v>
      </c>
      <c r="AM162" t="s">
        <v>6966</v>
      </c>
      <c r="AN162" t="s">
        <v>6966</v>
      </c>
      <c r="AO162" t="s">
        <v>6966</v>
      </c>
      <c r="AP162" t="s">
        <v>6966</v>
      </c>
      <c r="AQ162" t="s">
        <v>6966</v>
      </c>
      <c r="AR162" t="s">
        <v>6966</v>
      </c>
      <c r="AS162" t="s">
        <v>6966</v>
      </c>
      <c r="AT162" t="s">
        <v>6966</v>
      </c>
      <c r="AU162" t="s">
        <v>6966</v>
      </c>
      <c r="AV162" t="s">
        <v>6966</v>
      </c>
      <c r="AW162" t="s">
        <v>6966</v>
      </c>
      <c r="AX162" t="s">
        <v>6966</v>
      </c>
      <c r="AY162" t="s">
        <v>6966</v>
      </c>
      <c r="AZ162">
        <v>6.6370999999999999E-2</v>
      </c>
      <c r="BA162">
        <v>1.93E-4</v>
      </c>
    </row>
    <row r="163" spans="1:53" x14ac:dyDescent="0.25">
      <c r="A163">
        <v>161</v>
      </c>
      <c r="B163" t="s">
        <v>7625</v>
      </c>
      <c r="C163">
        <v>101090</v>
      </c>
      <c r="D163" t="s">
        <v>818</v>
      </c>
      <c r="E163" t="s">
        <v>3217</v>
      </c>
      <c r="F163">
        <v>2121700.5</v>
      </c>
      <c r="G163">
        <v>10567.216796999999</v>
      </c>
      <c r="H163">
        <v>163</v>
      </c>
      <c r="I163">
        <v>306</v>
      </c>
      <c r="J163">
        <v>35330</v>
      </c>
      <c r="K163" t="s">
        <v>818</v>
      </c>
      <c r="L163">
        <v>12</v>
      </c>
      <c r="M163">
        <v>12</v>
      </c>
      <c r="N163">
        <v>35330</v>
      </c>
      <c r="O163">
        <v>163</v>
      </c>
      <c r="P163" t="s">
        <v>3215</v>
      </c>
      <c r="Q163">
        <v>1.5</v>
      </c>
      <c r="R163">
        <v>161.30000000000001</v>
      </c>
      <c r="S163">
        <v>0.25</v>
      </c>
      <c r="T163">
        <v>27</v>
      </c>
      <c r="U163">
        <v>2121700.3799399999</v>
      </c>
      <c r="V163">
        <v>10567.21787</v>
      </c>
      <c r="W163">
        <v>162</v>
      </c>
      <c r="X163">
        <v>0</v>
      </c>
      <c r="Y163">
        <v>161</v>
      </c>
      <c r="Z163" t="s">
        <v>6966</v>
      </c>
      <c r="AA163" t="s">
        <v>6966</v>
      </c>
      <c r="AB163" t="s">
        <v>6966</v>
      </c>
      <c r="AC163" t="s">
        <v>6966</v>
      </c>
      <c r="AD163" t="s">
        <v>6966</v>
      </c>
      <c r="AE163" t="s">
        <v>6966</v>
      </c>
      <c r="AF163" t="s">
        <v>6966</v>
      </c>
      <c r="AG163" t="s">
        <v>6966</v>
      </c>
      <c r="AH163" t="s">
        <v>6966</v>
      </c>
      <c r="AI163" t="s">
        <v>6966</v>
      </c>
      <c r="AJ163" t="s">
        <v>6966</v>
      </c>
      <c r="AK163" t="s">
        <v>6966</v>
      </c>
      <c r="AL163" t="s">
        <v>6966</v>
      </c>
      <c r="AM163" t="s">
        <v>6966</v>
      </c>
      <c r="AN163" t="s">
        <v>6966</v>
      </c>
      <c r="AO163" t="s">
        <v>6966</v>
      </c>
      <c r="AP163" t="s">
        <v>6966</v>
      </c>
      <c r="AQ163" t="s">
        <v>6966</v>
      </c>
      <c r="AR163" t="s">
        <v>6966</v>
      </c>
      <c r="AS163" t="s">
        <v>6966</v>
      </c>
      <c r="AT163" t="s">
        <v>6966</v>
      </c>
      <c r="AU163" t="s">
        <v>6966</v>
      </c>
      <c r="AV163" t="s">
        <v>6966</v>
      </c>
      <c r="AW163" t="s">
        <v>6966</v>
      </c>
      <c r="AX163" t="s">
        <v>6966</v>
      </c>
      <c r="AY163" t="s">
        <v>6966</v>
      </c>
      <c r="AZ163">
        <v>0.10635</v>
      </c>
      <c r="BA163">
        <v>2.0799999999999999E-4</v>
      </c>
    </row>
    <row r="164" spans="1:53" x14ac:dyDescent="0.25">
      <c r="A164">
        <v>162</v>
      </c>
      <c r="B164" t="s">
        <v>7625</v>
      </c>
      <c r="C164">
        <v>704050</v>
      </c>
      <c r="D164" t="s">
        <v>960</v>
      </c>
      <c r="E164" t="s">
        <v>7685</v>
      </c>
      <c r="F164">
        <v>4866273.5</v>
      </c>
      <c r="G164">
        <v>13583.787109000001</v>
      </c>
      <c r="H164">
        <v>164</v>
      </c>
      <c r="I164">
        <v>307</v>
      </c>
      <c r="J164">
        <v>37382</v>
      </c>
      <c r="K164" t="s">
        <v>2322</v>
      </c>
      <c r="L164">
        <v>14</v>
      </c>
      <c r="M164">
        <v>14</v>
      </c>
      <c r="N164">
        <v>37382</v>
      </c>
      <c r="O164">
        <v>164</v>
      </c>
      <c r="P164" t="s">
        <v>3215</v>
      </c>
      <c r="Q164">
        <v>1.3</v>
      </c>
      <c r="R164">
        <v>93.45</v>
      </c>
      <c r="S164">
        <v>0.23</v>
      </c>
      <c r="T164">
        <v>17</v>
      </c>
      <c r="U164">
        <v>4866273.6610500002</v>
      </c>
      <c r="V164">
        <v>13583.786998</v>
      </c>
      <c r="W164">
        <v>163</v>
      </c>
      <c r="X164">
        <v>0</v>
      </c>
      <c r="Y164">
        <v>162</v>
      </c>
      <c r="Z164" t="s">
        <v>6966</v>
      </c>
      <c r="AA164" t="s">
        <v>6966</v>
      </c>
      <c r="AB164" t="s">
        <v>6966</v>
      </c>
      <c r="AC164" t="s">
        <v>6966</v>
      </c>
      <c r="AD164" t="s">
        <v>6966</v>
      </c>
      <c r="AE164" t="s">
        <v>6966</v>
      </c>
      <c r="AF164" t="s">
        <v>6966</v>
      </c>
      <c r="AG164" t="s">
        <v>6966</v>
      </c>
      <c r="AH164" t="s">
        <v>6966</v>
      </c>
      <c r="AI164" t="s">
        <v>6966</v>
      </c>
      <c r="AJ164" t="s">
        <v>6966</v>
      </c>
      <c r="AK164" t="s">
        <v>6966</v>
      </c>
      <c r="AL164" t="s">
        <v>6966</v>
      </c>
      <c r="AM164" t="s">
        <v>6966</v>
      </c>
      <c r="AN164" t="s">
        <v>6966</v>
      </c>
      <c r="AO164" t="s">
        <v>6966</v>
      </c>
      <c r="AP164" t="s">
        <v>6966</v>
      </c>
      <c r="AQ164" t="s">
        <v>6966</v>
      </c>
      <c r="AR164" t="s">
        <v>6966</v>
      </c>
      <c r="AS164" t="s">
        <v>6966</v>
      </c>
      <c r="AT164" t="s">
        <v>6966</v>
      </c>
      <c r="AU164" t="s">
        <v>6966</v>
      </c>
      <c r="AV164" t="s">
        <v>6966</v>
      </c>
      <c r="AW164" t="s">
        <v>6966</v>
      </c>
      <c r="AX164" t="s">
        <v>6966</v>
      </c>
      <c r="AY164" t="s">
        <v>6966</v>
      </c>
      <c r="AZ164">
        <v>0.131437</v>
      </c>
      <c r="BA164">
        <v>4.7699999999999999E-4</v>
      </c>
    </row>
    <row r="165" spans="1:53" x14ac:dyDescent="0.25">
      <c r="A165">
        <v>163</v>
      </c>
      <c r="B165" t="s">
        <v>7625</v>
      </c>
      <c r="C165">
        <v>101035</v>
      </c>
      <c r="D165" t="s">
        <v>807</v>
      </c>
      <c r="E165" t="s">
        <v>3217</v>
      </c>
      <c r="F165">
        <v>8699181</v>
      </c>
      <c r="G165">
        <v>17787.326172000001</v>
      </c>
      <c r="H165">
        <v>165</v>
      </c>
      <c r="I165">
        <v>308</v>
      </c>
      <c r="J165">
        <v>35316</v>
      </c>
      <c r="K165" t="s">
        <v>807</v>
      </c>
      <c r="L165">
        <v>12</v>
      </c>
      <c r="M165">
        <v>12</v>
      </c>
      <c r="N165">
        <v>35316</v>
      </c>
      <c r="O165">
        <v>165</v>
      </c>
      <c r="P165" t="s">
        <v>3215</v>
      </c>
      <c r="Q165">
        <v>2.7</v>
      </c>
      <c r="R165">
        <v>154.43</v>
      </c>
      <c r="S165">
        <v>0.5</v>
      </c>
      <c r="T165">
        <v>28</v>
      </c>
      <c r="U165">
        <v>8699180.6495200004</v>
      </c>
      <c r="V165">
        <v>17787.324830000001</v>
      </c>
      <c r="W165">
        <v>164</v>
      </c>
      <c r="X165">
        <v>0</v>
      </c>
      <c r="Y165">
        <v>163</v>
      </c>
      <c r="Z165" t="s">
        <v>6966</v>
      </c>
      <c r="AA165" t="s">
        <v>6966</v>
      </c>
      <c r="AB165" t="s">
        <v>6966</v>
      </c>
      <c r="AC165" t="s">
        <v>6966</v>
      </c>
      <c r="AD165" t="s">
        <v>6966</v>
      </c>
      <c r="AE165" t="s">
        <v>6966</v>
      </c>
      <c r="AF165" t="s">
        <v>6966</v>
      </c>
      <c r="AG165" t="s">
        <v>6966</v>
      </c>
      <c r="AH165" t="s">
        <v>6966</v>
      </c>
      <c r="AI165" t="s">
        <v>6966</v>
      </c>
      <c r="AJ165" t="s">
        <v>6966</v>
      </c>
      <c r="AK165" t="s">
        <v>6966</v>
      </c>
      <c r="AL165" t="s">
        <v>6966</v>
      </c>
      <c r="AM165" t="s">
        <v>6966</v>
      </c>
      <c r="AN165" t="s">
        <v>6966</v>
      </c>
      <c r="AO165" t="s">
        <v>6966</v>
      </c>
      <c r="AP165" t="s">
        <v>6966</v>
      </c>
      <c r="AQ165" t="s">
        <v>6966</v>
      </c>
      <c r="AR165" t="s">
        <v>6966</v>
      </c>
      <c r="AS165" t="s">
        <v>6966</v>
      </c>
      <c r="AT165" t="s">
        <v>6966</v>
      </c>
      <c r="AU165" t="s">
        <v>6966</v>
      </c>
      <c r="AV165" t="s">
        <v>6966</v>
      </c>
      <c r="AW165" t="s">
        <v>6966</v>
      </c>
      <c r="AX165" t="s">
        <v>6966</v>
      </c>
      <c r="AY165" t="s">
        <v>6966</v>
      </c>
      <c r="AZ165">
        <v>0.17716000000000001</v>
      </c>
      <c r="BA165">
        <v>8.5300000000000003E-4</v>
      </c>
    </row>
    <row r="166" spans="1:53" x14ac:dyDescent="0.25">
      <c r="A166">
        <v>164</v>
      </c>
      <c r="B166" t="s">
        <v>7625</v>
      </c>
      <c r="C166">
        <v>704037</v>
      </c>
      <c r="D166" t="s">
        <v>959</v>
      </c>
      <c r="E166" t="s">
        <v>7685</v>
      </c>
      <c r="F166">
        <v>7008081</v>
      </c>
      <c r="G166">
        <v>12320.796875</v>
      </c>
      <c r="H166">
        <v>166</v>
      </c>
      <c r="I166">
        <v>309</v>
      </c>
      <c r="J166">
        <v>37381</v>
      </c>
      <c r="K166" t="s">
        <v>2321</v>
      </c>
      <c r="L166">
        <v>14</v>
      </c>
      <c r="M166">
        <v>14</v>
      </c>
      <c r="N166">
        <v>37381</v>
      </c>
      <c r="O166">
        <v>166</v>
      </c>
      <c r="P166" t="s">
        <v>3215</v>
      </c>
      <c r="Q166">
        <v>2.2999999999999998</v>
      </c>
      <c r="R166">
        <v>121</v>
      </c>
      <c r="S166">
        <v>0.41</v>
      </c>
      <c r="T166">
        <v>21</v>
      </c>
      <c r="U166">
        <v>7008080.8407199997</v>
      </c>
      <c r="V166">
        <v>12320.797225</v>
      </c>
      <c r="W166">
        <v>165</v>
      </c>
      <c r="X166">
        <v>0</v>
      </c>
      <c r="Y166">
        <v>164</v>
      </c>
      <c r="Z166" t="s">
        <v>6966</v>
      </c>
      <c r="AA166" t="s">
        <v>6966</v>
      </c>
      <c r="AB166" t="s">
        <v>6966</v>
      </c>
      <c r="AC166" t="s">
        <v>6966</v>
      </c>
      <c r="AD166" t="s">
        <v>6966</v>
      </c>
      <c r="AE166" t="s">
        <v>6966</v>
      </c>
      <c r="AF166" t="s">
        <v>6966</v>
      </c>
      <c r="AG166" t="s">
        <v>6966</v>
      </c>
      <c r="AH166" t="s">
        <v>6966</v>
      </c>
      <c r="AI166" t="s">
        <v>6966</v>
      </c>
      <c r="AJ166" t="s">
        <v>6966</v>
      </c>
      <c r="AK166" t="s">
        <v>6966</v>
      </c>
      <c r="AL166" t="s">
        <v>6966</v>
      </c>
      <c r="AM166" t="s">
        <v>6966</v>
      </c>
      <c r="AN166" t="s">
        <v>6966</v>
      </c>
      <c r="AO166" t="s">
        <v>6966</v>
      </c>
      <c r="AP166" t="s">
        <v>6966</v>
      </c>
      <c r="AQ166" t="s">
        <v>6966</v>
      </c>
      <c r="AR166" t="s">
        <v>6966</v>
      </c>
      <c r="AS166" t="s">
        <v>6966</v>
      </c>
      <c r="AT166" t="s">
        <v>6966</v>
      </c>
      <c r="AU166" t="s">
        <v>6966</v>
      </c>
      <c r="AV166" t="s">
        <v>6966</v>
      </c>
      <c r="AW166" t="s">
        <v>6966</v>
      </c>
      <c r="AX166" t="s">
        <v>6966</v>
      </c>
      <c r="AY166" t="s">
        <v>6966</v>
      </c>
      <c r="AZ166">
        <v>0.121517</v>
      </c>
      <c r="BA166">
        <v>6.87E-4</v>
      </c>
    </row>
    <row r="167" spans="1:53" x14ac:dyDescent="0.25">
      <c r="A167">
        <v>165</v>
      </c>
      <c r="B167" t="s">
        <v>7625</v>
      </c>
      <c r="C167">
        <v>101077</v>
      </c>
      <c r="D167" t="s">
        <v>823</v>
      </c>
      <c r="E167" t="s">
        <v>3217</v>
      </c>
      <c r="F167">
        <v>6194012</v>
      </c>
      <c r="G167">
        <v>18087.792968999998</v>
      </c>
      <c r="H167">
        <v>167</v>
      </c>
      <c r="I167">
        <v>310</v>
      </c>
      <c r="J167">
        <v>35344</v>
      </c>
      <c r="K167" t="s">
        <v>2217</v>
      </c>
      <c r="L167">
        <v>12</v>
      </c>
      <c r="M167">
        <v>12</v>
      </c>
      <c r="N167">
        <v>35344</v>
      </c>
      <c r="O167">
        <v>167</v>
      </c>
      <c r="P167" t="s">
        <v>3215</v>
      </c>
      <c r="Q167">
        <v>4.2</v>
      </c>
      <c r="R167">
        <v>148.30000000000001</v>
      </c>
      <c r="S167">
        <v>0.72</v>
      </c>
      <c r="T167">
        <v>26</v>
      </c>
      <c r="U167">
        <v>6194011.88313</v>
      </c>
      <c r="V167">
        <v>18087.791507000002</v>
      </c>
      <c r="W167">
        <v>166</v>
      </c>
      <c r="X167">
        <v>0</v>
      </c>
      <c r="Y167">
        <v>165</v>
      </c>
      <c r="Z167" t="s">
        <v>6966</v>
      </c>
      <c r="AA167" t="s">
        <v>6966</v>
      </c>
      <c r="AB167" t="s">
        <v>6966</v>
      </c>
      <c r="AC167" t="s">
        <v>6966</v>
      </c>
      <c r="AD167" t="s">
        <v>6966</v>
      </c>
      <c r="AE167" t="s">
        <v>6966</v>
      </c>
      <c r="AF167" t="s">
        <v>6966</v>
      </c>
      <c r="AG167" t="s">
        <v>6966</v>
      </c>
      <c r="AH167" t="s">
        <v>6966</v>
      </c>
      <c r="AI167" t="s">
        <v>6966</v>
      </c>
      <c r="AJ167" t="s">
        <v>6966</v>
      </c>
      <c r="AK167" t="s">
        <v>6966</v>
      </c>
      <c r="AL167" t="s">
        <v>6966</v>
      </c>
      <c r="AM167" t="s">
        <v>6966</v>
      </c>
      <c r="AN167" t="s">
        <v>6966</v>
      </c>
      <c r="AO167" t="s">
        <v>6966</v>
      </c>
      <c r="AP167" t="s">
        <v>6966</v>
      </c>
      <c r="AQ167" t="s">
        <v>6966</v>
      </c>
      <c r="AR167" t="s">
        <v>6966</v>
      </c>
      <c r="AS167" t="s">
        <v>6966</v>
      </c>
      <c r="AT167" t="s">
        <v>6966</v>
      </c>
      <c r="AU167" t="s">
        <v>6966</v>
      </c>
      <c r="AV167" t="s">
        <v>6966</v>
      </c>
      <c r="AW167" t="s">
        <v>6966</v>
      </c>
      <c r="AX167" t="s">
        <v>6966</v>
      </c>
      <c r="AY167" t="s">
        <v>6966</v>
      </c>
      <c r="AZ167">
        <v>0.17612700000000001</v>
      </c>
      <c r="BA167">
        <v>6.0800000000000003E-4</v>
      </c>
    </row>
    <row r="168" spans="1:53" x14ac:dyDescent="0.25">
      <c r="A168">
        <v>166</v>
      </c>
      <c r="B168" t="s">
        <v>7625</v>
      </c>
      <c r="C168">
        <v>202002</v>
      </c>
      <c r="D168" t="s">
        <v>1563</v>
      </c>
      <c r="E168" t="s">
        <v>1152</v>
      </c>
      <c r="F168">
        <v>192585.46875</v>
      </c>
      <c r="G168">
        <v>4284.2426759999998</v>
      </c>
      <c r="H168">
        <v>168</v>
      </c>
      <c r="I168">
        <v>311</v>
      </c>
      <c r="J168">
        <v>0</v>
      </c>
      <c r="K168" t="s">
        <v>1563</v>
      </c>
      <c r="L168">
        <v>18</v>
      </c>
      <c r="M168">
        <v>18</v>
      </c>
      <c r="N168">
        <v>0</v>
      </c>
      <c r="O168">
        <v>1627</v>
      </c>
      <c r="P168" t="s">
        <v>3214</v>
      </c>
      <c r="Q168">
        <v>0</v>
      </c>
      <c r="R168">
        <v>0</v>
      </c>
      <c r="S168">
        <v>0</v>
      </c>
      <c r="T168">
        <v>0</v>
      </c>
      <c r="U168">
        <v>192585.45871599999</v>
      </c>
      <c r="V168">
        <v>4284.2426649999998</v>
      </c>
      <c r="W168">
        <v>167</v>
      </c>
      <c r="X168">
        <v>0</v>
      </c>
      <c r="Y168">
        <v>166</v>
      </c>
      <c r="Z168" t="s">
        <v>6966</v>
      </c>
      <c r="AA168" t="s">
        <v>6966</v>
      </c>
      <c r="AB168" t="s">
        <v>6966</v>
      </c>
      <c r="AC168" t="s">
        <v>6966</v>
      </c>
      <c r="AD168" t="s">
        <v>6966</v>
      </c>
      <c r="AE168" t="s">
        <v>6966</v>
      </c>
      <c r="AF168" t="s">
        <v>6966</v>
      </c>
      <c r="AG168" t="s">
        <v>6966</v>
      </c>
      <c r="AH168" t="s">
        <v>6966</v>
      </c>
      <c r="AI168" t="s">
        <v>6966</v>
      </c>
      <c r="AJ168" t="s">
        <v>6966</v>
      </c>
      <c r="AK168" t="s">
        <v>6966</v>
      </c>
      <c r="AL168" t="s">
        <v>6966</v>
      </c>
      <c r="AM168" t="s">
        <v>6966</v>
      </c>
      <c r="AN168" t="s">
        <v>6966</v>
      </c>
      <c r="AO168" t="s">
        <v>6966</v>
      </c>
      <c r="AP168" t="s">
        <v>6966</v>
      </c>
      <c r="AQ168" t="s">
        <v>6966</v>
      </c>
      <c r="AR168" t="s">
        <v>6966</v>
      </c>
      <c r="AS168" t="s">
        <v>6966</v>
      </c>
      <c r="AT168" t="s">
        <v>6966</v>
      </c>
      <c r="AU168" t="s">
        <v>6966</v>
      </c>
      <c r="AV168" t="s">
        <v>6966</v>
      </c>
      <c r="AW168" t="s">
        <v>6966</v>
      </c>
      <c r="AX168" t="s">
        <v>6966</v>
      </c>
      <c r="AY168" t="s">
        <v>6966</v>
      </c>
      <c r="AZ168">
        <v>4.3603999999999997E-2</v>
      </c>
      <c r="BA168">
        <v>1.9000000000000001E-5</v>
      </c>
    </row>
    <row r="169" spans="1:53" x14ac:dyDescent="0.25">
      <c r="A169">
        <v>167</v>
      </c>
      <c r="B169" t="s">
        <v>7625</v>
      </c>
      <c r="C169">
        <v>101027</v>
      </c>
      <c r="D169" t="s">
        <v>811</v>
      </c>
      <c r="E169" t="s">
        <v>3217</v>
      </c>
      <c r="F169">
        <v>1166391.25</v>
      </c>
      <c r="G169">
        <v>7097.8691410000001</v>
      </c>
      <c r="H169">
        <v>169</v>
      </c>
      <c r="I169">
        <v>312</v>
      </c>
      <c r="J169">
        <v>35321</v>
      </c>
      <c r="K169" t="s">
        <v>811</v>
      </c>
      <c r="L169">
        <v>12</v>
      </c>
      <c r="M169">
        <v>12</v>
      </c>
      <c r="N169">
        <v>35321</v>
      </c>
      <c r="O169">
        <v>168</v>
      </c>
      <c r="P169" t="s">
        <v>3215</v>
      </c>
      <c r="Q169">
        <v>6.9</v>
      </c>
      <c r="R169">
        <v>427.91</v>
      </c>
      <c r="S169">
        <v>1.46</v>
      </c>
      <c r="T169">
        <v>90</v>
      </c>
      <c r="U169">
        <v>1166391.23483</v>
      </c>
      <c r="V169">
        <v>7097.8690029999998</v>
      </c>
      <c r="W169">
        <v>168</v>
      </c>
      <c r="X169">
        <v>0</v>
      </c>
      <c r="Y169">
        <v>167</v>
      </c>
      <c r="Z169" t="s">
        <v>6966</v>
      </c>
      <c r="AA169" t="s">
        <v>6966</v>
      </c>
      <c r="AB169" t="s">
        <v>6966</v>
      </c>
      <c r="AC169" t="s">
        <v>6966</v>
      </c>
      <c r="AD169" t="s">
        <v>6966</v>
      </c>
      <c r="AE169" t="s">
        <v>6966</v>
      </c>
      <c r="AF169" t="s">
        <v>6966</v>
      </c>
      <c r="AG169" t="s">
        <v>6966</v>
      </c>
      <c r="AH169" t="s">
        <v>6966</v>
      </c>
      <c r="AI169" t="s">
        <v>6966</v>
      </c>
      <c r="AJ169" t="s">
        <v>6966</v>
      </c>
      <c r="AK169" t="s">
        <v>6966</v>
      </c>
      <c r="AL169" t="s">
        <v>6966</v>
      </c>
      <c r="AM169" t="s">
        <v>6966</v>
      </c>
      <c r="AN169" t="s">
        <v>6966</v>
      </c>
      <c r="AO169" t="s">
        <v>6966</v>
      </c>
      <c r="AP169" t="s">
        <v>6966</v>
      </c>
      <c r="AQ169" t="s">
        <v>6966</v>
      </c>
      <c r="AR169" t="s">
        <v>6966</v>
      </c>
      <c r="AS169" t="s">
        <v>6966</v>
      </c>
      <c r="AT169" t="s">
        <v>6966</v>
      </c>
      <c r="AU169" t="s">
        <v>6966</v>
      </c>
      <c r="AV169" t="s">
        <v>6966</v>
      </c>
      <c r="AW169" t="s">
        <v>6966</v>
      </c>
      <c r="AX169" t="s">
        <v>6966</v>
      </c>
      <c r="AY169" t="s">
        <v>6966</v>
      </c>
      <c r="AZ169">
        <v>7.1229000000000001E-2</v>
      </c>
      <c r="BA169">
        <v>1.1400000000000001E-4</v>
      </c>
    </row>
    <row r="170" spans="1:53" x14ac:dyDescent="0.25">
      <c r="A170">
        <v>168</v>
      </c>
      <c r="B170" t="s">
        <v>7625</v>
      </c>
      <c r="C170">
        <v>101017</v>
      </c>
      <c r="D170" t="s">
        <v>824</v>
      </c>
      <c r="E170" t="s">
        <v>3217</v>
      </c>
      <c r="F170">
        <v>1034991.8125</v>
      </c>
      <c r="G170">
        <v>5814.8867190000001</v>
      </c>
      <c r="H170">
        <v>170</v>
      </c>
      <c r="I170">
        <v>313</v>
      </c>
      <c r="J170">
        <v>35347</v>
      </c>
      <c r="K170" t="s">
        <v>2218</v>
      </c>
      <c r="L170">
        <v>12</v>
      </c>
      <c r="M170">
        <v>12</v>
      </c>
      <c r="N170">
        <v>35347</v>
      </c>
      <c r="O170">
        <v>169</v>
      </c>
      <c r="P170" t="s">
        <v>3215</v>
      </c>
      <c r="Q170">
        <v>1.7</v>
      </c>
      <c r="R170">
        <v>0</v>
      </c>
      <c r="S170">
        <v>0.27</v>
      </c>
      <c r="T170">
        <v>0</v>
      </c>
      <c r="U170">
        <v>1034991.75868</v>
      </c>
      <c r="V170">
        <v>5814.886313</v>
      </c>
      <c r="W170">
        <v>169</v>
      </c>
      <c r="X170">
        <v>0</v>
      </c>
      <c r="Y170">
        <v>168</v>
      </c>
      <c r="Z170" t="s">
        <v>6966</v>
      </c>
      <c r="AA170" t="s">
        <v>6966</v>
      </c>
      <c r="AB170" t="s">
        <v>6966</v>
      </c>
      <c r="AC170" t="s">
        <v>6966</v>
      </c>
      <c r="AD170" t="s">
        <v>6966</v>
      </c>
      <c r="AE170" t="s">
        <v>6966</v>
      </c>
      <c r="AF170" t="s">
        <v>6966</v>
      </c>
      <c r="AG170" t="s">
        <v>6966</v>
      </c>
      <c r="AH170" t="s">
        <v>6966</v>
      </c>
      <c r="AI170" t="s">
        <v>6966</v>
      </c>
      <c r="AJ170" t="s">
        <v>6966</v>
      </c>
      <c r="AK170" t="s">
        <v>6966</v>
      </c>
      <c r="AL170" t="s">
        <v>6966</v>
      </c>
      <c r="AM170" t="s">
        <v>6966</v>
      </c>
      <c r="AN170" t="s">
        <v>6966</v>
      </c>
      <c r="AO170" t="s">
        <v>6966</v>
      </c>
      <c r="AP170" t="s">
        <v>6966</v>
      </c>
      <c r="AQ170" t="s">
        <v>6966</v>
      </c>
      <c r="AR170" t="s">
        <v>6966</v>
      </c>
      <c r="AS170" t="s">
        <v>6966</v>
      </c>
      <c r="AT170" t="s">
        <v>6966</v>
      </c>
      <c r="AU170" t="s">
        <v>6966</v>
      </c>
      <c r="AV170" t="s">
        <v>6966</v>
      </c>
      <c r="AW170" t="s">
        <v>6966</v>
      </c>
      <c r="AX170" t="s">
        <v>6966</v>
      </c>
      <c r="AY170" t="s">
        <v>6966</v>
      </c>
      <c r="AZ170">
        <v>5.7137E-2</v>
      </c>
      <c r="BA170">
        <v>1.02E-4</v>
      </c>
    </row>
    <row r="171" spans="1:53" x14ac:dyDescent="0.25">
      <c r="A171">
        <v>169</v>
      </c>
      <c r="B171" t="s">
        <v>7625</v>
      </c>
      <c r="C171">
        <v>101058</v>
      </c>
      <c r="D171" t="s">
        <v>815</v>
      </c>
      <c r="E171" t="s">
        <v>3217</v>
      </c>
      <c r="F171">
        <v>8416770</v>
      </c>
      <c r="G171">
        <v>17277.638672000001</v>
      </c>
      <c r="H171">
        <v>171</v>
      </c>
      <c r="I171">
        <v>314</v>
      </c>
      <c r="J171">
        <v>35326</v>
      </c>
      <c r="K171" t="s">
        <v>2211</v>
      </c>
      <c r="L171">
        <v>12</v>
      </c>
      <c r="M171">
        <v>12</v>
      </c>
      <c r="N171">
        <v>35326</v>
      </c>
      <c r="O171">
        <v>170</v>
      </c>
      <c r="P171" t="s">
        <v>3215</v>
      </c>
      <c r="Q171">
        <v>1.5</v>
      </c>
      <c r="R171">
        <v>282.37</v>
      </c>
      <c r="S171">
        <v>0.24</v>
      </c>
      <c r="T171">
        <v>46</v>
      </c>
      <c r="U171">
        <v>8416769.8693899997</v>
      </c>
      <c r="V171">
        <v>17277.639266999999</v>
      </c>
      <c r="W171">
        <v>170</v>
      </c>
      <c r="X171">
        <v>0</v>
      </c>
      <c r="Y171">
        <v>169</v>
      </c>
      <c r="Z171" t="s">
        <v>6966</v>
      </c>
      <c r="AA171" t="s">
        <v>6966</v>
      </c>
      <c r="AB171" t="s">
        <v>6966</v>
      </c>
      <c r="AC171" t="s">
        <v>6966</v>
      </c>
      <c r="AD171" t="s">
        <v>6966</v>
      </c>
      <c r="AE171" t="s">
        <v>6966</v>
      </c>
      <c r="AF171" t="s">
        <v>6966</v>
      </c>
      <c r="AG171" t="s">
        <v>6966</v>
      </c>
      <c r="AH171" t="s">
        <v>6966</v>
      </c>
      <c r="AI171" t="s">
        <v>6966</v>
      </c>
      <c r="AJ171" t="s">
        <v>6966</v>
      </c>
      <c r="AK171" t="s">
        <v>6966</v>
      </c>
      <c r="AL171" t="s">
        <v>6966</v>
      </c>
      <c r="AM171" t="s">
        <v>6966</v>
      </c>
      <c r="AN171" t="s">
        <v>6966</v>
      </c>
      <c r="AO171" t="s">
        <v>6966</v>
      </c>
      <c r="AP171" t="s">
        <v>6966</v>
      </c>
      <c r="AQ171" t="s">
        <v>6966</v>
      </c>
      <c r="AR171" t="s">
        <v>6966</v>
      </c>
      <c r="AS171" t="s">
        <v>6966</v>
      </c>
      <c r="AT171" t="s">
        <v>6966</v>
      </c>
      <c r="AU171" t="s">
        <v>6966</v>
      </c>
      <c r="AV171" t="s">
        <v>6966</v>
      </c>
      <c r="AW171" t="s">
        <v>6966</v>
      </c>
      <c r="AX171" t="s">
        <v>6966</v>
      </c>
      <c r="AY171" t="s">
        <v>6966</v>
      </c>
      <c r="AZ171">
        <v>0.17819699999999999</v>
      </c>
      <c r="BA171">
        <v>8.2600000000000002E-4</v>
      </c>
    </row>
    <row r="172" spans="1:53" x14ac:dyDescent="0.25">
      <c r="A172">
        <v>170</v>
      </c>
      <c r="B172" t="s">
        <v>7625</v>
      </c>
      <c r="C172">
        <v>101110</v>
      </c>
      <c r="D172" t="s">
        <v>825</v>
      </c>
      <c r="E172" t="s">
        <v>3217</v>
      </c>
      <c r="F172">
        <v>0</v>
      </c>
      <c r="G172">
        <v>32734.357422000001</v>
      </c>
      <c r="H172">
        <v>172</v>
      </c>
      <c r="I172">
        <v>316</v>
      </c>
      <c r="J172">
        <v>35351</v>
      </c>
      <c r="K172" t="s">
        <v>2219</v>
      </c>
      <c r="L172">
        <v>12</v>
      </c>
      <c r="M172">
        <v>12</v>
      </c>
      <c r="N172">
        <v>35351</v>
      </c>
      <c r="O172">
        <v>1612</v>
      </c>
      <c r="P172" t="s">
        <v>3215</v>
      </c>
      <c r="Q172">
        <v>1.3</v>
      </c>
      <c r="R172">
        <v>95.04</v>
      </c>
      <c r="S172">
        <v>0.28000000000000003</v>
      </c>
      <c r="T172">
        <v>21</v>
      </c>
      <c r="U172">
        <v>0</v>
      </c>
      <c r="V172">
        <v>32734.357892</v>
      </c>
      <c r="W172">
        <v>171</v>
      </c>
      <c r="X172">
        <v>0</v>
      </c>
      <c r="Y172">
        <v>170</v>
      </c>
      <c r="Z172" t="s">
        <v>6966</v>
      </c>
      <c r="AA172" t="s">
        <v>6966</v>
      </c>
      <c r="AB172" t="s">
        <v>6966</v>
      </c>
      <c r="AC172" t="s">
        <v>6966</v>
      </c>
      <c r="AD172" t="s">
        <v>6966</v>
      </c>
      <c r="AE172" t="s">
        <v>6966</v>
      </c>
      <c r="AF172" t="s">
        <v>6966</v>
      </c>
      <c r="AG172" t="s">
        <v>6966</v>
      </c>
      <c r="AH172" t="s">
        <v>6966</v>
      </c>
      <c r="AI172" t="s">
        <v>6966</v>
      </c>
      <c r="AJ172" t="s">
        <v>6966</v>
      </c>
      <c r="AK172" t="s">
        <v>6966</v>
      </c>
      <c r="AL172" t="s">
        <v>6966</v>
      </c>
      <c r="AM172" t="s">
        <v>6966</v>
      </c>
      <c r="AN172" t="s">
        <v>6966</v>
      </c>
      <c r="AO172" t="s">
        <v>6966</v>
      </c>
      <c r="AP172" t="s">
        <v>6966</v>
      </c>
      <c r="AQ172" t="s">
        <v>6966</v>
      </c>
      <c r="AR172" t="s">
        <v>6966</v>
      </c>
      <c r="AS172" t="s">
        <v>6966</v>
      </c>
      <c r="AT172" t="s">
        <v>6966</v>
      </c>
      <c r="AU172" t="s">
        <v>6966</v>
      </c>
      <c r="AV172" t="s">
        <v>6966</v>
      </c>
      <c r="AW172" t="s">
        <v>6966</v>
      </c>
      <c r="AX172" t="s">
        <v>6966</v>
      </c>
      <c r="AY172" t="s">
        <v>6966</v>
      </c>
      <c r="AZ172">
        <v>0.33333200000000002</v>
      </c>
      <c r="BA172">
        <v>3.7039999999999998E-3</v>
      </c>
    </row>
    <row r="173" spans="1:53" x14ac:dyDescent="0.25">
      <c r="A173">
        <v>171</v>
      </c>
      <c r="B173" t="s">
        <v>7625</v>
      </c>
      <c r="C173">
        <v>202006</v>
      </c>
      <c r="D173" t="s">
        <v>7692</v>
      </c>
      <c r="E173" t="s">
        <v>1152</v>
      </c>
      <c r="F173">
        <v>0</v>
      </c>
      <c r="G173">
        <v>53102.097655999998</v>
      </c>
      <c r="H173">
        <v>173</v>
      </c>
      <c r="I173">
        <v>317</v>
      </c>
      <c r="J173">
        <v>54114</v>
      </c>
      <c r="K173" t="s">
        <v>7692</v>
      </c>
      <c r="L173">
        <v>18</v>
      </c>
      <c r="M173">
        <v>18</v>
      </c>
      <c r="N173">
        <v>54114</v>
      </c>
      <c r="O173">
        <v>1613</v>
      </c>
      <c r="P173" t="s">
        <v>3214</v>
      </c>
      <c r="Q173">
        <v>0</v>
      </c>
      <c r="R173">
        <v>0.48</v>
      </c>
      <c r="S173">
        <v>0.06</v>
      </c>
      <c r="T173">
        <v>22</v>
      </c>
      <c r="U173">
        <v>0</v>
      </c>
      <c r="V173">
        <v>53102.094871000001</v>
      </c>
      <c r="W173">
        <v>172</v>
      </c>
      <c r="X173">
        <v>0</v>
      </c>
      <c r="Y173">
        <v>171</v>
      </c>
      <c r="Z173" t="s">
        <v>6966</v>
      </c>
      <c r="AA173" t="s">
        <v>6966</v>
      </c>
      <c r="AB173" t="s">
        <v>6966</v>
      </c>
      <c r="AC173" t="s">
        <v>6966</v>
      </c>
      <c r="AD173" t="s">
        <v>6966</v>
      </c>
      <c r="AE173" t="s">
        <v>6966</v>
      </c>
      <c r="AF173" t="s">
        <v>6966</v>
      </c>
      <c r="AG173" t="s">
        <v>6966</v>
      </c>
      <c r="AH173" t="s">
        <v>6966</v>
      </c>
      <c r="AI173" t="s">
        <v>6966</v>
      </c>
      <c r="AJ173" t="s">
        <v>6966</v>
      </c>
      <c r="AK173" t="s">
        <v>6966</v>
      </c>
      <c r="AL173" t="s">
        <v>6966</v>
      </c>
      <c r="AM173" t="s">
        <v>6966</v>
      </c>
      <c r="AN173" t="s">
        <v>6966</v>
      </c>
      <c r="AO173" t="s">
        <v>6966</v>
      </c>
      <c r="AP173" t="s">
        <v>6966</v>
      </c>
      <c r="AQ173" t="s">
        <v>6966</v>
      </c>
      <c r="AR173" t="s">
        <v>6966</v>
      </c>
      <c r="AS173" t="s">
        <v>6966</v>
      </c>
      <c r="AT173" t="s">
        <v>6966</v>
      </c>
      <c r="AU173" t="s">
        <v>6966</v>
      </c>
      <c r="AV173" t="s">
        <v>6966</v>
      </c>
      <c r="AW173" t="s">
        <v>6966</v>
      </c>
      <c r="AX173" t="s">
        <v>6966</v>
      </c>
      <c r="AY173" t="s">
        <v>6966</v>
      </c>
      <c r="AZ173">
        <v>0.52547600000000005</v>
      </c>
      <c r="BA173">
        <v>5.143E-3</v>
      </c>
    </row>
    <row r="174" spans="1:53" x14ac:dyDescent="0.25">
      <c r="A174">
        <v>172</v>
      </c>
      <c r="B174" t="s">
        <v>7625</v>
      </c>
      <c r="C174">
        <v>101024</v>
      </c>
      <c r="D174" t="s">
        <v>821</v>
      </c>
      <c r="E174" t="s">
        <v>3217</v>
      </c>
      <c r="F174">
        <v>470426.21875</v>
      </c>
      <c r="G174">
        <v>3520.1508789999998</v>
      </c>
      <c r="H174">
        <v>174</v>
      </c>
      <c r="I174">
        <v>319</v>
      </c>
      <c r="J174">
        <v>35337</v>
      </c>
      <c r="K174" t="s">
        <v>821</v>
      </c>
      <c r="L174">
        <v>12</v>
      </c>
      <c r="M174">
        <v>12</v>
      </c>
      <c r="N174">
        <v>35337</v>
      </c>
      <c r="O174">
        <v>171</v>
      </c>
      <c r="P174" t="s">
        <v>3215</v>
      </c>
      <c r="Q174">
        <v>18.3</v>
      </c>
      <c r="R174">
        <v>272.61</v>
      </c>
      <c r="S174">
        <v>3.21</v>
      </c>
      <c r="T174">
        <v>48</v>
      </c>
      <c r="U174">
        <v>470426.19025500002</v>
      </c>
      <c r="V174">
        <v>3520.1505120000002</v>
      </c>
      <c r="W174">
        <v>173</v>
      </c>
      <c r="X174">
        <v>0</v>
      </c>
      <c r="Y174">
        <v>172</v>
      </c>
      <c r="Z174" t="s">
        <v>6966</v>
      </c>
      <c r="AA174" t="s">
        <v>6966</v>
      </c>
      <c r="AB174" t="s">
        <v>6966</v>
      </c>
      <c r="AC174" t="s">
        <v>6966</v>
      </c>
      <c r="AD174" t="s">
        <v>6966</v>
      </c>
      <c r="AE174" t="s">
        <v>6966</v>
      </c>
      <c r="AF174" t="s">
        <v>6966</v>
      </c>
      <c r="AG174" t="s">
        <v>6966</v>
      </c>
      <c r="AH174" t="s">
        <v>6966</v>
      </c>
      <c r="AI174" t="s">
        <v>6966</v>
      </c>
      <c r="AJ174" t="s">
        <v>6966</v>
      </c>
      <c r="AK174" t="s">
        <v>6966</v>
      </c>
      <c r="AL174" t="s">
        <v>6966</v>
      </c>
      <c r="AM174" t="s">
        <v>6966</v>
      </c>
      <c r="AN174" t="s">
        <v>6966</v>
      </c>
      <c r="AO174" t="s">
        <v>6966</v>
      </c>
      <c r="AP174" t="s">
        <v>6966</v>
      </c>
      <c r="AQ174" t="s">
        <v>6966</v>
      </c>
      <c r="AR174" t="s">
        <v>6966</v>
      </c>
      <c r="AS174" t="s">
        <v>6966</v>
      </c>
      <c r="AT174" t="s">
        <v>6966</v>
      </c>
      <c r="AU174" t="s">
        <v>6966</v>
      </c>
      <c r="AV174" t="s">
        <v>6966</v>
      </c>
      <c r="AW174" t="s">
        <v>6966</v>
      </c>
      <c r="AX174" t="s">
        <v>6966</v>
      </c>
      <c r="AY174" t="s">
        <v>6966</v>
      </c>
      <c r="AZ174">
        <v>3.4945999999999998E-2</v>
      </c>
      <c r="BA174">
        <v>4.6E-5</v>
      </c>
    </row>
    <row r="175" spans="1:53" x14ac:dyDescent="0.25">
      <c r="A175">
        <v>173</v>
      </c>
      <c r="B175" t="s">
        <v>7625</v>
      </c>
      <c r="C175">
        <v>101146</v>
      </c>
      <c r="D175" t="s">
        <v>813</v>
      </c>
      <c r="E175" t="s">
        <v>3217</v>
      </c>
      <c r="F175">
        <v>8026785</v>
      </c>
      <c r="G175">
        <v>15799.366211</v>
      </c>
      <c r="H175">
        <v>175</v>
      </c>
      <c r="I175">
        <v>320</v>
      </c>
      <c r="J175">
        <v>35324</v>
      </c>
      <c r="K175" t="s">
        <v>7693</v>
      </c>
      <c r="L175">
        <v>12</v>
      </c>
      <c r="M175">
        <v>12</v>
      </c>
      <c r="N175">
        <v>35324</v>
      </c>
      <c r="O175">
        <v>172</v>
      </c>
      <c r="P175" t="s">
        <v>3215</v>
      </c>
      <c r="Q175">
        <v>1.5</v>
      </c>
      <c r="R175">
        <v>84.21</v>
      </c>
      <c r="S175">
        <v>0.26</v>
      </c>
      <c r="T175">
        <v>15</v>
      </c>
      <c r="U175">
        <v>8026785.1904999996</v>
      </c>
      <c r="V175">
        <v>15799.36563</v>
      </c>
      <c r="W175">
        <v>174</v>
      </c>
      <c r="X175">
        <v>0</v>
      </c>
      <c r="Y175">
        <v>173</v>
      </c>
      <c r="Z175" t="s">
        <v>6966</v>
      </c>
      <c r="AA175" t="s">
        <v>6966</v>
      </c>
      <c r="AB175" t="s">
        <v>6966</v>
      </c>
      <c r="AC175" t="s">
        <v>6966</v>
      </c>
      <c r="AD175" t="s">
        <v>6966</v>
      </c>
      <c r="AE175" t="s">
        <v>6966</v>
      </c>
      <c r="AF175" t="s">
        <v>6966</v>
      </c>
      <c r="AG175" t="s">
        <v>6966</v>
      </c>
      <c r="AH175" t="s">
        <v>6966</v>
      </c>
      <c r="AI175" t="s">
        <v>6966</v>
      </c>
      <c r="AJ175" t="s">
        <v>6966</v>
      </c>
      <c r="AK175" t="s">
        <v>6966</v>
      </c>
      <c r="AL175" t="s">
        <v>6966</v>
      </c>
      <c r="AM175" t="s">
        <v>6966</v>
      </c>
      <c r="AN175" t="s">
        <v>6966</v>
      </c>
      <c r="AO175" t="s">
        <v>6966</v>
      </c>
      <c r="AP175" t="s">
        <v>6966</v>
      </c>
      <c r="AQ175" t="s">
        <v>6966</v>
      </c>
      <c r="AR175" t="s">
        <v>6966</v>
      </c>
      <c r="AS175" t="s">
        <v>6966</v>
      </c>
      <c r="AT175" t="s">
        <v>6966</v>
      </c>
      <c r="AU175" t="s">
        <v>6966</v>
      </c>
      <c r="AV175" t="s">
        <v>6966</v>
      </c>
      <c r="AW175" t="s">
        <v>6966</v>
      </c>
      <c r="AX175" t="s">
        <v>6966</v>
      </c>
      <c r="AY175" t="s">
        <v>6966</v>
      </c>
      <c r="AZ175">
        <v>0.15967999999999999</v>
      </c>
      <c r="BA175">
        <v>7.8700000000000005E-4</v>
      </c>
    </row>
    <row r="176" spans="1:53" x14ac:dyDescent="0.25">
      <c r="A176">
        <v>174</v>
      </c>
      <c r="B176" t="s">
        <v>7625</v>
      </c>
      <c r="C176">
        <v>704014</v>
      </c>
      <c r="D176" t="s">
        <v>7694</v>
      </c>
      <c r="E176" t="s">
        <v>7685</v>
      </c>
      <c r="F176">
        <v>2109294</v>
      </c>
      <c r="G176">
        <v>7842.9570309999999</v>
      </c>
      <c r="H176">
        <v>176</v>
      </c>
      <c r="I176">
        <v>322</v>
      </c>
      <c r="J176">
        <v>37251</v>
      </c>
      <c r="K176" t="s">
        <v>7695</v>
      </c>
      <c r="L176">
        <v>14</v>
      </c>
      <c r="M176">
        <v>14</v>
      </c>
      <c r="N176">
        <v>37251</v>
      </c>
      <c r="O176">
        <v>174</v>
      </c>
      <c r="P176" t="s">
        <v>3215</v>
      </c>
      <c r="Q176">
        <v>2.6</v>
      </c>
      <c r="R176">
        <v>36.549999999999997</v>
      </c>
      <c r="S176">
        <v>0.47</v>
      </c>
      <c r="T176">
        <v>115</v>
      </c>
      <c r="U176">
        <v>2109294.0564100002</v>
      </c>
      <c r="V176">
        <v>7842.9568900000004</v>
      </c>
      <c r="W176">
        <v>175</v>
      </c>
      <c r="X176">
        <v>0</v>
      </c>
      <c r="Y176">
        <v>174</v>
      </c>
      <c r="Z176" t="s">
        <v>6966</v>
      </c>
      <c r="AA176" t="s">
        <v>6966</v>
      </c>
      <c r="AB176" t="s">
        <v>6966</v>
      </c>
      <c r="AC176" t="s">
        <v>6966</v>
      </c>
      <c r="AD176" t="s">
        <v>6966</v>
      </c>
      <c r="AE176" t="s">
        <v>6966</v>
      </c>
      <c r="AF176" t="s">
        <v>6966</v>
      </c>
      <c r="AG176" t="s">
        <v>6966</v>
      </c>
      <c r="AH176" t="s">
        <v>6966</v>
      </c>
      <c r="AI176" t="s">
        <v>6966</v>
      </c>
      <c r="AJ176" t="s">
        <v>6966</v>
      </c>
      <c r="AK176" t="s">
        <v>6966</v>
      </c>
      <c r="AL176" t="s">
        <v>6966</v>
      </c>
      <c r="AM176" t="s">
        <v>6966</v>
      </c>
      <c r="AN176" t="s">
        <v>6966</v>
      </c>
      <c r="AO176" t="s">
        <v>6966</v>
      </c>
      <c r="AP176" t="s">
        <v>6966</v>
      </c>
      <c r="AQ176" t="s">
        <v>6966</v>
      </c>
      <c r="AR176" t="s">
        <v>6966</v>
      </c>
      <c r="AS176" t="s">
        <v>6966</v>
      </c>
      <c r="AT176" t="s">
        <v>6966</v>
      </c>
      <c r="AU176" t="s">
        <v>6966</v>
      </c>
      <c r="AV176" t="s">
        <v>6966</v>
      </c>
      <c r="AW176" t="s">
        <v>6966</v>
      </c>
      <c r="AX176" t="s">
        <v>6966</v>
      </c>
      <c r="AY176" t="s">
        <v>6966</v>
      </c>
      <c r="AZ176">
        <v>7.7373999999999998E-2</v>
      </c>
      <c r="BA176">
        <v>2.0699999999999999E-4</v>
      </c>
    </row>
    <row r="177" spans="1:53" x14ac:dyDescent="0.25">
      <c r="A177">
        <v>175</v>
      </c>
      <c r="B177" t="s">
        <v>7625</v>
      </c>
      <c r="C177">
        <v>101140</v>
      </c>
      <c r="D177" t="s">
        <v>816</v>
      </c>
      <c r="E177" t="s">
        <v>3217</v>
      </c>
      <c r="F177">
        <v>1138612.5</v>
      </c>
      <c r="G177">
        <v>5994.6186520000001</v>
      </c>
      <c r="H177">
        <v>177</v>
      </c>
      <c r="I177">
        <v>321</v>
      </c>
      <c r="J177">
        <v>35327</v>
      </c>
      <c r="K177" t="s">
        <v>2212</v>
      </c>
      <c r="L177">
        <v>12</v>
      </c>
      <c r="M177">
        <v>12</v>
      </c>
      <c r="N177">
        <v>35327</v>
      </c>
      <c r="O177">
        <v>173</v>
      </c>
      <c r="P177" t="s">
        <v>3215</v>
      </c>
      <c r="Q177">
        <v>0.3</v>
      </c>
      <c r="R177">
        <v>39.14</v>
      </c>
      <c r="S177">
        <v>0.05</v>
      </c>
      <c r="T177">
        <v>6</v>
      </c>
      <c r="U177">
        <v>1138612.48517</v>
      </c>
      <c r="V177">
        <v>5994.6177459999999</v>
      </c>
      <c r="W177">
        <v>176</v>
      </c>
      <c r="X177">
        <v>0</v>
      </c>
      <c r="Y177">
        <v>175</v>
      </c>
      <c r="Z177" t="s">
        <v>6966</v>
      </c>
      <c r="AA177" t="s">
        <v>6966</v>
      </c>
      <c r="AB177" t="s">
        <v>6966</v>
      </c>
      <c r="AC177" t="s">
        <v>6966</v>
      </c>
      <c r="AD177" t="s">
        <v>6966</v>
      </c>
      <c r="AE177" t="s">
        <v>6966</v>
      </c>
      <c r="AF177" t="s">
        <v>6966</v>
      </c>
      <c r="AG177" t="s">
        <v>6966</v>
      </c>
      <c r="AH177" t="s">
        <v>6966</v>
      </c>
      <c r="AI177" t="s">
        <v>6966</v>
      </c>
      <c r="AJ177" t="s">
        <v>6966</v>
      </c>
      <c r="AK177" t="s">
        <v>6966</v>
      </c>
      <c r="AL177" t="s">
        <v>6966</v>
      </c>
      <c r="AM177" t="s">
        <v>6966</v>
      </c>
      <c r="AN177" t="s">
        <v>6966</v>
      </c>
      <c r="AO177" t="s">
        <v>6966</v>
      </c>
      <c r="AP177" t="s">
        <v>6966</v>
      </c>
      <c r="AQ177" t="s">
        <v>6966</v>
      </c>
      <c r="AR177" t="s">
        <v>6966</v>
      </c>
      <c r="AS177" t="s">
        <v>6966</v>
      </c>
      <c r="AT177" t="s">
        <v>6966</v>
      </c>
      <c r="AU177" t="s">
        <v>6966</v>
      </c>
      <c r="AV177" t="s">
        <v>6966</v>
      </c>
      <c r="AW177" t="s">
        <v>6966</v>
      </c>
      <c r="AX177" t="s">
        <v>6966</v>
      </c>
      <c r="AY177" t="s">
        <v>6966</v>
      </c>
      <c r="AZ177">
        <v>6.0134E-2</v>
      </c>
      <c r="BA177">
        <v>1.12E-4</v>
      </c>
    </row>
    <row r="178" spans="1:53" x14ac:dyDescent="0.25">
      <c r="A178">
        <v>176</v>
      </c>
      <c r="B178" t="s">
        <v>7625</v>
      </c>
      <c r="C178">
        <v>704043</v>
      </c>
      <c r="D178" t="s">
        <v>914</v>
      </c>
      <c r="E178" t="s">
        <v>7685</v>
      </c>
      <c r="F178">
        <v>3595105.25</v>
      </c>
      <c r="G178">
        <v>11171.901367</v>
      </c>
      <c r="H178">
        <v>178</v>
      </c>
      <c r="I178">
        <v>323</v>
      </c>
      <c r="J178">
        <v>37261</v>
      </c>
      <c r="K178" t="s">
        <v>914</v>
      </c>
      <c r="L178">
        <v>14</v>
      </c>
      <c r="M178">
        <v>14</v>
      </c>
      <c r="N178">
        <v>37261</v>
      </c>
      <c r="O178">
        <v>175</v>
      </c>
      <c r="P178" t="s">
        <v>3215</v>
      </c>
      <c r="Q178">
        <v>5.4</v>
      </c>
      <c r="R178">
        <v>82.97</v>
      </c>
      <c r="S178">
        <v>1.02</v>
      </c>
      <c r="T178">
        <v>16</v>
      </c>
      <c r="U178">
        <v>3595105.29116</v>
      </c>
      <c r="V178">
        <v>11171.900928999999</v>
      </c>
      <c r="W178">
        <v>177</v>
      </c>
      <c r="X178">
        <v>2</v>
      </c>
      <c r="Y178">
        <v>176</v>
      </c>
      <c r="Z178">
        <v>63168</v>
      </c>
      <c r="AA178" s="76">
        <v>45805</v>
      </c>
      <c r="AB178">
        <v>2025</v>
      </c>
      <c r="AC178" t="s">
        <v>7215</v>
      </c>
      <c r="AD178">
        <v>28</v>
      </c>
      <c r="AE178" t="s">
        <v>7287</v>
      </c>
      <c r="AF178" t="s">
        <v>3215</v>
      </c>
      <c r="AG178" t="s">
        <v>3228</v>
      </c>
      <c r="AH178" t="s">
        <v>914</v>
      </c>
      <c r="AI178" t="s">
        <v>7288</v>
      </c>
      <c r="AJ178" t="s">
        <v>6966</v>
      </c>
      <c r="AK178">
        <v>34.462339999999998</v>
      </c>
      <c r="AL178">
        <v>35.940579999999997</v>
      </c>
      <c r="AM178" t="s">
        <v>7013</v>
      </c>
      <c r="AN178" t="s">
        <v>6966</v>
      </c>
      <c r="AO178" t="s">
        <v>7008</v>
      </c>
      <c r="AP178" t="s">
        <v>7289</v>
      </c>
      <c r="AQ178" t="s">
        <v>6998</v>
      </c>
      <c r="AR178" t="s">
        <v>6999</v>
      </c>
      <c r="AS178" t="s">
        <v>7000</v>
      </c>
      <c r="AT178">
        <v>0</v>
      </c>
      <c r="AU178">
        <v>0</v>
      </c>
      <c r="AV178" t="s">
        <v>7290</v>
      </c>
      <c r="AW178" t="s">
        <v>7041</v>
      </c>
      <c r="AX178" t="s">
        <v>6966</v>
      </c>
      <c r="AY178" t="s">
        <v>7003</v>
      </c>
      <c r="AZ178">
        <v>0.11509800000000001</v>
      </c>
      <c r="BA178">
        <v>3.5300000000000002E-4</v>
      </c>
    </row>
    <row r="179" spans="1:53" x14ac:dyDescent="0.25">
      <c r="A179">
        <v>177</v>
      </c>
      <c r="B179" t="s">
        <v>7625</v>
      </c>
      <c r="C179">
        <v>101073</v>
      </c>
      <c r="D179" t="s">
        <v>817</v>
      </c>
      <c r="E179" t="s">
        <v>3217</v>
      </c>
      <c r="F179">
        <v>7665945.5</v>
      </c>
      <c r="G179">
        <v>15630.064453000001</v>
      </c>
      <c r="H179">
        <v>179</v>
      </c>
      <c r="I179">
        <v>324</v>
      </c>
      <c r="J179">
        <v>35328</v>
      </c>
      <c r="K179" t="s">
        <v>2213</v>
      </c>
      <c r="L179">
        <v>12</v>
      </c>
      <c r="M179">
        <v>12</v>
      </c>
      <c r="N179">
        <v>35328</v>
      </c>
      <c r="O179">
        <v>176</v>
      </c>
      <c r="P179" t="s">
        <v>3215</v>
      </c>
      <c r="Q179">
        <v>4</v>
      </c>
      <c r="R179">
        <v>254.61</v>
      </c>
      <c r="S179">
        <v>0.75</v>
      </c>
      <c r="T179">
        <v>48</v>
      </c>
      <c r="U179">
        <v>7665945.7432500003</v>
      </c>
      <c r="V179">
        <v>15630.064133</v>
      </c>
      <c r="W179">
        <v>178</v>
      </c>
      <c r="X179">
        <v>0</v>
      </c>
      <c r="Y179">
        <v>177</v>
      </c>
      <c r="Z179" t="s">
        <v>6966</v>
      </c>
      <c r="AA179" t="s">
        <v>6966</v>
      </c>
      <c r="AB179" t="s">
        <v>6966</v>
      </c>
      <c r="AC179" t="s">
        <v>6966</v>
      </c>
      <c r="AD179" t="s">
        <v>6966</v>
      </c>
      <c r="AE179" t="s">
        <v>6966</v>
      </c>
      <c r="AF179" t="s">
        <v>6966</v>
      </c>
      <c r="AG179" t="s">
        <v>6966</v>
      </c>
      <c r="AH179" t="s">
        <v>6966</v>
      </c>
      <c r="AI179" t="s">
        <v>6966</v>
      </c>
      <c r="AJ179" t="s">
        <v>6966</v>
      </c>
      <c r="AK179" t="s">
        <v>6966</v>
      </c>
      <c r="AL179" t="s">
        <v>6966</v>
      </c>
      <c r="AM179" t="s">
        <v>6966</v>
      </c>
      <c r="AN179" t="s">
        <v>6966</v>
      </c>
      <c r="AO179" t="s">
        <v>6966</v>
      </c>
      <c r="AP179" t="s">
        <v>6966</v>
      </c>
      <c r="AQ179" t="s">
        <v>6966</v>
      </c>
      <c r="AR179" t="s">
        <v>6966</v>
      </c>
      <c r="AS179" t="s">
        <v>6966</v>
      </c>
      <c r="AT179" t="s">
        <v>6966</v>
      </c>
      <c r="AU179" t="s">
        <v>6966</v>
      </c>
      <c r="AV179" t="s">
        <v>6966</v>
      </c>
      <c r="AW179" t="s">
        <v>6966</v>
      </c>
      <c r="AX179" t="s">
        <v>6966</v>
      </c>
      <c r="AY179" t="s">
        <v>6966</v>
      </c>
      <c r="AZ179">
        <v>0.160192</v>
      </c>
      <c r="BA179">
        <v>7.5199999999999996E-4</v>
      </c>
    </row>
    <row r="180" spans="1:53" x14ac:dyDescent="0.25">
      <c r="A180">
        <v>178</v>
      </c>
      <c r="B180" t="s">
        <v>7625</v>
      </c>
      <c r="C180">
        <v>704019</v>
      </c>
      <c r="D180" t="s">
        <v>912</v>
      </c>
      <c r="E180" t="s">
        <v>7685</v>
      </c>
      <c r="F180">
        <v>3505920</v>
      </c>
      <c r="G180">
        <v>8322.6318360000005</v>
      </c>
      <c r="H180">
        <v>180</v>
      </c>
      <c r="I180">
        <v>325</v>
      </c>
      <c r="J180">
        <v>37241</v>
      </c>
      <c r="K180" t="s">
        <v>2286</v>
      </c>
      <c r="L180">
        <v>14</v>
      </c>
      <c r="M180">
        <v>14</v>
      </c>
      <c r="N180">
        <v>37241</v>
      </c>
      <c r="O180">
        <v>177</v>
      </c>
      <c r="P180" t="s">
        <v>3215</v>
      </c>
      <c r="Q180">
        <v>14</v>
      </c>
      <c r="R180">
        <v>167.23</v>
      </c>
      <c r="S180">
        <v>2.57</v>
      </c>
      <c r="T180">
        <v>33</v>
      </c>
      <c r="U180">
        <v>3505919.9604199999</v>
      </c>
      <c r="V180">
        <v>8322.6320130000004</v>
      </c>
      <c r="W180">
        <v>179</v>
      </c>
      <c r="X180">
        <v>1</v>
      </c>
      <c r="Y180">
        <v>178</v>
      </c>
      <c r="Z180">
        <v>68010</v>
      </c>
      <c r="AA180" s="76">
        <v>45883</v>
      </c>
      <c r="AB180">
        <v>2025</v>
      </c>
      <c r="AC180" t="s">
        <v>7379</v>
      </c>
      <c r="AD180">
        <v>12</v>
      </c>
      <c r="AE180" t="s">
        <v>7399</v>
      </c>
      <c r="AF180" t="s">
        <v>3215</v>
      </c>
      <c r="AG180" t="s">
        <v>3228</v>
      </c>
      <c r="AH180" t="s">
        <v>912</v>
      </c>
      <c r="AI180" t="s">
        <v>3076</v>
      </c>
      <c r="AJ180" t="s">
        <v>6966</v>
      </c>
      <c r="AK180">
        <v>34.457859999999997</v>
      </c>
      <c r="AL180">
        <v>35.90692</v>
      </c>
      <c r="AM180" t="s">
        <v>6995</v>
      </c>
      <c r="AN180" t="s">
        <v>6966</v>
      </c>
      <c r="AO180" t="s">
        <v>6996</v>
      </c>
      <c r="AP180" t="s">
        <v>7400</v>
      </c>
      <c r="AQ180" t="s">
        <v>6998</v>
      </c>
      <c r="AR180" t="s">
        <v>6999</v>
      </c>
      <c r="AS180" t="s">
        <v>7071</v>
      </c>
      <c r="AT180">
        <v>0</v>
      </c>
      <c r="AU180">
        <v>0</v>
      </c>
      <c r="AV180" t="s">
        <v>6966</v>
      </c>
      <c r="AW180" t="s">
        <v>7002</v>
      </c>
      <c r="AX180" t="s">
        <v>6966</v>
      </c>
      <c r="AY180" t="s">
        <v>7003</v>
      </c>
      <c r="AZ180">
        <v>8.2929000000000003E-2</v>
      </c>
      <c r="BA180">
        <v>3.4400000000000001E-4</v>
      </c>
    </row>
    <row r="181" spans="1:53" x14ac:dyDescent="0.25">
      <c r="A181">
        <v>179</v>
      </c>
      <c r="B181" t="s">
        <v>7625</v>
      </c>
      <c r="C181">
        <v>101122</v>
      </c>
      <c r="D181" t="s">
        <v>814</v>
      </c>
      <c r="E181" t="s">
        <v>3217</v>
      </c>
      <c r="F181">
        <v>7741550</v>
      </c>
      <c r="G181">
        <v>15788.564453000001</v>
      </c>
      <c r="H181">
        <v>181</v>
      </c>
      <c r="I181">
        <v>326</v>
      </c>
      <c r="J181">
        <v>35325</v>
      </c>
      <c r="K181" t="s">
        <v>2210</v>
      </c>
      <c r="L181">
        <v>12</v>
      </c>
      <c r="M181">
        <v>12</v>
      </c>
      <c r="N181">
        <v>35325</v>
      </c>
      <c r="O181">
        <v>178</v>
      </c>
      <c r="P181" t="s">
        <v>3215</v>
      </c>
      <c r="Q181">
        <v>3.3</v>
      </c>
      <c r="R181">
        <v>162.86000000000001</v>
      </c>
      <c r="S181">
        <v>0.61</v>
      </c>
      <c r="T181">
        <v>30</v>
      </c>
      <c r="U181">
        <v>7741549.8062800001</v>
      </c>
      <c r="V181">
        <v>15788.565479999999</v>
      </c>
      <c r="W181">
        <v>180</v>
      </c>
      <c r="X181">
        <v>0</v>
      </c>
      <c r="Y181">
        <v>179</v>
      </c>
      <c r="Z181" t="s">
        <v>6966</v>
      </c>
      <c r="AA181" t="s">
        <v>6966</v>
      </c>
      <c r="AB181" t="s">
        <v>6966</v>
      </c>
      <c r="AC181" t="s">
        <v>6966</v>
      </c>
      <c r="AD181" t="s">
        <v>6966</v>
      </c>
      <c r="AE181" t="s">
        <v>6966</v>
      </c>
      <c r="AF181" t="s">
        <v>6966</v>
      </c>
      <c r="AG181" t="s">
        <v>6966</v>
      </c>
      <c r="AH181" t="s">
        <v>6966</v>
      </c>
      <c r="AI181" t="s">
        <v>6966</v>
      </c>
      <c r="AJ181" t="s">
        <v>6966</v>
      </c>
      <c r="AK181" t="s">
        <v>6966</v>
      </c>
      <c r="AL181" t="s">
        <v>6966</v>
      </c>
      <c r="AM181" t="s">
        <v>6966</v>
      </c>
      <c r="AN181" t="s">
        <v>6966</v>
      </c>
      <c r="AO181" t="s">
        <v>6966</v>
      </c>
      <c r="AP181" t="s">
        <v>6966</v>
      </c>
      <c r="AQ181" t="s">
        <v>6966</v>
      </c>
      <c r="AR181" t="s">
        <v>6966</v>
      </c>
      <c r="AS181" t="s">
        <v>6966</v>
      </c>
      <c r="AT181" t="s">
        <v>6966</v>
      </c>
      <c r="AU181" t="s">
        <v>6966</v>
      </c>
      <c r="AV181" t="s">
        <v>6966</v>
      </c>
      <c r="AW181" t="s">
        <v>6966</v>
      </c>
      <c r="AX181" t="s">
        <v>6966</v>
      </c>
      <c r="AY181" t="s">
        <v>6966</v>
      </c>
      <c r="AZ181">
        <v>0.16131899999999999</v>
      </c>
      <c r="BA181">
        <v>7.5900000000000002E-4</v>
      </c>
    </row>
    <row r="182" spans="1:53" x14ac:dyDescent="0.25">
      <c r="A182">
        <v>180</v>
      </c>
      <c r="B182" t="s">
        <v>7625</v>
      </c>
      <c r="C182">
        <v>704009</v>
      </c>
      <c r="D182" t="s">
        <v>911</v>
      </c>
      <c r="E182" t="s">
        <v>7685</v>
      </c>
      <c r="F182">
        <v>5527998.5</v>
      </c>
      <c r="G182">
        <v>12307.020508</v>
      </c>
      <c r="H182">
        <v>182</v>
      </c>
      <c r="I182">
        <v>327</v>
      </c>
      <c r="J182">
        <v>37231</v>
      </c>
      <c r="K182" t="s">
        <v>2285</v>
      </c>
      <c r="L182">
        <v>14</v>
      </c>
      <c r="M182">
        <v>14</v>
      </c>
      <c r="N182">
        <v>37231</v>
      </c>
      <c r="O182">
        <v>179</v>
      </c>
      <c r="P182" t="s">
        <v>3215</v>
      </c>
      <c r="Q182">
        <v>49.7</v>
      </c>
      <c r="R182">
        <v>150.75</v>
      </c>
      <c r="S182">
        <v>10.06</v>
      </c>
      <c r="T182">
        <v>31</v>
      </c>
      <c r="U182">
        <v>5527998.7914699996</v>
      </c>
      <c r="V182">
        <v>12307.020689999999</v>
      </c>
      <c r="W182">
        <v>181</v>
      </c>
      <c r="X182">
        <v>11</v>
      </c>
      <c r="Y182">
        <v>180</v>
      </c>
      <c r="Z182">
        <v>56217</v>
      </c>
      <c r="AA182" s="76">
        <v>45684</v>
      </c>
      <c r="AB182">
        <v>2025</v>
      </c>
      <c r="AC182" t="s">
        <v>6992</v>
      </c>
      <c r="AD182">
        <v>27</v>
      </c>
      <c r="AE182" t="s">
        <v>7067</v>
      </c>
      <c r="AF182" t="s">
        <v>3215</v>
      </c>
      <c r="AG182" t="s">
        <v>3228</v>
      </c>
      <c r="AH182" t="s">
        <v>911</v>
      </c>
      <c r="AI182" t="s">
        <v>3116</v>
      </c>
      <c r="AJ182" t="s">
        <v>6966</v>
      </c>
      <c r="AK182">
        <v>34.454039999999999</v>
      </c>
      <c r="AL182">
        <v>35.863610000000001</v>
      </c>
      <c r="AM182" t="s">
        <v>7028</v>
      </c>
      <c r="AN182" t="s">
        <v>7014</v>
      </c>
      <c r="AO182" t="s">
        <v>6996</v>
      </c>
      <c r="AP182" t="s">
        <v>7068</v>
      </c>
      <c r="AQ182" t="s">
        <v>6998</v>
      </c>
      <c r="AR182" t="s">
        <v>6999</v>
      </c>
      <c r="AS182" t="s">
        <v>7000</v>
      </c>
      <c r="AT182">
        <v>0</v>
      </c>
      <c r="AU182">
        <v>0</v>
      </c>
      <c r="AV182" t="s">
        <v>7696</v>
      </c>
      <c r="AW182" t="s">
        <v>7031</v>
      </c>
      <c r="AX182" t="s">
        <v>7129</v>
      </c>
      <c r="AY182" t="s">
        <v>7003</v>
      </c>
      <c r="AZ182">
        <v>0.124462</v>
      </c>
      <c r="BA182">
        <v>5.4199999999999995E-4</v>
      </c>
    </row>
    <row r="183" spans="1:53" x14ac:dyDescent="0.25">
      <c r="A183">
        <v>181</v>
      </c>
      <c r="B183" t="s">
        <v>7625</v>
      </c>
      <c r="C183">
        <v>705001</v>
      </c>
      <c r="D183" t="s">
        <v>552</v>
      </c>
      <c r="E183" t="s">
        <v>3225</v>
      </c>
      <c r="F183">
        <v>2715292.25</v>
      </c>
      <c r="G183">
        <v>12571.46875</v>
      </c>
      <c r="H183">
        <v>183</v>
      </c>
      <c r="I183">
        <v>328</v>
      </c>
      <c r="J183">
        <v>31186</v>
      </c>
      <c r="K183" t="s">
        <v>2009</v>
      </c>
      <c r="L183">
        <v>8</v>
      </c>
      <c r="M183">
        <v>8</v>
      </c>
      <c r="N183">
        <v>31186</v>
      </c>
      <c r="O183">
        <v>180</v>
      </c>
      <c r="P183" t="s">
        <v>3215</v>
      </c>
      <c r="Q183">
        <v>57.4</v>
      </c>
      <c r="R183">
        <v>228.92</v>
      </c>
      <c r="S183">
        <v>11.45</v>
      </c>
      <c r="T183">
        <v>62</v>
      </c>
      <c r="U183">
        <v>2715292.3656600001</v>
      </c>
      <c r="V183">
        <v>12571.46911</v>
      </c>
      <c r="W183">
        <v>182</v>
      </c>
      <c r="X183">
        <v>0</v>
      </c>
      <c r="Y183">
        <v>181</v>
      </c>
      <c r="Z183" t="s">
        <v>6966</v>
      </c>
      <c r="AA183" t="s">
        <v>6966</v>
      </c>
      <c r="AB183" t="s">
        <v>6966</v>
      </c>
      <c r="AC183" t="s">
        <v>6966</v>
      </c>
      <c r="AD183" t="s">
        <v>6966</v>
      </c>
      <c r="AE183" t="s">
        <v>6966</v>
      </c>
      <c r="AF183" t="s">
        <v>6966</v>
      </c>
      <c r="AG183" t="s">
        <v>6966</v>
      </c>
      <c r="AH183" t="s">
        <v>6966</v>
      </c>
      <c r="AI183" t="s">
        <v>6966</v>
      </c>
      <c r="AJ183" t="s">
        <v>6966</v>
      </c>
      <c r="AK183" t="s">
        <v>6966</v>
      </c>
      <c r="AL183" t="s">
        <v>6966</v>
      </c>
      <c r="AM183" t="s">
        <v>6966</v>
      </c>
      <c r="AN183" t="s">
        <v>6966</v>
      </c>
      <c r="AO183" t="s">
        <v>6966</v>
      </c>
      <c r="AP183" t="s">
        <v>6966</v>
      </c>
      <c r="AQ183" t="s">
        <v>6966</v>
      </c>
      <c r="AR183" t="s">
        <v>6966</v>
      </c>
      <c r="AS183" t="s">
        <v>6966</v>
      </c>
      <c r="AT183" t="s">
        <v>6966</v>
      </c>
      <c r="AU183" t="s">
        <v>6966</v>
      </c>
      <c r="AV183" t="s">
        <v>6966</v>
      </c>
      <c r="AW183" t="s">
        <v>6966</v>
      </c>
      <c r="AX183" t="s">
        <v>6966</v>
      </c>
      <c r="AY183" t="s">
        <v>6966</v>
      </c>
      <c r="AZ183">
        <v>0.124163</v>
      </c>
      <c r="BA183">
        <v>2.6600000000000001E-4</v>
      </c>
    </row>
    <row r="184" spans="1:53" x14ac:dyDescent="0.25">
      <c r="A184">
        <v>182</v>
      </c>
      <c r="B184" t="s">
        <v>7625</v>
      </c>
      <c r="C184">
        <v>705017</v>
      </c>
      <c r="D184" t="s">
        <v>548</v>
      </c>
      <c r="E184" t="s">
        <v>3225</v>
      </c>
      <c r="F184">
        <v>6943576</v>
      </c>
      <c r="G184">
        <v>17835.480468999998</v>
      </c>
      <c r="H184">
        <v>184</v>
      </c>
      <c r="I184">
        <v>336</v>
      </c>
      <c r="J184">
        <v>31166</v>
      </c>
      <c r="K184" t="s">
        <v>2005</v>
      </c>
      <c r="L184">
        <v>8</v>
      </c>
      <c r="M184">
        <v>8</v>
      </c>
      <c r="N184">
        <v>31166</v>
      </c>
      <c r="O184">
        <v>183</v>
      </c>
      <c r="P184" t="s">
        <v>3215</v>
      </c>
      <c r="Q184">
        <v>3.2</v>
      </c>
      <c r="R184">
        <v>13.44</v>
      </c>
      <c r="S184">
        <v>0.93</v>
      </c>
      <c r="T184">
        <v>4</v>
      </c>
      <c r="U184">
        <v>6943575.9632299999</v>
      </c>
      <c r="V184">
        <v>17835.480887999998</v>
      </c>
      <c r="W184">
        <v>183</v>
      </c>
      <c r="X184">
        <v>3</v>
      </c>
      <c r="Y184">
        <v>182</v>
      </c>
      <c r="Z184">
        <v>62453</v>
      </c>
      <c r="AA184" s="76">
        <v>45794</v>
      </c>
      <c r="AB184">
        <v>2025</v>
      </c>
      <c r="AC184" t="s">
        <v>7215</v>
      </c>
      <c r="AD184">
        <v>17</v>
      </c>
      <c r="AE184" t="s">
        <v>7278</v>
      </c>
      <c r="AF184" t="s">
        <v>3215</v>
      </c>
      <c r="AG184" t="s">
        <v>3225</v>
      </c>
      <c r="AH184" t="s">
        <v>548</v>
      </c>
      <c r="AI184" t="s">
        <v>7279</v>
      </c>
      <c r="AJ184" t="s">
        <v>6966</v>
      </c>
      <c r="AK184">
        <v>34.438099999999999</v>
      </c>
      <c r="AL184">
        <v>35.830800000000004</v>
      </c>
      <c r="AM184" t="s">
        <v>7013</v>
      </c>
      <c r="AN184" t="s">
        <v>6966</v>
      </c>
      <c r="AO184" t="s">
        <v>7008</v>
      </c>
      <c r="AP184" t="s">
        <v>7280</v>
      </c>
      <c r="AQ184" t="s">
        <v>6998</v>
      </c>
      <c r="AR184" t="s">
        <v>6999</v>
      </c>
      <c r="AS184" t="s">
        <v>7000</v>
      </c>
      <c r="AT184">
        <v>0</v>
      </c>
      <c r="AU184">
        <v>0</v>
      </c>
      <c r="AV184" t="s">
        <v>7281</v>
      </c>
      <c r="AW184" t="s">
        <v>7041</v>
      </c>
      <c r="AX184" t="s">
        <v>6966</v>
      </c>
      <c r="AY184" t="s">
        <v>7003</v>
      </c>
      <c r="AZ184">
        <v>0.17749500000000001</v>
      </c>
      <c r="BA184">
        <v>6.8099999999999996E-4</v>
      </c>
    </row>
    <row r="185" spans="1:53" x14ac:dyDescent="0.25">
      <c r="A185">
        <v>183</v>
      </c>
      <c r="B185" t="s">
        <v>7625</v>
      </c>
      <c r="C185">
        <v>705004</v>
      </c>
      <c r="D185" t="s">
        <v>551</v>
      </c>
      <c r="E185" t="s">
        <v>3225</v>
      </c>
      <c r="F185">
        <v>453526.09375</v>
      </c>
      <c r="G185">
        <v>4749.6987300000001</v>
      </c>
      <c r="H185">
        <v>185</v>
      </c>
      <c r="I185">
        <v>337</v>
      </c>
      <c r="J185">
        <v>31181</v>
      </c>
      <c r="K185" t="s">
        <v>2008</v>
      </c>
      <c r="L185">
        <v>8</v>
      </c>
      <c r="M185">
        <v>8</v>
      </c>
      <c r="N185">
        <v>31181</v>
      </c>
      <c r="O185">
        <v>184</v>
      </c>
      <c r="P185" t="s">
        <v>3215</v>
      </c>
      <c r="Q185">
        <v>211.7</v>
      </c>
      <c r="R185">
        <v>277.82</v>
      </c>
      <c r="S185">
        <v>42.04</v>
      </c>
      <c r="T185">
        <v>55</v>
      </c>
      <c r="U185">
        <v>453526.097419</v>
      </c>
      <c r="V185">
        <v>4749.6985830000003</v>
      </c>
      <c r="W185">
        <v>184</v>
      </c>
      <c r="X185">
        <v>28</v>
      </c>
      <c r="Y185">
        <v>183</v>
      </c>
      <c r="Z185">
        <v>54972</v>
      </c>
      <c r="AA185" s="76">
        <v>45664</v>
      </c>
      <c r="AB185">
        <v>2025</v>
      </c>
      <c r="AC185" t="s">
        <v>6992</v>
      </c>
      <c r="AD185">
        <v>7</v>
      </c>
      <c r="AE185" t="s">
        <v>7012</v>
      </c>
      <c r="AF185" t="s">
        <v>3215</v>
      </c>
      <c r="AG185" t="s">
        <v>3225</v>
      </c>
      <c r="AH185" t="s">
        <v>551</v>
      </c>
      <c r="AI185" t="s">
        <v>3105</v>
      </c>
      <c r="AJ185" t="s">
        <v>6966</v>
      </c>
      <c r="AK185">
        <v>34.454479999999997</v>
      </c>
      <c r="AL185">
        <v>35.81109</v>
      </c>
      <c r="AM185" t="s">
        <v>7013</v>
      </c>
      <c r="AN185" t="s">
        <v>7014</v>
      </c>
      <c r="AO185" t="s">
        <v>7015</v>
      </c>
      <c r="AP185" t="s">
        <v>7016</v>
      </c>
      <c r="AQ185" t="s">
        <v>6998</v>
      </c>
      <c r="AR185" t="s">
        <v>6999</v>
      </c>
      <c r="AS185" t="s">
        <v>7000</v>
      </c>
      <c r="AT185">
        <v>0</v>
      </c>
      <c r="AU185">
        <v>0</v>
      </c>
      <c r="AV185" t="s">
        <v>7017</v>
      </c>
      <c r="AW185" t="s">
        <v>7018</v>
      </c>
      <c r="AX185" t="s">
        <v>7129</v>
      </c>
      <c r="AY185" t="s">
        <v>7003</v>
      </c>
      <c r="AZ185">
        <v>4.7612000000000002E-2</v>
      </c>
      <c r="BA185">
        <v>4.3999999999999999E-5</v>
      </c>
    </row>
    <row r="186" spans="1:53" x14ac:dyDescent="0.25">
      <c r="A186">
        <v>184</v>
      </c>
      <c r="B186" t="s">
        <v>7625</v>
      </c>
      <c r="C186">
        <v>704055</v>
      </c>
      <c r="D186" t="s">
        <v>7697</v>
      </c>
      <c r="E186" t="s">
        <v>7685</v>
      </c>
      <c r="F186">
        <v>3459204.25</v>
      </c>
      <c r="G186">
        <v>9875.0693360000005</v>
      </c>
      <c r="H186">
        <v>186</v>
      </c>
      <c r="I186">
        <v>331</v>
      </c>
      <c r="J186">
        <v>37387</v>
      </c>
      <c r="K186" t="s">
        <v>2325</v>
      </c>
      <c r="L186">
        <v>14</v>
      </c>
      <c r="M186">
        <v>14</v>
      </c>
      <c r="N186">
        <v>37387</v>
      </c>
      <c r="O186">
        <v>181</v>
      </c>
      <c r="P186" t="s">
        <v>3215</v>
      </c>
      <c r="Q186">
        <v>0.6</v>
      </c>
      <c r="R186">
        <v>0</v>
      </c>
      <c r="S186">
        <v>0.1</v>
      </c>
      <c r="T186">
        <v>0</v>
      </c>
      <c r="U186">
        <v>3459204.3122999999</v>
      </c>
      <c r="V186">
        <v>9875.0690319999994</v>
      </c>
      <c r="W186">
        <v>185</v>
      </c>
      <c r="X186">
        <v>0</v>
      </c>
      <c r="Y186">
        <v>184</v>
      </c>
      <c r="Z186" t="s">
        <v>6966</v>
      </c>
      <c r="AA186" t="s">
        <v>6966</v>
      </c>
      <c r="AB186" t="s">
        <v>6966</v>
      </c>
      <c r="AC186" t="s">
        <v>6966</v>
      </c>
      <c r="AD186" t="s">
        <v>6966</v>
      </c>
      <c r="AE186" t="s">
        <v>6966</v>
      </c>
      <c r="AF186" t="s">
        <v>6966</v>
      </c>
      <c r="AG186" t="s">
        <v>6966</v>
      </c>
      <c r="AH186" t="s">
        <v>6966</v>
      </c>
      <c r="AI186" t="s">
        <v>6966</v>
      </c>
      <c r="AJ186" t="s">
        <v>6966</v>
      </c>
      <c r="AK186" t="s">
        <v>6966</v>
      </c>
      <c r="AL186" t="s">
        <v>6966</v>
      </c>
      <c r="AM186" t="s">
        <v>6966</v>
      </c>
      <c r="AN186" t="s">
        <v>6966</v>
      </c>
      <c r="AO186" t="s">
        <v>6966</v>
      </c>
      <c r="AP186" t="s">
        <v>6966</v>
      </c>
      <c r="AQ186" t="s">
        <v>6966</v>
      </c>
      <c r="AR186" t="s">
        <v>6966</v>
      </c>
      <c r="AS186" t="s">
        <v>6966</v>
      </c>
      <c r="AT186" t="s">
        <v>6966</v>
      </c>
      <c r="AU186" t="s">
        <v>6966</v>
      </c>
      <c r="AV186" t="s">
        <v>6966</v>
      </c>
      <c r="AW186" t="s">
        <v>6966</v>
      </c>
      <c r="AX186" t="s">
        <v>6966</v>
      </c>
      <c r="AY186" t="s">
        <v>6966</v>
      </c>
      <c r="AZ186">
        <v>9.7681000000000004E-2</v>
      </c>
      <c r="BA186">
        <v>3.39E-4</v>
      </c>
    </row>
    <row r="187" spans="1:53" x14ac:dyDescent="0.25">
      <c r="A187">
        <v>185</v>
      </c>
      <c r="B187" t="s">
        <v>7625</v>
      </c>
      <c r="C187">
        <v>706023</v>
      </c>
      <c r="D187" t="s">
        <v>647</v>
      </c>
      <c r="E187" t="s">
        <v>597</v>
      </c>
      <c r="F187">
        <v>743125.125</v>
      </c>
      <c r="G187">
        <v>4543.9438479999999</v>
      </c>
      <c r="H187">
        <v>187</v>
      </c>
      <c r="I187">
        <v>333</v>
      </c>
      <c r="J187">
        <v>33287</v>
      </c>
      <c r="K187" t="s">
        <v>2082</v>
      </c>
      <c r="L187">
        <v>10</v>
      </c>
      <c r="M187">
        <v>10</v>
      </c>
      <c r="N187">
        <v>33287</v>
      </c>
      <c r="O187">
        <v>182</v>
      </c>
      <c r="P187" t="s">
        <v>3215</v>
      </c>
      <c r="Q187">
        <v>5</v>
      </c>
      <c r="R187">
        <v>97.43</v>
      </c>
      <c r="S187">
        <v>1.19</v>
      </c>
      <c r="T187">
        <v>23</v>
      </c>
      <c r="U187">
        <v>743125.12889299996</v>
      </c>
      <c r="V187">
        <v>4543.9436390000001</v>
      </c>
      <c r="W187">
        <v>186</v>
      </c>
      <c r="X187">
        <v>0</v>
      </c>
      <c r="Y187">
        <v>185</v>
      </c>
      <c r="Z187" t="s">
        <v>6966</v>
      </c>
      <c r="AA187" t="s">
        <v>6966</v>
      </c>
      <c r="AB187" t="s">
        <v>6966</v>
      </c>
      <c r="AC187" t="s">
        <v>6966</v>
      </c>
      <c r="AD187" t="s">
        <v>6966</v>
      </c>
      <c r="AE187" t="s">
        <v>6966</v>
      </c>
      <c r="AF187" t="s">
        <v>6966</v>
      </c>
      <c r="AG187" t="s">
        <v>6966</v>
      </c>
      <c r="AH187" t="s">
        <v>6966</v>
      </c>
      <c r="AI187" t="s">
        <v>6966</v>
      </c>
      <c r="AJ187" t="s">
        <v>6966</v>
      </c>
      <c r="AK187" t="s">
        <v>6966</v>
      </c>
      <c r="AL187" t="s">
        <v>6966</v>
      </c>
      <c r="AM187" t="s">
        <v>6966</v>
      </c>
      <c r="AN187" t="s">
        <v>6966</v>
      </c>
      <c r="AO187" t="s">
        <v>6966</v>
      </c>
      <c r="AP187" t="s">
        <v>6966</v>
      </c>
      <c r="AQ187" t="s">
        <v>6966</v>
      </c>
      <c r="AR187" t="s">
        <v>6966</v>
      </c>
      <c r="AS187" t="s">
        <v>6966</v>
      </c>
      <c r="AT187" t="s">
        <v>6966</v>
      </c>
      <c r="AU187" t="s">
        <v>6966</v>
      </c>
      <c r="AV187" t="s">
        <v>6966</v>
      </c>
      <c r="AW187" t="s">
        <v>6966</v>
      </c>
      <c r="AX187" t="s">
        <v>6966</v>
      </c>
      <c r="AY187" t="s">
        <v>6966</v>
      </c>
      <c r="AZ187">
        <v>4.6502000000000002E-2</v>
      </c>
      <c r="BA187">
        <v>7.2999999999999999E-5</v>
      </c>
    </row>
    <row r="188" spans="1:53" x14ac:dyDescent="0.25">
      <c r="A188">
        <v>186</v>
      </c>
      <c r="B188" t="s">
        <v>7625</v>
      </c>
      <c r="C188">
        <v>705002</v>
      </c>
      <c r="D188" t="s">
        <v>549</v>
      </c>
      <c r="E188" t="s">
        <v>3225</v>
      </c>
      <c r="F188">
        <v>252910.53125</v>
      </c>
      <c r="G188">
        <v>3316.357422</v>
      </c>
      <c r="H188">
        <v>188</v>
      </c>
      <c r="I188">
        <v>338</v>
      </c>
      <c r="J188">
        <v>31171</v>
      </c>
      <c r="K188" t="s">
        <v>2006</v>
      </c>
      <c r="L188">
        <v>8</v>
      </c>
      <c r="M188">
        <v>8</v>
      </c>
      <c r="N188">
        <v>31171</v>
      </c>
      <c r="O188">
        <v>188</v>
      </c>
      <c r="P188" t="s">
        <v>3215</v>
      </c>
      <c r="Q188">
        <v>400.7</v>
      </c>
      <c r="R188">
        <v>585.39</v>
      </c>
      <c r="S188">
        <v>75.89</v>
      </c>
      <c r="T188">
        <v>111</v>
      </c>
      <c r="U188">
        <v>252910.49408100001</v>
      </c>
      <c r="V188">
        <v>3316.3577740000001</v>
      </c>
      <c r="W188">
        <v>187</v>
      </c>
      <c r="X188">
        <v>0</v>
      </c>
      <c r="Y188">
        <v>186</v>
      </c>
      <c r="Z188" t="s">
        <v>6966</v>
      </c>
      <c r="AA188" t="s">
        <v>6966</v>
      </c>
      <c r="AB188" t="s">
        <v>6966</v>
      </c>
      <c r="AC188" t="s">
        <v>6966</v>
      </c>
      <c r="AD188" t="s">
        <v>6966</v>
      </c>
      <c r="AE188" t="s">
        <v>6966</v>
      </c>
      <c r="AF188" t="s">
        <v>6966</v>
      </c>
      <c r="AG188" t="s">
        <v>6966</v>
      </c>
      <c r="AH188" t="s">
        <v>6966</v>
      </c>
      <c r="AI188" t="s">
        <v>6966</v>
      </c>
      <c r="AJ188" t="s">
        <v>6966</v>
      </c>
      <c r="AK188" t="s">
        <v>6966</v>
      </c>
      <c r="AL188" t="s">
        <v>6966</v>
      </c>
      <c r="AM188" t="s">
        <v>6966</v>
      </c>
      <c r="AN188" t="s">
        <v>6966</v>
      </c>
      <c r="AO188" t="s">
        <v>6966</v>
      </c>
      <c r="AP188" t="s">
        <v>6966</v>
      </c>
      <c r="AQ188" t="s">
        <v>6966</v>
      </c>
      <c r="AR188" t="s">
        <v>6966</v>
      </c>
      <c r="AS188" t="s">
        <v>6966</v>
      </c>
      <c r="AT188" t="s">
        <v>6966</v>
      </c>
      <c r="AU188" t="s">
        <v>6966</v>
      </c>
      <c r="AV188" t="s">
        <v>6966</v>
      </c>
      <c r="AW188" t="s">
        <v>6966</v>
      </c>
      <c r="AX188" t="s">
        <v>6966</v>
      </c>
      <c r="AY188" t="s">
        <v>6966</v>
      </c>
      <c r="AZ188">
        <v>3.1926000000000003E-2</v>
      </c>
      <c r="BA188">
        <v>2.5000000000000001E-5</v>
      </c>
    </row>
    <row r="189" spans="1:53" x14ac:dyDescent="0.25">
      <c r="A189">
        <v>187</v>
      </c>
      <c r="B189" t="s">
        <v>7625</v>
      </c>
      <c r="C189">
        <v>705003</v>
      </c>
      <c r="D189" t="s">
        <v>550</v>
      </c>
      <c r="E189" t="s">
        <v>3225</v>
      </c>
      <c r="F189">
        <v>403897.59375</v>
      </c>
      <c r="G189">
        <v>3735.420654</v>
      </c>
      <c r="H189">
        <v>189</v>
      </c>
      <c r="I189">
        <v>338</v>
      </c>
      <c r="J189">
        <v>31176</v>
      </c>
      <c r="K189" t="s">
        <v>2007</v>
      </c>
      <c r="L189">
        <v>8</v>
      </c>
      <c r="M189">
        <v>8</v>
      </c>
      <c r="N189">
        <v>31176</v>
      </c>
      <c r="O189">
        <v>185</v>
      </c>
      <c r="P189" t="s">
        <v>3215</v>
      </c>
      <c r="Q189">
        <v>338</v>
      </c>
      <c r="R189">
        <v>423.68</v>
      </c>
      <c r="S189">
        <v>64.42</v>
      </c>
      <c r="T189">
        <v>81</v>
      </c>
      <c r="U189">
        <v>403897.58775499999</v>
      </c>
      <c r="V189">
        <v>3735.42085</v>
      </c>
      <c r="W189">
        <v>188</v>
      </c>
      <c r="X189">
        <v>0</v>
      </c>
      <c r="Y189">
        <v>187</v>
      </c>
      <c r="Z189" t="s">
        <v>6966</v>
      </c>
      <c r="AA189" t="s">
        <v>6966</v>
      </c>
      <c r="AB189" t="s">
        <v>6966</v>
      </c>
      <c r="AC189" t="s">
        <v>6966</v>
      </c>
      <c r="AD189" t="s">
        <v>6966</v>
      </c>
      <c r="AE189" t="s">
        <v>6966</v>
      </c>
      <c r="AF189" t="s">
        <v>6966</v>
      </c>
      <c r="AG189" t="s">
        <v>6966</v>
      </c>
      <c r="AH189" t="s">
        <v>6966</v>
      </c>
      <c r="AI189" t="s">
        <v>6966</v>
      </c>
      <c r="AJ189" t="s">
        <v>6966</v>
      </c>
      <c r="AK189" t="s">
        <v>6966</v>
      </c>
      <c r="AL189" t="s">
        <v>6966</v>
      </c>
      <c r="AM189" t="s">
        <v>6966</v>
      </c>
      <c r="AN189" t="s">
        <v>6966</v>
      </c>
      <c r="AO189" t="s">
        <v>6966</v>
      </c>
      <c r="AP189" t="s">
        <v>6966</v>
      </c>
      <c r="AQ189" t="s">
        <v>6966</v>
      </c>
      <c r="AR189" t="s">
        <v>6966</v>
      </c>
      <c r="AS189" t="s">
        <v>6966</v>
      </c>
      <c r="AT189" t="s">
        <v>6966</v>
      </c>
      <c r="AU189" t="s">
        <v>6966</v>
      </c>
      <c r="AV189" t="s">
        <v>6966</v>
      </c>
      <c r="AW189" t="s">
        <v>6966</v>
      </c>
      <c r="AX189" t="s">
        <v>6966</v>
      </c>
      <c r="AY189" t="s">
        <v>6966</v>
      </c>
      <c r="AZ189">
        <v>3.6871000000000001E-2</v>
      </c>
      <c r="BA189">
        <v>4.0000000000000003E-5</v>
      </c>
    </row>
    <row r="190" spans="1:53" x14ac:dyDescent="0.25">
      <c r="A190">
        <v>188</v>
      </c>
      <c r="B190" t="s">
        <v>7625</v>
      </c>
      <c r="C190">
        <v>706039</v>
      </c>
      <c r="D190" t="s">
        <v>606</v>
      </c>
      <c r="E190" t="s">
        <v>597</v>
      </c>
      <c r="F190">
        <v>0</v>
      </c>
      <c r="G190">
        <v>17198.056640999999</v>
      </c>
      <c r="H190">
        <v>190</v>
      </c>
      <c r="I190">
        <v>339</v>
      </c>
      <c r="J190">
        <v>33129</v>
      </c>
      <c r="K190" t="s">
        <v>1826</v>
      </c>
      <c r="L190">
        <v>10</v>
      </c>
      <c r="M190">
        <v>10</v>
      </c>
      <c r="N190">
        <v>33129</v>
      </c>
      <c r="O190">
        <v>186</v>
      </c>
      <c r="P190" t="s">
        <v>3215</v>
      </c>
      <c r="Q190">
        <v>6.6</v>
      </c>
      <c r="R190">
        <v>87.8</v>
      </c>
      <c r="S190">
        <v>1.72</v>
      </c>
      <c r="T190">
        <v>24</v>
      </c>
      <c r="U190">
        <v>0</v>
      </c>
      <c r="V190">
        <v>17198.055713000002</v>
      </c>
      <c r="W190">
        <v>189</v>
      </c>
      <c r="X190">
        <v>1</v>
      </c>
      <c r="Y190">
        <v>188</v>
      </c>
      <c r="Z190">
        <v>70638</v>
      </c>
      <c r="AA190" s="76">
        <v>45917</v>
      </c>
      <c r="AB190">
        <v>2025</v>
      </c>
      <c r="AC190" t="s">
        <v>7433</v>
      </c>
      <c r="AD190">
        <v>17</v>
      </c>
      <c r="AE190" t="s">
        <v>7454</v>
      </c>
      <c r="AF190" t="s">
        <v>3215</v>
      </c>
      <c r="AG190" t="s">
        <v>597</v>
      </c>
      <c r="AH190" t="s">
        <v>606</v>
      </c>
      <c r="AI190" t="s">
        <v>7455</v>
      </c>
      <c r="AJ190" t="s">
        <v>6966</v>
      </c>
      <c r="AK190">
        <v>34.433070000000001</v>
      </c>
      <c r="AL190">
        <v>35.88888</v>
      </c>
      <c r="AM190" t="s">
        <v>7014</v>
      </c>
      <c r="AN190" t="s">
        <v>7014</v>
      </c>
      <c r="AO190" t="s">
        <v>7086</v>
      </c>
      <c r="AP190" t="s">
        <v>7456</v>
      </c>
      <c r="AQ190" t="s">
        <v>6998</v>
      </c>
      <c r="AR190" t="s">
        <v>6999</v>
      </c>
      <c r="AS190" t="s">
        <v>7071</v>
      </c>
      <c r="AT190">
        <v>0</v>
      </c>
      <c r="AU190">
        <v>0</v>
      </c>
      <c r="AV190" t="s">
        <v>6966</v>
      </c>
      <c r="AW190" t="s">
        <v>7119</v>
      </c>
      <c r="AX190" t="s">
        <v>6966</v>
      </c>
      <c r="AY190" t="s">
        <v>7044</v>
      </c>
      <c r="AZ190">
        <v>0.17108400000000001</v>
      </c>
      <c r="BA190">
        <v>1.052E-3</v>
      </c>
    </row>
    <row r="191" spans="1:53" x14ac:dyDescent="0.25">
      <c r="A191">
        <v>189</v>
      </c>
      <c r="B191" t="s">
        <v>7625</v>
      </c>
      <c r="C191">
        <v>706043</v>
      </c>
      <c r="D191" t="s">
        <v>646</v>
      </c>
      <c r="E191" t="s">
        <v>597</v>
      </c>
      <c r="F191">
        <v>3022522.75</v>
      </c>
      <c r="G191">
        <v>7823.0307620000003</v>
      </c>
      <c r="H191">
        <v>191</v>
      </c>
      <c r="I191">
        <v>340</v>
      </c>
      <c r="J191">
        <v>33283</v>
      </c>
      <c r="K191" t="s">
        <v>2034</v>
      </c>
      <c r="L191">
        <v>10</v>
      </c>
      <c r="M191">
        <v>10</v>
      </c>
      <c r="N191">
        <v>33283</v>
      </c>
      <c r="O191">
        <v>187</v>
      </c>
      <c r="P191" t="s">
        <v>3215</v>
      </c>
      <c r="Q191">
        <v>0.2</v>
      </c>
      <c r="R191">
        <v>24.65</v>
      </c>
      <c r="S191">
        <v>7.0000000000000007E-2</v>
      </c>
      <c r="T191">
        <v>10</v>
      </c>
      <c r="U191">
        <v>3022522.8525700001</v>
      </c>
      <c r="V191">
        <v>7823.0311309999997</v>
      </c>
      <c r="W191">
        <v>190</v>
      </c>
      <c r="X191">
        <v>0</v>
      </c>
      <c r="Y191">
        <v>189</v>
      </c>
      <c r="Z191" t="s">
        <v>6966</v>
      </c>
      <c r="AA191" t="s">
        <v>6966</v>
      </c>
      <c r="AB191" t="s">
        <v>6966</v>
      </c>
      <c r="AC191" t="s">
        <v>6966</v>
      </c>
      <c r="AD191" t="s">
        <v>6966</v>
      </c>
      <c r="AE191" t="s">
        <v>6966</v>
      </c>
      <c r="AF191" t="s">
        <v>6966</v>
      </c>
      <c r="AG191" t="s">
        <v>6966</v>
      </c>
      <c r="AH191" t="s">
        <v>6966</v>
      </c>
      <c r="AI191" t="s">
        <v>6966</v>
      </c>
      <c r="AJ191" t="s">
        <v>6966</v>
      </c>
      <c r="AK191" t="s">
        <v>6966</v>
      </c>
      <c r="AL191" t="s">
        <v>6966</v>
      </c>
      <c r="AM191" t="s">
        <v>6966</v>
      </c>
      <c r="AN191" t="s">
        <v>6966</v>
      </c>
      <c r="AO191" t="s">
        <v>6966</v>
      </c>
      <c r="AP191" t="s">
        <v>6966</v>
      </c>
      <c r="AQ191" t="s">
        <v>6966</v>
      </c>
      <c r="AR191" t="s">
        <v>6966</v>
      </c>
      <c r="AS191" t="s">
        <v>6966</v>
      </c>
      <c r="AT191" t="s">
        <v>6966</v>
      </c>
      <c r="AU191" t="s">
        <v>6966</v>
      </c>
      <c r="AV191" t="s">
        <v>6966</v>
      </c>
      <c r="AW191" t="s">
        <v>6966</v>
      </c>
      <c r="AX191" t="s">
        <v>6966</v>
      </c>
      <c r="AY191" t="s">
        <v>6966</v>
      </c>
      <c r="AZ191">
        <v>7.9827999999999996E-2</v>
      </c>
      <c r="BA191">
        <v>2.9599999999999998E-4</v>
      </c>
    </row>
    <row r="192" spans="1:53" x14ac:dyDescent="0.25">
      <c r="A192">
        <v>190</v>
      </c>
      <c r="B192" t="s">
        <v>7625</v>
      </c>
      <c r="C192">
        <v>202010</v>
      </c>
      <c r="D192" t="s">
        <v>1154</v>
      </c>
      <c r="E192" t="s">
        <v>1152</v>
      </c>
      <c r="F192">
        <v>0</v>
      </c>
      <c r="G192">
        <v>54485.429687999997</v>
      </c>
      <c r="H192">
        <v>192</v>
      </c>
      <c r="I192">
        <v>343</v>
      </c>
      <c r="J192">
        <v>54119</v>
      </c>
      <c r="K192" t="s">
        <v>2479</v>
      </c>
      <c r="L192">
        <v>18</v>
      </c>
      <c r="M192">
        <v>18</v>
      </c>
      <c r="N192">
        <v>54119</v>
      </c>
      <c r="O192">
        <v>189</v>
      </c>
      <c r="P192" t="s">
        <v>3214</v>
      </c>
      <c r="Q192">
        <v>0.2</v>
      </c>
      <c r="R192">
        <v>44.15</v>
      </c>
      <c r="S192">
        <v>0.04</v>
      </c>
      <c r="T192">
        <v>10</v>
      </c>
      <c r="U192">
        <v>0</v>
      </c>
      <c r="V192">
        <v>54485.431289</v>
      </c>
      <c r="W192">
        <v>191</v>
      </c>
      <c r="X192">
        <v>0</v>
      </c>
      <c r="Y192">
        <v>190</v>
      </c>
      <c r="Z192" t="s">
        <v>6966</v>
      </c>
      <c r="AA192" t="s">
        <v>6966</v>
      </c>
      <c r="AB192" t="s">
        <v>6966</v>
      </c>
      <c r="AC192" t="s">
        <v>6966</v>
      </c>
      <c r="AD192" t="s">
        <v>6966</v>
      </c>
      <c r="AE192" t="s">
        <v>6966</v>
      </c>
      <c r="AF192" t="s">
        <v>6966</v>
      </c>
      <c r="AG192" t="s">
        <v>6966</v>
      </c>
      <c r="AH192" t="s">
        <v>6966</v>
      </c>
      <c r="AI192" t="s">
        <v>6966</v>
      </c>
      <c r="AJ192" t="s">
        <v>6966</v>
      </c>
      <c r="AK192" t="s">
        <v>6966</v>
      </c>
      <c r="AL192" t="s">
        <v>6966</v>
      </c>
      <c r="AM192" t="s">
        <v>6966</v>
      </c>
      <c r="AN192" t="s">
        <v>6966</v>
      </c>
      <c r="AO192" t="s">
        <v>6966</v>
      </c>
      <c r="AP192" t="s">
        <v>6966</v>
      </c>
      <c r="AQ192" t="s">
        <v>6966</v>
      </c>
      <c r="AR192" t="s">
        <v>6966</v>
      </c>
      <c r="AS192" t="s">
        <v>6966</v>
      </c>
      <c r="AT192" t="s">
        <v>6966</v>
      </c>
      <c r="AU192" t="s">
        <v>6966</v>
      </c>
      <c r="AV192" t="s">
        <v>6966</v>
      </c>
      <c r="AW192" t="s">
        <v>6966</v>
      </c>
      <c r="AX192" t="s">
        <v>6966</v>
      </c>
      <c r="AY192" t="s">
        <v>6966</v>
      </c>
      <c r="AZ192">
        <v>0.54110499999999995</v>
      </c>
      <c r="BA192">
        <v>9.188E-3</v>
      </c>
    </row>
    <row r="193" spans="1:53" x14ac:dyDescent="0.25">
      <c r="A193">
        <v>191</v>
      </c>
      <c r="B193" t="s">
        <v>7625</v>
      </c>
      <c r="C193">
        <v>706014</v>
      </c>
      <c r="D193" t="s">
        <v>645</v>
      </c>
      <c r="E193" t="s">
        <v>597</v>
      </c>
      <c r="F193">
        <v>4702286.5</v>
      </c>
      <c r="G193">
        <v>12716.645508</v>
      </c>
      <c r="H193">
        <v>193</v>
      </c>
      <c r="I193">
        <v>345</v>
      </c>
      <c r="J193">
        <v>33279</v>
      </c>
      <c r="K193" t="s">
        <v>2081</v>
      </c>
      <c r="L193">
        <v>10</v>
      </c>
      <c r="M193">
        <v>10</v>
      </c>
      <c r="N193">
        <v>33279</v>
      </c>
      <c r="O193">
        <v>190</v>
      </c>
      <c r="P193" t="s">
        <v>3215</v>
      </c>
      <c r="Q193">
        <v>0.3</v>
      </c>
      <c r="R193">
        <v>0</v>
      </c>
      <c r="S193">
        <v>7.0000000000000007E-2</v>
      </c>
      <c r="T193">
        <v>0</v>
      </c>
      <c r="U193">
        <v>4702286.4384500002</v>
      </c>
      <c r="V193">
        <v>12716.645457000001</v>
      </c>
      <c r="W193">
        <v>192</v>
      </c>
      <c r="X193">
        <v>0</v>
      </c>
      <c r="Y193">
        <v>191</v>
      </c>
      <c r="Z193" t="s">
        <v>6966</v>
      </c>
      <c r="AA193" t="s">
        <v>6966</v>
      </c>
      <c r="AB193" t="s">
        <v>6966</v>
      </c>
      <c r="AC193" t="s">
        <v>6966</v>
      </c>
      <c r="AD193" t="s">
        <v>6966</v>
      </c>
      <c r="AE193" t="s">
        <v>6966</v>
      </c>
      <c r="AF193" t="s">
        <v>6966</v>
      </c>
      <c r="AG193" t="s">
        <v>6966</v>
      </c>
      <c r="AH193" t="s">
        <v>6966</v>
      </c>
      <c r="AI193" t="s">
        <v>6966</v>
      </c>
      <c r="AJ193" t="s">
        <v>6966</v>
      </c>
      <c r="AK193" t="s">
        <v>6966</v>
      </c>
      <c r="AL193" t="s">
        <v>6966</v>
      </c>
      <c r="AM193" t="s">
        <v>6966</v>
      </c>
      <c r="AN193" t="s">
        <v>6966</v>
      </c>
      <c r="AO193" t="s">
        <v>6966</v>
      </c>
      <c r="AP193" t="s">
        <v>6966</v>
      </c>
      <c r="AQ193" t="s">
        <v>6966</v>
      </c>
      <c r="AR193" t="s">
        <v>6966</v>
      </c>
      <c r="AS193" t="s">
        <v>6966</v>
      </c>
      <c r="AT193" t="s">
        <v>6966</v>
      </c>
      <c r="AU193" t="s">
        <v>6966</v>
      </c>
      <c r="AV193" t="s">
        <v>6966</v>
      </c>
      <c r="AW193" t="s">
        <v>6966</v>
      </c>
      <c r="AX193" t="s">
        <v>6966</v>
      </c>
      <c r="AY193" t="s">
        <v>6966</v>
      </c>
      <c r="AZ193">
        <v>0.126413</v>
      </c>
      <c r="BA193">
        <v>4.6099999999999998E-4</v>
      </c>
    </row>
    <row r="194" spans="1:53" x14ac:dyDescent="0.25">
      <c r="A194">
        <v>192</v>
      </c>
      <c r="B194" t="s">
        <v>7625</v>
      </c>
      <c r="C194">
        <v>202011</v>
      </c>
      <c r="D194" t="s">
        <v>87</v>
      </c>
      <c r="E194" t="s">
        <v>1152</v>
      </c>
      <c r="F194">
        <v>54808.054687999997</v>
      </c>
      <c r="G194">
        <v>1059.5124510000001</v>
      </c>
      <c r="H194">
        <v>194</v>
      </c>
      <c r="I194">
        <v>349</v>
      </c>
      <c r="J194">
        <v>54001</v>
      </c>
      <c r="K194" t="s">
        <v>87</v>
      </c>
      <c r="L194">
        <v>18</v>
      </c>
      <c r="M194">
        <v>18</v>
      </c>
      <c r="N194">
        <v>54001</v>
      </c>
      <c r="O194">
        <v>192</v>
      </c>
      <c r="P194" t="s">
        <v>3214</v>
      </c>
      <c r="Q194">
        <v>0</v>
      </c>
      <c r="R194">
        <v>0</v>
      </c>
      <c r="S194">
        <v>0</v>
      </c>
      <c r="T194">
        <v>0</v>
      </c>
      <c r="U194">
        <v>54808.041859999998</v>
      </c>
      <c r="V194">
        <v>1059.512346</v>
      </c>
      <c r="W194">
        <v>193</v>
      </c>
      <c r="X194">
        <v>0</v>
      </c>
      <c r="Y194">
        <v>192</v>
      </c>
      <c r="Z194" t="s">
        <v>6966</v>
      </c>
      <c r="AA194" t="s">
        <v>6966</v>
      </c>
      <c r="AB194" t="s">
        <v>6966</v>
      </c>
      <c r="AC194" t="s">
        <v>6966</v>
      </c>
      <c r="AD194" t="s">
        <v>6966</v>
      </c>
      <c r="AE194" t="s">
        <v>6966</v>
      </c>
      <c r="AF194" t="s">
        <v>6966</v>
      </c>
      <c r="AG194" t="s">
        <v>6966</v>
      </c>
      <c r="AH194" t="s">
        <v>6966</v>
      </c>
      <c r="AI194" t="s">
        <v>6966</v>
      </c>
      <c r="AJ194" t="s">
        <v>6966</v>
      </c>
      <c r="AK194" t="s">
        <v>6966</v>
      </c>
      <c r="AL194" t="s">
        <v>6966</v>
      </c>
      <c r="AM194" t="s">
        <v>6966</v>
      </c>
      <c r="AN194" t="s">
        <v>6966</v>
      </c>
      <c r="AO194" t="s">
        <v>6966</v>
      </c>
      <c r="AP194" t="s">
        <v>6966</v>
      </c>
      <c r="AQ194" t="s">
        <v>6966</v>
      </c>
      <c r="AR194" t="s">
        <v>6966</v>
      </c>
      <c r="AS194" t="s">
        <v>6966</v>
      </c>
      <c r="AT194" t="s">
        <v>6966</v>
      </c>
      <c r="AU194" t="s">
        <v>6966</v>
      </c>
      <c r="AV194" t="s">
        <v>6966</v>
      </c>
      <c r="AW194" t="s">
        <v>6966</v>
      </c>
      <c r="AX194" t="s">
        <v>6966</v>
      </c>
      <c r="AY194" t="s">
        <v>6966</v>
      </c>
      <c r="AZ194">
        <v>1.1087E-2</v>
      </c>
      <c r="BA194">
        <v>5.0000000000000004E-6</v>
      </c>
    </row>
    <row r="195" spans="1:53" ht="270" x14ac:dyDescent="0.25">
      <c r="A195">
        <v>193</v>
      </c>
      <c r="B195" t="s">
        <v>7625</v>
      </c>
      <c r="C195">
        <v>705015</v>
      </c>
      <c r="D195" t="s">
        <v>537</v>
      </c>
      <c r="E195" t="s">
        <v>3225</v>
      </c>
      <c r="F195">
        <v>0</v>
      </c>
      <c r="G195">
        <v>23491.322265999999</v>
      </c>
      <c r="H195">
        <v>195</v>
      </c>
      <c r="I195">
        <v>348</v>
      </c>
      <c r="J195">
        <v>31111</v>
      </c>
      <c r="K195" t="s">
        <v>1994</v>
      </c>
      <c r="L195">
        <v>8</v>
      </c>
      <c r="M195">
        <v>8</v>
      </c>
      <c r="N195">
        <v>31111</v>
      </c>
      <c r="O195">
        <v>191</v>
      </c>
      <c r="P195" t="s">
        <v>3215</v>
      </c>
      <c r="Q195">
        <v>4.3</v>
      </c>
      <c r="R195">
        <v>27.43</v>
      </c>
      <c r="S195">
        <v>0.88</v>
      </c>
      <c r="T195">
        <v>6</v>
      </c>
      <c r="U195">
        <v>0</v>
      </c>
      <c r="V195">
        <v>23491.321817</v>
      </c>
      <c r="W195">
        <v>194</v>
      </c>
      <c r="X195">
        <v>57</v>
      </c>
      <c r="Y195">
        <v>193</v>
      </c>
      <c r="Z195">
        <v>55040</v>
      </c>
      <c r="AA195" s="76">
        <v>45665</v>
      </c>
      <c r="AB195">
        <v>2025</v>
      </c>
      <c r="AC195" t="s">
        <v>6992</v>
      </c>
      <c r="AD195">
        <v>8</v>
      </c>
      <c r="AE195" t="s">
        <v>7022</v>
      </c>
      <c r="AF195" t="s">
        <v>3215</v>
      </c>
      <c r="AG195" t="s">
        <v>3225</v>
      </c>
      <c r="AH195" t="s">
        <v>537</v>
      </c>
      <c r="AI195" t="s">
        <v>7023</v>
      </c>
      <c r="AJ195" t="s">
        <v>6966</v>
      </c>
      <c r="AK195">
        <v>34.426009999999998</v>
      </c>
      <c r="AL195">
        <v>35.842190000000002</v>
      </c>
      <c r="AM195" t="s">
        <v>7013</v>
      </c>
      <c r="AN195" t="s">
        <v>7014</v>
      </c>
      <c r="AO195" t="s">
        <v>7015</v>
      </c>
      <c r="AP195" s="77" t="s">
        <v>7024</v>
      </c>
      <c r="AQ195" t="s">
        <v>6998</v>
      </c>
      <c r="AR195" t="s">
        <v>6999</v>
      </c>
      <c r="AS195" t="s">
        <v>7000</v>
      </c>
      <c r="AT195">
        <v>0</v>
      </c>
      <c r="AU195">
        <v>0</v>
      </c>
      <c r="AV195" s="77" t="s">
        <v>7025</v>
      </c>
      <c r="AW195" t="s">
        <v>7018</v>
      </c>
      <c r="AX195" t="s">
        <v>6966</v>
      </c>
      <c r="AY195" t="s">
        <v>7003</v>
      </c>
      <c r="AZ195">
        <v>0.23341200000000001</v>
      </c>
      <c r="BA195">
        <v>1.108E-3</v>
      </c>
    </row>
    <row r="196" spans="1:53" x14ac:dyDescent="0.25">
      <c r="A196">
        <v>194</v>
      </c>
      <c r="B196" t="s">
        <v>7625</v>
      </c>
      <c r="C196">
        <v>704044</v>
      </c>
      <c r="D196" t="s">
        <v>947</v>
      </c>
      <c r="E196" t="s">
        <v>7685</v>
      </c>
      <c r="F196">
        <v>1616930</v>
      </c>
      <c r="G196">
        <v>8178.5014650000003</v>
      </c>
      <c r="H196">
        <v>196</v>
      </c>
      <c r="I196">
        <v>351</v>
      </c>
      <c r="J196">
        <v>37360</v>
      </c>
      <c r="K196" t="s">
        <v>947</v>
      </c>
      <c r="L196">
        <v>14</v>
      </c>
      <c r="M196">
        <v>14</v>
      </c>
      <c r="N196">
        <v>37360</v>
      </c>
      <c r="O196">
        <v>193</v>
      </c>
      <c r="P196" t="s">
        <v>3215</v>
      </c>
      <c r="Q196">
        <v>3</v>
      </c>
      <c r="R196">
        <v>157.66999999999999</v>
      </c>
      <c r="S196">
        <v>0.61</v>
      </c>
      <c r="T196">
        <v>32</v>
      </c>
      <c r="U196">
        <v>1616930.09873</v>
      </c>
      <c r="V196">
        <v>8178.5012450000004</v>
      </c>
      <c r="W196">
        <v>195</v>
      </c>
      <c r="X196">
        <v>0</v>
      </c>
      <c r="Y196">
        <v>194</v>
      </c>
      <c r="Z196" t="s">
        <v>6966</v>
      </c>
      <c r="AA196" t="s">
        <v>6966</v>
      </c>
      <c r="AB196" t="s">
        <v>6966</v>
      </c>
      <c r="AC196" t="s">
        <v>6966</v>
      </c>
      <c r="AD196" t="s">
        <v>6966</v>
      </c>
      <c r="AE196" t="s">
        <v>6966</v>
      </c>
      <c r="AF196" t="s">
        <v>6966</v>
      </c>
      <c r="AG196" t="s">
        <v>6966</v>
      </c>
      <c r="AH196" t="s">
        <v>6966</v>
      </c>
      <c r="AI196" t="s">
        <v>6966</v>
      </c>
      <c r="AJ196" t="s">
        <v>6966</v>
      </c>
      <c r="AK196" t="s">
        <v>6966</v>
      </c>
      <c r="AL196" t="s">
        <v>6966</v>
      </c>
      <c r="AM196" t="s">
        <v>6966</v>
      </c>
      <c r="AN196" t="s">
        <v>6966</v>
      </c>
      <c r="AO196" t="s">
        <v>6966</v>
      </c>
      <c r="AP196" t="s">
        <v>6966</v>
      </c>
      <c r="AQ196" t="s">
        <v>6966</v>
      </c>
      <c r="AR196" t="s">
        <v>6966</v>
      </c>
      <c r="AS196" t="s">
        <v>6966</v>
      </c>
      <c r="AT196" t="s">
        <v>6966</v>
      </c>
      <c r="AU196" t="s">
        <v>6966</v>
      </c>
      <c r="AV196" t="s">
        <v>6966</v>
      </c>
      <c r="AW196" t="s">
        <v>6966</v>
      </c>
      <c r="AX196" t="s">
        <v>6966</v>
      </c>
      <c r="AY196" t="s">
        <v>6966</v>
      </c>
      <c r="AZ196">
        <v>8.2763000000000003E-2</v>
      </c>
      <c r="BA196">
        <v>1.5899999999999999E-4</v>
      </c>
    </row>
    <row r="197" spans="1:53" x14ac:dyDescent="0.25">
      <c r="A197">
        <v>195</v>
      </c>
      <c r="B197" t="s">
        <v>7625</v>
      </c>
      <c r="C197">
        <v>705009</v>
      </c>
      <c r="D197" t="s">
        <v>545</v>
      </c>
      <c r="E197" t="s">
        <v>3225</v>
      </c>
      <c r="F197">
        <v>383253.03125</v>
      </c>
      <c r="G197">
        <v>4317.7094729999999</v>
      </c>
      <c r="H197">
        <v>197</v>
      </c>
      <c r="I197">
        <v>352</v>
      </c>
      <c r="J197">
        <v>31151</v>
      </c>
      <c r="K197" t="s">
        <v>7698</v>
      </c>
      <c r="L197">
        <v>8</v>
      </c>
      <c r="M197">
        <v>8</v>
      </c>
      <c r="N197">
        <v>31151</v>
      </c>
      <c r="O197">
        <v>194</v>
      </c>
      <c r="P197" t="s">
        <v>3215</v>
      </c>
      <c r="Q197">
        <v>1457.5</v>
      </c>
      <c r="R197">
        <v>1506.94</v>
      </c>
      <c r="S197">
        <v>297.39</v>
      </c>
      <c r="T197">
        <v>364</v>
      </c>
      <c r="U197">
        <v>383253.02757500001</v>
      </c>
      <c r="V197">
        <v>4317.7093279999999</v>
      </c>
      <c r="W197">
        <v>196</v>
      </c>
      <c r="X197">
        <v>25</v>
      </c>
      <c r="Y197">
        <v>195</v>
      </c>
      <c r="Z197">
        <v>60900</v>
      </c>
      <c r="AA197" s="76">
        <v>45767</v>
      </c>
      <c r="AB197">
        <v>2025</v>
      </c>
      <c r="AC197" t="s">
        <v>7183</v>
      </c>
      <c r="AD197">
        <v>20</v>
      </c>
      <c r="AE197" t="s">
        <v>7210</v>
      </c>
      <c r="AF197" t="s">
        <v>3215</v>
      </c>
      <c r="AG197" t="s">
        <v>3225</v>
      </c>
      <c r="AH197" t="s">
        <v>545</v>
      </c>
      <c r="AI197" t="s">
        <v>3069</v>
      </c>
      <c r="AJ197" t="s">
        <v>6966</v>
      </c>
      <c r="AK197">
        <v>34.437359999999998</v>
      </c>
      <c r="AL197">
        <v>35.850099999999998</v>
      </c>
      <c r="AM197" t="s">
        <v>7059</v>
      </c>
      <c r="AN197" t="s">
        <v>6995</v>
      </c>
      <c r="AO197" t="s">
        <v>7008</v>
      </c>
      <c r="AP197" t="s">
        <v>7211</v>
      </c>
      <c r="AQ197" t="s">
        <v>6998</v>
      </c>
      <c r="AR197" t="s">
        <v>7048</v>
      </c>
      <c r="AS197" t="s">
        <v>7000</v>
      </c>
      <c r="AT197">
        <v>0</v>
      </c>
      <c r="AU197">
        <v>0</v>
      </c>
      <c r="AV197" t="s">
        <v>7212</v>
      </c>
      <c r="AW197" t="s">
        <v>7041</v>
      </c>
      <c r="AX197" t="s">
        <v>6966</v>
      </c>
      <c r="AY197" t="s">
        <v>7003</v>
      </c>
      <c r="AZ197">
        <v>4.3208999999999997E-2</v>
      </c>
      <c r="BA197">
        <v>3.8000000000000002E-5</v>
      </c>
    </row>
    <row r="198" spans="1:53" x14ac:dyDescent="0.25">
      <c r="A198">
        <v>196</v>
      </c>
      <c r="B198" t="s">
        <v>7625</v>
      </c>
      <c r="C198">
        <v>704045</v>
      </c>
      <c r="D198" t="s">
        <v>961</v>
      </c>
      <c r="E198" t="s">
        <v>7685</v>
      </c>
      <c r="F198">
        <v>7626478.5</v>
      </c>
      <c r="G198">
        <v>13510.393555000001</v>
      </c>
      <c r="H198">
        <v>198</v>
      </c>
      <c r="I198">
        <v>353</v>
      </c>
      <c r="J198">
        <v>37383</v>
      </c>
      <c r="K198" t="s">
        <v>2323</v>
      </c>
      <c r="L198">
        <v>14</v>
      </c>
      <c r="M198">
        <v>14</v>
      </c>
      <c r="N198">
        <v>37383</v>
      </c>
      <c r="O198">
        <v>1614</v>
      </c>
      <c r="P198" t="s">
        <v>3215</v>
      </c>
      <c r="Q198">
        <v>0.2</v>
      </c>
      <c r="R198">
        <v>195.61</v>
      </c>
      <c r="S198">
        <v>0.03</v>
      </c>
      <c r="T198">
        <v>35</v>
      </c>
      <c r="U198">
        <v>7626478.6704299999</v>
      </c>
      <c r="V198">
        <v>13510.394213</v>
      </c>
      <c r="W198">
        <v>197</v>
      </c>
      <c r="X198">
        <v>0</v>
      </c>
      <c r="Y198">
        <v>196</v>
      </c>
      <c r="Z198" t="s">
        <v>6966</v>
      </c>
      <c r="AA198" t="s">
        <v>6966</v>
      </c>
      <c r="AB198" t="s">
        <v>6966</v>
      </c>
      <c r="AC198" t="s">
        <v>6966</v>
      </c>
      <c r="AD198" t="s">
        <v>6966</v>
      </c>
      <c r="AE198" t="s">
        <v>6966</v>
      </c>
      <c r="AF198" t="s">
        <v>6966</v>
      </c>
      <c r="AG198" t="s">
        <v>6966</v>
      </c>
      <c r="AH198" t="s">
        <v>6966</v>
      </c>
      <c r="AI198" t="s">
        <v>6966</v>
      </c>
      <c r="AJ198" t="s">
        <v>6966</v>
      </c>
      <c r="AK198" t="s">
        <v>6966</v>
      </c>
      <c r="AL198" t="s">
        <v>6966</v>
      </c>
      <c r="AM198" t="s">
        <v>6966</v>
      </c>
      <c r="AN198" t="s">
        <v>6966</v>
      </c>
      <c r="AO198" t="s">
        <v>6966</v>
      </c>
      <c r="AP198" t="s">
        <v>6966</v>
      </c>
      <c r="AQ198" t="s">
        <v>6966</v>
      </c>
      <c r="AR198" t="s">
        <v>6966</v>
      </c>
      <c r="AS198" t="s">
        <v>6966</v>
      </c>
      <c r="AT198" t="s">
        <v>6966</v>
      </c>
      <c r="AU198" t="s">
        <v>6966</v>
      </c>
      <c r="AV198" t="s">
        <v>6966</v>
      </c>
      <c r="AW198" t="s">
        <v>6966</v>
      </c>
      <c r="AX198" t="s">
        <v>6966</v>
      </c>
      <c r="AY198" t="s">
        <v>6966</v>
      </c>
      <c r="AZ198">
        <v>0.13453899999999999</v>
      </c>
      <c r="BA198">
        <v>7.4799999999999997E-4</v>
      </c>
    </row>
    <row r="199" spans="1:53" ht="285" x14ac:dyDescent="0.25">
      <c r="A199">
        <v>197</v>
      </c>
      <c r="B199" t="s">
        <v>7625</v>
      </c>
      <c r="C199">
        <v>705016</v>
      </c>
      <c r="D199" t="s">
        <v>547</v>
      </c>
      <c r="E199" t="s">
        <v>3225</v>
      </c>
      <c r="F199">
        <v>221944.5</v>
      </c>
      <c r="G199">
        <v>2336.953857</v>
      </c>
      <c r="H199">
        <v>199</v>
      </c>
      <c r="I199">
        <v>354</v>
      </c>
      <c r="J199">
        <v>31161</v>
      </c>
      <c r="K199" t="s">
        <v>2004</v>
      </c>
      <c r="L199">
        <v>8</v>
      </c>
      <c r="M199">
        <v>8</v>
      </c>
      <c r="N199">
        <v>31161</v>
      </c>
      <c r="O199">
        <v>195</v>
      </c>
      <c r="P199" t="s">
        <v>3215</v>
      </c>
      <c r="Q199">
        <v>898.7</v>
      </c>
      <c r="R199">
        <v>986.92</v>
      </c>
      <c r="S199">
        <v>171.03</v>
      </c>
      <c r="T199">
        <v>188</v>
      </c>
      <c r="U199">
        <v>221944.455112</v>
      </c>
      <c r="V199">
        <v>2336.9532680000002</v>
      </c>
      <c r="W199">
        <v>198</v>
      </c>
      <c r="X199">
        <v>29</v>
      </c>
      <c r="Y199">
        <v>197</v>
      </c>
      <c r="Z199">
        <v>55326</v>
      </c>
      <c r="AA199" s="76">
        <v>45670</v>
      </c>
      <c r="AB199">
        <v>2025</v>
      </c>
      <c r="AC199" t="s">
        <v>6992</v>
      </c>
      <c r="AD199">
        <v>13</v>
      </c>
      <c r="AE199" t="s">
        <v>7037</v>
      </c>
      <c r="AF199" t="s">
        <v>3215</v>
      </c>
      <c r="AG199" t="s">
        <v>3225</v>
      </c>
      <c r="AH199" t="s">
        <v>547</v>
      </c>
      <c r="AI199" t="s">
        <v>7038</v>
      </c>
      <c r="AJ199" t="s">
        <v>7128</v>
      </c>
      <c r="AK199">
        <v>34.43956</v>
      </c>
      <c r="AL199">
        <v>35.846809999999998</v>
      </c>
      <c r="AM199" t="s">
        <v>7013</v>
      </c>
      <c r="AN199" t="s">
        <v>7014</v>
      </c>
      <c r="AO199" t="s">
        <v>7015</v>
      </c>
      <c r="AP199" s="77" t="s">
        <v>7039</v>
      </c>
      <c r="AQ199" t="s">
        <v>6998</v>
      </c>
      <c r="AR199" t="s">
        <v>6999</v>
      </c>
      <c r="AS199" t="s">
        <v>7000</v>
      </c>
      <c r="AT199">
        <v>0</v>
      </c>
      <c r="AU199">
        <v>0</v>
      </c>
      <c r="AV199" t="s">
        <v>7040</v>
      </c>
      <c r="AW199" t="s">
        <v>7041</v>
      </c>
      <c r="AX199" t="s">
        <v>7129</v>
      </c>
      <c r="AY199" t="s">
        <v>7003</v>
      </c>
      <c r="AZ199">
        <v>2.3078000000000001E-2</v>
      </c>
      <c r="BA199">
        <v>2.1999999999999999E-5</v>
      </c>
    </row>
    <row r="200" spans="1:53" x14ac:dyDescent="0.25">
      <c r="A200">
        <v>198</v>
      </c>
      <c r="B200" t="s">
        <v>7625</v>
      </c>
      <c r="C200">
        <v>704002</v>
      </c>
      <c r="D200" t="s">
        <v>949</v>
      </c>
      <c r="E200" t="s">
        <v>7685</v>
      </c>
      <c r="F200">
        <v>1484939.875</v>
      </c>
      <c r="G200">
        <v>5662.2783200000003</v>
      </c>
      <c r="H200">
        <v>200</v>
      </c>
      <c r="I200">
        <v>355</v>
      </c>
      <c r="J200">
        <v>37362</v>
      </c>
      <c r="K200" t="s">
        <v>2312</v>
      </c>
      <c r="L200">
        <v>14</v>
      </c>
      <c r="M200">
        <v>14</v>
      </c>
      <c r="N200">
        <v>37362</v>
      </c>
      <c r="O200">
        <v>196</v>
      </c>
      <c r="P200" t="s">
        <v>3215</v>
      </c>
      <c r="Q200">
        <v>0.2</v>
      </c>
      <c r="R200">
        <v>116.28</v>
      </c>
      <c r="S200">
        <v>0.03</v>
      </c>
      <c r="T200">
        <v>19</v>
      </c>
      <c r="U200">
        <v>1484939.9845799999</v>
      </c>
      <c r="V200">
        <v>5662.2783159999999</v>
      </c>
      <c r="W200">
        <v>199</v>
      </c>
      <c r="X200">
        <v>0</v>
      </c>
      <c r="Y200">
        <v>198</v>
      </c>
      <c r="Z200" t="s">
        <v>6966</v>
      </c>
      <c r="AA200" t="s">
        <v>6966</v>
      </c>
      <c r="AB200" t="s">
        <v>6966</v>
      </c>
      <c r="AC200" t="s">
        <v>6966</v>
      </c>
      <c r="AD200" t="s">
        <v>6966</v>
      </c>
      <c r="AE200" t="s">
        <v>6966</v>
      </c>
      <c r="AF200" t="s">
        <v>6966</v>
      </c>
      <c r="AG200" t="s">
        <v>6966</v>
      </c>
      <c r="AH200" t="s">
        <v>6966</v>
      </c>
      <c r="AI200" t="s">
        <v>6966</v>
      </c>
      <c r="AJ200" t="s">
        <v>6966</v>
      </c>
      <c r="AK200" t="s">
        <v>6966</v>
      </c>
      <c r="AL200" t="s">
        <v>6966</v>
      </c>
      <c r="AM200" t="s">
        <v>6966</v>
      </c>
      <c r="AN200" t="s">
        <v>6966</v>
      </c>
      <c r="AO200" t="s">
        <v>6966</v>
      </c>
      <c r="AP200" t="s">
        <v>6966</v>
      </c>
      <c r="AQ200" t="s">
        <v>6966</v>
      </c>
      <c r="AR200" t="s">
        <v>6966</v>
      </c>
      <c r="AS200" t="s">
        <v>6966</v>
      </c>
      <c r="AT200" t="s">
        <v>6966</v>
      </c>
      <c r="AU200" t="s">
        <v>6966</v>
      </c>
      <c r="AV200" t="s">
        <v>6966</v>
      </c>
      <c r="AW200" t="s">
        <v>6966</v>
      </c>
      <c r="AX200" t="s">
        <v>6966</v>
      </c>
      <c r="AY200" t="s">
        <v>6966</v>
      </c>
      <c r="AZ200">
        <v>5.7232999999999999E-2</v>
      </c>
      <c r="BA200">
        <v>1.46E-4</v>
      </c>
    </row>
    <row r="201" spans="1:53" x14ac:dyDescent="0.25">
      <c r="A201">
        <v>199</v>
      </c>
      <c r="B201" t="s">
        <v>7625</v>
      </c>
      <c r="C201">
        <v>704018</v>
      </c>
      <c r="D201" t="s">
        <v>943</v>
      </c>
      <c r="E201" t="s">
        <v>7685</v>
      </c>
      <c r="F201">
        <v>6142144.5</v>
      </c>
      <c r="G201">
        <v>13114.473633</v>
      </c>
      <c r="H201">
        <v>201</v>
      </c>
      <c r="I201">
        <v>356</v>
      </c>
      <c r="J201">
        <v>37356</v>
      </c>
      <c r="K201" t="s">
        <v>943</v>
      </c>
      <c r="L201">
        <v>14</v>
      </c>
      <c r="M201">
        <v>14</v>
      </c>
      <c r="N201">
        <v>37356</v>
      </c>
      <c r="O201">
        <v>197</v>
      </c>
      <c r="P201" t="s">
        <v>3215</v>
      </c>
      <c r="Q201">
        <v>0.9</v>
      </c>
      <c r="R201">
        <v>208.77</v>
      </c>
      <c r="S201">
        <v>0.18</v>
      </c>
      <c r="T201">
        <v>44</v>
      </c>
      <c r="U201">
        <v>6142144.2723700004</v>
      </c>
      <c r="V201">
        <v>13114.473153000001</v>
      </c>
      <c r="W201">
        <v>200</v>
      </c>
      <c r="X201">
        <v>0</v>
      </c>
      <c r="Y201">
        <v>199</v>
      </c>
      <c r="Z201" t="s">
        <v>6966</v>
      </c>
      <c r="AA201" t="s">
        <v>6966</v>
      </c>
      <c r="AB201" t="s">
        <v>6966</v>
      </c>
      <c r="AC201" t="s">
        <v>6966</v>
      </c>
      <c r="AD201" t="s">
        <v>6966</v>
      </c>
      <c r="AE201" t="s">
        <v>6966</v>
      </c>
      <c r="AF201" t="s">
        <v>6966</v>
      </c>
      <c r="AG201" t="s">
        <v>6966</v>
      </c>
      <c r="AH201" t="s">
        <v>6966</v>
      </c>
      <c r="AI201" t="s">
        <v>6966</v>
      </c>
      <c r="AJ201" t="s">
        <v>6966</v>
      </c>
      <c r="AK201" t="s">
        <v>6966</v>
      </c>
      <c r="AL201" t="s">
        <v>6966</v>
      </c>
      <c r="AM201" t="s">
        <v>6966</v>
      </c>
      <c r="AN201" t="s">
        <v>6966</v>
      </c>
      <c r="AO201" t="s">
        <v>6966</v>
      </c>
      <c r="AP201" t="s">
        <v>6966</v>
      </c>
      <c r="AQ201" t="s">
        <v>6966</v>
      </c>
      <c r="AR201" t="s">
        <v>6966</v>
      </c>
      <c r="AS201" t="s">
        <v>6966</v>
      </c>
      <c r="AT201" t="s">
        <v>6966</v>
      </c>
      <c r="AU201" t="s">
        <v>6966</v>
      </c>
      <c r="AV201" t="s">
        <v>6966</v>
      </c>
      <c r="AW201" t="s">
        <v>6966</v>
      </c>
      <c r="AX201" t="s">
        <v>6966</v>
      </c>
      <c r="AY201" t="s">
        <v>6966</v>
      </c>
      <c r="AZ201">
        <v>0.13262099999999999</v>
      </c>
      <c r="BA201">
        <v>6.02E-4</v>
      </c>
    </row>
    <row r="202" spans="1:53" x14ac:dyDescent="0.25">
      <c r="A202">
        <v>200</v>
      </c>
      <c r="B202" t="s">
        <v>7625</v>
      </c>
      <c r="C202">
        <v>704005</v>
      </c>
      <c r="D202" t="s">
        <v>948</v>
      </c>
      <c r="E202" t="s">
        <v>7685</v>
      </c>
      <c r="F202">
        <v>4135093.25</v>
      </c>
      <c r="G202">
        <v>11602.920898</v>
      </c>
      <c r="H202">
        <v>202</v>
      </c>
      <c r="I202">
        <v>357</v>
      </c>
      <c r="J202">
        <v>37361</v>
      </c>
      <c r="K202" t="s">
        <v>2311</v>
      </c>
      <c r="L202">
        <v>14</v>
      </c>
      <c r="M202">
        <v>14</v>
      </c>
      <c r="N202">
        <v>37361</v>
      </c>
      <c r="O202">
        <v>198</v>
      </c>
      <c r="P202" t="s">
        <v>3215</v>
      </c>
      <c r="Q202">
        <v>2.6</v>
      </c>
      <c r="R202">
        <v>172.26</v>
      </c>
      <c r="S202">
        <v>0.61</v>
      </c>
      <c r="T202">
        <v>40</v>
      </c>
      <c r="U202">
        <v>4135093.2051300001</v>
      </c>
      <c r="V202">
        <v>11602.920692</v>
      </c>
      <c r="W202">
        <v>201</v>
      </c>
      <c r="X202">
        <v>0</v>
      </c>
      <c r="Y202">
        <v>200</v>
      </c>
      <c r="Z202" t="s">
        <v>6966</v>
      </c>
      <c r="AA202" t="s">
        <v>6966</v>
      </c>
      <c r="AB202" t="s">
        <v>6966</v>
      </c>
      <c r="AC202" t="s">
        <v>6966</v>
      </c>
      <c r="AD202" t="s">
        <v>6966</v>
      </c>
      <c r="AE202" t="s">
        <v>6966</v>
      </c>
      <c r="AF202" t="s">
        <v>6966</v>
      </c>
      <c r="AG202" t="s">
        <v>6966</v>
      </c>
      <c r="AH202" t="s">
        <v>6966</v>
      </c>
      <c r="AI202" t="s">
        <v>6966</v>
      </c>
      <c r="AJ202" t="s">
        <v>6966</v>
      </c>
      <c r="AK202" t="s">
        <v>6966</v>
      </c>
      <c r="AL202" t="s">
        <v>6966</v>
      </c>
      <c r="AM202" t="s">
        <v>6966</v>
      </c>
      <c r="AN202" t="s">
        <v>6966</v>
      </c>
      <c r="AO202" t="s">
        <v>6966</v>
      </c>
      <c r="AP202" t="s">
        <v>6966</v>
      </c>
      <c r="AQ202" t="s">
        <v>6966</v>
      </c>
      <c r="AR202" t="s">
        <v>6966</v>
      </c>
      <c r="AS202" t="s">
        <v>6966</v>
      </c>
      <c r="AT202" t="s">
        <v>6966</v>
      </c>
      <c r="AU202" t="s">
        <v>6966</v>
      </c>
      <c r="AV202" t="s">
        <v>6966</v>
      </c>
      <c r="AW202" t="s">
        <v>6966</v>
      </c>
      <c r="AX202" t="s">
        <v>6966</v>
      </c>
      <c r="AY202" t="s">
        <v>6966</v>
      </c>
      <c r="AZ202">
        <v>0.118746</v>
      </c>
      <c r="BA202">
        <v>4.06E-4</v>
      </c>
    </row>
    <row r="203" spans="1:53" x14ac:dyDescent="0.25">
      <c r="A203">
        <v>201</v>
      </c>
      <c r="B203" t="s">
        <v>7625</v>
      </c>
      <c r="C203">
        <v>201075</v>
      </c>
      <c r="D203" t="s">
        <v>1100</v>
      </c>
      <c r="E203" t="s">
        <v>1069</v>
      </c>
      <c r="F203">
        <v>0</v>
      </c>
      <c r="G203">
        <v>45227.613280999998</v>
      </c>
      <c r="H203">
        <v>203</v>
      </c>
      <c r="I203">
        <v>359</v>
      </c>
      <c r="J203">
        <v>53254</v>
      </c>
      <c r="K203" t="s">
        <v>2440</v>
      </c>
      <c r="L203">
        <v>17</v>
      </c>
      <c r="M203">
        <v>18</v>
      </c>
      <c r="N203">
        <v>53254</v>
      </c>
      <c r="O203">
        <v>200</v>
      </c>
      <c r="P203" t="s">
        <v>3214</v>
      </c>
      <c r="Q203">
        <v>0.1</v>
      </c>
      <c r="R203">
        <v>1371.19</v>
      </c>
      <c r="S203">
        <v>0.02</v>
      </c>
      <c r="T203">
        <v>0</v>
      </c>
      <c r="U203">
        <v>0</v>
      </c>
      <c r="V203">
        <v>45227.612685</v>
      </c>
      <c r="W203">
        <v>202</v>
      </c>
      <c r="X203">
        <v>0</v>
      </c>
      <c r="Y203">
        <v>201</v>
      </c>
      <c r="Z203" t="s">
        <v>6966</v>
      </c>
      <c r="AA203" t="s">
        <v>6966</v>
      </c>
      <c r="AB203" t="s">
        <v>6966</v>
      </c>
      <c r="AC203" t="s">
        <v>6966</v>
      </c>
      <c r="AD203" t="s">
        <v>6966</v>
      </c>
      <c r="AE203" t="s">
        <v>6966</v>
      </c>
      <c r="AF203" t="s">
        <v>6966</v>
      </c>
      <c r="AG203" t="s">
        <v>6966</v>
      </c>
      <c r="AH203" t="s">
        <v>6966</v>
      </c>
      <c r="AI203" t="s">
        <v>6966</v>
      </c>
      <c r="AJ203" t="s">
        <v>6966</v>
      </c>
      <c r="AK203" t="s">
        <v>6966</v>
      </c>
      <c r="AL203" t="s">
        <v>6966</v>
      </c>
      <c r="AM203" t="s">
        <v>6966</v>
      </c>
      <c r="AN203" t="s">
        <v>6966</v>
      </c>
      <c r="AO203" t="s">
        <v>6966</v>
      </c>
      <c r="AP203" t="s">
        <v>6966</v>
      </c>
      <c r="AQ203" t="s">
        <v>6966</v>
      </c>
      <c r="AR203" t="s">
        <v>6966</v>
      </c>
      <c r="AS203" t="s">
        <v>6966</v>
      </c>
      <c r="AT203" t="s">
        <v>6966</v>
      </c>
      <c r="AU203" t="s">
        <v>6966</v>
      </c>
      <c r="AV203" t="s">
        <v>6966</v>
      </c>
      <c r="AW203" t="s">
        <v>6966</v>
      </c>
      <c r="AX203" t="s">
        <v>6966</v>
      </c>
      <c r="AY203" t="s">
        <v>6966</v>
      </c>
      <c r="AZ203">
        <v>0.44559599999999999</v>
      </c>
      <c r="BA203">
        <v>6.3509999999999999E-3</v>
      </c>
    </row>
    <row r="204" spans="1:53" x14ac:dyDescent="0.25">
      <c r="A204">
        <v>202</v>
      </c>
      <c r="B204" t="s">
        <v>7625</v>
      </c>
      <c r="C204">
        <v>704017</v>
      </c>
      <c r="D204" t="s">
        <v>935</v>
      </c>
      <c r="E204" t="s">
        <v>7685</v>
      </c>
      <c r="F204">
        <v>9599117</v>
      </c>
      <c r="G204">
        <v>17203.230468999998</v>
      </c>
      <c r="H204">
        <v>204</v>
      </c>
      <c r="I204">
        <v>358</v>
      </c>
      <c r="J204">
        <v>37343</v>
      </c>
      <c r="K204" t="s">
        <v>935</v>
      </c>
      <c r="L204">
        <v>14</v>
      </c>
      <c r="M204">
        <v>14</v>
      </c>
      <c r="N204">
        <v>37343</v>
      </c>
      <c r="O204">
        <v>199</v>
      </c>
      <c r="P204" t="s">
        <v>3215</v>
      </c>
      <c r="Q204">
        <v>1.9</v>
      </c>
      <c r="R204">
        <v>66.91</v>
      </c>
      <c r="S204">
        <v>0.37</v>
      </c>
      <c r="T204">
        <v>13</v>
      </c>
      <c r="U204">
        <v>9599116.6986699998</v>
      </c>
      <c r="V204">
        <v>17203.230657</v>
      </c>
      <c r="W204">
        <v>203</v>
      </c>
      <c r="X204">
        <v>0</v>
      </c>
      <c r="Y204">
        <v>202</v>
      </c>
      <c r="Z204" t="s">
        <v>6966</v>
      </c>
      <c r="AA204" t="s">
        <v>6966</v>
      </c>
      <c r="AB204" t="s">
        <v>6966</v>
      </c>
      <c r="AC204" t="s">
        <v>6966</v>
      </c>
      <c r="AD204" t="s">
        <v>6966</v>
      </c>
      <c r="AE204" t="s">
        <v>6966</v>
      </c>
      <c r="AF204" t="s">
        <v>6966</v>
      </c>
      <c r="AG204" t="s">
        <v>6966</v>
      </c>
      <c r="AH204" t="s">
        <v>6966</v>
      </c>
      <c r="AI204" t="s">
        <v>6966</v>
      </c>
      <c r="AJ204" t="s">
        <v>6966</v>
      </c>
      <c r="AK204" t="s">
        <v>6966</v>
      </c>
      <c r="AL204" t="s">
        <v>6966</v>
      </c>
      <c r="AM204" t="s">
        <v>6966</v>
      </c>
      <c r="AN204" t="s">
        <v>6966</v>
      </c>
      <c r="AO204" t="s">
        <v>6966</v>
      </c>
      <c r="AP204" t="s">
        <v>6966</v>
      </c>
      <c r="AQ204" t="s">
        <v>6966</v>
      </c>
      <c r="AR204" t="s">
        <v>6966</v>
      </c>
      <c r="AS204" t="s">
        <v>6966</v>
      </c>
      <c r="AT204" t="s">
        <v>6966</v>
      </c>
      <c r="AU204" t="s">
        <v>6966</v>
      </c>
      <c r="AV204" t="s">
        <v>6966</v>
      </c>
      <c r="AW204" t="s">
        <v>6966</v>
      </c>
      <c r="AX204" t="s">
        <v>6966</v>
      </c>
      <c r="AY204" t="s">
        <v>6966</v>
      </c>
      <c r="AZ204">
        <v>0.17471800000000001</v>
      </c>
      <c r="BA204">
        <v>9.41E-4</v>
      </c>
    </row>
    <row r="205" spans="1:53" x14ac:dyDescent="0.25">
      <c r="A205">
        <v>203</v>
      </c>
      <c r="B205" t="s">
        <v>7625</v>
      </c>
      <c r="C205">
        <v>705013</v>
      </c>
      <c r="D205" t="s">
        <v>539</v>
      </c>
      <c r="E205" t="s">
        <v>3225</v>
      </c>
      <c r="F205">
        <v>512833.96875</v>
      </c>
      <c r="G205">
        <v>4681.4833980000003</v>
      </c>
      <c r="H205">
        <v>205</v>
      </c>
      <c r="I205">
        <v>360</v>
      </c>
      <c r="J205">
        <v>31121</v>
      </c>
      <c r="K205" t="s">
        <v>1996</v>
      </c>
      <c r="L205">
        <v>8</v>
      </c>
      <c r="M205">
        <v>8</v>
      </c>
      <c r="N205">
        <v>31121</v>
      </c>
      <c r="O205">
        <v>201</v>
      </c>
      <c r="P205" t="s">
        <v>3215</v>
      </c>
      <c r="Q205">
        <v>1124.5</v>
      </c>
      <c r="R205">
        <v>1174.8499999999999</v>
      </c>
      <c r="S205">
        <v>236.65</v>
      </c>
      <c r="T205">
        <v>247</v>
      </c>
      <c r="U205">
        <v>512833.984451</v>
      </c>
      <c r="V205">
        <v>4681.4833250000001</v>
      </c>
      <c r="W205">
        <v>204</v>
      </c>
      <c r="X205">
        <v>7</v>
      </c>
      <c r="Y205">
        <v>203</v>
      </c>
      <c r="Z205">
        <v>55900</v>
      </c>
      <c r="AA205" s="76">
        <v>45680</v>
      </c>
      <c r="AB205">
        <v>2025</v>
      </c>
      <c r="AC205" t="s">
        <v>6992</v>
      </c>
      <c r="AD205">
        <v>23</v>
      </c>
      <c r="AE205" t="s">
        <v>7063</v>
      </c>
      <c r="AF205" t="s">
        <v>3215</v>
      </c>
      <c r="AG205" t="s">
        <v>3225</v>
      </c>
      <c r="AH205" t="s">
        <v>539</v>
      </c>
      <c r="AI205" t="s">
        <v>3067</v>
      </c>
      <c r="AJ205" t="s">
        <v>6966</v>
      </c>
      <c r="AK205">
        <v>34.437730000000002</v>
      </c>
      <c r="AL205">
        <v>35.836840000000002</v>
      </c>
      <c r="AM205" t="s">
        <v>7013</v>
      </c>
      <c r="AN205" t="s">
        <v>6995</v>
      </c>
      <c r="AO205" t="s">
        <v>7015</v>
      </c>
      <c r="AP205" t="s">
        <v>7064</v>
      </c>
      <c r="AQ205" t="s">
        <v>6998</v>
      </c>
      <c r="AR205" t="s">
        <v>6999</v>
      </c>
      <c r="AS205" t="s">
        <v>7036</v>
      </c>
      <c r="AT205">
        <v>0</v>
      </c>
      <c r="AU205">
        <v>0</v>
      </c>
      <c r="AV205" t="s">
        <v>7214</v>
      </c>
      <c r="AW205" t="s">
        <v>7018</v>
      </c>
      <c r="AX205" t="s">
        <v>6966</v>
      </c>
      <c r="AY205" t="s">
        <v>7003</v>
      </c>
      <c r="AZ205">
        <v>4.6618E-2</v>
      </c>
      <c r="BA205">
        <v>5.0000000000000002E-5</v>
      </c>
    </row>
    <row r="206" spans="1:53" x14ac:dyDescent="0.25">
      <c r="A206">
        <v>204</v>
      </c>
      <c r="B206" t="s">
        <v>7625</v>
      </c>
      <c r="C206">
        <v>706002</v>
      </c>
      <c r="D206" t="s">
        <v>608</v>
      </c>
      <c r="E206" t="s">
        <v>597</v>
      </c>
      <c r="F206">
        <v>6336034</v>
      </c>
      <c r="G206">
        <v>12984.688477</v>
      </c>
      <c r="H206">
        <v>206</v>
      </c>
      <c r="I206">
        <v>361</v>
      </c>
      <c r="J206">
        <v>33133</v>
      </c>
      <c r="K206" t="s">
        <v>2052</v>
      </c>
      <c r="L206">
        <v>10</v>
      </c>
      <c r="M206">
        <v>10</v>
      </c>
      <c r="N206">
        <v>33133</v>
      </c>
      <c r="O206">
        <v>202</v>
      </c>
      <c r="P206" t="s">
        <v>3215</v>
      </c>
      <c r="Q206">
        <v>2.2999999999999998</v>
      </c>
      <c r="R206">
        <v>67.91</v>
      </c>
      <c r="S206">
        <v>0.54</v>
      </c>
      <c r="T206">
        <v>16</v>
      </c>
      <c r="U206">
        <v>6336033.80437</v>
      </c>
      <c r="V206">
        <v>12984.687775</v>
      </c>
      <c r="W206">
        <v>205</v>
      </c>
      <c r="X206">
        <v>0</v>
      </c>
      <c r="Y206">
        <v>204</v>
      </c>
      <c r="Z206" t="s">
        <v>6966</v>
      </c>
      <c r="AA206" t="s">
        <v>6966</v>
      </c>
      <c r="AB206" t="s">
        <v>6966</v>
      </c>
      <c r="AC206" t="s">
        <v>6966</v>
      </c>
      <c r="AD206" t="s">
        <v>6966</v>
      </c>
      <c r="AE206" t="s">
        <v>6966</v>
      </c>
      <c r="AF206" t="s">
        <v>6966</v>
      </c>
      <c r="AG206" t="s">
        <v>6966</v>
      </c>
      <c r="AH206" t="s">
        <v>6966</v>
      </c>
      <c r="AI206" t="s">
        <v>6966</v>
      </c>
      <c r="AJ206" t="s">
        <v>6966</v>
      </c>
      <c r="AK206" t="s">
        <v>6966</v>
      </c>
      <c r="AL206" t="s">
        <v>6966</v>
      </c>
      <c r="AM206" t="s">
        <v>6966</v>
      </c>
      <c r="AN206" t="s">
        <v>6966</v>
      </c>
      <c r="AO206" t="s">
        <v>6966</v>
      </c>
      <c r="AP206" t="s">
        <v>6966</v>
      </c>
      <c r="AQ206" t="s">
        <v>6966</v>
      </c>
      <c r="AR206" t="s">
        <v>6966</v>
      </c>
      <c r="AS206" t="s">
        <v>6966</v>
      </c>
      <c r="AT206" t="s">
        <v>6966</v>
      </c>
      <c r="AU206" t="s">
        <v>6966</v>
      </c>
      <c r="AV206" t="s">
        <v>6966</v>
      </c>
      <c r="AW206" t="s">
        <v>6966</v>
      </c>
      <c r="AX206" t="s">
        <v>6966</v>
      </c>
      <c r="AY206" t="s">
        <v>6966</v>
      </c>
      <c r="AZ206">
        <v>0.12785199999999999</v>
      </c>
      <c r="BA206">
        <v>6.2100000000000002E-4</v>
      </c>
    </row>
    <row r="207" spans="1:53" x14ac:dyDescent="0.25">
      <c r="A207">
        <v>205</v>
      </c>
      <c r="B207" t="s">
        <v>7625</v>
      </c>
      <c r="C207">
        <v>705014</v>
      </c>
      <c r="D207" t="s">
        <v>546</v>
      </c>
      <c r="E207" t="s">
        <v>3225</v>
      </c>
      <c r="F207">
        <v>139780.203125</v>
      </c>
      <c r="G207">
        <v>1911.346436</v>
      </c>
      <c r="H207">
        <v>207</v>
      </c>
      <c r="I207">
        <v>363</v>
      </c>
      <c r="J207">
        <v>31156</v>
      </c>
      <c r="K207" t="s">
        <v>2003</v>
      </c>
      <c r="L207">
        <v>8</v>
      </c>
      <c r="M207">
        <v>8</v>
      </c>
      <c r="N207">
        <v>31156</v>
      </c>
      <c r="O207">
        <v>203</v>
      </c>
      <c r="P207" t="s">
        <v>3215</v>
      </c>
      <c r="Q207">
        <v>286</v>
      </c>
      <c r="R207">
        <v>291.20999999999998</v>
      </c>
      <c r="S207">
        <v>56.63</v>
      </c>
      <c r="T207">
        <v>58</v>
      </c>
      <c r="U207">
        <v>139780.200924</v>
      </c>
      <c r="V207">
        <v>1911.3465000000001</v>
      </c>
      <c r="W207">
        <v>206</v>
      </c>
      <c r="X207">
        <v>7</v>
      </c>
      <c r="Y207">
        <v>205</v>
      </c>
      <c r="Z207">
        <v>58649</v>
      </c>
      <c r="AA207" s="76">
        <v>45730</v>
      </c>
      <c r="AB207">
        <v>2025</v>
      </c>
      <c r="AC207" t="s">
        <v>7104</v>
      </c>
      <c r="AD207">
        <v>14</v>
      </c>
      <c r="AE207" t="s">
        <v>7112</v>
      </c>
      <c r="AF207" t="s">
        <v>3215</v>
      </c>
      <c r="AG207" t="s">
        <v>3225</v>
      </c>
      <c r="AH207" t="s">
        <v>546</v>
      </c>
      <c r="AI207" t="s">
        <v>3078</v>
      </c>
      <c r="AJ207" t="s">
        <v>6966</v>
      </c>
      <c r="AK207">
        <v>34.438490000000002</v>
      </c>
      <c r="AL207">
        <v>35.842779999999998</v>
      </c>
      <c r="AM207" t="s">
        <v>6995</v>
      </c>
      <c r="AN207" t="s">
        <v>6995</v>
      </c>
      <c r="AO207" t="s">
        <v>7086</v>
      </c>
      <c r="AP207" t="s">
        <v>7113</v>
      </c>
      <c r="AQ207" t="s">
        <v>6998</v>
      </c>
      <c r="AR207" t="s">
        <v>6999</v>
      </c>
      <c r="AS207" t="s">
        <v>7071</v>
      </c>
      <c r="AT207">
        <v>0</v>
      </c>
      <c r="AU207">
        <v>2</v>
      </c>
      <c r="AV207" t="s">
        <v>7408</v>
      </c>
      <c r="AW207" t="s">
        <v>7018</v>
      </c>
      <c r="AX207" t="s">
        <v>6966</v>
      </c>
      <c r="AY207" t="s">
        <v>7114</v>
      </c>
      <c r="AZ207">
        <v>1.9470999999999999E-2</v>
      </c>
      <c r="BA207">
        <v>1.4E-5</v>
      </c>
    </row>
    <row r="208" spans="1:53" x14ac:dyDescent="0.25">
      <c r="A208">
        <v>206</v>
      </c>
      <c r="B208" t="s">
        <v>7625</v>
      </c>
      <c r="C208">
        <v>706020</v>
      </c>
      <c r="D208" t="s">
        <v>644</v>
      </c>
      <c r="E208" t="s">
        <v>597</v>
      </c>
      <c r="F208">
        <v>4923479.5</v>
      </c>
      <c r="G208">
        <v>10090.856444999999</v>
      </c>
      <c r="H208">
        <v>208</v>
      </c>
      <c r="I208">
        <v>364</v>
      </c>
      <c r="J208">
        <v>33275</v>
      </c>
      <c r="K208" t="s">
        <v>2080</v>
      </c>
      <c r="L208">
        <v>10</v>
      </c>
      <c r="M208">
        <v>10</v>
      </c>
      <c r="N208">
        <v>33275</v>
      </c>
      <c r="O208">
        <v>204</v>
      </c>
      <c r="P208" t="s">
        <v>3215</v>
      </c>
      <c r="Q208">
        <v>1.3</v>
      </c>
      <c r="R208">
        <v>42.22</v>
      </c>
      <c r="S208">
        <v>0.28999999999999998</v>
      </c>
      <c r="T208">
        <v>10</v>
      </c>
      <c r="U208">
        <v>4923479.3536299998</v>
      </c>
      <c r="V208">
        <v>10090.857124</v>
      </c>
      <c r="W208">
        <v>207</v>
      </c>
      <c r="X208">
        <v>0</v>
      </c>
      <c r="Y208">
        <v>206</v>
      </c>
      <c r="Z208" t="s">
        <v>6966</v>
      </c>
      <c r="AA208" t="s">
        <v>6966</v>
      </c>
      <c r="AB208" t="s">
        <v>6966</v>
      </c>
      <c r="AC208" t="s">
        <v>6966</v>
      </c>
      <c r="AD208" t="s">
        <v>6966</v>
      </c>
      <c r="AE208" t="s">
        <v>6966</v>
      </c>
      <c r="AF208" t="s">
        <v>6966</v>
      </c>
      <c r="AG208" t="s">
        <v>6966</v>
      </c>
      <c r="AH208" t="s">
        <v>6966</v>
      </c>
      <c r="AI208" t="s">
        <v>6966</v>
      </c>
      <c r="AJ208" t="s">
        <v>6966</v>
      </c>
      <c r="AK208" t="s">
        <v>6966</v>
      </c>
      <c r="AL208" t="s">
        <v>6966</v>
      </c>
      <c r="AM208" t="s">
        <v>6966</v>
      </c>
      <c r="AN208" t="s">
        <v>6966</v>
      </c>
      <c r="AO208" t="s">
        <v>6966</v>
      </c>
      <c r="AP208" t="s">
        <v>6966</v>
      </c>
      <c r="AQ208" t="s">
        <v>6966</v>
      </c>
      <c r="AR208" t="s">
        <v>6966</v>
      </c>
      <c r="AS208" t="s">
        <v>6966</v>
      </c>
      <c r="AT208" t="s">
        <v>6966</v>
      </c>
      <c r="AU208" t="s">
        <v>6966</v>
      </c>
      <c r="AV208" t="s">
        <v>6966</v>
      </c>
      <c r="AW208" t="s">
        <v>6966</v>
      </c>
      <c r="AX208" t="s">
        <v>6966</v>
      </c>
      <c r="AY208" t="s">
        <v>6966</v>
      </c>
      <c r="AZ208">
        <v>0.10254199999999999</v>
      </c>
      <c r="BA208">
        <v>4.8299999999999998E-4</v>
      </c>
    </row>
    <row r="209" spans="1:53" x14ac:dyDescent="0.25">
      <c r="A209">
        <v>207</v>
      </c>
      <c r="B209" t="s">
        <v>7625</v>
      </c>
      <c r="C209">
        <v>202012</v>
      </c>
      <c r="D209" t="s">
        <v>87</v>
      </c>
      <c r="E209" t="s">
        <v>1152</v>
      </c>
      <c r="F209">
        <v>538717.375</v>
      </c>
      <c r="G209">
        <v>3069.9973140000002</v>
      </c>
      <c r="H209">
        <v>209</v>
      </c>
      <c r="I209">
        <v>365</v>
      </c>
      <c r="J209">
        <v>54002</v>
      </c>
      <c r="K209" t="s">
        <v>87</v>
      </c>
      <c r="L209">
        <v>18</v>
      </c>
      <c r="M209">
        <v>18</v>
      </c>
      <c r="N209">
        <v>54002</v>
      </c>
      <c r="O209">
        <v>205</v>
      </c>
      <c r="P209" t="s">
        <v>3214</v>
      </c>
      <c r="Q209">
        <v>0</v>
      </c>
      <c r="R209">
        <v>0</v>
      </c>
      <c r="S209">
        <v>0</v>
      </c>
      <c r="T209">
        <v>0</v>
      </c>
      <c r="U209">
        <v>538717.407198</v>
      </c>
      <c r="V209">
        <v>3069.9973869999999</v>
      </c>
      <c r="W209">
        <v>208</v>
      </c>
      <c r="X209">
        <v>0</v>
      </c>
      <c r="Y209">
        <v>207</v>
      </c>
      <c r="Z209" t="s">
        <v>6966</v>
      </c>
      <c r="AA209" t="s">
        <v>6966</v>
      </c>
      <c r="AB209" t="s">
        <v>6966</v>
      </c>
      <c r="AC209" t="s">
        <v>6966</v>
      </c>
      <c r="AD209" t="s">
        <v>6966</v>
      </c>
      <c r="AE209" t="s">
        <v>6966</v>
      </c>
      <c r="AF209" t="s">
        <v>6966</v>
      </c>
      <c r="AG209" t="s">
        <v>6966</v>
      </c>
      <c r="AH209" t="s">
        <v>6966</v>
      </c>
      <c r="AI209" t="s">
        <v>6966</v>
      </c>
      <c r="AJ209" t="s">
        <v>6966</v>
      </c>
      <c r="AK209" t="s">
        <v>6966</v>
      </c>
      <c r="AL209" t="s">
        <v>6966</v>
      </c>
      <c r="AM209" t="s">
        <v>6966</v>
      </c>
      <c r="AN209" t="s">
        <v>6966</v>
      </c>
      <c r="AO209" t="s">
        <v>6966</v>
      </c>
      <c r="AP209" t="s">
        <v>6966</v>
      </c>
      <c r="AQ209" t="s">
        <v>6966</v>
      </c>
      <c r="AR209" t="s">
        <v>6966</v>
      </c>
      <c r="AS209" t="s">
        <v>6966</v>
      </c>
      <c r="AT209" t="s">
        <v>6966</v>
      </c>
      <c r="AU209" t="s">
        <v>6966</v>
      </c>
      <c r="AV209" t="s">
        <v>6966</v>
      </c>
      <c r="AW209" t="s">
        <v>6966</v>
      </c>
      <c r="AX209" t="s">
        <v>6966</v>
      </c>
      <c r="AY209" t="s">
        <v>6966</v>
      </c>
      <c r="AZ209">
        <v>2.9832000000000001E-2</v>
      </c>
      <c r="BA209">
        <v>5.3000000000000001E-5</v>
      </c>
    </row>
    <row r="210" spans="1:53" x14ac:dyDescent="0.25">
      <c r="A210">
        <v>208</v>
      </c>
      <c r="B210" t="s">
        <v>7625</v>
      </c>
      <c r="C210">
        <v>705006</v>
      </c>
      <c r="D210" t="s">
        <v>544</v>
      </c>
      <c r="E210" t="s">
        <v>3225</v>
      </c>
      <c r="F210">
        <v>51045.785155999998</v>
      </c>
      <c r="G210">
        <v>1104.2186280000001</v>
      </c>
      <c r="H210">
        <v>210</v>
      </c>
      <c r="I210">
        <v>366</v>
      </c>
      <c r="J210">
        <v>31146</v>
      </c>
      <c r="K210" t="s">
        <v>2001</v>
      </c>
      <c r="L210">
        <v>8</v>
      </c>
      <c r="M210">
        <v>8</v>
      </c>
      <c r="N210">
        <v>31146</v>
      </c>
      <c r="O210">
        <v>206</v>
      </c>
      <c r="P210" t="s">
        <v>3215</v>
      </c>
      <c r="Q210">
        <v>65.7</v>
      </c>
      <c r="R210">
        <v>78.37</v>
      </c>
      <c r="S210">
        <v>13.14</v>
      </c>
      <c r="T210">
        <v>16</v>
      </c>
      <c r="U210">
        <v>51045.809071999996</v>
      </c>
      <c r="V210">
        <v>1104.2189679999999</v>
      </c>
      <c r="W210">
        <v>209</v>
      </c>
      <c r="X210">
        <v>0</v>
      </c>
      <c r="Y210">
        <v>208</v>
      </c>
      <c r="Z210" t="s">
        <v>6966</v>
      </c>
      <c r="AA210" t="s">
        <v>6966</v>
      </c>
      <c r="AB210" t="s">
        <v>6966</v>
      </c>
      <c r="AC210" t="s">
        <v>6966</v>
      </c>
      <c r="AD210" t="s">
        <v>6966</v>
      </c>
      <c r="AE210" t="s">
        <v>6966</v>
      </c>
      <c r="AF210" t="s">
        <v>6966</v>
      </c>
      <c r="AG210" t="s">
        <v>6966</v>
      </c>
      <c r="AH210" t="s">
        <v>6966</v>
      </c>
      <c r="AI210" t="s">
        <v>6966</v>
      </c>
      <c r="AJ210" t="s">
        <v>6966</v>
      </c>
      <c r="AK210" t="s">
        <v>6966</v>
      </c>
      <c r="AL210" t="s">
        <v>6966</v>
      </c>
      <c r="AM210" t="s">
        <v>6966</v>
      </c>
      <c r="AN210" t="s">
        <v>6966</v>
      </c>
      <c r="AO210" t="s">
        <v>6966</v>
      </c>
      <c r="AP210" t="s">
        <v>6966</v>
      </c>
      <c r="AQ210" t="s">
        <v>6966</v>
      </c>
      <c r="AR210" t="s">
        <v>6966</v>
      </c>
      <c r="AS210" t="s">
        <v>6966</v>
      </c>
      <c r="AT210" t="s">
        <v>6966</v>
      </c>
      <c r="AU210" t="s">
        <v>6966</v>
      </c>
      <c r="AV210" t="s">
        <v>6966</v>
      </c>
      <c r="AW210" t="s">
        <v>6966</v>
      </c>
      <c r="AX210" t="s">
        <v>6966</v>
      </c>
      <c r="AY210" t="s">
        <v>6966</v>
      </c>
      <c r="AZ210">
        <v>1.0454E-2</v>
      </c>
      <c r="BA210">
        <v>5.0000000000000004E-6</v>
      </c>
    </row>
    <row r="211" spans="1:53" x14ac:dyDescent="0.25">
      <c r="A211">
        <v>209</v>
      </c>
      <c r="B211" t="s">
        <v>7625</v>
      </c>
      <c r="C211">
        <v>705012</v>
      </c>
      <c r="D211" t="s">
        <v>543</v>
      </c>
      <c r="E211" t="s">
        <v>3225</v>
      </c>
      <c r="F211">
        <v>147496.546875</v>
      </c>
      <c r="G211">
        <v>2116.548828</v>
      </c>
      <c r="H211">
        <v>211</v>
      </c>
      <c r="I211">
        <v>367</v>
      </c>
      <c r="J211">
        <v>31141</v>
      </c>
      <c r="K211" t="s">
        <v>7699</v>
      </c>
      <c r="L211">
        <v>8</v>
      </c>
      <c r="M211">
        <v>8</v>
      </c>
      <c r="N211">
        <v>31141</v>
      </c>
      <c r="O211">
        <v>207</v>
      </c>
      <c r="P211" t="s">
        <v>3215</v>
      </c>
      <c r="Q211">
        <v>660.7</v>
      </c>
      <c r="R211">
        <v>773.65</v>
      </c>
      <c r="S211">
        <v>124.37</v>
      </c>
      <c r="T211">
        <v>146</v>
      </c>
      <c r="U211">
        <v>147496.54117499999</v>
      </c>
      <c r="V211">
        <v>2116.5489809999999</v>
      </c>
      <c r="W211">
        <v>210</v>
      </c>
      <c r="X211">
        <v>0</v>
      </c>
      <c r="Y211">
        <v>209</v>
      </c>
      <c r="Z211" t="s">
        <v>6966</v>
      </c>
      <c r="AA211" t="s">
        <v>6966</v>
      </c>
      <c r="AB211" t="s">
        <v>6966</v>
      </c>
      <c r="AC211" t="s">
        <v>6966</v>
      </c>
      <c r="AD211" t="s">
        <v>6966</v>
      </c>
      <c r="AE211" t="s">
        <v>6966</v>
      </c>
      <c r="AF211" t="s">
        <v>6966</v>
      </c>
      <c r="AG211" t="s">
        <v>6966</v>
      </c>
      <c r="AH211" t="s">
        <v>6966</v>
      </c>
      <c r="AI211" t="s">
        <v>6966</v>
      </c>
      <c r="AJ211" t="s">
        <v>6966</v>
      </c>
      <c r="AK211" t="s">
        <v>6966</v>
      </c>
      <c r="AL211" t="s">
        <v>6966</v>
      </c>
      <c r="AM211" t="s">
        <v>6966</v>
      </c>
      <c r="AN211" t="s">
        <v>6966</v>
      </c>
      <c r="AO211" t="s">
        <v>6966</v>
      </c>
      <c r="AP211" t="s">
        <v>6966</v>
      </c>
      <c r="AQ211" t="s">
        <v>6966</v>
      </c>
      <c r="AR211" t="s">
        <v>6966</v>
      </c>
      <c r="AS211" t="s">
        <v>6966</v>
      </c>
      <c r="AT211" t="s">
        <v>6966</v>
      </c>
      <c r="AU211" t="s">
        <v>6966</v>
      </c>
      <c r="AV211" t="s">
        <v>6966</v>
      </c>
      <c r="AW211" t="s">
        <v>6966</v>
      </c>
      <c r="AX211" t="s">
        <v>6966</v>
      </c>
      <c r="AY211" t="s">
        <v>6966</v>
      </c>
      <c r="AZ211">
        <v>2.017E-2</v>
      </c>
      <c r="BA211">
        <v>1.4E-5</v>
      </c>
    </row>
    <row r="212" spans="1:53" x14ac:dyDescent="0.25">
      <c r="A212">
        <v>210</v>
      </c>
      <c r="B212" t="s">
        <v>7625</v>
      </c>
      <c r="C212">
        <v>705010</v>
      </c>
      <c r="D212" t="s">
        <v>540</v>
      </c>
      <c r="E212" t="s">
        <v>3225</v>
      </c>
      <c r="F212">
        <v>78531.8125</v>
      </c>
      <c r="G212">
        <v>1422.337524</v>
      </c>
      <c r="H212">
        <v>212</v>
      </c>
      <c r="I212">
        <v>369</v>
      </c>
      <c r="J212">
        <v>31126</v>
      </c>
      <c r="K212" t="s">
        <v>1997</v>
      </c>
      <c r="L212">
        <v>8</v>
      </c>
      <c r="M212">
        <v>8</v>
      </c>
      <c r="N212">
        <v>31126</v>
      </c>
      <c r="O212">
        <v>208</v>
      </c>
      <c r="P212" t="s">
        <v>3215</v>
      </c>
      <c r="Q212">
        <v>327.2</v>
      </c>
      <c r="R212">
        <v>327.24</v>
      </c>
      <c r="S212">
        <v>75.180000000000007</v>
      </c>
      <c r="T212">
        <v>75</v>
      </c>
      <c r="U212">
        <v>78531.828578000001</v>
      </c>
      <c r="V212">
        <v>1422.3373939999999</v>
      </c>
      <c r="W212">
        <v>211</v>
      </c>
      <c r="X212">
        <v>0</v>
      </c>
      <c r="Y212">
        <v>210</v>
      </c>
      <c r="Z212" t="s">
        <v>6966</v>
      </c>
      <c r="AA212" t="s">
        <v>6966</v>
      </c>
      <c r="AB212" t="s">
        <v>6966</v>
      </c>
      <c r="AC212" t="s">
        <v>6966</v>
      </c>
      <c r="AD212" t="s">
        <v>6966</v>
      </c>
      <c r="AE212" t="s">
        <v>6966</v>
      </c>
      <c r="AF212" t="s">
        <v>6966</v>
      </c>
      <c r="AG212" t="s">
        <v>6966</v>
      </c>
      <c r="AH212" t="s">
        <v>6966</v>
      </c>
      <c r="AI212" t="s">
        <v>6966</v>
      </c>
      <c r="AJ212" t="s">
        <v>6966</v>
      </c>
      <c r="AK212" t="s">
        <v>6966</v>
      </c>
      <c r="AL212" t="s">
        <v>6966</v>
      </c>
      <c r="AM212" t="s">
        <v>6966</v>
      </c>
      <c r="AN212" t="s">
        <v>6966</v>
      </c>
      <c r="AO212" t="s">
        <v>6966</v>
      </c>
      <c r="AP212" t="s">
        <v>6966</v>
      </c>
      <c r="AQ212" t="s">
        <v>6966</v>
      </c>
      <c r="AR212" t="s">
        <v>6966</v>
      </c>
      <c r="AS212" t="s">
        <v>6966</v>
      </c>
      <c r="AT212" t="s">
        <v>6966</v>
      </c>
      <c r="AU212" t="s">
        <v>6966</v>
      </c>
      <c r="AV212" t="s">
        <v>6966</v>
      </c>
      <c r="AW212" t="s">
        <v>6966</v>
      </c>
      <c r="AX212" t="s">
        <v>6966</v>
      </c>
      <c r="AY212" t="s">
        <v>6966</v>
      </c>
      <c r="AZ212">
        <v>1.4293999999999999E-2</v>
      </c>
      <c r="BA212">
        <v>7.9999999999999996E-6</v>
      </c>
    </row>
    <row r="213" spans="1:53" x14ac:dyDescent="0.25">
      <c r="A213">
        <v>211</v>
      </c>
      <c r="B213" t="s">
        <v>7625</v>
      </c>
      <c r="C213">
        <v>705011</v>
      </c>
      <c r="D213" t="s">
        <v>542</v>
      </c>
      <c r="E213" t="s">
        <v>3225</v>
      </c>
      <c r="F213">
        <v>39923.8125</v>
      </c>
      <c r="G213">
        <v>808.55383300000005</v>
      </c>
      <c r="H213">
        <v>213</v>
      </c>
      <c r="I213">
        <v>370</v>
      </c>
      <c r="J213">
        <v>31136</v>
      </c>
      <c r="K213" t="s">
        <v>1999</v>
      </c>
      <c r="L213">
        <v>8</v>
      </c>
      <c r="M213">
        <v>8</v>
      </c>
      <c r="N213">
        <v>31136</v>
      </c>
      <c r="O213">
        <v>209</v>
      </c>
      <c r="P213" t="s">
        <v>3215</v>
      </c>
      <c r="Q213">
        <v>438.9</v>
      </c>
      <c r="R213">
        <v>438.92</v>
      </c>
      <c r="S213">
        <v>87.73</v>
      </c>
      <c r="T213">
        <v>88</v>
      </c>
      <c r="U213">
        <v>39923.794522999997</v>
      </c>
      <c r="V213">
        <v>808.55377799999997</v>
      </c>
      <c r="W213">
        <v>212</v>
      </c>
      <c r="X213">
        <v>0</v>
      </c>
      <c r="Y213">
        <v>211</v>
      </c>
      <c r="Z213" t="s">
        <v>6966</v>
      </c>
      <c r="AA213" t="s">
        <v>6966</v>
      </c>
      <c r="AB213" t="s">
        <v>6966</v>
      </c>
      <c r="AC213" t="s">
        <v>6966</v>
      </c>
      <c r="AD213" t="s">
        <v>6966</v>
      </c>
      <c r="AE213" t="s">
        <v>6966</v>
      </c>
      <c r="AF213" t="s">
        <v>6966</v>
      </c>
      <c r="AG213" t="s">
        <v>6966</v>
      </c>
      <c r="AH213" t="s">
        <v>6966</v>
      </c>
      <c r="AI213" t="s">
        <v>6966</v>
      </c>
      <c r="AJ213" t="s">
        <v>6966</v>
      </c>
      <c r="AK213" t="s">
        <v>6966</v>
      </c>
      <c r="AL213" t="s">
        <v>6966</v>
      </c>
      <c r="AM213" t="s">
        <v>6966</v>
      </c>
      <c r="AN213" t="s">
        <v>6966</v>
      </c>
      <c r="AO213" t="s">
        <v>6966</v>
      </c>
      <c r="AP213" t="s">
        <v>6966</v>
      </c>
      <c r="AQ213" t="s">
        <v>6966</v>
      </c>
      <c r="AR213" t="s">
        <v>6966</v>
      </c>
      <c r="AS213" t="s">
        <v>6966</v>
      </c>
      <c r="AT213" t="s">
        <v>6966</v>
      </c>
      <c r="AU213" t="s">
        <v>6966</v>
      </c>
      <c r="AV213" t="s">
        <v>6966</v>
      </c>
      <c r="AW213" t="s">
        <v>6966</v>
      </c>
      <c r="AX213" t="s">
        <v>6966</v>
      </c>
      <c r="AY213" t="s">
        <v>6966</v>
      </c>
      <c r="AZ213">
        <v>8.1779999999999995E-3</v>
      </c>
      <c r="BA213">
        <v>3.9999999999999998E-6</v>
      </c>
    </row>
    <row r="214" spans="1:53" x14ac:dyDescent="0.25">
      <c r="A214">
        <v>212</v>
      </c>
      <c r="B214" t="s">
        <v>7625</v>
      </c>
      <c r="C214">
        <v>705007</v>
      </c>
      <c r="D214" t="s">
        <v>541</v>
      </c>
      <c r="E214" t="s">
        <v>3225</v>
      </c>
      <c r="F214">
        <v>54374.832030999998</v>
      </c>
      <c r="G214">
        <v>1052.6381839999999</v>
      </c>
      <c r="H214">
        <v>214</v>
      </c>
      <c r="I214">
        <v>371</v>
      </c>
      <c r="J214">
        <v>31131</v>
      </c>
      <c r="K214" t="s">
        <v>1998</v>
      </c>
      <c r="L214">
        <v>8</v>
      </c>
      <c r="M214">
        <v>8</v>
      </c>
      <c r="N214">
        <v>31131</v>
      </c>
      <c r="O214">
        <v>210</v>
      </c>
      <c r="P214" t="s">
        <v>3215</v>
      </c>
      <c r="Q214">
        <v>0</v>
      </c>
      <c r="R214">
        <v>0</v>
      </c>
      <c r="S214">
        <v>0</v>
      </c>
      <c r="T214">
        <v>0</v>
      </c>
      <c r="U214">
        <v>54374.820017999999</v>
      </c>
      <c r="V214">
        <v>1052.6379489999999</v>
      </c>
      <c r="W214">
        <v>213</v>
      </c>
      <c r="X214">
        <v>0</v>
      </c>
      <c r="Y214">
        <v>212</v>
      </c>
      <c r="Z214" t="s">
        <v>6966</v>
      </c>
      <c r="AA214" t="s">
        <v>6966</v>
      </c>
      <c r="AB214" t="s">
        <v>6966</v>
      </c>
      <c r="AC214" t="s">
        <v>6966</v>
      </c>
      <c r="AD214" t="s">
        <v>6966</v>
      </c>
      <c r="AE214" t="s">
        <v>6966</v>
      </c>
      <c r="AF214" t="s">
        <v>6966</v>
      </c>
      <c r="AG214" t="s">
        <v>6966</v>
      </c>
      <c r="AH214" t="s">
        <v>6966</v>
      </c>
      <c r="AI214" t="s">
        <v>6966</v>
      </c>
      <c r="AJ214" t="s">
        <v>6966</v>
      </c>
      <c r="AK214" t="s">
        <v>6966</v>
      </c>
      <c r="AL214" t="s">
        <v>6966</v>
      </c>
      <c r="AM214" t="s">
        <v>6966</v>
      </c>
      <c r="AN214" t="s">
        <v>6966</v>
      </c>
      <c r="AO214" t="s">
        <v>6966</v>
      </c>
      <c r="AP214" t="s">
        <v>6966</v>
      </c>
      <c r="AQ214" t="s">
        <v>6966</v>
      </c>
      <c r="AR214" t="s">
        <v>6966</v>
      </c>
      <c r="AS214" t="s">
        <v>6966</v>
      </c>
      <c r="AT214" t="s">
        <v>6966</v>
      </c>
      <c r="AU214" t="s">
        <v>6966</v>
      </c>
      <c r="AV214" t="s">
        <v>6966</v>
      </c>
      <c r="AW214" t="s">
        <v>6966</v>
      </c>
      <c r="AX214" t="s">
        <v>6966</v>
      </c>
      <c r="AY214" t="s">
        <v>6966</v>
      </c>
      <c r="AZ214">
        <v>1.0211E-2</v>
      </c>
      <c r="BA214">
        <v>5.0000000000000004E-6</v>
      </c>
    </row>
    <row r="215" spans="1:53" x14ac:dyDescent="0.25">
      <c r="A215">
        <v>213</v>
      </c>
      <c r="B215" t="s">
        <v>7625</v>
      </c>
      <c r="C215">
        <v>706001</v>
      </c>
      <c r="D215" t="s">
        <v>642</v>
      </c>
      <c r="E215" t="s">
        <v>597</v>
      </c>
      <c r="F215">
        <v>4102255.25</v>
      </c>
      <c r="G215">
        <v>13314.425781</v>
      </c>
      <c r="H215">
        <v>215</v>
      </c>
      <c r="I215">
        <v>372</v>
      </c>
      <c r="J215">
        <v>33267</v>
      </c>
      <c r="K215" t="s">
        <v>2078</v>
      </c>
      <c r="L215">
        <v>10</v>
      </c>
      <c r="M215">
        <v>10</v>
      </c>
      <c r="N215">
        <v>33267</v>
      </c>
      <c r="O215">
        <v>211</v>
      </c>
      <c r="P215" t="s">
        <v>3215</v>
      </c>
      <c r="Q215">
        <v>2.2000000000000002</v>
      </c>
      <c r="R215">
        <v>88.35</v>
      </c>
      <c r="S215">
        <v>0.61</v>
      </c>
      <c r="T215">
        <v>24</v>
      </c>
      <c r="U215">
        <v>4102255.1996599999</v>
      </c>
      <c r="V215">
        <v>13314.426299999999</v>
      </c>
      <c r="W215">
        <v>214</v>
      </c>
      <c r="X215">
        <v>0</v>
      </c>
      <c r="Y215">
        <v>213</v>
      </c>
      <c r="Z215" t="s">
        <v>6966</v>
      </c>
      <c r="AA215" t="s">
        <v>6966</v>
      </c>
      <c r="AB215" t="s">
        <v>6966</v>
      </c>
      <c r="AC215" t="s">
        <v>6966</v>
      </c>
      <c r="AD215" t="s">
        <v>6966</v>
      </c>
      <c r="AE215" t="s">
        <v>6966</v>
      </c>
      <c r="AF215" t="s">
        <v>6966</v>
      </c>
      <c r="AG215" t="s">
        <v>6966</v>
      </c>
      <c r="AH215" t="s">
        <v>6966</v>
      </c>
      <c r="AI215" t="s">
        <v>6966</v>
      </c>
      <c r="AJ215" t="s">
        <v>6966</v>
      </c>
      <c r="AK215" t="s">
        <v>6966</v>
      </c>
      <c r="AL215" t="s">
        <v>6966</v>
      </c>
      <c r="AM215" t="s">
        <v>6966</v>
      </c>
      <c r="AN215" t="s">
        <v>6966</v>
      </c>
      <c r="AO215" t="s">
        <v>6966</v>
      </c>
      <c r="AP215" t="s">
        <v>6966</v>
      </c>
      <c r="AQ215" t="s">
        <v>6966</v>
      </c>
      <c r="AR215" t="s">
        <v>6966</v>
      </c>
      <c r="AS215" t="s">
        <v>6966</v>
      </c>
      <c r="AT215" t="s">
        <v>6966</v>
      </c>
      <c r="AU215" t="s">
        <v>6966</v>
      </c>
      <c r="AV215" t="s">
        <v>6966</v>
      </c>
      <c r="AW215" t="s">
        <v>6966</v>
      </c>
      <c r="AX215" t="s">
        <v>6966</v>
      </c>
      <c r="AY215" t="s">
        <v>6966</v>
      </c>
      <c r="AZ215">
        <v>0.13026799999999999</v>
      </c>
      <c r="BA215">
        <v>4.0200000000000001E-4</v>
      </c>
    </row>
    <row r="216" spans="1:53" ht="270" x14ac:dyDescent="0.25">
      <c r="A216">
        <v>214</v>
      </c>
      <c r="B216" t="s">
        <v>7625</v>
      </c>
      <c r="C216">
        <v>705008</v>
      </c>
      <c r="D216" t="s">
        <v>538</v>
      </c>
      <c r="E216" t="s">
        <v>3225</v>
      </c>
      <c r="F216">
        <v>369335.78125</v>
      </c>
      <c r="G216">
        <v>3471.1032709999999</v>
      </c>
      <c r="H216">
        <v>216</v>
      </c>
      <c r="I216">
        <v>373</v>
      </c>
      <c r="J216">
        <v>31116</v>
      </c>
      <c r="K216" t="s">
        <v>1995</v>
      </c>
      <c r="L216">
        <v>8</v>
      </c>
      <c r="M216">
        <v>8</v>
      </c>
      <c r="N216">
        <v>31116</v>
      </c>
      <c r="O216">
        <v>212</v>
      </c>
      <c r="P216" t="s">
        <v>3215</v>
      </c>
      <c r="Q216">
        <v>1415.8</v>
      </c>
      <c r="R216">
        <v>1448.39</v>
      </c>
      <c r="S216">
        <v>289.79000000000002</v>
      </c>
      <c r="T216">
        <v>296</v>
      </c>
      <c r="U216">
        <v>369335.81444799999</v>
      </c>
      <c r="V216">
        <v>3471.1033309999998</v>
      </c>
      <c r="W216">
        <v>215</v>
      </c>
      <c r="X216">
        <v>1</v>
      </c>
      <c r="Y216">
        <v>214</v>
      </c>
      <c r="Z216">
        <v>56454</v>
      </c>
      <c r="AA216" s="76">
        <v>45687</v>
      </c>
      <c r="AB216">
        <v>2025</v>
      </c>
      <c r="AC216" t="s">
        <v>6992</v>
      </c>
      <c r="AD216">
        <v>30</v>
      </c>
      <c r="AE216" t="s">
        <v>7078</v>
      </c>
      <c r="AF216" t="s">
        <v>3215</v>
      </c>
      <c r="AG216" t="s">
        <v>3225</v>
      </c>
      <c r="AH216" t="s">
        <v>538</v>
      </c>
      <c r="AI216" t="s">
        <v>7079</v>
      </c>
      <c r="AJ216" t="s">
        <v>6966</v>
      </c>
      <c r="AK216">
        <v>34.432220000000001</v>
      </c>
      <c r="AL216">
        <v>35.837780000000002</v>
      </c>
      <c r="AM216" t="s">
        <v>7013</v>
      </c>
      <c r="AN216" t="s">
        <v>7014</v>
      </c>
      <c r="AO216" t="s">
        <v>7008</v>
      </c>
      <c r="AP216" s="77" t="s">
        <v>7080</v>
      </c>
      <c r="AQ216" t="s">
        <v>6998</v>
      </c>
      <c r="AR216" t="s">
        <v>6999</v>
      </c>
      <c r="AS216" t="s">
        <v>7036</v>
      </c>
      <c r="AT216">
        <v>0</v>
      </c>
      <c r="AU216">
        <v>0</v>
      </c>
      <c r="AV216" t="s">
        <v>6966</v>
      </c>
      <c r="AW216" t="s">
        <v>7018</v>
      </c>
      <c r="AX216" t="s">
        <v>6966</v>
      </c>
      <c r="AY216" t="s">
        <v>7003</v>
      </c>
      <c r="AZ216">
        <v>3.4388000000000002E-2</v>
      </c>
      <c r="BA216">
        <v>3.6000000000000001E-5</v>
      </c>
    </row>
    <row r="217" spans="1:53" x14ac:dyDescent="0.25">
      <c r="A217">
        <v>215</v>
      </c>
      <c r="B217" t="s">
        <v>7625</v>
      </c>
      <c r="C217">
        <v>704024</v>
      </c>
      <c r="D217" t="s">
        <v>937</v>
      </c>
      <c r="E217" t="s">
        <v>7685</v>
      </c>
      <c r="F217">
        <v>947496.9375</v>
      </c>
      <c r="G217">
        <v>4449.7260740000002</v>
      </c>
      <c r="H217">
        <v>217</v>
      </c>
      <c r="I217">
        <v>374</v>
      </c>
      <c r="J217">
        <v>37345</v>
      </c>
      <c r="K217" t="s">
        <v>7700</v>
      </c>
      <c r="L217">
        <v>14</v>
      </c>
      <c r="M217">
        <v>14</v>
      </c>
      <c r="N217">
        <v>37345</v>
      </c>
      <c r="O217">
        <v>213</v>
      </c>
      <c r="P217" t="s">
        <v>3215</v>
      </c>
      <c r="Q217">
        <v>10</v>
      </c>
      <c r="R217">
        <v>185.44</v>
      </c>
      <c r="S217">
        <v>2.12</v>
      </c>
      <c r="T217">
        <v>21</v>
      </c>
      <c r="U217">
        <v>947496.92633299995</v>
      </c>
      <c r="V217">
        <v>4449.7255990000003</v>
      </c>
      <c r="W217">
        <v>216</v>
      </c>
      <c r="X217">
        <v>0</v>
      </c>
      <c r="Y217">
        <v>215</v>
      </c>
      <c r="Z217" t="s">
        <v>6966</v>
      </c>
      <c r="AA217" t="s">
        <v>6966</v>
      </c>
      <c r="AB217" t="s">
        <v>6966</v>
      </c>
      <c r="AC217" t="s">
        <v>6966</v>
      </c>
      <c r="AD217" t="s">
        <v>6966</v>
      </c>
      <c r="AE217" t="s">
        <v>6966</v>
      </c>
      <c r="AF217" t="s">
        <v>6966</v>
      </c>
      <c r="AG217" t="s">
        <v>6966</v>
      </c>
      <c r="AH217" t="s">
        <v>6966</v>
      </c>
      <c r="AI217" t="s">
        <v>6966</v>
      </c>
      <c r="AJ217" t="s">
        <v>6966</v>
      </c>
      <c r="AK217" t="s">
        <v>6966</v>
      </c>
      <c r="AL217" t="s">
        <v>6966</v>
      </c>
      <c r="AM217" t="s">
        <v>6966</v>
      </c>
      <c r="AN217" t="s">
        <v>6966</v>
      </c>
      <c r="AO217" t="s">
        <v>6966</v>
      </c>
      <c r="AP217" t="s">
        <v>6966</v>
      </c>
      <c r="AQ217" t="s">
        <v>6966</v>
      </c>
      <c r="AR217" t="s">
        <v>6966</v>
      </c>
      <c r="AS217" t="s">
        <v>6966</v>
      </c>
      <c r="AT217" t="s">
        <v>6966</v>
      </c>
      <c r="AU217" t="s">
        <v>6966</v>
      </c>
      <c r="AV217" t="s">
        <v>6966</v>
      </c>
      <c r="AW217" t="s">
        <v>6966</v>
      </c>
      <c r="AX217" t="s">
        <v>6966</v>
      </c>
      <c r="AY217" t="s">
        <v>6966</v>
      </c>
      <c r="AZ217">
        <v>4.5016E-2</v>
      </c>
      <c r="BA217">
        <v>9.2999999999999997E-5</v>
      </c>
    </row>
    <row r="218" spans="1:53" x14ac:dyDescent="0.25">
      <c r="A218">
        <v>216</v>
      </c>
      <c r="B218" t="s">
        <v>7625</v>
      </c>
      <c r="C218">
        <v>704028</v>
      </c>
      <c r="D218" t="s">
        <v>945</v>
      </c>
      <c r="E218" t="s">
        <v>7685</v>
      </c>
      <c r="F218">
        <v>0</v>
      </c>
      <c r="G218">
        <v>19305.535156000002</v>
      </c>
      <c r="H218">
        <v>218</v>
      </c>
      <c r="I218">
        <v>377</v>
      </c>
      <c r="J218">
        <v>37358</v>
      </c>
      <c r="K218" t="s">
        <v>2309</v>
      </c>
      <c r="L218">
        <v>14</v>
      </c>
      <c r="M218">
        <v>14</v>
      </c>
      <c r="N218">
        <v>37358</v>
      </c>
      <c r="O218">
        <v>1615</v>
      </c>
      <c r="P218" t="s">
        <v>3215</v>
      </c>
      <c r="Q218">
        <v>0.4</v>
      </c>
      <c r="R218">
        <v>153.22999999999999</v>
      </c>
      <c r="S218">
        <v>0.08</v>
      </c>
      <c r="T218">
        <v>28</v>
      </c>
      <c r="U218">
        <v>0</v>
      </c>
      <c r="V218">
        <v>19305.53515</v>
      </c>
      <c r="W218">
        <v>217</v>
      </c>
      <c r="X218">
        <v>0</v>
      </c>
      <c r="Y218">
        <v>216</v>
      </c>
      <c r="Z218" t="s">
        <v>6966</v>
      </c>
      <c r="AA218" t="s">
        <v>6966</v>
      </c>
      <c r="AB218" t="s">
        <v>6966</v>
      </c>
      <c r="AC218" t="s">
        <v>6966</v>
      </c>
      <c r="AD218" t="s">
        <v>6966</v>
      </c>
      <c r="AE218" t="s">
        <v>6966</v>
      </c>
      <c r="AF218" t="s">
        <v>6966</v>
      </c>
      <c r="AG218" t="s">
        <v>6966</v>
      </c>
      <c r="AH218" t="s">
        <v>6966</v>
      </c>
      <c r="AI218" t="s">
        <v>6966</v>
      </c>
      <c r="AJ218" t="s">
        <v>6966</v>
      </c>
      <c r="AK218" t="s">
        <v>6966</v>
      </c>
      <c r="AL218" t="s">
        <v>6966</v>
      </c>
      <c r="AM218" t="s">
        <v>6966</v>
      </c>
      <c r="AN218" t="s">
        <v>6966</v>
      </c>
      <c r="AO218" t="s">
        <v>6966</v>
      </c>
      <c r="AP218" t="s">
        <v>6966</v>
      </c>
      <c r="AQ218" t="s">
        <v>6966</v>
      </c>
      <c r="AR218" t="s">
        <v>6966</v>
      </c>
      <c r="AS218" t="s">
        <v>6966</v>
      </c>
      <c r="AT218" t="s">
        <v>6966</v>
      </c>
      <c r="AU218" t="s">
        <v>6966</v>
      </c>
      <c r="AV218" t="s">
        <v>6966</v>
      </c>
      <c r="AW218" t="s">
        <v>6966</v>
      </c>
      <c r="AX218" t="s">
        <v>6966</v>
      </c>
      <c r="AY218" t="s">
        <v>6966</v>
      </c>
      <c r="AZ218">
        <v>0.189697</v>
      </c>
      <c r="BA218">
        <v>1.274E-3</v>
      </c>
    </row>
    <row r="219" spans="1:53" x14ac:dyDescent="0.25">
      <c r="A219">
        <v>217</v>
      </c>
      <c r="B219" t="s">
        <v>7625</v>
      </c>
      <c r="C219">
        <v>706007</v>
      </c>
      <c r="D219" t="s">
        <v>603</v>
      </c>
      <c r="E219" t="s">
        <v>597</v>
      </c>
      <c r="F219">
        <v>5759242.5</v>
      </c>
      <c r="G219">
        <v>12877.760742</v>
      </c>
      <c r="H219">
        <v>219</v>
      </c>
      <c r="I219">
        <v>378</v>
      </c>
      <c r="J219">
        <v>33123</v>
      </c>
      <c r="K219" t="s">
        <v>7701</v>
      </c>
      <c r="L219">
        <v>10</v>
      </c>
      <c r="M219">
        <v>10</v>
      </c>
      <c r="N219">
        <v>33123</v>
      </c>
      <c r="O219">
        <v>214</v>
      </c>
      <c r="P219" t="s">
        <v>3215</v>
      </c>
      <c r="Q219">
        <v>7.1</v>
      </c>
      <c r="R219">
        <v>115.85</v>
      </c>
      <c r="S219">
        <v>2.04</v>
      </c>
      <c r="T219">
        <v>33</v>
      </c>
      <c r="U219">
        <v>5759242.4934799997</v>
      </c>
      <c r="V219">
        <v>12877.759783</v>
      </c>
      <c r="W219">
        <v>218</v>
      </c>
      <c r="X219">
        <v>0</v>
      </c>
      <c r="Y219">
        <v>217</v>
      </c>
      <c r="Z219" t="s">
        <v>6966</v>
      </c>
      <c r="AA219" t="s">
        <v>6966</v>
      </c>
      <c r="AB219" t="s">
        <v>6966</v>
      </c>
      <c r="AC219" t="s">
        <v>6966</v>
      </c>
      <c r="AD219" t="s">
        <v>6966</v>
      </c>
      <c r="AE219" t="s">
        <v>6966</v>
      </c>
      <c r="AF219" t="s">
        <v>6966</v>
      </c>
      <c r="AG219" t="s">
        <v>6966</v>
      </c>
      <c r="AH219" t="s">
        <v>6966</v>
      </c>
      <c r="AI219" t="s">
        <v>6966</v>
      </c>
      <c r="AJ219" t="s">
        <v>6966</v>
      </c>
      <c r="AK219" t="s">
        <v>6966</v>
      </c>
      <c r="AL219" t="s">
        <v>6966</v>
      </c>
      <c r="AM219" t="s">
        <v>6966</v>
      </c>
      <c r="AN219" t="s">
        <v>6966</v>
      </c>
      <c r="AO219" t="s">
        <v>6966</v>
      </c>
      <c r="AP219" t="s">
        <v>6966</v>
      </c>
      <c r="AQ219" t="s">
        <v>6966</v>
      </c>
      <c r="AR219" t="s">
        <v>6966</v>
      </c>
      <c r="AS219" t="s">
        <v>6966</v>
      </c>
      <c r="AT219" t="s">
        <v>6966</v>
      </c>
      <c r="AU219" t="s">
        <v>6966</v>
      </c>
      <c r="AV219" t="s">
        <v>6966</v>
      </c>
      <c r="AW219" t="s">
        <v>6966</v>
      </c>
      <c r="AX219" t="s">
        <v>6966</v>
      </c>
      <c r="AY219" t="s">
        <v>6966</v>
      </c>
      <c r="AZ219">
        <v>0.12583</v>
      </c>
      <c r="BA219">
        <v>5.6499999999999996E-4</v>
      </c>
    </row>
    <row r="220" spans="1:53" x14ac:dyDescent="0.25">
      <c r="A220">
        <v>218</v>
      </c>
      <c r="B220" t="s">
        <v>7625</v>
      </c>
      <c r="C220">
        <v>704006</v>
      </c>
      <c r="D220" t="s">
        <v>965</v>
      </c>
      <c r="E220" t="s">
        <v>7685</v>
      </c>
      <c r="F220">
        <v>7969195</v>
      </c>
      <c r="G220">
        <v>21920.587890999999</v>
      </c>
      <c r="H220">
        <v>220</v>
      </c>
      <c r="I220">
        <v>380</v>
      </c>
      <c r="J220">
        <v>37391</v>
      </c>
      <c r="K220" t="s">
        <v>2327</v>
      </c>
      <c r="L220">
        <v>14</v>
      </c>
      <c r="M220">
        <v>14</v>
      </c>
      <c r="N220">
        <v>37391</v>
      </c>
      <c r="O220">
        <v>215</v>
      </c>
      <c r="P220" t="s">
        <v>3215</v>
      </c>
      <c r="Q220">
        <v>11.2</v>
      </c>
      <c r="R220">
        <v>222.38</v>
      </c>
      <c r="S220">
        <v>2.72</v>
      </c>
      <c r="T220">
        <v>54</v>
      </c>
      <c r="U220">
        <v>7969194.8983399998</v>
      </c>
      <c r="V220">
        <v>21920.589033</v>
      </c>
      <c r="W220">
        <v>219</v>
      </c>
      <c r="X220">
        <v>2</v>
      </c>
      <c r="Y220">
        <v>218</v>
      </c>
      <c r="Z220">
        <v>82677</v>
      </c>
      <c r="AA220" s="76">
        <v>46079</v>
      </c>
      <c r="AB220">
        <v>2026</v>
      </c>
      <c r="AC220" t="s">
        <v>7081</v>
      </c>
      <c r="AD220">
        <v>26</v>
      </c>
      <c r="AE220" t="s">
        <v>7594</v>
      </c>
      <c r="AF220" t="s">
        <v>3215</v>
      </c>
      <c r="AG220" t="s">
        <v>3228</v>
      </c>
      <c r="AH220" t="s">
        <v>965</v>
      </c>
      <c r="AI220" t="s">
        <v>3135</v>
      </c>
      <c r="AJ220" t="s">
        <v>6966</v>
      </c>
      <c r="AK220">
        <v>34.409100000000002</v>
      </c>
      <c r="AL220">
        <v>36.013480000000001</v>
      </c>
      <c r="AM220" t="s">
        <v>6995</v>
      </c>
      <c r="AN220" t="s">
        <v>7013</v>
      </c>
      <c r="AO220" t="s">
        <v>7586</v>
      </c>
      <c r="AP220" t="s">
        <v>7595</v>
      </c>
      <c r="AQ220" t="s">
        <v>6998</v>
      </c>
      <c r="AR220" t="s">
        <v>6999</v>
      </c>
      <c r="AS220" t="s">
        <v>7000</v>
      </c>
      <c r="AT220">
        <v>0</v>
      </c>
      <c r="AU220">
        <v>0</v>
      </c>
      <c r="AV220" t="s">
        <v>7596</v>
      </c>
      <c r="AW220" t="s">
        <v>7581</v>
      </c>
      <c r="AX220" t="s">
        <v>6966</v>
      </c>
      <c r="AY220" t="s">
        <v>7003</v>
      </c>
      <c r="AZ220">
        <v>0.218468</v>
      </c>
      <c r="BA220">
        <v>7.8100000000000001E-4</v>
      </c>
    </row>
    <row r="221" spans="1:53" x14ac:dyDescent="0.25">
      <c r="A221">
        <v>219</v>
      </c>
      <c r="B221" t="s">
        <v>7625</v>
      </c>
      <c r="C221">
        <v>706040</v>
      </c>
      <c r="D221" t="s">
        <v>643</v>
      </c>
      <c r="E221" t="s">
        <v>597</v>
      </c>
      <c r="F221">
        <v>1138285.625</v>
      </c>
      <c r="G221">
        <v>6710.5395509999998</v>
      </c>
      <c r="H221">
        <v>221</v>
      </c>
      <c r="I221">
        <v>382</v>
      </c>
      <c r="J221">
        <v>33271</v>
      </c>
      <c r="K221" t="s">
        <v>7702</v>
      </c>
      <c r="L221">
        <v>10</v>
      </c>
      <c r="M221">
        <v>10</v>
      </c>
      <c r="N221">
        <v>33271</v>
      </c>
      <c r="O221">
        <v>216</v>
      </c>
      <c r="P221" t="s">
        <v>3215</v>
      </c>
      <c r="Q221">
        <v>22.6</v>
      </c>
      <c r="R221">
        <v>154.05000000000001</v>
      </c>
      <c r="S221">
        <v>6.03</v>
      </c>
      <c r="T221">
        <v>41</v>
      </c>
      <c r="U221">
        <v>1138285.5985900001</v>
      </c>
      <c r="V221">
        <v>6710.539804</v>
      </c>
      <c r="W221">
        <v>220</v>
      </c>
      <c r="X221">
        <v>0</v>
      </c>
      <c r="Y221">
        <v>219</v>
      </c>
      <c r="Z221" t="s">
        <v>6966</v>
      </c>
      <c r="AA221" t="s">
        <v>6966</v>
      </c>
      <c r="AB221" t="s">
        <v>6966</v>
      </c>
      <c r="AC221" t="s">
        <v>6966</v>
      </c>
      <c r="AD221" t="s">
        <v>6966</v>
      </c>
      <c r="AE221" t="s">
        <v>6966</v>
      </c>
      <c r="AF221" t="s">
        <v>6966</v>
      </c>
      <c r="AG221" t="s">
        <v>6966</v>
      </c>
      <c r="AH221" t="s">
        <v>6966</v>
      </c>
      <c r="AI221" t="s">
        <v>6966</v>
      </c>
      <c r="AJ221" t="s">
        <v>6966</v>
      </c>
      <c r="AK221" t="s">
        <v>6966</v>
      </c>
      <c r="AL221" t="s">
        <v>6966</v>
      </c>
      <c r="AM221" t="s">
        <v>6966</v>
      </c>
      <c r="AN221" t="s">
        <v>6966</v>
      </c>
      <c r="AO221" t="s">
        <v>6966</v>
      </c>
      <c r="AP221" t="s">
        <v>6966</v>
      </c>
      <c r="AQ221" t="s">
        <v>6966</v>
      </c>
      <c r="AR221" t="s">
        <v>6966</v>
      </c>
      <c r="AS221" t="s">
        <v>6966</v>
      </c>
      <c r="AT221" t="s">
        <v>6966</v>
      </c>
      <c r="AU221" t="s">
        <v>6966</v>
      </c>
      <c r="AV221" t="s">
        <v>6966</v>
      </c>
      <c r="AW221" t="s">
        <v>6966</v>
      </c>
      <c r="AX221" t="s">
        <v>6966</v>
      </c>
      <c r="AY221" t="s">
        <v>6966</v>
      </c>
      <c r="AZ221">
        <v>6.4877000000000004E-2</v>
      </c>
      <c r="BA221">
        <v>1.12E-4</v>
      </c>
    </row>
    <row r="222" spans="1:53" x14ac:dyDescent="0.25">
      <c r="A222">
        <v>220</v>
      </c>
      <c r="B222" t="s">
        <v>7625</v>
      </c>
      <c r="C222">
        <v>704032</v>
      </c>
      <c r="D222" t="s">
        <v>950</v>
      </c>
      <c r="E222" t="s">
        <v>7685</v>
      </c>
      <c r="F222">
        <v>1036412.875</v>
      </c>
      <c r="G222">
        <v>6409.8691410000001</v>
      </c>
      <c r="H222">
        <v>222</v>
      </c>
      <c r="I222">
        <v>384</v>
      </c>
      <c r="J222">
        <v>37363</v>
      </c>
      <c r="K222" t="s">
        <v>2313</v>
      </c>
      <c r="L222">
        <v>14</v>
      </c>
      <c r="M222">
        <v>14</v>
      </c>
      <c r="N222">
        <v>37363</v>
      </c>
      <c r="O222">
        <v>217</v>
      </c>
      <c r="P222" t="s">
        <v>3215</v>
      </c>
      <c r="Q222">
        <v>13</v>
      </c>
      <c r="R222">
        <v>139.93</v>
      </c>
      <c r="S222">
        <v>2.87</v>
      </c>
      <c r="T222">
        <v>31</v>
      </c>
      <c r="U222">
        <v>1036412.89468</v>
      </c>
      <c r="V222">
        <v>6409.8687659999996</v>
      </c>
      <c r="W222">
        <v>221</v>
      </c>
      <c r="X222">
        <v>0</v>
      </c>
      <c r="Y222">
        <v>220</v>
      </c>
      <c r="Z222" t="s">
        <v>6966</v>
      </c>
      <c r="AA222" t="s">
        <v>6966</v>
      </c>
      <c r="AB222" t="s">
        <v>6966</v>
      </c>
      <c r="AC222" t="s">
        <v>6966</v>
      </c>
      <c r="AD222" t="s">
        <v>6966</v>
      </c>
      <c r="AE222" t="s">
        <v>6966</v>
      </c>
      <c r="AF222" t="s">
        <v>6966</v>
      </c>
      <c r="AG222" t="s">
        <v>6966</v>
      </c>
      <c r="AH222" t="s">
        <v>6966</v>
      </c>
      <c r="AI222" t="s">
        <v>6966</v>
      </c>
      <c r="AJ222" t="s">
        <v>6966</v>
      </c>
      <c r="AK222" t="s">
        <v>6966</v>
      </c>
      <c r="AL222" t="s">
        <v>6966</v>
      </c>
      <c r="AM222" t="s">
        <v>6966</v>
      </c>
      <c r="AN222" t="s">
        <v>6966</v>
      </c>
      <c r="AO222" t="s">
        <v>6966</v>
      </c>
      <c r="AP222" t="s">
        <v>6966</v>
      </c>
      <c r="AQ222" t="s">
        <v>6966</v>
      </c>
      <c r="AR222" t="s">
        <v>6966</v>
      </c>
      <c r="AS222" t="s">
        <v>6966</v>
      </c>
      <c r="AT222" t="s">
        <v>6966</v>
      </c>
      <c r="AU222" t="s">
        <v>6966</v>
      </c>
      <c r="AV222" t="s">
        <v>6966</v>
      </c>
      <c r="AW222" t="s">
        <v>6966</v>
      </c>
      <c r="AX222" t="s">
        <v>6966</v>
      </c>
      <c r="AY222" t="s">
        <v>6966</v>
      </c>
      <c r="AZ222">
        <v>6.6331000000000001E-2</v>
      </c>
      <c r="BA222">
        <v>1.02E-4</v>
      </c>
    </row>
    <row r="223" spans="1:53" x14ac:dyDescent="0.25">
      <c r="A223">
        <v>221</v>
      </c>
      <c r="B223" t="s">
        <v>7625</v>
      </c>
      <c r="C223">
        <v>704021</v>
      </c>
      <c r="D223" t="s">
        <v>7703</v>
      </c>
      <c r="E223" t="s">
        <v>7685</v>
      </c>
      <c r="F223">
        <v>4335788.5</v>
      </c>
      <c r="G223">
        <v>10619.604492</v>
      </c>
      <c r="H223">
        <v>223</v>
      </c>
      <c r="I223">
        <v>385</v>
      </c>
      <c r="J223">
        <v>37355</v>
      </c>
      <c r="K223" t="s">
        <v>2308</v>
      </c>
      <c r="L223">
        <v>14</v>
      </c>
      <c r="M223">
        <v>14</v>
      </c>
      <c r="N223">
        <v>37355</v>
      </c>
      <c r="O223">
        <v>218</v>
      </c>
      <c r="P223" t="s">
        <v>3215</v>
      </c>
      <c r="Q223">
        <v>1</v>
      </c>
      <c r="R223">
        <v>126</v>
      </c>
      <c r="S223">
        <v>0.21</v>
      </c>
      <c r="T223">
        <v>26</v>
      </c>
      <c r="U223">
        <v>4335788.2336799996</v>
      </c>
      <c r="V223">
        <v>10619.604095999999</v>
      </c>
      <c r="W223">
        <v>222</v>
      </c>
      <c r="X223">
        <v>0</v>
      </c>
      <c r="Y223">
        <v>221</v>
      </c>
      <c r="Z223" t="s">
        <v>6966</v>
      </c>
      <c r="AA223" t="s">
        <v>6966</v>
      </c>
      <c r="AB223" t="s">
        <v>6966</v>
      </c>
      <c r="AC223" t="s">
        <v>6966</v>
      </c>
      <c r="AD223" t="s">
        <v>6966</v>
      </c>
      <c r="AE223" t="s">
        <v>6966</v>
      </c>
      <c r="AF223" t="s">
        <v>6966</v>
      </c>
      <c r="AG223" t="s">
        <v>6966</v>
      </c>
      <c r="AH223" t="s">
        <v>6966</v>
      </c>
      <c r="AI223" t="s">
        <v>6966</v>
      </c>
      <c r="AJ223" t="s">
        <v>6966</v>
      </c>
      <c r="AK223" t="s">
        <v>6966</v>
      </c>
      <c r="AL223" t="s">
        <v>6966</v>
      </c>
      <c r="AM223" t="s">
        <v>6966</v>
      </c>
      <c r="AN223" t="s">
        <v>6966</v>
      </c>
      <c r="AO223" t="s">
        <v>6966</v>
      </c>
      <c r="AP223" t="s">
        <v>6966</v>
      </c>
      <c r="AQ223" t="s">
        <v>6966</v>
      </c>
      <c r="AR223" t="s">
        <v>6966</v>
      </c>
      <c r="AS223" t="s">
        <v>6966</v>
      </c>
      <c r="AT223" t="s">
        <v>6966</v>
      </c>
      <c r="AU223" t="s">
        <v>6966</v>
      </c>
      <c r="AV223" t="s">
        <v>6966</v>
      </c>
      <c r="AW223" t="s">
        <v>6966</v>
      </c>
      <c r="AX223" t="s">
        <v>6966</v>
      </c>
      <c r="AY223" t="s">
        <v>6966</v>
      </c>
      <c r="AZ223">
        <v>0.106489</v>
      </c>
      <c r="BA223">
        <v>4.2499999999999998E-4</v>
      </c>
    </row>
    <row r="224" spans="1:53" x14ac:dyDescent="0.25">
      <c r="A224">
        <v>222</v>
      </c>
      <c r="B224" t="s">
        <v>7625</v>
      </c>
      <c r="C224">
        <v>706004</v>
      </c>
      <c r="D224" t="s">
        <v>598</v>
      </c>
      <c r="E224" t="s">
        <v>597</v>
      </c>
      <c r="F224">
        <v>2986565.5</v>
      </c>
      <c r="G224">
        <v>15376.09375</v>
      </c>
      <c r="H224">
        <v>224</v>
      </c>
      <c r="I224">
        <v>386</v>
      </c>
      <c r="J224">
        <v>33113</v>
      </c>
      <c r="K224" t="s">
        <v>2043</v>
      </c>
      <c r="L224">
        <v>10</v>
      </c>
      <c r="M224">
        <v>10</v>
      </c>
      <c r="N224">
        <v>33113</v>
      </c>
      <c r="O224">
        <v>219</v>
      </c>
      <c r="P224" t="s">
        <v>3215</v>
      </c>
      <c r="Q224">
        <v>10.1</v>
      </c>
      <c r="R224">
        <v>1048.97</v>
      </c>
      <c r="S224">
        <v>2.76</v>
      </c>
      <c r="T224">
        <v>288</v>
      </c>
      <c r="U224">
        <v>2986565.5863700002</v>
      </c>
      <c r="V224">
        <v>15376.094381000001</v>
      </c>
      <c r="W224">
        <v>223</v>
      </c>
      <c r="X224">
        <v>0</v>
      </c>
      <c r="Y224">
        <v>222</v>
      </c>
      <c r="Z224" t="s">
        <v>6966</v>
      </c>
      <c r="AA224" t="s">
        <v>6966</v>
      </c>
      <c r="AB224" t="s">
        <v>6966</v>
      </c>
      <c r="AC224" t="s">
        <v>6966</v>
      </c>
      <c r="AD224" t="s">
        <v>6966</v>
      </c>
      <c r="AE224" t="s">
        <v>6966</v>
      </c>
      <c r="AF224" t="s">
        <v>6966</v>
      </c>
      <c r="AG224" t="s">
        <v>6966</v>
      </c>
      <c r="AH224" t="s">
        <v>6966</v>
      </c>
      <c r="AI224" t="s">
        <v>6966</v>
      </c>
      <c r="AJ224" t="s">
        <v>6966</v>
      </c>
      <c r="AK224" t="s">
        <v>6966</v>
      </c>
      <c r="AL224" t="s">
        <v>6966</v>
      </c>
      <c r="AM224" t="s">
        <v>6966</v>
      </c>
      <c r="AN224" t="s">
        <v>6966</v>
      </c>
      <c r="AO224" t="s">
        <v>6966</v>
      </c>
      <c r="AP224" t="s">
        <v>6966</v>
      </c>
      <c r="AQ224" t="s">
        <v>6966</v>
      </c>
      <c r="AR224" t="s">
        <v>6966</v>
      </c>
      <c r="AS224" t="s">
        <v>6966</v>
      </c>
      <c r="AT224" t="s">
        <v>6966</v>
      </c>
      <c r="AU224" t="s">
        <v>6966</v>
      </c>
      <c r="AV224" t="s">
        <v>6966</v>
      </c>
      <c r="AW224" t="s">
        <v>6966</v>
      </c>
      <c r="AX224" t="s">
        <v>6966</v>
      </c>
      <c r="AY224" t="s">
        <v>6966</v>
      </c>
      <c r="AZ224">
        <v>0.15301999999999999</v>
      </c>
      <c r="BA224">
        <v>2.9300000000000002E-4</v>
      </c>
    </row>
    <row r="225" spans="1:53" x14ac:dyDescent="0.25">
      <c r="A225">
        <v>223</v>
      </c>
      <c r="B225" t="s">
        <v>7625</v>
      </c>
      <c r="C225">
        <v>704012</v>
      </c>
      <c r="D225" t="s">
        <v>944</v>
      </c>
      <c r="E225" t="s">
        <v>7685</v>
      </c>
      <c r="F225">
        <v>253142.78125</v>
      </c>
      <c r="G225">
        <v>2395.9248050000001</v>
      </c>
      <c r="H225">
        <v>225</v>
      </c>
      <c r="I225">
        <v>389</v>
      </c>
      <c r="J225">
        <v>37357</v>
      </c>
      <c r="K225" t="s">
        <v>944</v>
      </c>
      <c r="L225">
        <v>14</v>
      </c>
      <c r="M225">
        <v>14</v>
      </c>
      <c r="N225">
        <v>37357</v>
      </c>
      <c r="O225">
        <v>220</v>
      </c>
      <c r="P225" t="s">
        <v>3215</v>
      </c>
      <c r="Q225">
        <v>17.600000000000001</v>
      </c>
      <c r="R225">
        <v>163.87</v>
      </c>
      <c r="S225">
        <v>3.48</v>
      </c>
      <c r="T225">
        <v>32</v>
      </c>
      <c r="U225">
        <v>253142.77957799999</v>
      </c>
      <c r="V225">
        <v>2395.924614</v>
      </c>
      <c r="W225">
        <v>224</v>
      </c>
      <c r="X225">
        <v>0</v>
      </c>
      <c r="Y225">
        <v>223</v>
      </c>
      <c r="Z225" t="s">
        <v>6966</v>
      </c>
      <c r="AA225" t="s">
        <v>6966</v>
      </c>
      <c r="AB225" t="s">
        <v>6966</v>
      </c>
      <c r="AC225" t="s">
        <v>6966</v>
      </c>
      <c r="AD225" t="s">
        <v>6966</v>
      </c>
      <c r="AE225" t="s">
        <v>6966</v>
      </c>
      <c r="AF225" t="s">
        <v>6966</v>
      </c>
      <c r="AG225" t="s">
        <v>6966</v>
      </c>
      <c r="AH225" t="s">
        <v>6966</v>
      </c>
      <c r="AI225" t="s">
        <v>6966</v>
      </c>
      <c r="AJ225" t="s">
        <v>6966</v>
      </c>
      <c r="AK225" t="s">
        <v>6966</v>
      </c>
      <c r="AL225" t="s">
        <v>6966</v>
      </c>
      <c r="AM225" t="s">
        <v>6966</v>
      </c>
      <c r="AN225" t="s">
        <v>6966</v>
      </c>
      <c r="AO225" t="s">
        <v>6966</v>
      </c>
      <c r="AP225" t="s">
        <v>6966</v>
      </c>
      <c r="AQ225" t="s">
        <v>6966</v>
      </c>
      <c r="AR225" t="s">
        <v>6966</v>
      </c>
      <c r="AS225" t="s">
        <v>6966</v>
      </c>
      <c r="AT225" t="s">
        <v>6966</v>
      </c>
      <c r="AU225" t="s">
        <v>6966</v>
      </c>
      <c r="AV225" t="s">
        <v>6966</v>
      </c>
      <c r="AW225" t="s">
        <v>6966</v>
      </c>
      <c r="AX225" t="s">
        <v>6966</v>
      </c>
      <c r="AY225" t="s">
        <v>6966</v>
      </c>
      <c r="AZ225">
        <v>2.4087000000000001E-2</v>
      </c>
      <c r="BA225">
        <v>2.5000000000000001E-5</v>
      </c>
    </row>
    <row r="226" spans="1:53" x14ac:dyDescent="0.25">
      <c r="A226">
        <v>224</v>
      </c>
      <c r="B226" t="s">
        <v>7625</v>
      </c>
      <c r="C226">
        <v>704033</v>
      </c>
      <c r="D226" t="s">
        <v>951</v>
      </c>
      <c r="E226" t="s">
        <v>7685</v>
      </c>
      <c r="F226">
        <v>7408651.5</v>
      </c>
      <c r="G226">
        <v>17086.269531000002</v>
      </c>
      <c r="H226">
        <v>226</v>
      </c>
      <c r="I226">
        <v>390</v>
      </c>
      <c r="J226">
        <v>37365</v>
      </c>
      <c r="K226" t="s">
        <v>951</v>
      </c>
      <c r="L226">
        <v>14</v>
      </c>
      <c r="M226">
        <v>14</v>
      </c>
      <c r="N226">
        <v>37365</v>
      </c>
      <c r="O226">
        <v>221</v>
      </c>
      <c r="P226" t="s">
        <v>3215</v>
      </c>
      <c r="Q226">
        <v>3.3</v>
      </c>
      <c r="R226">
        <v>70.010000000000005</v>
      </c>
      <c r="S226">
        <v>0.73</v>
      </c>
      <c r="T226">
        <v>16</v>
      </c>
      <c r="U226">
        <v>7408651.5449999999</v>
      </c>
      <c r="V226">
        <v>17086.270399000001</v>
      </c>
      <c r="W226">
        <v>225</v>
      </c>
      <c r="X226">
        <v>0</v>
      </c>
      <c r="Y226">
        <v>224</v>
      </c>
      <c r="Z226" t="s">
        <v>6966</v>
      </c>
      <c r="AA226" t="s">
        <v>6966</v>
      </c>
      <c r="AB226" t="s">
        <v>6966</v>
      </c>
      <c r="AC226" t="s">
        <v>6966</v>
      </c>
      <c r="AD226" t="s">
        <v>6966</v>
      </c>
      <c r="AE226" t="s">
        <v>6966</v>
      </c>
      <c r="AF226" t="s">
        <v>6966</v>
      </c>
      <c r="AG226" t="s">
        <v>6966</v>
      </c>
      <c r="AH226" t="s">
        <v>6966</v>
      </c>
      <c r="AI226" t="s">
        <v>6966</v>
      </c>
      <c r="AJ226" t="s">
        <v>6966</v>
      </c>
      <c r="AK226" t="s">
        <v>6966</v>
      </c>
      <c r="AL226" t="s">
        <v>6966</v>
      </c>
      <c r="AM226" t="s">
        <v>6966</v>
      </c>
      <c r="AN226" t="s">
        <v>6966</v>
      </c>
      <c r="AO226" t="s">
        <v>6966</v>
      </c>
      <c r="AP226" t="s">
        <v>6966</v>
      </c>
      <c r="AQ226" t="s">
        <v>6966</v>
      </c>
      <c r="AR226" t="s">
        <v>6966</v>
      </c>
      <c r="AS226" t="s">
        <v>6966</v>
      </c>
      <c r="AT226" t="s">
        <v>6966</v>
      </c>
      <c r="AU226" t="s">
        <v>6966</v>
      </c>
      <c r="AV226" t="s">
        <v>6966</v>
      </c>
      <c r="AW226" t="s">
        <v>6966</v>
      </c>
      <c r="AX226" t="s">
        <v>6966</v>
      </c>
      <c r="AY226" t="s">
        <v>6966</v>
      </c>
      <c r="AZ226">
        <v>0.17197499999999999</v>
      </c>
      <c r="BA226">
        <v>7.2599999999999997E-4</v>
      </c>
    </row>
    <row r="227" spans="1:53" x14ac:dyDescent="0.25">
      <c r="A227">
        <v>225</v>
      </c>
      <c r="B227" t="s">
        <v>7625</v>
      </c>
      <c r="C227">
        <v>704041</v>
      </c>
      <c r="D227" t="s">
        <v>940</v>
      </c>
      <c r="E227" t="s">
        <v>7685</v>
      </c>
      <c r="F227">
        <v>2451863</v>
      </c>
      <c r="G227">
        <v>9228.0546880000002</v>
      </c>
      <c r="H227">
        <v>227</v>
      </c>
      <c r="I227">
        <v>391</v>
      </c>
      <c r="J227">
        <v>37351</v>
      </c>
      <c r="K227" t="s">
        <v>2307</v>
      </c>
      <c r="L227">
        <v>14</v>
      </c>
      <c r="M227">
        <v>14</v>
      </c>
      <c r="N227">
        <v>37351</v>
      </c>
      <c r="O227">
        <v>222</v>
      </c>
      <c r="P227" t="s">
        <v>3215</v>
      </c>
      <c r="Q227">
        <v>5.0999999999999996</v>
      </c>
      <c r="R227">
        <v>118.66</v>
      </c>
      <c r="S227">
        <v>1.1299999999999999</v>
      </c>
      <c r="T227">
        <v>26</v>
      </c>
      <c r="U227">
        <v>2451862.95083</v>
      </c>
      <c r="V227">
        <v>9228.0551630000009</v>
      </c>
      <c r="W227">
        <v>226</v>
      </c>
      <c r="X227">
        <v>0</v>
      </c>
      <c r="Y227">
        <v>225</v>
      </c>
      <c r="Z227" t="s">
        <v>6966</v>
      </c>
      <c r="AA227" t="s">
        <v>6966</v>
      </c>
      <c r="AB227" t="s">
        <v>6966</v>
      </c>
      <c r="AC227" t="s">
        <v>6966</v>
      </c>
      <c r="AD227" t="s">
        <v>6966</v>
      </c>
      <c r="AE227" t="s">
        <v>6966</v>
      </c>
      <c r="AF227" t="s">
        <v>6966</v>
      </c>
      <c r="AG227" t="s">
        <v>6966</v>
      </c>
      <c r="AH227" t="s">
        <v>6966</v>
      </c>
      <c r="AI227" t="s">
        <v>6966</v>
      </c>
      <c r="AJ227" t="s">
        <v>6966</v>
      </c>
      <c r="AK227" t="s">
        <v>6966</v>
      </c>
      <c r="AL227" t="s">
        <v>6966</v>
      </c>
      <c r="AM227" t="s">
        <v>6966</v>
      </c>
      <c r="AN227" t="s">
        <v>6966</v>
      </c>
      <c r="AO227" t="s">
        <v>6966</v>
      </c>
      <c r="AP227" t="s">
        <v>6966</v>
      </c>
      <c r="AQ227" t="s">
        <v>6966</v>
      </c>
      <c r="AR227" t="s">
        <v>6966</v>
      </c>
      <c r="AS227" t="s">
        <v>6966</v>
      </c>
      <c r="AT227" t="s">
        <v>6966</v>
      </c>
      <c r="AU227" t="s">
        <v>6966</v>
      </c>
      <c r="AV227" t="s">
        <v>6966</v>
      </c>
      <c r="AW227" t="s">
        <v>6966</v>
      </c>
      <c r="AX227" t="s">
        <v>6966</v>
      </c>
      <c r="AY227" t="s">
        <v>6966</v>
      </c>
      <c r="AZ227">
        <v>9.3440999999999996E-2</v>
      </c>
      <c r="BA227">
        <v>2.4000000000000001E-4</v>
      </c>
    </row>
    <row r="228" spans="1:53" x14ac:dyDescent="0.25">
      <c r="A228">
        <v>226</v>
      </c>
      <c r="B228" t="s">
        <v>7625</v>
      </c>
      <c r="C228">
        <v>704048</v>
      </c>
      <c r="D228" t="s">
        <v>936</v>
      </c>
      <c r="E228" t="s">
        <v>7685</v>
      </c>
      <c r="F228">
        <v>3748326.5</v>
      </c>
      <c r="G228">
        <v>10904.792969</v>
      </c>
      <c r="H228">
        <v>228</v>
      </c>
      <c r="I228">
        <v>392</v>
      </c>
      <c r="J228">
        <v>37344</v>
      </c>
      <c r="K228" t="s">
        <v>936</v>
      </c>
      <c r="L228">
        <v>14</v>
      </c>
      <c r="M228">
        <v>14</v>
      </c>
      <c r="N228">
        <v>37344</v>
      </c>
      <c r="O228">
        <v>1616</v>
      </c>
      <c r="P228" t="s">
        <v>3215</v>
      </c>
      <c r="Q228">
        <v>1.2</v>
      </c>
      <c r="R228">
        <v>163.69999999999999</v>
      </c>
      <c r="S228">
        <v>0.23</v>
      </c>
      <c r="T228">
        <v>32</v>
      </c>
      <c r="U228">
        <v>3748326.5538499998</v>
      </c>
      <c r="V228">
        <v>10904.792734000001</v>
      </c>
      <c r="W228">
        <v>227</v>
      </c>
      <c r="X228">
        <v>0</v>
      </c>
      <c r="Y228">
        <v>226</v>
      </c>
      <c r="Z228" t="s">
        <v>6966</v>
      </c>
      <c r="AA228" t="s">
        <v>6966</v>
      </c>
      <c r="AB228" t="s">
        <v>6966</v>
      </c>
      <c r="AC228" t="s">
        <v>6966</v>
      </c>
      <c r="AD228" t="s">
        <v>6966</v>
      </c>
      <c r="AE228" t="s">
        <v>6966</v>
      </c>
      <c r="AF228" t="s">
        <v>6966</v>
      </c>
      <c r="AG228" t="s">
        <v>6966</v>
      </c>
      <c r="AH228" t="s">
        <v>6966</v>
      </c>
      <c r="AI228" t="s">
        <v>6966</v>
      </c>
      <c r="AJ228" t="s">
        <v>6966</v>
      </c>
      <c r="AK228" t="s">
        <v>6966</v>
      </c>
      <c r="AL228" t="s">
        <v>6966</v>
      </c>
      <c r="AM228" t="s">
        <v>6966</v>
      </c>
      <c r="AN228" t="s">
        <v>6966</v>
      </c>
      <c r="AO228" t="s">
        <v>6966</v>
      </c>
      <c r="AP228" t="s">
        <v>6966</v>
      </c>
      <c r="AQ228" t="s">
        <v>6966</v>
      </c>
      <c r="AR228" t="s">
        <v>6966</v>
      </c>
      <c r="AS228" t="s">
        <v>6966</v>
      </c>
      <c r="AT228" t="s">
        <v>6966</v>
      </c>
      <c r="AU228" t="s">
        <v>6966</v>
      </c>
      <c r="AV228" t="s">
        <v>6966</v>
      </c>
      <c r="AW228" t="s">
        <v>6966</v>
      </c>
      <c r="AX228" t="s">
        <v>6966</v>
      </c>
      <c r="AY228" t="s">
        <v>6966</v>
      </c>
      <c r="AZ228">
        <v>0.106918</v>
      </c>
      <c r="BA228">
        <v>3.68E-4</v>
      </c>
    </row>
    <row r="229" spans="1:53" x14ac:dyDescent="0.25">
      <c r="A229">
        <v>227</v>
      </c>
      <c r="B229" t="s">
        <v>7625</v>
      </c>
      <c r="C229">
        <v>704023</v>
      </c>
      <c r="D229" t="s">
        <v>937</v>
      </c>
      <c r="E229" t="s">
        <v>7685</v>
      </c>
      <c r="F229">
        <v>344227.71875</v>
      </c>
      <c r="G229">
        <v>2583.4809570000002</v>
      </c>
      <c r="H229">
        <v>229</v>
      </c>
      <c r="I229">
        <v>393</v>
      </c>
      <c r="J229">
        <v>37345</v>
      </c>
      <c r="K229" t="s">
        <v>7700</v>
      </c>
      <c r="L229">
        <v>14</v>
      </c>
      <c r="M229">
        <v>14</v>
      </c>
      <c r="N229">
        <v>37345</v>
      </c>
      <c r="O229">
        <v>223</v>
      </c>
      <c r="P229" t="s">
        <v>3215</v>
      </c>
      <c r="Q229">
        <v>27.5</v>
      </c>
      <c r="R229">
        <v>209.38</v>
      </c>
      <c r="S229">
        <v>5.84</v>
      </c>
      <c r="T229">
        <v>21</v>
      </c>
      <c r="U229">
        <v>344227.76464299997</v>
      </c>
      <c r="V229">
        <v>2583.481076</v>
      </c>
      <c r="W229">
        <v>228</v>
      </c>
      <c r="X229">
        <v>0</v>
      </c>
      <c r="Y229">
        <v>227</v>
      </c>
      <c r="Z229" t="s">
        <v>6966</v>
      </c>
      <c r="AA229" t="s">
        <v>6966</v>
      </c>
      <c r="AB229" t="s">
        <v>6966</v>
      </c>
      <c r="AC229" t="s">
        <v>6966</v>
      </c>
      <c r="AD229" t="s">
        <v>6966</v>
      </c>
      <c r="AE229" t="s">
        <v>6966</v>
      </c>
      <c r="AF229" t="s">
        <v>6966</v>
      </c>
      <c r="AG229" t="s">
        <v>6966</v>
      </c>
      <c r="AH229" t="s">
        <v>6966</v>
      </c>
      <c r="AI229" t="s">
        <v>6966</v>
      </c>
      <c r="AJ229" t="s">
        <v>6966</v>
      </c>
      <c r="AK229" t="s">
        <v>6966</v>
      </c>
      <c r="AL229" t="s">
        <v>6966</v>
      </c>
      <c r="AM229" t="s">
        <v>6966</v>
      </c>
      <c r="AN229" t="s">
        <v>6966</v>
      </c>
      <c r="AO229" t="s">
        <v>6966</v>
      </c>
      <c r="AP229" t="s">
        <v>6966</v>
      </c>
      <c r="AQ229" t="s">
        <v>6966</v>
      </c>
      <c r="AR229" t="s">
        <v>6966</v>
      </c>
      <c r="AS229" t="s">
        <v>6966</v>
      </c>
      <c r="AT229" t="s">
        <v>6966</v>
      </c>
      <c r="AU229" t="s">
        <v>6966</v>
      </c>
      <c r="AV229" t="s">
        <v>6966</v>
      </c>
      <c r="AW229" t="s">
        <v>6966</v>
      </c>
      <c r="AX229" t="s">
        <v>6966</v>
      </c>
      <c r="AY229" t="s">
        <v>6966</v>
      </c>
      <c r="AZ229">
        <v>2.5510000000000001E-2</v>
      </c>
      <c r="BA229">
        <v>3.4E-5</v>
      </c>
    </row>
    <row r="230" spans="1:53" x14ac:dyDescent="0.25">
      <c r="A230">
        <v>228</v>
      </c>
      <c r="B230" t="s">
        <v>7625</v>
      </c>
      <c r="C230">
        <v>703040</v>
      </c>
      <c r="D230" t="s">
        <v>591</v>
      </c>
      <c r="E230" t="s">
        <v>7704</v>
      </c>
      <c r="F230">
        <v>7499214</v>
      </c>
      <c r="G230">
        <v>22922.347656000002</v>
      </c>
      <c r="H230">
        <v>230</v>
      </c>
      <c r="I230">
        <v>395</v>
      </c>
      <c r="J230">
        <v>32185</v>
      </c>
      <c r="K230" t="s">
        <v>2038</v>
      </c>
      <c r="L230">
        <v>9</v>
      </c>
      <c r="M230">
        <v>9</v>
      </c>
      <c r="N230">
        <v>32185</v>
      </c>
      <c r="O230">
        <v>224</v>
      </c>
      <c r="P230" t="s">
        <v>3215</v>
      </c>
      <c r="Q230">
        <v>5.4</v>
      </c>
      <c r="R230">
        <v>45.36</v>
      </c>
      <c r="S230">
        <v>1.86</v>
      </c>
      <c r="T230">
        <v>22</v>
      </c>
      <c r="U230">
        <v>7499213.8133399999</v>
      </c>
      <c r="V230">
        <v>22922.347876</v>
      </c>
      <c r="W230">
        <v>229</v>
      </c>
      <c r="X230">
        <v>5</v>
      </c>
      <c r="Y230">
        <v>228</v>
      </c>
      <c r="Z230">
        <v>56218</v>
      </c>
      <c r="AA230" s="76">
        <v>45684</v>
      </c>
      <c r="AB230">
        <v>2025</v>
      </c>
      <c r="AC230" t="s">
        <v>6992</v>
      </c>
      <c r="AD230">
        <v>27</v>
      </c>
      <c r="AE230" t="s">
        <v>7069</v>
      </c>
      <c r="AF230" t="s">
        <v>3215</v>
      </c>
      <c r="AG230" t="s">
        <v>3223</v>
      </c>
      <c r="AH230" t="s">
        <v>591</v>
      </c>
      <c r="AI230" t="s">
        <v>3112</v>
      </c>
      <c r="AJ230" t="s">
        <v>6966</v>
      </c>
      <c r="AK230">
        <v>34.393149999999999</v>
      </c>
      <c r="AL230">
        <v>35.845790000000001</v>
      </c>
      <c r="AM230" t="s">
        <v>6995</v>
      </c>
      <c r="AN230" t="s">
        <v>6995</v>
      </c>
      <c r="AO230" t="s">
        <v>7008</v>
      </c>
      <c r="AP230" t="s">
        <v>7070</v>
      </c>
      <c r="AQ230" t="s">
        <v>6998</v>
      </c>
      <c r="AR230" t="s">
        <v>6999</v>
      </c>
      <c r="AS230" t="s">
        <v>7036</v>
      </c>
      <c r="AT230">
        <v>0</v>
      </c>
      <c r="AU230">
        <v>0</v>
      </c>
      <c r="AV230" t="s">
        <v>7407</v>
      </c>
      <c r="AW230" t="s">
        <v>7041</v>
      </c>
      <c r="AX230" t="s">
        <v>6966</v>
      </c>
      <c r="AY230" t="s">
        <v>7003</v>
      </c>
      <c r="AZ230">
        <v>0.22767399999999999</v>
      </c>
      <c r="BA230">
        <v>7.3499999999999998E-4</v>
      </c>
    </row>
    <row r="231" spans="1:53" x14ac:dyDescent="0.25">
      <c r="A231">
        <v>229</v>
      </c>
      <c r="B231" t="s">
        <v>7625</v>
      </c>
      <c r="C231">
        <v>201074</v>
      </c>
      <c r="D231" t="s">
        <v>7705</v>
      </c>
      <c r="E231" t="s">
        <v>1069</v>
      </c>
      <c r="F231">
        <v>0</v>
      </c>
      <c r="G231">
        <v>26068.853515999999</v>
      </c>
      <c r="H231">
        <v>231</v>
      </c>
      <c r="I231">
        <v>397</v>
      </c>
      <c r="J231">
        <v>53267</v>
      </c>
      <c r="K231" t="s">
        <v>2443</v>
      </c>
      <c r="L231">
        <v>17</v>
      </c>
      <c r="M231">
        <v>18</v>
      </c>
      <c r="N231">
        <v>53267</v>
      </c>
      <c r="O231">
        <v>225</v>
      </c>
      <c r="P231" t="s">
        <v>3214</v>
      </c>
      <c r="Q231">
        <v>0.3</v>
      </c>
      <c r="R231">
        <v>0</v>
      </c>
      <c r="S231">
        <v>0.08</v>
      </c>
      <c r="T231">
        <v>0</v>
      </c>
      <c r="U231">
        <v>0</v>
      </c>
      <c r="V231">
        <v>26068.853330999998</v>
      </c>
      <c r="W231">
        <v>230</v>
      </c>
      <c r="X231">
        <v>0</v>
      </c>
      <c r="Y231">
        <v>229</v>
      </c>
      <c r="Z231" t="s">
        <v>6966</v>
      </c>
      <c r="AA231" t="s">
        <v>6966</v>
      </c>
      <c r="AB231" t="s">
        <v>6966</v>
      </c>
      <c r="AC231" t="s">
        <v>6966</v>
      </c>
      <c r="AD231" t="s">
        <v>6966</v>
      </c>
      <c r="AE231" t="s">
        <v>6966</v>
      </c>
      <c r="AF231" t="s">
        <v>6966</v>
      </c>
      <c r="AG231" t="s">
        <v>6966</v>
      </c>
      <c r="AH231" t="s">
        <v>6966</v>
      </c>
      <c r="AI231" t="s">
        <v>6966</v>
      </c>
      <c r="AJ231" t="s">
        <v>6966</v>
      </c>
      <c r="AK231" t="s">
        <v>6966</v>
      </c>
      <c r="AL231" t="s">
        <v>6966</v>
      </c>
      <c r="AM231" t="s">
        <v>6966</v>
      </c>
      <c r="AN231" t="s">
        <v>6966</v>
      </c>
      <c r="AO231" t="s">
        <v>6966</v>
      </c>
      <c r="AP231" t="s">
        <v>6966</v>
      </c>
      <c r="AQ231" t="s">
        <v>6966</v>
      </c>
      <c r="AR231" t="s">
        <v>6966</v>
      </c>
      <c r="AS231" t="s">
        <v>6966</v>
      </c>
      <c r="AT231" t="s">
        <v>6966</v>
      </c>
      <c r="AU231" t="s">
        <v>6966</v>
      </c>
      <c r="AV231" t="s">
        <v>6966</v>
      </c>
      <c r="AW231" t="s">
        <v>6966</v>
      </c>
      <c r="AX231" t="s">
        <v>6966</v>
      </c>
      <c r="AY231" t="s">
        <v>6966</v>
      </c>
      <c r="AZ231">
        <v>0.25700699999999999</v>
      </c>
      <c r="BA231">
        <v>2.418E-3</v>
      </c>
    </row>
    <row r="232" spans="1:53" x14ac:dyDescent="0.25">
      <c r="A232">
        <v>230</v>
      </c>
      <c r="B232" t="s">
        <v>7625</v>
      </c>
      <c r="C232">
        <v>704054</v>
      </c>
      <c r="D232" t="s">
        <v>2296</v>
      </c>
      <c r="E232" t="s">
        <v>7685</v>
      </c>
      <c r="F232">
        <v>2043726.5</v>
      </c>
      <c r="G232">
        <v>8077.8876950000003</v>
      </c>
      <c r="H232">
        <v>232</v>
      </c>
      <c r="I232">
        <v>399</v>
      </c>
      <c r="J232">
        <v>37323</v>
      </c>
      <c r="K232" t="s">
        <v>2296</v>
      </c>
      <c r="L232">
        <v>14</v>
      </c>
      <c r="M232">
        <v>14</v>
      </c>
      <c r="N232">
        <v>37323</v>
      </c>
      <c r="O232">
        <v>226</v>
      </c>
      <c r="P232" t="s">
        <v>3215</v>
      </c>
      <c r="Q232">
        <v>8.4</v>
      </c>
      <c r="R232">
        <v>197.37</v>
      </c>
      <c r="S232">
        <v>1.7</v>
      </c>
      <c r="T232">
        <v>40</v>
      </c>
      <c r="U232">
        <v>2043726.50917</v>
      </c>
      <c r="V232">
        <v>8077.8876380000002</v>
      </c>
      <c r="W232">
        <v>231</v>
      </c>
      <c r="X232">
        <v>0</v>
      </c>
      <c r="Y232">
        <v>230</v>
      </c>
      <c r="Z232" t="s">
        <v>6966</v>
      </c>
      <c r="AA232" t="s">
        <v>6966</v>
      </c>
      <c r="AB232" t="s">
        <v>6966</v>
      </c>
      <c r="AC232" t="s">
        <v>6966</v>
      </c>
      <c r="AD232" t="s">
        <v>6966</v>
      </c>
      <c r="AE232" t="s">
        <v>6966</v>
      </c>
      <c r="AF232" t="s">
        <v>6966</v>
      </c>
      <c r="AG232" t="s">
        <v>6966</v>
      </c>
      <c r="AH232" t="s">
        <v>6966</v>
      </c>
      <c r="AI232" t="s">
        <v>6966</v>
      </c>
      <c r="AJ232" t="s">
        <v>6966</v>
      </c>
      <c r="AK232" t="s">
        <v>6966</v>
      </c>
      <c r="AL232" t="s">
        <v>6966</v>
      </c>
      <c r="AM232" t="s">
        <v>6966</v>
      </c>
      <c r="AN232" t="s">
        <v>6966</v>
      </c>
      <c r="AO232" t="s">
        <v>6966</v>
      </c>
      <c r="AP232" t="s">
        <v>6966</v>
      </c>
      <c r="AQ232" t="s">
        <v>6966</v>
      </c>
      <c r="AR232" t="s">
        <v>6966</v>
      </c>
      <c r="AS232" t="s">
        <v>6966</v>
      </c>
      <c r="AT232" t="s">
        <v>6966</v>
      </c>
      <c r="AU232" t="s">
        <v>6966</v>
      </c>
      <c r="AV232" t="s">
        <v>6966</v>
      </c>
      <c r="AW232" t="s">
        <v>6966</v>
      </c>
      <c r="AX232" t="s">
        <v>6966</v>
      </c>
      <c r="AY232" t="s">
        <v>6966</v>
      </c>
      <c r="AZ232">
        <v>8.0304E-2</v>
      </c>
      <c r="BA232">
        <v>2.0000000000000001E-4</v>
      </c>
    </row>
    <row r="233" spans="1:53" x14ac:dyDescent="0.25">
      <c r="A233">
        <v>231</v>
      </c>
      <c r="B233" t="s">
        <v>7625</v>
      </c>
      <c r="C233">
        <v>704052</v>
      </c>
      <c r="D233" t="s">
        <v>7706</v>
      </c>
      <c r="E233" t="s">
        <v>7685</v>
      </c>
      <c r="F233">
        <v>5708316</v>
      </c>
      <c r="G233">
        <v>14833.869140999999</v>
      </c>
      <c r="H233">
        <v>233</v>
      </c>
      <c r="I233">
        <v>401</v>
      </c>
      <c r="J233">
        <v>37337</v>
      </c>
      <c r="K233" t="s">
        <v>7707</v>
      </c>
      <c r="L233">
        <v>14</v>
      </c>
      <c r="M233">
        <v>14</v>
      </c>
      <c r="N233">
        <v>37337</v>
      </c>
      <c r="O233">
        <v>227</v>
      </c>
      <c r="P233" t="s">
        <v>3215</v>
      </c>
      <c r="Q233">
        <v>3.4</v>
      </c>
      <c r="R233">
        <v>105.66</v>
      </c>
      <c r="S233">
        <v>1.49</v>
      </c>
      <c r="T233">
        <v>47</v>
      </c>
      <c r="U233">
        <v>5708316.0091399997</v>
      </c>
      <c r="V233">
        <v>14833.869154</v>
      </c>
      <c r="W233">
        <v>232</v>
      </c>
      <c r="X233">
        <v>0</v>
      </c>
      <c r="Y233">
        <v>231</v>
      </c>
      <c r="Z233" t="s">
        <v>6966</v>
      </c>
      <c r="AA233" t="s">
        <v>6966</v>
      </c>
      <c r="AB233" t="s">
        <v>6966</v>
      </c>
      <c r="AC233" t="s">
        <v>6966</v>
      </c>
      <c r="AD233" t="s">
        <v>6966</v>
      </c>
      <c r="AE233" t="s">
        <v>6966</v>
      </c>
      <c r="AF233" t="s">
        <v>6966</v>
      </c>
      <c r="AG233" t="s">
        <v>6966</v>
      </c>
      <c r="AH233" t="s">
        <v>6966</v>
      </c>
      <c r="AI233" t="s">
        <v>6966</v>
      </c>
      <c r="AJ233" t="s">
        <v>6966</v>
      </c>
      <c r="AK233" t="s">
        <v>6966</v>
      </c>
      <c r="AL233" t="s">
        <v>6966</v>
      </c>
      <c r="AM233" t="s">
        <v>6966</v>
      </c>
      <c r="AN233" t="s">
        <v>6966</v>
      </c>
      <c r="AO233" t="s">
        <v>6966</v>
      </c>
      <c r="AP233" t="s">
        <v>6966</v>
      </c>
      <c r="AQ233" t="s">
        <v>6966</v>
      </c>
      <c r="AR233" t="s">
        <v>6966</v>
      </c>
      <c r="AS233" t="s">
        <v>6966</v>
      </c>
      <c r="AT233" t="s">
        <v>6966</v>
      </c>
      <c r="AU233" t="s">
        <v>6966</v>
      </c>
      <c r="AV233" t="s">
        <v>6966</v>
      </c>
      <c r="AW233" t="s">
        <v>6966</v>
      </c>
      <c r="AX233" t="s">
        <v>6966</v>
      </c>
      <c r="AY233" t="s">
        <v>6966</v>
      </c>
      <c r="AZ233">
        <v>0.14910399999999999</v>
      </c>
      <c r="BA233">
        <v>5.5999999999999995E-4</v>
      </c>
    </row>
    <row r="234" spans="1:53" x14ac:dyDescent="0.25">
      <c r="A234">
        <v>232</v>
      </c>
      <c r="B234" t="s">
        <v>7625</v>
      </c>
      <c r="C234">
        <v>704062</v>
      </c>
      <c r="D234" t="s">
        <v>87</v>
      </c>
      <c r="E234" t="s">
        <v>7685</v>
      </c>
      <c r="F234">
        <v>606904.375</v>
      </c>
      <c r="G234">
        <v>4271.6801759999998</v>
      </c>
      <c r="H234">
        <v>234</v>
      </c>
      <c r="I234">
        <v>404</v>
      </c>
      <c r="J234">
        <v>37001</v>
      </c>
      <c r="K234" t="s">
        <v>87</v>
      </c>
      <c r="L234">
        <v>14</v>
      </c>
      <c r="M234">
        <v>14</v>
      </c>
      <c r="N234">
        <v>37001</v>
      </c>
      <c r="O234">
        <v>229</v>
      </c>
      <c r="P234" t="s">
        <v>3215</v>
      </c>
      <c r="Q234">
        <v>0</v>
      </c>
      <c r="R234">
        <v>0</v>
      </c>
      <c r="S234">
        <v>0</v>
      </c>
      <c r="T234">
        <v>0</v>
      </c>
      <c r="U234">
        <v>606904.30569399998</v>
      </c>
      <c r="V234">
        <v>4271.6801269999996</v>
      </c>
      <c r="W234">
        <v>233</v>
      </c>
      <c r="X234">
        <v>0</v>
      </c>
      <c r="Y234">
        <v>232</v>
      </c>
      <c r="Z234" t="s">
        <v>6966</v>
      </c>
      <c r="AA234" t="s">
        <v>6966</v>
      </c>
      <c r="AB234" t="s">
        <v>6966</v>
      </c>
      <c r="AC234" t="s">
        <v>6966</v>
      </c>
      <c r="AD234" t="s">
        <v>6966</v>
      </c>
      <c r="AE234" t="s">
        <v>6966</v>
      </c>
      <c r="AF234" t="s">
        <v>6966</v>
      </c>
      <c r="AG234" t="s">
        <v>6966</v>
      </c>
      <c r="AH234" t="s">
        <v>6966</v>
      </c>
      <c r="AI234" t="s">
        <v>6966</v>
      </c>
      <c r="AJ234" t="s">
        <v>6966</v>
      </c>
      <c r="AK234" t="s">
        <v>6966</v>
      </c>
      <c r="AL234" t="s">
        <v>6966</v>
      </c>
      <c r="AM234" t="s">
        <v>6966</v>
      </c>
      <c r="AN234" t="s">
        <v>6966</v>
      </c>
      <c r="AO234" t="s">
        <v>6966</v>
      </c>
      <c r="AP234" t="s">
        <v>6966</v>
      </c>
      <c r="AQ234" t="s">
        <v>6966</v>
      </c>
      <c r="AR234" t="s">
        <v>6966</v>
      </c>
      <c r="AS234" t="s">
        <v>6966</v>
      </c>
      <c r="AT234" t="s">
        <v>6966</v>
      </c>
      <c r="AU234" t="s">
        <v>6966</v>
      </c>
      <c r="AV234" t="s">
        <v>6966</v>
      </c>
      <c r="AW234" t="s">
        <v>6966</v>
      </c>
      <c r="AX234" t="s">
        <v>6966</v>
      </c>
      <c r="AY234" t="s">
        <v>6966</v>
      </c>
      <c r="AZ234">
        <v>4.4079E-2</v>
      </c>
      <c r="BA234">
        <v>6.0000000000000002E-5</v>
      </c>
    </row>
    <row r="235" spans="1:53" x14ac:dyDescent="0.25">
      <c r="A235">
        <v>233</v>
      </c>
      <c r="B235" t="s">
        <v>7625</v>
      </c>
      <c r="C235">
        <v>706028</v>
      </c>
      <c r="D235" t="s">
        <v>599</v>
      </c>
      <c r="E235" t="s">
        <v>597</v>
      </c>
      <c r="F235">
        <v>3254503</v>
      </c>
      <c r="G235">
        <v>11218.248046999999</v>
      </c>
      <c r="H235">
        <v>235</v>
      </c>
      <c r="I235">
        <v>405</v>
      </c>
      <c r="J235">
        <v>33115</v>
      </c>
      <c r="K235" t="s">
        <v>2044</v>
      </c>
      <c r="L235">
        <v>10</v>
      </c>
      <c r="M235">
        <v>10</v>
      </c>
      <c r="N235">
        <v>33115</v>
      </c>
      <c r="O235">
        <v>230</v>
      </c>
      <c r="P235" t="s">
        <v>3215</v>
      </c>
      <c r="Q235">
        <v>8.3000000000000007</v>
      </c>
      <c r="R235">
        <v>135.19</v>
      </c>
      <c r="S235">
        <v>2.16</v>
      </c>
      <c r="T235">
        <v>35</v>
      </c>
      <c r="U235">
        <v>3254502.9272099999</v>
      </c>
      <c r="V235">
        <v>11218.248228</v>
      </c>
      <c r="W235">
        <v>234</v>
      </c>
      <c r="X235">
        <v>0</v>
      </c>
      <c r="Y235">
        <v>233</v>
      </c>
      <c r="Z235" t="s">
        <v>6966</v>
      </c>
      <c r="AA235" t="s">
        <v>6966</v>
      </c>
      <c r="AB235" t="s">
        <v>6966</v>
      </c>
      <c r="AC235" t="s">
        <v>6966</v>
      </c>
      <c r="AD235" t="s">
        <v>6966</v>
      </c>
      <c r="AE235" t="s">
        <v>6966</v>
      </c>
      <c r="AF235" t="s">
        <v>6966</v>
      </c>
      <c r="AG235" t="s">
        <v>6966</v>
      </c>
      <c r="AH235" t="s">
        <v>6966</v>
      </c>
      <c r="AI235" t="s">
        <v>6966</v>
      </c>
      <c r="AJ235" t="s">
        <v>6966</v>
      </c>
      <c r="AK235" t="s">
        <v>6966</v>
      </c>
      <c r="AL235" t="s">
        <v>6966</v>
      </c>
      <c r="AM235" t="s">
        <v>6966</v>
      </c>
      <c r="AN235" t="s">
        <v>6966</v>
      </c>
      <c r="AO235" t="s">
        <v>6966</v>
      </c>
      <c r="AP235" t="s">
        <v>6966</v>
      </c>
      <c r="AQ235" t="s">
        <v>6966</v>
      </c>
      <c r="AR235" t="s">
        <v>6966</v>
      </c>
      <c r="AS235" t="s">
        <v>6966</v>
      </c>
      <c r="AT235" t="s">
        <v>6966</v>
      </c>
      <c r="AU235" t="s">
        <v>6966</v>
      </c>
      <c r="AV235" t="s">
        <v>6966</v>
      </c>
      <c r="AW235" t="s">
        <v>6966</v>
      </c>
      <c r="AX235" t="s">
        <v>6966</v>
      </c>
      <c r="AY235" t="s">
        <v>6966</v>
      </c>
      <c r="AZ235">
        <v>0.10988299999999999</v>
      </c>
      <c r="BA235">
        <v>3.19E-4</v>
      </c>
    </row>
    <row r="236" spans="1:53" x14ac:dyDescent="0.25">
      <c r="A236">
        <v>234</v>
      </c>
      <c r="B236" t="s">
        <v>7625</v>
      </c>
      <c r="C236">
        <v>704031</v>
      </c>
      <c r="D236" t="s">
        <v>966</v>
      </c>
      <c r="E236" t="s">
        <v>7685</v>
      </c>
      <c r="F236">
        <v>6829715.5</v>
      </c>
      <c r="G236">
        <v>12635.760742</v>
      </c>
      <c r="H236">
        <v>236</v>
      </c>
      <c r="I236">
        <v>406</v>
      </c>
      <c r="J236">
        <v>37395</v>
      </c>
      <c r="K236" t="s">
        <v>966</v>
      </c>
      <c r="L236">
        <v>14</v>
      </c>
      <c r="M236">
        <v>14</v>
      </c>
      <c r="N236">
        <v>37395</v>
      </c>
      <c r="O236">
        <v>231</v>
      </c>
      <c r="P236" t="s">
        <v>3215</v>
      </c>
      <c r="Q236">
        <v>1.1000000000000001</v>
      </c>
      <c r="R236">
        <v>128.4</v>
      </c>
      <c r="S236">
        <v>0.22</v>
      </c>
      <c r="T236">
        <v>26</v>
      </c>
      <c r="U236">
        <v>6829715.5305899996</v>
      </c>
      <c r="V236">
        <v>12635.760224</v>
      </c>
      <c r="W236">
        <v>235</v>
      </c>
      <c r="X236">
        <v>0</v>
      </c>
      <c r="Y236">
        <v>234</v>
      </c>
      <c r="Z236" t="s">
        <v>6966</v>
      </c>
      <c r="AA236" t="s">
        <v>6966</v>
      </c>
      <c r="AB236" t="s">
        <v>6966</v>
      </c>
      <c r="AC236" t="s">
        <v>6966</v>
      </c>
      <c r="AD236" t="s">
        <v>6966</v>
      </c>
      <c r="AE236" t="s">
        <v>6966</v>
      </c>
      <c r="AF236" t="s">
        <v>6966</v>
      </c>
      <c r="AG236" t="s">
        <v>6966</v>
      </c>
      <c r="AH236" t="s">
        <v>6966</v>
      </c>
      <c r="AI236" t="s">
        <v>6966</v>
      </c>
      <c r="AJ236" t="s">
        <v>6966</v>
      </c>
      <c r="AK236" t="s">
        <v>6966</v>
      </c>
      <c r="AL236" t="s">
        <v>6966</v>
      </c>
      <c r="AM236" t="s">
        <v>6966</v>
      </c>
      <c r="AN236" t="s">
        <v>6966</v>
      </c>
      <c r="AO236" t="s">
        <v>6966</v>
      </c>
      <c r="AP236" t="s">
        <v>6966</v>
      </c>
      <c r="AQ236" t="s">
        <v>6966</v>
      </c>
      <c r="AR236" t="s">
        <v>6966</v>
      </c>
      <c r="AS236" t="s">
        <v>6966</v>
      </c>
      <c r="AT236" t="s">
        <v>6966</v>
      </c>
      <c r="AU236" t="s">
        <v>6966</v>
      </c>
      <c r="AV236" t="s">
        <v>6966</v>
      </c>
      <c r="AW236" t="s">
        <v>6966</v>
      </c>
      <c r="AX236" t="s">
        <v>6966</v>
      </c>
      <c r="AY236" t="s">
        <v>6966</v>
      </c>
      <c r="AZ236">
        <v>0.12450700000000001</v>
      </c>
      <c r="BA236">
        <v>6.7000000000000002E-4</v>
      </c>
    </row>
    <row r="237" spans="1:53" x14ac:dyDescent="0.25">
      <c r="A237">
        <v>235</v>
      </c>
      <c r="B237" t="s">
        <v>7625</v>
      </c>
      <c r="C237">
        <v>704013</v>
      </c>
      <c r="D237" t="s">
        <v>939</v>
      </c>
      <c r="E237" t="s">
        <v>7685</v>
      </c>
      <c r="F237">
        <v>1430320.75</v>
      </c>
      <c r="G237">
        <v>8307.5332030000009</v>
      </c>
      <c r="H237">
        <v>237</v>
      </c>
      <c r="I237">
        <v>407</v>
      </c>
      <c r="J237">
        <v>37349</v>
      </c>
      <c r="K237" t="s">
        <v>2306</v>
      </c>
      <c r="L237">
        <v>14</v>
      </c>
      <c r="M237">
        <v>14</v>
      </c>
      <c r="N237">
        <v>37349</v>
      </c>
      <c r="O237">
        <v>232</v>
      </c>
      <c r="P237" t="s">
        <v>3215</v>
      </c>
      <c r="Q237">
        <v>3.4</v>
      </c>
      <c r="R237">
        <v>66.09</v>
      </c>
      <c r="S237">
        <v>0.69</v>
      </c>
      <c r="T237">
        <v>13</v>
      </c>
      <c r="U237">
        <v>1430320.72499</v>
      </c>
      <c r="V237">
        <v>8307.5338400000001</v>
      </c>
      <c r="W237">
        <v>236</v>
      </c>
      <c r="X237">
        <v>0</v>
      </c>
      <c r="Y237">
        <v>235</v>
      </c>
      <c r="Z237" t="s">
        <v>6966</v>
      </c>
      <c r="AA237" t="s">
        <v>6966</v>
      </c>
      <c r="AB237" t="s">
        <v>6966</v>
      </c>
      <c r="AC237" t="s">
        <v>6966</v>
      </c>
      <c r="AD237" t="s">
        <v>6966</v>
      </c>
      <c r="AE237" t="s">
        <v>6966</v>
      </c>
      <c r="AF237" t="s">
        <v>6966</v>
      </c>
      <c r="AG237" t="s">
        <v>6966</v>
      </c>
      <c r="AH237" t="s">
        <v>6966</v>
      </c>
      <c r="AI237" t="s">
        <v>6966</v>
      </c>
      <c r="AJ237" t="s">
        <v>6966</v>
      </c>
      <c r="AK237" t="s">
        <v>6966</v>
      </c>
      <c r="AL237" t="s">
        <v>6966</v>
      </c>
      <c r="AM237" t="s">
        <v>6966</v>
      </c>
      <c r="AN237" t="s">
        <v>6966</v>
      </c>
      <c r="AO237" t="s">
        <v>6966</v>
      </c>
      <c r="AP237" t="s">
        <v>6966</v>
      </c>
      <c r="AQ237" t="s">
        <v>6966</v>
      </c>
      <c r="AR237" t="s">
        <v>6966</v>
      </c>
      <c r="AS237" t="s">
        <v>6966</v>
      </c>
      <c r="AT237" t="s">
        <v>6966</v>
      </c>
      <c r="AU237" t="s">
        <v>6966</v>
      </c>
      <c r="AV237" t="s">
        <v>6966</v>
      </c>
      <c r="AW237" t="s">
        <v>6966</v>
      </c>
      <c r="AX237" t="s">
        <v>6966</v>
      </c>
      <c r="AY237" t="s">
        <v>6966</v>
      </c>
      <c r="AZ237">
        <v>8.3582000000000004E-2</v>
      </c>
      <c r="BA237">
        <v>1.3999999999999999E-4</v>
      </c>
    </row>
    <row r="238" spans="1:53" x14ac:dyDescent="0.25">
      <c r="A238">
        <v>236</v>
      </c>
      <c r="B238" t="s">
        <v>7625</v>
      </c>
      <c r="C238">
        <v>201096</v>
      </c>
      <c r="D238" t="s">
        <v>87</v>
      </c>
      <c r="E238" t="s">
        <v>1069</v>
      </c>
      <c r="F238">
        <v>58391.609375</v>
      </c>
      <c r="G238">
        <v>3730.4580080000001</v>
      </c>
      <c r="H238">
        <v>238</v>
      </c>
      <c r="I238">
        <v>408</v>
      </c>
      <c r="J238">
        <v>54003</v>
      </c>
      <c r="K238" t="s">
        <v>87</v>
      </c>
      <c r="L238">
        <v>18</v>
      </c>
      <c r="M238">
        <v>18</v>
      </c>
      <c r="N238">
        <v>54003</v>
      </c>
      <c r="O238">
        <v>228</v>
      </c>
      <c r="P238" t="s">
        <v>3214</v>
      </c>
      <c r="Q238">
        <v>0</v>
      </c>
      <c r="R238">
        <v>0</v>
      </c>
      <c r="S238">
        <v>0</v>
      </c>
      <c r="T238">
        <v>0</v>
      </c>
      <c r="U238">
        <v>58391.637338</v>
      </c>
      <c r="V238">
        <v>3730.4579199999998</v>
      </c>
      <c r="W238">
        <v>237</v>
      </c>
      <c r="X238">
        <v>0</v>
      </c>
      <c r="Y238">
        <v>236</v>
      </c>
      <c r="Z238" t="s">
        <v>6966</v>
      </c>
      <c r="AA238" t="s">
        <v>6966</v>
      </c>
      <c r="AB238" t="s">
        <v>6966</v>
      </c>
      <c r="AC238" t="s">
        <v>6966</v>
      </c>
      <c r="AD238" t="s">
        <v>6966</v>
      </c>
      <c r="AE238" t="s">
        <v>6966</v>
      </c>
      <c r="AF238" t="s">
        <v>6966</v>
      </c>
      <c r="AG238" t="s">
        <v>6966</v>
      </c>
      <c r="AH238" t="s">
        <v>6966</v>
      </c>
      <c r="AI238" t="s">
        <v>6966</v>
      </c>
      <c r="AJ238" t="s">
        <v>6966</v>
      </c>
      <c r="AK238" t="s">
        <v>6966</v>
      </c>
      <c r="AL238" t="s">
        <v>6966</v>
      </c>
      <c r="AM238" t="s">
        <v>6966</v>
      </c>
      <c r="AN238" t="s">
        <v>6966</v>
      </c>
      <c r="AO238" t="s">
        <v>6966</v>
      </c>
      <c r="AP238" t="s">
        <v>6966</v>
      </c>
      <c r="AQ238" t="s">
        <v>6966</v>
      </c>
      <c r="AR238" t="s">
        <v>6966</v>
      </c>
      <c r="AS238" t="s">
        <v>6966</v>
      </c>
      <c r="AT238" t="s">
        <v>6966</v>
      </c>
      <c r="AU238" t="s">
        <v>6966</v>
      </c>
      <c r="AV238" t="s">
        <v>6966</v>
      </c>
      <c r="AW238" t="s">
        <v>6966</v>
      </c>
      <c r="AX238" t="s">
        <v>6966</v>
      </c>
      <c r="AY238" t="s">
        <v>6966</v>
      </c>
      <c r="AZ238">
        <v>3.4368000000000003E-2</v>
      </c>
      <c r="BA238">
        <v>6.0000000000000002E-6</v>
      </c>
    </row>
    <row r="239" spans="1:53" x14ac:dyDescent="0.25">
      <c r="A239">
        <v>237</v>
      </c>
      <c r="B239" t="s">
        <v>7625</v>
      </c>
      <c r="C239">
        <v>706045</v>
      </c>
      <c r="D239" t="s">
        <v>600</v>
      </c>
      <c r="E239" t="s">
        <v>597</v>
      </c>
      <c r="F239">
        <v>2451748.75</v>
      </c>
      <c r="G239">
        <v>9644.2617190000001</v>
      </c>
      <c r="H239">
        <v>239</v>
      </c>
      <c r="I239">
        <v>409</v>
      </c>
      <c r="J239">
        <v>33117</v>
      </c>
      <c r="K239" t="s">
        <v>2045</v>
      </c>
      <c r="L239">
        <v>10</v>
      </c>
      <c r="M239">
        <v>10</v>
      </c>
      <c r="N239">
        <v>33117</v>
      </c>
      <c r="O239">
        <v>233</v>
      </c>
      <c r="P239" t="s">
        <v>3215</v>
      </c>
      <c r="Q239">
        <v>14.7</v>
      </c>
      <c r="R239">
        <v>197.45</v>
      </c>
      <c r="S239">
        <v>3.6</v>
      </c>
      <c r="T239">
        <v>48</v>
      </c>
      <c r="U239">
        <v>2451748.6387800002</v>
      </c>
      <c r="V239">
        <v>9644.2617499999997</v>
      </c>
      <c r="W239">
        <v>238</v>
      </c>
      <c r="X239">
        <v>0</v>
      </c>
      <c r="Y239">
        <v>237</v>
      </c>
      <c r="Z239" t="s">
        <v>6966</v>
      </c>
      <c r="AA239" t="s">
        <v>6966</v>
      </c>
      <c r="AB239" t="s">
        <v>6966</v>
      </c>
      <c r="AC239" t="s">
        <v>6966</v>
      </c>
      <c r="AD239" t="s">
        <v>6966</v>
      </c>
      <c r="AE239" t="s">
        <v>6966</v>
      </c>
      <c r="AF239" t="s">
        <v>6966</v>
      </c>
      <c r="AG239" t="s">
        <v>6966</v>
      </c>
      <c r="AH239" t="s">
        <v>6966</v>
      </c>
      <c r="AI239" t="s">
        <v>6966</v>
      </c>
      <c r="AJ239" t="s">
        <v>6966</v>
      </c>
      <c r="AK239" t="s">
        <v>6966</v>
      </c>
      <c r="AL239" t="s">
        <v>6966</v>
      </c>
      <c r="AM239" t="s">
        <v>6966</v>
      </c>
      <c r="AN239" t="s">
        <v>6966</v>
      </c>
      <c r="AO239" t="s">
        <v>6966</v>
      </c>
      <c r="AP239" t="s">
        <v>6966</v>
      </c>
      <c r="AQ239" t="s">
        <v>6966</v>
      </c>
      <c r="AR239" t="s">
        <v>6966</v>
      </c>
      <c r="AS239" t="s">
        <v>6966</v>
      </c>
      <c r="AT239" t="s">
        <v>6966</v>
      </c>
      <c r="AU239" t="s">
        <v>6966</v>
      </c>
      <c r="AV239" t="s">
        <v>6966</v>
      </c>
      <c r="AW239" t="s">
        <v>6966</v>
      </c>
      <c r="AX239" t="s">
        <v>6966</v>
      </c>
      <c r="AY239" t="s">
        <v>6966</v>
      </c>
      <c r="AZ239">
        <v>9.5713000000000006E-2</v>
      </c>
      <c r="BA239">
        <v>2.4000000000000001E-4</v>
      </c>
    </row>
    <row r="240" spans="1:53" x14ac:dyDescent="0.25">
      <c r="A240">
        <v>238</v>
      </c>
      <c r="B240" t="s">
        <v>7625</v>
      </c>
      <c r="C240">
        <v>704034</v>
      </c>
      <c r="D240" t="s">
        <v>7708</v>
      </c>
      <c r="E240" t="s">
        <v>7685</v>
      </c>
      <c r="F240">
        <v>1100899</v>
      </c>
      <c r="G240">
        <v>7561.0600590000004</v>
      </c>
      <c r="H240">
        <v>240</v>
      </c>
      <c r="I240">
        <v>410</v>
      </c>
      <c r="J240">
        <v>37335</v>
      </c>
      <c r="K240" t="s">
        <v>2301</v>
      </c>
      <c r="L240">
        <v>14</v>
      </c>
      <c r="M240">
        <v>14</v>
      </c>
      <c r="N240">
        <v>37335</v>
      </c>
      <c r="O240">
        <v>234</v>
      </c>
      <c r="P240" t="s">
        <v>3215</v>
      </c>
      <c r="Q240">
        <v>3.7</v>
      </c>
      <c r="R240">
        <v>1413.27</v>
      </c>
      <c r="S240">
        <v>1</v>
      </c>
      <c r="T240">
        <v>380</v>
      </c>
      <c r="U240">
        <v>1100899.0053699999</v>
      </c>
      <c r="V240">
        <v>7561.0608179999999</v>
      </c>
      <c r="W240">
        <v>239</v>
      </c>
      <c r="X240">
        <v>0</v>
      </c>
      <c r="Y240">
        <v>238</v>
      </c>
      <c r="Z240" t="s">
        <v>6966</v>
      </c>
      <c r="AA240" t="s">
        <v>6966</v>
      </c>
      <c r="AB240" t="s">
        <v>6966</v>
      </c>
      <c r="AC240" t="s">
        <v>6966</v>
      </c>
      <c r="AD240" t="s">
        <v>6966</v>
      </c>
      <c r="AE240" t="s">
        <v>6966</v>
      </c>
      <c r="AF240" t="s">
        <v>6966</v>
      </c>
      <c r="AG240" t="s">
        <v>6966</v>
      </c>
      <c r="AH240" t="s">
        <v>6966</v>
      </c>
      <c r="AI240" t="s">
        <v>6966</v>
      </c>
      <c r="AJ240" t="s">
        <v>6966</v>
      </c>
      <c r="AK240" t="s">
        <v>6966</v>
      </c>
      <c r="AL240" t="s">
        <v>6966</v>
      </c>
      <c r="AM240" t="s">
        <v>6966</v>
      </c>
      <c r="AN240" t="s">
        <v>6966</v>
      </c>
      <c r="AO240" t="s">
        <v>6966</v>
      </c>
      <c r="AP240" t="s">
        <v>6966</v>
      </c>
      <c r="AQ240" t="s">
        <v>6966</v>
      </c>
      <c r="AR240" t="s">
        <v>6966</v>
      </c>
      <c r="AS240" t="s">
        <v>6966</v>
      </c>
      <c r="AT240" t="s">
        <v>6966</v>
      </c>
      <c r="AU240" t="s">
        <v>6966</v>
      </c>
      <c r="AV240" t="s">
        <v>6966</v>
      </c>
      <c r="AW240" t="s">
        <v>6966</v>
      </c>
      <c r="AX240" t="s">
        <v>6966</v>
      </c>
      <c r="AY240" t="s">
        <v>6966</v>
      </c>
      <c r="AZ240">
        <v>7.5111999999999998E-2</v>
      </c>
      <c r="BA240">
        <v>1.08E-4</v>
      </c>
    </row>
    <row r="241" spans="1:53" x14ac:dyDescent="0.25">
      <c r="A241">
        <v>239</v>
      </c>
      <c r="B241" t="s">
        <v>7625</v>
      </c>
      <c r="C241">
        <v>202004</v>
      </c>
      <c r="D241" t="s">
        <v>1159</v>
      </c>
      <c r="E241" t="s">
        <v>1152</v>
      </c>
      <c r="F241">
        <v>0</v>
      </c>
      <c r="G241">
        <v>51637.507812999997</v>
      </c>
      <c r="H241">
        <v>241</v>
      </c>
      <c r="I241">
        <v>411</v>
      </c>
      <c r="J241">
        <v>54159</v>
      </c>
      <c r="K241" t="s">
        <v>2483</v>
      </c>
      <c r="L241">
        <v>18</v>
      </c>
      <c r="M241">
        <v>18</v>
      </c>
      <c r="N241">
        <v>54159</v>
      </c>
      <c r="O241">
        <v>1617</v>
      </c>
      <c r="P241" t="s">
        <v>3214</v>
      </c>
      <c r="Q241">
        <v>0</v>
      </c>
      <c r="R241">
        <v>0</v>
      </c>
      <c r="S241">
        <v>0.02</v>
      </c>
      <c r="T241">
        <v>8</v>
      </c>
      <c r="U241">
        <v>0</v>
      </c>
      <c r="V241">
        <v>51637.509958000002</v>
      </c>
      <c r="W241">
        <v>240</v>
      </c>
      <c r="X241">
        <v>0</v>
      </c>
      <c r="Y241">
        <v>239</v>
      </c>
      <c r="Z241" t="s">
        <v>6966</v>
      </c>
      <c r="AA241" t="s">
        <v>6966</v>
      </c>
      <c r="AB241" t="s">
        <v>6966</v>
      </c>
      <c r="AC241" t="s">
        <v>6966</v>
      </c>
      <c r="AD241" t="s">
        <v>6966</v>
      </c>
      <c r="AE241" t="s">
        <v>6966</v>
      </c>
      <c r="AF241" t="s">
        <v>6966</v>
      </c>
      <c r="AG241" t="s">
        <v>6966</v>
      </c>
      <c r="AH241" t="s">
        <v>6966</v>
      </c>
      <c r="AI241" t="s">
        <v>6966</v>
      </c>
      <c r="AJ241" t="s">
        <v>6966</v>
      </c>
      <c r="AK241" t="s">
        <v>6966</v>
      </c>
      <c r="AL241" t="s">
        <v>6966</v>
      </c>
      <c r="AM241" t="s">
        <v>6966</v>
      </c>
      <c r="AN241" t="s">
        <v>6966</v>
      </c>
      <c r="AO241" t="s">
        <v>6966</v>
      </c>
      <c r="AP241" t="s">
        <v>6966</v>
      </c>
      <c r="AQ241" t="s">
        <v>6966</v>
      </c>
      <c r="AR241" t="s">
        <v>6966</v>
      </c>
      <c r="AS241" t="s">
        <v>6966</v>
      </c>
      <c r="AT241" t="s">
        <v>6966</v>
      </c>
      <c r="AU241" t="s">
        <v>6966</v>
      </c>
      <c r="AV241" t="s">
        <v>6966</v>
      </c>
      <c r="AW241" t="s">
        <v>6966</v>
      </c>
      <c r="AX241" t="s">
        <v>6966</v>
      </c>
      <c r="AY241" t="s">
        <v>6966</v>
      </c>
      <c r="AZ241">
        <v>0.51163099999999995</v>
      </c>
      <c r="BA241">
        <v>7.3470000000000002E-3</v>
      </c>
    </row>
    <row r="242" spans="1:53" x14ac:dyDescent="0.25">
      <c r="A242">
        <v>240</v>
      </c>
      <c r="B242" t="s">
        <v>7625</v>
      </c>
      <c r="C242">
        <v>706052</v>
      </c>
      <c r="D242" t="s">
        <v>597</v>
      </c>
      <c r="E242" t="s">
        <v>597</v>
      </c>
      <c r="F242">
        <v>2577871.5</v>
      </c>
      <c r="G242">
        <v>9271.8837889999995</v>
      </c>
      <c r="H242">
        <v>242</v>
      </c>
      <c r="I242">
        <v>412</v>
      </c>
      <c r="J242">
        <v>33111</v>
      </c>
      <c r="K242" t="s">
        <v>2042</v>
      </c>
      <c r="L242">
        <v>10</v>
      </c>
      <c r="M242">
        <v>10</v>
      </c>
      <c r="N242">
        <v>33111</v>
      </c>
      <c r="O242">
        <v>235</v>
      </c>
      <c r="P242" t="s">
        <v>3215</v>
      </c>
      <c r="Q242">
        <v>49</v>
      </c>
      <c r="R242">
        <v>168.29</v>
      </c>
      <c r="S242">
        <v>11.74</v>
      </c>
      <c r="T242">
        <v>40</v>
      </c>
      <c r="U242">
        <v>2577871.58666</v>
      </c>
      <c r="V242">
        <v>9271.8843880000004</v>
      </c>
      <c r="W242">
        <v>241</v>
      </c>
      <c r="X242">
        <v>0</v>
      </c>
      <c r="Y242">
        <v>240</v>
      </c>
      <c r="Z242" t="s">
        <v>6966</v>
      </c>
      <c r="AA242" t="s">
        <v>6966</v>
      </c>
      <c r="AB242" t="s">
        <v>6966</v>
      </c>
      <c r="AC242" t="s">
        <v>6966</v>
      </c>
      <c r="AD242" t="s">
        <v>6966</v>
      </c>
      <c r="AE242" t="s">
        <v>6966</v>
      </c>
      <c r="AF242" t="s">
        <v>6966</v>
      </c>
      <c r="AG242" t="s">
        <v>6966</v>
      </c>
      <c r="AH242" t="s">
        <v>6966</v>
      </c>
      <c r="AI242" t="s">
        <v>6966</v>
      </c>
      <c r="AJ242" t="s">
        <v>6966</v>
      </c>
      <c r="AK242" t="s">
        <v>6966</v>
      </c>
      <c r="AL242" t="s">
        <v>6966</v>
      </c>
      <c r="AM242" t="s">
        <v>6966</v>
      </c>
      <c r="AN242" t="s">
        <v>6966</v>
      </c>
      <c r="AO242" t="s">
        <v>6966</v>
      </c>
      <c r="AP242" t="s">
        <v>6966</v>
      </c>
      <c r="AQ242" t="s">
        <v>6966</v>
      </c>
      <c r="AR242" t="s">
        <v>6966</v>
      </c>
      <c r="AS242" t="s">
        <v>6966</v>
      </c>
      <c r="AT242" t="s">
        <v>6966</v>
      </c>
      <c r="AU242" t="s">
        <v>6966</v>
      </c>
      <c r="AV242" t="s">
        <v>6966</v>
      </c>
      <c r="AW242" t="s">
        <v>6966</v>
      </c>
      <c r="AX242" t="s">
        <v>6966</v>
      </c>
      <c r="AY242" t="s">
        <v>6966</v>
      </c>
      <c r="AZ242">
        <v>9.2296000000000003E-2</v>
      </c>
      <c r="BA242">
        <v>2.5300000000000002E-4</v>
      </c>
    </row>
    <row r="243" spans="1:53" x14ac:dyDescent="0.25">
      <c r="A243">
        <v>241</v>
      </c>
      <c r="B243" t="s">
        <v>7625</v>
      </c>
      <c r="C243">
        <v>706016</v>
      </c>
      <c r="D243" t="s">
        <v>641</v>
      </c>
      <c r="E243" t="s">
        <v>597</v>
      </c>
      <c r="F243">
        <v>2993625.75</v>
      </c>
      <c r="G243">
        <v>8544.0869139999995</v>
      </c>
      <c r="H243">
        <v>243</v>
      </c>
      <c r="I243">
        <v>413</v>
      </c>
      <c r="J243">
        <v>33263</v>
      </c>
      <c r="K243" t="s">
        <v>2077</v>
      </c>
      <c r="L243">
        <v>10</v>
      </c>
      <c r="M243">
        <v>10</v>
      </c>
      <c r="N243">
        <v>33263</v>
      </c>
      <c r="O243">
        <v>236</v>
      </c>
      <c r="P243" t="s">
        <v>3215</v>
      </c>
      <c r="Q243">
        <v>0</v>
      </c>
      <c r="R243">
        <v>0</v>
      </c>
      <c r="S243">
        <v>0</v>
      </c>
      <c r="T243">
        <v>0</v>
      </c>
      <c r="U243">
        <v>2993625.65509</v>
      </c>
      <c r="V243">
        <v>8544.0861370000002</v>
      </c>
      <c r="W243">
        <v>242</v>
      </c>
      <c r="X243">
        <v>0</v>
      </c>
      <c r="Y243">
        <v>241</v>
      </c>
      <c r="Z243" t="s">
        <v>6966</v>
      </c>
      <c r="AA243" t="s">
        <v>6966</v>
      </c>
      <c r="AB243" t="s">
        <v>6966</v>
      </c>
      <c r="AC243" t="s">
        <v>6966</v>
      </c>
      <c r="AD243" t="s">
        <v>6966</v>
      </c>
      <c r="AE243" t="s">
        <v>6966</v>
      </c>
      <c r="AF243" t="s">
        <v>6966</v>
      </c>
      <c r="AG243" t="s">
        <v>6966</v>
      </c>
      <c r="AH243" t="s">
        <v>6966</v>
      </c>
      <c r="AI243" t="s">
        <v>6966</v>
      </c>
      <c r="AJ243" t="s">
        <v>6966</v>
      </c>
      <c r="AK243" t="s">
        <v>6966</v>
      </c>
      <c r="AL243" t="s">
        <v>6966</v>
      </c>
      <c r="AM243" t="s">
        <v>6966</v>
      </c>
      <c r="AN243" t="s">
        <v>6966</v>
      </c>
      <c r="AO243" t="s">
        <v>6966</v>
      </c>
      <c r="AP243" t="s">
        <v>6966</v>
      </c>
      <c r="AQ243" t="s">
        <v>6966</v>
      </c>
      <c r="AR243" t="s">
        <v>6966</v>
      </c>
      <c r="AS243" t="s">
        <v>6966</v>
      </c>
      <c r="AT243" t="s">
        <v>6966</v>
      </c>
      <c r="AU243" t="s">
        <v>6966</v>
      </c>
      <c r="AV243" t="s">
        <v>6966</v>
      </c>
      <c r="AW243" t="s">
        <v>6966</v>
      </c>
      <c r="AX243" t="s">
        <v>6966</v>
      </c>
      <c r="AY243" t="s">
        <v>6966</v>
      </c>
      <c r="AZ243">
        <v>8.6064000000000002E-2</v>
      </c>
      <c r="BA243">
        <v>2.9300000000000002E-4</v>
      </c>
    </row>
    <row r="244" spans="1:53" x14ac:dyDescent="0.25">
      <c r="A244">
        <v>242</v>
      </c>
      <c r="B244" t="s">
        <v>7625</v>
      </c>
      <c r="C244">
        <v>704022</v>
      </c>
      <c r="D244" t="s">
        <v>7709</v>
      </c>
      <c r="E244" t="s">
        <v>7685</v>
      </c>
      <c r="F244">
        <v>548785.75</v>
      </c>
      <c r="G244">
        <v>4678.7622069999998</v>
      </c>
      <c r="H244">
        <v>244</v>
      </c>
      <c r="I244">
        <v>414</v>
      </c>
      <c r="J244">
        <v>37327</v>
      </c>
      <c r="K244" t="s">
        <v>7709</v>
      </c>
      <c r="L244">
        <v>14</v>
      </c>
      <c r="M244">
        <v>14</v>
      </c>
      <c r="N244">
        <v>37327</v>
      </c>
      <c r="O244">
        <v>1618</v>
      </c>
      <c r="P244" t="s">
        <v>3215</v>
      </c>
      <c r="Q244">
        <v>21.7</v>
      </c>
      <c r="R244">
        <v>191.42</v>
      </c>
      <c r="S244">
        <v>6.09</v>
      </c>
      <c r="T244">
        <v>54</v>
      </c>
      <c r="U244">
        <v>548785.76826100005</v>
      </c>
      <c r="V244">
        <v>4678.7616379999999</v>
      </c>
      <c r="W244">
        <v>243</v>
      </c>
      <c r="X244">
        <v>0</v>
      </c>
      <c r="Y244">
        <v>242</v>
      </c>
      <c r="Z244" t="s">
        <v>6966</v>
      </c>
      <c r="AA244" t="s">
        <v>6966</v>
      </c>
      <c r="AB244" t="s">
        <v>6966</v>
      </c>
      <c r="AC244" t="s">
        <v>6966</v>
      </c>
      <c r="AD244" t="s">
        <v>6966</v>
      </c>
      <c r="AE244" t="s">
        <v>6966</v>
      </c>
      <c r="AF244" t="s">
        <v>6966</v>
      </c>
      <c r="AG244" t="s">
        <v>6966</v>
      </c>
      <c r="AH244" t="s">
        <v>6966</v>
      </c>
      <c r="AI244" t="s">
        <v>6966</v>
      </c>
      <c r="AJ244" t="s">
        <v>6966</v>
      </c>
      <c r="AK244" t="s">
        <v>6966</v>
      </c>
      <c r="AL244" t="s">
        <v>6966</v>
      </c>
      <c r="AM244" t="s">
        <v>6966</v>
      </c>
      <c r="AN244" t="s">
        <v>6966</v>
      </c>
      <c r="AO244" t="s">
        <v>6966</v>
      </c>
      <c r="AP244" t="s">
        <v>6966</v>
      </c>
      <c r="AQ244" t="s">
        <v>6966</v>
      </c>
      <c r="AR244" t="s">
        <v>6966</v>
      </c>
      <c r="AS244" t="s">
        <v>6966</v>
      </c>
      <c r="AT244" t="s">
        <v>6966</v>
      </c>
      <c r="AU244" t="s">
        <v>6966</v>
      </c>
      <c r="AV244" t="s">
        <v>6966</v>
      </c>
      <c r="AW244" t="s">
        <v>6966</v>
      </c>
      <c r="AX244" t="s">
        <v>6966</v>
      </c>
      <c r="AY244" t="s">
        <v>6966</v>
      </c>
      <c r="AZ244">
        <v>4.6087999999999997E-2</v>
      </c>
      <c r="BA244">
        <v>5.3999999999999998E-5</v>
      </c>
    </row>
    <row r="245" spans="1:53" x14ac:dyDescent="0.25">
      <c r="A245">
        <v>243</v>
      </c>
      <c r="B245" t="s">
        <v>7625</v>
      </c>
      <c r="C245">
        <v>706031</v>
      </c>
      <c r="D245" t="s">
        <v>613</v>
      </c>
      <c r="E245" t="s">
        <v>597</v>
      </c>
      <c r="F245">
        <v>3086172.25</v>
      </c>
      <c r="G245">
        <v>10837.013671999999</v>
      </c>
      <c r="H245">
        <v>245</v>
      </c>
      <c r="I245">
        <v>415</v>
      </c>
      <c r="J245">
        <v>33143</v>
      </c>
      <c r="K245" t="s">
        <v>2057</v>
      </c>
      <c r="L245">
        <v>10</v>
      </c>
      <c r="M245">
        <v>10</v>
      </c>
      <c r="N245">
        <v>33143</v>
      </c>
      <c r="O245">
        <v>237</v>
      </c>
      <c r="P245" t="s">
        <v>3215</v>
      </c>
      <c r="Q245">
        <v>2.1</v>
      </c>
      <c r="R245">
        <v>157.38999999999999</v>
      </c>
      <c r="S245">
        <v>0.57999999999999996</v>
      </c>
      <c r="T245">
        <v>43</v>
      </c>
      <c r="U245">
        <v>3086172.37096</v>
      </c>
      <c r="V245">
        <v>10837.013066</v>
      </c>
      <c r="W245">
        <v>244</v>
      </c>
      <c r="X245">
        <v>0</v>
      </c>
      <c r="Y245">
        <v>243</v>
      </c>
      <c r="Z245" t="s">
        <v>6966</v>
      </c>
      <c r="AA245" t="s">
        <v>6966</v>
      </c>
      <c r="AB245" t="s">
        <v>6966</v>
      </c>
      <c r="AC245" t="s">
        <v>6966</v>
      </c>
      <c r="AD245" t="s">
        <v>6966</v>
      </c>
      <c r="AE245" t="s">
        <v>6966</v>
      </c>
      <c r="AF245" t="s">
        <v>6966</v>
      </c>
      <c r="AG245" t="s">
        <v>6966</v>
      </c>
      <c r="AH245" t="s">
        <v>6966</v>
      </c>
      <c r="AI245" t="s">
        <v>6966</v>
      </c>
      <c r="AJ245" t="s">
        <v>6966</v>
      </c>
      <c r="AK245" t="s">
        <v>6966</v>
      </c>
      <c r="AL245" t="s">
        <v>6966</v>
      </c>
      <c r="AM245" t="s">
        <v>6966</v>
      </c>
      <c r="AN245" t="s">
        <v>6966</v>
      </c>
      <c r="AO245" t="s">
        <v>6966</v>
      </c>
      <c r="AP245" t="s">
        <v>6966</v>
      </c>
      <c r="AQ245" t="s">
        <v>6966</v>
      </c>
      <c r="AR245" t="s">
        <v>6966</v>
      </c>
      <c r="AS245" t="s">
        <v>6966</v>
      </c>
      <c r="AT245" t="s">
        <v>6966</v>
      </c>
      <c r="AU245" t="s">
        <v>6966</v>
      </c>
      <c r="AV245" t="s">
        <v>6966</v>
      </c>
      <c r="AW245" t="s">
        <v>6966</v>
      </c>
      <c r="AX245" t="s">
        <v>6966</v>
      </c>
      <c r="AY245" t="s">
        <v>6966</v>
      </c>
      <c r="AZ245">
        <v>0.105125</v>
      </c>
      <c r="BA245">
        <v>3.0200000000000002E-4</v>
      </c>
    </row>
    <row r="246" spans="1:53" x14ac:dyDescent="0.25">
      <c r="A246">
        <v>244</v>
      </c>
      <c r="B246" t="s">
        <v>7625</v>
      </c>
      <c r="C246">
        <v>704026</v>
      </c>
      <c r="D246" t="s">
        <v>934</v>
      </c>
      <c r="E246" t="s">
        <v>7685</v>
      </c>
      <c r="F246">
        <v>0</v>
      </c>
      <c r="G246">
        <v>29906.175781000002</v>
      </c>
      <c r="H246">
        <v>246</v>
      </c>
      <c r="I246">
        <v>416</v>
      </c>
      <c r="J246">
        <v>37341</v>
      </c>
      <c r="K246" t="s">
        <v>934</v>
      </c>
      <c r="L246">
        <v>14</v>
      </c>
      <c r="M246">
        <v>14</v>
      </c>
      <c r="N246">
        <v>37341</v>
      </c>
      <c r="O246">
        <v>1619</v>
      </c>
      <c r="P246" t="s">
        <v>3215</v>
      </c>
      <c r="Q246">
        <v>1.7</v>
      </c>
      <c r="R246">
        <v>75.209999999999994</v>
      </c>
      <c r="S246">
        <v>0.37</v>
      </c>
      <c r="T246">
        <v>17</v>
      </c>
      <c r="U246">
        <v>0</v>
      </c>
      <c r="V246">
        <v>29906.176232999998</v>
      </c>
      <c r="W246">
        <v>245</v>
      </c>
      <c r="X246">
        <v>1</v>
      </c>
      <c r="Y246">
        <v>244</v>
      </c>
      <c r="Z246">
        <v>75978</v>
      </c>
      <c r="AA246" s="76">
        <v>45989</v>
      </c>
      <c r="AB246">
        <v>2025</v>
      </c>
      <c r="AC246" t="s">
        <v>7516</v>
      </c>
      <c r="AD246">
        <v>28</v>
      </c>
      <c r="AE246" t="s">
        <v>7554</v>
      </c>
      <c r="AF246" t="s">
        <v>3215</v>
      </c>
      <c r="AG246" t="s">
        <v>3228</v>
      </c>
      <c r="AH246" t="s">
        <v>934</v>
      </c>
      <c r="AI246" t="s">
        <v>934</v>
      </c>
      <c r="AJ246" t="s">
        <v>6966</v>
      </c>
      <c r="AK246">
        <v>34.380659999999999</v>
      </c>
      <c r="AL246">
        <v>35.982309999999998</v>
      </c>
      <c r="AM246" t="s">
        <v>7151</v>
      </c>
      <c r="AN246" t="s">
        <v>6966</v>
      </c>
      <c r="AO246" t="s">
        <v>7008</v>
      </c>
      <c r="AP246" t="s">
        <v>7555</v>
      </c>
      <c r="AQ246" t="s">
        <v>6998</v>
      </c>
      <c r="AR246" t="s">
        <v>6999</v>
      </c>
      <c r="AS246" t="s">
        <v>7000</v>
      </c>
      <c r="AT246">
        <v>0</v>
      </c>
      <c r="AU246">
        <v>0</v>
      </c>
      <c r="AV246" t="s">
        <v>7556</v>
      </c>
      <c r="AW246" t="s">
        <v>7041</v>
      </c>
      <c r="AX246" t="s">
        <v>6966</v>
      </c>
      <c r="AY246" t="s">
        <v>7003</v>
      </c>
      <c r="AZ246">
        <v>0.30118800000000001</v>
      </c>
      <c r="BA246">
        <v>1.7849999999999999E-3</v>
      </c>
    </row>
    <row r="247" spans="1:53" x14ac:dyDescent="0.25">
      <c r="A247">
        <v>245</v>
      </c>
      <c r="B247" t="s">
        <v>7625</v>
      </c>
      <c r="C247">
        <v>703013</v>
      </c>
      <c r="D247" t="s">
        <v>593</v>
      </c>
      <c r="E247" t="s">
        <v>7704</v>
      </c>
      <c r="F247">
        <v>2560299.5</v>
      </c>
      <c r="G247">
        <v>9700.1875</v>
      </c>
      <c r="H247">
        <v>247</v>
      </c>
      <c r="I247">
        <v>417</v>
      </c>
      <c r="J247">
        <v>32189</v>
      </c>
      <c r="K247" t="s">
        <v>593</v>
      </c>
      <c r="L247">
        <v>9</v>
      </c>
      <c r="M247">
        <v>9</v>
      </c>
      <c r="N247">
        <v>32189</v>
      </c>
      <c r="O247">
        <v>238</v>
      </c>
      <c r="P247" t="s">
        <v>3215</v>
      </c>
      <c r="Q247">
        <v>3.1</v>
      </c>
      <c r="R247">
        <v>79.209999999999994</v>
      </c>
      <c r="S247">
        <v>0.99</v>
      </c>
      <c r="T247">
        <v>27</v>
      </c>
      <c r="U247">
        <v>2560299.4692500001</v>
      </c>
      <c r="V247">
        <v>9700.1881420000009</v>
      </c>
      <c r="W247">
        <v>246</v>
      </c>
      <c r="X247">
        <v>0</v>
      </c>
      <c r="Y247">
        <v>245</v>
      </c>
      <c r="Z247" t="s">
        <v>6966</v>
      </c>
      <c r="AA247" t="s">
        <v>6966</v>
      </c>
      <c r="AB247" t="s">
        <v>6966</v>
      </c>
      <c r="AC247" t="s">
        <v>6966</v>
      </c>
      <c r="AD247" t="s">
        <v>6966</v>
      </c>
      <c r="AE247" t="s">
        <v>6966</v>
      </c>
      <c r="AF247" t="s">
        <v>6966</v>
      </c>
      <c r="AG247" t="s">
        <v>6966</v>
      </c>
      <c r="AH247" t="s">
        <v>6966</v>
      </c>
      <c r="AI247" t="s">
        <v>6966</v>
      </c>
      <c r="AJ247" t="s">
        <v>6966</v>
      </c>
      <c r="AK247" t="s">
        <v>6966</v>
      </c>
      <c r="AL247" t="s">
        <v>6966</v>
      </c>
      <c r="AM247" t="s">
        <v>6966</v>
      </c>
      <c r="AN247" t="s">
        <v>6966</v>
      </c>
      <c r="AO247" t="s">
        <v>6966</v>
      </c>
      <c r="AP247" t="s">
        <v>6966</v>
      </c>
      <c r="AQ247" t="s">
        <v>6966</v>
      </c>
      <c r="AR247" t="s">
        <v>6966</v>
      </c>
      <c r="AS247" t="s">
        <v>6966</v>
      </c>
      <c r="AT247" t="s">
        <v>6966</v>
      </c>
      <c r="AU247" t="s">
        <v>6966</v>
      </c>
      <c r="AV247" t="s">
        <v>6966</v>
      </c>
      <c r="AW247" t="s">
        <v>6966</v>
      </c>
      <c r="AX247" t="s">
        <v>6966</v>
      </c>
      <c r="AY247" t="s">
        <v>6966</v>
      </c>
      <c r="AZ247">
        <v>9.4143000000000004E-2</v>
      </c>
      <c r="BA247">
        <v>2.5099999999999998E-4</v>
      </c>
    </row>
    <row r="248" spans="1:53" x14ac:dyDescent="0.25">
      <c r="A248">
        <v>246</v>
      </c>
      <c r="B248" t="s">
        <v>7625</v>
      </c>
      <c r="C248">
        <v>704047</v>
      </c>
      <c r="D248" t="s">
        <v>7710</v>
      </c>
      <c r="E248" t="s">
        <v>7685</v>
      </c>
      <c r="F248">
        <v>1801310.5</v>
      </c>
      <c r="G248">
        <v>7947.8154299999997</v>
      </c>
      <c r="H248">
        <v>248</v>
      </c>
      <c r="I248">
        <v>418</v>
      </c>
      <c r="J248">
        <v>37315</v>
      </c>
      <c r="K248" t="s">
        <v>7711</v>
      </c>
      <c r="L248">
        <v>14</v>
      </c>
      <c r="M248">
        <v>14</v>
      </c>
      <c r="N248">
        <v>37315</v>
      </c>
      <c r="O248">
        <v>1620</v>
      </c>
      <c r="P248" t="s">
        <v>3215</v>
      </c>
      <c r="Q248">
        <v>6.3</v>
      </c>
      <c r="R248">
        <v>567.02</v>
      </c>
      <c r="S248">
        <v>1.72</v>
      </c>
      <c r="T248">
        <v>156</v>
      </c>
      <c r="U248">
        <v>1801310.6095799999</v>
      </c>
      <c r="V248">
        <v>7947.815122</v>
      </c>
      <c r="W248">
        <v>247</v>
      </c>
      <c r="X248">
        <v>0</v>
      </c>
      <c r="Y248">
        <v>246</v>
      </c>
      <c r="Z248" t="s">
        <v>6966</v>
      </c>
      <c r="AA248" t="s">
        <v>6966</v>
      </c>
      <c r="AB248" t="s">
        <v>6966</v>
      </c>
      <c r="AC248" t="s">
        <v>6966</v>
      </c>
      <c r="AD248" t="s">
        <v>6966</v>
      </c>
      <c r="AE248" t="s">
        <v>6966</v>
      </c>
      <c r="AF248" t="s">
        <v>6966</v>
      </c>
      <c r="AG248" t="s">
        <v>6966</v>
      </c>
      <c r="AH248" t="s">
        <v>6966</v>
      </c>
      <c r="AI248" t="s">
        <v>6966</v>
      </c>
      <c r="AJ248" t="s">
        <v>6966</v>
      </c>
      <c r="AK248" t="s">
        <v>6966</v>
      </c>
      <c r="AL248" t="s">
        <v>6966</v>
      </c>
      <c r="AM248" t="s">
        <v>6966</v>
      </c>
      <c r="AN248" t="s">
        <v>6966</v>
      </c>
      <c r="AO248" t="s">
        <v>6966</v>
      </c>
      <c r="AP248" t="s">
        <v>6966</v>
      </c>
      <c r="AQ248" t="s">
        <v>6966</v>
      </c>
      <c r="AR248" t="s">
        <v>6966</v>
      </c>
      <c r="AS248" t="s">
        <v>6966</v>
      </c>
      <c r="AT248" t="s">
        <v>6966</v>
      </c>
      <c r="AU248" t="s">
        <v>6966</v>
      </c>
      <c r="AV248" t="s">
        <v>6966</v>
      </c>
      <c r="AW248" t="s">
        <v>6966</v>
      </c>
      <c r="AX248" t="s">
        <v>6966</v>
      </c>
      <c r="AY248" t="s">
        <v>6966</v>
      </c>
      <c r="AZ248">
        <v>7.9469999999999999E-2</v>
      </c>
      <c r="BA248">
        <v>1.7699999999999999E-4</v>
      </c>
    </row>
    <row r="249" spans="1:53" x14ac:dyDescent="0.25">
      <c r="A249">
        <v>247</v>
      </c>
      <c r="B249" t="s">
        <v>7625</v>
      </c>
      <c r="C249">
        <v>706050</v>
      </c>
      <c r="D249" t="s">
        <v>628</v>
      </c>
      <c r="E249" t="s">
        <v>597</v>
      </c>
      <c r="F249">
        <v>428080.9375</v>
      </c>
      <c r="G249">
        <v>4035.6359859999998</v>
      </c>
      <c r="H249">
        <v>249</v>
      </c>
      <c r="I249">
        <v>419</v>
      </c>
      <c r="J249">
        <v>33171</v>
      </c>
      <c r="K249" t="s">
        <v>7712</v>
      </c>
      <c r="L249">
        <v>10</v>
      </c>
      <c r="M249">
        <v>10</v>
      </c>
      <c r="N249">
        <v>33171</v>
      </c>
      <c r="O249">
        <v>239</v>
      </c>
      <c r="P249" t="s">
        <v>3215</v>
      </c>
      <c r="Q249">
        <v>0.8</v>
      </c>
      <c r="R249">
        <v>19.38</v>
      </c>
      <c r="S249">
        <v>0.49</v>
      </c>
      <c r="T249">
        <v>12</v>
      </c>
      <c r="U249">
        <v>428080.946475</v>
      </c>
      <c r="V249">
        <v>4035.6362119999999</v>
      </c>
      <c r="W249">
        <v>248</v>
      </c>
      <c r="X249">
        <v>0</v>
      </c>
      <c r="Y249">
        <v>247</v>
      </c>
      <c r="Z249" t="s">
        <v>6966</v>
      </c>
      <c r="AA249" t="s">
        <v>6966</v>
      </c>
      <c r="AB249" t="s">
        <v>6966</v>
      </c>
      <c r="AC249" t="s">
        <v>6966</v>
      </c>
      <c r="AD249" t="s">
        <v>6966</v>
      </c>
      <c r="AE249" t="s">
        <v>6966</v>
      </c>
      <c r="AF249" t="s">
        <v>6966</v>
      </c>
      <c r="AG249" t="s">
        <v>6966</v>
      </c>
      <c r="AH249" t="s">
        <v>6966</v>
      </c>
      <c r="AI249" t="s">
        <v>6966</v>
      </c>
      <c r="AJ249" t="s">
        <v>6966</v>
      </c>
      <c r="AK249" t="s">
        <v>6966</v>
      </c>
      <c r="AL249" t="s">
        <v>6966</v>
      </c>
      <c r="AM249" t="s">
        <v>6966</v>
      </c>
      <c r="AN249" t="s">
        <v>6966</v>
      </c>
      <c r="AO249" t="s">
        <v>6966</v>
      </c>
      <c r="AP249" t="s">
        <v>6966</v>
      </c>
      <c r="AQ249" t="s">
        <v>6966</v>
      </c>
      <c r="AR249" t="s">
        <v>6966</v>
      </c>
      <c r="AS249" t="s">
        <v>6966</v>
      </c>
      <c r="AT249" t="s">
        <v>6966</v>
      </c>
      <c r="AU249" t="s">
        <v>6966</v>
      </c>
      <c r="AV249" t="s">
        <v>6966</v>
      </c>
      <c r="AW249" t="s">
        <v>6966</v>
      </c>
      <c r="AX249" t="s">
        <v>6966</v>
      </c>
      <c r="AY249" t="s">
        <v>6966</v>
      </c>
      <c r="AZ249">
        <v>3.9040999999999999E-2</v>
      </c>
      <c r="BA249">
        <v>4.1999999999999998E-5</v>
      </c>
    </row>
    <row r="250" spans="1:53" x14ac:dyDescent="0.25">
      <c r="A250">
        <v>248</v>
      </c>
      <c r="B250" t="s">
        <v>7625</v>
      </c>
      <c r="C250">
        <v>705005</v>
      </c>
      <c r="D250" t="s">
        <v>553</v>
      </c>
      <c r="E250" t="s">
        <v>3225</v>
      </c>
      <c r="F250">
        <v>3150373</v>
      </c>
      <c r="G250">
        <v>13379.869140999999</v>
      </c>
      <c r="H250">
        <v>250</v>
      </c>
      <c r="I250">
        <v>420</v>
      </c>
      <c r="J250">
        <v>31221</v>
      </c>
      <c r="K250" t="s">
        <v>2010</v>
      </c>
      <c r="L250">
        <v>8</v>
      </c>
      <c r="M250">
        <v>8</v>
      </c>
      <c r="N250">
        <v>31221</v>
      </c>
      <c r="O250">
        <v>240</v>
      </c>
      <c r="P250" t="s">
        <v>3215</v>
      </c>
      <c r="Q250">
        <v>15.3</v>
      </c>
      <c r="R250">
        <v>69.569999999999993</v>
      </c>
      <c r="S250">
        <v>3.66</v>
      </c>
      <c r="T250">
        <v>22</v>
      </c>
      <c r="U250">
        <v>3150373.0217400002</v>
      </c>
      <c r="V250">
        <v>13379.870969</v>
      </c>
      <c r="W250">
        <v>249</v>
      </c>
      <c r="X250">
        <v>1</v>
      </c>
      <c r="Y250">
        <v>248</v>
      </c>
      <c r="Z250">
        <v>81307</v>
      </c>
      <c r="AA250" s="76">
        <v>46062</v>
      </c>
      <c r="AB250">
        <v>2026</v>
      </c>
      <c r="AC250" t="s">
        <v>7081</v>
      </c>
      <c r="AD250">
        <v>9</v>
      </c>
      <c r="AE250" t="s">
        <v>7588</v>
      </c>
      <c r="AF250" t="s">
        <v>3215</v>
      </c>
      <c r="AG250" t="s">
        <v>3225</v>
      </c>
      <c r="AH250" t="s">
        <v>553</v>
      </c>
      <c r="AI250" t="s">
        <v>553</v>
      </c>
      <c r="AJ250" t="s">
        <v>6966</v>
      </c>
      <c r="AK250">
        <v>34.38843</v>
      </c>
      <c r="AL250">
        <v>35.785910000000001</v>
      </c>
      <c r="AM250" t="s">
        <v>6995</v>
      </c>
      <c r="AN250" t="s">
        <v>6966</v>
      </c>
      <c r="AO250" t="s">
        <v>7586</v>
      </c>
      <c r="AP250" t="s">
        <v>7589</v>
      </c>
      <c r="AQ250" t="s">
        <v>6998</v>
      </c>
      <c r="AR250" t="s">
        <v>6999</v>
      </c>
      <c r="AS250" t="s">
        <v>7000</v>
      </c>
      <c r="AT250">
        <v>0</v>
      </c>
      <c r="AU250">
        <v>0</v>
      </c>
      <c r="AV250" t="s">
        <v>7590</v>
      </c>
      <c r="AW250" t="s">
        <v>7581</v>
      </c>
      <c r="AX250" t="s">
        <v>6966</v>
      </c>
      <c r="AY250" t="s">
        <v>7003</v>
      </c>
      <c r="AZ250">
        <v>0.133684</v>
      </c>
      <c r="BA250">
        <v>3.0899999999999998E-4</v>
      </c>
    </row>
    <row r="251" spans="1:53" x14ac:dyDescent="0.25">
      <c r="A251">
        <v>249</v>
      </c>
      <c r="B251" t="s">
        <v>7625</v>
      </c>
      <c r="C251">
        <v>704040</v>
      </c>
      <c r="D251" t="s">
        <v>929</v>
      </c>
      <c r="E251" t="s">
        <v>7685</v>
      </c>
      <c r="F251">
        <v>486217.09375</v>
      </c>
      <c r="G251">
        <v>4651.404297</v>
      </c>
      <c r="H251">
        <v>251</v>
      </c>
      <c r="I251">
        <v>421</v>
      </c>
      <c r="J251">
        <v>37331</v>
      </c>
      <c r="K251" t="s">
        <v>7713</v>
      </c>
      <c r="L251">
        <v>14</v>
      </c>
      <c r="M251">
        <v>14</v>
      </c>
      <c r="N251">
        <v>37331</v>
      </c>
      <c r="O251">
        <v>241</v>
      </c>
      <c r="P251" t="s">
        <v>3215</v>
      </c>
      <c r="Q251">
        <v>5.8</v>
      </c>
      <c r="R251">
        <v>2942.36</v>
      </c>
      <c r="S251">
        <v>1.44</v>
      </c>
      <c r="T251">
        <v>725</v>
      </c>
      <c r="U251">
        <v>486217.13441100001</v>
      </c>
      <c r="V251">
        <v>4651.4044960000001</v>
      </c>
      <c r="W251">
        <v>250</v>
      </c>
      <c r="X251">
        <v>0</v>
      </c>
      <c r="Y251">
        <v>249</v>
      </c>
      <c r="Z251" t="s">
        <v>6966</v>
      </c>
      <c r="AA251" t="s">
        <v>6966</v>
      </c>
      <c r="AB251" t="s">
        <v>6966</v>
      </c>
      <c r="AC251" t="s">
        <v>6966</v>
      </c>
      <c r="AD251" t="s">
        <v>6966</v>
      </c>
      <c r="AE251" t="s">
        <v>6966</v>
      </c>
      <c r="AF251" t="s">
        <v>6966</v>
      </c>
      <c r="AG251" t="s">
        <v>6966</v>
      </c>
      <c r="AH251" t="s">
        <v>6966</v>
      </c>
      <c r="AI251" t="s">
        <v>6966</v>
      </c>
      <c r="AJ251" t="s">
        <v>6966</v>
      </c>
      <c r="AK251" t="s">
        <v>6966</v>
      </c>
      <c r="AL251" t="s">
        <v>6966</v>
      </c>
      <c r="AM251" t="s">
        <v>6966</v>
      </c>
      <c r="AN251" t="s">
        <v>6966</v>
      </c>
      <c r="AO251" t="s">
        <v>6966</v>
      </c>
      <c r="AP251" t="s">
        <v>6966</v>
      </c>
      <c r="AQ251" t="s">
        <v>6966</v>
      </c>
      <c r="AR251" t="s">
        <v>6966</v>
      </c>
      <c r="AS251" t="s">
        <v>6966</v>
      </c>
      <c r="AT251" t="s">
        <v>6966</v>
      </c>
      <c r="AU251" t="s">
        <v>6966</v>
      </c>
      <c r="AV251" t="s">
        <v>6966</v>
      </c>
      <c r="AW251" t="s">
        <v>6966</v>
      </c>
      <c r="AX251" t="s">
        <v>6966</v>
      </c>
      <c r="AY251" t="s">
        <v>6966</v>
      </c>
      <c r="AZ251">
        <v>4.7688000000000001E-2</v>
      </c>
      <c r="BA251">
        <v>4.8000000000000001E-5</v>
      </c>
    </row>
    <row r="252" spans="1:53" x14ac:dyDescent="0.25">
      <c r="A252">
        <v>250</v>
      </c>
      <c r="B252" t="s">
        <v>7625</v>
      </c>
      <c r="C252">
        <v>704042</v>
      </c>
      <c r="D252" t="s">
        <v>962</v>
      </c>
      <c r="E252" t="s">
        <v>7685</v>
      </c>
      <c r="F252">
        <v>0</v>
      </c>
      <c r="G252">
        <v>31011.019531000002</v>
      </c>
      <c r="H252">
        <v>252</v>
      </c>
      <c r="I252">
        <v>422</v>
      </c>
      <c r="J252">
        <v>37385</v>
      </c>
      <c r="K252" t="s">
        <v>2324</v>
      </c>
      <c r="L252">
        <v>14</v>
      </c>
      <c r="M252">
        <v>14</v>
      </c>
      <c r="N252">
        <v>37385</v>
      </c>
      <c r="O252">
        <v>242</v>
      </c>
      <c r="P252" t="s">
        <v>3215</v>
      </c>
      <c r="Q252">
        <v>0</v>
      </c>
      <c r="R252">
        <v>0</v>
      </c>
      <c r="S252">
        <v>0</v>
      </c>
      <c r="T252">
        <v>2</v>
      </c>
      <c r="U252">
        <v>0</v>
      </c>
      <c r="V252">
        <v>31011.018679000001</v>
      </c>
      <c r="W252">
        <v>251</v>
      </c>
      <c r="X252">
        <v>0</v>
      </c>
      <c r="Y252">
        <v>250</v>
      </c>
      <c r="Z252" t="s">
        <v>6966</v>
      </c>
      <c r="AA252" t="s">
        <v>6966</v>
      </c>
      <c r="AB252" t="s">
        <v>6966</v>
      </c>
      <c r="AC252" t="s">
        <v>6966</v>
      </c>
      <c r="AD252" t="s">
        <v>6966</v>
      </c>
      <c r="AE252" t="s">
        <v>6966</v>
      </c>
      <c r="AF252" t="s">
        <v>6966</v>
      </c>
      <c r="AG252" t="s">
        <v>6966</v>
      </c>
      <c r="AH252" t="s">
        <v>6966</v>
      </c>
      <c r="AI252" t="s">
        <v>6966</v>
      </c>
      <c r="AJ252" t="s">
        <v>6966</v>
      </c>
      <c r="AK252" t="s">
        <v>6966</v>
      </c>
      <c r="AL252" t="s">
        <v>6966</v>
      </c>
      <c r="AM252" t="s">
        <v>6966</v>
      </c>
      <c r="AN252" t="s">
        <v>6966</v>
      </c>
      <c r="AO252" t="s">
        <v>6966</v>
      </c>
      <c r="AP252" t="s">
        <v>6966</v>
      </c>
      <c r="AQ252" t="s">
        <v>6966</v>
      </c>
      <c r="AR252" t="s">
        <v>6966</v>
      </c>
      <c r="AS252" t="s">
        <v>6966</v>
      </c>
      <c r="AT252" t="s">
        <v>6966</v>
      </c>
      <c r="AU252" t="s">
        <v>6966</v>
      </c>
      <c r="AV252" t="s">
        <v>6966</v>
      </c>
      <c r="AW252" t="s">
        <v>6966</v>
      </c>
      <c r="AX252" t="s">
        <v>6966</v>
      </c>
      <c r="AY252" t="s">
        <v>6966</v>
      </c>
      <c r="AZ252">
        <v>0.30858000000000002</v>
      </c>
      <c r="BA252">
        <v>3.2520000000000001E-3</v>
      </c>
    </row>
    <row r="253" spans="1:53" x14ac:dyDescent="0.25">
      <c r="A253">
        <v>251</v>
      </c>
      <c r="B253" t="s">
        <v>7625</v>
      </c>
      <c r="C253">
        <v>703007</v>
      </c>
      <c r="D253" t="s">
        <v>592</v>
      </c>
      <c r="E253" t="s">
        <v>7704</v>
      </c>
      <c r="F253">
        <v>3425084.25</v>
      </c>
      <c r="G253">
        <v>9045.6240230000003</v>
      </c>
      <c r="H253">
        <v>253</v>
      </c>
      <c r="I253">
        <v>423</v>
      </c>
      <c r="J253">
        <v>32187</v>
      </c>
      <c r="K253" t="s">
        <v>592</v>
      </c>
      <c r="L253">
        <v>9</v>
      </c>
      <c r="M253">
        <v>9</v>
      </c>
      <c r="N253">
        <v>32187</v>
      </c>
      <c r="O253">
        <v>243</v>
      </c>
      <c r="P253" t="s">
        <v>3215</v>
      </c>
      <c r="Q253">
        <v>5.0999999999999996</v>
      </c>
      <c r="R253">
        <v>33.619999999999997</v>
      </c>
      <c r="S253">
        <v>1.23</v>
      </c>
      <c r="T253">
        <v>8</v>
      </c>
      <c r="U253">
        <v>3425084.3206199999</v>
      </c>
      <c r="V253">
        <v>9045.6241289999998</v>
      </c>
      <c r="W253">
        <v>252</v>
      </c>
      <c r="X253">
        <v>0</v>
      </c>
      <c r="Y253">
        <v>251</v>
      </c>
      <c r="Z253" t="s">
        <v>6966</v>
      </c>
      <c r="AA253" t="s">
        <v>6966</v>
      </c>
      <c r="AB253" t="s">
        <v>6966</v>
      </c>
      <c r="AC253" t="s">
        <v>6966</v>
      </c>
      <c r="AD253" t="s">
        <v>6966</v>
      </c>
      <c r="AE253" t="s">
        <v>6966</v>
      </c>
      <c r="AF253" t="s">
        <v>6966</v>
      </c>
      <c r="AG253" t="s">
        <v>6966</v>
      </c>
      <c r="AH253" t="s">
        <v>6966</v>
      </c>
      <c r="AI253" t="s">
        <v>6966</v>
      </c>
      <c r="AJ253" t="s">
        <v>6966</v>
      </c>
      <c r="AK253" t="s">
        <v>6966</v>
      </c>
      <c r="AL253" t="s">
        <v>6966</v>
      </c>
      <c r="AM253" t="s">
        <v>6966</v>
      </c>
      <c r="AN253" t="s">
        <v>6966</v>
      </c>
      <c r="AO253" t="s">
        <v>6966</v>
      </c>
      <c r="AP253" t="s">
        <v>6966</v>
      </c>
      <c r="AQ253" t="s">
        <v>6966</v>
      </c>
      <c r="AR253" t="s">
        <v>6966</v>
      </c>
      <c r="AS253" t="s">
        <v>6966</v>
      </c>
      <c r="AT253" t="s">
        <v>6966</v>
      </c>
      <c r="AU253" t="s">
        <v>6966</v>
      </c>
      <c r="AV253" t="s">
        <v>6966</v>
      </c>
      <c r="AW253" t="s">
        <v>6966</v>
      </c>
      <c r="AX253" t="s">
        <v>6966</v>
      </c>
      <c r="AY253" t="s">
        <v>6966</v>
      </c>
      <c r="AZ253">
        <v>9.0504000000000001E-2</v>
      </c>
      <c r="BA253">
        <v>3.3599999999999998E-4</v>
      </c>
    </row>
    <row r="254" spans="1:53" x14ac:dyDescent="0.25">
      <c r="A254">
        <v>252</v>
      </c>
      <c r="B254" t="s">
        <v>7625</v>
      </c>
      <c r="C254">
        <v>704003</v>
      </c>
      <c r="D254" t="s">
        <v>919</v>
      </c>
      <c r="E254" t="s">
        <v>7685</v>
      </c>
      <c r="F254">
        <v>3804754.5</v>
      </c>
      <c r="G254">
        <v>12599.305664</v>
      </c>
      <c r="H254">
        <v>254</v>
      </c>
      <c r="I254">
        <v>424</v>
      </c>
      <c r="J254">
        <v>37313</v>
      </c>
      <c r="K254" t="s">
        <v>2291</v>
      </c>
      <c r="L254">
        <v>14</v>
      </c>
      <c r="M254">
        <v>14</v>
      </c>
      <c r="N254">
        <v>37313</v>
      </c>
      <c r="O254">
        <v>1621</v>
      </c>
      <c r="P254" t="s">
        <v>3215</v>
      </c>
      <c r="Q254">
        <v>5.3</v>
      </c>
      <c r="R254">
        <v>111.32</v>
      </c>
      <c r="S254">
        <v>2.0299999999999998</v>
      </c>
      <c r="T254">
        <v>43</v>
      </c>
      <c r="U254">
        <v>3804754.4715</v>
      </c>
      <c r="V254">
        <v>12599.304946</v>
      </c>
      <c r="W254">
        <v>253</v>
      </c>
      <c r="X254">
        <v>0</v>
      </c>
      <c r="Y254">
        <v>252</v>
      </c>
      <c r="Z254" t="s">
        <v>6966</v>
      </c>
      <c r="AA254" t="s">
        <v>6966</v>
      </c>
      <c r="AB254" t="s">
        <v>6966</v>
      </c>
      <c r="AC254" t="s">
        <v>6966</v>
      </c>
      <c r="AD254" t="s">
        <v>6966</v>
      </c>
      <c r="AE254" t="s">
        <v>6966</v>
      </c>
      <c r="AF254" t="s">
        <v>6966</v>
      </c>
      <c r="AG254" t="s">
        <v>6966</v>
      </c>
      <c r="AH254" t="s">
        <v>6966</v>
      </c>
      <c r="AI254" t="s">
        <v>6966</v>
      </c>
      <c r="AJ254" t="s">
        <v>6966</v>
      </c>
      <c r="AK254" t="s">
        <v>6966</v>
      </c>
      <c r="AL254" t="s">
        <v>6966</v>
      </c>
      <c r="AM254" t="s">
        <v>6966</v>
      </c>
      <c r="AN254" t="s">
        <v>6966</v>
      </c>
      <c r="AO254" t="s">
        <v>6966</v>
      </c>
      <c r="AP254" t="s">
        <v>6966</v>
      </c>
      <c r="AQ254" t="s">
        <v>6966</v>
      </c>
      <c r="AR254" t="s">
        <v>6966</v>
      </c>
      <c r="AS254" t="s">
        <v>6966</v>
      </c>
      <c r="AT254" t="s">
        <v>6966</v>
      </c>
      <c r="AU254" t="s">
        <v>6966</v>
      </c>
      <c r="AV254" t="s">
        <v>6966</v>
      </c>
      <c r="AW254" t="s">
        <v>6966</v>
      </c>
      <c r="AX254" t="s">
        <v>6966</v>
      </c>
      <c r="AY254" t="s">
        <v>6966</v>
      </c>
      <c r="AZ254">
        <v>0.123693</v>
      </c>
      <c r="BA254">
        <v>3.7300000000000001E-4</v>
      </c>
    </row>
    <row r="255" spans="1:53" x14ac:dyDescent="0.25">
      <c r="A255">
        <v>253</v>
      </c>
      <c r="B255" t="s">
        <v>7625</v>
      </c>
      <c r="C255">
        <v>704049</v>
      </c>
      <c r="D255" t="s">
        <v>941</v>
      </c>
      <c r="E255" t="s">
        <v>7685</v>
      </c>
      <c r="F255">
        <v>288919.5625</v>
      </c>
      <c r="G255">
        <v>3070.678711</v>
      </c>
      <c r="H255">
        <v>255</v>
      </c>
      <c r="I255">
        <v>425</v>
      </c>
      <c r="J255">
        <v>37353</v>
      </c>
      <c r="K255" t="s">
        <v>941</v>
      </c>
      <c r="L255">
        <v>14</v>
      </c>
      <c r="M255">
        <v>14</v>
      </c>
      <c r="N255">
        <v>37353</v>
      </c>
      <c r="O255">
        <v>244</v>
      </c>
      <c r="P255" t="s">
        <v>3215</v>
      </c>
      <c r="Q255">
        <v>3.2</v>
      </c>
      <c r="R255">
        <v>2162.9</v>
      </c>
      <c r="S255">
        <v>1.04</v>
      </c>
      <c r="T255">
        <v>698</v>
      </c>
      <c r="U255">
        <v>288919.58065100003</v>
      </c>
      <c r="V255">
        <v>3070.6789130000002</v>
      </c>
      <c r="W255">
        <v>254</v>
      </c>
      <c r="X255">
        <v>0</v>
      </c>
      <c r="Y255">
        <v>253</v>
      </c>
      <c r="Z255" t="s">
        <v>6966</v>
      </c>
      <c r="AA255" t="s">
        <v>6966</v>
      </c>
      <c r="AB255" t="s">
        <v>6966</v>
      </c>
      <c r="AC255" t="s">
        <v>6966</v>
      </c>
      <c r="AD255" t="s">
        <v>6966</v>
      </c>
      <c r="AE255" t="s">
        <v>6966</v>
      </c>
      <c r="AF255" t="s">
        <v>6966</v>
      </c>
      <c r="AG255" t="s">
        <v>6966</v>
      </c>
      <c r="AH255" t="s">
        <v>6966</v>
      </c>
      <c r="AI255" t="s">
        <v>6966</v>
      </c>
      <c r="AJ255" t="s">
        <v>6966</v>
      </c>
      <c r="AK255" t="s">
        <v>6966</v>
      </c>
      <c r="AL255" t="s">
        <v>6966</v>
      </c>
      <c r="AM255" t="s">
        <v>6966</v>
      </c>
      <c r="AN255" t="s">
        <v>6966</v>
      </c>
      <c r="AO255" t="s">
        <v>6966</v>
      </c>
      <c r="AP255" t="s">
        <v>6966</v>
      </c>
      <c r="AQ255" t="s">
        <v>6966</v>
      </c>
      <c r="AR255" t="s">
        <v>6966</v>
      </c>
      <c r="AS255" t="s">
        <v>6966</v>
      </c>
      <c r="AT255" t="s">
        <v>6966</v>
      </c>
      <c r="AU255" t="s">
        <v>6966</v>
      </c>
      <c r="AV255" t="s">
        <v>6966</v>
      </c>
      <c r="AW255" t="s">
        <v>6966</v>
      </c>
      <c r="AX255" t="s">
        <v>6966</v>
      </c>
      <c r="AY255" t="s">
        <v>6966</v>
      </c>
      <c r="AZ255">
        <v>3.0728999999999999E-2</v>
      </c>
      <c r="BA255">
        <v>2.8E-5</v>
      </c>
    </row>
    <row r="256" spans="1:53" x14ac:dyDescent="0.25">
      <c r="A256">
        <v>254</v>
      </c>
      <c r="B256" t="s">
        <v>7625</v>
      </c>
      <c r="C256">
        <v>703023</v>
      </c>
      <c r="D256" t="s">
        <v>7714</v>
      </c>
      <c r="E256" t="s">
        <v>7704</v>
      </c>
      <c r="F256">
        <v>7123931.5</v>
      </c>
      <c r="G256">
        <v>16558.705077999999</v>
      </c>
      <c r="H256">
        <v>256</v>
      </c>
      <c r="I256">
        <v>427</v>
      </c>
      <c r="J256">
        <v>32179</v>
      </c>
      <c r="K256" t="s">
        <v>7715</v>
      </c>
      <c r="L256">
        <v>9</v>
      </c>
      <c r="M256">
        <v>9</v>
      </c>
      <c r="N256">
        <v>32179</v>
      </c>
      <c r="O256">
        <v>245</v>
      </c>
      <c r="P256" t="s">
        <v>3215</v>
      </c>
      <c r="Q256">
        <v>4.8</v>
      </c>
      <c r="R256">
        <v>51.73</v>
      </c>
      <c r="S256">
        <v>1.23</v>
      </c>
      <c r="T256">
        <v>13</v>
      </c>
      <c r="U256">
        <v>7123931.2364400001</v>
      </c>
      <c r="V256">
        <v>16558.705580999998</v>
      </c>
      <c r="W256">
        <v>255</v>
      </c>
      <c r="X256">
        <v>0</v>
      </c>
      <c r="Y256">
        <v>254</v>
      </c>
      <c r="Z256" t="s">
        <v>6966</v>
      </c>
      <c r="AA256" t="s">
        <v>6966</v>
      </c>
      <c r="AB256" t="s">
        <v>6966</v>
      </c>
      <c r="AC256" t="s">
        <v>6966</v>
      </c>
      <c r="AD256" t="s">
        <v>6966</v>
      </c>
      <c r="AE256" t="s">
        <v>6966</v>
      </c>
      <c r="AF256" t="s">
        <v>6966</v>
      </c>
      <c r="AG256" t="s">
        <v>6966</v>
      </c>
      <c r="AH256" t="s">
        <v>6966</v>
      </c>
      <c r="AI256" t="s">
        <v>6966</v>
      </c>
      <c r="AJ256" t="s">
        <v>6966</v>
      </c>
      <c r="AK256" t="s">
        <v>6966</v>
      </c>
      <c r="AL256" t="s">
        <v>6966</v>
      </c>
      <c r="AM256" t="s">
        <v>6966</v>
      </c>
      <c r="AN256" t="s">
        <v>6966</v>
      </c>
      <c r="AO256" t="s">
        <v>6966</v>
      </c>
      <c r="AP256" t="s">
        <v>6966</v>
      </c>
      <c r="AQ256" t="s">
        <v>6966</v>
      </c>
      <c r="AR256" t="s">
        <v>6966</v>
      </c>
      <c r="AS256" t="s">
        <v>6966</v>
      </c>
      <c r="AT256" t="s">
        <v>6966</v>
      </c>
      <c r="AU256" t="s">
        <v>6966</v>
      </c>
      <c r="AV256" t="s">
        <v>6966</v>
      </c>
      <c r="AW256" t="s">
        <v>6966</v>
      </c>
      <c r="AX256" t="s">
        <v>6966</v>
      </c>
      <c r="AY256" t="s">
        <v>6966</v>
      </c>
      <c r="AZ256">
        <v>0.16597500000000001</v>
      </c>
      <c r="BA256">
        <v>6.9800000000000005E-4</v>
      </c>
    </row>
    <row r="257" spans="1:53" x14ac:dyDescent="0.25">
      <c r="A257">
        <v>255</v>
      </c>
      <c r="B257" t="s">
        <v>7625</v>
      </c>
      <c r="C257">
        <v>704011</v>
      </c>
      <c r="D257" t="s">
        <v>928</v>
      </c>
      <c r="E257" t="s">
        <v>7685</v>
      </c>
      <c r="F257">
        <v>660974.0625</v>
      </c>
      <c r="G257">
        <v>7946.6181640000004</v>
      </c>
      <c r="H257">
        <v>257</v>
      </c>
      <c r="I257">
        <v>428</v>
      </c>
      <c r="J257">
        <v>37329</v>
      </c>
      <c r="K257" t="s">
        <v>2298</v>
      </c>
      <c r="L257">
        <v>14</v>
      </c>
      <c r="M257">
        <v>14</v>
      </c>
      <c r="N257">
        <v>37329</v>
      </c>
      <c r="O257">
        <v>246</v>
      </c>
      <c r="P257" t="s">
        <v>3215</v>
      </c>
      <c r="Q257">
        <v>32.4</v>
      </c>
      <c r="R257">
        <v>187.77</v>
      </c>
      <c r="S257">
        <v>6.48</v>
      </c>
      <c r="T257">
        <v>38</v>
      </c>
      <c r="U257">
        <v>660974.07571400004</v>
      </c>
      <c r="V257">
        <v>7946.6174229999997</v>
      </c>
      <c r="W257">
        <v>256</v>
      </c>
      <c r="X257">
        <v>0</v>
      </c>
      <c r="Y257">
        <v>255</v>
      </c>
      <c r="Z257" t="s">
        <v>6966</v>
      </c>
      <c r="AA257" t="s">
        <v>6966</v>
      </c>
      <c r="AB257" t="s">
        <v>6966</v>
      </c>
      <c r="AC257" t="s">
        <v>6966</v>
      </c>
      <c r="AD257" t="s">
        <v>6966</v>
      </c>
      <c r="AE257" t="s">
        <v>6966</v>
      </c>
      <c r="AF257" t="s">
        <v>6966</v>
      </c>
      <c r="AG257" t="s">
        <v>6966</v>
      </c>
      <c r="AH257" t="s">
        <v>6966</v>
      </c>
      <c r="AI257" t="s">
        <v>6966</v>
      </c>
      <c r="AJ257" t="s">
        <v>6966</v>
      </c>
      <c r="AK257" t="s">
        <v>6966</v>
      </c>
      <c r="AL257" t="s">
        <v>6966</v>
      </c>
      <c r="AM257" t="s">
        <v>6966</v>
      </c>
      <c r="AN257" t="s">
        <v>6966</v>
      </c>
      <c r="AO257" t="s">
        <v>6966</v>
      </c>
      <c r="AP257" t="s">
        <v>6966</v>
      </c>
      <c r="AQ257" t="s">
        <v>6966</v>
      </c>
      <c r="AR257" t="s">
        <v>6966</v>
      </c>
      <c r="AS257" t="s">
        <v>6966</v>
      </c>
      <c r="AT257" t="s">
        <v>6966</v>
      </c>
      <c r="AU257" t="s">
        <v>6966</v>
      </c>
      <c r="AV257" t="s">
        <v>6966</v>
      </c>
      <c r="AW257" t="s">
        <v>6966</v>
      </c>
      <c r="AX257" t="s">
        <v>6966</v>
      </c>
      <c r="AY257" t="s">
        <v>6966</v>
      </c>
      <c r="AZ257">
        <v>8.0076999999999995E-2</v>
      </c>
      <c r="BA257">
        <v>6.4999999999999994E-5</v>
      </c>
    </row>
    <row r="258" spans="1:53" x14ac:dyDescent="0.25">
      <c r="A258">
        <v>256</v>
      </c>
      <c r="B258" t="s">
        <v>7625</v>
      </c>
      <c r="C258">
        <v>201073</v>
      </c>
      <c r="D258" t="s">
        <v>1101</v>
      </c>
      <c r="E258" t="s">
        <v>1069</v>
      </c>
      <c r="F258">
        <v>0</v>
      </c>
      <c r="G258">
        <v>48039.40625</v>
      </c>
      <c r="H258">
        <v>258</v>
      </c>
      <c r="I258">
        <v>429</v>
      </c>
      <c r="J258">
        <v>53257</v>
      </c>
      <c r="K258" t="s">
        <v>2441</v>
      </c>
      <c r="L258">
        <v>17</v>
      </c>
      <c r="M258">
        <v>18</v>
      </c>
      <c r="N258">
        <v>53257</v>
      </c>
      <c r="O258">
        <v>247</v>
      </c>
      <c r="P258" t="s">
        <v>3214</v>
      </c>
      <c r="Q258">
        <v>0.1</v>
      </c>
      <c r="R258">
        <v>34.69</v>
      </c>
      <c r="S258">
        <v>0.03</v>
      </c>
      <c r="T258">
        <v>16</v>
      </c>
      <c r="U258">
        <v>0</v>
      </c>
      <c r="V258">
        <v>48039.406814000002</v>
      </c>
      <c r="W258">
        <v>257</v>
      </c>
      <c r="X258">
        <v>0</v>
      </c>
      <c r="Y258">
        <v>256</v>
      </c>
      <c r="Z258" t="s">
        <v>6966</v>
      </c>
      <c r="AA258" t="s">
        <v>6966</v>
      </c>
      <c r="AB258" t="s">
        <v>6966</v>
      </c>
      <c r="AC258" t="s">
        <v>6966</v>
      </c>
      <c r="AD258" t="s">
        <v>6966</v>
      </c>
      <c r="AE258" t="s">
        <v>6966</v>
      </c>
      <c r="AF258" t="s">
        <v>6966</v>
      </c>
      <c r="AG258" t="s">
        <v>6966</v>
      </c>
      <c r="AH258" t="s">
        <v>6966</v>
      </c>
      <c r="AI258" t="s">
        <v>6966</v>
      </c>
      <c r="AJ258" t="s">
        <v>6966</v>
      </c>
      <c r="AK258" t="s">
        <v>6966</v>
      </c>
      <c r="AL258" t="s">
        <v>6966</v>
      </c>
      <c r="AM258" t="s">
        <v>6966</v>
      </c>
      <c r="AN258" t="s">
        <v>6966</v>
      </c>
      <c r="AO258" t="s">
        <v>6966</v>
      </c>
      <c r="AP258" t="s">
        <v>6966</v>
      </c>
      <c r="AQ258" t="s">
        <v>6966</v>
      </c>
      <c r="AR258" t="s">
        <v>6966</v>
      </c>
      <c r="AS258" t="s">
        <v>6966</v>
      </c>
      <c r="AT258" t="s">
        <v>6966</v>
      </c>
      <c r="AU258" t="s">
        <v>6966</v>
      </c>
      <c r="AV258" t="s">
        <v>6966</v>
      </c>
      <c r="AW258" t="s">
        <v>6966</v>
      </c>
      <c r="AX258" t="s">
        <v>6966</v>
      </c>
      <c r="AY258" t="s">
        <v>6966</v>
      </c>
      <c r="AZ258">
        <v>0.47963099999999997</v>
      </c>
      <c r="BA258">
        <v>6.9350000000000002E-3</v>
      </c>
    </row>
    <row r="259" spans="1:53" x14ac:dyDescent="0.25">
      <c r="A259">
        <v>257</v>
      </c>
      <c r="B259" t="s">
        <v>7625</v>
      </c>
      <c r="C259">
        <v>704046</v>
      </c>
      <c r="D259" t="s">
        <v>933</v>
      </c>
      <c r="E259" t="s">
        <v>7685</v>
      </c>
      <c r="F259">
        <v>5604134.5</v>
      </c>
      <c r="G259">
        <v>15866.652344</v>
      </c>
      <c r="H259">
        <v>259</v>
      </c>
      <c r="I259">
        <v>430</v>
      </c>
      <c r="J259">
        <v>37339</v>
      </c>
      <c r="K259" t="s">
        <v>2303</v>
      </c>
      <c r="L259">
        <v>14</v>
      </c>
      <c r="M259">
        <v>14</v>
      </c>
      <c r="N259">
        <v>37339</v>
      </c>
      <c r="O259">
        <v>248</v>
      </c>
      <c r="P259" t="s">
        <v>3215</v>
      </c>
      <c r="Q259">
        <v>4</v>
      </c>
      <c r="R259">
        <v>195.93</v>
      </c>
      <c r="S259">
        <v>0.89</v>
      </c>
      <c r="T259">
        <v>44</v>
      </c>
      <c r="U259">
        <v>5604134.6962099997</v>
      </c>
      <c r="V259">
        <v>15866.652381</v>
      </c>
      <c r="W259">
        <v>258</v>
      </c>
      <c r="X259">
        <v>0</v>
      </c>
      <c r="Y259">
        <v>257</v>
      </c>
      <c r="Z259" t="s">
        <v>6966</v>
      </c>
      <c r="AA259" t="s">
        <v>6966</v>
      </c>
      <c r="AB259" t="s">
        <v>6966</v>
      </c>
      <c r="AC259" t="s">
        <v>6966</v>
      </c>
      <c r="AD259" t="s">
        <v>6966</v>
      </c>
      <c r="AE259" t="s">
        <v>6966</v>
      </c>
      <c r="AF259" t="s">
        <v>6966</v>
      </c>
      <c r="AG259" t="s">
        <v>6966</v>
      </c>
      <c r="AH259" t="s">
        <v>6966</v>
      </c>
      <c r="AI259" t="s">
        <v>6966</v>
      </c>
      <c r="AJ259" t="s">
        <v>6966</v>
      </c>
      <c r="AK259" t="s">
        <v>6966</v>
      </c>
      <c r="AL259" t="s">
        <v>6966</v>
      </c>
      <c r="AM259" t="s">
        <v>6966</v>
      </c>
      <c r="AN259" t="s">
        <v>6966</v>
      </c>
      <c r="AO259" t="s">
        <v>6966</v>
      </c>
      <c r="AP259" t="s">
        <v>6966</v>
      </c>
      <c r="AQ259" t="s">
        <v>6966</v>
      </c>
      <c r="AR259" t="s">
        <v>6966</v>
      </c>
      <c r="AS259" t="s">
        <v>6966</v>
      </c>
      <c r="AT259" t="s">
        <v>6966</v>
      </c>
      <c r="AU259" t="s">
        <v>6966</v>
      </c>
      <c r="AV259" t="s">
        <v>6966</v>
      </c>
      <c r="AW259" t="s">
        <v>6966</v>
      </c>
      <c r="AX259" t="s">
        <v>6966</v>
      </c>
      <c r="AY259" t="s">
        <v>6966</v>
      </c>
      <c r="AZ259">
        <v>0.16147900000000001</v>
      </c>
      <c r="BA259">
        <v>5.4900000000000001E-4</v>
      </c>
    </row>
    <row r="260" spans="1:53" x14ac:dyDescent="0.25">
      <c r="A260">
        <v>258</v>
      </c>
      <c r="B260" t="s">
        <v>7625</v>
      </c>
      <c r="C260">
        <v>704001</v>
      </c>
      <c r="D260" t="s">
        <v>7716</v>
      </c>
      <c r="E260" t="s">
        <v>7685</v>
      </c>
      <c r="F260">
        <v>376681.28125</v>
      </c>
      <c r="G260">
        <v>3065.7934570000002</v>
      </c>
      <c r="H260">
        <v>260</v>
      </c>
      <c r="I260">
        <v>431</v>
      </c>
      <c r="J260">
        <v>37333</v>
      </c>
      <c r="K260" t="s">
        <v>7717</v>
      </c>
      <c r="L260">
        <v>14</v>
      </c>
      <c r="M260">
        <v>14</v>
      </c>
      <c r="N260">
        <v>37333</v>
      </c>
      <c r="O260">
        <v>249</v>
      </c>
      <c r="P260" t="s">
        <v>3215</v>
      </c>
      <c r="Q260">
        <v>20.7</v>
      </c>
      <c r="R260">
        <v>0</v>
      </c>
      <c r="S260">
        <v>4.17</v>
      </c>
      <c r="T260">
        <v>0</v>
      </c>
      <c r="U260">
        <v>376681.28983299999</v>
      </c>
      <c r="V260">
        <v>3065.7938490000001</v>
      </c>
      <c r="W260">
        <v>259</v>
      </c>
      <c r="X260">
        <v>0</v>
      </c>
      <c r="Y260">
        <v>258</v>
      </c>
      <c r="Z260" t="s">
        <v>6966</v>
      </c>
      <c r="AA260" t="s">
        <v>6966</v>
      </c>
      <c r="AB260" t="s">
        <v>6966</v>
      </c>
      <c r="AC260" t="s">
        <v>6966</v>
      </c>
      <c r="AD260" t="s">
        <v>6966</v>
      </c>
      <c r="AE260" t="s">
        <v>6966</v>
      </c>
      <c r="AF260" t="s">
        <v>6966</v>
      </c>
      <c r="AG260" t="s">
        <v>6966</v>
      </c>
      <c r="AH260" t="s">
        <v>6966</v>
      </c>
      <c r="AI260" t="s">
        <v>6966</v>
      </c>
      <c r="AJ260" t="s">
        <v>6966</v>
      </c>
      <c r="AK260" t="s">
        <v>6966</v>
      </c>
      <c r="AL260" t="s">
        <v>6966</v>
      </c>
      <c r="AM260" t="s">
        <v>6966</v>
      </c>
      <c r="AN260" t="s">
        <v>6966</v>
      </c>
      <c r="AO260" t="s">
        <v>6966</v>
      </c>
      <c r="AP260" t="s">
        <v>6966</v>
      </c>
      <c r="AQ260" t="s">
        <v>6966</v>
      </c>
      <c r="AR260" t="s">
        <v>6966</v>
      </c>
      <c r="AS260" t="s">
        <v>6966</v>
      </c>
      <c r="AT260" t="s">
        <v>6966</v>
      </c>
      <c r="AU260" t="s">
        <v>6966</v>
      </c>
      <c r="AV260" t="s">
        <v>6966</v>
      </c>
      <c r="AW260" t="s">
        <v>6966</v>
      </c>
      <c r="AX260" t="s">
        <v>6966</v>
      </c>
      <c r="AY260" t="s">
        <v>6966</v>
      </c>
      <c r="AZ260">
        <v>3.0855E-2</v>
      </c>
      <c r="BA260">
        <v>3.6999999999999998E-5</v>
      </c>
    </row>
    <row r="261" spans="1:53" x14ac:dyDescent="0.25">
      <c r="A261">
        <v>259</v>
      </c>
      <c r="B261" t="s">
        <v>7625</v>
      </c>
      <c r="C261">
        <v>706008</v>
      </c>
      <c r="D261" t="s">
        <v>604</v>
      </c>
      <c r="E261" t="s">
        <v>597</v>
      </c>
      <c r="F261">
        <v>932743.875</v>
      </c>
      <c r="G261">
        <v>5044.7534180000002</v>
      </c>
      <c r="H261">
        <v>261</v>
      </c>
      <c r="I261">
        <v>432</v>
      </c>
      <c r="J261">
        <v>33125</v>
      </c>
      <c r="K261" t="s">
        <v>2049</v>
      </c>
      <c r="L261">
        <v>10</v>
      </c>
      <c r="M261">
        <v>10</v>
      </c>
      <c r="N261">
        <v>33125</v>
      </c>
      <c r="O261">
        <v>250</v>
      </c>
      <c r="P261" t="s">
        <v>3215</v>
      </c>
      <c r="Q261">
        <v>2.9</v>
      </c>
      <c r="R261">
        <v>63.65</v>
      </c>
      <c r="S261">
        <v>1.33</v>
      </c>
      <c r="T261">
        <v>29</v>
      </c>
      <c r="U261">
        <v>932743.85325799999</v>
      </c>
      <c r="V261">
        <v>5044.7535529999996</v>
      </c>
      <c r="W261">
        <v>260</v>
      </c>
      <c r="X261">
        <v>0</v>
      </c>
      <c r="Y261">
        <v>259</v>
      </c>
      <c r="Z261" t="s">
        <v>6966</v>
      </c>
      <c r="AA261" t="s">
        <v>6966</v>
      </c>
      <c r="AB261" t="s">
        <v>6966</v>
      </c>
      <c r="AC261" t="s">
        <v>6966</v>
      </c>
      <c r="AD261" t="s">
        <v>6966</v>
      </c>
      <c r="AE261" t="s">
        <v>6966</v>
      </c>
      <c r="AF261" t="s">
        <v>6966</v>
      </c>
      <c r="AG261" t="s">
        <v>6966</v>
      </c>
      <c r="AH261" t="s">
        <v>6966</v>
      </c>
      <c r="AI261" t="s">
        <v>6966</v>
      </c>
      <c r="AJ261" t="s">
        <v>6966</v>
      </c>
      <c r="AK261" t="s">
        <v>6966</v>
      </c>
      <c r="AL261" t="s">
        <v>6966</v>
      </c>
      <c r="AM261" t="s">
        <v>6966</v>
      </c>
      <c r="AN261" t="s">
        <v>6966</v>
      </c>
      <c r="AO261" t="s">
        <v>6966</v>
      </c>
      <c r="AP261" t="s">
        <v>6966</v>
      </c>
      <c r="AQ261" t="s">
        <v>6966</v>
      </c>
      <c r="AR261" t="s">
        <v>6966</v>
      </c>
      <c r="AS261" t="s">
        <v>6966</v>
      </c>
      <c r="AT261" t="s">
        <v>6966</v>
      </c>
      <c r="AU261" t="s">
        <v>6966</v>
      </c>
      <c r="AV261" t="s">
        <v>6966</v>
      </c>
      <c r="AW261" t="s">
        <v>6966</v>
      </c>
      <c r="AX261" t="s">
        <v>6966</v>
      </c>
      <c r="AY261" t="s">
        <v>6966</v>
      </c>
      <c r="AZ261">
        <v>4.8661000000000003E-2</v>
      </c>
      <c r="BA261">
        <v>9.1000000000000003E-5</v>
      </c>
    </row>
    <row r="262" spans="1:53" x14ac:dyDescent="0.25">
      <c r="A262">
        <v>260</v>
      </c>
      <c r="B262" t="s">
        <v>7625</v>
      </c>
      <c r="C262">
        <v>704025</v>
      </c>
      <c r="D262" t="s">
        <v>7718</v>
      </c>
      <c r="E262" t="s">
        <v>7685</v>
      </c>
      <c r="F262">
        <v>284501.875</v>
      </c>
      <c r="G262">
        <v>2898.9370119999999</v>
      </c>
      <c r="H262">
        <v>262</v>
      </c>
      <c r="I262">
        <v>433</v>
      </c>
      <c r="J262">
        <v>37321</v>
      </c>
      <c r="K262" t="s">
        <v>2295</v>
      </c>
      <c r="L262">
        <v>14</v>
      </c>
      <c r="M262">
        <v>14</v>
      </c>
      <c r="N262">
        <v>37321</v>
      </c>
      <c r="O262">
        <v>251</v>
      </c>
      <c r="P262" t="s">
        <v>3215</v>
      </c>
      <c r="Q262">
        <v>8.6999999999999993</v>
      </c>
      <c r="R262">
        <v>0</v>
      </c>
      <c r="S262">
        <v>1.72</v>
      </c>
      <c r="T262">
        <v>0</v>
      </c>
      <c r="U262">
        <v>284501.84173400002</v>
      </c>
      <c r="V262">
        <v>2898.9375329999998</v>
      </c>
      <c r="W262">
        <v>261</v>
      </c>
      <c r="X262">
        <v>0</v>
      </c>
      <c r="Y262">
        <v>260</v>
      </c>
      <c r="Z262" t="s">
        <v>6966</v>
      </c>
      <c r="AA262" t="s">
        <v>6966</v>
      </c>
      <c r="AB262" t="s">
        <v>6966</v>
      </c>
      <c r="AC262" t="s">
        <v>6966</v>
      </c>
      <c r="AD262" t="s">
        <v>6966</v>
      </c>
      <c r="AE262" t="s">
        <v>6966</v>
      </c>
      <c r="AF262" t="s">
        <v>6966</v>
      </c>
      <c r="AG262" t="s">
        <v>6966</v>
      </c>
      <c r="AH262" t="s">
        <v>6966</v>
      </c>
      <c r="AI262" t="s">
        <v>6966</v>
      </c>
      <c r="AJ262" t="s">
        <v>6966</v>
      </c>
      <c r="AK262" t="s">
        <v>6966</v>
      </c>
      <c r="AL262" t="s">
        <v>6966</v>
      </c>
      <c r="AM262" t="s">
        <v>6966</v>
      </c>
      <c r="AN262" t="s">
        <v>6966</v>
      </c>
      <c r="AO262" t="s">
        <v>6966</v>
      </c>
      <c r="AP262" t="s">
        <v>6966</v>
      </c>
      <c r="AQ262" t="s">
        <v>6966</v>
      </c>
      <c r="AR262" t="s">
        <v>6966</v>
      </c>
      <c r="AS262" t="s">
        <v>6966</v>
      </c>
      <c r="AT262" t="s">
        <v>6966</v>
      </c>
      <c r="AU262" t="s">
        <v>6966</v>
      </c>
      <c r="AV262" t="s">
        <v>6966</v>
      </c>
      <c r="AW262" t="s">
        <v>6966</v>
      </c>
      <c r="AX262" t="s">
        <v>6966</v>
      </c>
      <c r="AY262" t="s">
        <v>6966</v>
      </c>
      <c r="AZ262">
        <v>2.9182E-2</v>
      </c>
      <c r="BA262">
        <v>2.8E-5</v>
      </c>
    </row>
    <row r="263" spans="1:53" x14ac:dyDescent="0.25">
      <c r="A263">
        <v>261</v>
      </c>
      <c r="B263" t="s">
        <v>7625</v>
      </c>
      <c r="C263">
        <v>505035</v>
      </c>
      <c r="D263" t="s">
        <v>394</v>
      </c>
      <c r="E263" t="s">
        <v>7719</v>
      </c>
      <c r="F263">
        <v>1668923.25</v>
      </c>
      <c r="G263">
        <v>8020.9790039999998</v>
      </c>
      <c r="H263">
        <v>651</v>
      </c>
      <c r="I263">
        <v>851</v>
      </c>
      <c r="J263">
        <v>25333</v>
      </c>
      <c r="K263" t="s">
        <v>1880</v>
      </c>
      <c r="L263">
        <v>6</v>
      </c>
      <c r="M263">
        <v>6</v>
      </c>
      <c r="N263">
        <v>25333</v>
      </c>
      <c r="O263">
        <v>637</v>
      </c>
      <c r="P263" t="s">
        <v>3212</v>
      </c>
      <c r="Q263">
        <v>2.5</v>
      </c>
      <c r="R263">
        <v>16.14</v>
      </c>
      <c r="S263">
        <v>0.68</v>
      </c>
      <c r="T263">
        <v>4</v>
      </c>
      <c r="U263">
        <v>1668923.22804</v>
      </c>
      <c r="V263">
        <v>8020.9783230000003</v>
      </c>
      <c r="W263">
        <v>262</v>
      </c>
      <c r="X263">
        <v>0</v>
      </c>
      <c r="Y263">
        <v>261</v>
      </c>
      <c r="Z263" t="s">
        <v>6966</v>
      </c>
      <c r="AA263" t="s">
        <v>6966</v>
      </c>
      <c r="AB263" t="s">
        <v>6966</v>
      </c>
      <c r="AC263" t="s">
        <v>6966</v>
      </c>
      <c r="AD263" t="s">
        <v>6966</v>
      </c>
      <c r="AE263" t="s">
        <v>6966</v>
      </c>
      <c r="AF263" t="s">
        <v>6966</v>
      </c>
      <c r="AG263" t="s">
        <v>6966</v>
      </c>
      <c r="AH263" t="s">
        <v>6966</v>
      </c>
      <c r="AI263" t="s">
        <v>6966</v>
      </c>
      <c r="AJ263" t="s">
        <v>6966</v>
      </c>
      <c r="AK263" t="s">
        <v>6966</v>
      </c>
      <c r="AL263" t="s">
        <v>6966</v>
      </c>
      <c r="AM263" t="s">
        <v>6966</v>
      </c>
      <c r="AN263" t="s">
        <v>6966</v>
      </c>
      <c r="AO263" t="s">
        <v>6966</v>
      </c>
      <c r="AP263" t="s">
        <v>6966</v>
      </c>
      <c r="AQ263" t="s">
        <v>6966</v>
      </c>
      <c r="AR263" t="s">
        <v>6966</v>
      </c>
      <c r="AS263" t="s">
        <v>6966</v>
      </c>
      <c r="AT263" t="s">
        <v>6966</v>
      </c>
      <c r="AU263" t="s">
        <v>6966</v>
      </c>
      <c r="AV263" t="s">
        <v>6966</v>
      </c>
      <c r="AW263" t="s">
        <v>6966</v>
      </c>
      <c r="AX263" t="s">
        <v>6966</v>
      </c>
      <c r="AY263" t="s">
        <v>6966</v>
      </c>
      <c r="AZ263">
        <v>8.0217999999999998E-2</v>
      </c>
      <c r="BA263">
        <v>1.63E-4</v>
      </c>
    </row>
    <row r="264" spans="1:53" x14ac:dyDescent="0.25">
      <c r="A264">
        <v>262</v>
      </c>
      <c r="B264" t="s">
        <v>7625</v>
      </c>
      <c r="C264">
        <v>201054</v>
      </c>
      <c r="D264" t="s">
        <v>1085</v>
      </c>
      <c r="E264" t="s">
        <v>1069</v>
      </c>
      <c r="F264">
        <v>0</v>
      </c>
      <c r="G264">
        <v>19025.642577999999</v>
      </c>
      <c r="H264">
        <v>652</v>
      </c>
      <c r="I264">
        <v>852</v>
      </c>
      <c r="J264">
        <v>53179</v>
      </c>
      <c r="K264" t="s">
        <v>2426</v>
      </c>
      <c r="L264">
        <v>17</v>
      </c>
      <c r="M264">
        <v>17</v>
      </c>
      <c r="N264">
        <v>53179</v>
      </c>
      <c r="O264">
        <v>638</v>
      </c>
      <c r="P264" t="s">
        <v>3214</v>
      </c>
      <c r="Q264">
        <v>1.1000000000000001</v>
      </c>
      <c r="R264">
        <v>466.8</v>
      </c>
      <c r="S264">
        <v>0.3</v>
      </c>
      <c r="T264">
        <v>128</v>
      </c>
      <c r="U264">
        <v>0</v>
      </c>
      <c r="V264">
        <v>19025.641611999999</v>
      </c>
      <c r="W264">
        <v>263</v>
      </c>
      <c r="X264">
        <v>0</v>
      </c>
      <c r="Y264">
        <v>262</v>
      </c>
      <c r="Z264" t="s">
        <v>6966</v>
      </c>
      <c r="AA264" t="s">
        <v>6966</v>
      </c>
      <c r="AB264" t="s">
        <v>6966</v>
      </c>
      <c r="AC264" t="s">
        <v>6966</v>
      </c>
      <c r="AD264" t="s">
        <v>6966</v>
      </c>
      <c r="AE264" t="s">
        <v>6966</v>
      </c>
      <c r="AF264" t="s">
        <v>6966</v>
      </c>
      <c r="AG264" t="s">
        <v>6966</v>
      </c>
      <c r="AH264" t="s">
        <v>6966</v>
      </c>
      <c r="AI264" t="s">
        <v>6966</v>
      </c>
      <c r="AJ264" t="s">
        <v>6966</v>
      </c>
      <c r="AK264" t="s">
        <v>6966</v>
      </c>
      <c r="AL264" t="s">
        <v>6966</v>
      </c>
      <c r="AM264" t="s">
        <v>6966</v>
      </c>
      <c r="AN264" t="s">
        <v>6966</v>
      </c>
      <c r="AO264" t="s">
        <v>6966</v>
      </c>
      <c r="AP264" t="s">
        <v>6966</v>
      </c>
      <c r="AQ264" t="s">
        <v>6966</v>
      </c>
      <c r="AR264" t="s">
        <v>6966</v>
      </c>
      <c r="AS264" t="s">
        <v>6966</v>
      </c>
      <c r="AT264" t="s">
        <v>6966</v>
      </c>
      <c r="AU264" t="s">
        <v>6966</v>
      </c>
      <c r="AV264" t="s">
        <v>6966</v>
      </c>
      <c r="AW264" t="s">
        <v>6966</v>
      </c>
      <c r="AX264" t="s">
        <v>6966</v>
      </c>
      <c r="AY264" t="s">
        <v>6966</v>
      </c>
      <c r="AZ264">
        <v>0.196219</v>
      </c>
      <c r="BA264">
        <v>1.1150000000000001E-3</v>
      </c>
    </row>
    <row r="265" spans="1:53" x14ac:dyDescent="0.25">
      <c r="A265">
        <v>263</v>
      </c>
      <c r="B265" t="s">
        <v>7625</v>
      </c>
      <c r="C265">
        <v>505075</v>
      </c>
      <c r="D265" t="s">
        <v>368</v>
      </c>
      <c r="E265" t="s">
        <v>7719</v>
      </c>
      <c r="F265">
        <v>456222.71875</v>
      </c>
      <c r="G265">
        <v>3220.2971189999998</v>
      </c>
      <c r="H265">
        <v>653</v>
      </c>
      <c r="I265">
        <v>853</v>
      </c>
      <c r="J265">
        <v>25151</v>
      </c>
      <c r="K265" t="s">
        <v>368</v>
      </c>
      <c r="L265">
        <v>6</v>
      </c>
      <c r="M265">
        <v>6</v>
      </c>
      <c r="N265">
        <v>25151</v>
      </c>
      <c r="O265">
        <v>639</v>
      </c>
      <c r="P265" t="s">
        <v>3212</v>
      </c>
      <c r="Q265">
        <v>10.7</v>
      </c>
      <c r="R265">
        <v>29.42</v>
      </c>
      <c r="S265">
        <v>2.59</v>
      </c>
      <c r="T265">
        <v>7</v>
      </c>
      <c r="U265">
        <v>456222.70834999997</v>
      </c>
      <c r="V265">
        <v>3220.296429</v>
      </c>
      <c r="W265">
        <v>264</v>
      </c>
      <c r="X265">
        <v>0</v>
      </c>
      <c r="Y265">
        <v>263</v>
      </c>
      <c r="Z265" t="s">
        <v>6966</v>
      </c>
      <c r="AA265" t="s">
        <v>6966</v>
      </c>
      <c r="AB265" t="s">
        <v>6966</v>
      </c>
      <c r="AC265" t="s">
        <v>6966</v>
      </c>
      <c r="AD265" t="s">
        <v>6966</v>
      </c>
      <c r="AE265" t="s">
        <v>6966</v>
      </c>
      <c r="AF265" t="s">
        <v>6966</v>
      </c>
      <c r="AG265" t="s">
        <v>6966</v>
      </c>
      <c r="AH265" t="s">
        <v>6966</v>
      </c>
      <c r="AI265" t="s">
        <v>6966</v>
      </c>
      <c r="AJ265" t="s">
        <v>6966</v>
      </c>
      <c r="AK265" t="s">
        <v>6966</v>
      </c>
      <c r="AL265" t="s">
        <v>6966</v>
      </c>
      <c r="AM265" t="s">
        <v>6966</v>
      </c>
      <c r="AN265" t="s">
        <v>6966</v>
      </c>
      <c r="AO265" t="s">
        <v>6966</v>
      </c>
      <c r="AP265" t="s">
        <v>6966</v>
      </c>
      <c r="AQ265" t="s">
        <v>6966</v>
      </c>
      <c r="AR265" t="s">
        <v>6966</v>
      </c>
      <c r="AS265" t="s">
        <v>6966</v>
      </c>
      <c r="AT265" t="s">
        <v>6966</v>
      </c>
      <c r="AU265" t="s">
        <v>6966</v>
      </c>
      <c r="AV265" t="s">
        <v>6966</v>
      </c>
      <c r="AW265" t="s">
        <v>6966</v>
      </c>
      <c r="AX265" t="s">
        <v>6966</v>
      </c>
      <c r="AY265" t="s">
        <v>6966</v>
      </c>
      <c r="AZ265">
        <v>3.2800000000000003E-2</v>
      </c>
      <c r="BA265">
        <v>4.5000000000000003E-5</v>
      </c>
    </row>
    <row r="266" spans="1:53" x14ac:dyDescent="0.25">
      <c r="A266">
        <v>264</v>
      </c>
      <c r="B266" t="s">
        <v>7625</v>
      </c>
      <c r="C266">
        <v>201045</v>
      </c>
      <c r="D266" t="s">
        <v>7720</v>
      </c>
      <c r="E266" t="s">
        <v>1069</v>
      </c>
      <c r="F266">
        <v>5049312.5</v>
      </c>
      <c r="G266">
        <v>9957.0664059999999</v>
      </c>
      <c r="H266">
        <v>654</v>
      </c>
      <c r="I266">
        <v>854</v>
      </c>
      <c r="J266">
        <v>53135</v>
      </c>
      <c r="K266" t="s">
        <v>2418</v>
      </c>
      <c r="L266">
        <v>17</v>
      </c>
      <c r="M266">
        <v>17</v>
      </c>
      <c r="N266">
        <v>53135</v>
      </c>
      <c r="O266">
        <v>640</v>
      </c>
      <c r="P266" t="s">
        <v>3214</v>
      </c>
      <c r="Q266">
        <v>1.8</v>
      </c>
      <c r="R266">
        <v>60.22</v>
      </c>
      <c r="S266">
        <v>0.34</v>
      </c>
      <c r="T266">
        <v>11</v>
      </c>
      <c r="U266">
        <v>5049312.5336699998</v>
      </c>
      <c r="V266">
        <v>9957.0660960000005</v>
      </c>
      <c r="W266">
        <v>265</v>
      </c>
      <c r="X266">
        <v>0</v>
      </c>
      <c r="Y266">
        <v>264</v>
      </c>
      <c r="Z266" t="s">
        <v>6966</v>
      </c>
      <c r="AA266" t="s">
        <v>6966</v>
      </c>
      <c r="AB266" t="s">
        <v>6966</v>
      </c>
      <c r="AC266" t="s">
        <v>6966</v>
      </c>
      <c r="AD266" t="s">
        <v>6966</v>
      </c>
      <c r="AE266" t="s">
        <v>6966</v>
      </c>
      <c r="AF266" t="s">
        <v>6966</v>
      </c>
      <c r="AG266" t="s">
        <v>6966</v>
      </c>
      <c r="AH266" t="s">
        <v>6966</v>
      </c>
      <c r="AI266" t="s">
        <v>6966</v>
      </c>
      <c r="AJ266" t="s">
        <v>6966</v>
      </c>
      <c r="AK266" t="s">
        <v>6966</v>
      </c>
      <c r="AL266" t="s">
        <v>6966</v>
      </c>
      <c r="AM266" t="s">
        <v>6966</v>
      </c>
      <c r="AN266" t="s">
        <v>6966</v>
      </c>
      <c r="AO266" t="s">
        <v>6966</v>
      </c>
      <c r="AP266" t="s">
        <v>6966</v>
      </c>
      <c r="AQ266" t="s">
        <v>6966</v>
      </c>
      <c r="AR266" t="s">
        <v>6966</v>
      </c>
      <c r="AS266" t="s">
        <v>6966</v>
      </c>
      <c r="AT266" t="s">
        <v>6966</v>
      </c>
      <c r="AU266" t="s">
        <v>6966</v>
      </c>
      <c r="AV266" t="s">
        <v>6966</v>
      </c>
      <c r="AW266" t="s">
        <v>6966</v>
      </c>
      <c r="AX266" t="s">
        <v>6966</v>
      </c>
      <c r="AY266" t="s">
        <v>6966</v>
      </c>
      <c r="AZ266">
        <v>9.8095000000000002E-2</v>
      </c>
      <c r="BA266">
        <v>4.9299999999999995E-4</v>
      </c>
    </row>
    <row r="267" spans="1:53" x14ac:dyDescent="0.25">
      <c r="A267">
        <v>265</v>
      </c>
      <c r="B267" t="s">
        <v>7625</v>
      </c>
      <c r="C267">
        <v>505008</v>
      </c>
      <c r="D267" t="s">
        <v>369</v>
      </c>
      <c r="E267" t="s">
        <v>7719</v>
      </c>
      <c r="F267">
        <v>2796035.5</v>
      </c>
      <c r="G267">
        <v>8715.9345699999994</v>
      </c>
      <c r="H267">
        <v>655</v>
      </c>
      <c r="I267">
        <v>855</v>
      </c>
      <c r="J267">
        <v>25156</v>
      </c>
      <c r="K267" t="s">
        <v>7721</v>
      </c>
      <c r="L267">
        <v>6</v>
      </c>
      <c r="M267">
        <v>6</v>
      </c>
      <c r="N267">
        <v>25156</v>
      </c>
      <c r="O267">
        <v>641</v>
      </c>
      <c r="P267" t="s">
        <v>3212</v>
      </c>
      <c r="Q267">
        <v>6.5</v>
      </c>
      <c r="R267">
        <v>13.41</v>
      </c>
      <c r="S267">
        <v>2.23</v>
      </c>
      <c r="T267">
        <v>5</v>
      </c>
      <c r="U267">
        <v>2796035.5521399998</v>
      </c>
      <c r="V267">
        <v>8715.9333360000001</v>
      </c>
      <c r="W267">
        <v>266</v>
      </c>
      <c r="X267">
        <v>0</v>
      </c>
      <c r="Y267">
        <v>265</v>
      </c>
      <c r="Z267" t="s">
        <v>6966</v>
      </c>
      <c r="AA267" t="s">
        <v>6966</v>
      </c>
      <c r="AB267" t="s">
        <v>6966</v>
      </c>
      <c r="AC267" t="s">
        <v>6966</v>
      </c>
      <c r="AD267" t="s">
        <v>6966</v>
      </c>
      <c r="AE267" t="s">
        <v>6966</v>
      </c>
      <c r="AF267" t="s">
        <v>6966</v>
      </c>
      <c r="AG267" t="s">
        <v>6966</v>
      </c>
      <c r="AH267" t="s">
        <v>6966</v>
      </c>
      <c r="AI267" t="s">
        <v>6966</v>
      </c>
      <c r="AJ267" t="s">
        <v>6966</v>
      </c>
      <c r="AK267" t="s">
        <v>6966</v>
      </c>
      <c r="AL267" t="s">
        <v>6966</v>
      </c>
      <c r="AM267" t="s">
        <v>6966</v>
      </c>
      <c r="AN267" t="s">
        <v>6966</v>
      </c>
      <c r="AO267" t="s">
        <v>6966</v>
      </c>
      <c r="AP267" t="s">
        <v>6966</v>
      </c>
      <c r="AQ267" t="s">
        <v>6966</v>
      </c>
      <c r="AR267" t="s">
        <v>6966</v>
      </c>
      <c r="AS267" t="s">
        <v>6966</v>
      </c>
      <c r="AT267" t="s">
        <v>6966</v>
      </c>
      <c r="AU267" t="s">
        <v>6966</v>
      </c>
      <c r="AV267" t="s">
        <v>6966</v>
      </c>
      <c r="AW267" t="s">
        <v>6966</v>
      </c>
      <c r="AX267" t="s">
        <v>6966</v>
      </c>
      <c r="AY267" t="s">
        <v>6966</v>
      </c>
      <c r="AZ267">
        <v>8.6610999999999994E-2</v>
      </c>
      <c r="BA267">
        <v>2.7300000000000002E-4</v>
      </c>
    </row>
    <row r="268" spans="1:53" x14ac:dyDescent="0.25">
      <c r="A268">
        <v>266</v>
      </c>
      <c r="B268" t="s">
        <v>7625</v>
      </c>
      <c r="C268">
        <v>505068</v>
      </c>
      <c r="D268" t="s">
        <v>366</v>
      </c>
      <c r="E268" t="s">
        <v>7719</v>
      </c>
      <c r="F268">
        <v>1083268.5</v>
      </c>
      <c r="G268">
        <v>5006.2700199999999</v>
      </c>
      <c r="H268">
        <v>656</v>
      </c>
      <c r="I268">
        <v>856</v>
      </c>
      <c r="J268">
        <v>25141</v>
      </c>
      <c r="K268" t="s">
        <v>1861</v>
      </c>
      <c r="L268">
        <v>6</v>
      </c>
      <c r="M268">
        <v>6</v>
      </c>
      <c r="N268">
        <v>25141</v>
      </c>
      <c r="O268">
        <v>642</v>
      </c>
      <c r="P268" t="s">
        <v>3212</v>
      </c>
      <c r="Q268">
        <v>8.9</v>
      </c>
      <c r="R268">
        <v>34.880000000000003</v>
      </c>
      <c r="S268">
        <v>7.38</v>
      </c>
      <c r="T268">
        <v>51</v>
      </c>
      <c r="U268">
        <v>1083268.5549300001</v>
      </c>
      <c r="V268">
        <v>5006.2699009999997</v>
      </c>
      <c r="W268">
        <v>267</v>
      </c>
      <c r="X268">
        <v>0</v>
      </c>
      <c r="Y268">
        <v>266</v>
      </c>
      <c r="Z268" t="s">
        <v>6966</v>
      </c>
      <c r="AA268" t="s">
        <v>6966</v>
      </c>
      <c r="AB268" t="s">
        <v>6966</v>
      </c>
      <c r="AC268" t="s">
        <v>6966</v>
      </c>
      <c r="AD268" t="s">
        <v>6966</v>
      </c>
      <c r="AE268" t="s">
        <v>6966</v>
      </c>
      <c r="AF268" t="s">
        <v>6966</v>
      </c>
      <c r="AG268" t="s">
        <v>6966</v>
      </c>
      <c r="AH268" t="s">
        <v>6966</v>
      </c>
      <c r="AI268" t="s">
        <v>6966</v>
      </c>
      <c r="AJ268" t="s">
        <v>6966</v>
      </c>
      <c r="AK268" t="s">
        <v>6966</v>
      </c>
      <c r="AL268" t="s">
        <v>6966</v>
      </c>
      <c r="AM268" t="s">
        <v>6966</v>
      </c>
      <c r="AN268" t="s">
        <v>6966</v>
      </c>
      <c r="AO268" t="s">
        <v>6966</v>
      </c>
      <c r="AP268" t="s">
        <v>6966</v>
      </c>
      <c r="AQ268" t="s">
        <v>6966</v>
      </c>
      <c r="AR268" t="s">
        <v>6966</v>
      </c>
      <c r="AS268" t="s">
        <v>6966</v>
      </c>
      <c r="AT268" t="s">
        <v>6966</v>
      </c>
      <c r="AU268" t="s">
        <v>6966</v>
      </c>
      <c r="AV268" t="s">
        <v>6966</v>
      </c>
      <c r="AW268" t="s">
        <v>6966</v>
      </c>
      <c r="AX268" t="s">
        <v>6966</v>
      </c>
      <c r="AY268" t="s">
        <v>6966</v>
      </c>
      <c r="AZ268">
        <v>4.8003999999999998E-2</v>
      </c>
      <c r="BA268">
        <v>1.06E-4</v>
      </c>
    </row>
    <row r="269" spans="1:53" x14ac:dyDescent="0.25">
      <c r="A269">
        <v>267</v>
      </c>
      <c r="B269" t="s">
        <v>7625</v>
      </c>
      <c r="C269">
        <v>505052</v>
      </c>
      <c r="D269" t="s">
        <v>367</v>
      </c>
      <c r="E269" t="s">
        <v>7719</v>
      </c>
      <c r="F269">
        <v>1304837.375</v>
      </c>
      <c r="G269">
        <v>6167.3452150000003</v>
      </c>
      <c r="H269">
        <v>657</v>
      </c>
      <c r="I269">
        <v>857</v>
      </c>
      <c r="J269">
        <v>25146</v>
      </c>
      <c r="K269" t="s">
        <v>1862</v>
      </c>
      <c r="L269">
        <v>6</v>
      </c>
      <c r="M269">
        <v>6</v>
      </c>
      <c r="N269">
        <v>25146</v>
      </c>
      <c r="O269">
        <v>643</v>
      </c>
      <c r="P269" t="s">
        <v>3212</v>
      </c>
      <c r="Q269">
        <v>13.3</v>
      </c>
      <c r="R269">
        <v>28.87</v>
      </c>
      <c r="S269">
        <v>5.61</v>
      </c>
      <c r="T269">
        <v>14</v>
      </c>
      <c r="U269">
        <v>1304837.36803</v>
      </c>
      <c r="V269">
        <v>6167.3457920000001</v>
      </c>
      <c r="W269">
        <v>268</v>
      </c>
      <c r="X269">
        <v>0</v>
      </c>
      <c r="Y269">
        <v>267</v>
      </c>
      <c r="Z269" t="s">
        <v>6966</v>
      </c>
      <c r="AA269" t="s">
        <v>6966</v>
      </c>
      <c r="AB269" t="s">
        <v>6966</v>
      </c>
      <c r="AC269" t="s">
        <v>6966</v>
      </c>
      <c r="AD269" t="s">
        <v>6966</v>
      </c>
      <c r="AE269" t="s">
        <v>6966</v>
      </c>
      <c r="AF269" t="s">
        <v>6966</v>
      </c>
      <c r="AG269" t="s">
        <v>6966</v>
      </c>
      <c r="AH269" t="s">
        <v>6966</v>
      </c>
      <c r="AI269" t="s">
        <v>6966</v>
      </c>
      <c r="AJ269" t="s">
        <v>6966</v>
      </c>
      <c r="AK269" t="s">
        <v>6966</v>
      </c>
      <c r="AL269" t="s">
        <v>6966</v>
      </c>
      <c r="AM269" t="s">
        <v>6966</v>
      </c>
      <c r="AN269" t="s">
        <v>6966</v>
      </c>
      <c r="AO269" t="s">
        <v>6966</v>
      </c>
      <c r="AP269" t="s">
        <v>6966</v>
      </c>
      <c r="AQ269" t="s">
        <v>6966</v>
      </c>
      <c r="AR269" t="s">
        <v>6966</v>
      </c>
      <c r="AS269" t="s">
        <v>6966</v>
      </c>
      <c r="AT269" t="s">
        <v>6966</v>
      </c>
      <c r="AU269" t="s">
        <v>6966</v>
      </c>
      <c r="AV269" t="s">
        <v>6966</v>
      </c>
      <c r="AW269" t="s">
        <v>6966</v>
      </c>
      <c r="AX269" t="s">
        <v>6966</v>
      </c>
      <c r="AY269" t="s">
        <v>6966</v>
      </c>
      <c r="AZ269">
        <v>6.0576999999999999E-2</v>
      </c>
      <c r="BA269">
        <v>1.27E-4</v>
      </c>
    </row>
    <row r="270" spans="1:53" x14ac:dyDescent="0.25">
      <c r="A270">
        <v>268</v>
      </c>
      <c r="B270" t="s">
        <v>7625</v>
      </c>
      <c r="C270">
        <v>201082</v>
      </c>
      <c r="D270" t="s">
        <v>7722</v>
      </c>
      <c r="E270" t="s">
        <v>1069</v>
      </c>
      <c r="F270">
        <v>5931493.5</v>
      </c>
      <c r="G270">
        <v>11865.870117</v>
      </c>
      <c r="H270">
        <v>658</v>
      </c>
      <c r="I270">
        <v>858</v>
      </c>
      <c r="J270">
        <v>53167</v>
      </c>
      <c r="K270" t="s">
        <v>7723</v>
      </c>
      <c r="L270">
        <v>17</v>
      </c>
      <c r="M270">
        <v>17</v>
      </c>
      <c r="N270">
        <v>53167</v>
      </c>
      <c r="O270">
        <v>644</v>
      </c>
      <c r="P270" t="s">
        <v>3214</v>
      </c>
      <c r="Q270">
        <v>1.5</v>
      </c>
      <c r="R270">
        <v>302.97000000000003</v>
      </c>
      <c r="S270">
        <v>0.44</v>
      </c>
      <c r="T270">
        <v>89</v>
      </c>
      <c r="U270">
        <v>5931493.7680799998</v>
      </c>
      <c r="V270">
        <v>11865.869704999999</v>
      </c>
      <c r="W270">
        <v>269</v>
      </c>
      <c r="X270">
        <v>0</v>
      </c>
      <c r="Y270">
        <v>268</v>
      </c>
      <c r="Z270" t="s">
        <v>6966</v>
      </c>
      <c r="AA270" t="s">
        <v>6966</v>
      </c>
      <c r="AB270" t="s">
        <v>6966</v>
      </c>
      <c r="AC270" t="s">
        <v>6966</v>
      </c>
      <c r="AD270" t="s">
        <v>6966</v>
      </c>
      <c r="AE270" t="s">
        <v>6966</v>
      </c>
      <c r="AF270" t="s">
        <v>6966</v>
      </c>
      <c r="AG270" t="s">
        <v>6966</v>
      </c>
      <c r="AH270" t="s">
        <v>6966</v>
      </c>
      <c r="AI270" t="s">
        <v>6966</v>
      </c>
      <c r="AJ270" t="s">
        <v>6966</v>
      </c>
      <c r="AK270" t="s">
        <v>6966</v>
      </c>
      <c r="AL270" t="s">
        <v>6966</v>
      </c>
      <c r="AM270" t="s">
        <v>6966</v>
      </c>
      <c r="AN270" t="s">
        <v>6966</v>
      </c>
      <c r="AO270" t="s">
        <v>6966</v>
      </c>
      <c r="AP270" t="s">
        <v>6966</v>
      </c>
      <c r="AQ270" t="s">
        <v>6966</v>
      </c>
      <c r="AR270" t="s">
        <v>6966</v>
      </c>
      <c r="AS270" t="s">
        <v>6966</v>
      </c>
      <c r="AT270" t="s">
        <v>6966</v>
      </c>
      <c r="AU270" t="s">
        <v>6966</v>
      </c>
      <c r="AV270" t="s">
        <v>6966</v>
      </c>
      <c r="AW270" t="s">
        <v>6966</v>
      </c>
      <c r="AX270" t="s">
        <v>6966</v>
      </c>
      <c r="AY270" t="s">
        <v>6966</v>
      </c>
      <c r="AZ270">
        <v>0.122694</v>
      </c>
      <c r="BA270">
        <v>5.7899999999999998E-4</v>
      </c>
    </row>
    <row r="271" spans="1:53" x14ac:dyDescent="0.25">
      <c r="A271">
        <v>269</v>
      </c>
      <c r="B271" t="s">
        <v>7625</v>
      </c>
      <c r="C271">
        <v>505037</v>
      </c>
      <c r="D271" t="s">
        <v>402</v>
      </c>
      <c r="E271" t="s">
        <v>7719</v>
      </c>
      <c r="F271">
        <v>2212591.75</v>
      </c>
      <c r="G271">
        <v>7831.5170900000003</v>
      </c>
      <c r="H271">
        <v>659</v>
      </c>
      <c r="I271">
        <v>859</v>
      </c>
      <c r="J271">
        <v>25349</v>
      </c>
      <c r="K271" t="s">
        <v>402</v>
      </c>
      <c r="L271">
        <v>6</v>
      </c>
      <c r="M271">
        <v>6</v>
      </c>
      <c r="N271">
        <v>25349</v>
      </c>
      <c r="O271">
        <v>645</v>
      </c>
      <c r="P271" t="s">
        <v>3212</v>
      </c>
      <c r="Q271">
        <v>1.8</v>
      </c>
      <c r="R271">
        <v>15.61</v>
      </c>
      <c r="S271">
        <v>0.68</v>
      </c>
      <c r="T271">
        <v>6</v>
      </c>
      <c r="U271">
        <v>2212591.6990800002</v>
      </c>
      <c r="V271">
        <v>7831.5171549999995</v>
      </c>
      <c r="W271">
        <v>270</v>
      </c>
      <c r="X271">
        <v>0</v>
      </c>
      <c r="Y271">
        <v>269</v>
      </c>
      <c r="Z271" t="s">
        <v>6966</v>
      </c>
      <c r="AA271" t="s">
        <v>6966</v>
      </c>
      <c r="AB271" t="s">
        <v>6966</v>
      </c>
      <c r="AC271" t="s">
        <v>6966</v>
      </c>
      <c r="AD271" t="s">
        <v>6966</v>
      </c>
      <c r="AE271" t="s">
        <v>6966</v>
      </c>
      <c r="AF271" t="s">
        <v>6966</v>
      </c>
      <c r="AG271" t="s">
        <v>6966</v>
      </c>
      <c r="AH271" t="s">
        <v>6966</v>
      </c>
      <c r="AI271" t="s">
        <v>6966</v>
      </c>
      <c r="AJ271" t="s">
        <v>6966</v>
      </c>
      <c r="AK271" t="s">
        <v>6966</v>
      </c>
      <c r="AL271" t="s">
        <v>6966</v>
      </c>
      <c r="AM271" t="s">
        <v>6966</v>
      </c>
      <c r="AN271" t="s">
        <v>6966</v>
      </c>
      <c r="AO271" t="s">
        <v>6966</v>
      </c>
      <c r="AP271" t="s">
        <v>6966</v>
      </c>
      <c r="AQ271" t="s">
        <v>6966</v>
      </c>
      <c r="AR271" t="s">
        <v>6966</v>
      </c>
      <c r="AS271" t="s">
        <v>6966</v>
      </c>
      <c r="AT271" t="s">
        <v>6966</v>
      </c>
      <c r="AU271" t="s">
        <v>6966</v>
      </c>
      <c r="AV271" t="s">
        <v>6966</v>
      </c>
      <c r="AW271" t="s">
        <v>6966</v>
      </c>
      <c r="AX271" t="s">
        <v>6966</v>
      </c>
      <c r="AY271" t="s">
        <v>6966</v>
      </c>
      <c r="AZ271">
        <v>7.9961000000000004E-2</v>
      </c>
      <c r="BA271">
        <v>2.1599999999999999E-4</v>
      </c>
    </row>
    <row r="272" spans="1:53" x14ac:dyDescent="0.25">
      <c r="A272">
        <v>270</v>
      </c>
      <c r="B272" t="s">
        <v>7625</v>
      </c>
      <c r="C272">
        <v>505070</v>
      </c>
      <c r="D272" t="s">
        <v>423</v>
      </c>
      <c r="E272" t="s">
        <v>7719</v>
      </c>
      <c r="F272">
        <v>4370230.5</v>
      </c>
      <c r="G272">
        <v>14739.458008</v>
      </c>
      <c r="H272">
        <v>660</v>
      </c>
      <c r="I272">
        <v>860</v>
      </c>
      <c r="J272">
        <v>25435</v>
      </c>
      <c r="K272" t="s">
        <v>423</v>
      </c>
      <c r="L272">
        <v>6</v>
      </c>
      <c r="M272">
        <v>6</v>
      </c>
      <c r="N272">
        <v>25435</v>
      </c>
      <c r="O272">
        <v>646</v>
      </c>
      <c r="P272" t="s">
        <v>3212</v>
      </c>
      <c r="Q272">
        <v>2.4</v>
      </c>
      <c r="R272">
        <v>26</v>
      </c>
      <c r="S272">
        <v>1.06</v>
      </c>
      <c r="T272">
        <v>11</v>
      </c>
      <c r="U272">
        <v>4370230.6952999998</v>
      </c>
      <c r="V272">
        <v>14739.458305</v>
      </c>
      <c r="W272">
        <v>271</v>
      </c>
      <c r="X272">
        <v>0</v>
      </c>
      <c r="Y272">
        <v>270</v>
      </c>
      <c r="Z272" t="s">
        <v>6966</v>
      </c>
      <c r="AA272" t="s">
        <v>6966</v>
      </c>
      <c r="AB272" t="s">
        <v>6966</v>
      </c>
      <c r="AC272" t="s">
        <v>6966</v>
      </c>
      <c r="AD272" t="s">
        <v>6966</v>
      </c>
      <c r="AE272" t="s">
        <v>6966</v>
      </c>
      <c r="AF272" t="s">
        <v>6966</v>
      </c>
      <c r="AG272" t="s">
        <v>6966</v>
      </c>
      <c r="AH272" t="s">
        <v>6966</v>
      </c>
      <c r="AI272" t="s">
        <v>6966</v>
      </c>
      <c r="AJ272" t="s">
        <v>6966</v>
      </c>
      <c r="AK272" t="s">
        <v>6966</v>
      </c>
      <c r="AL272" t="s">
        <v>6966</v>
      </c>
      <c r="AM272" t="s">
        <v>6966</v>
      </c>
      <c r="AN272" t="s">
        <v>6966</v>
      </c>
      <c r="AO272" t="s">
        <v>6966</v>
      </c>
      <c r="AP272" t="s">
        <v>6966</v>
      </c>
      <c r="AQ272" t="s">
        <v>6966</v>
      </c>
      <c r="AR272" t="s">
        <v>6966</v>
      </c>
      <c r="AS272" t="s">
        <v>6966</v>
      </c>
      <c r="AT272" t="s">
        <v>6966</v>
      </c>
      <c r="AU272" t="s">
        <v>6966</v>
      </c>
      <c r="AV272" t="s">
        <v>6966</v>
      </c>
      <c r="AW272" t="s">
        <v>6966</v>
      </c>
      <c r="AX272" t="s">
        <v>6966</v>
      </c>
      <c r="AY272" t="s">
        <v>6966</v>
      </c>
      <c r="AZ272">
        <v>0.14874899999999999</v>
      </c>
      <c r="BA272">
        <v>4.26E-4</v>
      </c>
    </row>
    <row r="273" spans="1:53" x14ac:dyDescent="0.25">
      <c r="A273">
        <v>271</v>
      </c>
      <c r="B273" t="s">
        <v>7625</v>
      </c>
      <c r="C273">
        <v>505029</v>
      </c>
      <c r="D273" t="s">
        <v>383</v>
      </c>
      <c r="E273" t="s">
        <v>7719</v>
      </c>
      <c r="F273">
        <v>5414000</v>
      </c>
      <c r="G273">
        <v>12897.083008</v>
      </c>
      <c r="H273">
        <v>661</v>
      </c>
      <c r="I273">
        <v>861</v>
      </c>
      <c r="J273">
        <v>25311</v>
      </c>
      <c r="K273" t="s">
        <v>383</v>
      </c>
      <c r="L273">
        <v>6</v>
      </c>
      <c r="M273">
        <v>6</v>
      </c>
      <c r="N273">
        <v>25311</v>
      </c>
      <c r="O273">
        <v>647</v>
      </c>
      <c r="P273" t="s">
        <v>3212</v>
      </c>
      <c r="Q273">
        <v>11.9</v>
      </c>
      <c r="R273">
        <v>27.99</v>
      </c>
      <c r="S273">
        <v>4.2</v>
      </c>
      <c r="T273">
        <v>11</v>
      </c>
      <c r="U273">
        <v>5413999.6980799995</v>
      </c>
      <c r="V273">
        <v>12897.082908</v>
      </c>
      <c r="W273">
        <v>272</v>
      </c>
      <c r="X273">
        <v>0</v>
      </c>
      <c r="Y273">
        <v>271</v>
      </c>
      <c r="Z273" t="s">
        <v>6966</v>
      </c>
      <c r="AA273" t="s">
        <v>6966</v>
      </c>
      <c r="AB273" t="s">
        <v>6966</v>
      </c>
      <c r="AC273" t="s">
        <v>6966</v>
      </c>
      <c r="AD273" t="s">
        <v>6966</v>
      </c>
      <c r="AE273" t="s">
        <v>6966</v>
      </c>
      <c r="AF273" t="s">
        <v>6966</v>
      </c>
      <c r="AG273" t="s">
        <v>6966</v>
      </c>
      <c r="AH273" t="s">
        <v>6966</v>
      </c>
      <c r="AI273" t="s">
        <v>6966</v>
      </c>
      <c r="AJ273" t="s">
        <v>6966</v>
      </c>
      <c r="AK273" t="s">
        <v>6966</v>
      </c>
      <c r="AL273" t="s">
        <v>6966</v>
      </c>
      <c r="AM273" t="s">
        <v>6966</v>
      </c>
      <c r="AN273" t="s">
        <v>6966</v>
      </c>
      <c r="AO273" t="s">
        <v>6966</v>
      </c>
      <c r="AP273" t="s">
        <v>6966</v>
      </c>
      <c r="AQ273" t="s">
        <v>6966</v>
      </c>
      <c r="AR273" t="s">
        <v>6966</v>
      </c>
      <c r="AS273" t="s">
        <v>6966</v>
      </c>
      <c r="AT273" t="s">
        <v>6966</v>
      </c>
      <c r="AU273" t="s">
        <v>6966</v>
      </c>
      <c r="AV273" t="s">
        <v>6966</v>
      </c>
      <c r="AW273" t="s">
        <v>6966</v>
      </c>
      <c r="AX273" t="s">
        <v>6966</v>
      </c>
      <c r="AY273" t="s">
        <v>6966</v>
      </c>
      <c r="AZ273">
        <v>0.13178899999999999</v>
      </c>
      <c r="BA273">
        <v>5.2800000000000004E-4</v>
      </c>
    </row>
    <row r="274" spans="1:53" x14ac:dyDescent="0.25">
      <c r="A274">
        <v>272</v>
      </c>
      <c r="B274" t="s">
        <v>7625</v>
      </c>
      <c r="C274">
        <v>201001</v>
      </c>
      <c r="D274" t="s">
        <v>1073</v>
      </c>
      <c r="E274" t="s">
        <v>1069</v>
      </c>
      <c r="F274">
        <v>1979091.75</v>
      </c>
      <c r="G274">
        <v>9908.2119139999995</v>
      </c>
      <c r="H274">
        <v>662</v>
      </c>
      <c r="I274">
        <v>862</v>
      </c>
      <c r="J274">
        <v>53127</v>
      </c>
      <c r="K274" t="s">
        <v>2416</v>
      </c>
      <c r="L274">
        <v>17</v>
      </c>
      <c r="M274">
        <v>17</v>
      </c>
      <c r="N274">
        <v>53127</v>
      </c>
      <c r="O274">
        <v>648</v>
      </c>
      <c r="P274" t="s">
        <v>3214</v>
      </c>
      <c r="Q274">
        <v>0.3</v>
      </c>
      <c r="R274">
        <v>0</v>
      </c>
      <c r="S274">
        <v>0.06</v>
      </c>
      <c r="T274">
        <v>0</v>
      </c>
      <c r="U274">
        <v>1979091.81596</v>
      </c>
      <c r="V274">
        <v>9908.2128489999996</v>
      </c>
      <c r="W274">
        <v>273</v>
      </c>
      <c r="X274">
        <v>0</v>
      </c>
      <c r="Y274">
        <v>272</v>
      </c>
      <c r="Z274" t="s">
        <v>6966</v>
      </c>
      <c r="AA274" t="s">
        <v>6966</v>
      </c>
      <c r="AB274" t="s">
        <v>6966</v>
      </c>
      <c r="AC274" t="s">
        <v>6966</v>
      </c>
      <c r="AD274" t="s">
        <v>6966</v>
      </c>
      <c r="AE274" t="s">
        <v>6966</v>
      </c>
      <c r="AF274" t="s">
        <v>6966</v>
      </c>
      <c r="AG274" t="s">
        <v>6966</v>
      </c>
      <c r="AH274" t="s">
        <v>6966</v>
      </c>
      <c r="AI274" t="s">
        <v>6966</v>
      </c>
      <c r="AJ274" t="s">
        <v>6966</v>
      </c>
      <c r="AK274" t="s">
        <v>6966</v>
      </c>
      <c r="AL274" t="s">
        <v>6966</v>
      </c>
      <c r="AM274" t="s">
        <v>6966</v>
      </c>
      <c r="AN274" t="s">
        <v>6966</v>
      </c>
      <c r="AO274" t="s">
        <v>6966</v>
      </c>
      <c r="AP274" t="s">
        <v>6966</v>
      </c>
      <c r="AQ274" t="s">
        <v>6966</v>
      </c>
      <c r="AR274" t="s">
        <v>6966</v>
      </c>
      <c r="AS274" t="s">
        <v>6966</v>
      </c>
      <c r="AT274" t="s">
        <v>6966</v>
      </c>
      <c r="AU274" t="s">
        <v>6966</v>
      </c>
      <c r="AV274" t="s">
        <v>6966</v>
      </c>
      <c r="AW274" t="s">
        <v>6966</v>
      </c>
      <c r="AX274" t="s">
        <v>6966</v>
      </c>
      <c r="AY274" t="s">
        <v>6966</v>
      </c>
      <c r="AZ274">
        <v>9.7794000000000006E-2</v>
      </c>
      <c r="BA274">
        <v>1.93E-4</v>
      </c>
    </row>
    <row r="275" spans="1:53" x14ac:dyDescent="0.25">
      <c r="A275">
        <v>273</v>
      </c>
      <c r="B275" t="s">
        <v>7625</v>
      </c>
      <c r="C275">
        <v>505006</v>
      </c>
      <c r="D275" t="s">
        <v>391</v>
      </c>
      <c r="E275" t="s">
        <v>7719</v>
      </c>
      <c r="F275">
        <v>1479854.625</v>
      </c>
      <c r="G275">
        <v>6714.9067379999997</v>
      </c>
      <c r="H275">
        <v>663</v>
      </c>
      <c r="I275">
        <v>864</v>
      </c>
      <c r="J275">
        <v>25327</v>
      </c>
      <c r="K275" t="s">
        <v>1798</v>
      </c>
      <c r="L275">
        <v>6</v>
      </c>
      <c r="M275">
        <v>6</v>
      </c>
      <c r="N275">
        <v>25327</v>
      </c>
      <c r="O275">
        <v>649</v>
      </c>
      <c r="P275" t="s">
        <v>3212</v>
      </c>
      <c r="Q275">
        <v>4.5</v>
      </c>
      <c r="R275">
        <v>23.64</v>
      </c>
      <c r="S275">
        <v>1.72</v>
      </c>
      <c r="T275">
        <v>9</v>
      </c>
      <c r="U275">
        <v>1479854.76101</v>
      </c>
      <c r="V275">
        <v>6714.9065460000002</v>
      </c>
      <c r="W275">
        <v>274</v>
      </c>
      <c r="X275">
        <v>0</v>
      </c>
      <c r="Y275">
        <v>273</v>
      </c>
      <c r="Z275" t="s">
        <v>6966</v>
      </c>
      <c r="AA275" t="s">
        <v>6966</v>
      </c>
      <c r="AB275" t="s">
        <v>6966</v>
      </c>
      <c r="AC275" t="s">
        <v>6966</v>
      </c>
      <c r="AD275" t="s">
        <v>6966</v>
      </c>
      <c r="AE275" t="s">
        <v>6966</v>
      </c>
      <c r="AF275" t="s">
        <v>6966</v>
      </c>
      <c r="AG275" t="s">
        <v>6966</v>
      </c>
      <c r="AH275" t="s">
        <v>6966</v>
      </c>
      <c r="AI275" t="s">
        <v>6966</v>
      </c>
      <c r="AJ275" t="s">
        <v>6966</v>
      </c>
      <c r="AK275" t="s">
        <v>6966</v>
      </c>
      <c r="AL275" t="s">
        <v>6966</v>
      </c>
      <c r="AM275" t="s">
        <v>6966</v>
      </c>
      <c r="AN275" t="s">
        <v>6966</v>
      </c>
      <c r="AO275" t="s">
        <v>6966</v>
      </c>
      <c r="AP275" t="s">
        <v>6966</v>
      </c>
      <c r="AQ275" t="s">
        <v>6966</v>
      </c>
      <c r="AR275" t="s">
        <v>6966</v>
      </c>
      <c r="AS275" t="s">
        <v>6966</v>
      </c>
      <c r="AT275" t="s">
        <v>6966</v>
      </c>
      <c r="AU275" t="s">
        <v>6966</v>
      </c>
      <c r="AV275" t="s">
        <v>6966</v>
      </c>
      <c r="AW275" t="s">
        <v>6966</v>
      </c>
      <c r="AX275" t="s">
        <v>6966</v>
      </c>
      <c r="AY275" t="s">
        <v>6966</v>
      </c>
      <c r="AZ275">
        <v>6.6795999999999994E-2</v>
      </c>
      <c r="BA275">
        <v>1.44E-4</v>
      </c>
    </row>
    <row r="276" spans="1:53" x14ac:dyDescent="0.25">
      <c r="A276">
        <v>274</v>
      </c>
      <c r="B276" t="s">
        <v>7625</v>
      </c>
      <c r="C276">
        <v>505042</v>
      </c>
      <c r="D276" t="s">
        <v>386</v>
      </c>
      <c r="E276" t="s">
        <v>7719</v>
      </c>
      <c r="F276">
        <v>513630.34375</v>
      </c>
      <c r="G276">
        <v>4976.4838870000003</v>
      </c>
      <c r="H276">
        <v>664</v>
      </c>
      <c r="I276">
        <v>865</v>
      </c>
      <c r="J276">
        <v>25317</v>
      </c>
      <c r="K276" t="s">
        <v>1877</v>
      </c>
      <c r="L276">
        <v>6</v>
      </c>
      <c r="M276">
        <v>6</v>
      </c>
      <c r="N276">
        <v>25317</v>
      </c>
      <c r="O276">
        <v>650</v>
      </c>
      <c r="P276" t="s">
        <v>3212</v>
      </c>
      <c r="Q276">
        <v>18.899999999999999</v>
      </c>
      <c r="R276">
        <v>38.25</v>
      </c>
      <c r="S276">
        <v>5.28</v>
      </c>
      <c r="T276">
        <v>11</v>
      </c>
      <c r="U276">
        <v>513630.34959599999</v>
      </c>
      <c r="V276">
        <v>4976.4837010000001</v>
      </c>
      <c r="W276">
        <v>275</v>
      </c>
      <c r="X276">
        <v>0</v>
      </c>
      <c r="Y276">
        <v>274</v>
      </c>
      <c r="Z276" t="s">
        <v>6966</v>
      </c>
      <c r="AA276" t="s">
        <v>6966</v>
      </c>
      <c r="AB276" t="s">
        <v>6966</v>
      </c>
      <c r="AC276" t="s">
        <v>6966</v>
      </c>
      <c r="AD276" t="s">
        <v>6966</v>
      </c>
      <c r="AE276" t="s">
        <v>6966</v>
      </c>
      <c r="AF276" t="s">
        <v>6966</v>
      </c>
      <c r="AG276" t="s">
        <v>6966</v>
      </c>
      <c r="AH276" t="s">
        <v>6966</v>
      </c>
      <c r="AI276" t="s">
        <v>6966</v>
      </c>
      <c r="AJ276" t="s">
        <v>6966</v>
      </c>
      <c r="AK276" t="s">
        <v>6966</v>
      </c>
      <c r="AL276" t="s">
        <v>6966</v>
      </c>
      <c r="AM276" t="s">
        <v>6966</v>
      </c>
      <c r="AN276" t="s">
        <v>6966</v>
      </c>
      <c r="AO276" t="s">
        <v>6966</v>
      </c>
      <c r="AP276" t="s">
        <v>6966</v>
      </c>
      <c r="AQ276" t="s">
        <v>6966</v>
      </c>
      <c r="AR276" t="s">
        <v>6966</v>
      </c>
      <c r="AS276" t="s">
        <v>6966</v>
      </c>
      <c r="AT276" t="s">
        <v>6966</v>
      </c>
      <c r="AU276" t="s">
        <v>6966</v>
      </c>
      <c r="AV276" t="s">
        <v>6966</v>
      </c>
      <c r="AW276" t="s">
        <v>6966</v>
      </c>
      <c r="AX276" t="s">
        <v>6966</v>
      </c>
      <c r="AY276" t="s">
        <v>6966</v>
      </c>
      <c r="AZ276">
        <v>5.0173000000000002E-2</v>
      </c>
      <c r="BA276">
        <v>5.0000000000000002E-5</v>
      </c>
    </row>
    <row r="277" spans="1:53" x14ac:dyDescent="0.25">
      <c r="A277">
        <v>275</v>
      </c>
      <c r="B277" t="s">
        <v>7625</v>
      </c>
      <c r="C277">
        <v>201046</v>
      </c>
      <c r="D277" t="s">
        <v>1079</v>
      </c>
      <c r="E277" t="s">
        <v>1069</v>
      </c>
      <c r="F277">
        <v>6095345</v>
      </c>
      <c r="G277">
        <v>14043.728515999999</v>
      </c>
      <c r="H277">
        <v>665</v>
      </c>
      <c r="I277">
        <v>867</v>
      </c>
      <c r="J277">
        <v>53151</v>
      </c>
      <c r="K277" t="s">
        <v>1079</v>
      </c>
      <c r="L277">
        <v>17</v>
      </c>
      <c r="M277">
        <v>17</v>
      </c>
      <c r="N277">
        <v>53151</v>
      </c>
      <c r="O277">
        <v>651</v>
      </c>
      <c r="P277" t="s">
        <v>3214</v>
      </c>
      <c r="Q277">
        <v>0.4</v>
      </c>
      <c r="R277">
        <v>31.89</v>
      </c>
      <c r="S277">
        <v>0.12</v>
      </c>
      <c r="T277">
        <v>9</v>
      </c>
      <c r="U277">
        <v>6095344.9294499997</v>
      </c>
      <c r="V277">
        <v>14043.727929000001</v>
      </c>
      <c r="W277">
        <v>276</v>
      </c>
      <c r="X277">
        <v>0</v>
      </c>
      <c r="Y277">
        <v>275</v>
      </c>
      <c r="Z277" t="s">
        <v>6966</v>
      </c>
      <c r="AA277" t="s">
        <v>6966</v>
      </c>
      <c r="AB277" t="s">
        <v>6966</v>
      </c>
      <c r="AC277" t="s">
        <v>6966</v>
      </c>
      <c r="AD277" t="s">
        <v>6966</v>
      </c>
      <c r="AE277" t="s">
        <v>6966</v>
      </c>
      <c r="AF277" t="s">
        <v>6966</v>
      </c>
      <c r="AG277" t="s">
        <v>6966</v>
      </c>
      <c r="AH277" t="s">
        <v>6966</v>
      </c>
      <c r="AI277" t="s">
        <v>6966</v>
      </c>
      <c r="AJ277" t="s">
        <v>6966</v>
      </c>
      <c r="AK277" t="s">
        <v>6966</v>
      </c>
      <c r="AL277" t="s">
        <v>6966</v>
      </c>
      <c r="AM277" t="s">
        <v>6966</v>
      </c>
      <c r="AN277" t="s">
        <v>6966</v>
      </c>
      <c r="AO277" t="s">
        <v>6966</v>
      </c>
      <c r="AP277" t="s">
        <v>6966</v>
      </c>
      <c r="AQ277" t="s">
        <v>6966</v>
      </c>
      <c r="AR277" t="s">
        <v>6966</v>
      </c>
      <c r="AS277" t="s">
        <v>6966</v>
      </c>
      <c r="AT277" t="s">
        <v>6966</v>
      </c>
      <c r="AU277" t="s">
        <v>6966</v>
      </c>
      <c r="AV277" t="s">
        <v>6966</v>
      </c>
      <c r="AW277" t="s">
        <v>6966</v>
      </c>
      <c r="AX277" t="s">
        <v>6966</v>
      </c>
      <c r="AY277" t="s">
        <v>6966</v>
      </c>
      <c r="AZ277">
        <v>0.140511</v>
      </c>
      <c r="BA277">
        <v>5.9500000000000004E-4</v>
      </c>
    </row>
    <row r="278" spans="1:53" x14ac:dyDescent="0.25">
      <c r="A278">
        <v>276</v>
      </c>
      <c r="B278" t="s">
        <v>7625</v>
      </c>
      <c r="C278">
        <v>505040</v>
      </c>
      <c r="D278" t="s">
        <v>7724</v>
      </c>
      <c r="E278" t="s">
        <v>7719</v>
      </c>
      <c r="F278">
        <v>1625967.375</v>
      </c>
      <c r="G278">
        <v>6473.8959960000002</v>
      </c>
      <c r="H278">
        <v>666</v>
      </c>
      <c r="I278">
        <v>868</v>
      </c>
      <c r="J278">
        <v>25391</v>
      </c>
      <c r="K278" t="s">
        <v>1897</v>
      </c>
      <c r="L278">
        <v>6</v>
      </c>
      <c r="M278">
        <v>6</v>
      </c>
      <c r="N278">
        <v>25391</v>
      </c>
      <c r="O278">
        <v>652</v>
      </c>
      <c r="P278" t="s">
        <v>3212</v>
      </c>
      <c r="Q278">
        <v>0.3</v>
      </c>
      <c r="R278">
        <v>8.4</v>
      </c>
      <c r="S278">
        <v>0.17</v>
      </c>
      <c r="T278">
        <v>5</v>
      </c>
      <c r="U278">
        <v>1625967.2684500001</v>
      </c>
      <c r="V278">
        <v>6473.8962629999996</v>
      </c>
      <c r="W278">
        <v>277</v>
      </c>
      <c r="X278">
        <v>0</v>
      </c>
      <c r="Y278">
        <v>276</v>
      </c>
      <c r="Z278" t="s">
        <v>6966</v>
      </c>
      <c r="AA278" t="s">
        <v>6966</v>
      </c>
      <c r="AB278" t="s">
        <v>6966</v>
      </c>
      <c r="AC278" t="s">
        <v>6966</v>
      </c>
      <c r="AD278" t="s">
        <v>6966</v>
      </c>
      <c r="AE278" t="s">
        <v>6966</v>
      </c>
      <c r="AF278" t="s">
        <v>6966</v>
      </c>
      <c r="AG278" t="s">
        <v>6966</v>
      </c>
      <c r="AH278" t="s">
        <v>6966</v>
      </c>
      <c r="AI278" t="s">
        <v>6966</v>
      </c>
      <c r="AJ278" t="s">
        <v>6966</v>
      </c>
      <c r="AK278" t="s">
        <v>6966</v>
      </c>
      <c r="AL278" t="s">
        <v>6966</v>
      </c>
      <c r="AM278" t="s">
        <v>6966</v>
      </c>
      <c r="AN278" t="s">
        <v>6966</v>
      </c>
      <c r="AO278" t="s">
        <v>6966</v>
      </c>
      <c r="AP278" t="s">
        <v>6966</v>
      </c>
      <c r="AQ278" t="s">
        <v>6966</v>
      </c>
      <c r="AR278" t="s">
        <v>6966</v>
      </c>
      <c r="AS278" t="s">
        <v>6966</v>
      </c>
      <c r="AT278" t="s">
        <v>6966</v>
      </c>
      <c r="AU278" t="s">
        <v>6966</v>
      </c>
      <c r="AV278" t="s">
        <v>6966</v>
      </c>
      <c r="AW278" t="s">
        <v>6966</v>
      </c>
      <c r="AX278" t="s">
        <v>6966</v>
      </c>
      <c r="AY278" t="s">
        <v>6966</v>
      </c>
      <c r="AZ278">
        <v>6.5785999999999997E-2</v>
      </c>
      <c r="BA278">
        <v>1.5899999999999999E-4</v>
      </c>
    </row>
    <row r="279" spans="1:53" x14ac:dyDescent="0.25">
      <c r="A279">
        <v>277</v>
      </c>
      <c r="B279" t="s">
        <v>7625</v>
      </c>
      <c r="C279">
        <v>505026</v>
      </c>
      <c r="D279" t="s">
        <v>389</v>
      </c>
      <c r="E279" t="s">
        <v>7719</v>
      </c>
      <c r="F279">
        <v>3232468.5</v>
      </c>
      <c r="G279">
        <v>11659.089844</v>
      </c>
      <c r="H279">
        <v>667</v>
      </c>
      <c r="I279">
        <v>869</v>
      </c>
      <c r="J279">
        <v>25323</v>
      </c>
      <c r="K279" t="s">
        <v>389</v>
      </c>
      <c r="L279">
        <v>6</v>
      </c>
      <c r="M279">
        <v>6</v>
      </c>
      <c r="N279">
        <v>25323</v>
      </c>
      <c r="O279">
        <v>653</v>
      </c>
      <c r="P279" t="s">
        <v>3212</v>
      </c>
      <c r="Q279">
        <v>2.7</v>
      </c>
      <c r="R279">
        <v>16.28</v>
      </c>
      <c r="S279">
        <v>1.19</v>
      </c>
      <c r="T279">
        <v>7</v>
      </c>
      <c r="U279">
        <v>3232468.5445500002</v>
      </c>
      <c r="V279">
        <v>11659.088897</v>
      </c>
      <c r="W279">
        <v>278</v>
      </c>
      <c r="X279">
        <v>0</v>
      </c>
      <c r="Y279">
        <v>277</v>
      </c>
      <c r="Z279" t="s">
        <v>6966</v>
      </c>
      <c r="AA279" t="s">
        <v>6966</v>
      </c>
      <c r="AB279" t="s">
        <v>6966</v>
      </c>
      <c r="AC279" t="s">
        <v>6966</v>
      </c>
      <c r="AD279" t="s">
        <v>6966</v>
      </c>
      <c r="AE279" t="s">
        <v>6966</v>
      </c>
      <c r="AF279" t="s">
        <v>6966</v>
      </c>
      <c r="AG279" t="s">
        <v>6966</v>
      </c>
      <c r="AH279" t="s">
        <v>6966</v>
      </c>
      <c r="AI279" t="s">
        <v>6966</v>
      </c>
      <c r="AJ279" t="s">
        <v>6966</v>
      </c>
      <c r="AK279" t="s">
        <v>6966</v>
      </c>
      <c r="AL279" t="s">
        <v>6966</v>
      </c>
      <c r="AM279" t="s">
        <v>6966</v>
      </c>
      <c r="AN279" t="s">
        <v>6966</v>
      </c>
      <c r="AO279" t="s">
        <v>6966</v>
      </c>
      <c r="AP279" t="s">
        <v>6966</v>
      </c>
      <c r="AQ279" t="s">
        <v>6966</v>
      </c>
      <c r="AR279" t="s">
        <v>6966</v>
      </c>
      <c r="AS279" t="s">
        <v>6966</v>
      </c>
      <c r="AT279" t="s">
        <v>6966</v>
      </c>
      <c r="AU279" t="s">
        <v>6966</v>
      </c>
      <c r="AV279" t="s">
        <v>6966</v>
      </c>
      <c r="AW279" t="s">
        <v>6966</v>
      </c>
      <c r="AX279" t="s">
        <v>6966</v>
      </c>
      <c r="AY279" t="s">
        <v>6966</v>
      </c>
      <c r="AZ279">
        <v>0.11837300000000001</v>
      </c>
      <c r="BA279">
        <v>3.1500000000000001E-4</v>
      </c>
    </row>
    <row r="280" spans="1:53" x14ac:dyDescent="0.25">
      <c r="A280">
        <v>278</v>
      </c>
      <c r="B280" t="s">
        <v>7625</v>
      </c>
      <c r="C280">
        <v>401030</v>
      </c>
      <c r="D280" t="s">
        <v>1058</v>
      </c>
      <c r="E280" t="s">
        <v>3221</v>
      </c>
      <c r="F280">
        <v>2711562.25</v>
      </c>
      <c r="G280">
        <v>7384.091797</v>
      </c>
      <c r="H280">
        <v>1074</v>
      </c>
      <c r="I280">
        <v>1288</v>
      </c>
      <c r="J280">
        <v>52261</v>
      </c>
      <c r="K280" t="s">
        <v>2403</v>
      </c>
      <c r="L280">
        <v>16</v>
      </c>
      <c r="M280">
        <v>16</v>
      </c>
      <c r="N280">
        <v>52261</v>
      </c>
      <c r="O280">
        <v>1050</v>
      </c>
      <c r="P280" t="s">
        <v>3214</v>
      </c>
      <c r="Q280">
        <v>0</v>
      </c>
      <c r="R280">
        <v>0</v>
      </c>
      <c r="S280">
        <v>0</v>
      </c>
      <c r="T280">
        <v>0</v>
      </c>
      <c r="U280">
        <v>2711562.33323</v>
      </c>
      <c r="V280">
        <v>7384.0918240000001</v>
      </c>
      <c r="W280">
        <v>279</v>
      </c>
      <c r="X280">
        <v>0</v>
      </c>
      <c r="Y280">
        <v>278</v>
      </c>
      <c r="Z280" t="s">
        <v>6966</v>
      </c>
      <c r="AA280" t="s">
        <v>6966</v>
      </c>
      <c r="AB280" t="s">
        <v>6966</v>
      </c>
      <c r="AC280" t="s">
        <v>6966</v>
      </c>
      <c r="AD280" t="s">
        <v>6966</v>
      </c>
      <c r="AE280" t="s">
        <v>6966</v>
      </c>
      <c r="AF280" t="s">
        <v>6966</v>
      </c>
      <c r="AG280" t="s">
        <v>6966</v>
      </c>
      <c r="AH280" t="s">
        <v>6966</v>
      </c>
      <c r="AI280" t="s">
        <v>6966</v>
      </c>
      <c r="AJ280" t="s">
        <v>6966</v>
      </c>
      <c r="AK280" t="s">
        <v>6966</v>
      </c>
      <c r="AL280" t="s">
        <v>6966</v>
      </c>
      <c r="AM280" t="s">
        <v>6966</v>
      </c>
      <c r="AN280" t="s">
        <v>6966</v>
      </c>
      <c r="AO280" t="s">
        <v>6966</v>
      </c>
      <c r="AP280" t="s">
        <v>6966</v>
      </c>
      <c r="AQ280" t="s">
        <v>6966</v>
      </c>
      <c r="AR280" t="s">
        <v>6966</v>
      </c>
      <c r="AS280" t="s">
        <v>6966</v>
      </c>
      <c r="AT280" t="s">
        <v>6966</v>
      </c>
      <c r="AU280" t="s">
        <v>6966</v>
      </c>
      <c r="AV280" t="s">
        <v>6966</v>
      </c>
      <c r="AW280" t="s">
        <v>6966</v>
      </c>
      <c r="AX280" t="s">
        <v>6966</v>
      </c>
      <c r="AY280" t="s">
        <v>6966</v>
      </c>
      <c r="AZ280">
        <v>7.4909000000000003E-2</v>
      </c>
      <c r="BA280">
        <v>2.6400000000000002E-4</v>
      </c>
    </row>
    <row r="281" spans="1:53" x14ac:dyDescent="0.25">
      <c r="A281">
        <v>279</v>
      </c>
      <c r="B281" t="s">
        <v>7625</v>
      </c>
      <c r="C281">
        <v>503076</v>
      </c>
      <c r="D281" t="s">
        <v>246</v>
      </c>
      <c r="E281" t="s">
        <v>3220</v>
      </c>
      <c r="F281">
        <v>8033607</v>
      </c>
      <c r="G281">
        <v>16497.771484000001</v>
      </c>
      <c r="H281">
        <v>1075</v>
      </c>
      <c r="I281">
        <v>1289</v>
      </c>
      <c r="J281">
        <v>23445</v>
      </c>
      <c r="K281" t="s">
        <v>1760</v>
      </c>
      <c r="L281">
        <v>4</v>
      </c>
      <c r="M281">
        <v>4</v>
      </c>
      <c r="N281">
        <v>23445</v>
      </c>
      <c r="O281">
        <v>1051</v>
      </c>
      <c r="P281" t="s">
        <v>3212</v>
      </c>
      <c r="Q281">
        <v>1.9</v>
      </c>
      <c r="R281">
        <v>36.89</v>
      </c>
      <c r="S281">
        <v>0.45</v>
      </c>
      <c r="T281">
        <v>10</v>
      </c>
      <c r="U281">
        <v>8033606.8570100004</v>
      </c>
      <c r="V281">
        <v>16497.772345000001</v>
      </c>
      <c r="W281">
        <v>280</v>
      </c>
      <c r="X281">
        <v>0</v>
      </c>
      <c r="Y281">
        <v>279</v>
      </c>
      <c r="Z281" t="s">
        <v>6966</v>
      </c>
      <c r="AA281" t="s">
        <v>6966</v>
      </c>
      <c r="AB281" t="s">
        <v>6966</v>
      </c>
      <c r="AC281" t="s">
        <v>6966</v>
      </c>
      <c r="AD281" t="s">
        <v>6966</v>
      </c>
      <c r="AE281" t="s">
        <v>6966</v>
      </c>
      <c r="AF281" t="s">
        <v>6966</v>
      </c>
      <c r="AG281" t="s">
        <v>6966</v>
      </c>
      <c r="AH281" t="s">
        <v>6966</v>
      </c>
      <c r="AI281" t="s">
        <v>6966</v>
      </c>
      <c r="AJ281" t="s">
        <v>6966</v>
      </c>
      <c r="AK281" t="s">
        <v>6966</v>
      </c>
      <c r="AL281" t="s">
        <v>6966</v>
      </c>
      <c r="AM281" t="s">
        <v>6966</v>
      </c>
      <c r="AN281" t="s">
        <v>6966</v>
      </c>
      <c r="AO281" t="s">
        <v>6966</v>
      </c>
      <c r="AP281" t="s">
        <v>6966</v>
      </c>
      <c r="AQ281" t="s">
        <v>6966</v>
      </c>
      <c r="AR281" t="s">
        <v>6966</v>
      </c>
      <c r="AS281" t="s">
        <v>6966</v>
      </c>
      <c r="AT281" t="s">
        <v>6966</v>
      </c>
      <c r="AU281" t="s">
        <v>6966</v>
      </c>
      <c r="AV281" t="s">
        <v>6966</v>
      </c>
      <c r="AW281" t="s">
        <v>6966</v>
      </c>
      <c r="AX281" t="s">
        <v>6966</v>
      </c>
      <c r="AY281" t="s">
        <v>6966</v>
      </c>
      <c r="AZ281">
        <v>0.16753100000000001</v>
      </c>
      <c r="BA281">
        <v>7.8100000000000001E-4</v>
      </c>
    </row>
    <row r="282" spans="1:53" x14ac:dyDescent="0.25">
      <c r="A282">
        <v>280</v>
      </c>
      <c r="B282" t="s">
        <v>7625</v>
      </c>
      <c r="C282">
        <v>503035</v>
      </c>
      <c r="D282" t="s">
        <v>188</v>
      </c>
      <c r="E282" t="s">
        <v>3220</v>
      </c>
      <c r="F282">
        <v>0</v>
      </c>
      <c r="G282">
        <v>30521.992188</v>
      </c>
      <c r="H282">
        <v>1076</v>
      </c>
      <c r="I282">
        <v>1290</v>
      </c>
      <c r="J282">
        <v>23111</v>
      </c>
      <c r="K282" t="s">
        <v>188</v>
      </c>
      <c r="L282">
        <v>4</v>
      </c>
      <c r="M282">
        <v>4</v>
      </c>
      <c r="N282">
        <v>23111</v>
      </c>
      <c r="O282">
        <v>1052</v>
      </c>
      <c r="P282" t="s">
        <v>3212</v>
      </c>
      <c r="Q282">
        <v>1.1000000000000001</v>
      </c>
      <c r="R282">
        <v>9.26</v>
      </c>
      <c r="S282">
        <v>0.3</v>
      </c>
      <c r="T282">
        <v>3</v>
      </c>
      <c r="U282">
        <v>0</v>
      </c>
      <c r="V282">
        <v>30521.989250999999</v>
      </c>
      <c r="W282">
        <v>281</v>
      </c>
      <c r="X282">
        <v>0</v>
      </c>
      <c r="Y282">
        <v>280</v>
      </c>
      <c r="Z282" t="s">
        <v>6966</v>
      </c>
      <c r="AA282" t="s">
        <v>6966</v>
      </c>
      <c r="AB282" t="s">
        <v>6966</v>
      </c>
      <c r="AC282" t="s">
        <v>6966</v>
      </c>
      <c r="AD282" t="s">
        <v>6966</v>
      </c>
      <c r="AE282" t="s">
        <v>6966</v>
      </c>
      <c r="AF282" t="s">
        <v>6966</v>
      </c>
      <c r="AG282" t="s">
        <v>6966</v>
      </c>
      <c r="AH282" t="s">
        <v>6966</v>
      </c>
      <c r="AI282" t="s">
        <v>6966</v>
      </c>
      <c r="AJ282" t="s">
        <v>6966</v>
      </c>
      <c r="AK282" t="s">
        <v>6966</v>
      </c>
      <c r="AL282" t="s">
        <v>6966</v>
      </c>
      <c r="AM282" t="s">
        <v>6966</v>
      </c>
      <c r="AN282" t="s">
        <v>6966</v>
      </c>
      <c r="AO282" t="s">
        <v>6966</v>
      </c>
      <c r="AP282" t="s">
        <v>6966</v>
      </c>
      <c r="AQ282" t="s">
        <v>6966</v>
      </c>
      <c r="AR282" t="s">
        <v>6966</v>
      </c>
      <c r="AS282" t="s">
        <v>6966</v>
      </c>
      <c r="AT282" t="s">
        <v>6966</v>
      </c>
      <c r="AU282" t="s">
        <v>6966</v>
      </c>
      <c r="AV282" t="s">
        <v>6966</v>
      </c>
      <c r="AW282" t="s">
        <v>6966</v>
      </c>
      <c r="AX282" t="s">
        <v>6966</v>
      </c>
      <c r="AY282" t="s">
        <v>6966</v>
      </c>
      <c r="AZ282">
        <v>0.30529800000000001</v>
      </c>
      <c r="BA282">
        <v>9.7300000000000002E-4</v>
      </c>
    </row>
    <row r="283" spans="1:53" x14ac:dyDescent="0.25">
      <c r="A283">
        <v>281</v>
      </c>
      <c r="B283" t="s">
        <v>7625</v>
      </c>
      <c r="C283">
        <v>503109</v>
      </c>
      <c r="D283" t="s">
        <v>87</v>
      </c>
      <c r="E283" t="s">
        <v>3220</v>
      </c>
      <c r="F283">
        <v>2161458.5</v>
      </c>
      <c r="G283">
        <v>8100.1411129999997</v>
      </c>
      <c r="H283">
        <v>1077</v>
      </c>
      <c r="I283">
        <v>1291</v>
      </c>
      <c r="J283">
        <v>23002</v>
      </c>
      <c r="K283" t="s">
        <v>87</v>
      </c>
      <c r="L283">
        <v>4</v>
      </c>
      <c r="M283">
        <v>4</v>
      </c>
      <c r="N283">
        <v>23002</v>
      </c>
      <c r="O283">
        <v>1053</v>
      </c>
      <c r="P283" t="s">
        <v>3212</v>
      </c>
      <c r="Q283">
        <v>0</v>
      </c>
      <c r="R283">
        <v>0</v>
      </c>
      <c r="S283">
        <v>0</v>
      </c>
      <c r="T283">
        <v>0</v>
      </c>
      <c r="U283">
        <v>2161458.55247</v>
      </c>
      <c r="V283">
        <v>8100.1412760000003</v>
      </c>
      <c r="W283">
        <v>282</v>
      </c>
      <c r="X283">
        <v>0</v>
      </c>
      <c r="Y283">
        <v>281</v>
      </c>
      <c r="Z283" t="s">
        <v>6966</v>
      </c>
      <c r="AA283" t="s">
        <v>6966</v>
      </c>
      <c r="AB283" t="s">
        <v>6966</v>
      </c>
      <c r="AC283" t="s">
        <v>6966</v>
      </c>
      <c r="AD283" t="s">
        <v>6966</v>
      </c>
      <c r="AE283" t="s">
        <v>6966</v>
      </c>
      <c r="AF283" t="s">
        <v>6966</v>
      </c>
      <c r="AG283" t="s">
        <v>6966</v>
      </c>
      <c r="AH283" t="s">
        <v>6966</v>
      </c>
      <c r="AI283" t="s">
        <v>6966</v>
      </c>
      <c r="AJ283" t="s">
        <v>6966</v>
      </c>
      <c r="AK283" t="s">
        <v>6966</v>
      </c>
      <c r="AL283" t="s">
        <v>6966</v>
      </c>
      <c r="AM283" t="s">
        <v>6966</v>
      </c>
      <c r="AN283" t="s">
        <v>6966</v>
      </c>
      <c r="AO283" t="s">
        <v>6966</v>
      </c>
      <c r="AP283" t="s">
        <v>6966</v>
      </c>
      <c r="AQ283" t="s">
        <v>6966</v>
      </c>
      <c r="AR283" t="s">
        <v>6966</v>
      </c>
      <c r="AS283" t="s">
        <v>6966</v>
      </c>
      <c r="AT283" t="s">
        <v>6966</v>
      </c>
      <c r="AU283" t="s">
        <v>6966</v>
      </c>
      <c r="AV283" t="s">
        <v>6966</v>
      </c>
      <c r="AW283" t="s">
        <v>6966</v>
      </c>
      <c r="AX283" t="s">
        <v>6966</v>
      </c>
      <c r="AY283" t="s">
        <v>6966</v>
      </c>
      <c r="AZ283">
        <v>8.2041000000000003E-2</v>
      </c>
      <c r="BA283">
        <v>2.1000000000000001E-4</v>
      </c>
    </row>
    <row r="284" spans="1:53" x14ac:dyDescent="0.25">
      <c r="A284">
        <v>282</v>
      </c>
      <c r="B284" t="s">
        <v>7625</v>
      </c>
      <c r="C284">
        <v>501042</v>
      </c>
      <c r="D284" t="s">
        <v>296</v>
      </c>
      <c r="E284" t="s">
        <v>1808</v>
      </c>
      <c r="F284">
        <v>3388961.25</v>
      </c>
      <c r="G284">
        <v>9999.4404300000006</v>
      </c>
      <c r="H284">
        <v>1078</v>
      </c>
      <c r="I284">
        <v>1292</v>
      </c>
      <c r="J284">
        <v>24251</v>
      </c>
      <c r="K284" t="s">
        <v>1803</v>
      </c>
      <c r="L284">
        <v>5</v>
      </c>
      <c r="M284">
        <v>5</v>
      </c>
      <c r="N284">
        <v>24251</v>
      </c>
      <c r="O284">
        <v>1054</v>
      </c>
      <c r="P284" t="s">
        <v>3212</v>
      </c>
      <c r="Q284">
        <v>0.5</v>
      </c>
      <c r="R284">
        <v>13.12</v>
      </c>
      <c r="S284">
        <v>0.53</v>
      </c>
      <c r="T284">
        <v>13</v>
      </c>
      <c r="U284">
        <v>3388961.3069600002</v>
      </c>
      <c r="V284">
        <v>9999.4413569999997</v>
      </c>
      <c r="W284">
        <v>283</v>
      </c>
      <c r="X284">
        <v>0</v>
      </c>
      <c r="Y284">
        <v>282</v>
      </c>
      <c r="Z284" t="s">
        <v>6966</v>
      </c>
      <c r="AA284" t="s">
        <v>6966</v>
      </c>
      <c r="AB284" t="s">
        <v>6966</v>
      </c>
      <c r="AC284" t="s">
        <v>6966</v>
      </c>
      <c r="AD284" t="s">
        <v>6966</v>
      </c>
      <c r="AE284" t="s">
        <v>6966</v>
      </c>
      <c r="AF284" t="s">
        <v>6966</v>
      </c>
      <c r="AG284" t="s">
        <v>6966</v>
      </c>
      <c r="AH284" t="s">
        <v>6966</v>
      </c>
      <c r="AI284" t="s">
        <v>6966</v>
      </c>
      <c r="AJ284" t="s">
        <v>6966</v>
      </c>
      <c r="AK284" t="s">
        <v>6966</v>
      </c>
      <c r="AL284" t="s">
        <v>6966</v>
      </c>
      <c r="AM284" t="s">
        <v>6966</v>
      </c>
      <c r="AN284" t="s">
        <v>6966</v>
      </c>
      <c r="AO284" t="s">
        <v>6966</v>
      </c>
      <c r="AP284" t="s">
        <v>6966</v>
      </c>
      <c r="AQ284" t="s">
        <v>6966</v>
      </c>
      <c r="AR284" t="s">
        <v>6966</v>
      </c>
      <c r="AS284" t="s">
        <v>6966</v>
      </c>
      <c r="AT284" t="s">
        <v>6966</v>
      </c>
      <c r="AU284" t="s">
        <v>6966</v>
      </c>
      <c r="AV284" t="s">
        <v>6966</v>
      </c>
      <c r="AW284" t="s">
        <v>6966</v>
      </c>
      <c r="AX284" t="s">
        <v>6966</v>
      </c>
      <c r="AY284" t="s">
        <v>6966</v>
      </c>
      <c r="AZ284">
        <v>0.101132</v>
      </c>
      <c r="BA284">
        <v>3.3E-4</v>
      </c>
    </row>
    <row r="285" spans="1:53" x14ac:dyDescent="0.25">
      <c r="A285">
        <v>283</v>
      </c>
      <c r="B285" t="s">
        <v>7625</v>
      </c>
      <c r="C285">
        <v>401015</v>
      </c>
      <c r="D285" t="s">
        <v>1057</v>
      </c>
      <c r="E285" t="s">
        <v>3221</v>
      </c>
      <c r="F285">
        <v>4072622.75</v>
      </c>
      <c r="G285">
        <v>10437.115234000001</v>
      </c>
      <c r="H285">
        <v>1079</v>
      </c>
      <c r="I285">
        <v>1293</v>
      </c>
      <c r="J285">
        <v>52257</v>
      </c>
      <c r="K285" t="s">
        <v>7725</v>
      </c>
      <c r="L285">
        <v>16</v>
      </c>
      <c r="M285">
        <v>16</v>
      </c>
      <c r="N285">
        <v>52257</v>
      </c>
      <c r="O285">
        <v>1055</v>
      </c>
      <c r="P285" t="s">
        <v>3214</v>
      </c>
      <c r="Q285">
        <v>0.4</v>
      </c>
      <c r="R285">
        <v>34.25</v>
      </c>
      <c r="S285">
        <v>0.09</v>
      </c>
      <c r="T285">
        <v>8</v>
      </c>
      <c r="U285">
        <v>4072622.6247100001</v>
      </c>
      <c r="V285">
        <v>10437.115053</v>
      </c>
      <c r="W285">
        <v>284</v>
      </c>
      <c r="X285">
        <v>0</v>
      </c>
      <c r="Y285">
        <v>283</v>
      </c>
      <c r="Z285" t="s">
        <v>6966</v>
      </c>
      <c r="AA285" t="s">
        <v>6966</v>
      </c>
      <c r="AB285" t="s">
        <v>6966</v>
      </c>
      <c r="AC285" t="s">
        <v>6966</v>
      </c>
      <c r="AD285" t="s">
        <v>6966</v>
      </c>
      <c r="AE285" t="s">
        <v>6966</v>
      </c>
      <c r="AF285" t="s">
        <v>6966</v>
      </c>
      <c r="AG285" t="s">
        <v>6966</v>
      </c>
      <c r="AH285" t="s">
        <v>6966</v>
      </c>
      <c r="AI285" t="s">
        <v>6966</v>
      </c>
      <c r="AJ285" t="s">
        <v>6966</v>
      </c>
      <c r="AK285" t="s">
        <v>6966</v>
      </c>
      <c r="AL285" t="s">
        <v>6966</v>
      </c>
      <c r="AM285" t="s">
        <v>6966</v>
      </c>
      <c r="AN285" t="s">
        <v>6966</v>
      </c>
      <c r="AO285" t="s">
        <v>6966</v>
      </c>
      <c r="AP285" t="s">
        <v>6966</v>
      </c>
      <c r="AQ285" t="s">
        <v>6966</v>
      </c>
      <c r="AR285" t="s">
        <v>6966</v>
      </c>
      <c r="AS285" t="s">
        <v>6966</v>
      </c>
      <c r="AT285" t="s">
        <v>6966</v>
      </c>
      <c r="AU285" t="s">
        <v>6966</v>
      </c>
      <c r="AV285" t="s">
        <v>6966</v>
      </c>
      <c r="AW285" t="s">
        <v>6966</v>
      </c>
      <c r="AX285" t="s">
        <v>6966</v>
      </c>
      <c r="AY285" t="s">
        <v>6966</v>
      </c>
      <c r="AZ285">
        <v>0.104015</v>
      </c>
      <c r="BA285">
        <v>3.9599999999999998E-4</v>
      </c>
    </row>
    <row r="286" spans="1:53" x14ac:dyDescent="0.25">
      <c r="A286">
        <v>284</v>
      </c>
      <c r="B286" t="s">
        <v>7625</v>
      </c>
      <c r="C286">
        <v>401008</v>
      </c>
      <c r="D286" t="s">
        <v>1042</v>
      </c>
      <c r="E286" t="s">
        <v>3221</v>
      </c>
      <c r="F286">
        <v>6865309.5</v>
      </c>
      <c r="G286">
        <v>15089.357421999999</v>
      </c>
      <c r="H286">
        <v>1080</v>
      </c>
      <c r="I286">
        <v>1294</v>
      </c>
      <c r="J286">
        <v>52181</v>
      </c>
      <c r="K286" t="s">
        <v>7726</v>
      </c>
      <c r="L286">
        <v>16</v>
      </c>
      <c r="M286">
        <v>16</v>
      </c>
      <c r="N286">
        <v>52181</v>
      </c>
      <c r="O286">
        <v>1056</v>
      </c>
      <c r="P286" t="s">
        <v>3214</v>
      </c>
      <c r="Q286">
        <v>0</v>
      </c>
      <c r="R286">
        <v>0</v>
      </c>
      <c r="S286">
        <v>0</v>
      </c>
      <c r="T286">
        <v>0</v>
      </c>
      <c r="U286">
        <v>6865309.4358999999</v>
      </c>
      <c r="V286">
        <v>15089.358397</v>
      </c>
      <c r="W286">
        <v>285</v>
      </c>
      <c r="X286">
        <v>0</v>
      </c>
      <c r="Y286">
        <v>284</v>
      </c>
      <c r="Z286" t="s">
        <v>6966</v>
      </c>
      <c r="AA286" t="s">
        <v>6966</v>
      </c>
      <c r="AB286" t="s">
        <v>6966</v>
      </c>
      <c r="AC286" t="s">
        <v>6966</v>
      </c>
      <c r="AD286" t="s">
        <v>6966</v>
      </c>
      <c r="AE286" t="s">
        <v>6966</v>
      </c>
      <c r="AF286" t="s">
        <v>6966</v>
      </c>
      <c r="AG286" t="s">
        <v>6966</v>
      </c>
      <c r="AH286" t="s">
        <v>6966</v>
      </c>
      <c r="AI286" t="s">
        <v>6966</v>
      </c>
      <c r="AJ286" t="s">
        <v>6966</v>
      </c>
      <c r="AK286" t="s">
        <v>6966</v>
      </c>
      <c r="AL286" t="s">
        <v>6966</v>
      </c>
      <c r="AM286" t="s">
        <v>6966</v>
      </c>
      <c r="AN286" t="s">
        <v>6966</v>
      </c>
      <c r="AO286" t="s">
        <v>6966</v>
      </c>
      <c r="AP286" t="s">
        <v>6966</v>
      </c>
      <c r="AQ286" t="s">
        <v>6966</v>
      </c>
      <c r="AR286" t="s">
        <v>6966</v>
      </c>
      <c r="AS286" t="s">
        <v>6966</v>
      </c>
      <c r="AT286" t="s">
        <v>6966</v>
      </c>
      <c r="AU286" t="s">
        <v>6966</v>
      </c>
      <c r="AV286" t="s">
        <v>6966</v>
      </c>
      <c r="AW286" t="s">
        <v>6966</v>
      </c>
      <c r="AX286" t="s">
        <v>6966</v>
      </c>
      <c r="AY286" t="s">
        <v>6966</v>
      </c>
      <c r="AZ286">
        <v>0.14609800000000001</v>
      </c>
      <c r="BA286">
        <v>6.6799999999999997E-4</v>
      </c>
    </row>
    <row r="287" spans="1:53" x14ac:dyDescent="0.25">
      <c r="A287">
        <v>285</v>
      </c>
      <c r="B287" t="s">
        <v>7625</v>
      </c>
      <c r="C287">
        <v>503021</v>
      </c>
      <c r="D287" t="s">
        <v>249</v>
      </c>
      <c r="E287" t="s">
        <v>3220</v>
      </c>
      <c r="F287">
        <v>2562037.5</v>
      </c>
      <c r="G287">
        <v>9520.9033199999994</v>
      </c>
      <c r="H287">
        <v>1081</v>
      </c>
      <c r="I287">
        <v>1295</v>
      </c>
      <c r="J287">
        <v>23451</v>
      </c>
      <c r="K287" t="s">
        <v>7652</v>
      </c>
      <c r="L287">
        <v>4</v>
      </c>
      <c r="M287">
        <v>4</v>
      </c>
      <c r="N287">
        <v>23451</v>
      </c>
      <c r="O287">
        <v>1057</v>
      </c>
      <c r="P287" t="s">
        <v>3212</v>
      </c>
      <c r="Q287">
        <v>4.7</v>
      </c>
      <c r="R287">
        <v>81.97</v>
      </c>
      <c r="S287">
        <v>1</v>
      </c>
      <c r="T287">
        <v>18</v>
      </c>
      <c r="U287">
        <v>2562037.5465299999</v>
      </c>
      <c r="V287">
        <v>9520.9030569999995</v>
      </c>
      <c r="W287">
        <v>286</v>
      </c>
      <c r="X287">
        <v>0</v>
      </c>
      <c r="Y287">
        <v>285</v>
      </c>
      <c r="Z287" t="s">
        <v>6966</v>
      </c>
      <c r="AA287" t="s">
        <v>6966</v>
      </c>
      <c r="AB287" t="s">
        <v>6966</v>
      </c>
      <c r="AC287" t="s">
        <v>6966</v>
      </c>
      <c r="AD287" t="s">
        <v>6966</v>
      </c>
      <c r="AE287" t="s">
        <v>6966</v>
      </c>
      <c r="AF287" t="s">
        <v>6966</v>
      </c>
      <c r="AG287" t="s">
        <v>6966</v>
      </c>
      <c r="AH287" t="s">
        <v>6966</v>
      </c>
      <c r="AI287" t="s">
        <v>6966</v>
      </c>
      <c r="AJ287" t="s">
        <v>6966</v>
      </c>
      <c r="AK287" t="s">
        <v>6966</v>
      </c>
      <c r="AL287" t="s">
        <v>6966</v>
      </c>
      <c r="AM287" t="s">
        <v>6966</v>
      </c>
      <c r="AN287" t="s">
        <v>6966</v>
      </c>
      <c r="AO287" t="s">
        <v>6966</v>
      </c>
      <c r="AP287" t="s">
        <v>6966</v>
      </c>
      <c r="AQ287" t="s">
        <v>6966</v>
      </c>
      <c r="AR287" t="s">
        <v>6966</v>
      </c>
      <c r="AS287" t="s">
        <v>6966</v>
      </c>
      <c r="AT287" t="s">
        <v>6966</v>
      </c>
      <c r="AU287" t="s">
        <v>6966</v>
      </c>
      <c r="AV287" t="s">
        <v>6966</v>
      </c>
      <c r="AW287" t="s">
        <v>6966</v>
      </c>
      <c r="AX287" t="s">
        <v>6966</v>
      </c>
      <c r="AY287" t="s">
        <v>6966</v>
      </c>
      <c r="AZ287">
        <v>9.6534999999999996E-2</v>
      </c>
      <c r="BA287">
        <v>2.4899999999999998E-4</v>
      </c>
    </row>
    <row r="288" spans="1:53" x14ac:dyDescent="0.25">
      <c r="A288">
        <v>286</v>
      </c>
      <c r="B288" t="s">
        <v>7625</v>
      </c>
      <c r="C288">
        <v>501051</v>
      </c>
      <c r="D288" t="s">
        <v>333</v>
      </c>
      <c r="E288" t="s">
        <v>1808</v>
      </c>
      <c r="F288">
        <v>342272.59375</v>
      </c>
      <c r="G288">
        <v>4244.8681640000004</v>
      </c>
      <c r="H288">
        <v>1082</v>
      </c>
      <c r="I288">
        <v>1296</v>
      </c>
      <c r="J288">
        <v>24373</v>
      </c>
      <c r="K288" t="s">
        <v>1835</v>
      </c>
      <c r="L288">
        <v>5</v>
      </c>
      <c r="M288">
        <v>5</v>
      </c>
      <c r="N288">
        <v>24373</v>
      </c>
      <c r="O288">
        <v>1058</v>
      </c>
      <c r="P288" t="s">
        <v>3212</v>
      </c>
      <c r="Q288">
        <v>0.4</v>
      </c>
      <c r="R288">
        <v>5.8</v>
      </c>
      <c r="S288">
        <v>0.41</v>
      </c>
      <c r="T288">
        <v>6</v>
      </c>
      <c r="U288">
        <v>342272.60257500003</v>
      </c>
      <c r="V288">
        <v>4244.8679949999996</v>
      </c>
      <c r="W288">
        <v>287</v>
      </c>
      <c r="X288">
        <v>0</v>
      </c>
      <c r="Y288">
        <v>286</v>
      </c>
      <c r="Z288" t="s">
        <v>6966</v>
      </c>
      <c r="AA288" t="s">
        <v>6966</v>
      </c>
      <c r="AB288" t="s">
        <v>6966</v>
      </c>
      <c r="AC288" t="s">
        <v>6966</v>
      </c>
      <c r="AD288" t="s">
        <v>6966</v>
      </c>
      <c r="AE288" t="s">
        <v>6966</v>
      </c>
      <c r="AF288" t="s">
        <v>6966</v>
      </c>
      <c r="AG288" t="s">
        <v>6966</v>
      </c>
      <c r="AH288" t="s">
        <v>6966</v>
      </c>
      <c r="AI288" t="s">
        <v>6966</v>
      </c>
      <c r="AJ288" t="s">
        <v>6966</v>
      </c>
      <c r="AK288" t="s">
        <v>6966</v>
      </c>
      <c r="AL288" t="s">
        <v>6966</v>
      </c>
      <c r="AM288" t="s">
        <v>6966</v>
      </c>
      <c r="AN288" t="s">
        <v>6966</v>
      </c>
      <c r="AO288" t="s">
        <v>6966</v>
      </c>
      <c r="AP288" t="s">
        <v>6966</v>
      </c>
      <c r="AQ288" t="s">
        <v>6966</v>
      </c>
      <c r="AR288" t="s">
        <v>6966</v>
      </c>
      <c r="AS288" t="s">
        <v>6966</v>
      </c>
      <c r="AT288" t="s">
        <v>6966</v>
      </c>
      <c r="AU288" t="s">
        <v>6966</v>
      </c>
      <c r="AV288" t="s">
        <v>6966</v>
      </c>
      <c r="AW288" t="s">
        <v>6966</v>
      </c>
      <c r="AX288" t="s">
        <v>6966</v>
      </c>
      <c r="AY288" t="s">
        <v>6966</v>
      </c>
      <c r="AZ288">
        <v>4.2195000000000003E-2</v>
      </c>
      <c r="BA288">
        <v>3.3000000000000003E-5</v>
      </c>
    </row>
    <row r="289" spans="1:53" x14ac:dyDescent="0.25">
      <c r="A289">
        <v>287</v>
      </c>
      <c r="B289" t="s">
        <v>7625</v>
      </c>
      <c r="C289">
        <v>501055</v>
      </c>
      <c r="D289" t="s">
        <v>335</v>
      </c>
      <c r="E289" t="s">
        <v>1808</v>
      </c>
      <c r="F289">
        <v>0</v>
      </c>
      <c r="G289">
        <v>26065.068359000001</v>
      </c>
      <c r="H289">
        <v>1083</v>
      </c>
      <c r="I289">
        <v>1297</v>
      </c>
      <c r="J289">
        <v>24377</v>
      </c>
      <c r="K289" t="s">
        <v>335</v>
      </c>
      <c r="L289">
        <v>5</v>
      </c>
      <c r="M289">
        <v>5</v>
      </c>
      <c r="N289">
        <v>24377</v>
      </c>
      <c r="O289">
        <v>1059</v>
      </c>
      <c r="P289" t="s">
        <v>3212</v>
      </c>
      <c r="Q289">
        <v>1.7</v>
      </c>
      <c r="R289">
        <v>29.8</v>
      </c>
      <c r="S289">
        <v>0.57999999999999996</v>
      </c>
      <c r="T289">
        <v>10</v>
      </c>
      <c r="U289">
        <v>0</v>
      </c>
      <c r="V289">
        <v>26065.068998999999</v>
      </c>
      <c r="W289">
        <v>288</v>
      </c>
      <c r="X289">
        <v>0</v>
      </c>
      <c r="Y289">
        <v>287</v>
      </c>
      <c r="Z289" t="s">
        <v>6966</v>
      </c>
      <c r="AA289" t="s">
        <v>6966</v>
      </c>
      <c r="AB289" t="s">
        <v>6966</v>
      </c>
      <c r="AC289" t="s">
        <v>6966</v>
      </c>
      <c r="AD289" t="s">
        <v>6966</v>
      </c>
      <c r="AE289" t="s">
        <v>6966</v>
      </c>
      <c r="AF289" t="s">
        <v>6966</v>
      </c>
      <c r="AG289" t="s">
        <v>6966</v>
      </c>
      <c r="AH289" t="s">
        <v>6966</v>
      </c>
      <c r="AI289" t="s">
        <v>6966</v>
      </c>
      <c r="AJ289" t="s">
        <v>6966</v>
      </c>
      <c r="AK289" t="s">
        <v>6966</v>
      </c>
      <c r="AL289" t="s">
        <v>6966</v>
      </c>
      <c r="AM289" t="s">
        <v>6966</v>
      </c>
      <c r="AN289" t="s">
        <v>6966</v>
      </c>
      <c r="AO289" t="s">
        <v>6966</v>
      </c>
      <c r="AP289" t="s">
        <v>6966</v>
      </c>
      <c r="AQ289" t="s">
        <v>6966</v>
      </c>
      <c r="AR289" t="s">
        <v>6966</v>
      </c>
      <c r="AS289" t="s">
        <v>6966</v>
      </c>
      <c r="AT289" t="s">
        <v>6966</v>
      </c>
      <c r="AU289" t="s">
        <v>6966</v>
      </c>
      <c r="AV289" t="s">
        <v>6966</v>
      </c>
      <c r="AW289" t="s">
        <v>6966</v>
      </c>
      <c r="AX289" t="s">
        <v>6966</v>
      </c>
      <c r="AY289" t="s">
        <v>6966</v>
      </c>
      <c r="AZ289">
        <v>0.259689</v>
      </c>
      <c r="BA289">
        <v>1.1310000000000001E-3</v>
      </c>
    </row>
    <row r="290" spans="1:53" x14ac:dyDescent="0.25">
      <c r="A290">
        <v>288</v>
      </c>
      <c r="B290" t="s">
        <v>7625</v>
      </c>
      <c r="C290">
        <v>403024</v>
      </c>
      <c r="D290" t="s">
        <v>1011</v>
      </c>
      <c r="E290" t="s">
        <v>3045</v>
      </c>
      <c r="F290">
        <v>0</v>
      </c>
      <c r="G290">
        <v>27496.533202999999</v>
      </c>
      <c r="H290">
        <v>1084</v>
      </c>
      <c r="I290">
        <v>1298</v>
      </c>
      <c r="J290">
        <v>51284</v>
      </c>
      <c r="K290" t="s">
        <v>2364</v>
      </c>
      <c r="L290">
        <v>15</v>
      </c>
      <c r="M290">
        <v>15</v>
      </c>
      <c r="N290">
        <v>51284</v>
      </c>
      <c r="O290">
        <v>1060</v>
      </c>
      <c r="P290" t="s">
        <v>3214</v>
      </c>
      <c r="Q290">
        <v>3.1</v>
      </c>
      <c r="R290">
        <v>95.82</v>
      </c>
      <c r="S290">
        <v>0.79</v>
      </c>
      <c r="T290">
        <v>24</v>
      </c>
      <c r="U290">
        <v>0</v>
      </c>
      <c r="V290">
        <v>27496.532283</v>
      </c>
      <c r="W290">
        <v>289</v>
      </c>
      <c r="X290">
        <v>0</v>
      </c>
      <c r="Y290">
        <v>288</v>
      </c>
      <c r="Z290" t="s">
        <v>6966</v>
      </c>
      <c r="AA290" t="s">
        <v>6966</v>
      </c>
      <c r="AB290" t="s">
        <v>6966</v>
      </c>
      <c r="AC290" t="s">
        <v>6966</v>
      </c>
      <c r="AD290" t="s">
        <v>6966</v>
      </c>
      <c r="AE290" t="s">
        <v>6966</v>
      </c>
      <c r="AF290" t="s">
        <v>6966</v>
      </c>
      <c r="AG290" t="s">
        <v>6966</v>
      </c>
      <c r="AH290" t="s">
        <v>6966</v>
      </c>
      <c r="AI290" t="s">
        <v>6966</v>
      </c>
      <c r="AJ290" t="s">
        <v>6966</v>
      </c>
      <c r="AK290" t="s">
        <v>6966</v>
      </c>
      <c r="AL290" t="s">
        <v>6966</v>
      </c>
      <c r="AM290" t="s">
        <v>6966</v>
      </c>
      <c r="AN290" t="s">
        <v>6966</v>
      </c>
      <c r="AO290" t="s">
        <v>6966</v>
      </c>
      <c r="AP290" t="s">
        <v>6966</v>
      </c>
      <c r="AQ290" t="s">
        <v>6966</v>
      </c>
      <c r="AR290" t="s">
        <v>6966</v>
      </c>
      <c r="AS290" t="s">
        <v>6966</v>
      </c>
      <c r="AT290" t="s">
        <v>6966</v>
      </c>
      <c r="AU290" t="s">
        <v>6966</v>
      </c>
      <c r="AV290" t="s">
        <v>6966</v>
      </c>
      <c r="AW290" t="s">
        <v>6966</v>
      </c>
      <c r="AX290" t="s">
        <v>6966</v>
      </c>
      <c r="AY290" t="s">
        <v>6966</v>
      </c>
      <c r="AZ290">
        <v>0.276389</v>
      </c>
      <c r="BA290">
        <v>2.4629999999999999E-3</v>
      </c>
    </row>
    <row r="291" spans="1:53" x14ac:dyDescent="0.25">
      <c r="A291">
        <v>289</v>
      </c>
      <c r="B291" t="s">
        <v>7625</v>
      </c>
      <c r="C291">
        <v>503108</v>
      </c>
      <c r="D291" t="s">
        <v>87</v>
      </c>
      <c r="E291" t="s">
        <v>3220</v>
      </c>
      <c r="F291">
        <v>89448.015625</v>
      </c>
      <c r="G291">
        <v>2615.4375</v>
      </c>
      <c r="H291">
        <v>1085</v>
      </c>
      <c r="I291">
        <v>1299</v>
      </c>
      <c r="J291">
        <v>23003</v>
      </c>
      <c r="K291" t="s">
        <v>87</v>
      </c>
      <c r="L291">
        <v>4</v>
      </c>
      <c r="M291">
        <v>4</v>
      </c>
      <c r="N291">
        <v>23003</v>
      </c>
      <c r="O291">
        <v>1061</v>
      </c>
      <c r="P291" t="s">
        <v>3212</v>
      </c>
      <c r="Q291">
        <v>0</v>
      </c>
      <c r="R291">
        <v>0</v>
      </c>
      <c r="S291">
        <v>0</v>
      </c>
      <c r="T291">
        <v>0</v>
      </c>
      <c r="U291">
        <v>89448.021773</v>
      </c>
      <c r="V291">
        <v>2615.437743</v>
      </c>
      <c r="W291">
        <v>290</v>
      </c>
      <c r="X291">
        <v>0</v>
      </c>
      <c r="Y291">
        <v>289</v>
      </c>
      <c r="Z291" t="s">
        <v>6966</v>
      </c>
      <c r="AA291" t="s">
        <v>6966</v>
      </c>
      <c r="AB291" t="s">
        <v>6966</v>
      </c>
      <c r="AC291" t="s">
        <v>6966</v>
      </c>
      <c r="AD291" t="s">
        <v>6966</v>
      </c>
      <c r="AE291" t="s">
        <v>6966</v>
      </c>
      <c r="AF291" t="s">
        <v>6966</v>
      </c>
      <c r="AG291" t="s">
        <v>6966</v>
      </c>
      <c r="AH291" t="s">
        <v>6966</v>
      </c>
      <c r="AI291" t="s">
        <v>6966</v>
      </c>
      <c r="AJ291" t="s">
        <v>6966</v>
      </c>
      <c r="AK291" t="s">
        <v>6966</v>
      </c>
      <c r="AL291" t="s">
        <v>6966</v>
      </c>
      <c r="AM291" t="s">
        <v>6966</v>
      </c>
      <c r="AN291" t="s">
        <v>6966</v>
      </c>
      <c r="AO291" t="s">
        <v>6966</v>
      </c>
      <c r="AP291" t="s">
        <v>6966</v>
      </c>
      <c r="AQ291" t="s">
        <v>6966</v>
      </c>
      <c r="AR291" t="s">
        <v>6966</v>
      </c>
      <c r="AS291" t="s">
        <v>6966</v>
      </c>
      <c r="AT291" t="s">
        <v>6966</v>
      </c>
      <c r="AU291" t="s">
        <v>6966</v>
      </c>
      <c r="AV291" t="s">
        <v>6966</v>
      </c>
      <c r="AW291" t="s">
        <v>6966</v>
      </c>
      <c r="AX291" t="s">
        <v>6966</v>
      </c>
      <c r="AY291" t="s">
        <v>6966</v>
      </c>
      <c r="AZ291">
        <v>2.6293E-2</v>
      </c>
      <c r="BA291">
        <v>9.0000000000000002E-6</v>
      </c>
    </row>
    <row r="292" spans="1:53" x14ac:dyDescent="0.25">
      <c r="A292">
        <v>290</v>
      </c>
      <c r="B292" t="s">
        <v>7625</v>
      </c>
      <c r="C292">
        <v>401013</v>
      </c>
      <c r="D292" t="s">
        <v>1056</v>
      </c>
      <c r="E292" t="s">
        <v>3221</v>
      </c>
      <c r="F292">
        <v>5749631.5</v>
      </c>
      <c r="G292">
        <v>9707.2128909999992</v>
      </c>
      <c r="H292">
        <v>1086</v>
      </c>
      <c r="I292">
        <v>1300</v>
      </c>
      <c r="J292">
        <v>52254</v>
      </c>
      <c r="K292" t="s">
        <v>7727</v>
      </c>
      <c r="L292">
        <v>16</v>
      </c>
      <c r="M292">
        <v>16</v>
      </c>
      <c r="N292">
        <v>52254</v>
      </c>
      <c r="O292">
        <v>1062</v>
      </c>
      <c r="P292" t="s">
        <v>3214</v>
      </c>
      <c r="Q292">
        <v>2.2999999999999998</v>
      </c>
      <c r="R292">
        <v>55.74</v>
      </c>
      <c r="S292">
        <v>0.42</v>
      </c>
      <c r="T292">
        <v>10</v>
      </c>
      <c r="U292">
        <v>5749631.8627599999</v>
      </c>
      <c r="V292">
        <v>9707.2130429999997</v>
      </c>
      <c r="W292">
        <v>291</v>
      </c>
      <c r="X292">
        <v>1</v>
      </c>
      <c r="Y292">
        <v>290</v>
      </c>
      <c r="Z292">
        <v>59011</v>
      </c>
      <c r="AA292" s="76">
        <v>45734</v>
      </c>
      <c r="AB292">
        <v>2025</v>
      </c>
      <c r="AC292" t="s">
        <v>7104</v>
      </c>
      <c r="AD292">
        <v>18</v>
      </c>
      <c r="AE292" t="s">
        <v>7138</v>
      </c>
      <c r="AF292" t="s">
        <v>3214</v>
      </c>
      <c r="AG292" t="s">
        <v>3221</v>
      </c>
      <c r="AH292" t="s">
        <v>1056</v>
      </c>
      <c r="AI292" t="s">
        <v>3098</v>
      </c>
      <c r="AJ292" t="s">
        <v>6966</v>
      </c>
      <c r="AK292">
        <v>33.719529999999999</v>
      </c>
      <c r="AL292">
        <v>35.854909999999997</v>
      </c>
      <c r="AM292" t="s">
        <v>6995</v>
      </c>
      <c r="AN292" t="s">
        <v>6966</v>
      </c>
      <c r="AO292" t="s">
        <v>6996</v>
      </c>
      <c r="AP292" t="s">
        <v>7139</v>
      </c>
      <c r="AQ292" t="s">
        <v>6998</v>
      </c>
      <c r="AR292" t="s">
        <v>6999</v>
      </c>
      <c r="AS292" t="s">
        <v>7036</v>
      </c>
      <c r="AT292">
        <v>0</v>
      </c>
      <c r="AU292">
        <v>0</v>
      </c>
      <c r="AV292" t="s">
        <v>6966</v>
      </c>
      <c r="AW292" t="s">
        <v>7002</v>
      </c>
      <c r="AX292" t="s">
        <v>6966</v>
      </c>
      <c r="AY292" t="s">
        <v>7003</v>
      </c>
      <c r="AZ292">
        <v>9.6845000000000001E-2</v>
      </c>
      <c r="BA292">
        <v>5.5900000000000004E-4</v>
      </c>
    </row>
    <row r="293" spans="1:53" x14ac:dyDescent="0.25">
      <c r="A293">
        <v>291</v>
      </c>
      <c r="B293" t="s">
        <v>7625</v>
      </c>
      <c r="C293">
        <v>503041</v>
      </c>
      <c r="D293" t="s">
        <v>7728</v>
      </c>
      <c r="E293" t="s">
        <v>3220</v>
      </c>
      <c r="F293">
        <v>1467083.625</v>
      </c>
      <c r="G293">
        <v>5363.4672849999997</v>
      </c>
      <c r="H293">
        <v>1087</v>
      </c>
      <c r="I293">
        <v>1301</v>
      </c>
      <c r="J293">
        <v>23429</v>
      </c>
      <c r="K293" t="s">
        <v>7729</v>
      </c>
      <c r="L293">
        <v>4</v>
      </c>
      <c r="M293">
        <v>4</v>
      </c>
      <c r="N293">
        <v>23429</v>
      </c>
      <c r="O293">
        <v>1063</v>
      </c>
      <c r="P293" t="s">
        <v>3212</v>
      </c>
      <c r="Q293">
        <v>4.9000000000000004</v>
      </c>
      <c r="R293">
        <v>18.96</v>
      </c>
      <c r="S293">
        <v>1.1299999999999999</v>
      </c>
      <c r="T293">
        <v>4</v>
      </c>
      <c r="U293">
        <v>1467083.5563000001</v>
      </c>
      <c r="V293">
        <v>5363.4666820000002</v>
      </c>
      <c r="W293">
        <v>292</v>
      </c>
      <c r="X293">
        <v>0</v>
      </c>
      <c r="Y293">
        <v>291</v>
      </c>
      <c r="Z293" t="s">
        <v>6966</v>
      </c>
      <c r="AA293" t="s">
        <v>6966</v>
      </c>
      <c r="AB293" t="s">
        <v>6966</v>
      </c>
      <c r="AC293" t="s">
        <v>6966</v>
      </c>
      <c r="AD293" t="s">
        <v>6966</v>
      </c>
      <c r="AE293" t="s">
        <v>6966</v>
      </c>
      <c r="AF293" t="s">
        <v>6966</v>
      </c>
      <c r="AG293" t="s">
        <v>6966</v>
      </c>
      <c r="AH293" t="s">
        <v>6966</v>
      </c>
      <c r="AI293" t="s">
        <v>6966</v>
      </c>
      <c r="AJ293" t="s">
        <v>6966</v>
      </c>
      <c r="AK293" t="s">
        <v>6966</v>
      </c>
      <c r="AL293" t="s">
        <v>6966</v>
      </c>
      <c r="AM293" t="s">
        <v>6966</v>
      </c>
      <c r="AN293" t="s">
        <v>6966</v>
      </c>
      <c r="AO293" t="s">
        <v>6966</v>
      </c>
      <c r="AP293" t="s">
        <v>6966</v>
      </c>
      <c r="AQ293" t="s">
        <v>6966</v>
      </c>
      <c r="AR293" t="s">
        <v>6966</v>
      </c>
      <c r="AS293" t="s">
        <v>6966</v>
      </c>
      <c r="AT293" t="s">
        <v>6966</v>
      </c>
      <c r="AU293" t="s">
        <v>6966</v>
      </c>
      <c r="AV293" t="s">
        <v>6966</v>
      </c>
      <c r="AW293" t="s">
        <v>6966</v>
      </c>
      <c r="AX293" t="s">
        <v>6966</v>
      </c>
      <c r="AY293" t="s">
        <v>6966</v>
      </c>
      <c r="AZ293">
        <v>5.2564E-2</v>
      </c>
      <c r="BA293">
        <v>1.4300000000000001E-4</v>
      </c>
    </row>
    <row r="294" spans="1:53" x14ac:dyDescent="0.25">
      <c r="A294">
        <v>292</v>
      </c>
      <c r="B294" t="s">
        <v>7625</v>
      </c>
      <c r="C294">
        <v>503027</v>
      </c>
      <c r="D294" t="s">
        <v>254</v>
      </c>
      <c r="E294" t="s">
        <v>3220</v>
      </c>
      <c r="F294">
        <v>3052839.75</v>
      </c>
      <c r="G294">
        <v>8984.4785159999992</v>
      </c>
      <c r="H294">
        <v>1088</v>
      </c>
      <c r="I294">
        <v>1302</v>
      </c>
      <c r="J294">
        <v>23459</v>
      </c>
      <c r="K294" t="s">
        <v>7730</v>
      </c>
      <c r="L294">
        <v>4</v>
      </c>
      <c r="M294">
        <v>4</v>
      </c>
      <c r="N294">
        <v>23459</v>
      </c>
      <c r="O294">
        <v>1064</v>
      </c>
      <c r="P294" t="s">
        <v>3212</v>
      </c>
      <c r="Q294">
        <v>3.7</v>
      </c>
      <c r="R294">
        <v>65.430000000000007</v>
      </c>
      <c r="S294">
        <v>1.22</v>
      </c>
      <c r="T294">
        <v>22</v>
      </c>
      <c r="U294">
        <v>3052839.8605900002</v>
      </c>
      <c r="V294">
        <v>8984.4774739999993</v>
      </c>
      <c r="W294">
        <v>293</v>
      </c>
      <c r="X294">
        <v>0</v>
      </c>
      <c r="Y294">
        <v>292</v>
      </c>
      <c r="Z294" t="s">
        <v>6966</v>
      </c>
      <c r="AA294" t="s">
        <v>6966</v>
      </c>
      <c r="AB294" t="s">
        <v>6966</v>
      </c>
      <c r="AC294" t="s">
        <v>6966</v>
      </c>
      <c r="AD294" t="s">
        <v>6966</v>
      </c>
      <c r="AE294" t="s">
        <v>6966</v>
      </c>
      <c r="AF294" t="s">
        <v>6966</v>
      </c>
      <c r="AG294" t="s">
        <v>6966</v>
      </c>
      <c r="AH294" t="s">
        <v>6966</v>
      </c>
      <c r="AI294" t="s">
        <v>6966</v>
      </c>
      <c r="AJ294" t="s">
        <v>6966</v>
      </c>
      <c r="AK294" t="s">
        <v>6966</v>
      </c>
      <c r="AL294" t="s">
        <v>6966</v>
      </c>
      <c r="AM294" t="s">
        <v>6966</v>
      </c>
      <c r="AN294" t="s">
        <v>6966</v>
      </c>
      <c r="AO294" t="s">
        <v>6966</v>
      </c>
      <c r="AP294" t="s">
        <v>6966</v>
      </c>
      <c r="AQ294" t="s">
        <v>6966</v>
      </c>
      <c r="AR294" t="s">
        <v>6966</v>
      </c>
      <c r="AS294" t="s">
        <v>6966</v>
      </c>
      <c r="AT294" t="s">
        <v>6966</v>
      </c>
      <c r="AU294" t="s">
        <v>6966</v>
      </c>
      <c r="AV294" t="s">
        <v>6966</v>
      </c>
      <c r="AW294" t="s">
        <v>6966</v>
      </c>
      <c r="AX294" t="s">
        <v>6966</v>
      </c>
      <c r="AY294" t="s">
        <v>6966</v>
      </c>
      <c r="AZ294">
        <v>8.9819999999999997E-2</v>
      </c>
      <c r="BA294">
        <v>2.9700000000000001E-4</v>
      </c>
    </row>
    <row r="295" spans="1:53" x14ac:dyDescent="0.25">
      <c r="A295">
        <v>293</v>
      </c>
      <c r="B295" t="s">
        <v>7625</v>
      </c>
      <c r="C295">
        <v>503071</v>
      </c>
      <c r="D295" t="s">
        <v>235</v>
      </c>
      <c r="E295" t="s">
        <v>3220</v>
      </c>
      <c r="F295">
        <v>886523.4375</v>
      </c>
      <c r="G295">
        <v>4274.7978519999997</v>
      </c>
      <c r="H295">
        <v>1089</v>
      </c>
      <c r="I295">
        <v>1303</v>
      </c>
      <c r="J295">
        <v>23425</v>
      </c>
      <c r="K295" t="s">
        <v>7649</v>
      </c>
      <c r="L295">
        <v>4</v>
      </c>
      <c r="M295">
        <v>4</v>
      </c>
      <c r="N295">
        <v>23425</v>
      </c>
      <c r="O295">
        <v>1065</v>
      </c>
      <c r="P295" t="s">
        <v>3212</v>
      </c>
      <c r="Q295">
        <v>1.3</v>
      </c>
      <c r="R295">
        <v>17.2</v>
      </c>
      <c r="S295">
        <v>0.27</v>
      </c>
      <c r="T295">
        <v>4</v>
      </c>
      <c r="U295">
        <v>886523.42821100005</v>
      </c>
      <c r="V295">
        <v>4274.7976580000004</v>
      </c>
      <c r="W295">
        <v>294</v>
      </c>
      <c r="X295">
        <v>0</v>
      </c>
      <c r="Y295">
        <v>293</v>
      </c>
      <c r="Z295" t="s">
        <v>6966</v>
      </c>
      <c r="AA295" t="s">
        <v>6966</v>
      </c>
      <c r="AB295" t="s">
        <v>6966</v>
      </c>
      <c r="AC295" t="s">
        <v>6966</v>
      </c>
      <c r="AD295" t="s">
        <v>6966</v>
      </c>
      <c r="AE295" t="s">
        <v>6966</v>
      </c>
      <c r="AF295" t="s">
        <v>6966</v>
      </c>
      <c r="AG295" t="s">
        <v>6966</v>
      </c>
      <c r="AH295" t="s">
        <v>6966</v>
      </c>
      <c r="AI295" t="s">
        <v>6966</v>
      </c>
      <c r="AJ295" t="s">
        <v>6966</v>
      </c>
      <c r="AK295" t="s">
        <v>6966</v>
      </c>
      <c r="AL295" t="s">
        <v>6966</v>
      </c>
      <c r="AM295" t="s">
        <v>6966</v>
      </c>
      <c r="AN295" t="s">
        <v>6966</v>
      </c>
      <c r="AO295" t="s">
        <v>6966</v>
      </c>
      <c r="AP295" t="s">
        <v>6966</v>
      </c>
      <c r="AQ295" t="s">
        <v>6966</v>
      </c>
      <c r="AR295" t="s">
        <v>6966</v>
      </c>
      <c r="AS295" t="s">
        <v>6966</v>
      </c>
      <c r="AT295" t="s">
        <v>6966</v>
      </c>
      <c r="AU295" t="s">
        <v>6966</v>
      </c>
      <c r="AV295" t="s">
        <v>6966</v>
      </c>
      <c r="AW295" t="s">
        <v>6966</v>
      </c>
      <c r="AX295" t="s">
        <v>6966</v>
      </c>
      <c r="AY295" t="s">
        <v>6966</v>
      </c>
      <c r="AZ295">
        <v>4.1761E-2</v>
      </c>
      <c r="BA295">
        <v>8.6000000000000003E-5</v>
      </c>
    </row>
    <row r="296" spans="1:53" x14ac:dyDescent="0.25">
      <c r="A296">
        <v>294</v>
      </c>
      <c r="B296" t="s">
        <v>7625</v>
      </c>
      <c r="C296">
        <v>503095</v>
      </c>
      <c r="D296" t="s">
        <v>7731</v>
      </c>
      <c r="E296" t="s">
        <v>3220</v>
      </c>
      <c r="F296">
        <v>1786011.5</v>
      </c>
      <c r="G296">
        <v>8148.8125</v>
      </c>
      <c r="H296">
        <v>1090</v>
      </c>
      <c r="I296">
        <v>1304</v>
      </c>
      <c r="J296">
        <v>23463</v>
      </c>
      <c r="K296" t="s">
        <v>1770</v>
      </c>
      <c r="L296">
        <v>4</v>
      </c>
      <c r="M296">
        <v>4</v>
      </c>
      <c r="N296">
        <v>23463</v>
      </c>
      <c r="O296">
        <v>1066</v>
      </c>
      <c r="P296" t="s">
        <v>3212</v>
      </c>
      <c r="Q296">
        <v>6.4</v>
      </c>
      <c r="R296">
        <v>89.5</v>
      </c>
      <c r="S296">
        <v>1.37</v>
      </c>
      <c r="T296">
        <v>19</v>
      </c>
      <c r="U296">
        <v>1786011.4996799999</v>
      </c>
      <c r="V296">
        <v>8148.8122739999999</v>
      </c>
      <c r="W296">
        <v>295</v>
      </c>
      <c r="X296">
        <v>0</v>
      </c>
      <c r="Y296">
        <v>294</v>
      </c>
      <c r="Z296" t="s">
        <v>6966</v>
      </c>
      <c r="AA296" t="s">
        <v>6966</v>
      </c>
      <c r="AB296" t="s">
        <v>6966</v>
      </c>
      <c r="AC296" t="s">
        <v>6966</v>
      </c>
      <c r="AD296" t="s">
        <v>6966</v>
      </c>
      <c r="AE296" t="s">
        <v>6966</v>
      </c>
      <c r="AF296" t="s">
        <v>6966</v>
      </c>
      <c r="AG296" t="s">
        <v>6966</v>
      </c>
      <c r="AH296" t="s">
        <v>6966</v>
      </c>
      <c r="AI296" t="s">
        <v>6966</v>
      </c>
      <c r="AJ296" t="s">
        <v>6966</v>
      </c>
      <c r="AK296" t="s">
        <v>6966</v>
      </c>
      <c r="AL296" t="s">
        <v>6966</v>
      </c>
      <c r="AM296" t="s">
        <v>6966</v>
      </c>
      <c r="AN296" t="s">
        <v>6966</v>
      </c>
      <c r="AO296" t="s">
        <v>6966</v>
      </c>
      <c r="AP296" t="s">
        <v>6966</v>
      </c>
      <c r="AQ296" t="s">
        <v>6966</v>
      </c>
      <c r="AR296" t="s">
        <v>6966</v>
      </c>
      <c r="AS296" t="s">
        <v>6966</v>
      </c>
      <c r="AT296" t="s">
        <v>6966</v>
      </c>
      <c r="AU296" t="s">
        <v>6966</v>
      </c>
      <c r="AV296" t="s">
        <v>6966</v>
      </c>
      <c r="AW296" t="s">
        <v>6966</v>
      </c>
      <c r="AX296" t="s">
        <v>6966</v>
      </c>
      <c r="AY296" t="s">
        <v>6966</v>
      </c>
      <c r="AZ296">
        <v>8.2628999999999994E-2</v>
      </c>
      <c r="BA296">
        <v>1.74E-4</v>
      </c>
    </row>
    <row r="297" spans="1:53" x14ac:dyDescent="0.25">
      <c r="A297">
        <v>295</v>
      </c>
      <c r="B297" t="s">
        <v>7625</v>
      </c>
      <c r="C297">
        <v>501081</v>
      </c>
      <c r="D297" t="s">
        <v>87</v>
      </c>
      <c r="E297" t="s">
        <v>1808</v>
      </c>
      <c r="F297">
        <v>276601.75</v>
      </c>
      <c r="G297">
        <v>3073.1909179999998</v>
      </c>
      <c r="H297">
        <v>1091</v>
      </c>
      <c r="I297">
        <v>1305</v>
      </c>
      <c r="J297">
        <v>24009</v>
      </c>
      <c r="K297" t="s">
        <v>87</v>
      </c>
      <c r="L297">
        <v>5</v>
      </c>
      <c r="M297">
        <v>5</v>
      </c>
      <c r="N297">
        <v>24009</v>
      </c>
      <c r="O297">
        <v>1067</v>
      </c>
      <c r="P297" t="s">
        <v>3212</v>
      </c>
      <c r="Q297">
        <v>0</v>
      </c>
      <c r="R297">
        <v>0</v>
      </c>
      <c r="S297">
        <v>0</v>
      </c>
      <c r="T297">
        <v>0</v>
      </c>
      <c r="U297">
        <v>276601.757331</v>
      </c>
      <c r="V297">
        <v>3073.1909329999999</v>
      </c>
      <c r="W297">
        <v>296</v>
      </c>
      <c r="X297">
        <v>0</v>
      </c>
      <c r="Y297">
        <v>295</v>
      </c>
      <c r="Z297" t="s">
        <v>6966</v>
      </c>
      <c r="AA297" t="s">
        <v>6966</v>
      </c>
      <c r="AB297" t="s">
        <v>6966</v>
      </c>
      <c r="AC297" t="s">
        <v>6966</v>
      </c>
      <c r="AD297" t="s">
        <v>6966</v>
      </c>
      <c r="AE297" t="s">
        <v>6966</v>
      </c>
      <c r="AF297" t="s">
        <v>6966</v>
      </c>
      <c r="AG297" t="s">
        <v>6966</v>
      </c>
      <c r="AH297" t="s">
        <v>6966</v>
      </c>
      <c r="AI297" t="s">
        <v>6966</v>
      </c>
      <c r="AJ297" t="s">
        <v>6966</v>
      </c>
      <c r="AK297" t="s">
        <v>6966</v>
      </c>
      <c r="AL297" t="s">
        <v>6966</v>
      </c>
      <c r="AM297" t="s">
        <v>6966</v>
      </c>
      <c r="AN297" t="s">
        <v>6966</v>
      </c>
      <c r="AO297" t="s">
        <v>6966</v>
      </c>
      <c r="AP297" t="s">
        <v>6966</v>
      </c>
      <c r="AQ297" t="s">
        <v>6966</v>
      </c>
      <c r="AR297" t="s">
        <v>6966</v>
      </c>
      <c r="AS297" t="s">
        <v>6966</v>
      </c>
      <c r="AT297" t="s">
        <v>6966</v>
      </c>
      <c r="AU297" t="s">
        <v>6966</v>
      </c>
      <c r="AV297" t="s">
        <v>6966</v>
      </c>
      <c r="AW297" t="s">
        <v>6966</v>
      </c>
      <c r="AX297" t="s">
        <v>6966</v>
      </c>
      <c r="AY297" t="s">
        <v>6966</v>
      </c>
      <c r="AZ297">
        <v>3.1050000000000001E-2</v>
      </c>
      <c r="BA297">
        <v>2.6999999999999999E-5</v>
      </c>
    </row>
    <row r="298" spans="1:53" x14ac:dyDescent="0.25">
      <c r="A298">
        <v>296</v>
      </c>
      <c r="B298" t="s">
        <v>7625</v>
      </c>
      <c r="C298">
        <v>503007</v>
      </c>
      <c r="D298" t="s">
        <v>236</v>
      </c>
      <c r="E298" t="s">
        <v>3220</v>
      </c>
      <c r="F298">
        <v>1974547</v>
      </c>
      <c r="G298">
        <v>6712.5039059999999</v>
      </c>
      <c r="H298">
        <v>1092</v>
      </c>
      <c r="I298">
        <v>1306</v>
      </c>
      <c r="J298">
        <v>23427</v>
      </c>
      <c r="K298" t="s">
        <v>1752</v>
      </c>
      <c r="L298">
        <v>4</v>
      </c>
      <c r="M298">
        <v>4</v>
      </c>
      <c r="N298">
        <v>23427</v>
      </c>
      <c r="O298">
        <v>1068</v>
      </c>
      <c r="P298" t="s">
        <v>3212</v>
      </c>
      <c r="Q298">
        <v>0.1</v>
      </c>
      <c r="R298">
        <v>1.98</v>
      </c>
      <c r="S298">
        <v>0.18</v>
      </c>
      <c r="T298">
        <v>5</v>
      </c>
      <c r="U298">
        <v>1974546.8973900001</v>
      </c>
      <c r="V298">
        <v>6712.5036090000003</v>
      </c>
      <c r="W298">
        <v>297</v>
      </c>
      <c r="X298">
        <v>0</v>
      </c>
      <c r="Y298">
        <v>296</v>
      </c>
      <c r="Z298" t="s">
        <v>6966</v>
      </c>
      <c r="AA298" t="s">
        <v>6966</v>
      </c>
      <c r="AB298" t="s">
        <v>6966</v>
      </c>
      <c r="AC298" t="s">
        <v>6966</v>
      </c>
      <c r="AD298" t="s">
        <v>6966</v>
      </c>
      <c r="AE298" t="s">
        <v>6966</v>
      </c>
      <c r="AF298" t="s">
        <v>6966</v>
      </c>
      <c r="AG298" t="s">
        <v>6966</v>
      </c>
      <c r="AH298" t="s">
        <v>6966</v>
      </c>
      <c r="AI298" t="s">
        <v>6966</v>
      </c>
      <c r="AJ298" t="s">
        <v>6966</v>
      </c>
      <c r="AK298" t="s">
        <v>6966</v>
      </c>
      <c r="AL298" t="s">
        <v>6966</v>
      </c>
      <c r="AM298" t="s">
        <v>6966</v>
      </c>
      <c r="AN298" t="s">
        <v>6966</v>
      </c>
      <c r="AO298" t="s">
        <v>6966</v>
      </c>
      <c r="AP298" t="s">
        <v>6966</v>
      </c>
      <c r="AQ298" t="s">
        <v>6966</v>
      </c>
      <c r="AR298" t="s">
        <v>6966</v>
      </c>
      <c r="AS298" t="s">
        <v>6966</v>
      </c>
      <c r="AT298" t="s">
        <v>6966</v>
      </c>
      <c r="AU298" t="s">
        <v>6966</v>
      </c>
      <c r="AV298" t="s">
        <v>6966</v>
      </c>
      <c r="AW298" t="s">
        <v>6966</v>
      </c>
      <c r="AX298" t="s">
        <v>6966</v>
      </c>
      <c r="AY298" t="s">
        <v>6966</v>
      </c>
      <c r="AZ298">
        <v>6.7984000000000003E-2</v>
      </c>
      <c r="BA298">
        <v>1.92E-4</v>
      </c>
    </row>
    <row r="299" spans="1:53" x14ac:dyDescent="0.25">
      <c r="A299">
        <v>297</v>
      </c>
      <c r="B299" t="s">
        <v>7625</v>
      </c>
      <c r="C299">
        <v>503046</v>
      </c>
      <c r="D299" t="s">
        <v>257</v>
      </c>
      <c r="E299" t="s">
        <v>3220</v>
      </c>
      <c r="F299">
        <v>8774100</v>
      </c>
      <c r="G299">
        <v>17875.865234000001</v>
      </c>
      <c r="H299">
        <v>1093</v>
      </c>
      <c r="I299">
        <v>1307</v>
      </c>
      <c r="J299">
        <v>23467</v>
      </c>
      <c r="K299" t="s">
        <v>1771</v>
      </c>
      <c r="L299">
        <v>4</v>
      </c>
      <c r="M299">
        <v>4</v>
      </c>
      <c r="N299">
        <v>23467</v>
      </c>
      <c r="O299">
        <v>1069</v>
      </c>
      <c r="P299" t="s">
        <v>3212</v>
      </c>
      <c r="Q299">
        <v>0.5</v>
      </c>
      <c r="R299">
        <v>28.43</v>
      </c>
      <c r="S299">
        <v>0.35</v>
      </c>
      <c r="T299">
        <v>29</v>
      </c>
      <c r="U299">
        <v>8774099.7474199999</v>
      </c>
      <c r="V299">
        <v>17875.86477</v>
      </c>
      <c r="W299">
        <v>298</v>
      </c>
      <c r="X299">
        <v>0</v>
      </c>
      <c r="Y299">
        <v>297</v>
      </c>
      <c r="Z299" t="s">
        <v>6966</v>
      </c>
      <c r="AA299" t="s">
        <v>6966</v>
      </c>
      <c r="AB299" t="s">
        <v>6966</v>
      </c>
      <c r="AC299" t="s">
        <v>6966</v>
      </c>
      <c r="AD299" t="s">
        <v>6966</v>
      </c>
      <c r="AE299" t="s">
        <v>6966</v>
      </c>
      <c r="AF299" t="s">
        <v>6966</v>
      </c>
      <c r="AG299" t="s">
        <v>6966</v>
      </c>
      <c r="AH299" t="s">
        <v>6966</v>
      </c>
      <c r="AI299" t="s">
        <v>6966</v>
      </c>
      <c r="AJ299" t="s">
        <v>6966</v>
      </c>
      <c r="AK299" t="s">
        <v>6966</v>
      </c>
      <c r="AL299" t="s">
        <v>6966</v>
      </c>
      <c r="AM299" t="s">
        <v>6966</v>
      </c>
      <c r="AN299" t="s">
        <v>6966</v>
      </c>
      <c r="AO299" t="s">
        <v>6966</v>
      </c>
      <c r="AP299" t="s">
        <v>6966</v>
      </c>
      <c r="AQ299" t="s">
        <v>6966</v>
      </c>
      <c r="AR299" t="s">
        <v>6966</v>
      </c>
      <c r="AS299" t="s">
        <v>6966</v>
      </c>
      <c r="AT299" t="s">
        <v>6966</v>
      </c>
      <c r="AU299" t="s">
        <v>6966</v>
      </c>
      <c r="AV299" t="s">
        <v>6966</v>
      </c>
      <c r="AW299" t="s">
        <v>6966</v>
      </c>
      <c r="AX299" t="s">
        <v>6966</v>
      </c>
      <c r="AY299" t="s">
        <v>6966</v>
      </c>
      <c r="AZ299">
        <v>0.18224599999999999</v>
      </c>
      <c r="BA299">
        <v>8.5300000000000003E-4</v>
      </c>
    </row>
    <row r="300" spans="1:53" x14ac:dyDescent="0.25">
      <c r="A300">
        <v>298</v>
      </c>
      <c r="B300" t="s">
        <v>7625</v>
      </c>
      <c r="C300">
        <v>503018</v>
      </c>
      <c r="D300" t="s">
        <v>234</v>
      </c>
      <c r="E300" t="s">
        <v>3220</v>
      </c>
      <c r="F300">
        <v>2499892.25</v>
      </c>
      <c r="G300">
        <v>6703.5371089999999</v>
      </c>
      <c r="H300">
        <v>1094</v>
      </c>
      <c r="I300">
        <v>1308</v>
      </c>
      <c r="J300">
        <v>23423</v>
      </c>
      <c r="K300" t="s">
        <v>1751</v>
      </c>
      <c r="L300">
        <v>4</v>
      </c>
      <c r="M300">
        <v>4</v>
      </c>
      <c r="N300">
        <v>23423</v>
      </c>
      <c r="O300">
        <v>1070</v>
      </c>
      <c r="P300" t="s">
        <v>3212</v>
      </c>
      <c r="Q300">
        <v>6.6</v>
      </c>
      <c r="R300">
        <v>60.67</v>
      </c>
      <c r="S300">
        <v>1.61</v>
      </c>
      <c r="T300">
        <v>15</v>
      </c>
      <c r="U300">
        <v>2499892.2072600001</v>
      </c>
      <c r="V300">
        <v>6703.5369620000001</v>
      </c>
      <c r="W300">
        <v>299</v>
      </c>
      <c r="X300">
        <v>0</v>
      </c>
      <c r="Y300">
        <v>298</v>
      </c>
      <c r="Z300" t="s">
        <v>6966</v>
      </c>
      <c r="AA300" t="s">
        <v>6966</v>
      </c>
      <c r="AB300" t="s">
        <v>6966</v>
      </c>
      <c r="AC300" t="s">
        <v>6966</v>
      </c>
      <c r="AD300" t="s">
        <v>6966</v>
      </c>
      <c r="AE300" t="s">
        <v>6966</v>
      </c>
      <c r="AF300" t="s">
        <v>6966</v>
      </c>
      <c r="AG300" t="s">
        <v>6966</v>
      </c>
      <c r="AH300" t="s">
        <v>6966</v>
      </c>
      <c r="AI300" t="s">
        <v>6966</v>
      </c>
      <c r="AJ300" t="s">
        <v>6966</v>
      </c>
      <c r="AK300" t="s">
        <v>6966</v>
      </c>
      <c r="AL300" t="s">
        <v>6966</v>
      </c>
      <c r="AM300" t="s">
        <v>6966</v>
      </c>
      <c r="AN300" t="s">
        <v>6966</v>
      </c>
      <c r="AO300" t="s">
        <v>6966</v>
      </c>
      <c r="AP300" t="s">
        <v>6966</v>
      </c>
      <c r="AQ300" t="s">
        <v>6966</v>
      </c>
      <c r="AR300" t="s">
        <v>6966</v>
      </c>
      <c r="AS300" t="s">
        <v>6966</v>
      </c>
      <c r="AT300" t="s">
        <v>6966</v>
      </c>
      <c r="AU300" t="s">
        <v>6966</v>
      </c>
      <c r="AV300" t="s">
        <v>6966</v>
      </c>
      <c r="AW300" t="s">
        <v>6966</v>
      </c>
      <c r="AX300" t="s">
        <v>6966</v>
      </c>
      <c r="AY300" t="s">
        <v>6966</v>
      </c>
      <c r="AZ300">
        <v>6.6765000000000005E-2</v>
      </c>
      <c r="BA300">
        <v>2.43E-4</v>
      </c>
    </row>
    <row r="301" spans="1:53" x14ac:dyDescent="0.25">
      <c r="A301">
        <v>299</v>
      </c>
      <c r="B301" t="s">
        <v>7625</v>
      </c>
      <c r="C301">
        <v>503082</v>
      </c>
      <c r="D301" t="s">
        <v>190</v>
      </c>
      <c r="E301" t="s">
        <v>3220</v>
      </c>
      <c r="F301">
        <v>3928190.25</v>
      </c>
      <c r="G301">
        <v>10409.037109000001</v>
      </c>
      <c r="H301">
        <v>1095</v>
      </c>
      <c r="I301">
        <v>1309</v>
      </c>
      <c r="J301">
        <v>23171</v>
      </c>
      <c r="K301" t="s">
        <v>1713</v>
      </c>
      <c r="L301">
        <v>4</v>
      </c>
      <c r="M301">
        <v>4</v>
      </c>
      <c r="N301">
        <v>23171</v>
      </c>
      <c r="O301">
        <v>1071</v>
      </c>
      <c r="P301" t="s">
        <v>3212</v>
      </c>
      <c r="Q301">
        <v>1.4</v>
      </c>
      <c r="R301">
        <v>10.220000000000001</v>
      </c>
      <c r="S301">
        <v>0.45</v>
      </c>
      <c r="T301">
        <v>3</v>
      </c>
      <c r="U301">
        <v>3928190.3058500001</v>
      </c>
      <c r="V301">
        <v>10409.036512999999</v>
      </c>
      <c r="W301">
        <v>300</v>
      </c>
      <c r="X301">
        <v>0</v>
      </c>
      <c r="Y301">
        <v>299</v>
      </c>
      <c r="Z301" t="s">
        <v>6966</v>
      </c>
      <c r="AA301" t="s">
        <v>6966</v>
      </c>
      <c r="AB301" t="s">
        <v>6966</v>
      </c>
      <c r="AC301" t="s">
        <v>6966</v>
      </c>
      <c r="AD301" t="s">
        <v>6966</v>
      </c>
      <c r="AE301" t="s">
        <v>6966</v>
      </c>
      <c r="AF301" t="s">
        <v>6966</v>
      </c>
      <c r="AG301" t="s">
        <v>6966</v>
      </c>
      <c r="AH301" t="s">
        <v>6966</v>
      </c>
      <c r="AI301" t="s">
        <v>6966</v>
      </c>
      <c r="AJ301" t="s">
        <v>6966</v>
      </c>
      <c r="AK301" t="s">
        <v>6966</v>
      </c>
      <c r="AL301" t="s">
        <v>6966</v>
      </c>
      <c r="AM301" t="s">
        <v>6966</v>
      </c>
      <c r="AN301" t="s">
        <v>6966</v>
      </c>
      <c r="AO301" t="s">
        <v>6966</v>
      </c>
      <c r="AP301" t="s">
        <v>6966</v>
      </c>
      <c r="AQ301" t="s">
        <v>6966</v>
      </c>
      <c r="AR301" t="s">
        <v>6966</v>
      </c>
      <c r="AS301" t="s">
        <v>6966</v>
      </c>
      <c r="AT301" t="s">
        <v>6966</v>
      </c>
      <c r="AU301" t="s">
        <v>6966</v>
      </c>
      <c r="AV301" t="s">
        <v>6966</v>
      </c>
      <c r="AW301" t="s">
        <v>6966</v>
      </c>
      <c r="AX301" t="s">
        <v>6966</v>
      </c>
      <c r="AY301" t="s">
        <v>6966</v>
      </c>
      <c r="AZ301">
        <v>0.10431799999999999</v>
      </c>
      <c r="BA301">
        <v>3.8200000000000002E-4</v>
      </c>
    </row>
    <row r="302" spans="1:53" x14ac:dyDescent="0.25">
      <c r="A302">
        <v>300</v>
      </c>
      <c r="B302" t="s">
        <v>7625</v>
      </c>
      <c r="C302">
        <v>503064</v>
      </c>
      <c r="D302" t="s">
        <v>335</v>
      </c>
      <c r="E302" t="s">
        <v>3220</v>
      </c>
      <c r="F302">
        <v>1776934.375</v>
      </c>
      <c r="G302">
        <v>6129.1420900000003</v>
      </c>
      <c r="H302">
        <v>1096</v>
      </c>
      <c r="I302">
        <v>1310</v>
      </c>
      <c r="J302">
        <v>24377</v>
      </c>
      <c r="K302" t="s">
        <v>7732</v>
      </c>
      <c r="L302">
        <v>4</v>
      </c>
      <c r="M302">
        <v>4</v>
      </c>
      <c r="N302">
        <v>24377</v>
      </c>
      <c r="O302">
        <v>1072</v>
      </c>
      <c r="P302" t="s">
        <v>3212</v>
      </c>
      <c r="Q302">
        <v>11.2</v>
      </c>
      <c r="R302">
        <v>2244.35</v>
      </c>
      <c r="S302">
        <v>3.82</v>
      </c>
      <c r="T302">
        <v>10</v>
      </c>
      <c r="U302">
        <v>1776934.3544399999</v>
      </c>
      <c r="V302">
        <v>6129.1422130000001</v>
      </c>
      <c r="W302">
        <v>301</v>
      </c>
      <c r="X302">
        <v>0</v>
      </c>
      <c r="Y302">
        <v>300</v>
      </c>
      <c r="Z302" t="s">
        <v>6966</v>
      </c>
      <c r="AA302" t="s">
        <v>6966</v>
      </c>
      <c r="AB302" t="s">
        <v>6966</v>
      </c>
      <c r="AC302" t="s">
        <v>6966</v>
      </c>
      <c r="AD302" t="s">
        <v>6966</v>
      </c>
      <c r="AE302" t="s">
        <v>6966</v>
      </c>
      <c r="AF302" t="s">
        <v>6966</v>
      </c>
      <c r="AG302" t="s">
        <v>6966</v>
      </c>
      <c r="AH302" t="s">
        <v>6966</v>
      </c>
      <c r="AI302" t="s">
        <v>6966</v>
      </c>
      <c r="AJ302" t="s">
        <v>6966</v>
      </c>
      <c r="AK302" t="s">
        <v>6966</v>
      </c>
      <c r="AL302" t="s">
        <v>6966</v>
      </c>
      <c r="AM302" t="s">
        <v>6966</v>
      </c>
      <c r="AN302" t="s">
        <v>6966</v>
      </c>
      <c r="AO302" t="s">
        <v>6966</v>
      </c>
      <c r="AP302" t="s">
        <v>6966</v>
      </c>
      <c r="AQ302" t="s">
        <v>6966</v>
      </c>
      <c r="AR302" t="s">
        <v>6966</v>
      </c>
      <c r="AS302" t="s">
        <v>6966</v>
      </c>
      <c r="AT302" t="s">
        <v>6966</v>
      </c>
      <c r="AU302" t="s">
        <v>6966</v>
      </c>
      <c r="AV302" t="s">
        <v>6966</v>
      </c>
      <c r="AW302" t="s">
        <v>6966</v>
      </c>
      <c r="AX302" t="s">
        <v>6966</v>
      </c>
      <c r="AY302" t="s">
        <v>6966</v>
      </c>
      <c r="AZ302">
        <v>6.0227000000000003E-2</v>
      </c>
      <c r="BA302">
        <v>1.73E-4</v>
      </c>
    </row>
    <row r="303" spans="1:53" x14ac:dyDescent="0.25">
      <c r="A303">
        <v>301</v>
      </c>
      <c r="B303" t="s">
        <v>7625</v>
      </c>
      <c r="C303">
        <v>401020</v>
      </c>
      <c r="D303" t="s">
        <v>1054</v>
      </c>
      <c r="E303" t="s">
        <v>3221</v>
      </c>
      <c r="F303">
        <v>2358981.25</v>
      </c>
      <c r="G303">
        <v>7152.658203</v>
      </c>
      <c r="H303">
        <v>1097</v>
      </c>
      <c r="I303">
        <v>1311</v>
      </c>
      <c r="J303">
        <v>52247</v>
      </c>
      <c r="K303" t="s">
        <v>2400</v>
      </c>
      <c r="L303">
        <v>16</v>
      </c>
      <c r="M303">
        <v>16</v>
      </c>
      <c r="N303">
        <v>52247</v>
      </c>
      <c r="O303">
        <v>1073</v>
      </c>
      <c r="P303" t="s">
        <v>3214</v>
      </c>
      <c r="Q303">
        <v>0</v>
      </c>
      <c r="R303">
        <v>0</v>
      </c>
      <c r="S303">
        <v>0</v>
      </c>
      <c r="T303">
        <v>0</v>
      </c>
      <c r="U303">
        <v>2358981.1428299998</v>
      </c>
      <c r="V303">
        <v>7152.658934</v>
      </c>
      <c r="W303">
        <v>302</v>
      </c>
      <c r="X303">
        <v>0</v>
      </c>
      <c r="Y303">
        <v>301</v>
      </c>
      <c r="Z303" t="s">
        <v>6966</v>
      </c>
      <c r="AA303" t="s">
        <v>6966</v>
      </c>
      <c r="AB303" t="s">
        <v>6966</v>
      </c>
      <c r="AC303" t="s">
        <v>6966</v>
      </c>
      <c r="AD303" t="s">
        <v>6966</v>
      </c>
      <c r="AE303" t="s">
        <v>6966</v>
      </c>
      <c r="AF303" t="s">
        <v>6966</v>
      </c>
      <c r="AG303" t="s">
        <v>6966</v>
      </c>
      <c r="AH303" t="s">
        <v>6966</v>
      </c>
      <c r="AI303" t="s">
        <v>6966</v>
      </c>
      <c r="AJ303" t="s">
        <v>6966</v>
      </c>
      <c r="AK303" t="s">
        <v>6966</v>
      </c>
      <c r="AL303" t="s">
        <v>6966</v>
      </c>
      <c r="AM303" t="s">
        <v>6966</v>
      </c>
      <c r="AN303" t="s">
        <v>6966</v>
      </c>
      <c r="AO303" t="s">
        <v>6966</v>
      </c>
      <c r="AP303" t="s">
        <v>6966</v>
      </c>
      <c r="AQ303" t="s">
        <v>6966</v>
      </c>
      <c r="AR303" t="s">
        <v>6966</v>
      </c>
      <c r="AS303" t="s">
        <v>6966</v>
      </c>
      <c r="AT303" t="s">
        <v>6966</v>
      </c>
      <c r="AU303" t="s">
        <v>6966</v>
      </c>
      <c r="AV303" t="s">
        <v>6966</v>
      </c>
      <c r="AW303" t="s">
        <v>6966</v>
      </c>
      <c r="AX303" t="s">
        <v>6966</v>
      </c>
      <c r="AY303" t="s">
        <v>6966</v>
      </c>
      <c r="AZ303">
        <v>6.9875000000000007E-2</v>
      </c>
      <c r="BA303">
        <v>2.2900000000000001E-4</v>
      </c>
    </row>
    <row r="304" spans="1:53" x14ac:dyDescent="0.25">
      <c r="A304">
        <v>302</v>
      </c>
      <c r="B304" t="s">
        <v>7625</v>
      </c>
      <c r="C304">
        <v>503092</v>
      </c>
      <c r="D304" t="s">
        <v>245</v>
      </c>
      <c r="E304" t="s">
        <v>3220</v>
      </c>
      <c r="F304">
        <v>1171022.625</v>
      </c>
      <c r="G304">
        <v>5900.4472660000001</v>
      </c>
      <c r="H304">
        <v>1098</v>
      </c>
      <c r="I304">
        <v>1312</v>
      </c>
      <c r="J304">
        <v>23443</v>
      </c>
      <c r="K304" t="s">
        <v>1759</v>
      </c>
      <c r="L304">
        <v>4</v>
      </c>
      <c r="M304">
        <v>4</v>
      </c>
      <c r="N304">
        <v>23443</v>
      </c>
      <c r="O304">
        <v>1074</v>
      </c>
      <c r="P304" t="s">
        <v>3212</v>
      </c>
      <c r="Q304">
        <v>7.2</v>
      </c>
      <c r="R304">
        <v>131.31</v>
      </c>
      <c r="S304">
        <v>1.52</v>
      </c>
      <c r="T304">
        <v>28</v>
      </c>
      <c r="U304">
        <v>1171022.68936</v>
      </c>
      <c r="V304">
        <v>5900.4475499999999</v>
      </c>
      <c r="W304">
        <v>303</v>
      </c>
      <c r="X304">
        <v>0</v>
      </c>
      <c r="Y304">
        <v>302</v>
      </c>
      <c r="Z304" t="s">
        <v>6966</v>
      </c>
      <c r="AA304" t="s">
        <v>6966</v>
      </c>
      <c r="AB304" t="s">
        <v>6966</v>
      </c>
      <c r="AC304" t="s">
        <v>6966</v>
      </c>
      <c r="AD304" t="s">
        <v>6966</v>
      </c>
      <c r="AE304" t="s">
        <v>6966</v>
      </c>
      <c r="AF304" t="s">
        <v>6966</v>
      </c>
      <c r="AG304" t="s">
        <v>6966</v>
      </c>
      <c r="AH304" t="s">
        <v>6966</v>
      </c>
      <c r="AI304" t="s">
        <v>6966</v>
      </c>
      <c r="AJ304" t="s">
        <v>6966</v>
      </c>
      <c r="AK304" t="s">
        <v>6966</v>
      </c>
      <c r="AL304" t="s">
        <v>6966</v>
      </c>
      <c r="AM304" t="s">
        <v>6966</v>
      </c>
      <c r="AN304" t="s">
        <v>6966</v>
      </c>
      <c r="AO304" t="s">
        <v>6966</v>
      </c>
      <c r="AP304" t="s">
        <v>6966</v>
      </c>
      <c r="AQ304" t="s">
        <v>6966</v>
      </c>
      <c r="AR304" t="s">
        <v>6966</v>
      </c>
      <c r="AS304" t="s">
        <v>6966</v>
      </c>
      <c r="AT304" t="s">
        <v>6966</v>
      </c>
      <c r="AU304" t="s">
        <v>6966</v>
      </c>
      <c r="AV304" t="s">
        <v>6966</v>
      </c>
      <c r="AW304" t="s">
        <v>6966</v>
      </c>
      <c r="AX304" t="s">
        <v>6966</v>
      </c>
      <c r="AY304" t="s">
        <v>6966</v>
      </c>
      <c r="AZ304">
        <v>6.0787000000000001E-2</v>
      </c>
      <c r="BA304">
        <v>1.1400000000000001E-4</v>
      </c>
    </row>
    <row r="305" spans="1:53" x14ac:dyDescent="0.25">
      <c r="A305">
        <v>303</v>
      </c>
      <c r="B305" t="s">
        <v>7625</v>
      </c>
      <c r="C305">
        <v>503067</v>
      </c>
      <c r="D305" t="s">
        <v>232</v>
      </c>
      <c r="E305" t="s">
        <v>3220</v>
      </c>
      <c r="F305">
        <v>2083029.5</v>
      </c>
      <c r="G305">
        <v>6938.6279299999997</v>
      </c>
      <c r="H305">
        <v>1099</v>
      </c>
      <c r="I305">
        <v>1313</v>
      </c>
      <c r="J305">
        <v>23419</v>
      </c>
      <c r="K305" t="s">
        <v>1749</v>
      </c>
      <c r="L305">
        <v>4</v>
      </c>
      <c r="M305">
        <v>4</v>
      </c>
      <c r="N305">
        <v>23419</v>
      </c>
      <c r="O305">
        <v>1075</v>
      </c>
      <c r="P305" t="s">
        <v>3212</v>
      </c>
      <c r="Q305">
        <v>3.3</v>
      </c>
      <c r="R305">
        <v>27.84</v>
      </c>
      <c r="S305">
        <v>0.69</v>
      </c>
      <c r="T305">
        <v>6</v>
      </c>
      <c r="U305">
        <v>2083029.56822</v>
      </c>
      <c r="V305">
        <v>6938.6270720000002</v>
      </c>
      <c r="W305">
        <v>304</v>
      </c>
      <c r="X305">
        <v>0</v>
      </c>
      <c r="Y305">
        <v>303</v>
      </c>
      <c r="Z305" t="s">
        <v>6966</v>
      </c>
      <c r="AA305" t="s">
        <v>6966</v>
      </c>
      <c r="AB305" t="s">
        <v>6966</v>
      </c>
      <c r="AC305" t="s">
        <v>6966</v>
      </c>
      <c r="AD305" t="s">
        <v>6966</v>
      </c>
      <c r="AE305" t="s">
        <v>6966</v>
      </c>
      <c r="AF305" t="s">
        <v>6966</v>
      </c>
      <c r="AG305" t="s">
        <v>6966</v>
      </c>
      <c r="AH305" t="s">
        <v>6966</v>
      </c>
      <c r="AI305" t="s">
        <v>6966</v>
      </c>
      <c r="AJ305" t="s">
        <v>6966</v>
      </c>
      <c r="AK305" t="s">
        <v>6966</v>
      </c>
      <c r="AL305" t="s">
        <v>6966</v>
      </c>
      <c r="AM305" t="s">
        <v>6966</v>
      </c>
      <c r="AN305" t="s">
        <v>6966</v>
      </c>
      <c r="AO305" t="s">
        <v>6966</v>
      </c>
      <c r="AP305" t="s">
        <v>6966</v>
      </c>
      <c r="AQ305" t="s">
        <v>6966</v>
      </c>
      <c r="AR305" t="s">
        <v>6966</v>
      </c>
      <c r="AS305" t="s">
        <v>6966</v>
      </c>
      <c r="AT305" t="s">
        <v>6966</v>
      </c>
      <c r="AU305" t="s">
        <v>6966</v>
      </c>
      <c r="AV305" t="s">
        <v>6966</v>
      </c>
      <c r="AW305" t="s">
        <v>6966</v>
      </c>
      <c r="AX305" t="s">
        <v>6966</v>
      </c>
      <c r="AY305" t="s">
        <v>6966</v>
      </c>
      <c r="AZ305">
        <v>7.0919999999999997E-2</v>
      </c>
      <c r="BA305">
        <v>2.03E-4</v>
      </c>
    </row>
    <row r="306" spans="1:53" x14ac:dyDescent="0.25">
      <c r="A306">
        <v>304</v>
      </c>
      <c r="B306" t="s">
        <v>7625</v>
      </c>
      <c r="C306">
        <v>503045</v>
      </c>
      <c r="D306" t="s">
        <v>248</v>
      </c>
      <c r="E306" t="s">
        <v>3220</v>
      </c>
      <c r="F306">
        <v>597876</v>
      </c>
      <c r="G306">
        <v>3970.6826169999999</v>
      </c>
      <c r="H306">
        <v>1100</v>
      </c>
      <c r="I306">
        <v>1314</v>
      </c>
      <c r="J306">
        <v>23449</v>
      </c>
      <c r="K306" t="s">
        <v>1762</v>
      </c>
      <c r="L306">
        <v>4</v>
      </c>
      <c r="M306">
        <v>4</v>
      </c>
      <c r="N306">
        <v>23449</v>
      </c>
      <c r="O306">
        <v>1076</v>
      </c>
      <c r="P306" t="s">
        <v>3212</v>
      </c>
      <c r="Q306">
        <v>9.4</v>
      </c>
      <c r="R306">
        <v>62.5</v>
      </c>
      <c r="S306">
        <v>2.13</v>
      </c>
      <c r="T306">
        <v>14</v>
      </c>
      <c r="U306">
        <v>597875.95944300003</v>
      </c>
      <c r="V306">
        <v>3970.6827619999999</v>
      </c>
      <c r="W306">
        <v>305</v>
      </c>
      <c r="X306">
        <v>0</v>
      </c>
      <c r="Y306">
        <v>304</v>
      </c>
      <c r="Z306" t="s">
        <v>6966</v>
      </c>
      <c r="AA306" t="s">
        <v>6966</v>
      </c>
      <c r="AB306" t="s">
        <v>6966</v>
      </c>
      <c r="AC306" t="s">
        <v>6966</v>
      </c>
      <c r="AD306" t="s">
        <v>6966</v>
      </c>
      <c r="AE306" t="s">
        <v>6966</v>
      </c>
      <c r="AF306" t="s">
        <v>6966</v>
      </c>
      <c r="AG306" t="s">
        <v>6966</v>
      </c>
      <c r="AH306" t="s">
        <v>6966</v>
      </c>
      <c r="AI306" t="s">
        <v>6966</v>
      </c>
      <c r="AJ306" t="s">
        <v>6966</v>
      </c>
      <c r="AK306" t="s">
        <v>6966</v>
      </c>
      <c r="AL306" t="s">
        <v>6966</v>
      </c>
      <c r="AM306" t="s">
        <v>6966</v>
      </c>
      <c r="AN306" t="s">
        <v>6966</v>
      </c>
      <c r="AO306" t="s">
        <v>6966</v>
      </c>
      <c r="AP306" t="s">
        <v>6966</v>
      </c>
      <c r="AQ306" t="s">
        <v>6966</v>
      </c>
      <c r="AR306" t="s">
        <v>6966</v>
      </c>
      <c r="AS306" t="s">
        <v>6966</v>
      </c>
      <c r="AT306" t="s">
        <v>6966</v>
      </c>
      <c r="AU306" t="s">
        <v>6966</v>
      </c>
      <c r="AV306" t="s">
        <v>6966</v>
      </c>
      <c r="AW306" t="s">
        <v>6966</v>
      </c>
      <c r="AX306" t="s">
        <v>6966</v>
      </c>
      <c r="AY306" t="s">
        <v>6966</v>
      </c>
      <c r="AZ306">
        <v>4.0661999999999997E-2</v>
      </c>
      <c r="BA306">
        <v>5.8E-5</v>
      </c>
    </row>
    <row r="307" spans="1:53" x14ac:dyDescent="0.25">
      <c r="A307">
        <v>305</v>
      </c>
      <c r="B307" t="s">
        <v>7625</v>
      </c>
      <c r="C307">
        <v>503062</v>
      </c>
      <c r="D307" t="s">
        <v>230</v>
      </c>
      <c r="E307" t="s">
        <v>3220</v>
      </c>
      <c r="F307">
        <v>1297634</v>
      </c>
      <c r="G307">
        <v>5525.2690430000002</v>
      </c>
      <c r="H307">
        <v>1101</v>
      </c>
      <c r="I307">
        <v>1315</v>
      </c>
      <c r="J307">
        <v>23415</v>
      </c>
      <c r="K307" t="s">
        <v>1747</v>
      </c>
      <c r="L307">
        <v>4</v>
      </c>
      <c r="M307">
        <v>4</v>
      </c>
      <c r="N307">
        <v>23415</v>
      </c>
      <c r="O307">
        <v>1077</v>
      </c>
      <c r="P307" t="s">
        <v>3212</v>
      </c>
      <c r="Q307">
        <v>0</v>
      </c>
      <c r="R307">
        <v>0</v>
      </c>
      <c r="S307">
        <v>0.09</v>
      </c>
      <c r="T307">
        <v>0</v>
      </c>
      <c r="U307">
        <v>1297634.0061000001</v>
      </c>
      <c r="V307">
        <v>5525.2692239999997</v>
      </c>
      <c r="W307">
        <v>306</v>
      </c>
      <c r="X307">
        <v>0</v>
      </c>
      <c r="Y307">
        <v>305</v>
      </c>
      <c r="Z307" t="s">
        <v>6966</v>
      </c>
      <c r="AA307" t="s">
        <v>6966</v>
      </c>
      <c r="AB307" t="s">
        <v>6966</v>
      </c>
      <c r="AC307" t="s">
        <v>6966</v>
      </c>
      <c r="AD307" t="s">
        <v>6966</v>
      </c>
      <c r="AE307" t="s">
        <v>6966</v>
      </c>
      <c r="AF307" t="s">
        <v>6966</v>
      </c>
      <c r="AG307" t="s">
        <v>6966</v>
      </c>
      <c r="AH307" t="s">
        <v>6966</v>
      </c>
      <c r="AI307" t="s">
        <v>6966</v>
      </c>
      <c r="AJ307" t="s">
        <v>6966</v>
      </c>
      <c r="AK307" t="s">
        <v>6966</v>
      </c>
      <c r="AL307" t="s">
        <v>6966</v>
      </c>
      <c r="AM307" t="s">
        <v>6966</v>
      </c>
      <c r="AN307" t="s">
        <v>6966</v>
      </c>
      <c r="AO307" t="s">
        <v>6966</v>
      </c>
      <c r="AP307" t="s">
        <v>6966</v>
      </c>
      <c r="AQ307" t="s">
        <v>6966</v>
      </c>
      <c r="AR307" t="s">
        <v>6966</v>
      </c>
      <c r="AS307" t="s">
        <v>6966</v>
      </c>
      <c r="AT307" t="s">
        <v>6966</v>
      </c>
      <c r="AU307" t="s">
        <v>6966</v>
      </c>
      <c r="AV307" t="s">
        <v>6966</v>
      </c>
      <c r="AW307" t="s">
        <v>6966</v>
      </c>
      <c r="AX307" t="s">
        <v>6966</v>
      </c>
      <c r="AY307" t="s">
        <v>6966</v>
      </c>
      <c r="AZ307">
        <v>5.6618000000000002E-2</v>
      </c>
      <c r="BA307">
        <v>1.26E-4</v>
      </c>
    </row>
    <row r="308" spans="1:53" x14ac:dyDescent="0.25">
      <c r="A308">
        <v>306</v>
      </c>
      <c r="B308" t="s">
        <v>7625</v>
      </c>
      <c r="C308">
        <v>503080</v>
      </c>
      <c r="D308" t="s">
        <v>238</v>
      </c>
      <c r="E308" t="s">
        <v>3220</v>
      </c>
      <c r="F308">
        <v>999259.6875</v>
      </c>
      <c r="G308">
        <v>5266.2963870000003</v>
      </c>
      <c r="H308">
        <v>1102</v>
      </c>
      <c r="I308">
        <v>1316</v>
      </c>
      <c r="J308">
        <v>23431</v>
      </c>
      <c r="K308" t="s">
        <v>7733</v>
      </c>
      <c r="L308">
        <v>4</v>
      </c>
      <c r="M308">
        <v>4</v>
      </c>
      <c r="N308">
        <v>23431</v>
      </c>
      <c r="O308">
        <v>1078</v>
      </c>
      <c r="P308" t="s">
        <v>3212</v>
      </c>
      <c r="Q308">
        <v>0</v>
      </c>
      <c r="R308">
        <v>0</v>
      </c>
      <c r="S308">
        <v>0.05</v>
      </c>
      <c r="T308">
        <v>0</v>
      </c>
      <c r="U308">
        <v>999259.64296700002</v>
      </c>
      <c r="V308">
        <v>5266.2972289999998</v>
      </c>
      <c r="W308">
        <v>307</v>
      </c>
      <c r="X308">
        <v>0</v>
      </c>
      <c r="Y308">
        <v>306</v>
      </c>
      <c r="Z308" t="s">
        <v>6966</v>
      </c>
      <c r="AA308" t="s">
        <v>6966</v>
      </c>
      <c r="AB308" t="s">
        <v>6966</v>
      </c>
      <c r="AC308" t="s">
        <v>6966</v>
      </c>
      <c r="AD308" t="s">
        <v>6966</v>
      </c>
      <c r="AE308" t="s">
        <v>6966</v>
      </c>
      <c r="AF308" t="s">
        <v>6966</v>
      </c>
      <c r="AG308" t="s">
        <v>6966</v>
      </c>
      <c r="AH308" t="s">
        <v>6966</v>
      </c>
      <c r="AI308" t="s">
        <v>6966</v>
      </c>
      <c r="AJ308" t="s">
        <v>6966</v>
      </c>
      <c r="AK308" t="s">
        <v>6966</v>
      </c>
      <c r="AL308" t="s">
        <v>6966</v>
      </c>
      <c r="AM308" t="s">
        <v>6966</v>
      </c>
      <c r="AN308" t="s">
        <v>6966</v>
      </c>
      <c r="AO308" t="s">
        <v>6966</v>
      </c>
      <c r="AP308" t="s">
        <v>6966</v>
      </c>
      <c r="AQ308" t="s">
        <v>6966</v>
      </c>
      <c r="AR308" t="s">
        <v>6966</v>
      </c>
      <c r="AS308" t="s">
        <v>6966</v>
      </c>
      <c r="AT308" t="s">
        <v>6966</v>
      </c>
      <c r="AU308" t="s">
        <v>6966</v>
      </c>
      <c r="AV308" t="s">
        <v>6966</v>
      </c>
      <c r="AW308" t="s">
        <v>6966</v>
      </c>
      <c r="AX308" t="s">
        <v>6966</v>
      </c>
      <c r="AY308" t="s">
        <v>6966</v>
      </c>
      <c r="AZ308">
        <v>5.1764999999999999E-2</v>
      </c>
      <c r="BA308">
        <v>9.7E-5</v>
      </c>
    </row>
    <row r="309" spans="1:53" x14ac:dyDescent="0.25">
      <c r="A309">
        <v>307</v>
      </c>
      <c r="B309" t="s">
        <v>7625</v>
      </c>
      <c r="C309">
        <v>503065</v>
      </c>
      <c r="D309" t="s">
        <v>279</v>
      </c>
      <c r="E309" t="s">
        <v>3220</v>
      </c>
      <c r="F309">
        <v>9404623</v>
      </c>
      <c r="G309">
        <v>18402.087890999999</v>
      </c>
      <c r="H309">
        <v>1103</v>
      </c>
      <c r="I309">
        <v>1317</v>
      </c>
      <c r="J309">
        <v>23655</v>
      </c>
      <c r="K309" t="s">
        <v>279</v>
      </c>
      <c r="L309">
        <v>4</v>
      </c>
      <c r="M309">
        <v>4</v>
      </c>
      <c r="N309">
        <v>23655</v>
      </c>
      <c r="O309">
        <v>1079</v>
      </c>
      <c r="P309" t="s">
        <v>3212</v>
      </c>
      <c r="Q309">
        <v>3.5</v>
      </c>
      <c r="R309">
        <v>45.13</v>
      </c>
      <c r="S309">
        <v>0.83</v>
      </c>
      <c r="T309">
        <v>11</v>
      </c>
      <c r="U309">
        <v>9404622.7647799999</v>
      </c>
      <c r="V309">
        <v>18402.085620000002</v>
      </c>
      <c r="W309">
        <v>308</v>
      </c>
      <c r="X309">
        <v>0</v>
      </c>
      <c r="Y309">
        <v>307</v>
      </c>
      <c r="Z309" t="s">
        <v>6966</v>
      </c>
      <c r="AA309" t="s">
        <v>6966</v>
      </c>
      <c r="AB309" t="s">
        <v>6966</v>
      </c>
      <c r="AC309" t="s">
        <v>6966</v>
      </c>
      <c r="AD309" t="s">
        <v>6966</v>
      </c>
      <c r="AE309" t="s">
        <v>6966</v>
      </c>
      <c r="AF309" t="s">
        <v>6966</v>
      </c>
      <c r="AG309" t="s">
        <v>6966</v>
      </c>
      <c r="AH309" t="s">
        <v>6966</v>
      </c>
      <c r="AI309" t="s">
        <v>6966</v>
      </c>
      <c r="AJ309" t="s">
        <v>6966</v>
      </c>
      <c r="AK309" t="s">
        <v>6966</v>
      </c>
      <c r="AL309" t="s">
        <v>6966</v>
      </c>
      <c r="AM309" t="s">
        <v>6966</v>
      </c>
      <c r="AN309" t="s">
        <v>6966</v>
      </c>
      <c r="AO309" t="s">
        <v>6966</v>
      </c>
      <c r="AP309" t="s">
        <v>6966</v>
      </c>
      <c r="AQ309" t="s">
        <v>6966</v>
      </c>
      <c r="AR309" t="s">
        <v>6966</v>
      </c>
      <c r="AS309" t="s">
        <v>6966</v>
      </c>
      <c r="AT309" t="s">
        <v>6966</v>
      </c>
      <c r="AU309" t="s">
        <v>6966</v>
      </c>
      <c r="AV309" t="s">
        <v>6966</v>
      </c>
      <c r="AW309" t="s">
        <v>6966</v>
      </c>
      <c r="AX309" t="s">
        <v>6966</v>
      </c>
      <c r="AY309" t="s">
        <v>6966</v>
      </c>
      <c r="AZ309">
        <v>0.185165</v>
      </c>
      <c r="BA309">
        <v>9.1399999999999999E-4</v>
      </c>
    </row>
    <row r="310" spans="1:53" x14ac:dyDescent="0.25">
      <c r="A310">
        <v>308</v>
      </c>
      <c r="B310" t="s">
        <v>7625</v>
      </c>
      <c r="C310">
        <v>503061</v>
      </c>
      <c r="D310" t="s">
        <v>239</v>
      </c>
      <c r="E310" t="s">
        <v>3220</v>
      </c>
      <c r="F310">
        <v>2522450.75</v>
      </c>
      <c r="G310">
        <v>7166.6513670000004</v>
      </c>
      <c r="H310">
        <v>1104</v>
      </c>
      <c r="I310">
        <v>1318</v>
      </c>
      <c r="J310">
        <v>23433</v>
      </c>
      <c r="K310" t="s">
        <v>1755</v>
      </c>
      <c r="L310">
        <v>4</v>
      </c>
      <c r="M310">
        <v>4</v>
      </c>
      <c r="N310">
        <v>23433</v>
      </c>
      <c r="O310">
        <v>1080</v>
      </c>
      <c r="P310" t="s">
        <v>3212</v>
      </c>
      <c r="Q310">
        <v>7.7</v>
      </c>
      <c r="R310">
        <v>46.66</v>
      </c>
      <c r="S310">
        <v>1.96</v>
      </c>
      <c r="T310">
        <v>12</v>
      </c>
      <c r="U310">
        <v>2522450.7065300001</v>
      </c>
      <c r="V310">
        <v>7166.6513459999996</v>
      </c>
      <c r="W310">
        <v>309</v>
      </c>
      <c r="X310">
        <v>0</v>
      </c>
      <c r="Y310">
        <v>308</v>
      </c>
      <c r="Z310" t="s">
        <v>6966</v>
      </c>
      <c r="AA310" t="s">
        <v>6966</v>
      </c>
      <c r="AB310" t="s">
        <v>6966</v>
      </c>
      <c r="AC310" t="s">
        <v>6966</v>
      </c>
      <c r="AD310" t="s">
        <v>6966</v>
      </c>
      <c r="AE310" t="s">
        <v>6966</v>
      </c>
      <c r="AF310" t="s">
        <v>6966</v>
      </c>
      <c r="AG310" t="s">
        <v>6966</v>
      </c>
      <c r="AH310" t="s">
        <v>6966</v>
      </c>
      <c r="AI310" t="s">
        <v>6966</v>
      </c>
      <c r="AJ310" t="s">
        <v>6966</v>
      </c>
      <c r="AK310" t="s">
        <v>6966</v>
      </c>
      <c r="AL310" t="s">
        <v>6966</v>
      </c>
      <c r="AM310" t="s">
        <v>6966</v>
      </c>
      <c r="AN310" t="s">
        <v>6966</v>
      </c>
      <c r="AO310" t="s">
        <v>6966</v>
      </c>
      <c r="AP310" t="s">
        <v>6966</v>
      </c>
      <c r="AQ310" t="s">
        <v>6966</v>
      </c>
      <c r="AR310" t="s">
        <v>6966</v>
      </c>
      <c r="AS310" t="s">
        <v>6966</v>
      </c>
      <c r="AT310" t="s">
        <v>6966</v>
      </c>
      <c r="AU310" t="s">
        <v>6966</v>
      </c>
      <c r="AV310" t="s">
        <v>6966</v>
      </c>
      <c r="AW310" t="s">
        <v>6966</v>
      </c>
      <c r="AX310" t="s">
        <v>6966</v>
      </c>
      <c r="AY310" t="s">
        <v>6966</v>
      </c>
      <c r="AZ310">
        <v>7.1919999999999998E-2</v>
      </c>
      <c r="BA310">
        <v>2.4499999999999999E-4</v>
      </c>
    </row>
    <row r="311" spans="1:53" x14ac:dyDescent="0.25">
      <c r="A311">
        <v>309</v>
      </c>
      <c r="B311" t="s">
        <v>7625</v>
      </c>
      <c r="C311">
        <v>503014</v>
      </c>
      <c r="D311" t="s">
        <v>285</v>
      </c>
      <c r="E311" t="s">
        <v>3220</v>
      </c>
      <c r="F311">
        <v>0</v>
      </c>
      <c r="G311">
        <v>27423.21875</v>
      </c>
      <c r="H311">
        <v>1105</v>
      </c>
      <c r="I311">
        <v>1319</v>
      </c>
      <c r="J311">
        <v>23679</v>
      </c>
      <c r="K311" t="s">
        <v>1792</v>
      </c>
      <c r="L311">
        <v>4</v>
      </c>
      <c r="M311">
        <v>4</v>
      </c>
      <c r="N311">
        <v>23679</v>
      </c>
      <c r="O311">
        <v>1081</v>
      </c>
      <c r="P311" t="s">
        <v>3212</v>
      </c>
      <c r="Q311">
        <v>1.4</v>
      </c>
      <c r="R311">
        <v>48.41</v>
      </c>
      <c r="S311">
        <v>0.31</v>
      </c>
      <c r="T311">
        <v>11</v>
      </c>
      <c r="U311">
        <v>0</v>
      </c>
      <c r="V311">
        <v>27423.219293999999</v>
      </c>
      <c r="W311">
        <v>310</v>
      </c>
      <c r="X311">
        <v>0</v>
      </c>
      <c r="Y311">
        <v>309</v>
      </c>
      <c r="Z311" t="s">
        <v>6966</v>
      </c>
      <c r="AA311" t="s">
        <v>6966</v>
      </c>
      <c r="AB311" t="s">
        <v>6966</v>
      </c>
      <c r="AC311" t="s">
        <v>6966</v>
      </c>
      <c r="AD311" t="s">
        <v>6966</v>
      </c>
      <c r="AE311" t="s">
        <v>6966</v>
      </c>
      <c r="AF311" t="s">
        <v>6966</v>
      </c>
      <c r="AG311" t="s">
        <v>6966</v>
      </c>
      <c r="AH311" t="s">
        <v>6966</v>
      </c>
      <c r="AI311" t="s">
        <v>6966</v>
      </c>
      <c r="AJ311" t="s">
        <v>6966</v>
      </c>
      <c r="AK311" t="s">
        <v>6966</v>
      </c>
      <c r="AL311" t="s">
        <v>6966</v>
      </c>
      <c r="AM311" t="s">
        <v>6966</v>
      </c>
      <c r="AN311" t="s">
        <v>6966</v>
      </c>
      <c r="AO311" t="s">
        <v>6966</v>
      </c>
      <c r="AP311" t="s">
        <v>6966</v>
      </c>
      <c r="AQ311" t="s">
        <v>6966</v>
      </c>
      <c r="AR311" t="s">
        <v>6966</v>
      </c>
      <c r="AS311" t="s">
        <v>6966</v>
      </c>
      <c r="AT311" t="s">
        <v>6966</v>
      </c>
      <c r="AU311" t="s">
        <v>6966</v>
      </c>
      <c r="AV311" t="s">
        <v>6966</v>
      </c>
      <c r="AW311" t="s">
        <v>6966</v>
      </c>
      <c r="AX311" t="s">
        <v>6966</v>
      </c>
      <c r="AY311" t="s">
        <v>6966</v>
      </c>
      <c r="AZ311">
        <v>0.27407999999999999</v>
      </c>
      <c r="BA311">
        <v>1.8320000000000001E-3</v>
      </c>
    </row>
    <row r="312" spans="1:53" x14ac:dyDescent="0.25">
      <c r="A312">
        <v>310</v>
      </c>
      <c r="B312" t="s">
        <v>7625</v>
      </c>
      <c r="C312">
        <v>503040</v>
      </c>
      <c r="D312" t="s">
        <v>229</v>
      </c>
      <c r="E312" t="s">
        <v>3220</v>
      </c>
      <c r="F312">
        <v>7515005.5</v>
      </c>
      <c r="G312">
        <v>18659.556640999999</v>
      </c>
      <c r="H312">
        <v>1106</v>
      </c>
      <c r="I312">
        <v>1320</v>
      </c>
      <c r="J312">
        <v>23413</v>
      </c>
      <c r="K312" t="s">
        <v>1746</v>
      </c>
      <c r="L312">
        <v>4</v>
      </c>
      <c r="M312">
        <v>4</v>
      </c>
      <c r="N312">
        <v>23413</v>
      </c>
      <c r="O312">
        <v>1082</v>
      </c>
      <c r="P312" t="s">
        <v>3212</v>
      </c>
      <c r="Q312">
        <v>5.2</v>
      </c>
      <c r="R312">
        <v>42.78</v>
      </c>
      <c r="S312">
        <v>1.1299999999999999</v>
      </c>
      <c r="T312">
        <v>9</v>
      </c>
      <c r="U312">
        <v>7515005.5976200001</v>
      </c>
      <c r="V312">
        <v>18659.555862000001</v>
      </c>
      <c r="W312">
        <v>311</v>
      </c>
      <c r="X312">
        <v>0</v>
      </c>
      <c r="Y312">
        <v>310</v>
      </c>
      <c r="Z312" t="s">
        <v>6966</v>
      </c>
      <c r="AA312" t="s">
        <v>6966</v>
      </c>
      <c r="AB312" t="s">
        <v>6966</v>
      </c>
      <c r="AC312" t="s">
        <v>6966</v>
      </c>
      <c r="AD312" t="s">
        <v>6966</v>
      </c>
      <c r="AE312" t="s">
        <v>6966</v>
      </c>
      <c r="AF312" t="s">
        <v>6966</v>
      </c>
      <c r="AG312" t="s">
        <v>6966</v>
      </c>
      <c r="AH312" t="s">
        <v>6966</v>
      </c>
      <c r="AI312" t="s">
        <v>6966</v>
      </c>
      <c r="AJ312" t="s">
        <v>6966</v>
      </c>
      <c r="AK312" t="s">
        <v>6966</v>
      </c>
      <c r="AL312" t="s">
        <v>6966</v>
      </c>
      <c r="AM312" t="s">
        <v>6966</v>
      </c>
      <c r="AN312" t="s">
        <v>6966</v>
      </c>
      <c r="AO312" t="s">
        <v>6966</v>
      </c>
      <c r="AP312" t="s">
        <v>6966</v>
      </c>
      <c r="AQ312" t="s">
        <v>6966</v>
      </c>
      <c r="AR312" t="s">
        <v>6966</v>
      </c>
      <c r="AS312" t="s">
        <v>6966</v>
      </c>
      <c r="AT312" t="s">
        <v>6966</v>
      </c>
      <c r="AU312" t="s">
        <v>6966</v>
      </c>
      <c r="AV312" t="s">
        <v>6966</v>
      </c>
      <c r="AW312" t="s">
        <v>6966</v>
      </c>
      <c r="AX312" t="s">
        <v>6966</v>
      </c>
      <c r="AY312" t="s">
        <v>6966</v>
      </c>
      <c r="AZ312">
        <v>0.18973300000000001</v>
      </c>
      <c r="BA312">
        <v>7.3099999999999999E-4</v>
      </c>
    </row>
    <row r="313" spans="1:53" x14ac:dyDescent="0.25">
      <c r="A313">
        <v>311</v>
      </c>
      <c r="B313" t="s">
        <v>7625</v>
      </c>
      <c r="C313">
        <v>503016</v>
      </c>
      <c r="D313" t="s">
        <v>281</v>
      </c>
      <c r="E313" t="s">
        <v>3220</v>
      </c>
      <c r="F313">
        <v>5549585</v>
      </c>
      <c r="G313">
        <v>12837.576171999999</v>
      </c>
      <c r="H313">
        <v>1107</v>
      </c>
      <c r="I313">
        <v>1321</v>
      </c>
      <c r="J313">
        <v>23663</v>
      </c>
      <c r="K313" t="s">
        <v>1789</v>
      </c>
      <c r="L313">
        <v>4</v>
      </c>
      <c r="M313">
        <v>4</v>
      </c>
      <c r="N313">
        <v>23663</v>
      </c>
      <c r="O313">
        <v>1083</v>
      </c>
      <c r="P313" t="s">
        <v>3212</v>
      </c>
      <c r="Q313">
        <v>3.7</v>
      </c>
      <c r="R313">
        <v>46.45</v>
      </c>
      <c r="S313">
        <v>1.22</v>
      </c>
      <c r="T313">
        <v>15</v>
      </c>
      <c r="U313">
        <v>5549584.9299900001</v>
      </c>
      <c r="V313">
        <v>12837.574466</v>
      </c>
      <c r="W313">
        <v>312</v>
      </c>
      <c r="X313">
        <v>0</v>
      </c>
      <c r="Y313">
        <v>311</v>
      </c>
      <c r="Z313" t="s">
        <v>6966</v>
      </c>
      <c r="AA313" t="s">
        <v>6966</v>
      </c>
      <c r="AB313" t="s">
        <v>6966</v>
      </c>
      <c r="AC313" t="s">
        <v>6966</v>
      </c>
      <c r="AD313" t="s">
        <v>6966</v>
      </c>
      <c r="AE313" t="s">
        <v>6966</v>
      </c>
      <c r="AF313" t="s">
        <v>6966</v>
      </c>
      <c r="AG313" t="s">
        <v>6966</v>
      </c>
      <c r="AH313" t="s">
        <v>6966</v>
      </c>
      <c r="AI313" t="s">
        <v>6966</v>
      </c>
      <c r="AJ313" t="s">
        <v>6966</v>
      </c>
      <c r="AK313" t="s">
        <v>6966</v>
      </c>
      <c r="AL313" t="s">
        <v>6966</v>
      </c>
      <c r="AM313" t="s">
        <v>6966</v>
      </c>
      <c r="AN313" t="s">
        <v>6966</v>
      </c>
      <c r="AO313" t="s">
        <v>6966</v>
      </c>
      <c r="AP313" t="s">
        <v>6966</v>
      </c>
      <c r="AQ313" t="s">
        <v>6966</v>
      </c>
      <c r="AR313" t="s">
        <v>6966</v>
      </c>
      <c r="AS313" t="s">
        <v>6966</v>
      </c>
      <c r="AT313" t="s">
        <v>6966</v>
      </c>
      <c r="AU313" t="s">
        <v>6966</v>
      </c>
      <c r="AV313" t="s">
        <v>6966</v>
      </c>
      <c r="AW313" t="s">
        <v>6966</v>
      </c>
      <c r="AX313" t="s">
        <v>6966</v>
      </c>
      <c r="AY313" t="s">
        <v>6966</v>
      </c>
      <c r="AZ313">
        <v>0.12753500000000001</v>
      </c>
      <c r="BA313">
        <v>5.3899999999999998E-4</v>
      </c>
    </row>
    <row r="314" spans="1:53" x14ac:dyDescent="0.25">
      <c r="A314">
        <v>312</v>
      </c>
      <c r="B314" t="s">
        <v>7625</v>
      </c>
      <c r="C314">
        <v>503038</v>
      </c>
      <c r="D314" t="s">
        <v>240</v>
      </c>
      <c r="E314" t="s">
        <v>3220</v>
      </c>
      <c r="F314">
        <v>2011766.125</v>
      </c>
      <c r="G314">
        <v>6305.1987300000001</v>
      </c>
      <c r="H314">
        <v>1108</v>
      </c>
      <c r="I314">
        <v>1322</v>
      </c>
      <c r="J314">
        <v>23435</v>
      </c>
      <c r="K314" t="s">
        <v>240</v>
      </c>
      <c r="L314">
        <v>4</v>
      </c>
      <c r="M314">
        <v>4</v>
      </c>
      <c r="N314">
        <v>23435</v>
      </c>
      <c r="O314">
        <v>1084</v>
      </c>
      <c r="P314" t="s">
        <v>3212</v>
      </c>
      <c r="Q314">
        <v>3.4</v>
      </c>
      <c r="R314">
        <v>74.209999999999994</v>
      </c>
      <c r="S314">
        <v>0.87</v>
      </c>
      <c r="T314">
        <v>19</v>
      </c>
      <c r="U314">
        <v>2011766.04153</v>
      </c>
      <c r="V314">
        <v>6305.1988739999997</v>
      </c>
      <c r="W314">
        <v>313</v>
      </c>
      <c r="X314">
        <v>0</v>
      </c>
      <c r="Y314">
        <v>312</v>
      </c>
      <c r="Z314" t="s">
        <v>6966</v>
      </c>
      <c r="AA314" t="s">
        <v>6966</v>
      </c>
      <c r="AB314" t="s">
        <v>6966</v>
      </c>
      <c r="AC314" t="s">
        <v>6966</v>
      </c>
      <c r="AD314" t="s">
        <v>6966</v>
      </c>
      <c r="AE314" t="s">
        <v>6966</v>
      </c>
      <c r="AF314" t="s">
        <v>6966</v>
      </c>
      <c r="AG314" t="s">
        <v>6966</v>
      </c>
      <c r="AH314" t="s">
        <v>6966</v>
      </c>
      <c r="AI314" t="s">
        <v>6966</v>
      </c>
      <c r="AJ314" t="s">
        <v>6966</v>
      </c>
      <c r="AK314" t="s">
        <v>6966</v>
      </c>
      <c r="AL314" t="s">
        <v>6966</v>
      </c>
      <c r="AM314" t="s">
        <v>6966</v>
      </c>
      <c r="AN314" t="s">
        <v>6966</v>
      </c>
      <c r="AO314" t="s">
        <v>6966</v>
      </c>
      <c r="AP314" t="s">
        <v>6966</v>
      </c>
      <c r="AQ314" t="s">
        <v>6966</v>
      </c>
      <c r="AR314" t="s">
        <v>6966</v>
      </c>
      <c r="AS314" t="s">
        <v>6966</v>
      </c>
      <c r="AT314" t="s">
        <v>6966</v>
      </c>
      <c r="AU314" t="s">
        <v>6966</v>
      </c>
      <c r="AV314" t="s">
        <v>6966</v>
      </c>
      <c r="AW314" t="s">
        <v>6966</v>
      </c>
      <c r="AX314" t="s">
        <v>6966</v>
      </c>
      <c r="AY314" t="s">
        <v>6966</v>
      </c>
      <c r="AZ314">
        <v>6.2473000000000001E-2</v>
      </c>
      <c r="BA314">
        <v>1.9599999999999999E-4</v>
      </c>
    </row>
    <row r="315" spans="1:53" x14ac:dyDescent="0.25">
      <c r="A315">
        <v>313</v>
      </c>
      <c r="B315" t="s">
        <v>7625</v>
      </c>
      <c r="C315">
        <v>704020</v>
      </c>
      <c r="D315" t="s">
        <v>957</v>
      </c>
      <c r="E315" t="s">
        <v>7685</v>
      </c>
      <c r="F315">
        <v>7050248</v>
      </c>
      <c r="G315">
        <v>18413.824218999998</v>
      </c>
      <c r="H315">
        <v>263</v>
      </c>
      <c r="I315">
        <v>434</v>
      </c>
      <c r="J315">
        <v>37377</v>
      </c>
      <c r="K315" t="s">
        <v>2319</v>
      </c>
      <c r="L315">
        <v>14</v>
      </c>
      <c r="M315">
        <v>14</v>
      </c>
      <c r="N315">
        <v>37377</v>
      </c>
      <c r="O315">
        <v>252</v>
      </c>
      <c r="P315" t="s">
        <v>3215</v>
      </c>
      <c r="Q315">
        <v>1.4</v>
      </c>
      <c r="R315">
        <v>62.46</v>
      </c>
      <c r="S315">
        <v>0.27</v>
      </c>
      <c r="T315">
        <v>12</v>
      </c>
      <c r="U315">
        <v>7050248.1181199998</v>
      </c>
      <c r="V315">
        <v>18413.823584999998</v>
      </c>
      <c r="W315">
        <v>314</v>
      </c>
      <c r="X315">
        <v>0</v>
      </c>
      <c r="Y315">
        <v>313</v>
      </c>
      <c r="Z315" t="s">
        <v>6966</v>
      </c>
      <c r="AA315" t="s">
        <v>6966</v>
      </c>
      <c r="AB315" t="s">
        <v>6966</v>
      </c>
      <c r="AC315" t="s">
        <v>6966</v>
      </c>
      <c r="AD315" t="s">
        <v>6966</v>
      </c>
      <c r="AE315" t="s">
        <v>6966</v>
      </c>
      <c r="AF315" t="s">
        <v>6966</v>
      </c>
      <c r="AG315" t="s">
        <v>6966</v>
      </c>
      <c r="AH315" t="s">
        <v>6966</v>
      </c>
      <c r="AI315" t="s">
        <v>6966</v>
      </c>
      <c r="AJ315" t="s">
        <v>6966</v>
      </c>
      <c r="AK315" t="s">
        <v>6966</v>
      </c>
      <c r="AL315" t="s">
        <v>6966</v>
      </c>
      <c r="AM315" t="s">
        <v>6966</v>
      </c>
      <c r="AN315" t="s">
        <v>6966</v>
      </c>
      <c r="AO315" t="s">
        <v>6966</v>
      </c>
      <c r="AP315" t="s">
        <v>6966</v>
      </c>
      <c r="AQ315" t="s">
        <v>6966</v>
      </c>
      <c r="AR315" t="s">
        <v>6966</v>
      </c>
      <c r="AS315" t="s">
        <v>6966</v>
      </c>
      <c r="AT315" t="s">
        <v>6966</v>
      </c>
      <c r="AU315" t="s">
        <v>6966</v>
      </c>
      <c r="AV315" t="s">
        <v>6966</v>
      </c>
      <c r="AW315" t="s">
        <v>6966</v>
      </c>
      <c r="AX315" t="s">
        <v>6966</v>
      </c>
      <c r="AY315" t="s">
        <v>6966</v>
      </c>
      <c r="AZ315">
        <v>0.18399599999999999</v>
      </c>
      <c r="BA315">
        <v>6.9099999999999999E-4</v>
      </c>
    </row>
    <row r="316" spans="1:53" x14ac:dyDescent="0.25">
      <c r="A316">
        <v>314</v>
      </c>
      <c r="B316" t="s">
        <v>7625</v>
      </c>
      <c r="C316">
        <v>706036</v>
      </c>
      <c r="D316" t="s">
        <v>605</v>
      </c>
      <c r="E316" t="s">
        <v>597</v>
      </c>
      <c r="F316">
        <v>1055076.625</v>
      </c>
      <c r="G316">
        <v>5338.1367190000001</v>
      </c>
      <c r="H316">
        <v>264</v>
      </c>
      <c r="I316">
        <v>435</v>
      </c>
      <c r="J316">
        <v>33127</v>
      </c>
      <c r="K316" t="s">
        <v>2050</v>
      </c>
      <c r="L316">
        <v>10</v>
      </c>
      <c r="M316">
        <v>10</v>
      </c>
      <c r="N316">
        <v>33127</v>
      </c>
      <c r="O316">
        <v>253</v>
      </c>
      <c r="P316" t="s">
        <v>3215</v>
      </c>
      <c r="Q316">
        <v>0</v>
      </c>
      <c r="R316">
        <v>0</v>
      </c>
      <c r="S316">
        <v>0</v>
      </c>
      <c r="T316">
        <v>0</v>
      </c>
      <c r="U316">
        <v>1055076.5589000001</v>
      </c>
      <c r="V316">
        <v>5338.136888</v>
      </c>
      <c r="W316">
        <v>315</v>
      </c>
      <c r="X316">
        <v>0</v>
      </c>
      <c r="Y316">
        <v>314</v>
      </c>
      <c r="Z316" t="s">
        <v>6966</v>
      </c>
      <c r="AA316" t="s">
        <v>6966</v>
      </c>
      <c r="AB316" t="s">
        <v>6966</v>
      </c>
      <c r="AC316" t="s">
        <v>6966</v>
      </c>
      <c r="AD316" t="s">
        <v>6966</v>
      </c>
      <c r="AE316" t="s">
        <v>6966</v>
      </c>
      <c r="AF316" t="s">
        <v>6966</v>
      </c>
      <c r="AG316" t="s">
        <v>6966</v>
      </c>
      <c r="AH316" t="s">
        <v>6966</v>
      </c>
      <c r="AI316" t="s">
        <v>6966</v>
      </c>
      <c r="AJ316" t="s">
        <v>6966</v>
      </c>
      <c r="AK316" t="s">
        <v>6966</v>
      </c>
      <c r="AL316" t="s">
        <v>6966</v>
      </c>
      <c r="AM316" t="s">
        <v>6966</v>
      </c>
      <c r="AN316" t="s">
        <v>6966</v>
      </c>
      <c r="AO316" t="s">
        <v>6966</v>
      </c>
      <c r="AP316" t="s">
        <v>6966</v>
      </c>
      <c r="AQ316" t="s">
        <v>6966</v>
      </c>
      <c r="AR316" t="s">
        <v>6966</v>
      </c>
      <c r="AS316" t="s">
        <v>6966</v>
      </c>
      <c r="AT316" t="s">
        <v>6966</v>
      </c>
      <c r="AU316" t="s">
        <v>6966</v>
      </c>
      <c r="AV316" t="s">
        <v>6966</v>
      </c>
      <c r="AW316" t="s">
        <v>6966</v>
      </c>
      <c r="AX316" t="s">
        <v>6966</v>
      </c>
      <c r="AY316" t="s">
        <v>6966</v>
      </c>
      <c r="AZ316">
        <v>5.1728000000000003E-2</v>
      </c>
      <c r="BA316">
        <v>1.03E-4</v>
      </c>
    </row>
    <row r="317" spans="1:53" x14ac:dyDescent="0.25">
      <c r="A317">
        <v>315</v>
      </c>
      <c r="B317" t="s">
        <v>7625</v>
      </c>
      <c r="C317">
        <v>704036</v>
      </c>
      <c r="D317" t="s">
        <v>920</v>
      </c>
      <c r="E317" t="s">
        <v>7685</v>
      </c>
      <c r="F317">
        <v>1211327</v>
      </c>
      <c r="G317">
        <v>5775.7084960000002</v>
      </c>
      <c r="H317">
        <v>265</v>
      </c>
      <c r="I317">
        <v>436</v>
      </c>
      <c r="J317">
        <v>37314</v>
      </c>
      <c r="K317" t="s">
        <v>920</v>
      </c>
      <c r="L317">
        <v>14</v>
      </c>
      <c r="M317">
        <v>14</v>
      </c>
      <c r="N317">
        <v>37314</v>
      </c>
      <c r="O317">
        <v>254</v>
      </c>
      <c r="P317" t="s">
        <v>3215</v>
      </c>
      <c r="Q317">
        <v>1</v>
      </c>
      <c r="R317">
        <v>0</v>
      </c>
      <c r="S317">
        <v>0.45</v>
      </c>
      <c r="T317">
        <v>0</v>
      </c>
      <c r="U317">
        <v>1211326.9894900001</v>
      </c>
      <c r="V317">
        <v>5775.7095079999999</v>
      </c>
      <c r="W317">
        <v>316</v>
      </c>
      <c r="X317">
        <v>0</v>
      </c>
      <c r="Y317">
        <v>315</v>
      </c>
      <c r="Z317" t="s">
        <v>6966</v>
      </c>
      <c r="AA317" t="s">
        <v>6966</v>
      </c>
      <c r="AB317" t="s">
        <v>6966</v>
      </c>
      <c r="AC317" t="s">
        <v>6966</v>
      </c>
      <c r="AD317" t="s">
        <v>6966</v>
      </c>
      <c r="AE317" t="s">
        <v>6966</v>
      </c>
      <c r="AF317" t="s">
        <v>6966</v>
      </c>
      <c r="AG317" t="s">
        <v>6966</v>
      </c>
      <c r="AH317" t="s">
        <v>6966</v>
      </c>
      <c r="AI317" t="s">
        <v>6966</v>
      </c>
      <c r="AJ317" t="s">
        <v>6966</v>
      </c>
      <c r="AK317" t="s">
        <v>6966</v>
      </c>
      <c r="AL317" t="s">
        <v>6966</v>
      </c>
      <c r="AM317" t="s">
        <v>6966</v>
      </c>
      <c r="AN317" t="s">
        <v>6966</v>
      </c>
      <c r="AO317" t="s">
        <v>6966</v>
      </c>
      <c r="AP317" t="s">
        <v>6966</v>
      </c>
      <c r="AQ317" t="s">
        <v>6966</v>
      </c>
      <c r="AR317" t="s">
        <v>6966</v>
      </c>
      <c r="AS317" t="s">
        <v>6966</v>
      </c>
      <c r="AT317" t="s">
        <v>6966</v>
      </c>
      <c r="AU317" t="s">
        <v>6966</v>
      </c>
      <c r="AV317" t="s">
        <v>6966</v>
      </c>
      <c r="AW317" t="s">
        <v>6966</v>
      </c>
      <c r="AX317" t="s">
        <v>6966</v>
      </c>
      <c r="AY317" t="s">
        <v>6966</v>
      </c>
      <c r="AZ317">
        <v>5.6073999999999999E-2</v>
      </c>
      <c r="BA317">
        <v>1.1900000000000001E-4</v>
      </c>
    </row>
    <row r="318" spans="1:53" x14ac:dyDescent="0.25">
      <c r="A318">
        <v>316</v>
      </c>
      <c r="B318" t="s">
        <v>7625</v>
      </c>
      <c r="C318">
        <v>706030</v>
      </c>
      <c r="D318" t="s">
        <v>602</v>
      </c>
      <c r="E318" t="s">
        <v>597</v>
      </c>
      <c r="F318">
        <v>2081770.5</v>
      </c>
      <c r="G318">
        <v>7231.8247069999998</v>
      </c>
      <c r="H318">
        <v>266</v>
      </c>
      <c r="I318">
        <v>438</v>
      </c>
      <c r="J318">
        <v>33121</v>
      </c>
      <c r="K318" t="s">
        <v>2047</v>
      </c>
      <c r="L318">
        <v>10</v>
      </c>
      <c r="M318">
        <v>10</v>
      </c>
      <c r="N318">
        <v>33121</v>
      </c>
      <c r="O318">
        <v>255</v>
      </c>
      <c r="P318" t="s">
        <v>3215</v>
      </c>
      <c r="Q318">
        <v>5.0999999999999996</v>
      </c>
      <c r="R318">
        <v>91.36</v>
      </c>
      <c r="S318">
        <v>1.49</v>
      </c>
      <c r="T318">
        <v>27</v>
      </c>
      <c r="U318">
        <v>2081770.51669</v>
      </c>
      <c r="V318">
        <v>7231.8248489999996</v>
      </c>
      <c r="W318">
        <v>317</v>
      </c>
      <c r="X318">
        <v>0</v>
      </c>
      <c r="Y318">
        <v>316</v>
      </c>
      <c r="Z318" t="s">
        <v>6966</v>
      </c>
      <c r="AA318" t="s">
        <v>6966</v>
      </c>
      <c r="AB318" t="s">
        <v>6966</v>
      </c>
      <c r="AC318" t="s">
        <v>6966</v>
      </c>
      <c r="AD318" t="s">
        <v>6966</v>
      </c>
      <c r="AE318" t="s">
        <v>6966</v>
      </c>
      <c r="AF318" t="s">
        <v>6966</v>
      </c>
      <c r="AG318" t="s">
        <v>6966</v>
      </c>
      <c r="AH318" t="s">
        <v>6966</v>
      </c>
      <c r="AI318" t="s">
        <v>6966</v>
      </c>
      <c r="AJ318" t="s">
        <v>6966</v>
      </c>
      <c r="AK318" t="s">
        <v>6966</v>
      </c>
      <c r="AL318" t="s">
        <v>6966</v>
      </c>
      <c r="AM318" t="s">
        <v>6966</v>
      </c>
      <c r="AN318" t="s">
        <v>6966</v>
      </c>
      <c r="AO318" t="s">
        <v>6966</v>
      </c>
      <c r="AP318" t="s">
        <v>6966</v>
      </c>
      <c r="AQ318" t="s">
        <v>6966</v>
      </c>
      <c r="AR318" t="s">
        <v>6966</v>
      </c>
      <c r="AS318" t="s">
        <v>6966</v>
      </c>
      <c r="AT318" t="s">
        <v>6966</v>
      </c>
      <c r="AU318" t="s">
        <v>6966</v>
      </c>
      <c r="AV318" t="s">
        <v>6966</v>
      </c>
      <c r="AW318" t="s">
        <v>6966</v>
      </c>
      <c r="AX318" t="s">
        <v>6966</v>
      </c>
      <c r="AY318" t="s">
        <v>6966</v>
      </c>
      <c r="AZ318">
        <v>7.0999999999999994E-2</v>
      </c>
      <c r="BA318">
        <v>2.04E-4</v>
      </c>
    </row>
    <row r="319" spans="1:53" x14ac:dyDescent="0.25">
      <c r="A319">
        <v>317</v>
      </c>
      <c r="B319" t="s">
        <v>7625</v>
      </c>
      <c r="C319">
        <v>706021</v>
      </c>
      <c r="D319" t="s">
        <v>607</v>
      </c>
      <c r="E319" t="s">
        <v>597</v>
      </c>
      <c r="F319">
        <v>1660702.5</v>
      </c>
      <c r="G319">
        <v>6698.8779299999997</v>
      </c>
      <c r="H319">
        <v>267</v>
      </c>
      <c r="I319">
        <v>439</v>
      </c>
      <c r="J319">
        <v>33131</v>
      </c>
      <c r="K319" t="s">
        <v>2051</v>
      </c>
      <c r="L319">
        <v>10</v>
      </c>
      <c r="M319">
        <v>10</v>
      </c>
      <c r="N319">
        <v>33131</v>
      </c>
      <c r="O319">
        <v>256</v>
      </c>
      <c r="P319" t="s">
        <v>3215</v>
      </c>
      <c r="Q319">
        <v>0.2</v>
      </c>
      <c r="R319">
        <v>0</v>
      </c>
      <c r="S319">
        <v>0.05</v>
      </c>
      <c r="T319">
        <v>0</v>
      </c>
      <c r="U319">
        <v>1660702.48065</v>
      </c>
      <c r="V319">
        <v>6698.878729</v>
      </c>
      <c r="W319">
        <v>318</v>
      </c>
      <c r="X319">
        <v>0</v>
      </c>
      <c r="Y319">
        <v>317</v>
      </c>
      <c r="Z319" t="s">
        <v>6966</v>
      </c>
      <c r="AA319" t="s">
        <v>6966</v>
      </c>
      <c r="AB319" t="s">
        <v>6966</v>
      </c>
      <c r="AC319" t="s">
        <v>6966</v>
      </c>
      <c r="AD319" t="s">
        <v>6966</v>
      </c>
      <c r="AE319" t="s">
        <v>6966</v>
      </c>
      <c r="AF319" t="s">
        <v>6966</v>
      </c>
      <c r="AG319" t="s">
        <v>6966</v>
      </c>
      <c r="AH319" t="s">
        <v>6966</v>
      </c>
      <c r="AI319" t="s">
        <v>6966</v>
      </c>
      <c r="AJ319" t="s">
        <v>6966</v>
      </c>
      <c r="AK319" t="s">
        <v>6966</v>
      </c>
      <c r="AL319" t="s">
        <v>6966</v>
      </c>
      <c r="AM319" t="s">
        <v>6966</v>
      </c>
      <c r="AN319" t="s">
        <v>6966</v>
      </c>
      <c r="AO319" t="s">
        <v>6966</v>
      </c>
      <c r="AP319" t="s">
        <v>6966</v>
      </c>
      <c r="AQ319" t="s">
        <v>6966</v>
      </c>
      <c r="AR319" t="s">
        <v>6966</v>
      </c>
      <c r="AS319" t="s">
        <v>6966</v>
      </c>
      <c r="AT319" t="s">
        <v>6966</v>
      </c>
      <c r="AU319" t="s">
        <v>6966</v>
      </c>
      <c r="AV319" t="s">
        <v>6966</v>
      </c>
      <c r="AW319" t="s">
        <v>6966</v>
      </c>
      <c r="AX319" t="s">
        <v>6966</v>
      </c>
      <c r="AY319" t="s">
        <v>6966</v>
      </c>
      <c r="AZ319">
        <v>6.5563999999999997E-2</v>
      </c>
      <c r="BA319">
        <v>1.63E-4</v>
      </c>
    </row>
    <row r="320" spans="1:53" x14ac:dyDescent="0.25">
      <c r="A320">
        <v>318</v>
      </c>
      <c r="B320" t="s">
        <v>7625</v>
      </c>
      <c r="C320">
        <v>706044</v>
      </c>
      <c r="D320" t="s">
        <v>601</v>
      </c>
      <c r="E320" t="s">
        <v>597</v>
      </c>
      <c r="F320">
        <v>374624</v>
      </c>
      <c r="G320">
        <v>4270.392578</v>
      </c>
      <c r="H320">
        <v>268</v>
      </c>
      <c r="I320">
        <v>440</v>
      </c>
      <c r="J320">
        <v>33119</v>
      </c>
      <c r="K320" t="s">
        <v>2046</v>
      </c>
      <c r="L320">
        <v>10</v>
      </c>
      <c r="M320">
        <v>10</v>
      </c>
      <c r="N320">
        <v>33119</v>
      </c>
      <c r="O320">
        <v>257</v>
      </c>
      <c r="P320" t="s">
        <v>3215</v>
      </c>
      <c r="Q320">
        <v>9.5</v>
      </c>
      <c r="R320">
        <v>58.9</v>
      </c>
      <c r="S320">
        <v>2.94</v>
      </c>
      <c r="T320">
        <v>18</v>
      </c>
      <c r="U320">
        <v>374623.98938899999</v>
      </c>
      <c r="V320">
        <v>4270.3925200000003</v>
      </c>
      <c r="W320">
        <v>319</v>
      </c>
      <c r="X320">
        <v>0</v>
      </c>
      <c r="Y320">
        <v>318</v>
      </c>
      <c r="Z320" t="s">
        <v>6966</v>
      </c>
      <c r="AA320" t="s">
        <v>6966</v>
      </c>
      <c r="AB320" t="s">
        <v>6966</v>
      </c>
      <c r="AC320" t="s">
        <v>6966</v>
      </c>
      <c r="AD320" t="s">
        <v>6966</v>
      </c>
      <c r="AE320" t="s">
        <v>6966</v>
      </c>
      <c r="AF320" t="s">
        <v>6966</v>
      </c>
      <c r="AG320" t="s">
        <v>6966</v>
      </c>
      <c r="AH320" t="s">
        <v>6966</v>
      </c>
      <c r="AI320" t="s">
        <v>6966</v>
      </c>
      <c r="AJ320" t="s">
        <v>6966</v>
      </c>
      <c r="AK320" t="s">
        <v>6966</v>
      </c>
      <c r="AL320" t="s">
        <v>6966</v>
      </c>
      <c r="AM320" t="s">
        <v>6966</v>
      </c>
      <c r="AN320" t="s">
        <v>6966</v>
      </c>
      <c r="AO320" t="s">
        <v>6966</v>
      </c>
      <c r="AP320" t="s">
        <v>6966</v>
      </c>
      <c r="AQ320" t="s">
        <v>6966</v>
      </c>
      <c r="AR320" t="s">
        <v>6966</v>
      </c>
      <c r="AS320" t="s">
        <v>6966</v>
      </c>
      <c r="AT320" t="s">
        <v>6966</v>
      </c>
      <c r="AU320" t="s">
        <v>6966</v>
      </c>
      <c r="AV320" t="s">
        <v>6966</v>
      </c>
      <c r="AW320" t="s">
        <v>6966</v>
      </c>
      <c r="AX320" t="s">
        <v>6966</v>
      </c>
      <c r="AY320" t="s">
        <v>6966</v>
      </c>
      <c r="AZ320">
        <v>4.1794999999999999E-2</v>
      </c>
      <c r="BA320">
        <v>3.6999999999999998E-5</v>
      </c>
    </row>
    <row r="321" spans="1:53" x14ac:dyDescent="0.25">
      <c r="A321">
        <v>319</v>
      </c>
      <c r="B321" t="s">
        <v>7625</v>
      </c>
      <c r="C321">
        <v>704053</v>
      </c>
      <c r="D321" t="s">
        <v>7734</v>
      </c>
      <c r="E321" t="s">
        <v>7685</v>
      </c>
      <c r="F321">
        <v>2667738</v>
      </c>
      <c r="G321">
        <v>11843.318359000001</v>
      </c>
      <c r="H321">
        <v>269</v>
      </c>
      <c r="I321">
        <v>441</v>
      </c>
      <c r="J321">
        <v>37311</v>
      </c>
      <c r="K321" t="s">
        <v>2290</v>
      </c>
      <c r="L321">
        <v>14</v>
      </c>
      <c r="M321">
        <v>14</v>
      </c>
      <c r="N321">
        <v>37311</v>
      </c>
      <c r="O321">
        <v>1622</v>
      </c>
      <c r="P321" t="s">
        <v>3215</v>
      </c>
      <c r="Q321">
        <v>15.9</v>
      </c>
      <c r="R321">
        <v>176.41</v>
      </c>
      <c r="S321">
        <v>6.8</v>
      </c>
      <c r="T321">
        <v>76</v>
      </c>
      <c r="U321">
        <v>2667737.9687899998</v>
      </c>
      <c r="V321">
        <v>11843.319543</v>
      </c>
      <c r="W321">
        <v>320</v>
      </c>
      <c r="X321">
        <v>1</v>
      </c>
      <c r="Y321">
        <v>319</v>
      </c>
      <c r="Z321">
        <v>72848</v>
      </c>
      <c r="AA321" s="76">
        <v>45947</v>
      </c>
      <c r="AB321">
        <v>2025</v>
      </c>
      <c r="AC321" t="s">
        <v>7473</v>
      </c>
      <c r="AD321">
        <v>17</v>
      </c>
      <c r="AE321" t="s">
        <v>7502</v>
      </c>
      <c r="AF321" t="s">
        <v>3215</v>
      </c>
      <c r="AG321" t="s">
        <v>3228</v>
      </c>
      <c r="AH321" t="s">
        <v>7503</v>
      </c>
      <c r="AI321" t="s">
        <v>7504</v>
      </c>
      <c r="AJ321" t="s">
        <v>6966</v>
      </c>
      <c r="AK321">
        <v>34.387039999999999</v>
      </c>
      <c r="AL321">
        <v>36.028359999999999</v>
      </c>
      <c r="AM321" t="s">
        <v>7014</v>
      </c>
      <c r="AN321" t="s">
        <v>7014</v>
      </c>
      <c r="AO321" t="s">
        <v>7042</v>
      </c>
      <c r="AP321" t="s">
        <v>7505</v>
      </c>
      <c r="AQ321" t="s">
        <v>6998</v>
      </c>
      <c r="AR321" t="s">
        <v>6999</v>
      </c>
      <c r="AS321" t="s">
        <v>7000</v>
      </c>
      <c r="AT321">
        <v>0</v>
      </c>
      <c r="AU321">
        <v>0</v>
      </c>
      <c r="AV321" t="s">
        <v>7506</v>
      </c>
      <c r="AW321" t="s">
        <v>7043</v>
      </c>
      <c r="AX321" t="s">
        <v>6966</v>
      </c>
      <c r="AY321" t="s">
        <v>7044</v>
      </c>
      <c r="AZ321">
        <v>0.11830499999999999</v>
      </c>
      <c r="BA321">
        <v>2.61E-4</v>
      </c>
    </row>
    <row r="322" spans="1:53" x14ac:dyDescent="0.25">
      <c r="A322">
        <v>320</v>
      </c>
      <c r="B322" t="s">
        <v>7625</v>
      </c>
      <c r="C322">
        <v>703038</v>
      </c>
      <c r="D322" t="s">
        <v>7735</v>
      </c>
      <c r="E322" t="s">
        <v>7704</v>
      </c>
      <c r="F322">
        <v>5902089.5</v>
      </c>
      <c r="G322">
        <v>12402.404296999999</v>
      </c>
      <c r="H322">
        <v>270</v>
      </c>
      <c r="I322">
        <v>442</v>
      </c>
      <c r="J322">
        <v>32191</v>
      </c>
      <c r="K322" t="s">
        <v>7736</v>
      </c>
      <c r="L322">
        <v>9</v>
      </c>
      <c r="M322">
        <v>9</v>
      </c>
      <c r="N322">
        <v>32191</v>
      </c>
      <c r="O322">
        <v>258</v>
      </c>
      <c r="P322" t="s">
        <v>3215</v>
      </c>
      <c r="Q322">
        <v>2.4</v>
      </c>
      <c r="R322">
        <v>44.14</v>
      </c>
      <c r="S322">
        <v>0.74</v>
      </c>
      <c r="T322">
        <v>13</v>
      </c>
      <c r="U322">
        <v>5902089.7022299999</v>
      </c>
      <c r="V322">
        <v>12402.403770999999</v>
      </c>
      <c r="W322">
        <v>321</v>
      </c>
      <c r="X322">
        <v>0</v>
      </c>
      <c r="Y322">
        <v>320</v>
      </c>
      <c r="Z322" t="s">
        <v>6966</v>
      </c>
      <c r="AA322" t="s">
        <v>6966</v>
      </c>
      <c r="AB322" t="s">
        <v>6966</v>
      </c>
      <c r="AC322" t="s">
        <v>6966</v>
      </c>
      <c r="AD322" t="s">
        <v>6966</v>
      </c>
      <c r="AE322" t="s">
        <v>6966</v>
      </c>
      <c r="AF322" t="s">
        <v>6966</v>
      </c>
      <c r="AG322" t="s">
        <v>6966</v>
      </c>
      <c r="AH322" t="s">
        <v>6966</v>
      </c>
      <c r="AI322" t="s">
        <v>6966</v>
      </c>
      <c r="AJ322" t="s">
        <v>6966</v>
      </c>
      <c r="AK322" t="s">
        <v>6966</v>
      </c>
      <c r="AL322" t="s">
        <v>6966</v>
      </c>
      <c r="AM322" t="s">
        <v>6966</v>
      </c>
      <c r="AN322" t="s">
        <v>6966</v>
      </c>
      <c r="AO322" t="s">
        <v>6966</v>
      </c>
      <c r="AP322" t="s">
        <v>6966</v>
      </c>
      <c r="AQ322" t="s">
        <v>6966</v>
      </c>
      <c r="AR322" t="s">
        <v>6966</v>
      </c>
      <c r="AS322" t="s">
        <v>6966</v>
      </c>
      <c r="AT322" t="s">
        <v>6966</v>
      </c>
      <c r="AU322" t="s">
        <v>6966</v>
      </c>
      <c r="AV322" t="s">
        <v>6966</v>
      </c>
      <c r="AW322" t="s">
        <v>6966</v>
      </c>
      <c r="AX322" t="s">
        <v>6966</v>
      </c>
      <c r="AY322" t="s">
        <v>6966</v>
      </c>
      <c r="AZ322">
        <v>0.122852</v>
      </c>
      <c r="BA322">
        <v>5.7799999999999995E-4</v>
      </c>
    </row>
    <row r="323" spans="1:53" x14ac:dyDescent="0.25">
      <c r="A323">
        <v>321</v>
      </c>
      <c r="B323" t="s">
        <v>7625</v>
      </c>
      <c r="C323">
        <v>704038</v>
      </c>
      <c r="D323" t="s">
        <v>926</v>
      </c>
      <c r="E323" t="s">
        <v>7685</v>
      </c>
      <c r="F323">
        <v>7573122.5</v>
      </c>
      <c r="G323">
        <v>17096.107422000001</v>
      </c>
      <c r="H323">
        <v>271</v>
      </c>
      <c r="I323">
        <v>443</v>
      </c>
      <c r="J323">
        <v>37325</v>
      </c>
      <c r="K323" t="s">
        <v>2297</v>
      </c>
      <c r="L323">
        <v>14</v>
      </c>
      <c r="M323">
        <v>14</v>
      </c>
      <c r="N323">
        <v>37325</v>
      </c>
      <c r="O323">
        <v>259</v>
      </c>
      <c r="P323" t="s">
        <v>3215</v>
      </c>
      <c r="Q323">
        <v>4.2</v>
      </c>
      <c r="R323">
        <v>3501.07</v>
      </c>
      <c r="S323">
        <v>0.7</v>
      </c>
      <c r="T323">
        <v>590</v>
      </c>
      <c r="U323">
        <v>7573122.3566399999</v>
      </c>
      <c r="V323">
        <v>17096.107196000001</v>
      </c>
      <c r="W323">
        <v>322</v>
      </c>
      <c r="X323">
        <v>0</v>
      </c>
      <c r="Y323">
        <v>321</v>
      </c>
      <c r="Z323" t="s">
        <v>6966</v>
      </c>
      <c r="AA323" t="s">
        <v>6966</v>
      </c>
      <c r="AB323" t="s">
        <v>6966</v>
      </c>
      <c r="AC323" t="s">
        <v>6966</v>
      </c>
      <c r="AD323" t="s">
        <v>6966</v>
      </c>
      <c r="AE323" t="s">
        <v>6966</v>
      </c>
      <c r="AF323" t="s">
        <v>6966</v>
      </c>
      <c r="AG323" t="s">
        <v>6966</v>
      </c>
      <c r="AH323" t="s">
        <v>6966</v>
      </c>
      <c r="AI323" t="s">
        <v>6966</v>
      </c>
      <c r="AJ323" t="s">
        <v>6966</v>
      </c>
      <c r="AK323" t="s">
        <v>6966</v>
      </c>
      <c r="AL323" t="s">
        <v>6966</v>
      </c>
      <c r="AM323" t="s">
        <v>6966</v>
      </c>
      <c r="AN323" t="s">
        <v>6966</v>
      </c>
      <c r="AO323" t="s">
        <v>6966</v>
      </c>
      <c r="AP323" t="s">
        <v>6966</v>
      </c>
      <c r="AQ323" t="s">
        <v>6966</v>
      </c>
      <c r="AR323" t="s">
        <v>6966</v>
      </c>
      <c r="AS323" t="s">
        <v>6966</v>
      </c>
      <c r="AT323" t="s">
        <v>6966</v>
      </c>
      <c r="AU323" t="s">
        <v>6966</v>
      </c>
      <c r="AV323" t="s">
        <v>6966</v>
      </c>
      <c r="AW323" t="s">
        <v>6966</v>
      </c>
      <c r="AX323" t="s">
        <v>6966</v>
      </c>
      <c r="AY323" t="s">
        <v>6966</v>
      </c>
      <c r="AZ323">
        <v>0.17647399999999999</v>
      </c>
      <c r="BA323">
        <v>7.4200000000000004E-4</v>
      </c>
    </row>
    <row r="324" spans="1:53" x14ac:dyDescent="0.25">
      <c r="A324">
        <v>322</v>
      </c>
      <c r="B324" t="s">
        <v>7625</v>
      </c>
      <c r="C324">
        <v>706034</v>
      </c>
      <c r="D324" t="s">
        <v>614</v>
      </c>
      <c r="E324" t="s">
        <v>597</v>
      </c>
      <c r="F324">
        <v>2496921.5</v>
      </c>
      <c r="G324">
        <v>8706.2861329999996</v>
      </c>
      <c r="H324">
        <v>272</v>
      </c>
      <c r="I324">
        <v>444</v>
      </c>
      <c r="J324">
        <v>33145</v>
      </c>
      <c r="K324" t="s">
        <v>2058</v>
      </c>
      <c r="L324">
        <v>10</v>
      </c>
      <c r="M324">
        <v>10</v>
      </c>
      <c r="N324">
        <v>33145</v>
      </c>
      <c r="O324">
        <v>260</v>
      </c>
      <c r="P324" t="s">
        <v>3215</v>
      </c>
      <c r="Q324">
        <v>2.5</v>
      </c>
      <c r="R324">
        <v>52.18</v>
      </c>
      <c r="S324">
        <v>0.67</v>
      </c>
      <c r="T324">
        <v>14</v>
      </c>
      <c r="U324">
        <v>2496921.6019899999</v>
      </c>
      <c r="V324">
        <v>8706.2853030000006</v>
      </c>
      <c r="W324">
        <v>323</v>
      </c>
      <c r="X324">
        <v>0</v>
      </c>
      <c r="Y324">
        <v>322</v>
      </c>
      <c r="Z324" t="s">
        <v>6966</v>
      </c>
      <c r="AA324" t="s">
        <v>6966</v>
      </c>
      <c r="AB324" t="s">
        <v>6966</v>
      </c>
      <c r="AC324" t="s">
        <v>6966</v>
      </c>
      <c r="AD324" t="s">
        <v>6966</v>
      </c>
      <c r="AE324" t="s">
        <v>6966</v>
      </c>
      <c r="AF324" t="s">
        <v>6966</v>
      </c>
      <c r="AG324" t="s">
        <v>6966</v>
      </c>
      <c r="AH324" t="s">
        <v>6966</v>
      </c>
      <c r="AI324" t="s">
        <v>6966</v>
      </c>
      <c r="AJ324" t="s">
        <v>6966</v>
      </c>
      <c r="AK324" t="s">
        <v>6966</v>
      </c>
      <c r="AL324" t="s">
        <v>6966</v>
      </c>
      <c r="AM324" t="s">
        <v>6966</v>
      </c>
      <c r="AN324" t="s">
        <v>6966</v>
      </c>
      <c r="AO324" t="s">
        <v>6966</v>
      </c>
      <c r="AP324" t="s">
        <v>6966</v>
      </c>
      <c r="AQ324" t="s">
        <v>6966</v>
      </c>
      <c r="AR324" t="s">
        <v>6966</v>
      </c>
      <c r="AS324" t="s">
        <v>6966</v>
      </c>
      <c r="AT324" t="s">
        <v>6966</v>
      </c>
      <c r="AU324" t="s">
        <v>6966</v>
      </c>
      <c r="AV324" t="s">
        <v>6966</v>
      </c>
      <c r="AW324" t="s">
        <v>6966</v>
      </c>
      <c r="AX324" t="s">
        <v>6966</v>
      </c>
      <c r="AY324" t="s">
        <v>6966</v>
      </c>
      <c r="AZ324">
        <v>8.5098999999999994E-2</v>
      </c>
      <c r="BA324">
        <v>2.4499999999999999E-4</v>
      </c>
    </row>
    <row r="325" spans="1:53" x14ac:dyDescent="0.25">
      <c r="A325">
        <v>323</v>
      </c>
      <c r="B325" t="s">
        <v>7625</v>
      </c>
      <c r="C325">
        <v>703027</v>
      </c>
      <c r="D325" t="s">
        <v>590</v>
      </c>
      <c r="E325" t="s">
        <v>7704</v>
      </c>
      <c r="F325">
        <v>4998719</v>
      </c>
      <c r="G325">
        <v>11958.567383</v>
      </c>
      <c r="H325">
        <v>273</v>
      </c>
      <c r="I325">
        <v>446</v>
      </c>
      <c r="J325">
        <v>32183</v>
      </c>
      <c r="K325" t="s">
        <v>7737</v>
      </c>
      <c r="L325">
        <v>9</v>
      </c>
      <c r="M325">
        <v>9</v>
      </c>
      <c r="N325">
        <v>32183</v>
      </c>
      <c r="O325">
        <v>261</v>
      </c>
      <c r="P325" t="s">
        <v>3215</v>
      </c>
      <c r="Q325">
        <v>0.2</v>
      </c>
      <c r="R325">
        <v>40.619999999999997</v>
      </c>
      <c r="S325">
        <v>7.0000000000000007E-2</v>
      </c>
      <c r="T325">
        <v>0</v>
      </c>
      <c r="U325">
        <v>4998719.0881700004</v>
      </c>
      <c r="V325">
        <v>11958.567265</v>
      </c>
      <c r="W325">
        <v>324</v>
      </c>
      <c r="X325">
        <v>0</v>
      </c>
      <c r="Y325">
        <v>323</v>
      </c>
      <c r="Z325" t="s">
        <v>6966</v>
      </c>
      <c r="AA325" t="s">
        <v>6966</v>
      </c>
      <c r="AB325" t="s">
        <v>6966</v>
      </c>
      <c r="AC325" t="s">
        <v>6966</v>
      </c>
      <c r="AD325" t="s">
        <v>6966</v>
      </c>
      <c r="AE325" t="s">
        <v>6966</v>
      </c>
      <c r="AF325" t="s">
        <v>6966</v>
      </c>
      <c r="AG325" t="s">
        <v>6966</v>
      </c>
      <c r="AH325" t="s">
        <v>6966</v>
      </c>
      <c r="AI325" t="s">
        <v>6966</v>
      </c>
      <c r="AJ325" t="s">
        <v>6966</v>
      </c>
      <c r="AK325" t="s">
        <v>6966</v>
      </c>
      <c r="AL325" t="s">
        <v>6966</v>
      </c>
      <c r="AM325" t="s">
        <v>6966</v>
      </c>
      <c r="AN325" t="s">
        <v>6966</v>
      </c>
      <c r="AO325" t="s">
        <v>6966</v>
      </c>
      <c r="AP325" t="s">
        <v>6966</v>
      </c>
      <c r="AQ325" t="s">
        <v>6966</v>
      </c>
      <c r="AR325" t="s">
        <v>6966</v>
      </c>
      <c r="AS325" t="s">
        <v>6966</v>
      </c>
      <c r="AT325" t="s">
        <v>6966</v>
      </c>
      <c r="AU325" t="s">
        <v>6966</v>
      </c>
      <c r="AV325" t="s">
        <v>6966</v>
      </c>
      <c r="AW325" t="s">
        <v>6966</v>
      </c>
      <c r="AX325" t="s">
        <v>6966</v>
      </c>
      <c r="AY325" t="s">
        <v>6966</v>
      </c>
      <c r="AZ325">
        <v>0.121698</v>
      </c>
      <c r="BA325">
        <v>4.8999999999999998E-4</v>
      </c>
    </row>
    <row r="326" spans="1:53" x14ac:dyDescent="0.25">
      <c r="A326">
        <v>324</v>
      </c>
      <c r="B326" t="s">
        <v>7625</v>
      </c>
      <c r="C326">
        <v>704016</v>
      </c>
      <c r="D326" t="s">
        <v>923</v>
      </c>
      <c r="E326" t="s">
        <v>7685</v>
      </c>
      <c r="F326">
        <v>3566565.5</v>
      </c>
      <c r="G326">
        <v>12438.012694999999</v>
      </c>
      <c r="H326">
        <v>274</v>
      </c>
      <c r="I326">
        <v>447</v>
      </c>
      <c r="J326">
        <v>37319</v>
      </c>
      <c r="K326" t="s">
        <v>2294</v>
      </c>
      <c r="L326">
        <v>14</v>
      </c>
      <c r="M326">
        <v>14</v>
      </c>
      <c r="N326">
        <v>37319</v>
      </c>
      <c r="O326">
        <v>262</v>
      </c>
      <c r="P326" t="s">
        <v>3215</v>
      </c>
      <c r="Q326">
        <v>8</v>
      </c>
      <c r="R326">
        <v>205.14</v>
      </c>
      <c r="S326">
        <v>2.11</v>
      </c>
      <c r="T326">
        <v>54</v>
      </c>
      <c r="U326">
        <v>3566565.51401</v>
      </c>
      <c r="V326">
        <v>12438.013272</v>
      </c>
      <c r="W326">
        <v>325</v>
      </c>
      <c r="X326">
        <v>0</v>
      </c>
      <c r="Y326">
        <v>324</v>
      </c>
      <c r="Z326" t="s">
        <v>6966</v>
      </c>
      <c r="AA326" t="s">
        <v>6966</v>
      </c>
      <c r="AB326" t="s">
        <v>6966</v>
      </c>
      <c r="AC326" t="s">
        <v>6966</v>
      </c>
      <c r="AD326" t="s">
        <v>6966</v>
      </c>
      <c r="AE326" t="s">
        <v>6966</v>
      </c>
      <c r="AF326" t="s">
        <v>6966</v>
      </c>
      <c r="AG326" t="s">
        <v>6966</v>
      </c>
      <c r="AH326" t="s">
        <v>6966</v>
      </c>
      <c r="AI326" t="s">
        <v>6966</v>
      </c>
      <c r="AJ326" t="s">
        <v>6966</v>
      </c>
      <c r="AK326" t="s">
        <v>6966</v>
      </c>
      <c r="AL326" t="s">
        <v>6966</v>
      </c>
      <c r="AM326" t="s">
        <v>6966</v>
      </c>
      <c r="AN326" t="s">
        <v>6966</v>
      </c>
      <c r="AO326" t="s">
        <v>6966</v>
      </c>
      <c r="AP326" t="s">
        <v>6966</v>
      </c>
      <c r="AQ326" t="s">
        <v>6966</v>
      </c>
      <c r="AR326" t="s">
        <v>6966</v>
      </c>
      <c r="AS326" t="s">
        <v>6966</v>
      </c>
      <c r="AT326" t="s">
        <v>6966</v>
      </c>
      <c r="AU326" t="s">
        <v>6966</v>
      </c>
      <c r="AV326" t="s">
        <v>6966</v>
      </c>
      <c r="AW326" t="s">
        <v>6966</v>
      </c>
      <c r="AX326" t="s">
        <v>6966</v>
      </c>
      <c r="AY326" t="s">
        <v>6966</v>
      </c>
      <c r="AZ326">
        <v>0.12740499999999999</v>
      </c>
      <c r="BA326">
        <v>3.5E-4</v>
      </c>
    </row>
    <row r="327" spans="1:53" x14ac:dyDescent="0.25">
      <c r="A327">
        <v>325</v>
      </c>
      <c r="B327" t="s">
        <v>7625</v>
      </c>
      <c r="C327">
        <v>704015</v>
      </c>
      <c r="D327" t="s">
        <v>922</v>
      </c>
      <c r="E327" t="s">
        <v>7685</v>
      </c>
      <c r="F327">
        <v>0</v>
      </c>
      <c r="G327">
        <v>59016.425780999998</v>
      </c>
      <c r="H327">
        <v>275</v>
      </c>
      <c r="I327">
        <v>448</v>
      </c>
      <c r="J327">
        <v>37317</v>
      </c>
      <c r="K327" t="s">
        <v>2293</v>
      </c>
      <c r="L327">
        <v>14</v>
      </c>
      <c r="M327">
        <v>14</v>
      </c>
      <c r="N327">
        <v>37317</v>
      </c>
      <c r="O327">
        <v>263</v>
      </c>
      <c r="P327" t="s">
        <v>3215</v>
      </c>
      <c r="Q327">
        <v>0.3</v>
      </c>
      <c r="R327">
        <v>231.84</v>
      </c>
      <c r="S327">
        <v>0.15</v>
      </c>
      <c r="T327">
        <v>128</v>
      </c>
      <c r="U327">
        <v>0</v>
      </c>
      <c r="V327">
        <v>59016.425560000003</v>
      </c>
      <c r="W327">
        <v>326</v>
      </c>
      <c r="X327">
        <v>0</v>
      </c>
      <c r="Y327">
        <v>325</v>
      </c>
      <c r="Z327" t="s">
        <v>6966</v>
      </c>
      <c r="AA327" t="s">
        <v>6966</v>
      </c>
      <c r="AB327" t="s">
        <v>6966</v>
      </c>
      <c r="AC327" t="s">
        <v>6966</v>
      </c>
      <c r="AD327" t="s">
        <v>6966</v>
      </c>
      <c r="AE327" t="s">
        <v>6966</v>
      </c>
      <c r="AF327" t="s">
        <v>6966</v>
      </c>
      <c r="AG327" t="s">
        <v>6966</v>
      </c>
      <c r="AH327" t="s">
        <v>6966</v>
      </c>
      <c r="AI327" t="s">
        <v>6966</v>
      </c>
      <c r="AJ327" t="s">
        <v>6966</v>
      </c>
      <c r="AK327" t="s">
        <v>6966</v>
      </c>
      <c r="AL327" t="s">
        <v>6966</v>
      </c>
      <c r="AM327" t="s">
        <v>6966</v>
      </c>
      <c r="AN327" t="s">
        <v>6966</v>
      </c>
      <c r="AO327" t="s">
        <v>6966</v>
      </c>
      <c r="AP327" t="s">
        <v>6966</v>
      </c>
      <c r="AQ327" t="s">
        <v>6966</v>
      </c>
      <c r="AR327" t="s">
        <v>6966</v>
      </c>
      <c r="AS327" t="s">
        <v>6966</v>
      </c>
      <c r="AT327" t="s">
        <v>6966</v>
      </c>
      <c r="AU327" t="s">
        <v>6966</v>
      </c>
      <c r="AV327" t="s">
        <v>6966</v>
      </c>
      <c r="AW327" t="s">
        <v>6966</v>
      </c>
      <c r="AX327" t="s">
        <v>6966</v>
      </c>
      <c r="AY327" t="s">
        <v>6966</v>
      </c>
      <c r="AZ327">
        <v>0.58942099999999997</v>
      </c>
      <c r="BA327">
        <v>7.6229999999999996E-3</v>
      </c>
    </row>
    <row r="328" spans="1:53" x14ac:dyDescent="0.25">
      <c r="A328">
        <v>326</v>
      </c>
      <c r="B328" t="s">
        <v>7625</v>
      </c>
      <c r="C328">
        <v>706038</v>
      </c>
      <c r="D328" t="s">
        <v>609</v>
      </c>
      <c r="E328" t="s">
        <v>597</v>
      </c>
      <c r="F328">
        <v>352926.0625</v>
      </c>
      <c r="G328">
        <v>2834.52124</v>
      </c>
      <c r="H328">
        <v>276</v>
      </c>
      <c r="I328">
        <v>449</v>
      </c>
      <c r="J328">
        <v>33135</v>
      </c>
      <c r="K328" t="s">
        <v>2053</v>
      </c>
      <c r="L328">
        <v>10</v>
      </c>
      <c r="M328">
        <v>10</v>
      </c>
      <c r="N328">
        <v>33135</v>
      </c>
      <c r="O328">
        <v>264</v>
      </c>
      <c r="P328" t="s">
        <v>3215</v>
      </c>
      <c r="Q328">
        <v>0</v>
      </c>
      <c r="R328">
        <v>0</v>
      </c>
      <c r="S328">
        <v>0</v>
      </c>
      <c r="T328">
        <v>0</v>
      </c>
      <c r="U328">
        <v>352926.01686799998</v>
      </c>
      <c r="V328">
        <v>2834.5211370000002</v>
      </c>
      <c r="W328">
        <v>327</v>
      </c>
      <c r="X328">
        <v>0</v>
      </c>
      <c r="Y328">
        <v>326</v>
      </c>
      <c r="Z328" t="s">
        <v>6966</v>
      </c>
      <c r="AA328" t="s">
        <v>6966</v>
      </c>
      <c r="AB328" t="s">
        <v>6966</v>
      </c>
      <c r="AC328" t="s">
        <v>6966</v>
      </c>
      <c r="AD328" t="s">
        <v>6966</v>
      </c>
      <c r="AE328" t="s">
        <v>6966</v>
      </c>
      <c r="AF328" t="s">
        <v>6966</v>
      </c>
      <c r="AG328" t="s">
        <v>6966</v>
      </c>
      <c r="AH328" t="s">
        <v>6966</v>
      </c>
      <c r="AI328" t="s">
        <v>6966</v>
      </c>
      <c r="AJ328" t="s">
        <v>6966</v>
      </c>
      <c r="AK328" t="s">
        <v>6966</v>
      </c>
      <c r="AL328" t="s">
        <v>6966</v>
      </c>
      <c r="AM328" t="s">
        <v>6966</v>
      </c>
      <c r="AN328" t="s">
        <v>6966</v>
      </c>
      <c r="AO328" t="s">
        <v>6966</v>
      </c>
      <c r="AP328" t="s">
        <v>6966</v>
      </c>
      <c r="AQ328" t="s">
        <v>6966</v>
      </c>
      <c r="AR328" t="s">
        <v>6966</v>
      </c>
      <c r="AS328" t="s">
        <v>6966</v>
      </c>
      <c r="AT328" t="s">
        <v>6966</v>
      </c>
      <c r="AU328" t="s">
        <v>6966</v>
      </c>
      <c r="AV328" t="s">
        <v>6966</v>
      </c>
      <c r="AW328" t="s">
        <v>6966</v>
      </c>
      <c r="AX328" t="s">
        <v>6966</v>
      </c>
      <c r="AY328" t="s">
        <v>6966</v>
      </c>
      <c r="AZ328">
        <v>2.8153000000000001E-2</v>
      </c>
      <c r="BA328">
        <v>3.4999999999999997E-5</v>
      </c>
    </row>
    <row r="329" spans="1:53" x14ac:dyDescent="0.25">
      <c r="A329">
        <v>327</v>
      </c>
      <c r="B329" t="s">
        <v>7625</v>
      </c>
      <c r="C329">
        <v>703015</v>
      </c>
      <c r="D329" t="s">
        <v>595</v>
      </c>
      <c r="E329" t="s">
        <v>7704</v>
      </c>
      <c r="F329">
        <v>887082.25</v>
      </c>
      <c r="G329">
        <v>4347.4350590000004</v>
      </c>
      <c r="H329">
        <v>277</v>
      </c>
      <c r="I329">
        <v>450</v>
      </c>
      <c r="J329">
        <v>32193</v>
      </c>
      <c r="K329" t="s">
        <v>2040</v>
      </c>
      <c r="L329">
        <v>9</v>
      </c>
      <c r="M329">
        <v>8</v>
      </c>
      <c r="N329">
        <v>32193</v>
      </c>
      <c r="O329">
        <v>265</v>
      </c>
      <c r="P329" t="s">
        <v>3215</v>
      </c>
      <c r="Q329">
        <v>0</v>
      </c>
      <c r="R329">
        <v>0</v>
      </c>
      <c r="S329">
        <v>0.01</v>
      </c>
      <c r="T329">
        <v>0</v>
      </c>
      <c r="U329">
        <v>887082.30590799998</v>
      </c>
      <c r="V329">
        <v>4347.4353950000004</v>
      </c>
      <c r="W329">
        <v>328</v>
      </c>
      <c r="X329">
        <v>0</v>
      </c>
      <c r="Y329">
        <v>327</v>
      </c>
      <c r="Z329" t="s">
        <v>6966</v>
      </c>
      <c r="AA329" t="s">
        <v>6966</v>
      </c>
      <c r="AB329" t="s">
        <v>6966</v>
      </c>
      <c r="AC329" t="s">
        <v>6966</v>
      </c>
      <c r="AD329" t="s">
        <v>6966</v>
      </c>
      <c r="AE329" t="s">
        <v>6966</v>
      </c>
      <c r="AF329" t="s">
        <v>6966</v>
      </c>
      <c r="AG329" t="s">
        <v>6966</v>
      </c>
      <c r="AH329" t="s">
        <v>6966</v>
      </c>
      <c r="AI329" t="s">
        <v>6966</v>
      </c>
      <c r="AJ329" t="s">
        <v>6966</v>
      </c>
      <c r="AK329" t="s">
        <v>6966</v>
      </c>
      <c r="AL329" t="s">
        <v>6966</v>
      </c>
      <c r="AM329" t="s">
        <v>6966</v>
      </c>
      <c r="AN329" t="s">
        <v>6966</v>
      </c>
      <c r="AO329" t="s">
        <v>6966</v>
      </c>
      <c r="AP329" t="s">
        <v>6966</v>
      </c>
      <c r="AQ329" t="s">
        <v>6966</v>
      </c>
      <c r="AR329" t="s">
        <v>6966</v>
      </c>
      <c r="AS329" t="s">
        <v>6966</v>
      </c>
      <c r="AT329" t="s">
        <v>6966</v>
      </c>
      <c r="AU329" t="s">
        <v>6966</v>
      </c>
      <c r="AV329" t="s">
        <v>6966</v>
      </c>
      <c r="AW329" t="s">
        <v>6966</v>
      </c>
      <c r="AX329" t="s">
        <v>6966</v>
      </c>
      <c r="AY329" t="s">
        <v>6966</v>
      </c>
      <c r="AZ329">
        <v>4.2537999999999999E-2</v>
      </c>
      <c r="BA329">
        <v>8.7000000000000001E-5</v>
      </c>
    </row>
    <row r="330" spans="1:53" x14ac:dyDescent="0.25">
      <c r="A330">
        <v>328</v>
      </c>
      <c r="B330" t="s">
        <v>7625</v>
      </c>
      <c r="C330">
        <v>706035</v>
      </c>
      <c r="D330" t="s">
        <v>7738</v>
      </c>
      <c r="E330" t="s">
        <v>597</v>
      </c>
      <c r="F330">
        <v>1114325.625</v>
      </c>
      <c r="G330">
        <v>5363.1870120000003</v>
      </c>
      <c r="H330">
        <v>278</v>
      </c>
      <c r="I330">
        <v>451</v>
      </c>
      <c r="J330">
        <v>33139</v>
      </c>
      <c r="K330" t="s">
        <v>7739</v>
      </c>
      <c r="L330">
        <v>10</v>
      </c>
      <c r="M330">
        <v>10</v>
      </c>
      <c r="N330">
        <v>33139</v>
      </c>
      <c r="O330">
        <v>266</v>
      </c>
      <c r="P330" t="s">
        <v>3215</v>
      </c>
      <c r="Q330">
        <v>1.4</v>
      </c>
      <c r="R330">
        <v>124.51</v>
      </c>
      <c r="S330">
        <v>0.46</v>
      </c>
      <c r="T330">
        <v>40</v>
      </c>
      <c r="U330">
        <v>1114325.6418300001</v>
      </c>
      <c r="V330">
        <v>5363.1878109999998</v>
      </c>
      <c r="W330">
        <v>329</v>
      </c>
      <c r="X330">
        <v>0</v>
      </c>
      <c r="Y330">
        <v>328</v>
      </c>
      <c r="Z330" t="s">
        <v>6966</v>
      </c>
      <c r="AA330" t="s">
        <v>6966</v>
      </c>
      <c r="AB330" t="s">
        <v>6966</v>
      </c>
      <c r="AC330" t="s">
        <v>6966</v>
      </c>
      <c r="AD330" t="s">
        <v>6966</v>
      </c>
      <c r="AE330" t="s">
        <v>6966</v>
      </c>
      <c r="AF330" t="s">
        <v>6966</v>
      </c>
      <c r="AG330" t="s">
        <v>6966</v>
      </c>
      <c r="AH330" t="s">
        <v>6966</v>
      </c>
      <c r="AI330" t="s">
        <v>6966</v>
      </c>
      <c r="AJ330" t="s">
        <v>6966</v>
      </c>
      <c r="AK330" t="s">
        <v>6966</v>
      </c>
      <c r="AL330" t="s">
        <v>6966</v>
      </c>
      <c r="AM330" t="s">
        <v>6966</v>
      </c>
      <c r="AN330" t="s">
        <v>6966</v>
      </c>
      <c r="AO330" t="s">
        <v>6966</v>
      </c>
      <c r="AP330" t="s">
        <v>6966</v>
      </c>
      <c r="AQ330" t="s">
        <v>6966</v>
      </c>
      <c r="AR330" t="s">
        <v>6966</v>
      </c>
      <c r="AS330" t="s">
        <v>6966</v>
      </c>
      <c r="AT330" t="s">
        <v>6966</v>
      </c>
      <c r="AU330" t="s">
        <v>6966</v>
      </c>
      <c r="AV330" t="s">
        <v>6966</v>
      </c>
      <c r="AW330" t="s">
        <v>6966</v>
      </c>
      <c r="AX330" t="s">
        <v>6966</v>
      </c>
      <c r="AY330" t="s">
        <v>6966</v>
      </c>
      <c r="AZ330">
        <v>5.3172999999999998E-2</v>
      </c>
      <c r="BA330">
        <v>1.0900000000000001E-4</v>
      </c>
    </row>
    <row r="331" spans="1:53" x14ac:dyDescent="0.25">
      <c r="A331">
        <v>329</v>
      </c>
      <c r="B331" t="s">
        <v>7625</v>
      </c>
      <c r="C331">
        <v>703008</v>
      </c>
      <c r="D331" t="s">
        <v>578</v>
      </c>
      <c r="E331" t="s">
        <v>7704</v>
      </c>
      <c r="F331">
        <v>3404656</v>
      </c>
      <c r="G331">
        <v>8966.7460940000001</v>
      </c>
      <c r="H331">
        <v>279</v>
      </c>
      <c r="I331">
        <v>452</v>
      </c>
      <c r="J331">
        <v>32159</v>
      </c>
      <c r="K331" t="s">
        <v>2027</v>
      </c>
      <c r="L331">
        <v>9</v>
      </c>
      <c r="M331">
        <v>9</v>
      </c>
      <c r="N331">
        <v>32159</v>
      </c>
      <c r="O331">
        <v>267</v>
      </c>
      <c r="P331" t="s">
        <v>3215</v>
      </c>
      <c r="Q331">
        <v>2.6</v>
      </c>
      <c r="R331">
        <v>39.020000000000003</v>
      </c>
      <c r="S331">
        <v>0.77</v>
      </c>
      <c r="T331">
        <v>11</v>
      </c>
      <c r="U331">
        <v>3404655.9730500001</v>
      </c>
      <c r="V331">
        <v>8966.7465489999995</v>
      </c>
      <c r="W331">
        <v>330</v>
      </c>
      <c r="X331">
        <v>0</v>
      </c>
      <c r="Y331">
        <v>329</v>
      </c>
      <c r="Z331" t="s">
        <v>6966</v>
      </c>
      <c r="AA331" t="s">
        <v>6966</v>
      </c>
      <c r="AB331" t="s">
        <v>6966</v>
      </c>
      <c r="AC331" t="s">
        <v>6966</v>
      </c>
      <c r="AD331" t="s">
        <v>6966</v>
      </c>
      <c r="AE331" t="s">
        <v>6966</v>
      </c>
      <c r="AF331" t="s">
        <v>6966</v>
      </c>
      <c r="AG331" t="s">
        <v>6966</v>
      </c>
      <c r="AH331" t="s">
        <v>6966</v>
      </c>
      <c r="AI331" t="s">
        <v>6966</v>
      </c>
      <c r="AJ331" t="s">
        <v>6966</v>
      </c>
      <c r="AK331" t="s">
        <v>6966</v>
      </c>
      <c r="AL331" t="s">
        <v>6966</v>
      </c>
      <c r="AM331" t="s">
        <v>6966</v>
      </c>
      <c r="AN331" t="s">
        <v>6966</v>
      </c>
      <c r="AO331" t="s">
        <v>6966</v>
      </c>
      <c r="AP331" t="s">
        <v>6966</v>
      </c>
      <c r="AQ331" t="s">
        <v>6966</v>
      </c>
      <c r="AR331" t="s">
        <v>6966</v>
      </c>
      <c r="AS331" t="s">
        <v>6966</v>
      </c>
      <c r="AT331" t="s">
        <v>6966</v>
      </c>
      <c r="AU331" t="s">
        <v>6966</v>
      </c>
      <c r="AV331" t="s">
        <v>6966</v>
      </c>
      <c r="AW331" t="s">
        <v>6966</v>
      </c>
      <c r="AX331" t="s">
        <v>6966</v>
      </c>
      <c r="AY331" t="s">
        <v>6966</v>
      </c>
      <c r="AZ331">
        <v>8.8178000000000006E-2</v>
      </c>
      <c r="BA331">
        <v>3.3399999999999999E-4</v>
      </c>
    </row>
    <row r="332" spans="1:53" x14ac:dyDescent="0.25">
      <c r="A332">
        <v>330</v>
      </c>
      <c r="B332" t="s">
        <v>7625</v>
      </c>
      <c r="C332">
        <v>703019</v>
      </c>
      <c r="D332" t="s">
        <v>583</v>
      </c>
      <c r="E332" t="s">
        <v>7704</v>
      </c>
      <c r="F332">
        <v>3168042.25</v>
      </c>
      <c r="G332">
        <v>10586.737305000001</v>
      </c>
      <c r="H332">
        <v>280</v>
      </c>
      <c r="I332">
        <v>453</v>
      </c>
      <c r="J332">
        <v>32169</v>
      </c>
      <c r="K332" t="s">
        <v>2030</v>
      </c>
      <c r="L332">
        <v>9</v>
      </c>
      <c r="M332">
        <v>9</v>
      </c>
      <c r="N332">
        <v>32169</v>
      </c>
      <c r="O332">
        <v>268</v>
      </c>
      <c r="P332" t="s">
        <v>3215</v>
      </c>
      <c r="Q332">
        <v>3.4</v>
      </c>
      <c r="R332">
        <v>22.42</v>
      </c>
      <c r="S332">
        <v>1.1200000000000001</v>
      </c>
      <c r="T332">
        <v>7</v>
      </c>
      <c r="U332">
        <v>3168042.3034000001</v>
      </c>
      <c r="V332">
        <v>10586.737859000001</v>
      </c>
      <c r="W332">
        <v>331</v>
      </c>
      <c r="X332">
        <v>0</v>
      </c>
      <c r="Y332">
        <v>330</v>
      </c>
      <c r="Z332" t="s">
        <v>6966</v>
      </c>
      <c r="AA332" t="s">
        <v>6966</v>
      </c>
      <c r="AB332" t="s">
        <v>6966</v>
      </c>
      <c r="AC332" t="s">
        <v>6966</v>
      </c>
      <c r="AD332" t="s">
        <v>6966</v>
      </c>
      <c r="AE332" t="s">
        <v>6966</v>
      </c>
      <c r="AF332" t="s">
        <v>6966</v>
      </c>
      <c r="AG332" t="s">
        <v>6966</v>
      </c>
      <c r="AH332" t="s">
        <v>6966</v>
      </c>
      <c r="AI332" t="s">
        <v>6966</v>
      </c>
      <c r="AJ332" t="s">
        <v>6966</v>
      </c>
      <c r="AK332" t="s">
        <v>6966</v>
      </c>
      <c r="AL332" t="s">
        <v>6966</v>
      </c>
      <c r="AM332" t="s">
        <v>6966</v>
      </c>
      <c r="AN332" t="s">
        <v>6966</v>
      </c>
      <c r="AO332" t="s">
        <v>6966</v>
      </c>
      <c r="AP332" t="s">
        <v>6966</v>
      </c>
      <c r="AQ332" t="s">
        <v>6966</v>
      </c>
      <c r="AR332" t="s">
        <v>6966</v>
      </c>
      <c r="AS332" t="s">
        <v>6966</v>
      </c>
      <c r="AT332" t="s">
        <v>6966</v>
      </c>
      <c r="AU332" t="s">
        <v>6966</v>
      </c>
      <c r="AV332" t="s">
        <v>6966</v>
      </c>
      <c r="AW332" t="s">
        <v>6966</v>
      </c>
      <c r="AX332" t="s">
        <v>6966</v>
      </c>
      <c r="AY332" t="s">
        <v>6966</v>
      </c>
      <c r="AZ332">
        <v>0.10306999999999999</v>
      </c>
      <c r="BA332">
        <v>3.1E-4</v>
      </c>
    </row>
    <row r="333" spans="1:53" x14ac:dyDescent="0.25">
      <c r="A333">
        <v>331</v>
      </c>
      <c r="B333" t="s">
        <v>7625</v>
      </c>
      <c r="C333">
        <v>703024</v>
      </c>
      <c r="D333" t="s">
        <v>585</v>
      </c>
      <c r="E333" t="s">
        <v>7704</v>
      </c>
      <c r="F333">
        <v>1931996.875</v>
      </c>
      <c r="G333">
        <v>6422.794922</v>
      </c>
      <c r="H333">
        <v>281</v>
      </c>
      <c r="I333">
        <v>454</v>
      </c>
      <c r="J333">
        <v>32173</v>
      </c>
      <c r="K333" t="s">
        <v>2032</v>
      </c>
      <c r="L333">
        <v>9</v>
      </c>
      <c r="M333">
        <v>9</v>
      </c>
      <c r="N333">
        <v>32173</v>
      </c>
      <c r="O333">
        <v>269</v>
      </c>
      <c r="P333" t="s">
        <v>3215</v>
      </c>
      <c r="Q333">
        <v>0</v>
      </c>
      <c r="R333">
        <v>0.31</v>
      </c>
      <c r="S333">
        <v>0.01</v>
      </c>
      <c r="T333">
        <v>1</v>
      </c>
      <c r="U333">
        <v>1931996.94463</v>
      </c>
      <c r="V333">
        <v>6422.7948850000002</v>
      </c>
      <c r="W333">
        <v>332</v>
      </c>
      <c r="X333">
        <v>0</v>
      </c>
      <c r="Y333">
        <v>331</v>
      </c>
      <c r="Z333" t="s">
        <v>6966</v>
      </c>
      <c r="AA333" t="s">
        <v>6966</v>
      </c>
      <c r="AB333" t="s">
        <v>6966</v>
      </c>
      <c r="AC333" t="s">
        <v>6966</v>
      </c>
      <c r="AD333" t="s">
        <v>6966</v>
      </c>
      <c r="AE333" t="s">
        <v>6966</v>
      </c>
      <c r="AF333" t="s">
        <v>6966</v>
      </c>
      <c r="AG333" t="s">
        <v>6966</v>
      </c>
      <c r="AH333" t="s">
        <v>6966</v>
      </c>
      <c r="AI333" t="s">
        <v>6966</v>
      </c>
      <c r="AJ333" t="s">
        <v>6966</v>
      </c>
      <c r="AK333" t="s">
        <v>6966</v>
      </c>
      <c r="AL333" t="s">
        <v>6966</v>
      </c>
      <c r="AM333" t="s">
        <v>6966</v>
      </c>
      <c r="AN333" t="s">
        <v>6966</v>
      </c>
      <c r="AO333" t="s">
        <v>6966</v>
      </c>
      <c r="AP333" t="s">
        <v>6966</v>
      </c>
      <c r="AQ333" t="s">
        <v>6966</v>
      </c>
      <c r="AR333" t="s">
        <v>6966</v>
      </c>
      <c r="AS333" t="s">
        <v>6966</v>
      </c>
      <c r="AT333" t="s">
        <v>6966</v>
      </c>
      <c r="AU333" t="s">
        <v>6966</v>
      </c>
      <c r="AV333" t="s">
        <v>6966</v>
      </c>
      <c r="AW333" t="s">
        <v>6966</v>
      </c>
      <c r="AX333" t="s">
        <v>6966</v>
      </c>
      <c r="AY333" t="s">
        <v>6966</v>
      </c>
      <c r="AZ333">
        <v>6.5227999999999994E-2</v>
      </c>
      <c r="BA333">
        <v>1.8900000000000001E-4</v>
      </c>
    </row>
    <row r="334" spans="1:53" x14ac:dyDescent="0.25">
      <c r="A334">
        <v>332</v>
      </c>
      <c r="B334" t="s">
        <v>7625</v>
      </c>
      <c r="C334">
        <v>706018</v>
      </c>
      <c r="D334" t="s">
        <v>610</v>
      </c>
      <c r="E334" t="s">
        <v>597</v>
      </c>
      <c r="F334">
        <v>2456856.5</v>
      </c>
      <c r="G334">
        <v>8762.1025389999995</v>
      </c>
      <c r="H334">
        <v>282</v>
      </c>
      <c r="I334">
        <v>455</v>
      </c>
      <c r="J334">
        <v>33137</v>
      </c>
      <c r="K334" t="s">
        <v>7740</v>
      </c>
      <c r="L334">
        <v>10</v>
      </c>
      <c r="M334">
        <v>10</v>
      </c>
      <c r="N334">
        <v>33137</v>
      </c>
      <c r="O334">
        <v>270</v>
      </c>
      <c r="P334" t="s">
        <v>3215</v>
      </c>
      <c r="Q334">
        <v>1.6</v>
      </c>
      <c r="R334">
        <v>95.11</v>
      </c>
      <c r="S334">
        <v>0.46</v>
      </c>
      <c r="T334">
        <v>230</v>
      </c>
      <c r="U334">
        <v>2456856.5106700002</v>
      </c>
      <c r="V334">
        <v>8762.1020979999994</v>
      </c>
      <c r="W334">
        <v>333</v>
      </c>
      <c r="X334">
        <v>0</v>
      </c>
      <c r="Y334">
        <v>332</v>
      </c>
      <c r="Z334" t="s">
        <v>6966</v>
      </c>
      <c r="AA334" t="s">
        <v>6966</v>
      </c>
      <c r="AB334" t="s">
        <v>6966</v>
      </c>
      <c r="AC334" t="s">
        <v>6966</v>
      </c>
      <c r="AD334" t="s">
        <v>6966</v>
      </c>
      <c r="AE334" t="s">
        <v>6966</v>
      </c>
      <c r="AF334" t="s">
        <v>6966</v>
      </c>
      <c r="AG334" t="s">
        <v>6966</v>
      </c>
      <c r="AH334" t="s">
        <v>6966</v>
      </c>
      <c r="AI334" t="s">
        <v>6966</v>
      </c>
      <c r="AJ334" t="s">
        <v>6966</v>
      </c>
      <c r="AK334" t="s">
        <v>6966</v>
      </c>
      <c r="AL334" t="s">
        <v>6966</v>
      </c>
      <c r="AM334" t="s">
        <v>6966</v>
      </c>
      <c r="AN334" t="s">
        <v>6966</v>
      </c>
      <c r="AO334" t="s">
        <v>6966</v>
      </c>
      <c r="AP334" t="s">
        <v>6966</v>
      </c>
      <c r="AQ334" t="s">
        <v>6966</v>
      </c>
      <c r="AR334" t="s">
        <v>6966</v>
      </c>
      <c r="AS334" t="s">
        <v>6966</v>
      </c>
      <c r="AT334" t="s">
        <v>6966</v>
      </c>
      <c r="AU334" t="s">
        <v>6966</v>
      </c>
      <c r="AV334" t="s">
        <v>6966</v>
      </c>
      <c r="AW334" t="s">
        <v>6966</v>
      </c>
      <c r="AX334" t="s">
        <v>6966</v>
      </c>
      <c r="AY334" t="s">
        <v>6966</v>
      </c>
      <c r="AZ334">
        <v>8.6847999999999995E-2</v>
      </c>
      <c r="BA334">
        <v>2.41E-4</v>
      </c>
    </row>
    <row r="335" spans="1:53" x14ac:dyDescent="0.25">
      <c r="A335">
        <v>333</v>
      </c>
      <c r="B335" t="s">
        <v>7625</v>
      </c>
      <c r="C335">
        <v>703039</v>
      </c>
      <c r="D335" t="s">
        <v>584</v>
      </c>
      <c r="E335" t="s">
        <v>7704</v>
      </c>
      <c r="F335">
        <v>4480234</v>
      </c>
      <c r="G335">
        <v>12655.101563</v>
      </c>
      <c r="H335">
        <v>283</v>
      </c>
      <c r="I335">
        <v>456</v>
      </c>
      <c r="J335">
        <v>32171</v>
      </c>
      <c r="K335" t="s">
        <v>2031</v>
      </c>
      <c r="L335">
        <v>9</v>
      </c>
      <c r="M335">
        <v>9</v>
      </c>
      <c r="N335">
        <v>32171</v>
      </c>
      <c r="O335">
        <v>271</v>
      </c>
      <c r="P335" t="s">
        <v>3215</v>
      </c>
      <c r="Q335">
        <v>1.7</v>
      </c>
      <c r="R335">
        <v>31.53</v>
      </c>
      <c r="S335">
        <v>0.42</v>
      </c>
      <c r="T335">
        <v>8</v>
      </c>
      <c r="U335">
        <v>4480233.8839800004</v>
      </c>
      <c r="V335">
        <v>12655.100272</v>
      </c>
      <c r="W335">
        <v>334</v>
      </c>
      <c r="X335">
        <v>0</v>
      </c>
      <c r="Y335">
        <v>333</v>
      </c>
      <c r="Z335" t="s">
        <v>6966</v>
      </c>
      <c r="AA335" t="s">
        <v>6966</v>
      </c>
      <c r="AB335" t="s">
        <v>6966</v>
      </c>
      <c r="AC335" t="s">
        <v>6966</v>
      </c>
      <c r="AD335" t="s">
        <v>6966</v>
      </c>
      <c r="AE335" t="s">
        <v>6966</v>
      </c>
      <c r="AF335" t="s">
        <v>6966</v>
      </c>
      <c r="AG335" t="s">
        <v>6966</v>
      </c>
      <c r="AH335" t="s">
        <v>6966</v>
      </c>
      <c r="AI335" t="s">
        <v>6966</v>
      </c>
      <c r="AJ335" t="s">
        <v>6966</v>
      </c>
      <c r="AK335" t="s">
        <v>6966</v>
      </c>
      <c r="AL335" t="s">
        <v>6966</v>
      </c>
      <c r="AM335" t="s">
        <v>6966</v>
      </c>
      <c r="AN335" t="s">
        <v>6966</v>
      </c>
      <c r="AO335" t="s">
        <v>6966</v>
      </c>
      <c r="AP335" t="s">
        <v>6966</v>
      </c>
      <c r="AQ335" t="s">
        <v>6966</v>
      </c>
      <c r="AR335" t="s">
        <v>6966</v>
      </c>
      <c r="AS335" t="s">
        <v>6966</v>
      </c>
      <c r="AT335" t="s">
        <v>6966</v>
      </c>
      <c r="AU335" t="s">
        <v>6966</v>
      </c>
      <c r="AV335" t="s">
        <v>6966</v>
      </c>
      <c r="AW335" t="s">
        <v>6966</v>
      </c>
      <c r="AX335" t="s">
        <v>6966</v>
      </c>
      <c r="AY335" t="s">
        <v>6966</v>
      </c>
      <c r="AZ335">
        <v>0.127132</v>
      </c>
      <c r="BA335">
        <v>4.3899999999999999E-4</v>
      </c>
    </row>
    <row r="336" spans="1:53" x14ac:dyDescent="0.25">
      <c r="A336">
        <v>334</v>
      </c>
      <c r="B336" t="s">
        <v>7625</v>
      </c>
      <c r="C336">
        <v>706024</v>
      </c>
      <c r="D336" t="s">
        <v>612</v>
      </c>
      <c r="E336" t="s">
        <v>597</v>
      </c>
      <c r="F336">
        <v>2888173.25</v>
      </c>
      <c r="G336">
        <v>9592.8837889999995</v>
      </c>
      <c r="H336">
        <v>284</v>
      </c>
      <c r="I336">
        <v>458</v>
      </c>
      <c r="J336">
        <v>33141</v>
      </c>
      <c r="K336" t="s">
        <v>7741</v>
      </c>
      <c r="L336">
        <v>10</v>
      </c>
      <c r="M336">
        <v>10</v>
      </c>
      <c r="N336">
        <v>33141</v>
      </c>
      <c r="O336">
        <v>272</v>
      </c>
      <c r="P336" t="s">
        <v>3215</v>
      </c>
      <c r="Q336">
        <v>2.2999999999999998</v>
      </c>
      <c r="R336">
        <v>82.26</v>
      </c>
      <c r="S336">
        <v>0.63</v>
      </c>
      <c r="T336">
        <v>36</v>
      </c>
      <c r="U336">
        <v>2888173.2812000001</v>
      </c>
      <c r="V336">
        <v>9592.8838529999994</v>
      </c>
      <c r="W336">
        <v>335</v>
      </c>
      <c r="X336">
        <v>0</v>
      </c>
      <c r="Y336">
        <v>334</v>
      </c>
      <c r="Z336" t="s">
        <v>6966</v>
      </c>
      <c r="AA336" t="s">
        <v>6966</v>
      </c>
      <c r="AB336" t="s">
        <v>6966</v>
      </c>
      <c r="AC336" t="s">
        <v>6966</v>
      </c>
      <c r="AD336" t="s">
        <v>6966</v>
      </c>
      <c r="AE336" t="s">
        <v>6966</v>
      </c>
      <c r="AF336" t="s">
        <v>6966</v>
      </c>
      <c r="AG336" t="s">
        <v>6966</v>
      </c>
      <c r="AH336" t="s">
        <v>6966</v>
      </c>
      <c r="AI336" t="s">
        <v>6966</v>
      </c>
      <c r="AJ336" t="s">
        <v>6966</v>
      </c>
      <c r="AK336" t="s">
        <v>6966</v>
      </c>
      <c r="AL336" t="s">
        <v>6966</v>
      </c>
      <c r="AM336" t="s">
        <v>6966</v>
      </c>
      <c r="AN336" t="s">
        <v>6966</v>
      </c>
      <c r="AO336" t="s">
        <v>6966</v>
      </c>
      <c r="AP336" t="s">
        <v>6966</v>
      </c>
      <c r="AQ336" t="s">
        <v>6966</v>
      </c>
      <c r="AR336" t="s">
        <v>6966</v>
      </c>
      <c r="AS336" t="s">
        <v>6966</v>
      </c>
      <c r="AT336" t="s">
        <v>6966</v>
      </c>
      <c r="AU336" t="s">
        <v>6966</v>
      </c>
      <c r="AV336" t="s">
        <v>6966</v>
      </c>
      <c r="AW336" t="s">
        <v>6966</v>
      </c>
      <c r="AX336" t="s">
        <v>6966</v>
      </c>
      <c r="AY336" t="s">
        <v>6966</v>
      </c>
      <c r="AZ336">
        <v>9.3926999999999997E-2</v>
      </c>
      <c r="BA336">
        <v>2.8299999999999999E-4</v>
      </c>
    </row>
    <row r="337" spans="1:53" x14ac:dyDescent="0.25">
      <c r="A337">
        <v>335</v>
      </c>
      <c r="B337" t="s">
        <v>7625</v>
      </c>
      <c r="C337">
        <v>706047</v>
      </c>
      <c r="D337" t="s">
        <v>617</v>
      </c>
      <c r="E337" t="s">
        <v>597</v>
      </c>
      <c r="F337">
        <v>1623560</v>
      </c>
      <c r="G337">
        <v>5756.4975590000004</v>
      </c>
      <c r="H337">
        <v>285</v>
      </c>
      <c r="I337">
        <v>459</v>
      </c>
      <c r="J337">
        <v>33151</v>
      </c>
      <c r="K337" t="s">
        <v>617</v>
      </c>
      <c r="L337">
        <v>10</v>
      </c>
      <c r="M337">
        <v>10</v>
      </c>
      <c r="N337">
        <v>33151</v>
      </c>
      <c r="O337">
        <v>273</v>
      </c>
      <c r="P337" t="s">
        <v>3215</v>
      </c>
      <c r="Q337">
        <v>1.3</v>
      </c>
      <c r="R337">
        <v>36.770000000000003</v>
      </c>
      <c r="S337">
        <v>0.32</v>
      </c>
      <c r="T337">
        <v>9</v>
      </c>
      <c r="U337">
        <v>1623559.99523</v>
      </c>
      <c r="V337">
        <v>5756.4980759999999</v>
      </c>
      <c r="W337">
        <v>336</v>
      </c>
      <c r="X337">
        <v>0</v>
      </c>
      <c r="Y337">
        <v>335</v>
      </c>
      <c r="Z337" t="s">
        <v>6966</v>
      </c>
      <c r="AA337" t="s">
        <v>6966</v>
      </c>
      <c r="AB337" t="s">
        <v>6966</v>
      </c>
      <c r="AC337" t="s">
        <v>6966</v>
      </c>
      <c r="AD337" t="s">
        <v>6966</v>
      </c>
      <c r="AE337" t="s">
        <v>6966</v>
      </c>
      <c r="AF337" t="s">
        <v>6966</v>
      </c>
      <c r="AG337" t="s">
        <v>6966</v>
      </c>
      <c r="AH337" t="s">
        <v>6966</v>
      </c>
      <c r="AI337" t="s">
        <v>6966</v>
      </c>
      <c r="AJ337" t="s">
        <v>6966</v>
      </c>
      <c r="AK337" t="s">
        <v>6966</v>
      </c>
      <c r="AL337" t="s">
        <v>6966</v>
      </c>
      <c r="AM337" t="s">
        <v>6966</v>
      </c>
      <c r="AN337" t="s">
        <v>6966</v>
      </c>
      <c r="AO337" t="s">
        <v>6966</v>
      </c>
      <c r="AP337" t="s">
        <v>6966</v>
      </c>
      <c r="AQ337" t="s">
        <v>6966</v>
      </c>
      <c r="AR337" t="s">
        <v>6966</v>
      </c>
      <c r="AS337" t="s">
        <v>6966</v>
      </c>
      <c r="AT337" t="s">
        <v>6966</v>
      </c>
      <c r="AU337" t="s">
        <v>6966</v>
      </c>
      <c r="AV337" t="s">
        <v>6966</v>
      </c>
      <c r="AW337" t="s">
        <v>6966</v>
      </c>
      <c r="AX337" t="s">
        <v>6966</v>
      </c>
      <c r="AY337" t="s">
        <v>6966</v>
      </c>
      <c r="AZ337">
        <v>5.6826000000000002E-2</v>
      </c>
      <c r="BA337">
        <v>1.5899999999999999E-4</v>
      </c>
    </row>
    <row r="338" spans="1:53" x14ac:dyDescent="0.25">
      <c r="A338">
        <v>336</v>
      </c>
      <c r="B338" t="s">
        <v>7625</v>
      </c>
      <c r="C338">
        <v>706027</v>
      </c>
      <c r="D338" t="s">
        <v>615</v>
      </c>
      <c r="E338" t="s">
        <v>597</v>
      </c>
      <c r="F338">
        <v>2688618</v>
      </c>
      <c r="G338">
        <v>7789.2373049999997</v>
      </c>
      <c r="H338">
        <v>286</v>
      </c>
      <c r="I338">
        <v>460</v>
      </c>
      <c r="J338">
        <v>33147</v>
      </c>
      <c r="K338" t="s">
        <v>2059</v>
      </c>
      <c r="L338">
        <v>10</v>
      </c>
      <c r="M338">
        <v>10</v>
      </c>
      <c r="N338">
        <v>33147</v>
      </c>
      <c r="O338">
        <v>274</v>
      </c>
      <c r="P338" t="s">
        <v>3215</v>
      </c>
      <c r="Q338">
        <v>0.4</v>
      </c>
      <c r="R338">
        <v>34.450000000000003</v>
      </c>
      <c r="S338">
        <v>0.14000000000000001</v>
      </c>
      <c r="T338">
        <v>11</v>
      </c>
      <c r="U338">
        <v>2688617.9562499998</v>
      </c>
      <c r="V338">
        <v>7789.236715</v>
      </c>
      <c r="W338">
        <v>337</v>
      </c>
      <c r="X338">
        <v>0</v>
      </c>
      <c r="Y338">
        <v>336</v>
      </c>
      <c r="Z338" t="s">
        <v>6966</v>
      </c>
      <c r="AA338" t="s">
        <v>6966</v>
      </c>
      <c r="AB338" t="s">
        <v>6966</v>
      </c>
      <c r="AC338" t="s">
        <v>6966</v>
      </c>
      <c r="AD338" t="s">
        <v>6966</v>
      </c>
      <c r="AE338" t="s">
        <v>6966</v>
      </c>
      <c r="AF338" t="s">
        <v>6966</v>
      </c>
      <c r="AG338" t="s">
        <v>6966</v>
      </c>
      <c r="AH338" t="s">
        <v>6966</v>
      </c>
      <c r="AI338" t="s">
        <v>6966</v>
      </c>
      <c r="AJ338" t="s">
        <v>6966</v>
      </c>
      <c r="AK338" t="s">
        <v>6966</v>
      </c>
      <c r="AL338" t="s">
        <v>6966</v>
      </c>
      <c r="AM338" t="s">
        <v>6966</v>
      </c>
      <c r="AN338" t="s">
        <v>6966</v>
      </c>
      <c r="AO338" t="s">
        <v>6966</v>
      </c>
      <c r="AP338" t="s">
        <v>6966</v>
      </c>
      <c r="AQ338" t="s">
        <v>6966</v>
      </c>
      <c r="AR338" t="s">
        <v>6966</v>
      </c>
      <c r="AS338" t="s">
        <v>6966</v>
      </c>
      <c r="AT338" t="s">
        <v>6966</v>
      </c>
      <c r="AU338" t="s">
        <v>6966</v>
      </c>
      <c r="AV338" t="s">
        <v>6966</v>
      </c>
      <c r="AW338" t="s">
        <v>6966</v>
      </c>
      <c r="AX338" t="s">
        <v>6966</v>
      </c>
      <c r="AY338" t="s">
        <v>6966</v>
      </c>
      <c r="AZ338">
        <v>7.7098E-2</v>
      </c>
      <c r="BA338">
        <v>2.63E-4</v>
      </c>
    </row>
    <row r="339" spans="1:53" x14ac:dyDescent="0.25">
      <c r="A339">
        <v>337</v>
      </c>
      <c r="B339" t="s">
        <v>7625</v>
      </c>
      <c r="C339">
        <v>704030</v>
      </c>
      <c r="D339" t="s">
        <v>938</v>
      </c>
      <c r="E339" t="s">
        <v>7685</v>
      </c>
      <c r="F339">
        <v>8449842</v>
      </c>
      <c r="G339">
        <v>23086.863281000002</v>
      </c>
      <c r="H339">
        <v>287</v>
      </c>
      <c r="I339">
        <v>461</v>
      </c>
      <c r="J339">
        <v>37347</v>
      </c>
      <c r="K339" t="s">
        <v>2305</v>
      </c>
      <c r="L339">
        <v>14</v>
      </c>
      <c r="M339">
        <v>14</v>
      </c>
      <c r="N339">
        <v>37347</v>
      </c>
      <c r="O339">
        <v>275</v>
      </c>
      <c r="P339" t="s">
        <v>3215</v>
      </c>
      <c r="Q339">
        <v>0.9</v>
      </c>
      <c r="R339">
        <v>76.28</v>
      </c>
      <c r="S339">
        <v>0.2</v>
      </c>
      <c r="T339">
        <v>17</v>
      </c>
      <c r="U339">
        <v>8449841.9235900007</v>
      </c>
      <c r="V339">
        <v>23086.864024999999</v>
      </c>
      <c r="W339">
        <v>338</v>
      </c>
      <c r="X339">
        <v>0</v>
      </c>
      <c r="Y339">
        <v>337</v>
      </c>
      <c r="Z339" t="s">
        <v>6966</v>
      </c>
      <c r="AA339" t="s">
        <v>6966</v>
      </c>
      <c r="AB339" t="s">
        <v>6966</v>
      </c>
      <c r="AC339" t="s">
        <v>6966</v>
      </c>
      <c r="AD339" t="s">
        <v>6966</v>
      </c>
      <c r="AE339" t="s">
        <v>6966</v>
      </c>
      <c r="AF339" t="s">
        <v>6966</v>
      </c>
      <c r="AG339" t="s">
        <v>6966</v>
      </c>
      <c r="AH339" t="s">
        <v>6966</v>
      </c>
      <c r="AI339" t="s">
        <v>6966</v>
      </c>
      <c r="AJ339" t="s">
        <v>6966</v>
      </c>
      <c r="AK339" t="s">
        <v>6966</v>
      </c>
      <c r="AL339" t="s">
        <v>6966</v>
      </c>
      <c r="AM339" t="s">
        <v>6966</v>
      </c>
      <c r="AN339" t="s">
        <v>6966</v>
      </c>
      <c r="AO339" t="s">
        <v>6966</v>
      </c>
      <c r="AP339" t="s">
        <v>6966</v>
      </c>
      <c r="AQ339" t="s">
        <v>6966</v>
      </c>
      <c r="AR339" t="s">
        <v>6966</v>
      </c>
      <c r="AS339" t="s">
        <v>6966</v>
      </c>
      <c r="AT339" t="s">
        <v>6966</v>
      </c>
      <c r="AU339" t="s">
        <v>6966</v>
      </c>
      <c r="AV339" t="s">
        <v>6966</v>
      </c>
      <c r="AW339" t="s">
        <v>6966</v>
      </c>
      <c r="AX339" t="s">
        <v>6966</v>
      </c>
      <c r="AY339" t="s">
        <v>6966</v>
      </c>
      <c r="AZ339">
        <v>0.230018</v>
      </c>
      <c r="BA339">
        <v>8.2799999999999996E-4</v>
      </c>
    </row>
    <row r="340" spans="1:53" x14ac:dyDescent="0.25">
      <c r="A340">
        <v>338</v>
      </c>
      <c r="B340" t="s">
        <v>7625</v>
      </c>
      <c r="C340">
        <v>703034</v>
      </c>
      <c r="D340" t="s">
        <v>582</v>
      </c>
      <c r="E340" t="s">
        <v>7704</v>
      </c>
      <c r="F340">
        <v>2800214</v>
      </c>
      <c r="G340">
        <v>8665.6914059999999</v>
      </c>
      <c r="H340">
        <v>288</v>
      </c>
      <c r="I340">
        <v>462</v>
      </c>
      <c r="J340">
        <v>32167</v>
      </c>
      <c r="K340" t="s">
        <v>582</v>
      </c>
      <c r="L340">
        <v>9</v>
      </c>
      <c r="M340">
        <v>9</v>
      </c>
      <c r="N340">
        <v>32167</v>
      </c>
      <c r="O340">
        <v>276</v>
      </c>
      <c r="P340" t="s">
        <v>3215</v>
      </c>
      <c r="Q340">
        <v>1.3</v>
      </c>
      <c r="R340">
        <v>63.27</v>
      </c>
      <c r="S340">
        <v>0.33</v>
      </c>
      <c r="T340">
        <v>16</v>
      </c>
      <c r="U340">
        <v>2800214.17588</v>
      </c>
      <c r="V340">
        <v>8665.6908579999999</v>
      </c>
      <c r="W340">
        <v>339</v>
      </c>
      <c r="X340">
        <v>0</v>
      </c>
      <c r="Y340">
        <v>338</v>
      </c>
      <c r="Z340" t="s">
        <v>6966</v>
      </c>
      <c r="AA340" t="s">
        <v>6966</v>
      </c>
      <c r="AB340" t="s">
        <v>6966</v>
      </c>
      <c r="AC340" t="s">
        <v>6966</v>
      </c>
      <c r="AD340" t="s">
        <v>6966</v>
      </c>
      <c r="AE340" t="s">
        <v>6966</v>
      </c>
      <c r="AF340" t="s">
        <v>6966</v>
      </c>
      <c r="AG340" t="s">
        <v>6966</v>
      </c>
      <c r="AH340" t="s">
        <v>6966</v>
      </c>
      <c r="AI340" t="s">
        <v>6966</v>
      </c>
      <c r="AJ340" t="s">
        <v>6966</v>
      </c>
      <c r="AK340" t="s">
        <v>6966</v>
      </c>
      <c r="AL340" t="s">
        <v>6966</v>
      </c>
      <c r="AM340" t="s">
        <v>6966</v>
      </c>
      <c r="AN340" t="s">
        <v>6966</v>
      </c>
      <c r="AO340" t="s">
        <v>6966</v>
      </c>
      <c r="AP340" t="s">
        <v>6966</v>
      </c>
      <c r="AQ340" t="s">
        <v>6966</v>
      </c>
      <c r="AR340" t="s">
        <v>6966</v>
      </c>
      <c r="AS340" t="s">
        <v>6966</v>
      </c>
      <c r="AT340" t="s">
        <v>6966</v>
      </c>
      <c r="AU340" t="s">
        <v>6966</v>
      </c>
      <c r="AV340" t="s">
        <v>6966</v>
      </c>
      <c r="AW340" t="s">
        <v>6966</v>
      </c>
      <c r="AX340" t="s">
        <v>6966</v>
      </c>
      <c r="AY340" t="s">
        <v>6966</v>
      </c>
      <c r="AZ340">
        <v>8.2869999999999999E-2</v>
      </c>
      <c r="BA340">
        <v>2.7399999999999999E-4</v>
      </c>
    </row>
    <row r="341" spans="1:53" x14ac:dyDescent="0.25">
      <c r="A341">
        <v>339</v>
      </c>
      <c r="B341" t="s">
        <v>7625</v>
      </c>
      <c r="C341">
        <v>703025</v>
      </c>
      <c r="D341" t="s">
        <v>7742</v>
      </c>
      <c r="E341" t="s">
        <v>7704</v>
      </c>
      <c r="F341">
        <v>5167796</v>
      </c>
      <c r="G341">
        <v>15159.915039</v>
      </c>
      <c r="H341">
        <v>289</v>
      </c>
      <c r="I341">
        <v>463</v>
      </c>
      <c r="J341">
        <v>32181</v>
      </c>
      <c r="K341" t="s">
        <v>2036</v>
      </c>
      <c r="L341">
        <v>9</v>
      </c>
      <c r="M341">
        <v>9</v>
      </c>
      <c r="N341">
        <v>32181</v>
      </c>
      <c r="O341">
        <v>277</v>
      </c>
      <c r="P341" t="s">
        <v>3215</v>
      </c>
      <c r="Q341">
        <v>9.1999999999999993</v>
      </c>
      <c r="R341">
        <v>71.94</v>
      </c>
      <c r="S341">
        <v>2.64</v>
      </c>
      <c r="T341">
        <v>22</v>
      </c>
      <c r="U341">
        <v>5167796.2028299998</v>
      </c>
      <c r="V341">
        <v>15159.916187000001</v>
      </c>
      <c r="W341">
        <v>340</v>
      </c>
      <c r="X341">
        <v>0</v>
      </c>
      <c r="Y341">
        <v>339</v>
      </c>
      <c r="Z341" t="s">
        <v>6966</v>
      </c>
      <c r="AA341" t="s">
        <v>6966</v>
      </c>
      <c r="AB341" t="s">
        <v>6966</v>
      </c>
      <c r="AC341" t="s">
        <v>6966</v>
      </c>
      <c r="AD341" t="s">
        <v>6966</v>
      </c>
      <c r="AE341" t="s">
        <v>6966</v>
      </c>
      <c r="AF341" t="s">
        <v>6966</v>
      </c>
      <c r="AG341" t="s">
        <v>6966</v>
      </c>
      <c r="AH341" t="s">
        <v>6966</v>
      </c>
      <c r="AI341" t="s">
        <v>6966</v>
      </c>
      <c r="AJ341" t="s">
        <v>6966</v>
      </c>
      <c r="AK341" t="s">
        <v>6966</v>
      </c>
      <c r="AL341" t="s">
        <v>6966</v>
      </c>
      <c r="AM341" t="s">
        <v>6966</v>
      </c>
      <c r="AN341" t="s">
        <v>6966</v>
      </c>
      <c r="AO341" t="s">
        <v>6966</v>
      </c>
      <c r="AP341" t="s">
        <v>6966</v>
      </c>
      <c r="AQ341" t="s">
        <v>6966</v>
      </c>
      <c r="AR341" t="s">
        <v>6966</v>
      </c>
      <c r="AS341" t="s">
        <v>6966</v>
      </c>
      <c r="AT341" t="s">
        <v>6966</v>
      </c>
      <c r="AU341" t="s">
        <v>6966</v>
      </c>
      <c r="AV341" t="s">
        <v>6966</v>
      </c>
      <c r="AW341" t="s">
        <v>6966</v>
      </c>
      <c r="AX341" t="s">
        <v>6966</v>
      </c>
      <c r="AY341" t="s">
        <v>6966</v>
      </c>
      <c r="AZ341">
        <v>0.152251</v>
      </c>
      <c r="BA341">
        <v>5.0600000000000005E-4</v>
      </c>
    </row>
    <row r="342" spans="1:53" x14ac:dyDescent="0.25">
      <c r="A342">
        <v>340</v>
      </c>
      <c r="B342" t="s">
        <v>7625</v>
      </c>
      <c r="C342">
        <v>706022</v>
      </c>
      <c r="D342" t="s">
        <v>618</v>
      </c>
      <c r="E342" t="s">
        <v>597</v>
      </c>
      <c r="F342">
        <v>369018.40625</v>
      </c>
      <c r="G342">
        <v>3229.4555660000001</v>
      </c>
      <c r="H342">
        <v>290</v>
      </c>
      <c r="I342">
        <v>464</v>
      </c>
      <c r="J342">
        <v>33152</v>
      </c>
      <c r="K342" t="s">
        <v>1835</v>
      </c>
      <c r="L342">
        <v>10</v>
      </c>
      <c r="M342">
        <v>10</v>
      </c>
      <c r="N342">
        <v>33152</v>
      </c>
      <c r="O342">
        <v>278</v>
      </c>
      <c r="P342" t="s">
        <v>3215</v>
      </c>
      <c r="Q342">
        <v>0</v>
      </c>
      <c r="R342">
        <v>0</v>
      </c>
      <c r="S342">
        <v>0</v>
      </c>
      <c r="T342">
        <v>0</v>
      </c>
      <c r="U342">
        <v>369018.46682500001</v>
      </c>
      <c r="V342">
        <v>3229.4556790000001</v>
      </c>
      <c r="W342">
        <v>341</v>
      </c>
      <c r="X342">
        <v>0</v>
      </c>
      <c r="Y342">
        <v>340</v>
      </c>
      <c r="Z342" t="s">
        <v>6966</v>
      </c>
      <c r="AA342" t="s">
        <v>6966</v>
      </c>
      <c r="AB342" t="s">
        <v>6966</v>
      </c>
      <c r="AC342" t="s">
        <v>6966</v>
      </c>
      <c r="AD342" t="s">
        <v>6966</v>
      </c>
      <c r="AE342" t="s">
        <v>6966</v>
      </c>
      <c r="AF342" t="s">
        <v>6966</v>
      </c>
      <c r="AG342" t="s">
        <v>6966</v>
      </c>
      <c r="AH342" t="s">
        <v>6966</v>
      </c>
      <c r="AI342" t="s">
        <v>6966</v>
      </c>
      <c r="AJ342" t="s">
        <v>6966</v>
      </c>
      <c r="AK342" t="s">
        <v>6966</v>
      </c>
      <c r="AL342" t="s">
        <v>6966</v>
      </c>
      <c r="AM342" t="s">
        <v>6966</v>
      </c>
      <c r="AN342" t="s">
        <v>6966</v>
      </c>
      <c r="AO342" t="s">
        <v>6966</v>
      </c>
      <c r="AP342" t="s">
        <v>6966</v>
      </c>
      <c r="AQ342" t="s">
        <v>6966</v>
      </c>
      <c r="AR342" t="s">
        <v>6966</v>
      </c>
      <c r="AS342" t="s">
        <v>6966</v>
      </c>
      <c r="AT342" t="s">
        <v>6966</v>
      </c>
      <c r="AU342" t="s">
        <v>6966</v>
      </c>
      <c r="AV342" t="s">
        <v>6966</v>
      </c>
      <c r="AW342" t="s">
        <v>6966</v>
      </c>
      <c r="AX342" t="s">
        <v>6966</v>
      </c>
      <c r="AY342" t="s">
        <v>6966</v>
      </c>
      <c r="AZ342">
        <v>3.2389000000000001E-2</v>
      </c>
      <c r="BA342">
        <v>3.6000000000000001E-5</v>
      </c>
    </row>
    <row r="343" spans="1:53" x14ac:dyDescent="0.25">
      <c r="A343">
        <v>341</v>
      </c>
      <c r="B343" t="s">
        <v>7625</v>
      </c>
      <c r="C343">
        <v>704035</v>
      </c>
      <c r="D343" t="s">
        <v>964</v>
      </c>
      <c r="E343" t="s">
        <v>7685</v>
      </c>
      <c r="F343">
        <v>813875</v>
      </c>
      <c r="G343">
        <v>4404.5883789999998</v>
      </c>
      <c r="H343">
        <v>291</v>
      </c>
      <c r="I343">
        <v>465</v>
      </c>
      <c r="J343">
        <v>37389</v>
      </c>
      <c r="K343" t="s">
        <v>7743</v>
      </c>
      <c r="L343">
        <v>14</v>
      </c>
      <c r="M343">
        <v>14</v>
      </c>
      <c r="N343">
        <v>37389</v>
      </c>
      <c r="O343">
        <v>279</v>
      </c>
      <c r="P343" t="s">
        <v>3215</v>
      </c>
      <c r="Q343">
        <v>0</v>
      </c>
      <c r="R343">
        <v>0</v>
      </c>
      <c r="S343">
        <v>0</v>
      </c>
      <c r="T343">
        <v>0</v>
      </c>
      <c r="U343">
        <v>813875.00734899996</v>
      </c>
      <c r="V343">
        <v>4404.5882769999998</v>
      </c>
      <c r="W343">
        <v>342</v>
      </c>
      <c r="X343">
        <v>0</v>
      </c>
      <c r="Y343">
        <v>341</v>
      </c>
      <c r="Z343" t="s">
        <v>6966</v>
      </c>
      <c r="AA343" t="s">
        <v>6966</v>
      </c>
      <c r="AB343" t="s">
        <v>6966</v>
      </c>
      <c r="AC343" t="s">
        <v>6966</v>
      </c>
      <c r="AD343" t="s">
        <v>6966</v>
      </c>
      <c r="AE343" t="s">
        <v>6966</v>
      </c>
      <c r="AF343" t="s">
        <v>6966</v>
      </c>
      <c r="AG343" t="s">
        <v>6966</v>
      </c>
      <c r="AH343" t="s">
        <v>6966</v>
      </c>
      <c r="AI343" t="s">
        <v>6966</v>
      </c>
      <c r="AJ343" t="s">
        <v>6966</v>
      </c>
      <c r="AK343" t="s">
        <v>6966</v>
      </c>
      <c r="AL343" t="s">
        <v>6966</v>
      </c>
      <c r="AM343" t="s">
        <v>6966</v>
      </c>
      <c r="AN343" t="s">
        <v>6966</v>
      </c>
      <c r="AO343" t="s">
        <v>6966</v>
      </c>
      <c r="AP343" t="s">
        <v>6966</v>
      </c>
      <c r="AQ343" t="s">
        <v>6966</v>
      </c>
      <c r="AR343" t="s">
        <v>6966</v>
      </c>
      <c r="AS343" t="s">
        <v>6966</v>
      </c>
      <c r="AT343" t="s">
        <v>6966</v>
      </c>
      <c r="AU343" t="s">
        <v>6966</v>
      </c>
      <c r="AV343" t="s">
        <v>6966</v>
      </c>
      <c r="AW343" t="s">
        <v>6966</v>
      </c>
      <c r="AX343" t="s">
        <v>6966</v>
      </c>
      <c r="AY343" t="s">
        <v>6966</v>
      </c>
      <c r="AZ343">
        <v>4.3374999999999997E-2</v>
      </c>
      <c r="BA343">
        <v>8.0000000000000007E-5</v>
      </c>
    </row>
    <row r="344" spans="1:53" x14ac:dyDescent="0.25">
      <c r="A344">
        <v>342</v>
      </c>
      <c r="B344" t="s">
        <v>7625</v>
      </c>
      <c r="C344">
        <v>706042</v>
      </c>
      <c r="D344" t="s">
        <v>620</v>
      </c>
      <c r="E344" t="s">
        <v>597</v>
      </c>
      <c r="F344">
        <v>2827690.25</v>
      </c>
      <c r="G344">
        <v>9781.0605469999991</v>
      </c>
      <c r="H344">
        <v>292</v>
      </c>
      <c r="I344">
        <v>466</v>
      </c>
      <c r="J344">
        <v>33155</v>
      </c>
      <c r="K344" t="s">
        <v>2062</v>
      </c>
      <c r="L344">
        <v>10</v>
      </c>
      <c r="M344">
        <v>10</v>
      </c>
      <c r="N344">
        <v>33155</v>
      </c>
      <c r="O344">
        <v>280</v>
      </c>
      <c r="P344" t="s">
        <v>3215</v>
      </c>
      <c r="Q344">
        <v>3.7</v>
      </c>
      <c r="R344">
        <v>122.2</v>
      </c>
      <c r="S344">
        <v>0.81</v>
      </c>
      <c r="T344">
        <v>26</v>
      </c>
      <c r="U344">
        <v>2827690.3262499999</v>
      </c>
      <c r="V344">
        <v>9781.0605529999993</v>
      </c>
      <c r="W344">
        <v>343</v>
      </c>
      <c r="X344">
        <v>0</v>
      </c>
      <c r="Y344">
        <v>342</v>
      </c>
      <c r="Z344" t="s">
        <v>6966</v>
      </c>
      <c r="AA344" t="s">
        <v>6966</v>
      </c>
      <c r="AB344" t="s">
        <v>6966</v>
      </c>
      <c r="AC344" t="s">
        <v>6966</v>
      </c>
      <c r="AD344" t="s">
        <v>6966</v>
      </c>
      <c r="AE344" t="s">
        <v>6966</v>
      </c>
      <c r="AF344" t="s">
        <v>6966</v>
      </c>
      <c r="AG344" t="s">
        <v>6966</v>
      </c>
      <c r="AH344" t="s">
        <v>6966</v>
      </c>
      <c r="AI344" t="s">
        <v>6966</v>
      </c>
      <c r="AJ344" t="s">
        <v>6966</v>
      </c>
      <c r="AK344" t="s">
        <v>6966</v>
      </c>
      <c r="AL344" t="s">
        <v>6966</v>
      </c>
      <c r="AM344" t="s">
        <v>6966</v>
      </c>
      <c r="AN344" t="s">
        <v>6966</v>
      </c>
      <c r="AO344" t="s">
        <v>6966</v>
      </c>
      <c r="AP344" t="s">
        <v>6966</v>
      </c>
      <c r="AQ344" t="s">
        <v>6966</v>
      </c>
      <c r="AR344" t="s">
        <v>6966</v>
      </c>
      <c r="AS344" t="s">
        <v>6966</v>
      </c>
      <c r="AT344" t="s">
        <v>6966</v>
      </c>
      <c r="AU344" t="s">
        <v>6966</v>
      </c>
      <c r="AV344" t="s">
        <v>6966</v>
      </c>
      <c r="AW344" t="s">
        <v>6966</v>
      </c>
      <c r="AX344" t="s">
        <v>6966</v>
      </c>
      <c r="AY344" t="s">
        <v>6966</v>
      </c>
      <c r="AZ344">
        <v>9.3841999999999995E-2</v>
      </c>
      <c r="BA344">
        <v>2.7700000000000001E-4</v>
      </c>
    </row>
    <row r="345" spans="1:53" x14ac:dyDescent="0.25">
      <c r="A345">
        <v>343</v>
      </c>
      <c r="B345" t="s">
        <v>7625</v>
      </c>
      <c r="C345">
        <v>706033</v>
      </c>
      <c r="D345" t="s">
        <v>619</v>
      </c>
      <c r="E345" t="s">
        <v>597</v>
      </c>
      <c r="F345">
        <v>1884454.625</v>
      </c>
      <c r="G345">
        <v>9459.9931639999995</v>
      </c>
      <c r="H345">
        <v>293</v>
      </c>
      <c r="I345">
        <v>467</v>
      </c>
      <c r="J345">
        <v>33153</v>
      </c>
      <c r="K345" t="s">
        <v>2061</v>
      </c>
      <c r="L345">
        <v>10</v>
      </c>
      <c r="M345">
        <v>10</v>
      </c>
      <c r="N345">
        <v>33153</v>
      </c>
      <c r="O345">
        <v>281</v>
      </c>
      <c r="P345" t="s">
        <v>3215</v>
      </c>
      <c r="Q345">
        <v>2.2000000000000002</v>
      </c>
      <c r="R345">
        <v>62.35</v>
      </c>
      <c r="S345">
        <v>0.59</v>
      </c>
      <c r="T345">
        <v>17</v>
      </c>
      <c r="U345">
        <v>1884454.7277800001</v>
      </c>
      <c r="V345">
        <v>9459.9940229999993</v>
      </c>
      <c r="W345">
        <v>344</v>
      </c>
      <c r="X345">
        <v>0</v>
      </c>
      <c r="Y345">
        <v>343</v>
      </c>
      <c r="Z345" t="s">
        <v>6966</v>
      </c>
      <c r="AA345" t="s">
        <v>6966</v>
      </c>
      <c r="AB345" t="s">
        <v>6966</v>
      </c>
      <c r="AC345" t="s">
        <v>6966</v>
      </c>
      <c r="AD345" t="s">
        <v>6966</v>
      </c>
      <c r="AE345" t="s">
        <v>6966</v>
      </c>
      <c r="AF345" t="s">
        <v>6966</v>
      </c>
      <c r="AG345" t="s">
        <v>6966</v>
      </c>
      <c r="AH345" t="s">
        <v>6966</v>
      </c>
      <c r="AI345" t="s">
        <v>6966</v>
      </c>
      <c r="AJ345" t="s">
        <v>6966</v>
      </c>
      <c r="AK345" t="s">
        <v>6966</v>
      </c>
      <c r="AL345" t="s">
        <v>6966</v>
      </c>
      <c r="AM345" t="s">
        <v>6966</v>
      </c>
      <c r="AN345" t="s">
        <v>6966</v>
      </c>
      <c r="AO345" t="s">
        <v>6966</v>
      </c>
      <c r="AP345" t="s">
        <v>6966</v>
      </c>
      <c r="AQ345" t="s">
        <v>6966</v>
      </c>
      <c r="AR345" t="s">
        <v>6966</v>
      </c>
      <c r="AS345" t="s">
        <v>6966</v>
      </c>
      <c r="AT345" t="s">
        <v>6966</v>
      </c>
      <c r="AU345" t="s">
        <v>6966</v>
      </c>
      <c r="AV345" t="s">
        <v>6966</v>
      </c>
      <c r="AW345" t="s">
        <v>6966</v>
      </c>
      <c r="AX345" t="s">
        <v>6966</v>
      </c>
      <c r="AY345" t="s">
        <v>6966</v>
      </c>
      <c r="AZ345">
        <v>9.0677999999999995E-2</v>
      </c>
      <c r="BA345">
        <v>1.85E-4</v>
      </c>
    </row>
    <row r="346" spans="1:53" x14ac:dyDescent="0.25">
      <c r="A346">
        <v>344</v>
      </c>
      <c r="B346" t="s">
        <v>7625</v>
      </c>
      <c r="C346">
        <v>704058</v>
      </c>
      <c r="D346" t="s">
        <v>87</v>
      </c>
      <c r="E346" t="s">
        <v>7685</v>
      </c>
      <c r="F346">
        <v>0</v>
      </c>
      <c r="G346">
        <v>18992.263672000001</v>
      </c>
      <c r="H346">
        <v>294</v>
      </c>
      <c r="I346">
        <v>468</v>
      </c>
      <c r="J346">
        <v>37002</v>
      </c>
      <c r="K346" t="s">
        <v>87</v>
      </c>
      <c r="L346">
        <v>14</v>
      </c>
      <c r="M346">
        <v>14</v>
      </c>
      <c r="N346">
        <v>37002</v>
      </c>
      <c r="O346">
        <v>282</v>
      </c>
      <c r="P346" t="s">
        <v>3215</v>
      </c>
      <c r="Q346">
        <v>0</v>
      </c>
      <c r="R346">
        <v>0</v>
      </c>
      <c r="S346">
        <v>0</v>
      </c>
      <c r="T346">
        <v>0</v>
      </c>
      <c r="U346">
        <v>0</v>
      </c>
      <c r="V346">
        <v>18992.262916</v>
      </c>
      <c r="W346">
        <v>345</v>
      </c>
      <c r="X346">
        <v>0</v>
      </c>
      <c r="Y346">
        <v>344</v>
      </c>
      <c r="Z346" t="s">
        <v>6966</v>
      </c>
      <c r="AA346" t="s">
        <v>6966</v>
      </c>
      <c r="AB346" t="s">
        <v>6966</v>
      </c>
      <c r="AC346" t="s">
        <v>6966</v>
      </c>
      <c r="AD346" t="s">
        <v>6966</v>
      </c>
      <c r="AE346" t="s">
        <v>6966</v>
      </c>
      <c r="AF346" t="s">
        <v>6966</v>
      </c>
      <c r="AG346" t="s">
        <v>6966</v>
      </c>
      <c r="AH346" t="s">
        <v>6966</v>
      </c>
      <c r="AI346" t="s">
        <v>6966</v>
      </c>
      <c r="AJ346" t="s">
        <v>6966</v>
      </c>
      <c r="AK346" t="s">
        <v>6966</v>
      </c>
      <c r="AL346" t="s">
        <v>6966</v>
      </c>
      <c r="AM346" t="s">
        <v>6966</v>
      </c>
      <c r="AN346" t="s">
        <v>6966</v>
      </c>
      <c r="AO346" t="s">
        <v>6966</v>
      </c>
      <c r="AP346" t="s">
        <v>6966</v>
      </c>
      <c r="AQ346" t="s">
        <v>6966</v>
      </c>
      <c r="AR346" t="s">
        <v>6966</v>
      </c>
      <c r="AS346" t="s">
        <v>6966</v>
      </c>
      <c r="AT346" t="s">
        <v>6966</v>
      </c>
      <c r="AU346" t="s">
        <v>6966</v>
      </c>
      <c r="AV346" t="s">
        <v>6966</v>
      </c>
      <c r="AW346" t="s">
        <v>6966</v>
      </c>
      <c r="AX346" t="s">
        <v>6966</v>
      </c>
      <c r="AY346" t="s">
        <v>6966</v>
      </c>
      <c r="AZ346">
        <v>0.195936</v>
      </c>
      <c r="BA346">
        <v>1.232E-3</v>
      </c>
    </row>
    <row r="347" spans="1:53" x14ac:dyDescent="0.25">
      <c r="A347">
        <v>345</v>
      </c>
      <c r="B347" t="s">
        <v>7625</v>
      </c>
      <c r="C347">
        <v>704007</v>
      </c>
      <c r="D347" t="s">
        <v>958</v>
      </c>
      <c r="E347" t="s">
        <v>7685</v>
      </c>
      <c r="F347">
        <v>1119726.75</v>
      </c>
      <c r="G347">
        <v>4438.9399409999996</v>
      </c>
      <c r="H347">
        <v>295</v>
      </c>
      <c r="I347">
        <v>470</v>
      </c>
      <c r="J347">
        <v>37379</v>
      </c>
      <c r="K347" t="s">
        <v>2320</v>
      </c>
      <c r="L347">
        <v>14</v>
      </c>
      <c r="M347">
        <v>14</v>
      </c>
      <c r="N347">
        <v>37379</v>
      </c>
      <c r="O347">
        <v>283</v>
      </c>
      <c r="P347" t="s">
        <v>3215</v>
      </c>
      <c r="Q347">
        <v>0.1</v>
      </c>
      <c r="R347">
        <v>0</v>
      </c>
      <c r="S347">
        <v>0.01</v>
      </c>
      <c r="T347">
        <v>0</v>
      </c>
      <c r="U347">
        <v>1119726.6815200001</v>
      </c>
      <c r="V347">
        <v>4438.940458</v>
      </c>
      <c r="W347">
        <v>346</v>
      </c>
      <c r="X347">
        <v>0</v>
      </c>
      <c r="Y347">
        <v>345</v>
      </c>
      <c r="Z347" t="s">
        <v>6966</v>
      </c>
      <c r="AA347" t="s">
        <v>6966</v>
      </c>
      <c r="AB347" t="s">
        <v>6966</v>
      </c>
      <c r="AC347" t="s">
        <v>6966</v>
      </c>
      <c r="AD347" t="s">
        <v>6966</v>
      </c>
      <c r="AE347" t="s">
        <v>6966</v>
      </c>
      <c r="AF347" t="s">
        <v>6966</v>
      </c>
      <c r="AG347" t="s">
        <v>6966</v>
      </c>
      <c r="AH347" t="s">
        <v>6966</v>
      </c>
      <c r="AI347" t="s">
        <v>6966</v>
      </c>
      <c r="AJ347" t="s">
        <v>6966</v>
      </c>
      <c r="AK347" t="s">
        <v>6966</v>
      </c>
      <c r="AL347" t="s">
        <v>6966</v>
      </c>
      <c r="AM347" t="s">
        <v>6966</v>
      </c>
      <c r="AN347" t="s">
        <v>6966</v>
      </c>
      <c r="AO347" t="s">
        <v>6966</v>
      </c>
      <c r="AP347" t="s">
        <v>6966</v>
      </c>
      <c r="AQ347" t="s">
        <v>6966</v>
      </c>
      <c r="AR347" t="s">
        <v>6966</v>
      </c>
      <c r="AS347" t="s">
        <v>6966</v>
      </c>
      <c r="AT347" t="s">
        <v>6966</v>
      </c>
      <c r="AU347" t="s">
        <v>6966</v>
      </c>
      <c r="AV347" t="s">
        <v>6966</v>
      </c>
      <c r="AW347" t="s">
        <v>6966</v>
      </c>
      <c r="AX347" t="s">
        <v>6966</v>
      </c>
      <c r="AY347" t="s">
        <v>6966</v>
      </c>
      <c r="AZ347">
        <v>4.5331000000000003E-2</v>
      </c>
      <c r="BA347">
        <v>1.1E-4</v>
      </c>
    </row>
    <row r="348" spans="1:53" x14ac:dyDescent="0.25">
      <c r="A348">
        <v>346</v>
      </c>
      <c r="B348" t="s">
        <v>7625</v>
      </c>
      <c r="C348">
        <v>704056</v>
      </c>
      <c r="D348" t="s">
        <v>953</v>
      </c>
      <c r="E348" t="s">
        <v>7685</v>
      </c>
      <c r="F348">
        <v>2092095.25</v>
      </c>
      <c r="G348">
        <v>7569.5224609999996</v>
      </c>
      <c r="H348">
        <v>296</v>
      </c>
      <c r="I348">
        <v>471</v>
      </c>
      <c r="J348">
        <v>37369</v>
      </c>
      <c r="K348" t="s">
        <v>2315</v>
      </c>
      <c r="L348">
        <v>14</v>
      </c>
      <c r="M348">
        <v>14</v>
      </c>
      <c r="N348">
        <v>37369</v>
      </c>
      <c r="O348">
        <v>284</v>
      </c>
      <c r="P348" t="s">
        <v>3215</v>
      </c>
      <c r="Q348">
        <v>3.5</v>
      </c>
      <c r="R348">
        <v>162.88</v>
      </c>
      <c r="S348">
        <v>0.59</v>
      </c>
      <c r="T348">
        <v>27</v>
      </c>
      <c r="U348">
        <v>2092095.3060699999</v>
      </c>
      <c r="V348">
        <v>7569.5225460000001</v>
      </c>
      <c r="W348">
        <v>347</v>
      </c>
      <c r="X348">
        <v>0</v>
      </c>
      <c r="Y348">
        <v>346</v>
      </c>
      <c r="Z348" t="s">
        <v>6966</v>
      </c>
      <c r="AA348" t="s">
        <v>6966</v>
      </c>
      <c r="AB348" t="s">
        <v>6966</v>
      </c>
      <c r="AC348" t="s">
        <v>6966</v>
      </c>
      <c r="AD348" t="s">
        <v>6966</v>
      </c>
      <c r="AE348" t="s">
        <v>6966</v>
      </c>
      <c r="AF348" t="s">
        <v>6966</v>
      </c>
      <c r="AG348" t="s">
        <v>6966</v>
      </c>
      <c r="AH348" t="s">
        <v>6966</v>
      </c>
      <c r="AI348" t="s">
        <v>6966</v>
      </c>
      <c r="AJ348" t="s">
        <v>6966</v>
      </c>
      <c r="AK348" t="s">
        <v>6966</v>
      </c>
      <c r="AL348" t="s">
        <v>6966</v>
      </c>
      <c r="AM348" t="s">
        <v>6966</v>
      </c>
      <c r="AN348" t="s">
        <v>6966</v>
      </c>
      <c r="AO348" t="s">
        <v>6966</v>
      </c>
      <c r="AP348" t="s">
        <v>6966</v>
      </c>
      <c r="AQ348" t="s">
        <v>6966</v>
      </c>
      <c r="AR348" t="s">
        <v>6966</v>
      </c>
      <c r="AS348" t="s">
        <v>6966</v>
      </c>
      <c r="AT348" t="s">
        <v>6966</v>
      </c>
      <c r="AU348" t="s">
        <v>6966</v>
      </c>
      <c r="AV348" t="s">
        <v>6966</v>
      </c>
      <c r="AW348" t="s">
        <v>6966</v>
      </c>
      <c r="AX348" t="s">
        <v>6966</v>
      </c>
      <c r="AY348" t="s">
        <v>6966</v>
      </c>
      <c r="AZ348">
        <v>7.6358999999999996E-2</v>
      </c>
      <c r="BA348">
        <v>2.05E-4</v>
      </c>
    </row>
    <row r="349" spans="1:53" x14ac:dyDescent="0.25">
      <c r="A349">
        <v>347</v>
      </c>
      <c r="B349" t="s">
        <v>7625</v>
      </c>
      <c r="C349">
        <v>703042</v>
      </c>
      <c r="D349" t="s">
        <v>586</v>
      </c>
      <c r="E349" t="s">
        <v>7704</v>
      </c>
      <c r="F349">
        <v>2246170.75</v>
      </c>
      <c r="G349">
        <v>7526.9814450000003</v>
      </c>
      <c r="H349">
        <v>297</v>
      </c>
      <c r="I349">
        <v>472</v>
      </c>
      <c r="J349">
        <v>32175</v>
      </c>
      <c r="K349" t="s">
        <v>2033</v>
      </c>
      <c r="L349">
        <v>9</v>
      </c>
      <c r="M349">
        <v>9</v>
      </c>
      <c r="N349">
        <v>32175</v>
      </c>
      <c r="O349">
        <v>285</v>
      </c>
      <c r="P349" t="s">
        <v>3215</v>
      </c>
      <c r="Q349">
        <v>0.8</v>
      </c>
      <c r="R349">
        <v>93.43</v>
      </c>
      <c r="S349">
        <v>0.31</v>
      </c>
      <c r="T349">
        <v>35</v>
      </c>
      <c r="U349">
        <v>2246170.66365</v>
      </c>
      <c r="V349">
        <v>7526.9816350000001</v>
      </c>
      <c r="W349">
        <v>348</v>
      </c>
      <c r="X349">
        <v>0</v>
      </c>
      <c r="Y349">
        <v>347</v>
      </c>
      <c r="Z349" t="s">
        <v>6966</v>
      </c>
      <c r="AA349" t="s">
        <v>6966</v>
      </c>
      <c r="AB349" t="s">
        <v>6966</v>
      </c>
      <c r="AC349" t="s">
        <v>6966</v>
      </c>
      <c r="AD349" t="s">
        <v>6966</v>
      </c>
      <c r="AE349" t="s">
        <v>6966</v>
      </c>
      <c r="AF349" t="s">
        <v>6966</v>
      </c>
      <c r="AG349" t="s">
        <v>6966</v>
      </c>
      <c r="AH349" t="s">
        <v>6966</v>
      </c>
      <c r="AI349" t="s">
        <v>6966</v>
      </c>
      <c r="AJ349" t="s">
        <v>6966</v>
      </c>
      <c r="AK349" t="s">
        <v>6966</v>
      </c>
      <c r="AL349" t="s">
        <v>6966</v>
      </c>
      <c r="AM349" t="s">
        <v>6966</v>
      </c>
      <c r="AN349" t="s">
        <v>6966</v>
      </c>
      <c r="AO349" t="s">
        <v>6966</v>
      </c>
      <c r="AP349" t="s">
        <v>6966</v>
      </c>
      <c r="AQ349" t="s">
        <v>6966</v>
      </c>
      <c r="AR349" t="s">
        <v>6966</v>
      </c>
      <c r="AS349" t="s">
        <v>6966</v>
      </c>
      <c r="AT349" t="s">
        <v>6966</v>
      </c>
      <c r="AU349" t="s">
        <v>6966</v>
      </c>
      <c r="AV349" t="s">
        <v>6966</v>
      </c>
      <c r="AW349" t="s">
        <v>6966</v>
      </c>
      <c r="AX349" t="s">
        <v>6966</v>
      </c>
      <c r="AY349" t="s">
        <v>6966</v>
      </c>
      <c r="AZ349">
        <v>7.5950000000000004E-2</v>
      </c>
      <c r="BA349">
        <v>2.2000000000000001E-4</v>
      </c>
    </row>
    <row r="350" spans="1:53" x14ac:dyDescent="0.25">
      <c r="A350">
        <v>348</v>
      </c>
      <c r="B350" t="s">
        <v>7625</v>
      </c>
      <c r="C350">
        <v>704004</v>
      </c>
      <c r="D350" t="s">
        <v>952</v>
      </c>
      <c r="E350" t="s">
        <v>7685</v>
      </c>
      <c r="F350">
        <v>3088094.5</v>
      </c>
      <c r="G350">
        <v>10776.046875</v>
      </c>
      <c r="H350">
        <v>298</v>
      </c>
      <c r="I350">
        <v>473</v>
      </c>
      <c r="J350">
        <v>37367</v>
      </c>
      <c r="K350" t="s">
        <v>2314</v>
      </c>
      <c r="L350">
        <v>14</v>
      </c>
      <c r="M350">
        <v>14</v>
      </c>
      <c r="N350">
        <v>37367</v>
      </c>
      <c r="O350">
        <v>286</v>
      </c>
      <c r="P350" t="s">
        <v>3215</v>
      </c>
      <c r="Q350">
        <v>1.2</v>
      </c>
      <c r="R350">
        <v>171.67</v>
      </c>
      <c r="S350">
        <v>0.25</v>
      </c>
      <c r="T350">
        <v>36</v>
      </c>
      <c r="U350">
        <v>3088094.5957200001</v>
      </c>
      <c r="V350">
        <v>10776.047151999999</v>
      </c>
      <c r="W350">
        <v>349</v>
      </c>
      <c r="X350">
        <v>0</v>
      </c>
      <c r="Y350">
        <v>348</v>
      </c>
      <c r="Z350" t="s">
        <v>6966</v>
      </c>
      <c r="AA350" t="s">
        <v>6966</v>
      </c>
      <c r="AB350" t="s">
        <v>6966</v>
      </c>
      <c r="AC350" t="s">
        <v>6966</v>
      </c>
      <c r="AD350" t="s">
        <v>6966</v>
      </c>
      <c r="AE350" t="s">
        <v>6966</v>
      </c>
      <c r="AF350" t="s">
        <v>6966</v>
      </c>
      <c r="AG350" t="s">
        <v>6966</v>
      </c>
      <c r="AH350" t="s">
        <v>6966</v>
      </c>
      <c r="AI350" t="s">
        <v>6966</v>
      </c>
      <c r="AJ350" t="s">
        <v>6966</v>
      </c>
      <c r="AK350" t="s">
        <v>6966</v>
      </c>
      <c r="AL350" t="s">
        <v>6966</v>
      </c>
      <c r="AM350" t="s">
        <v>6966</v>
      </c>
      <c r="AN350" t="s">
        <v>6966</v>
      </c>
      <c r="AO350" t="s">
        <v>6966</v>
      </c>
      <c r="AP350" t="s">
        <v>6966</v>
      </c>
      <c r="AQ350" t="s">
        <v>6966</v>
      </c>
      <c r="AR350" t="s">
        <v>6966</v>
      </c>
      <c r="AS350" t="s">
        <v>6966</v>
      </c>
      <c r="AT350" t="s">
        <v>6966</v>
      </c>
      <c r="AU350" t="s">
        <v>6966</v>
      </c>
      <c r="AV350" t="s">
        <v>6966</v>
      </c>
      <c r="AW350" t="s">
        <v>6966</v>
      </c>
      <c r="AX350" t="s">
        <v>6966</v>
      </c>
      <c r="AY350" t="s">
        <v>6966</v>
      </c>
      <c r="AZ350">
        <v>0.108168</v>
      </c>
      <c r="BA350">
        <v>3.0299999999999999E-4</v>
      </c>
    </row>
    <row r="351" spans="1:53" x14ac:dyDescent="0.25">
      <c r="A351">
        <v>349</v>
      </c>
      <c r="B351" t="s">
        <v>7625</v>
      </c>
      <c r="C351">
        <v>706015</v>
      </c>
      <c r="D351" t="s">
        <v>616</v>
      </c>
      <c r="E351" t="s">
        <v>597</v>
      </c>
      <c r="F351">
        <v>1659619</v>
      </c>
      <c r="G351">
        <v>7549.9736329999996</v>
      </c>
      <c r="H351">
        <v>299</v>
      </c>
      <c r="I351">
        <v>474</v>
      </c>
      <c r="J351">
        <v>33149</v>
      </c>
      <c r="K351" t="s">
        <v>2060</v>
      </c>
      <c r="L351">
        <v>10</v>
      </c>
      <c r="M351">
        <v>10</v>
      </c>
      <c r="N351">
        <v>33149</v>
      </c>
      <c r="O351">
        <v>287</v>
      </c>
      <c r="P351" t="s">
        <v>3215</v>
      </c>
      <c r="Q351">
        <v>1.7</v>
      </c>
      <c r="R351">
        <v>43.72</v>
      </c>
      <c r="S351">
        <v>0.65</v>
      </c>
      <c r="T351">
        <v>16</v>
      </c>
      <c r="U351">
        <v>1659619.00988</v>
      </c>
      <c r="V351">
        <v>7549.9721570000002</v>
      </c>
      <c r="W351">
        <v>350</v>
      </c>
      <c r="X351">
        <v>0</v>
      </c>
      <c r="Y351">
        <v>349</v>
      </c>
      <c r="Z351" t="s">
        <v>6966</v>
      </c>
      <c r="AA351" t="s">
        <v>6966</v>
      </c>
      <c r="AB351" t="s">
        <v>6966</v>
      </c>
      <c r="AC351" t="s">
        <v>6966</v>
      </c>
      <c r="AD351" t="s">
        <v>6966</v>
      </c>
      <c r="AE351" t="s">
        <v>6966</v>
      </c>
      <c r="AF351" t="s">
        <v>6966</v>
      </c>
      <c r="AG351" t="s">
        <v>6966</v>
      </c>
      <c r="AH351" t="s">
        <v>6966</v>
      </c>
      <c r="AI351" t="s">
        <v>6966</v>
      </c>
      <c r="AJ351" t="s">
        <v>6966</v>
      </c>
      <c r="AK351" t="s">
        <v>6966</v>
      </c>
      <c r="AL351" t="s">
        <v>6966</v>
      </c>
      <c r="AM351" t="s">
        <v>6966</v>
      </c>
      <c r="AN351" t="s">
        <v>6966</v>
      </c>
      <c r="AO351" t="s">
        <v>6966</v>
      </c>
      <c r="AP351" t="s">
        <v>6966</v>
      </c>
      <c r="AQ351" t="s">
        <v>6966</v>
      </c>
      <c r="AR351" t="s">
        <v>6966</v>
      </c>
      <c r="AS351" t="s">
        <v>6966</v>
      </c>
      <c r="AT351" t="s">
        <v>6966</v>
      </c>
      <c r="AU351" t="s">
        <v>6966</v>
      </c>
      <c r="AV351" t="s">
        <v>6966</v>
      </c>
      <c r="AW351" t="s">
        <v>6966</v>
      </c>
      <c r="AX351" t="s">
        <v>6966</v>
      </c>
      <c r="AY351" t="s">
        <v>6966</v>
      </c>
      <c r="AZ351">
        <v>7.5298000000000004E-2</v>
      </c>
      <c r="BA351">
        <v>1.63E-4</v>
      </c>
    </row>
    <row r="352" spans="1:53" x14ac:dyDescent="0.25">
      <c r="A352">
        <v>350</v>
      </c>
      <c r="B352" t="s">
        <v>7625</v>
      </c>
      <c r="C352">
        <v>201035</v>
      </c>
      <c r="D352" t="s">
        <v>1097</v>
      </c>
      <c r="E352" t="s">
        <v>1069</v>
      </c>
      <c r="F352">
        <v>6175479.5</v>
      </c>
      <c r="G352">
        <v>11541.875</v>
      </c>
      <c r="H352">
        <v>300</v>
      </c>
      <c r="I352">
        <v>475</v>
      </c>
      <c r="J352">
        <v>53244</v>
      </c>
      <c r="K352" t="s">
        <v>2438</v>
      </c>
      <c r="L352">
        <v>17</v>
      </c>
      <c r="M352">
        <v>18</v>
      </c>
      <c r="N352">
        <v>53244</v>
      </c>
      <c r="O352">
        <v>288</v>
      </c>
      <c r="P352" t="s">
        <v>3214</v>
      </c>
      <c r="Q352">
        <v>0.1</v>
      </c>
      <c r="R352">
        <v>0</v>
      </c>
      <c r="S352">
        <v>0.02</v>
      </c>
      <c r="T352">
        <v>0</v>
      </c>
      <c r="U352">
        <v>6175479.5608999999</v>
      </c>
      <c r="V352">
        <v>11541.875368999999</v>
      </c>
      <c r="W352">
        <v>351</v>
      </c>
      <c r="X352">
        <v>0</v>
      </c>
      <c r="Y352">
        <v>350</v>
      </c>
      <c r="Z352" t="s">
        <v>6966</v>
      </c>
      <c r="AA352" t="s">
        <v>6966</v>
      </c>
      <c r="AB352" t="s">
        <v>6966</v>
      </c>
      <c r="AC352" t="s">
        <v>6966</v>
      </c>
      <c r="AD352" t="s">
        <v>6966</v>
      </c>
      <c r="AE352" t="s">
        <v>6966</v>
      </c>
      <c r="AF352" t="s">
        <v>6966</v>
      </c>
      <c r="AG352" t="s">
        <v>6966</v>
      </c>
      <c r="AH352" t="s">
        <v>6966</v>
      </c>
      <c r="AI352" t="s">
        <v>6966</v>
      </c>
      <c r="AJ352" t="s">
        <v>6966</v>
      </c>
      <c r="AK352" t="s">
        <v>6966</v>
      </c>
      <c r="AL352" t="s">
        <v>6966</v>
      </c>
      <c r="AM352" t="s">
        <v>6966</v>
      </c>
      <c r="AN352" t="s">
        <v>6966</v>
      </c>
      <c r="AO352" t="s">
        <v>6966</v>
      </c>
      <c r="AP352" t="s">
        <v>6966</v>
      </c>
      <c r="AQ352" t="s">
        <v>6966</v>
      </c>
      <c r="AR352" t="s">
        <v>6966</v>
      </c>
      <c r="AS352" t="s">
        <v>6966</v>
      </c>
      <c r="AT352" t="s">
        <v>6966</v>
      </c>
      <c r="AU352" t="s">
        <v>6966</v>
      </c>
      <c r="AV352" t="s">
        <v>6966</v>
      </c>
      <c r="AW352" t="s">
        <v>6966</v>
      </c>
      <c r="AX352" t="s">
        <v>6966</v>
      </c>
      <c r="AY352" t="s">
        <v>6966</v>
      </c>
      <c r="AZ352">
        <v>0.11863600000000001</v>
      </c>
      <c r="BA352">
        <v>6.0499999999999996E-4</v>
      </c>
    </row>
    <row r="353" spans="1:53" x14ac:dyDescent="0.25">
      <c r="A353">
        <v>351</v>
      </c>
      <c r="B353" t="s">
        <v>7625</v>
      </c>
      <c r="C353">
        <v>703026</v>
      </c>
      <c r="D353" t="s">
        <v>572</v>
      </c>
      <c r="E353" t="s">
        <v>7704</v>
      </c>
      <c r="F353">
        <v>5885139</v>
      </c>
      <c r="G353">
        <v>14322.293944999999</v>
      </c>
      <c r="H353">
        <v>301</v>
      </c>
      <c r="I353">
        <v>476</v>
      </c>
      <c r="J353">
        <v>32147</v>
      </c>
      <c r="K353" t="s">
        <v>2023</v>
      </c>
      <c r="L353">
        <v>9</v>
      </c>
      <c r="M353">
        <v>9</v>
      </c>
      <c r="N353">
        <v>32147</v>
      </c>
      <c r="O353">
        <v>289</v>
      </c>
      <c r="P353" t="s">
        <v>3215</v>
      </c>
      <c r="Q353">
        <v>1.9</v>
      </c>
      <c r="R353">
        <v>29.95</v>
      </c>
      <c r="S353">
        <v>0.45</v>
      </c>
      <c r="T353">
        <v>7</v>
      </c>
      <c r="U353">
        <v>5885138.96423</v>
      </c>
      <c r="V353">
        <v>14322.292336</v>
      </c>
      <c r="W353">
        <v>352</v>
      </c>
      <c r="X353">
        <v>0</v>
      </c>
      <c r="Y353">
        <v>351</v>
      </c>
      <c r="Z353" t="s">
        <v>6966</v>
      </c>
      <c r="AA353" t="s">
        <v>6966</v>
      </c>
      <c r="AB353" t="s">
        <v>6966</v>
      </c>
      <c r="AC353" t="s">
        <v>6966</v>
      </c>
      <c r="AD353" t="s">
        <v>6966</v>
      </c>
      <c r="AE353" t="s">
        <v>6966</v>
      </c>
      <c r="AF353" t="s">
        <v>6966</v>
      </c>
      <c r="AG353" t="s">
        <v>6966</v>
      </c>
      <c r="AH353" t="s">
        <v>6966</v>
      </c>
      <c r="AI353" t="s">
        <v>6966</v>
      </c>
      <c r="AJ353" t="s">
        <v>6966</v>
      </c>
      <c r="AK353" t="s">
        <v>6966</v>
      </c>
      <c r="AL353" t="s">
        <v>6966</v>
      </c>
      <c r="AM353" t="s">
        <v>6966</v>
      </c>
      <c r="AN353" t="s">
        <v>6966</v>
      </c>
      <c r="AO353" t="s">
        <v>6966</v>
      </c>
      <c r="AP353" t="s">
        <v>6966</v>
      </c>
      <c r="AQ353" t="s">
        <v>6966</v>
      </c>
      <c r="AR353" t="s">
        <v>6966</v>
      </c>
      <c r="AS353" t="s">
        <v>6966</v>
      </c>
      <c r="AT353" t="s">
        <v>6966</v>
      </c>
      <c r="AU353" t="s">
        <v>6966</v>
      </c>
      <c r="AV353" t="s">
        <v>6966</v>
      </c>
      <c r="AW353" t="s">
        <v>6966</v>
      </c>
      <c r="AX353" t="s">
        <v>6966</v>
      </c>
      <c r="AY353" t="s">
        <v>6966</v>
      </c>
      <c r="AZ353">
        <v>0.145286</v>
      </c>
      <c r="BA353">
        <v>5.7600000000000001E-4</v>
      </c>
    </row>
    <row r="354" spans="1:53" x14ac:dyDescent="0.25">
      <c r="A354">
        <v>352</v>
      </c>
      <c r="B354" t="s">
        <v>7625</v>
      </c>
      <c r="C354">
        <v>704027</v>
      </c>
      <c r="D354" t="s">
        <v>956</v>
      </c>
      <c r="E354" t="s">
        <v>7685</v>
      </c>
      <c r="F354">
        <v>614167.375</v>
      </c>
      <c r="G354">
        <v>4124.9399409999996</v>
      </c>
      <c r="H354">
        <v>302</v>
      </c>
      <c r="I354">
        <v>477</v>
      </c>
      <c r="J354">
        <v>37375</v>
      </c>
      <c r="K354" t="s">
        <v>2318</v>
      </c>
      <c r="L354">
        <v>14</v>
      </c>
      <c r="M354">
        <v>14</v>
      </c>
      <c r="N354">
        <v>37375</v>
      </c>
      <c r="O354">
        <v>290</v>
      </c>
      <c r="P354" t="s">
        <v>3215</v>
      </c>
      <c r="Q354">
        <v>0.9</v>
      </c>
      <c r="R354">
        <v>0</v>
      </c>
      <c r="S354">
        <v>0.15</v>
      </c>
      <c r="T354">
        <v>0</v>
      </c>
      <c r="U354">
        <v>614167.32197699999</v>
      </c>
      <c r="V354">
        <v>4124.9398799999999</v>
      </c>
      <c r="W354">
        <v>353</v>
      </c>
      <c r="X354">
        <v>0</v>
      </c>
      <c r="Y354">
        <v>352</v>
      </c>
      <c r="Z354" t="s">
        <v>6966</v>
      </c>
      <c r="AA354" t="s">
        <v>6966</v>
      </c>
      <c r="AB354" t="s">
        <v>6966</v>
      </c>
      <c r="AC354" t="s">
        <v>6966</v>
      </c>
      <c r="AD354" t="s">
        <v>6966</v>
      </c>
      <c r="AE354" t="s">
        <v>6966</v>
      </c>
      <c r="AF354" t="s">
        <v>6966</v>
      </c>
      <c r="AG354" t="s">
        <v>6966</v>
      </c>
      <c r="AH354" t="s">
        <v>6966</v>
      </c>
      <c r="AI354" t="s">
        <v>6966</v>
      </c>
      <c r="AJ354" t="s">
        <v>6966</v>
      </c>
      <c r="AK354" t="s">
        <v>6966</v>
      </c>
      <c r="AL354" t="s">
        <v>6966</v>
      </c>
      <c r="AM354" t="s">
        <v>6966</v>
      </c>
      <c r="AN354" t="s">
        <v>6966</v>
      </c>
      <c r="AO354" t="s">
        <v>6966</v>
      </c>
      <c r="AP354" t="s">
        <v>6966</v>
      </c>
      <c r="AQ354" t="s">
        <v>6966</v>
      </c>
      <c r="AR354" t="s">
        <v>6966</v>
      </c>
      <c r="AS354" t="s">
        <v>6966</v>
      </c>
      <c r="AT354" t="s">
        <v>6966</v>
      </c>
      <c r="AU354" t="s">
        <v>6966</v>
      </c>
      <c r="AV354" t="s">
        <v>6966</v>
      </c>
      <c r="AW354" t="s">
        <v>6966</v>
      </c>
      <c r="AX354" t="s">
        <v>6966</v>
      </c>
      <c r="AY354" t="s">
        <v>6966</v>
      </c>
      <c r="AZ354">
        <v>4.2213000000000001E-2</v>
      </c>
      <c r="BA354">
        <v>6.0000000000000002E-5</v>
      </c>
    </row>
    <row r="355" spans="1:53" x14ac:dyDescent="0.25">
      <c r="A355">
        <v>353</v>
      </c>
      <c r="B355" t="s">
        <v>7625</v>
      </c>
      <c r="C355">
        <v>704029</v>
      </c>
      <c r="D355" t="s">
        <v>955</v>
      </c>
      <c r="E355" t="s">
        <v>7685</v>
      </c>
      <c r="F355">
        <v>2176158.75</v>
      </c>
      <c r="G355">
        <v>10589.907227</v>
      </c>
      <c r="H355">
        <v>303</v>
      </c>
      <c r="I355">
        <v>478</v>
      </c>
      <c r="J355">
        <v>37373</v>
      </c>
      <c r="K355" t="s">
        <v>2317</v>
      </c>
      <c r="L355">
        <v>14</v>
      </c>
      <c r="M355">
        <v>14</v>
      </c>
      <c r="N355">
        <v>37373</v>
      </c>
      <c r="O355">
        <v>291</v>
      </c>
      <c r="P355" t="s">
        <v>3215</v>
      </c>
      <c r="Q355">
        <v>2.2000000000000002</v>
      </c>
      <c r="R355">
        <v>61.7</v>
      </c>
      <c r="S355">
        <v>0.61</v>
      </c>
      <c r="T355">
        <v>17</v>
      </c>
      <c r="U355">
        <v>2176158.7237900002</v>
      </c>
      <c r="V355">
        <v>10589.905162999999</v>
      </c>
      <c r="W355">
        <v>354</v>
      </c>
      <c r="X355">
        <v>0</v>
      </c>
      <c r="Y355">
        <v>353</v>
      </c>
      <c r="Z355" t="s">
        <v>6966</v>
      </c>
      <c r="AA355" t="s">
        <v>6966</v>
      </c>
      <c r="AB355" t="s">
        <v>6966</v>
      </c>
      <c r="AC355" t="s">
        <v>6966</v>
      </c>
      <c r="AD355" t="s">
        <v>6966</v>
      </c>
      <c r="AE355" t="s">
        <v>6966</v>
      </c>
      <c r="AF355" t="s">
        <v>6966</v>
      </c>
      <c r="AG355" t="s">
        <v>6966</v>
      </c>
      <c r="AH355" t="s">
        <v>6966</v>
      </c>
      <c r="AI355" t="s">
        <v>6966</v>
      </c>
      <c r="AJ355" t="s">
        <v>6966</v>
      </c>
      <c r="AK355" t="s">
        <v>6966</v>
      </c>
      <c r="AL355" t="s">
        <v>6966</v>
      </c>
      <c r="AM355" t="s">
        <v>6966</v>
      </c>
      <c r="AN355" t="s">
        <v>6966</v>
      </c>
      <c r="AO355" t="s">
        <v>6966</v>
      </c>
      <c r="AP355" t="s">
        <v>6966</v>
      </c>
      <c r="AQ355" t="s">
        <v>6966</v>
      </c>
      <c r="AR355" t="s">
        <v>6966</v>
      </c>
      <c r="AS355" t="s">
        <v>6966</v>
      </c>
      <c r="AT355" t="s">
        <v>6966</v>
      </c>
      <c r="AU355" t="s">
        <v>6966</v>
      </c>
      <c r="AV355" t="s">
        <v>6966</v>
      </c>
      <c r="AW355" t="s">
        <v>6966</v>
      </c>
      <c r="AX355" t="s">
        <v>6966</v>
      </c>
      <c r="AY355" t="s">
        <v>6966</v>
      </c>
      <c r="AZ355">
        <v>0.105133</v>
      </c>
      <c r="BA355">
        <v>2.13E-4</v>
      </c>
    </row>
    <row r="356" spans="1:53" x14ac:dyDescent="0.25">
      <c r="A356">
        <v>354</v>
      </c>
      <c r="B356" t="s">
        <v>7625</v>
      </c>
      <c r="C356">
        <v>703009</v>
      </c>
      <c r="D356" t="s">
        <v>571</v>
      </c>
      <c r="E356" t="s">
        <v>7704</v>
      </c>
      <c r="F356">
        <v>1890398.625</v>
      </c>
      <c r="G356">
        <v>6700.3027339999999</v>
      </c>
      <c r="H356">
        <v>304</v>
      </c>
      <c r="I356">
        <v>480</v>
      </c>
      <c r="J356">
        <v>32145</v>
      </c>
      <c r="K356" t="s">
        <v>571</v>
      </c>
      <c r="L356">
        <v>9</v>
      </c>
      <c r="M356">
        <v>9</v>
      </c>
      <c r="N356">
        <v>32145</v>
      </c>
      <c r="O356">
        <v>292</v>
      </c>
      <c r="P356" t="s">
        <v>3215</v>
      </c>
      <c r="Q356">
        <v>2.4</v>
      </c>
      <c r="R356">
        <v>30.22</v>
      </c>
      <c r="S356">
        <v>0.82</v>
      </c>
      <c r="T356">
        <v>10</v>
      </c>
      <c r="U356">
        <v>1890398.6589899999</v>
      </c>
      <c r="V356">
        <v>6700.302944</v>
      </c>
      <c r="W356">
        <v>355</v>
      </c>
      <c r="X356">
        <v>0</v>
      </c>
      <c r="Y356">
        <v>354</v>
      </c>
      <c r="Z356" t="s">
        <v>6966</v>
      </c>
      <c r="AA356" t="s">
        <v>6966</v>
      </c>
      <c r="AB356" t="s">
        <v>6966</v>
      </c>
      <c r="AC356" t="s">
        <v>6966</v>
      </c>
      <c r="AD356" t="s">
        <v>6966</v>
      </c>
      <c r="AE356" t="s">
        <v>6966</v>
      </c>
      <c r="AF356" t="s">
        <v>6966</v>
      </c>
      <c r="AG356" t="s">
        <v>6966</v>
      </c>
      <c r="AH356" t="s">
        <v>6966</v>
      </c>
      <c r="AI356" t="s">
        <v>6966</v>
      </c>
      <c r="AJ356" t="s">
        <v>6966</v>
      </c>
      <c r="AK356" t="s">
        <v>6966</v>
      </c>
      <c r="AL356" t="s">
        <v>6966</v>
      </c>
      <c r="AM356" t="s">
        <v>6966</v>
      </c>
      <c r="AN356" t="s">
        <v>6966</v>
      </c>
      <c r="AO356" t="s">
        <v>6966</v>
      </c>
      <c r="AP356" t="s">
        <v>6966</v>
      </c>
      <c r="AQ356" t="s">
        <v>6966</v>
      </c>
      <c r="AR356" t="s">
        <v>6966</v>
      </c>
      <c r="AS356" t="s">
        <v>6966</v>
      </c>
      <c r="AT356" t="s">
        <v>6966</v>
      </c>
      <c r="AU356" t="s">
        <v>6966</v>
      </c>
      <c r="AV356" t="s">
        <v>6966</v>
      </c>
      <c r="AW356" t="s">
        <v>6966</v>
      </c>
      <c r="AX356" t="s">
        <v>6966</v>
      </c>
      <c r="AY356" t="s">
        <v>6966</v>
      </c>
      <c r="AZ356">
        <v>6.7436999999999997E-2</v>
      </c>
      <c r="BA356">
        <v>1.85E-4</v>
      </c>
    </row>
    <row r="357" spans="1:53" x14ac:dyDescent="0.25">
      <c r="A357">
        <v>355</v>
      </c>
      <c r="B357" t="s">
        <v>7625</v>
      </c>
      <c r="C357">
        <v>706041</v>
      </c>
      <c r="D357" t="s">
        <v>638</v>
      </c>
      <c r="E357" t="s">
        <v>597</v>
      </c>
      <c r="F357">
        <v>9542321</v>
      </c>
      <c r="G357">
        <v>17653.205077999999</v>
      </c>
      <c r="H357">
        <v>305</v>
      </c>
      <c r="I357">
        <v>481</v>
      </c>
      <c r="J357">
        <v>33251</v>
      </c>
      <c r="K357" t="s">
        <v>638</v>
      </c>
      <c r="L357">
        <v>10</v>
      </c>
      <c r="M357">
        <v>10</v>
      </c>
      <c r="N357">
        <v>33251</v>
      </c>
      <c r="O357">
        <v>293</v>
      </c>
      <c r="P357" t="s">
        <v>3215</v>
      </c>
      <c r="Q357">
        <v>3.1</v>
      </c>
      <c r="R357">
        <v>46</v>
      </c>
      <c r="S357">
        <v>0.97</v>
      </c>
      <c r="T357">
        <v>14</v>
      </c>
      <c r="U357">
        <v>9542321.2210000008</v>
      </c>
      <c r="V357">
        <v>17653.203591000001</v>
      </c>
      <c r="W357">
        <v>356</v>
      </c>
      <c r="X357">
        <v>0</v>
      </c>
      <c r="Y357">
        <v>355</v>
      </c>
      <c r="Z357" t="s">
        <v>6966</v>
      </c>
      <c r="AA357" t="s">
        <v>6966</v>
      </c>
      <c r="AB357" t="s">
        <v>6966</v>
      </c>
      <c r="AC357" t="s">
        <v>6966</v>
      </c>
      <c r="AD357" t="s">
        <v>6966</v>
      </c>
      <c r="AE357" t="s">
        <v>6966</v>
      </c>
      <c r="AF357" t="s">
        <v>6966</v>
      </c>
      <c r="AG357" t="s">
        <v>6966</v>
      </c>
      <c r="AH357" t="s">
        <v>6966</v>
      </c>
      <c r="AI357" t="s">
        <v>6966</v>
      </c>
      <c r="AJ357" t="s">
        <v>6966</v>
      </c>
      <c r="AK357" t="s">
        <v>6966</v>
      </c>
      <c r="AL357" t="s">
        <v>6966</v>
      </c>
      <c r="AM357" t="s">
        <v>6966</v>
      </c>
      <c r="AN357" t="s">
        <v>6966</v>
      </c>
      <c r="AO357" t="s">
        <v>6966</v>
      </c>
      <c r="AP357" t="s">
        <v>6966</v>
      </c>
      <c r="AQ357" t="s">
        <v>6966</v>
      </c>
      <c r="AR357" t="s">
        <v>6966</v>
      </c>
      <c r="AS357" t="s">
        <v>6966</v>
      </c>
      <c r="AT357" t="s">
        <v>6966</v>
      </c>
      <c r="AU357" t="s">
        <v>6966</v>
      </c>
      <c r="AV357" t="s">
        <v>6966</v>
      </c>
      <c r="AW357" t="s">
        <v>6966</v>
      </c>
      <c r="AX357" t="s">
        <v>6966</v>
      </c>
      <c r="AY357" t="s">
        <v>6966</v>
      </c>
      <c r="AZ357">
        <v>0.179034</v>
      </c>
      <c r="BA357">
        <v>9.3499999999999996E-4</v>
      </c>
    </row>
    <row r="358" spans="1:53" x14ac:dyDescent="0.25">
      <c r="A358">
        <v>356</v>
      </c>
      <c r="B358" t="s">
        <v>7625</v>
      </c>
      <c r="C358">
        <v>704061</v>
      </c>
      <c r="D358" t="s">
        <v>87</v>
      </c>
      <c r="E358" t="s">
        <v>7685</v>
      </c>
      <c r="F358">
        <v>47049.054687999997</v>
      </c>
      <c r="G358">
        <v>1099.6243899999999</v>
      </c>
      <c r="H358">
        <v>306</v>
      </c>
      <c r="I358">
        <v>482</v>
      </c>
      <c r="J358">
        <v>37003</v>
      </c>
      <c r="K358" t="s">
        <v>87</v>
      </c>
      <c r="L358">
        <v>14</v>
      </c>
      <c r="M358">
        <v>14</v>
      </c>
      <c r="N358">
        <v>37003</v>
      </c>
      <c r="O358">
        <v>294</v>
      </c>
      <c r="P358" t="s">
        <v>3215</v>
      </c>
      <c r="Q358">
        <v>0</v>
      </c>
      <c r="R358">
        <v>0</v>
      </c>
      <c r="S358">
        <v>0</v>
      </c>
      <c r="T358">
        <v>0</v>
      </c>
      <c r="U358">
        <v>47049.049653000002</v>
      </c>
      <c r="V358">
        <v>1099.624444</v>
      </c>
      <c r="W358">
        <v>357</v>
      </c>
      <c r="X358">
        <v>0</v>
      </c>
      <c r="Y358">
        <v>356</v>
      </c>
      <c r="Z358" t="s">
        <v>6966</v>
      </c>
      <c r="AA358" t="s">
        <v>6966</v>
      </c>
      <c r="AB358" t="s">
        <v>6966</v>
      </c>
      <c r="AC358" t="s">
        <v>6966</v>
      </c>
      <c r="AD358" t="s">
        <v>6966</v>
      </c>
      <c r="AE358" t="s">
        <v>6966</v>
      </c>
      <c r="AF358" t="s">
        <v>6966</v>
      </c>
      <c r="AG358" t="s">
        <v>6966</v>
      </c>
      <c r="AH358" t="s">
        <v>6966</v>
      </c>
      <c r="AI358" t="s">
        <v>6966</v>
      </c>
      <c r="AJ358" t="s">
        <v>6966</v>
      </c>
      <c r="AK358" t="s">
        <v>6966</v>
      </c>
      <c r="AL358" t="s">
        <v>6966</v>
      </c>
      <c r="AM358" t="s">
        <v>6966</v>
      </c>
      <c r="AN358" t="s">
        <v>6966</v>
      </c>
      <c r="AO358" t="s">
        <v>6966</v>
      </c>
      <c r="AP358" t="s">
        <v>6966</v>
      </c>
      <c r="AQ358" t="s">
        <v>6966</v>
      </c>
      <c r="AR358" t="s">
        <v>6966</v>
      </c>
      <c r="AS358" t="s">
        <v>6966</v>
      </c>
      <c r="AT358" t="s">
        <v>6966</v>
      </c>
      <c r="AU358" t="s">
        <v>6966</v>
      </c>
      <c r="AV358" t="s">
        <v>6966</v>
      </c>
      <c r="AW358" t="s">
        <v>6966</v>
      </c>
      <c r="AX358" t="s">
        <v>6966</v>
      </c>
      <c r="AY358" t="s">
        <v>6966</v>
      </c>
      <c r="AZ358">
        <v>1.0196E-2</v>
      </c>
      <c r="BA358">
        <v>5.0000000000000004E-6</v>
      </c>
    </row>
    <row r="359" spans="1:53" x14ac:dyDescent="0.25">
      <c r="A359">
        <v>357</v>
      </c>
      <c r="B359" t="s">
        <v>7625</v>
      </c>
      <c r="C359">
        <v>703016</v>
      </c>
      <c r="D359" t="s">
        <v>561</v>
      </c>
      <c r="E359" t="s">
        <v>7704</v>
      </c>
      <c r="F359">
        <v>4638749</v>
      </c>
      <c r="G359">
        <v>11969.948242</v>
      </c>
      <c r="H359">
        <v>307</v>
      </c>
      <c r="I359">
        <v>483</v>
      </c>
      <c r="J359">
        <v>32125</v>
      </c>
      <c r="K359" t="s">
        <v>561</v>
      </c>
      <c r="L359">
        <v>9</v>
      </c>
      <c r="M359">
        <v>9</v>
      </c>
      <c r="N359">
        <v>32125</v>
      </c>
      <c r="O359">
        <v>295</v>
      </c>
      <c r="P359" t="s">
        <v>3215</v>
      </c>
      <c r="Q359">
        <v>2.2999999999999998</v>
      </c>
      <c r="R359">
        <v>104.12</v>
      </c>
      <c r="S359">
        <v>0.65</v>
      </c>
      <c r="T359">
        <v>31</v>
      </c>
      <c r="U359">
        <v>4638749.2683800003</v>
      </c>
      <c r="V359">
        <v>11969.948987</v>
      </c>
      <c r="W359">
        <v>358</v>
      </c>
      <c r="X359">
        <v>0</v>
      </c>
      <c r="Y359">
        <v>357</v>
      </c>
      <c r="Z359" t="s">
        <v>6966</v>
      </c>
      <c r="AA359" t="s">
        <v>6966</v>
      </c>
      <c r="AB359" t="s">
        <v>6966</v>
      </c>
      <c r="AC359" t="s">
        <v>6966</v>
      </c>
      <c r="AD359" t="s">
        <v>6966</v>
      </c>
      <c r="AE359" t="s">
        <v>6966</v>
      </c>
      <c r="AF359" t="s">
        <v>6966</v>
      </c>
      <c r="AG359" t="s">
        <v>6966</v>
      </c>
      <c r="AH359" t="s">
        <v>6966</v>
      </c>
      <c r="AI359" t="s">
        <v>6966</v>
      </c>
      <c r="AJ359" t="s">
        <v>6966</v>
      </c>
      <c r="AK359" t="s">
        <v>6966</v>
      </c>
      <c r="AL359" t="s">
        <v>6966</v>
      </c>
      <c r="AM359" t="s">
        <v>6966</v>
      </c>
      <c r="AN359" t="s">
        <v>6966</v>
      </c>
      <c r="AO359" t="s">
        <v>6966</v>
      </c>
      <c r="AP359" t="s">
        <v>6966</v>
      </c>
      <c r="AQ359" t="s">
        <v>6966</v>
      </c>
      <c r="AR359" t="s">
        <v>6966</v>
      </c>
      <c r="AS359" t="s">
        <v>6966</v>
      </c>
      <c r="AT359" t="s">
        <v>6966</v>
      </c>
      <c r="AU359" t="s">
        <v>6966</v>
      </c>
      <c r="AV359" t="s">
        <v>6966</v>
      </c>
      <c r="AW359" t="s">
        <v>6966</v>
      </c>
      <c r="AX359" t="s">
        <v>6966</v>
      </c>
      <c r="AY359" t="s">
        <v>6966</v>
      </c>
      <c r="AZ359">
        <v>0.117572</v>
      </c>
      <c r="BA359">
        <v>4.5399999999999998E-4</v>
      </c>
    </row>
    <row r="360" spans="1:53" x14ac:dyDescent="0.25">
      <c r="A360">
        <v>358</v>
      </c>
      <c r="B360" t="s">
        <v>7625</v>
      </c>
      <c r="C360">
        <v>703001</v>
      </c>
      <c r="D360" t="s">
        <v>570</v>
      </c>
      <c r="E360" t="s">
        <v>7704</v>
      </c>
      <c r="F360">
        <v>1597196.875</v>
      </c>
      <c r="G360">
        <v>5554.5200199999999</v>
      </c>
      <c r="H360">
        <v>308</v>
      </c>
      <c r="I360">
        <v>484</v>
      </c>
      <c r="J360">
        <v>32143</v>
      </c>
      <c r="K360" t="s">
        <v>2022</v>
      </c>
      <c r="L360">
        <v>9</v>
      </c>
      <c r="M360">
        <v>9</v>
      </c>
      <c r="N360">
        <v>32143</v>
      </c>
      <c r="O360">
        <v>296</v>
      </c>
      <c r="P360" t="s">
        <v>3215</v>
      </c>
      <c r="Q360">
        <v>2.8</v>
      </c>
      <c r="R360">
        <v>26.18</v>
      </c>
      <c r="S360">
        <v>0.67</v>
      </c>
      <c r="T360">
        <v>6</v>
      </c>
      <c r="U360">
        <v>1597196.8847399999</v>
      </c>
      <c r="V360">
        <v>5554.5193820000004</v>
      </c>
      <c r="W360">
        <v>359</v>
      </c>
      <c r="X360">
        <v>0</v>
      </c>
      <c r="Y360">
        <v>358</v>
      </c>
      <c r="Z360" t="s">
        <v>6966</v>
      </c>
      <c r="AA360" t="s">
        <v>6966</v>
      </c>
      <c r="AB360" t="s">
        <v>6966</v>
      </c>
      <c r="AC360" t="s">
        <v>6966</v>
      </c>
      <c r="AD360" t="s">
        <v>6966</v>
      </c>
      <c r="AE360" t="s">
        <v>6966</v>
      </c>
      <c r="AF360" t="s">
        <v>6966</v>
      </c>
      <c r="AG360" t="s">
        <v>6966</v>
      </c>
      <c r="AH360" t="s">
        <v>6966</v>
      </c>
      <c r="AI360" t="s">
        <v>6966</v>
      </c>
      <c r="AJ360" t="s">
        <v>6966</v>
      </c>
      <c r="AK360" t="s">
        <v>6966</v>
      </c>
      <c r="AL360" t="s">
        <v>6966</v>
      </c>
      <c r="AM360" t="s">
        <v>6966</v>
      </c>
      <c r="AN360" t="s">
        <v>6966</v>
      </c>
      <c r="AO360" t="s">
        <v>6966</v>
      </c>
      <c r="AP360" t="s">
        <v>6966</v>
      </c>
      <c r="AQ360" t="s">
        <v>6966</v>
      </c>
      <c r="AR360" t="s">
        <v>6966</v>
      </c>
      <c r="AS360" t="s">
        <v>6966</v>
      </c>
      <c r="AT360" t="s">
        <v>6966</v>
      </c>
      <c r="AU360" t="s">
        <v>6966</v>
      </c>
      <c r="AV360" t="s">
        <v>6966</v>
      </c>
      <c r="AW360" t="s">
        <v>6966</v>
      </c>
      <c r="AX360" t="s">
        <v>6966</v>
      </c>
      <c r="AY360" t="s">
        <v>6966</v>
      </c>
      <c r="AZ360">
        <v>5.4258000000000001E-2</v>
      </c>
      <c r="BA360">
        <v>1.56E-4</v>
      </c>
    </row>
    <row r="361" spans="1:53" x14ac:dyDescent="0.25">
      <c r="A361">
        <v>359</v>
      </c>
      <c r="B361" t="s">
        <v>7625</v>
      </c>
      <c r="C361">
        <v>706010</v>
      </c>
      <c r="D361" t="s">
        <v>621</v>
      </c>
      <c r="E361" t="s">
        <v>597</v>
      </c>
      <c r="F361">
        <v>2068773.75</v>
      </c>
      <c r="G361">
        <v>7107.3793949999999</v>
      </c>
      <c r="H361">
        <v>309</v>
      </c>
      <c r="I361">
        <v>485</v>
      </c>
      <c r="J361">
        <v>33157</v>
      </c>
      <c r="K361" t="s">
        <v>2063</v>
      </c>
      <c r="L361">
        <v>10</v>
      </c>
      <c r="M361">
        <v>10</v>
      </c>
      <c r="N361">
        <v>33157</v>
      </c>
      <c r="O361">
        <v>297</v>
      </c>
      <c r="P361" t="s">
        <v>3215</v>
      </c>
      <c r="Q361">
        <v>0.6</v>
      </c>
      <c r="R361">
        <v>0</v>
      </c>
      <c r="S361">
        <v>0.15</v>
      </c>
      <c r="T361">
        <v>0</v>
      </c>
      <c r="U361">
        <v>2068773.70141</v>
      </c>
      <c r="V361">
        <v>7107.3793299999998</v>
      </c>
      <c r="W361">
        <v>360</v>
      </c>
      <c r="X361">
        <v>1</v>
      </c>
      <c r="Y361">
        <v>359</v>
      </c>
      <c r="Z361">
        <v>66125</v>
      </c>
      <c r="AA361" s="76">
        <v>45845</v>
      </c>
      <c r="AB361">
        <v>2025</v>
      </c>
      <c r="AC361" t="s">
        <v>7313</v>
      </c>
      <c r="AD361">
        <v>7</v>
      </c>
      <c r="AE361" t="s">
        <v>7363</v>
      </c>
      <c r="AF361" t="s">
        <v>3215</v>
      </c>
      <c r="AG361" t="s">
        <v>597</v>
      </c>
      <c r="AH361" t="s">
        <v>621</v>
      </c>
      <c r="AI361" t="s">
        <v>621</v>
      </c>
      <c r="AJ361" t="s">
        <v>6966</v>
      </c>
      <c r="AK361">
        <v>34.348010000000002</v>
      </c>
      <c r="AL361">
        <v>35.857799999999997</v>
      </c>
      <c r="AM361" t="s">
        <v>7059</v>
      </c>
      <c r="AN361" t="s">
        <v>6966</v>
      </c>
      <c r="AO361" t="s">
        <v>7103</v>
      </c>
      <c r="AP361" t="s">
        <v>7364</v>
      </c>
      <c r="AQ361" t="s">
        <v>6998</v>
      </c>
      <c r="AR361" t="s">
        <v>6999</v>
      </c>
      <c r="AS361" t="s">
        <v>7000</v>
      </c>
      <c r="AT361">
        <v>0</v>
      </c>
      <c r="AU361">
        <v>0</v>
      </c>
      <c r="AV361" t="s">
        <v>7365</v>
      </c>
      <c r="AW361" t="s">
        <v>7041</v>
      </c>
      <c r="AX361" t="s">
        <v>6966</v>
      </c>
      <c r="AY361" t="s">
        <v>7003</v>
      </c>
      <c r="AZ361">
        <v>7.0895E-2</v>
      </c>
      <c r="BA361">
        <v>2.03E-4</v>
      </c>
    </row>
    <row r="362" spans="1:53" x14ac:dyDescent="0.25">
      <c r="A362">
        <v>360</v>
      </c>
      <c r="B362" t="s">
        <v>7625</v>
      </c>
      <c r="C362">
        <v>201072</v>
      </c>
      <c r="D362" t="s">
        <v>1096</v>
      </c>
      <c r="E362" t="s">
        <v>1069</v>
      </c>
      <c r="F362">
        <v>0</v>
      </c>
      <c r="G362">
        <v>17521.980468999998</v>
      </c>
      <c r="H362">
        <v>310</v>
      </c>
      <c r="I362">
        <v>486</v>
      </c>
      <c r="J362">
        <v>53241</v>
      </c>
      <c r="K362" t="s">
        <v>2437</v>
      </c>
      <c r="L362">
        <v>17</v>
      </c>
      <c r="M362">
        <v>18</v>
      </c>
      <c r="N362">
        <v>53241</v>
      </c>
      <c r="O362">
        <v>298</v>
      </c>
      <c r="P362" t="s">
        <v>3214</v>
      </c>
      <c r="Q362">
        <v>2.6</v>
      </c>
      <c r="R362">
        <v>54.31</v>
      </c>
      <c r="S362">
        <v>0.65</v>
      </c>
      <c r="T362">
        <v>14</v>
      </c>
      <c r="U362">
        <v>0</v>
      </c>
      <c r="V362">
        <v>17521.981497000001</v>
      </c>
      <c r="W362">
        <v>361</v>
      </c>
      <c r="X362">
        <v>3</v>
      </c>
      <c r="Y362">
        <v>360</v>
      </c>
      <c r="Z362">
        <v>65346</v>
      </c>
      <c r="AA362" s="76">
        <v>45845</v>
      </c>
      <c r="AB362">
        <v>2025</v>
      </c>
      <c r="AC362" t="s">
        <v>7313</v>
      </c>
      <c r="AD362">
        <v>7</v>
      </c>
      <c r="AE362" t="s">
        <v>7330</v>
      </c>
      <c r="AF362" t="s">
        <v>3216</v>
      </c>
      <c r="AG362" t="s">
        <v>1069</v>
      </c>
      <c r="AH362" t="s">
        <v>1096</v>
      </c>
      <c r="AI362" t="s">
        <v>3137</v>
      </c>
      <c r="AJ362" t="s">
        <v>6966</v>
      </c>
      <c r="AK362">
        <v>34.344279999999998</v>
      </c>
      <c r="AL362">
        <v>36.473239999999997</v>
      </c>
      <c r="AM362" t="s">
        <v>6995</v>
      </c>
      <c r="AN362" t="s">
        <v>7014</v>
      </c>
      <c r="AO362" t="s">
        <v>6996</v>
      </c>
      <c r="AP362" t="s">
        <v>7331</v>
      </c>
      <c r="AQ362" t="s">
        <v>6998</v>
      </c>
      <c r="AR362" t="s">
        <v>6999</v>
      </c>
      <c r="AS362" t="s">
        <v>7000</v>
      </c>
      <c r="AT362">
        <v>0</v>
      </c>
      <c r="AU362">
        <v>0</v>
      </c>
      <c r="AV362" t="s">
        <v>7332</v>
      </c>
      <c r="AW362" t="s">
        <v>7119</v>
      </c>
      <c r="AX362" t="s">
        <v>6966</v>
      </c>
      <c r="AY362" t="s">
        <v>7003</v>
      </c>
      <c r="AZ362">
        <v>0.174485</v>
      </c>
      <c r="BA362">
        <v>1.266E-3</v>
      </c>
    </row>
    <row r="363" spans="1:53" x14ac:dyDescent="0.25">
      <c r="A363">
        <v>361</v>
      </c>
      <c r="B363" t="s">
        <v>7625</v>
      </c>
      <c r="C363">
        <v>704059</v>
      </c>
      <c r="D363" t="s">
        <v>87</v>
      </c>
      <c r="E363" t="s">
        <v>7685</v>
      </c>
      <c r="F363">
        <v>101800.046875</v>
      </c>
      <c r="G363">
        <v>2150.585693</v>
      </c>
      <c r="H363">
        <v>311</v>
      </c>
      <c r="I363">
        <v>487</v>
      </c>
      <c r="J363">
        <v>37004</v>
      </c>
      <c r="K363" t="s">
        <v>87</v>
      </c>
      <c r="L363">
        <v>14</v>
      </c>
      <c r="M363">
        <v>14</v>
      </c>
      <c r="N363">
        <v>37004</v>
      </c>
      <c r="O363">
        <v>299</v>
      </c>
      <c r="P363" t="s">
        <v>3215</v>
      </c>
      <c r="Q363">
        <v>0</v>
      </c>
      <c r="R363">
        <v>0</v>
      </c>
      <c r="S363">
        <v>0</v>
      </c>
      <c r="T363">
        <v>0</v>
      </c>
      <c r="U363">
        <v>101800.03575700001</v>
      </c>
      <c r="V363">
        <v>2150.5857850000002</v>
      </c>
      <c r="W363">
        <v>362</v>
      </c>
      <c r="X363">
        <v>0</v>
      </c>
      <c r="Y363">
        <v>361</v>
      </c>
      <c r="Z363" t="s">
        <v>6966</v>
      </c>
      <c r="AA363" t="s">
        <v>6966</v>
      </c>
      <c r="AB363" t="s">
        <v>6966</v>
      </c>
      <c r="AC363" t="s">
        <v>6966</v>
      </c>
      <c r="AD363" t="s">
        <v>6966</v>
      </c>
      <c r="AE363" t="s">
        <v>6966</v>
      </c>
      <c r="AF363" t="s">
        <v>6966</v>
      </c>
      <c r="AG363" t="s">
        <v>6966</v>
      </c>
      <c r="AH363" t="s">
        <v>6966</v>
      </c>
      <c r="AI363" t="s">
        <v>6966</v>
      </c>
      <c r="AJ363" t="s">
        <v>6966</v>
      </c>
      <c r="AK363" t="s">
        <v>6966</v>
      </c>
      <c r="AL363" t="s">
        <v>6966</v>
      </c>
      <c r="AM363" t="s">
        <v>6966</v>
      </c>
      <c r="AN363" t="s">
        <v>6966</v>
      </c>
      <c r="AO363" t="s">
        <v>6966</v>
      </c>
      <c r="AP363" t="s">
        <v>6966</v>
      </c>
      <c r="AQ363" t="s">
        <v>6966</v>
      </c>
      <c r="AR363" t="s">
        <v>6966</v>
      </c>
      <c r="AS363" t="s">
        <v>6966</v>
      </c>
      <c r="AT363" t="s">
        <v>6966</v>
      </c>
      <c r="AU363" t="s">
        <v>6966</v>
      </c>
      <c r="AV363" t="s">
        <v>6966</v>
      </c>
      <c r="AW363" t="s">
        <v>6966</v>
      </c>
      <c r="AX363" t="s">
        <v>6966</v>
      </c>
      <c r="AY363" t="s">
        <v>6966</v>
      </c>
      <c r="AZ363">
        <v>2.0650000000000002E-2</v>
      </c>
      <c r="BA363">
        <v>1.0000000000000001E-5</v>
      </c>
    </row>
    <row r="364" spans="1:53" x14ac:dyDescent="0.25">
      <c r="A364">
        <v>362</v>
      </c>
      <c r="B364" t="s">
        <v>7625</v>
      </c>
      <c r="C364">
        <v>703018</v>
      </c>
      <c r="D364" t="s">
        <v>558</v>
      </c>
      <c r="E364" t="s">
        <v>7704</v>
      </c>
      <c r="F364">
        <v>5584054.5</v>
      </c>
      <c r="G364">
        <v>12344.654296999999</v>
      </c>
      <c r="H364">
        <v>312</v>
      </c>
      <c r="I364">
        <v>488</v>
      </c>
      <c r="J364">
        <v>32119</v>
      </c>
      <c r="K364" t="s">
        <v>558</v>
      </c>
      <c r="L364">
        <v>9</v>
      </c>
      <c r="M364">
        <v>9</v>
      </c>
      <c r="N364">
        <v>32119</v>
      </c>
      <c r="O364">
        <v>300</v>
      </c>
      <c r="P364" t="s">
        <v>3215</v>
      </c>
      <c r="Q364">
        <v>2.9</v>
      </c>
      <c r="R364">
        <v>62.21</v>
      </c>
      <c r="S364">
        <v>0.84</v>
      </c>
      <c r="T364">
        <v>18</v>
      </c>
      <c r="U364">
        <v>5584054.2689199997</v>
      </c>
      <c r="V364">
        <v>12344.65533</v>
      </c>
      <c r="W364">
        <v>363</v>
      </c>
      <c r="X364">
        <v>0</v>
      </c>
      <c r="Y364">
        <v>362</v>
      </c>
      <c r="Z364" t="s">
        <v>6966</v>
      </c>
      <c r="AA364" t="s">
        <v>6966</v>
      </c>
      <c r="AB364" t="s">
        <v>6966</v>
      </c>
      <c r="AC364" t="s">
        <v>6966</v>
      </c>
      <c r="AD364" t="s">
        <v>6966</v>
      </c>
      <c r="AE364" t="s">
        <v>6966</v>
      </c>
      <c r="AF364" t="s">
        <v>6966</v>
      </c>
      <c r="AG364" t="s">
        <v>6966</v>
      </c>
      <c r="AH364" t="s">
        <v>6966</v>
      </c>
      <c r="AI364" t="s">
        <v>6966</v>
      </c>
      <c r="AJ364" t="s">
        <v>6966</v>
      </c>
      <c r="AK364" t="s">
        <v>6966</v>
      </c>
      <c r="AL364" t="s">
        <v>6966</v>
      </c>
      <c r="AM364" t="s">
        <v>6966</v>
      </c>
      <c r="AN364" t="s">
        <v>6966</v>
      </c>
      <c r="AO364" t="s">
        <v>6966</v>
      </c>
      <c r="AP364" t="s">
        <v>6966</v>
      </c>
      <c r="AQ364" t="s">
        <v>6966</v>
      </c>
      <c r="AR364" t="s">
        <v>6966</v>
      </c>
      <c r="AS364" t="s">
        <v>6966</v>
      </c>
      <c r="AT364" t="s">
        <v>6966</v>
      </c>
      <c r="AU364" t="s">
        <v>6966</v>
      </c>
      <c r="AV364" t="s">
        <v>6966</v>
      </c>
      <c r="AW364" t="s">
        <v>6966</v>
      </c>
      <c r="AX364" t="s">
        <v>6966</v>
      </c>
      <c r="AY364" t="s">
        <v>6966</v>
      </c>
      <c r="AZ364">
        <v>0.121972</v>
      </c>
      <c r="BA364">
        <v>5.4699999999999996E-4</v>
      </c>
    </row>
    <row r="365" spans="1:53" x14ac:dyDescent="0.25">
      <c r="A365">
        <v>363</v>
      </c>
      <c r="B365" t="s">
        <v>7625</v>
      </c>
      <c r="C365">
        <v>703006</v>
      </c>
      <c r="D365" t="s">
        <v>580</v>
      </c>
      <c r="E365" t="s">
        <v>7704</v>
      </c>
      <c r="F365">
        <v>1400926.5</v>
      </c>
      <c r="G365">
        <v>9561.0107420000004</v>
      </c>
      <c r="H365">
        <v>313</v>
      </c>
      <c r="I365">
        <v>490</v>
      </c>
      <c r="J365">
        <v>32163</v>
      </c>
      <c r="K365" t="s">
        <v>2028</v>
      </c>
      <c r="L365">
        <v>9</v>
      </c>
      <c r="M365">
        <v>9</v>
      </c>
      <c r="N365">
        <v>32163</v>
      </c>
      <c r="O365">
        <v>301</v>
      </c>
      <c r="P365" t="s">
        <v>3215</v>
      </c>
      <c r="Q365">
        <v>1.4</v>
      </c>
      <c r="R365">
        <v>76.89</v>
      </c>
      <c r="S365">
        <v>0.39</v>
      </c>
      <c r="T365">
        <v>21</v>
      </c>
      <c r="U365">
        <v>1400926.4071500001</v>
      </c>
      <c r="V365">
        <v>9561.0112719999997</v>
      </c>
      <c r="W365">
        <v>364</v>
      </c>
      <c r="X365">
        <v>0</v>
      </c>
      <c r="Y365">
        <v>363</v>
      </c>
      <c r="Z365" t="s">
        <v>6966</v>
      </c>
      <c r="AA365" t="s">
        <v>6966</v>
      </c>
      <c r="AB365" t="s">
        <v>6966</v>
      </c>
      <c r="AC365" t="s">
        <v>6966</v>
      </c>
      <c r="AD365" t="s">
        <v>6966</v>
      </c>
      <c r="AE365" t="s">
        <v>6966</v>
      </c>
      <c r="AF365" t="s">
        <v>6966</v>
      </c>
      <c r="AG365" t="s">
        <v>6966</v>
      </c>
      <c r="AH365" t="s">
        <v>6966</v>
      </c>
      <c r="AI365" t="s">
        <v>6966</v>
      </c>
      <c r="AJ365" t="s">
        <v>6966</v>
      </c>
      <c r="AK365" t="s">
        <v>6966</v>
      </c>
      <c r="AL365" t="s">
        <v>6966</v>
      </c>
      <c r="AM365" t="s">
        <v>6966</v>
      </c>
      <c r="AN365" t="s">
        <v>6966</v>
      </c>
      <c r="AO365" t="s">
        <v>6966</v>
      </c>
      <c r="AP365" t="s">
        <v>6966</v>
      </c>
      <c r="AQ365" t="s">
        <v>6966</v>
      </c>
      <c r="AR365" t="s">
        <v>6966</v>
      </c>
      <c r="AS365" t="s">
        <v>6966</v>
      </c>
      <c r="AT365" t="s">
        <v>6966</v>
      </c>
      <c r="AU365" t="s">
        <v>6966</v>
      </c>
      <c r="AV365" t="s">
        <v>6966</v>
      </c>
      <c r="AW365" t="s">
        <v>6966</v>
      </c>
      <c r="AX365" t="s">
        <v>6966</v>
      </c>
      <c r="AY365" t="s">
        <v>6966</v>
      </c>
      <c r="AZ365">
        <v>9.7340999999999997E-2</v>
      </c>
      <c r="BA365">
        <v>1.37E-4</v>
      </c>
    </row>
    <row r="366" spans="1:53" x14ac:dyDescent="0.25">
      <c r="A366">
        <v>364</v>
      </c>
      <c r="B366" t="s">
        <v>7625</v>
      </c>
      <c r="C366">
        <v>704008</v>
      </c>
      <c r="D366" t="s">
        <v>946</v>
      </c>
      <c r="E366" t="s">
        <v>7685</v>
      </c>
      <c r="F366">
        <v>0</v>
      </c>
      <c r="G366">
        <v>25409.785156000002</v>
      </c>
      <c r="H366">
        <v>314</v>
      </c>
      <c r="I366">
        <v>491</v>
      </c>
      <c r="J366">
        <v>37359</v>
      </c>
      <c r="K366" t="s">
        <v>2310</v>
      </c>
      <c r="L366">
        <v>14</v>
      </c>
      <c r="M366">
        <v>14</v>
      </c>
      <c r="N366">
        <v>37359</v>
      </c>
      <c r="O366">
        <v>302</v>
      </c>
      <c r="P366" t="s">
        <v>3215</v>
      </c>
      <c r="Q366">
        <v>0</v>
      </c>
      <c r="R366">
        <v>0</v>
      </c>
      <c r="S366">
        <v>0.04</v>
      </c>
      <c r="T366">
        <v>11</v>
      </c>
      <c r="U366">
        <v>0</v>
      </c>
      <c r="V366">
        <v>25409.785351999999</v>
      </c>
      <c r="W366">
        <v>365</v>
      </c>
      <c r="X366">
        <v>0</v>
      </c>
      <c r="Y366">
        <v>364</v>
      </c>
      <c r="Z366" t="s">
        <v>6966</v>
      </c>
      <c r="AA366" t="s">
        <v>6966</v>
      </c>
      <c r="AB366" t="s">
        <v>6966</v>
      </c>
      <c r="AC366" t="s">
        <v>6966</v>
      </c>
      <c r="AD366" t="s">
        <v>6966</v>
      </c>
      <c r="AE366" t="s">
        <v>6966</v>
      </c>
      <c r="AF366" t="s">
        <v>6966</v>
      </c>
      <c r="AG366" t="s">
        <v>6966</v>
      </c>
      <c r="AH366" t="s">
        <v>6966</v>
      </c>
      <c r="AI366" t="s">
        <v>6966</v>
      </c>
      <c r="AJ366" t="s">
        <v>6966</v>
      </c>
      <c r="AK366" t="s">
        <v>6966</v>
      </c>
      <c r="AL366" t="s">
        <v>6966</v>
      </c>
      <c r="AM366" t="s">
        <v>6966</v>
      </c>
      <c r="AN366" t="s">
        <v>6966</v>
      </c>
      <c r="AO366" t="s">
        <v>6966</v>
      </c>
      <c r="AP366" t="s">
        <v>6966</v>
      </c>
      <c r="AQ366" t="s">
        <v>6966</v>
      </c>
      <c r="AR366" t="s">
        <v>6966</v>
      </c>
      <c r="AS366" t="s">
        <v>6966</v>
      </c>
      <c r="AT366" t="s">
        <v>6966</v>
      </c>
      <c r="AU366" t="s">
        <v>6966</v>
      </c>
      <c r="AV366" t="s">
        <v>6966</v>
      </c>
      <c r="AW366" t="s">
        <v>6966</v>
      </c>
      <c r="AX366" t="s">
        <v>6966</v>
      </c>
      <c r="AY366" t="s">
        <v>6966</v>
      </c>
      <c r="AZ366">
        <v>0.253967</v>
      </c>
      <c r="BA366">
        <v>1.8129999999999999E-3</v>
      </c>
    </row>
    <row r="367" spans="1:53" x14ac:dyDescent="0.25">
      <c r="A367">
        <v>365</v>
      </c>
      <c r="B367" t="s">
        <v>7625</v>
      </c>
      <c r="C367">
        <v>706013</v>
      </c>
      <c r="D367" t="s">
        <v>622</v>
      </c>
      <c r="E367" t="s">
        <v>597</v>
      </c>
      <c r="F367">
        <v>4291690</v>
      </c>
      <c r="G367">
        <v>11378.994140999999</v>
      </c>
      <c r="H367">
        <v>315</v>
      </c>
      <c r="I367">
        <v>492</v>
      </c>
      <c r="J367">
        <v>33159</v>
      </c>
      <c r="K367" t="s">
        <v>7744</v>
      </c>
      <c r="L367">
        <v>10</v>
      </c>
      <c r="M367">
        <v>10</v>
      </c>
      <c r="N367">
        <v>33159</v>
      </c>
      <c r="O367">
        <v>303</v>
      </c>
      <c r="P367" t="s">
        <v>3215</v>
      </c>
      <c r="Q367">
        <v>0.5</v>
      </c>
      <c r="R367">
        <v>26.15</v>
      </c>
      <c r="S367">
        <v>0.16</v>
      </c>
      <c r="T367">
        <v>9</v>
      </c>
      <c r="U367">
        <v>4291690.2488900004</v>
      </c>
      <c r="V367">
        <v>11378.994044999999</v>
      </c>
      <c r="W367">
        <v>366</v>
      </c>
      <c r="X367">
        <v>0</v>
      </c>
      <c r="Y367">
        <v>365</v>
      </c>
      <c r="Z367" t="s">
        <v>6966</v>
      </c>
      <c r="AA367" t="s">
        <v>6966</v>
      </c>
      <c r="AB367" t="s">
        <v>6966</v>
      </c>
      <c r="AC367" t="s">
        <v>6966</v>
      </c>
      <c r="AD367" t="s">
        <v>6966</v>
      </c>
      <c r="AE367" t="s">
        <v>6966</v>
      </c>
      <c r="AF367" t="s">
        <v>6966</v>
      </c>
      <c r="AG367" t="s">
        <v>6966</v>
      </c>
      <c r="AH367" t="s">
        <v>6966</v>
      </c>
      <c r="AI367" t="s">
        <v>6966</v>
      </c>
      <c r="AJ367" t="s">
        <v>6966</v>
      </c>
      <c r="AK367" t="s">
        <v>6966</v>
      </c>
      <c r="AL367" t="s">
        <v>6966</v>
      </c>
      <c r="AM367" t="s">
        <v>6966</v>
      </c>
      <c r="AN367" t="s">
        <v>6966</v>
      </c>
      <c r="AO367" t="s">
        <v>6966</v>
      </c>
      <c r="AP367" t="s">
        <v>6966</v>
      </c>
      <c r="AQ367" t="s">
        <v>6966</v>
      </c>
      <c r="AR367" t="s">
        <v>6966</v>
      </c>
      <c r="AS367" t="s">
        <v>6966</v>
      </c>
      <c r="AT367" t="s">
        <v>6966</v>
      </c>
      <c r="AU367" t="s">
        <v>6966</v>
      </c>
      <c r="AV367" t="s">
        <v>6966</v>
      </c>
      <c r="AW367" t="s">
        <v>6966</v>
      </c>
      <c r="AX367" t="s">
        <v>6966</v>
      </c>
      <c r="AY367" t="s">
        <v>6966</v>
      </c>
      <c r="AZ367">
        <v>0.110663</v>
      </c>
      <c r="BA367">
        <v>4.2000000000000002E-4</v>
      </c>
    </row>
    <row r="368" spans="1:53" x14ac:dyDescent="0.25">
      <c r="A368">
        <v>366</v>
      </c>
      <c r="B368" t="s">
        <v>7625</v>
      </c>
      <c r="C368">
        <v>706005</v>
      </c>
      <c r="D368" t="s">
        <v>623</v>
      </c>
      <c r="E368" t="s">
        <v>597</v>
      </c>
      <c r="F368">
        <v>2254659.25</v>
      </c>
      <c r="G368">
        <v>8152.1054690000001</v>
      </c>
      <c r="H368">
        <v>316</v>
      </c>
      <c r="I368">
        <v>493</v>
      </c>
      <c r="J368">
        <v>33161</v>
      </c>
      <c r="K368" t="s">
        <v>2065</v>
      </c>
      <c r="L368">
        <v>10</v>
      </c>
      <c r="M368">
        <v>10</v>
      </c>
      <c r="N368">
        <v>33161</v>
      </c>
      <c r="O368">
        <v>304</v>
      </c>
      <c r="P368" t="s">
        <v>3215</v>
      </c>
      <c r="Q368">
        <v>2.2999999999999998</v>
      </c>
      <c r="R368">
        <v>58.7</v>
      </c>
      <c r="S368">
        <v>0.56000000000000005</v>
      </c>
      <c r="T368">
        <v>14</v>
      </c>
      <c r="U368">
        <v>2254659.33922</v>
      </c>
      <c r="V368">
        <v>8152.1050880000003</v>
      </c>
      <c r="W368">
        <v>367</v>
      </c>
      <c r="X368">
        <v>0</v>
      </c>
      <c r="Y368">
        <v>366</v>
      </c>
      <c r="Z368" t="s">
        <v>6966</v>
      </c>
      <c r="AA368" t="s">
        <v>6966</v>
      </c>
      <c r="AB368" t="s">
        <v>6966</v>
      </c>
      <c r="AC368" t="s">
        <v>6966</v>
      </c>
      <c r="AD368" t="s">
        <v>6966</v>
      </c>
      <c r="AE368" t="s">
        <v>6966</v>
      </c>
      <c r="AF368" t="s">
        <v>6966</v>
      </c>
      <c r="AG368" t="s">
        <v>6966</v>
      </c>
      <c r="AH368" t="s">
        <v>6966</v>
      </c>
      <c r="AI368" t="s">
        <v>6966</v>
      </c>
      <c r="AJ368" t="s">
        <v>6966</v>
      </c>
      <c r="AK368" t="s">
        <v>6966</v>
      </c>
      <c r="AL368" t="s">
        <v>6966</v>
      </c>
      <c r="AM368" t="s">
        <v>6966</v>
      </c>
      <c r="AN368" t="s">
        <v>6966</v>
      </c>
      <c r="AO368" t="s">
        <v>6966</v>
      </c>
      <c r="AP368" t="s">
        <v>6966</v>
      </c>
      <c r="AQ368" t="s">
        <v>6966</v>
      </c>
      <c r="AR368" t="s">
        <v>6966</v>
      </c>
      <c r="AS368" t="s">
        <v>6966</v>
      </c>
      <c r="AT368" t="s">
        <v>6966</v>
      </c>
      <c r="AU368" t="s">
        <v>6966</v>
      </c>
      <c r="AV368" t="s">
        <v>6966</v>
      </c>
      <c r="AW368" t="s">
        <v>6966</v>
      </c>
      <c r="AX368" t="s">
        <v>6966</v>
      </c>
      <c r="AY368" t="s">
        <v>6966</v>
      </c>
      <c r="AZ368">
        <v>7.9099000000000003E-2</v>
      </c>
      <c r="BA368">
        <v>2.2100000000000001E-4</v>
      </c>
    </row>
    <row r="369" spans="1:53" x14ac:dyDescent="0.25">
      <c r="A369">
        <v>367</v>
      </c>
      <c r="B369" t="s">
        <v>7625</v>
      </c>
      <c r="C369">
        <v>201080</v>
      </c>
      <c r="D369" t="s">
        <v>1087</v>
      </c>
      <c r="E369" t="s">
        <v>1069</v>
      </c>
      <c r="F369">
        <v>0</v>
      </c>
      <c r="G369">
        <v>56375.351562999997</v>
      </c>
      <c r="H369">
        <v>317</v>
      </c>
      <c r="I369">
        <v>494</v>
      </c>
      <c r="J369">
        <v>53211</v>
      </c>
      <c r="K369" t="s">
        <v>2428</v>
      </c>
      <c r="L369">
        <v>17</v>
      </c>
      <c r="M369">
        <v>17</v>
      </c>
      <c r="N369">
        <v>53211</v>
      </c>
      <c r="O369">
        <v>305</v>
      </c>
      <c r="P369" t="s">
        <v>3214</v>
      </c>
      <c r="Q369">
        <v>0.6</v>
      </c>
      <c r="R369">
        <v>67.709999999999994</v>
      </c>
      <c r="S369">
        <v>0.1</v>
      </c>
      <c r="T369">
        <v>12</v>
      </c>
      <c r="U369">
        <v>0</v>
      </c>
      <c r="V369">
        <v>56375.351498999997</v>
      </c>
      <c r="W369">
        <v>368</v>
      </c>
      <c r="X369">
        <v>0</v>
      </c>
      <c r="Y369">
        <v>367</v>
      </c>
      <c r="Z369" t="s">
        <v>6966</v>
      </c>
      <c r="AA369" t="s">
        <v>6966</v>
      </c>
      <c r="AB369" t="s">
        <v>6966</v>
      </c>
      <c r="AC369" t="s">
        <v>6966</v>
      </c>
      <c r="AD369" t="s">
        <v>6966</v>
      </c>
      <c r="AE369" t="s">
        <v>6966</v>
      </c>
      <c r="AF369" t="s">
        <v>6966</v>
      </c>
      <c r="AG369" t="s">
        <v>6966</v>
      </c>
      <c r="AH369" t="s">
        <v>6966</v>
      </c>
      <c r="AI369" t="s">
        <v>6966</v>
      </c>
      <c r="AJ369" t="s">
        <v>6966</v>
      </c>
      <c r="AK369" t="s">
        <v>6966</v>
      </c>
      <c r="AL369" t="s">
        <v>6966</v>
      </c>
      <c r="AM369" t="s">
        <v>6966</v>
      </c>
      <c r="AN369" t="s">
        <v>6966</v>
      </c>
      <c r="AO369" t="s">
        <v>6966</v>
      </c>
      <c r="AP369" t="s">
        <v>6966</v>
      </c>
      <c r="AQ369" t="s">
        <v>6966</v>
      </c>
      <c r="AR369" t="s">
        <v>6966</v>
      </c>
      <c r="AS369" t="s">
        <v>6966</v>
      </c>
      <c r="AT369" t="s">
        <v>6966</v>
      </c>
      <c r="AU369" t="s">
        <v>6966</v>
      </c>
      <c r="AV369" t="s">
        <v>6966</v>
      </c>
      <c r="AW369" t="s">
        <v>6966</v>
      </c>
      <c r="AX369" t="s">
        <v>6966</v>
      </c>
      <c r="AY369" t="s">
        <v>6966</v>
      </c>
      <c r="AZ369">
        <v>0.56218400000000002</v>
      </c>
      <c r="BA369">
        <v>6.6249999999999998E-3</v>
      </c>
    </row>
    <row r="370" spans="1:53" x14ac:dyDescent="0.25">
      <c r="A370">
        <v>368</v>
      </c>
      <c r="B370" t="s">
        <v>7625</v>
      </c>
      <c r="C370">
        <v>704060</v>
      </c>
      <c r="D370" t="s">
        <v>87</v>
      </c>
      <c r="E370" t="s">
        <v>7685</v>
      </c>
      <c r="F370">
        <v>94544.84375</v>
      </c>
      <c r="G370">
        <v>1480.5661620000001</v>
      </c>
      <c r="H370">
        <v>318</v>
      </c>
      <c r="I370">
        <v>495</v>
      </c>
      <c r="J370">
        <v>37005</v>
      </c>
      <c r="K370" t="s">
        <v>87</v>
      </c>
      <c r="L370">
        <v>14</v>
      </c>
      <c r="M370">
        <v>14</v>
      </c>
      <c r="N370">
        <v>37005</v>
      </c>
      <c r="O370">
        <v>306</v>
      </c>
      <c r="P370" t="s">
        <v>3215</v>
      </c>
      <c r="Q370">
        <v>0</v>
      </c>
      <c r="R370">
        <v>0</v>
      </c>
      <c r="S370">
        <v>0</v>
      </c>
      <c r="T370">
        <v>0</v>
      </c>
      <c r="U370">
        <v>94544.850684000005</v>
      </c>
      <c r="V370">
        <v>1480.5663489999999</v>
      </c>
      <c r="W370">
        <v>369</v>
      </c>
      <c r="X370">
        <v>0</v>
      </c>
      <c r="Y370">
        <v>368</v>
      </c>
      <c r="Z370" t="s">
        <v>6966</v>
      </c>
      <c r="AA370" t="s">
        <v>6966</v>
      </c>
      <c r="AB370" t="s">
        <v>6966</v>
      </c>
      <c r="AC370" t="s">
        <v>6966</v>
      </c>
      <c r="AD370" t="s">
        <v>6966</v>
      </c>
      <c r="AE370" t="s">
        <v>6966</v>
      </c>
      <c r="AF370" t="s">
        <v>6966</v>
      </c>
      <c r="AG370" t="s">
        <v>6966</v>
      </c>
      <c r="AH370" t="s">
        <v>6966</v>
      </c>
      <c r="AI370" t="s">
        <v>6966</v>
      </c>
      <c r="AJ370" t="s">
        <v>6966</v>
      </c>
      <c r="AK370" t="s">
        <v>6966</v>
      </c>
      <c r="AL370" t="s">
        <v>6966</v>
      </c>
      <c r="AM370" t="s">
        <v>6966</v>
      </c>
      <c r="AN370" t="s">
        <v>6966</v>
      </c>
      <c r="AO370" t="s">
        <v>6966</v>
      </c>
      <c r="AP370" t="s">
        <v>6966</v>
      </c>
      <c r="AQ370" t="s">
        <v>6966</v>
      </c>
      <c r="AR370" t="s">
        <v>6966</v>
      </c>
      <c r="AS370" t="s">
        <v>6966</v>
      </c>
      <c r="AT370" t="s">
        <v>6966</v>
      </c>
      <c r="AU370" t="s">
        <v>6966</v>
      </c>
      <c r="AV370" t="s">
        <v>6966</v>
      </c>
      <c r="AW370" t="s">
        <v>6966</v>
      </c>
      <c r="AX370" t="s">
        <v>6966</v>
      </c>
      <c r="AY370" t="s">
        <v>6966</v>
      </c>
      <c r="AZ370">
        <v>1.5169E-2</v>
      </c>
      <c r="BA370">
        <v>9.0000000000000002E-6</v>
      </c>
    </row>
    <row r="371" spans="1:53" x14ac:dyDescent="0.25">
      <c r="A371">
        <v>369</v>
      </c>
      <c r="B371" t="s">
        <v>7625</v>
      </c>
      <c r="C371">
        <v>706017</v>
      </c>
      <c r="D371" t="s">
        <v>624</v>
      </c>
      <c r="E371" t="s">
        <v>597</v>
      </c>
      <c r="F371">
        <v>3044463.25</v>
      </c>
      <c r="G371">
        <v>9221.2392579999996</v>
      </c>
      <c r="H371">
        <v>319</v>
      </c>
      <c r="I371">
        <v>496</v>
      </c>
      <c r="J371">
        <v>33163</v>
      </c>
      <c r="K371" t="s">
        <v>1718</v>
      </c>
      <c r="L371">
        <v>10</v>
      </c>
      <c r="M371">
        <v>10</v>
      </c>
      <c r="N371">
        <v>33163</v>
      </c>
      <c r="O371">
        <v>307</v>
      </c>
      <c r="P371" t="s">
        <v>3215</v>
      </c>
      <c r="Q371">
        <v>1.8</v>
      </c>
      <c r="R371">
        <v>79.31</v>
      </c>
      <c r="S371">
        <v>0.45</v>
      </c>
      <c r="T371">
        <v>20</v>
      </c>
      <c r="U371">
        <v>3044463.33</v>
      </c>
      <c r="V371">
        <v>9221.23884</v>
      </c>
      <c r="W371">
        <v>370</v>
      </c>
      <c r="X371">
        <v>0</v>
      </c>
      <c r="Y371">
        <v>369</v>
      </c>
      <c r="Z371" t="s">
        <v>6966</v>
      </c>
      <c r="AA371" t="s">
        <v>6966</v>
      </c>
      <c r="AB371" t="s">
        <v>6966</v>
      </c>
      <c r="AC371" t="s">
        <v>6966</v>
      </c>
      <c r="AD371" t="s">
        <v>6966</v>
      </c>
      <c r="AE371" t="s">
        <v>6966</v>
      </c>
      <c r="AF371" t="s">
        <v>6966</v>
      </c>
      <c r="AG371" t="s">
        <v>6966</v>
      </c>
      <c r="AH371" t="s">
        <v>6966</v>
      </c>
      <c r="AI371" t="s">
        <v>6966</v>
      </c>
      <c r="AJ371" t="s">
        <v>6966</v>
      </c>
      <c r="AK371" t="s">
        <v>6966</v>
      </c>
      <c r="AL371" t="s">
        <v>6966</v>
      </c>
      <c r="AM371" t="s">
        <v>6966</v>
      </c>
      <c r="AN371" t="s">
        <v>6966</v>
      </c>
      <c r="AO371" t="s">
        <v>6966</v>
      </c>
      <c r="AP371" t="s">
        <v>6966</v>
      </c>
      <c r="AQ371" t="s">
        <v>6966</v>
      </c>
      <c r="AR371" t="s">
        <v>6966</v>
      </c>
      <c r="AS371" t="s">
        <v>6966</v>
      </c>
      <c r="AT371" t="s">
        <v>6966</v>
      </c>
      <c r="AU371" t="s">
        <v>6966</v>
      </c>
      <c r="AV371" t="s">
        <v>6966</v>
      </c>
      <c r="AW371" t="s">
        <v>6966</v>
      </c>
      <c r="AX371" t="s">
        <v>6966</v>
      </c>
      <c r="AY371" t="s">
        <v>6966</v>
      </c>
      <c r="AZ371">
        <v>9.0995999999999994E-2</v>
      </c>
      <c r="BA371">
        <v>2.9799999999999998E-4</v>
      </c>
    </row>
    <row r="372" spans="1:53" x14ac:dyDescent="0.25">
      <c r="A372">
        <v>370</v>
      </c>
      <c r="B372" t="s">
        <v>7625</v>
      </c>
      <c r="C372">
        <v>703005</v>
      </c>
      <c r="D372" t="s">
        <v>579</v>
      </c>
      <c r="E372" t="s">
        <v>7704</v>
      </c>
      <c r="F372">
        <v>4399005</v>
      </c>
      <c r="G372">
        <v>10498.515625</v>
      </c>
      <c r="H372">
        <v>320</v>
      </c>
      <c r="I372">
        <v>497</v>
      </c>
      <c r="J372">
        <v>32161</v>
      </c>
      <c r="K372" t="s">
        <v>579</v>
      </c>
      <c r="L372">
        <v>9</v>
      </c>
      <c r="M372">
        <v>9</v>
      </c>
      <c r="N372">
        <v>32161</v>
      </c>
      <c r="O372">
        <v>308</v>
      </c>
      <c r="P372" t="s">
        <v>3215</v>
      </c>
      <c r="Q372">
        <v>0.4</v>
      </c>
      <c r="R372">
        <v>27.53</v>
      </c>
      <c r="S372">
        <v>0.11</v>
      </c>
      <c r="T372">
        <v>7</v>
      </c>
      <c r="U372">
        <v>4399005.1423199996</v>
      </c>
      <c r="V372">
        <v>10498.516313</v>
      </c>
      <c r="W372">
        <v>371</v>
      </c>
      <c r="X372">
        <v>0</v>
      </c>
      <c r="Y372">
        <v>370</v>
      </c>
      <c r="Z372" t="s">
        <v>6966</v>
      </c>
      <c r="AA372" t="s">
        <v>6966</v>
      </c>
      <c r="AB372" t="s">
        <v>6966</v>
      </c>
      <c r="AC372" t="s">
        <v>6966</v>
      </c>
      <c r="AD372" t="s">
        <v>6966</v>
      </c>
      <c r="AE372" t="s">
        <v>6966</v>
      </c>
      <c r="AF372" t="s">
        <v>6966</v>
      </c>
      <c r="AG372" t="s">
        <v>6966</v>
      </c>
      <c r="AH372" t="s">
        <v>6966</v>
      </c>
      <c r="AI372" t="s">
        <v>6966</v>
      </c>
      <c r="AJ372" t="s">
        <v>6966</v>
      </c>
      <c r="AK372" t="s">
        <v>6966</v>
      </c>
      <c r="AL372" t="s">
        <v>6966</v>
      </c>
      <c r="AM372" t="s">
        <v>6966</v>
      </c>
      <c r="AN372" t="s">
        <v>6966</v>
      </c>
      <c r="AO372" t="s">
        <v>6966</v>
      </c>
      <c r="AP372" t="s">
        <v>6966</v>
      </c>
      <c r="AQ372" t="s">
        <v>6966</v>
      </c>
      <c r="AR372" t="s">
        <v>6966</v>
      </c>
      <c r="AS372" t="s">
        <v>6966</v>
      </c>
      <c r="AT372" t="s">
        <v>6966</v>
      </c>
      <c r="AU372" t="s">
        <v>6966</v>
      </c>
      <c r="AV372" t="s">
        <v>6966</v>
      </c>
      <c r="AW372" t="s">
        <v>6966</v>
      </c>
      <c r="AX372" t="s">
        <v>6966</v>
      </c>
      <c r="AY372" t="s">
        <v>6966</v>
      </c>
      <c r="AZ372">
        <v>0.10563500000000001</v>
      </c>
      <c r="BA372">
        <v>4.3100000000000001E-4</v>
      </c>
    </row>
    <row r="373" spans="1:53" x14ac:dyDescent="0.25">
      <c r="A373">
        <v>371</v>
      </c>
      <c r="B373" t="s">
        <v>7625</v>
      </c>
      <c r="C373">
        <v>701017</v>
      </c>
      <c r="D373" t="s">
        <v>656</v>
      </c>
      <c r="E373" t="s">
        <v>649</v>
      </c>
      <c r="F373">
        <v>8035889</v>
      </c>
      <c r="G373">
        <v>18547.806640999999</v>
      </c>
      <c r="H373">
        <v>321</v>
      </c>
      <c r="I373">
        <v>498</v>
      </c>
      <c r="J373">
        <v>34188</v>
      </c>
      <c r="K373" t="s">
        <v>2089</v>
      </c>
      <c r="L373">
        <v>11</v>
      </c>
      <c r="M373">
        <v>11</v>
      </c>
      <c r="N373">
        <v>34188</v>
      </c>
      <c r="O373">
        <v>309</v>
      </c>
      <c r="P373" t="s">
        <v>3215</v>
      </c>
      <c r="Q373">
        <v>10.4</v>
      </c>
      <c r="R373">
        <v>78.5</v>
      </c>
      <c r="S373">
        <v>2.35</v>
      </c>
      <c r="T373">
        <v>18</v>
      </c>
      <c r="U373">
        <v>8035889.1136600003</v>
      </c>
      <c r="V373">
        <v>18547.806027999999</v>
      </c>
      <c r="W373">
        <v>372</v>
      </c>
      <c r="X373">
        <v>1</v>
      </c>
      <c r="Y373">
        <v>371</v>
      </c>
      <c r="Z373">
        <v>58781</v>
      </c>
      <c r="AA373" s="76">
        <v>45732</v>
      </c>
      <c r="AB373">
        <v>2025</v>
      </c>
      <c r="AC373" t="s">
        <v>7104</v>
      </c>
      <c r="AD373">
        <v>16</v>
      </c>
      <c r="AE373" t="s">
        <v>7123</v>
      </c>
      <c r="AF373" t="s">
        <v>3212</v>
      </c>
      <c r="AG373" t="s">
        <v>3229</v>
      </c>
      <c r="AH373" t="s">
        <v>362</v>
      </c>
      <c r="AI373" t="s">
        <v>3160</v>
      </c>
      <c r="AJ373" t="s">
        <v>6966</v>
      </c>
      <c r="AK373">
        <v>34.328679999999999</v>
      </c>
      <c r="AL373">
        <v>35.731270000000002</v>
      </c>
      <c r="AM373" t="s">
        <v>6995</v>
      </c>
      <c r="AN373" t="s">
        <v>6966</v>
      </c>
      <c r="AO373" t="s">
        <v>6996</v>
      </c>
      <c r="AP373" t="s">
        <v>7124</v>
      </c>
      <c r="AQ373" t="s">
        <v>6998</v>
      </c>
      <c r="AR373" t="s">
        <v>6999</v>
      </c>
      <c r="AS373" t="s">
        <v>7036</v>
      </c>
      <c r="AT373">
        <v>0</v>
      </c>
      <c r="AU373">
        <v>0</v>
      </c>
      <c r="AV373" t="s">
        <v>6966</v>
      </c>
      <c r="AW373" t="s">
        <v>7119</v>
      </c>
      <c r="AX373" t="s">
        <v>6966</v>
      </c>
      <c r="AY373" t="s">
        <v>7003</v>
      </c>
      <c r="AZ373">
        <v>0.183645</v>
      </c>
      <c r="BA373">
        <v>7.8700000000000005E-4</v>
      </c>
    </row>
    <row r="374" spans="1:53" x14ac:dyDescent="0.25">
      <c r="A374">
        <v>372</v>
      </c>
      <c r="B374" t="s">
        <v>7625</v>
      </c>
      <c r="C374">
        <v>704063</v>
      </c>
      <c r="D374" t="s">
        <v>87</v>
      </c>
      <c r="E374" t="s">
        <v>7685</v>
      </c>
      <c r="F374">
        <v>6442356.5</v>
      </c>
      <c r="G374">
        <v>13666.017578000001</v>
      </c>
      <c r="H374">
        <v>322</v>
      </c>
      <c r="I374">
        <v>499</v>
      </c>
      <c r="J374">
        <v>37006</v>
      </c>
      <c r="K374" t="s">
        <v>87</v>
      </c>
      <c r="L374">
        <v>14</v>
      </c>
      <c r="M374">
        <v>14</v>
      </c>
      <c r="N374">
        <v>37006</v>
      </c>
      <c r="O374">
        <v>310</v>
      </c>
      <c r="P374" t="s">
        <v>3215</v>
      </c>
      <c r="Q374">
        <v>0</v>
      </c>
      <c r="R374">
        <v>0</v>
      </c>
      <c r="S374">
        <v>0</v>
      </c>
      <c r="T374">
        <v>0</v>
      </c>
      <c r="U374">
        <v>6442356.3573099999</v>
      </c>
      <c r="V374">
        <v>13666.018065</v>
      </c>
      <c r="W374">
        <v>373</v>
      </c>
      <c r="X374">
        <v>0</v>
      </c>
      <c r="Y374">
        <v>372</v>
      </c>
      <c r="Z374" t="s">
        <v>6966</v>
      </c>
      <c r="AA374" t="s">
        <v>6966</v>
      </c>
      <c r="AB374" t="s">
        <v>6966</v>
      </c>
      <c r="AC374" t="s">
        <v>6966</v>
      </c>
      <c r="AD374" t="s">
        <v>6966</v>
      </c>
      <c r="AE374" t="s">
        <v>6966</v>
      </c>
      <c r="AF374" t="s">
        <v>6966</v>
      </c>
      <c r="AG374" t="s">
        <v>6966</v>
      </c>
      <c r="AH374" t="s">
        <v>6966</v>
      </c>
      <c r="AI374" t="s">
        <v>6966</v>
      </c>
      <c r="AJ374" t="s">
        <v>6966</v>
      </c>
      <c r="AK374" t="s">
        <v>6966</v>
      </c>
      <c r="AL374" t="s">
        <v>6966</v>
      </c>
      <c r="AM374" t="s">
        <v>6966</v>
      </c>
      <c r="AN374" t="s">
        <v>6966</v>
      </c>
      <c r="AO374" t="s">
        <v>6966</v>
      </c>
      <c r="AP374" t="s">
        <v>6966</v>
      </c>
      <c r="AQ374" t="s">
        <v>6966</v>
      </c>
      <c r="AR374" t="s">
        <v>6966</v>
      </c>
      <c r="AS374" t="s">
        <v>6966</v>
      </c>
      <c r="AT374" t="s">
        <v>6966</v>
      </c>
      <c r="AU374" t="s">
        <v>6966</v>
      </c>
      <c r="AV374" t="s">
        <v>6966</v>
      </c>
      <c r="AW374" t="s">
        <v>6966</v>
      </c>
      <c r="AX374" t="s">
        <v>6966</v>
      </c>
      <c r="AY374" t="s">
        <v>6966</v>
      </c>
      <c r="AZ374">
        <v>0.132768</v>
      </c>
      <c r="BA374">
        <v>6.3100000000000005E-4</v>
      </c>
    </row>
    <row r="375" spans="1:53" x14ac:dyDescent="0.25">
      <c r="A375">
        <v>373</v>
      </c>
      <c r="B375" t="s">
        <v>7625</v>
      </c>
      <c r="C375">
        <v>704010</v>
      </c>
      <c r="D375" t="s">
        <v>954</v>
      </c>
      <c r="E375" t="s">
        <v>7685</v>
      </c>
      <c r="F375">
        <v>3114402</v>
      </c>
      <c r="G375">
        <v>9121.6035159999992</v>
      </c>
      <c r="H375">
        <v>323</v>
      </c>
      <c r="I375">
        <v>501</v>
      </c>
      <c r="J375">
        <v>37371</v>
      </c>
      <c r="K375" t="s">
        <v>7745</v>
      </c>
      <c r="L375">
        <v>14</v>
      </c>
      <c r="M375">
        <v>14</v>
      </c>
      <c r="N375">
        <v>37371</v>
      </c>
      <c r="O375">
        <v>311</v>
      </c>
      <c r="P375" t="s">
        <v>3215</v>
      </c>
      <c r="Q375">
        <v>1.4</v>
      </c>
      <c r="R375">
        <v>119.26</v>
      </c>
      <c r="S375">
        <v>0.22</v>
      </c>
      <c r="T375">
        <v>19</v>
      </c>
      <c r="U375">
        <v>3114402.0873799999</v>
      </c>
      <c r="V375">
        <v>9121.6036299999996</v>
      </c>
      <c r="W375">
        <v>374</v>
      </c>
      <c r="X375">
        <v>0</v>
      </c>
      <c r="Y375">
        <v>373</v>
      </c>
      <c r="Z375" t="s">
        <v>6966</v>
      </c>
      <c r="AA375" t="s">
        <v>6966</v>
      </c>
      <c r="AB375" t="s">
        <v>6966</v>
      </c>
      <c r="AC375" t="s">
        <v>6966</v>
      </c>
      <c r="AD375" t="s">
        <v>6966</v>
      </c>
      <c r="AE375" t="s">
        <v>6966</v>
      </c>
      <c r="AF375" t="s">
        <v>6966</v>
      </c>
      <c r="AG375" t="s">
        <v>6966</v>
      </c>
      <c r="AH375" t="s">
        <v>6966</v>
      </c>
      <c r="AI375" t="s">
        <v>6966</v>
      </c>
      <c r="AJ375" t="s">
        <v>6966</v>
      </c>
      <c r="AK375" t="s">
        <v>6966</v>
      </c>
      <c r="AL375" t="s">
        <v>6966</v>
      </c>
      <c r="AM375" t="s">
        <v>6966</v>
      </c>
      <c r="AN375" t="s">
        <v>6966</v>
      </c>
      <c r="AO375" t="s">
        <v>6966</v>
      </c>
      <c r="AP375" t="s">
        <v>6966</v>
      </c>
      <c r="AQ375" t="s">
        <v>6966</v>
      </c>
      <c r="AR375" t="s">
        <v>6966</v>
      </c>
      <c r="AS375" t="s">
        <v>6966</v>
      </c>
      <c r="AT375" t="s">
        <v>6966</v>
      </c>
      <c r="AU375" t="s">
        <v>6966</v>
      </c>
      <c r="AV375" t="s">
        <v>6966</v>
      </c>
      <c r="AW375" t="s">
        <v>6966</v>
      </c>
      <c r="AX375" t="s">
        <v>6966</v>
      </c>
      <c r="AY375" t="s">
        <v>6966</v>
      </c>
      <c r="AZ375">
        <v>9.3339000000000005E-2</v>
      </c>
      <c r="BA375">
        <v>3.0499999999999999E-4</v>
      </c>
    </row>
    <row r="376" spans="1:53" x14ac:dyDescent="0.25">
      <c r="A376">
        <v>374</v>
      </c>
      <c r="B376" t="s">
        <v>7625</v>
      </c>
      <c r="C376">
        <v>703002</v>
      </c>
      <c r="D376" t="s">
        <v>562</v>
      </c>
      <c r="E376" t="s">
        <v>7704</v>
      </c>
      <c r="F376">
        <v>2749905</v>
      </c>
      <c r="G376">
        <v>8326.7822269999997</v>
      </c>
      <c r="H376">
        <v>324</v>
      </c>
      <c r="I376">
        <v>502</v>
      </c>
      <c r="J376">
        <v>32127</v>
      </c>
      <c r="K376" t="s">
        <v>2015</v>
      </c>
      <c r="L376">
        <v>9</v>
      </c>
      <c r="M376">
        <v>9</v>
      </c>
      <c r="N376">
        <v>32127</v>
      </c>
      <c r="O376">
        <v>312</v>
      </c>
      <c r="P376" t="s">
        <v>3215</v>
      </c>
      <c r="Q376">
        <v>2.2999999999999998</v>
      </c>
      <c r="R376">
        <v>51.51</v>
      </c>
      <c r="S376">
        <v>0.75</v>
      </c>
      <c r="T376">
        <v>17</v>
      </c>
      <c r="U376">
        <v>2749904.9585000002</v>
      </c>
      <c r="V376">
        <v>8326.7824349999992</v>
      </c>
      <c r="W376">
        <v>375</v>
      </c>
      <c r="X376">
        <v>0</v>
      </c>
      <c r="Y376">
        <v>374</v>
      </c>
      <c r="Z376" t="s">
        <v>6966</v>
      </c>
      <c r="AA376" t="s">
        <v>6966</v>
      </c>
      <c r="AB376" t="s">
        <v>6966</v>
      </c>
      <c r="AC376" t="s">
        <v>6966</v>
      </c>
      <c r="AD376" t="s">
        <v>6966</v>
      </c>
      <c r="AE376" t="s">
        <v>6966</v>
      </c>
      <c r="AF376" t="s">
        <v>6966</v>
      </c>
      <c r="AG376" t="s">
        <v>6966</v>
      </c>
      <c r="AH376" t="s">
        <v>6966</v>
      </c>
      <c r="AI376" t="s">
        <v>6966</v>
      </c>
      <c r="AJ376" t="s">
        <v>6966</v>
      </c>
      <c r="AK376" t="s">
        <v>6966</v>
      </c>
      <c r="AL376" t="s">
        <v>6966</v>
      </c>
      <c r="AM376" t="s">
        <v>6966</v>
      </c>
      <c r="AN376" t="s">
        <v>6966</v>
      </c>
      <c r="AO376" t="s">
        <v>6966</v>
      </c>
      <c r="AP376" t="s">
        <v>6966</v>
      </c>
      <c r="AQ376" t="s">
        <v>6966</v>
      </c>
      <c r="AR376" t="s">
        <v>6966</v>
      </c>
      <c r="AS376" t="s">
        <v>6966</v>
      </c>
      <c r="AT376" t="s">
        <v>6966</v>
      </c>
      <c r="AU376" t="s">
        <v>6966</v>
      </c>
      <c r="AV376" t="s">
        <v>6966</v>
      </c>
      <c r="AW376" t="s">
        <v>6966</v>
      </c>
      <c r="AX376" t="s">
        <v>6966</v>
      </c>
      <c r="AY376" t="s">
        <v>6966</v>
      </c>
      <c r="AZ376">
        <v>8.2809999999999995E-2</v>
      </c>
      <c r="BA376">
        <v>2.6899999999999998E-4</v>
      </c>
    </row>
    <row r="377" spans="1:53" x14ac:dyDescent="0.25">
      <c r="A377">
        <v>375</v>
      </c>
      <c r="B377" t="s">
        <v>7625</v>
      </c>
      <c r="C377">
        <v>703010</v>
      </c>
      <c r="D377" t="s">
        <v>557</v>
      </c>
      <c r="E377" t="s">
        <v>7704</v>
      </c>
      <c r="F377">
        <v>5463771.5</v>
      </c>
      <c r="G377">
        <v>14248.165039</v>
      </c>
      <c r="H377">
        <v>325</v>
      </c>
      <c r="I377">
        <v>503</v>
      </c>
      <c r="J377">
        <v>32117</v>
      </c>
      <c r="K377" t="s">
        <v>2014</v>
      </c>
      <c r="L377">
        <v>9</v>
      </c>
      <c r="M377">
        <v>9</v>
      </c>
      <c r="N377">
        <v>32117</v>
      </c>
      <c r="O377">
        <v>313</v>
      </c>
      <c r="P377" t="s">
        <v>3215</v>
      </c>
      <c r="Q377">
        <v>2.8</v>
      </c>
      <c r="R377">
        <v>38.85</v>
      </c>
      <c r="S377">
        <v>0.87</v>
      </c>
      <c r="T377">
        <v>12</v>
      </c>
      <c r="U377">
        <v>5463771.7239899999</v>
      </c>
      <c r="V377">
        <v>14248.165408999999</v>
      </c>
      <c r="W377">
        <v>376</v>
      </c>
      <c r="X377">
        <v>0</v>
      </c>
      <c r="Y377">
        <v>375</v>
      </c>
      <c r="Z377" t="s">
        <v>6966</v>
      </c>
      <c r="AA377" t="s">
        <v>6966</v>
      </c>
      <c r="AB377" t="s">
        <v>6966</v>
      </c>
      <c r="AC377" t="s">
        <v>6966</v>
      </c>
      <c r="AD377" t="s">
        <v>6966</v>
      </c>
      <c r="AE377" t="s">
        <v>6966</v>
      </c>
      <c r="AF377" t="s">
        <v>6966</v>
      </c>
      <c r="AG377" t="s">
        <v>6966</v>
      </c>
      <c r="AH377" t="s">
        <v>6966</v>
      </c>
      <c r="AI377" t="s">
        <v>6966</v>
      </c>
      <c r="AJ377" t="s">
        <v>6966</v>
      </c>
      <c r="AK377" t="s">
        <v>6966</v>
      </c>
      <c r="AL377" t="s">
        <v>6966</v>
      </c>
      <c r="AM377" t="s">
        <v>6966</v>
      </c>
      <c r="AN377" t="s">
        <v>6966</v>
      </c>
      <c r="AO377" t="s">
        <v>6966</v>
      </c>
      <c r="AP377" t="s">
        <v>6966</v>
      </c>
      <c r="AQ377" t="s">
        <v>6966</v>
      </c>
      <c r="AR377" t="s">
        <v>6966</v>
      </c>
      <c r="AS377" t="s">
        <v>6966</v>
      </c>
      <c r="AT377" t="s">
        <v>6966</v>
      </c>
      <c r="AU377" t="s">
        <v>6966</v>
      </c>
      <c r="AV377" t="s">
        <v>6966</v>
      </c>
      <c r="AW377" t="s">
        <v>6966</v>
      </c>
      <c r="AX377" t="s">
        <v>6966</v>
      </c>
      <c r="AY377" t="s">
        <v>6966</v>
      </c>
      <c r="AZ377">
        <v>0.14204600000000001</v>
      </c>
      <c r="BA377">
        <v>5.3499999999999999E-4</v>
      </c>
    </row>
    <row r="378" spans="1:53" x14ac:dyDescent="0.25">
      <c r="A378">
        <v>376</v>
      </c>
      <c r="B378" t="s">
        <v>7625</v>
      </c>
      <c r="C378">
        <v>202008</v>
      </c>
      <c r="D378" t="s">
        <v>1156</v>
      </c>
      <c r="E378" t="s">
        <v>1152</v>
      </c>
      <c r="F378">
        <v>0</v>
      </c>
      <c r="G378">
        <v>41835.867187999997</v>
      </c>
      <c r="H378">
        <v>326</v>
      </c>
      <c r="I378">
        <v>504</v>
      </c>
      <c r="J378">
        <v>54135</v>
      </c>
      <c r="K378" t="s">
        <v>2481</v>
      </c>
      <c r="L378">
        <v>18</v>
      </c>
      <c r="M378">
        <v>17</v>
      </c>
      <c r="N378">
        <v>54135</v>
      </c>
      <c r="O378">
        <v>314</v>
      </c>
      <c r="P378" t="s">
        <v>3214</v>
      </c>
      <c r="Q378">
        <v>0</v>
      </c>
      <c r="R378">
        <v>310.67</v>
      </c>
      <c r="S378">
        <v>0.01</v>
      </c>
      <c r="T378">
        <v>137</v>
      </c>
      <c r="U378">
        <v>0</v>
      </c>
      <c r="V378">
        <v>41835.868624000002</v>
      </c>
      <c r="W378">
        <v>377</v>
      </c>
      <c r="X378">
        <v>0</v>
      </c>
      <c r="Y378">
        <v>376</v>
      </c>
      <c r="Z378" t="s">
        <v>6966</v>
      </c>
      <c r="AA378" t="s">
        <v>6966</v>
      </c>
      <c r="AB378" t="s">
        <v>6966</v>
      </c>
      <c r="AC378" t="s">
        <v>6966</v>
      </c>
      <c r="AD378" t="s">
        <v>6966</v>
      </c>
      <c r="AE378" t="s">
        <v>6966</v>
      </c>
      <c r="AF378" t="s">
        <v>6966</v>
      </c>
      <c r="AG378" t="s">
        <v>6966</v>
      </c>
      <c r="AH378" t="s">
        <v>6966</v>
      </c>
      <c r="AI378" t="s">
        <v>6966</v>
      </c>
      <c r="AJ378" t="s">
        <v>6966</v>
      </c>
      <c r="AK378" t="s">
        <v>6966</v>
      </c>
      <c r="AL378" t="s">
        <v>6966</v>
      </c>
      <c r="AM378" t="s">
        <v>6966</v>
      </c>
      <c r="AN378" t="s">
        <v>6966</v>
      </c>
      <c r="AO378" t="s">
        <v>6966</v>
      </c>
      <c r="AP378" t="s">
        <v>6966</v>
      </c>
      <c r="AQ378" t="s">
        <v>6966</v>
      </c>
      <c r="AR378" t="s">
        <v>6966</v>
      </c>
      <c r="AS378" t="s">
        <v>6966</v>
      </c>
      <c r="AT378" t="s">
        <v>6966</v>
      </c>
      <c r="AU378" t="s">
        <v>6966</v>
      </c>
      <c r="AV378" t="s">
        <v>6966</v>
      </c>
      <c r="AW378" t="s">
        <v>6966</v>
      </c>
      <c r="AX378" t="s">
        <v>6966</v>
      </c>
      <c r="AY378" t="s">
        <v>6966</v>
      </c>
      <c r="AZ378">
        <v>0.42580299999999999</v>
      </c>
      <c r="BA378">
        <v>5.3E-3</v>
      </c>
    </row>
    <row r="379" spans="1:53" x14ac:dyDescent="0.25">
      <c r="A379">
        <v>377</v>
      </c>
      <c r="B379" t="s">
        <v>7625</v>
      </c>
      <c r="C379">
        <v>706051</v>
      </c>
      <c r="D379" t="s">
        <v>634</v>
      </c>
      <c r="E379" t="s">
        <v>597</v>
      </c>
      <c r="F379">
        <v>4043696.25</v>
      </c>
      <c r="G379">
        <v>15150.027344</v>
      </c>
      <c r="H379">
        <v>327</v>
      </c>
      <c r="I379">
        <v>505</v>
      </c>
      <c r="J379">
        <v>33231</v>
      </c>
      <c r="K379" t="s">
        <v>2071</v>
      </c>
      <c r="L379">
        <v>10</v>
      </c>
      <c r="M379">
        <v>10</v>
      </c>
      <c r="N379">
        <v>33231</v>
      </c>
      <c r="O379">
        <v>315</v>
      </c>
      <c r="P379" t="s">
        <v>3215</v>
      </c>
      <c r="Q379">
        <v>0.1</v>
      </c>
      <c r="R379">
        <v>2.91</v>
      </c>
      <c r="S379">
        <v>0.53</v>
      </c>
      <c r="T379">
        <v>22</v>
      </c>
      <c r="U379">
        <v>4043696.3042899999</v>
      </c>
      <c r="V379">
        <v>15150.027151</v>
      </c>
      <c r="W379">
        <v>378</v>
      </c>
      <c r="X379">
        <v>0</v>
      </c>
      <c r="Y379">
        <v>377</v>
      </c>
      <c r="Z379" t="s">
        <v>6966</v>
      </c>
      <c r="AA379" t="s">
        <v>6966</v>
      </c>
      <c r="AB379" t="s">
        <v>6966</v>
      </c>
      <c r="AC379" t="s">
        <v>6966</v>
      </c>
      <c r="AD379" t="s">
        <v>6966</v>
      </c>
      <c r="AE379" t="s">
        <v>6966</v>
      </c>
      <c r="AF379" t="s">
        <v>6966</v>
      </c>
      <c r="AG379" t="s">
        <v>6966</v>
      </c>
      <c r="AH379" t="s">
        <v>6966</v>
      </c>
      <c r="AI379" t="s">
        <v>6966</v>
      </c>
      <c r="AJ379" t="s">
        <v>6966</v>
      </c>
      <c r="AK379" t="s">
        <v>6966</v>
      </c>
      <c r="AL379" t="s">
        <v>6966</v>
      </c>
      <c r="AM379" t="s">
        <v>6966</v>
      </c>
      <c r="AN379" t="s">
        <v>6966</v>
      </c>
      <c r="AO379" t="s">
        <v>6966</v>
      </c>
      <c r="AP379" t="s">
        <v>6966</v>
      </c>
      <c r="AQ379" t="s">
        <v>6966</v>
      </c>
      <c r="AR379" t="s">
        <v>6966</v>
      </c>
      <c r="AS379" t="s">
        <v>6966</v>
      </c>
      <c r="AT379" t="s">
        <v>6966</v>
      </c>
      <c r="AU379" t="s">
        <v>6966</v>
      </c>
      <c r="AV379" t="s">
        <v>6966</v>
      </c>
      <c r="AW379" t="s">
        <v>6966</v>
      </c>
      <c r="AX379" t="s">
        <v>6966</v>
      </c>
      <c r="AY379" t="s">
        <v>6966</v>
      </c>
      <c r="AZ379">
        <v>0.152144</v>
      </c>
      <c r="BA379">
        <v>3.9599999999999998E-4</v>
      </c>
    </row>
    <row r="380" spans="1:53" x14ac:dyDescent="0.25">
      <c r="A380">
        <v>378</v>
      </c>
      <c r="B380" t="s">
        <v>7625</v>
      </c>
      <c r="C380">
        <v>703031</v>
      </c>
      <c r="D380" t="s">
        <v>555</v>
      </c>
      <c r="E380" t="s">
        <v>7704</v>
      </c>
      <c r="F380">
        <v>5749498.5</v>
      </c>
      <c r="G380">
        <v>13714.463867</v>
      </c>
      <c r="H380">
        <v>328</v>
      </c>
      <c r="I380">
        <v>506</v>
      </c>
      <c r="J380">
        <v>32113</v>
      </c>
      <c r="K380" t="s">
        <v>2012</v>
      </c>
      <c r="L380">
        <v>9</v>
      </c>
      <c r="M380">
        <v>9</v>
      </c>
      <c r="N380">
        <v>32113</v>
      </c>
      <c r="O380">
        <v>316</v>
      </c>
      <c r="P380" t="s">
        <v>3215</v>
      </c>
      <c r="Q380">
        <v>5</v>
      </c>
      <c r="R380">
        <v>58.11</v>
      </c>
      <c r="S380">
        <v>1.51</v>
      </c>
      <c r="T380">
        <v>19</v>
      </c>
      <c r="U380">
        <v>5749498.5572300004</v>
      </c>
      <c r="V380">
        <v>13714.464349</v>
      </c>
      <c r="W380">
        <v>379</v>
      </c>
      <c r="X380">
        <v>0</v>
      </c>
      <c r="Y380">
        <v>378</v>
      </c>
      <c r="Z380" t="s">
        <v>6966</v>
      </c>
      <c r="AA380" t="s">
        <v>6966</v>
      </c>
      <c r="AB380" t="s">
        <v>6966</v>
      </c>
      <c r="AC380" t="s">
        <v>6966</v>
      </c>
      <c r="AD380" t="s">
        <v>6966</v>
      </c>
      <c r="AE380" t="s">
        <v>6966</v>
      </c>
      <c r="AF380" t="s">
        <v>6966</v>
      </c>
      <c r="AG380" t="s">
        <v>6966</v>
      </c>
      <c r="AH380" t="s">
        <v>6966</v>
      </c>
      <c r="AI380" t="s">
        <v>6966</v>
      </c>
      <c r="AJ380" t="s">
        <v>6966</v>
      </c>
      <c r="AK380" t="s">
        <v>6966</v>
      </c>
      <c r="AL380" t="s">
        <v>6966</v>
      </c>
      <c r="AM380" t="s">
        <v>6966</v>
      </c>
      <c r="AN380" t="s">
        <v>6966</v>
      </c>
      <c r="AO380" t="s">
        <v>6966</v>
      </c>
      <c r="AP380" t="s">
        <v>6966</v>
      </c>
      <c r="AQ380" t="s">
        <v>6966</v>
      </c>
      <c r="AR380" t="s">
        <v>6966</v>
      </c>
      <c r="AS380" t="s">
        <v>6966</v>
      </c>
      <c r="AT380" t="s">
        <v>6966</v>
      </c>
      <c r="AU380" t="s">
        <v>6966</v>
      </c>
      <c r="AV380" t="s">
        <v>6966</v>
      </c>
      <c r="AW380" t="s">
        <v>6966</v>
      </c>
      <c r="AX380" t="s">
        <v>6966</v>
      </c>
      <c r="AY380" t="s">
        <v>6966</v>
      </c>
      <c r="AZ380">
        <v>0.134265</v>
      </c>
      <c r="BA380">
        <v>5.6300000000000002E-4</v>
      </c>
    </row>
    <row r="381" spans="1:53" x14ac:dyDescent="0.25">
      <c r="A381">
        <v>379</v>
      </c>
      <c r="B381" t="s">
        <v>7625</v>
      </c>
      <c r="C381">
        <v>706037</v>
      </c>
      <c r="D381" t="s">
        <v>635</v>
      </c>
      <c r="E381" t="s">
        <v>597</v>
      </c>
      <c r="F381">
        <v>3179560.5</v>
      </c>
      <c r="G381">
        <v>8969.0166019999997</v>
      </c>
      <c r="H381">
        <v>329</v>
      </c>
      <c r="I381">
        <v>507</v>
      </c>
      <c r="J381">
        <v>33235</v>
      </c>
      <c r="K381" t="s">
        <v>2072</v>
      </c>
      <c r="L381">
        <v>10</v>
      </c>
      <c r="M381">
        <v>10</v>
      </c>
      <c r="N381">
        <v>33235</v>
      </c>
      <c r="O381">
        <v>317</v>
      </c>
      <c r="P381" t="s">
        <v>3215</v>
      </c>
      <c r="Q381">
        <v>0.4</v>
      </c>
      <c r="R381">
        <v>18.38</v>
      </c>
      <c r="S381">
        <v>0.28999999999999998</v>
      </c>
      <c r="T381">
        <v>13</v>
      </c>
      <c r="U381">
        <v>3179560.4292199998</v>
      </c>
      <c r="V381">
        <v>8969.0159359999998</v>
      </c>
      <c r="W381">
        <v>380</v>
      </c>
      <c r="X381">
        <v>0</v>
      </c>
      <c r="Y381">
        <v>379</v>
      </c>
      <c r="Z381" t="s">
        <v>6966</v>
      </c>
      <c r="AA381" t="s">
        <v>6966</v>
      </c>
      <c r="AB381" t="s">
        <v>6966</v>
      </c>
      <c r="AC381" t="s">
        <v>6966</v>
      </c>
      <c r="AD381" t="s">
        <v>6966</v>
      </c>
      <c r="AE381" t="s">
        <v>6966</v>
      </c>
      <c r="AF381" t="s">
        <v>6966</v>
      </c>
      <c r="AG381" t="s">
        <v>6966</v>
      </c>
      <c r="AH381" t="s">
        <v>6966</v>
      </c>
      <c r="AI381" t="s">
        <v>6966</v>
      </c>
      <c r="AJ381" t="s">
        <v>6966</v>
      </c>
      <c r="AK381" t="s">
        <v>6966</v>
      </c>
      <c r="AL381" t="s">
        <v>6966</v>
      </c>
      <c r="AM381" t="s">
        <v>6966</v>
      </c>
      <c r="AN381" t="s">
        <v>6966</v>
      </c>
      <c r="AO381" t="s">
        <v>6966</v>
      </c>
      <c r="AP381" t="s">
        <v>6966</v>
      </c>
      <c r="AQ381" t="s">
        <v>6966</v>
      </c>
      <c r="AR381" t="s">
        <v>6966</v>
      </c>
      <c r="AS381" t="s">
        <v>6966</v>
      </c>
      <c r="AT381" t="s">
        <v>6966</v>
      </c>
      <c r="AU381" t="s">
        <v>6966</v>
      </c>
      <c r="AV381" t="s">
        <v>6966</v>
      </c>
      <c r="AW381" t="s">
        <v>6966</v>
      </c>
      <c r="AX381" t="s">
        <v>6966</v>
      </c>
      <c r="AY381" t="s">
        <v>6966</v>
      </c>
      <c r="AZ381">
        <v>9.0124999999999997E-2</v>
      </c>
      <c r="BA381">
        <v>3.1100000000000002E-4</v>
      </c>
    </row>
    <row r="382" spans="1:53" x14ac:dyDescent="0.25">
      <c r="A382">
        <v>380</v>
      </c>
      <c r="B382" t="s">
        <v>7625</v>
      </c>
      <c r="C382">
        <v>706009</v>
      </c>
      <c r="D382" t="s">
        <v>637</v>
      </c>
      <c r="E382" t="s">
        <v>597</v>
      </c>
      <c r="F382">
        <v>7014628.5</v>
      </c>
      <c r="G382">
        <v>16790.287109000001</v>
      </c>
      <c r="H382">
        <v>330</v>
      </c>
      <c r="I382">
        <v>508</v>
      </c>
      <c r="J382">
        <v>33243</v>
      </c>
      <c r="K382" t="s">
        <v>7746</v>
      </c>
      <c r="L382">
        <v>10</v>
      </c>
      <c r="M382">
        <v>10</v>
      </c>
      <c r="N382">
        <v>33243</v>
      </c>
      <c r="O382">
        <v>318</v>
      </c>
      <c r="P382" t="s">
        <v>3215</v>
      </c>
      <c r="Q382">
        <v>1.2</v>
      </c>
      <c r="R382">
        <v>42.65</v>
      </c>
      <c r="S382">
        <v>0.44</v>
      </c>
      <c r="T382">
        <v>15</v>
      </c>
      <c r="U382">
        <v>7014628.4524600003</v>
      </c>
      <c r="V382">
        <v>16790.286712000001</v>
      </c>
      <c r="W382">
        <v>381</v>
      </c>
      <c r="X382">
        <v>0</v>
      </c>
      <c r="Y382">
        <v>380</v>
      </c>
      <c r="Z382" t="s">
        <v>6966</v>
      </c>
      <c r="AA382" t="s">
        <v>6966</v>
      </c>
      <c r="AB382" t="s">
        <v>6966</v>
      </c>
      <c r="AC382" t="s">
        <v>6966</v>
      </c>
      <c r="AD382" t="s">
        <v>6966</v>
      </c>
      <c r="AE382" t="s">
        <v>6966</v>
      </c>
      <c r="AF382" t="s">
        <v>6966</v>
      </c>
      <c r="AG382" t="s">
        <v>6966</v>
      </c>
      <c r="AH382" t="s">
        <v>6966</v>
      </c>
      <c r="AI382" t="s">
        <v>6966</v>
      </c>
      <c r="AJ382" t="s">
        <v>6966</v>
      </c>
      <c r="AK382" t="s">
        <v>6966</v>
      </c>
      <c r="AL382" t="s">
        <v>6966</v>
      </c>
      <c r="AM382" t="s">
        <v>6966</v>
      </c>
      <c r="AN382" t="s">
        <v>6966</v>
      </c>
      <c r="AO382" t="s">
        <v>6966</v>
      </c>
      <c r="AP382" t="s">
        <v>6966</v>
      </c>
      <c r="AQ382" t="s">
        <v>6966</v>
      </c>
      <c r="AR382" t="s">
        <v>6966</v>
      </c>
      <c r="AS382" t="s">
        <v>6966</v>
      </c>
      <c r="AT382" t="s">
        <v>6966</v>
      </c>
      <c r="AU382" t="s">
        <v>6966</v>
      </c>
      <c r="AV382" t="s">
        <v>6966</v>
      </c>
      <c r="AW382" t="s">
        <v>6966</v>
      </c>
      <c r="AX382" t="s">
        <v>6966</v>
      </c>
      <c r="AY382" t="s">
        <v>6966</v>
      </c>
      <c r="AZ382">
        <v>0.170796</v>
      </c>
      <c r="BA382">
        <v>6.87E-4</v>
      </c>
    </row>
    <row r="383" spans="1:53" x14ac:dyDescent="0.25">
      <c r="A383">
        <v>381</v>
      </c>
      <c r="B383" t="s">
        <v>7625</v>
      </c>
      <c r="C383">
        <v>706029</v>
      </c>
      <c r="D383" t="s">
        <v>625</v>
      </c>
      <c r="E383" t="s">
        <v>597</v>
      </c>
      <c r="F383">
        <v>1378472</v>
      </c>
      <c r="G383">
        <v>5490.6733400000003</v>
      </c>
      <c r="H383">
        <v>331</v>
      </c>
      <c r="I383">
        <v>509</v>
      </c>
      <c r="J383">
        <v>33165</v>
      </c>
      <c r="K383" t="s">
        <v>625</v>
      </c>
      <c r="L383">
        <v>10</v>
      </c>
      <c r="M383">
        <v>10</v>
      </c>
      <c r="N383">
        <v>33165</v>
      </c>
      <c r="O383">
        <v>319</v>
      </c>
      <c r="P383" t="s">
        <v>3215</v>
      </c>
      <c r="Q383">
        <v>3.1</v>
      </c>
      <c r="R383">
        <v>61.88</v>
      </c>
      <c r="S383">
        <v>0.91</v>
      </c>
      <c r="T383">
        <v>18</v>
      </c>
      <c r="U383">
        <v>1378472.0236500001</v>
      </c>
      <c r="V383">
        <v>5490.6724979999999</v>
      </c>
      <c r="W383">
        <v>382</v>
      </c>
      <c r="X383">
        <v>0</v>
      </c>
      <c r="Y383">
        <v>381</v>
      </c>
      <c r="Z383" t="s">
        <v>6966</v>
      </c>
      <c r="AA383" t="s">
        <v>6966</v>
      </c>
      <c r="AB383" t="s">
        <v>6966</v>
      </c>
      <c r="AC383" t="s">
        <v>6966</v>
      </c>
      <c r="AD383" t="s">
        <v>6966</v>
      </c>
      <c r="AE383" t="s">
        <v>6966</v>
      </c>
      <c r="AF383" t="s">
        <v>6966</v>
      </c>
      <c r="AG383" t="s">
        <v>6966</v>
      </c>
      <c r="AH383" t="s">
        <v>6966</v>
      </c>
      <c r="AI383" t="s">
        <v>6966</v>
      </c>
      <c r="AJ383" t="s">
        <v>6966</v>
      </c>
      <c r="AK383" t="s">
        <v>6966</v>
      </c>
      <c r="AL383" t="s">
        <v>6966</v>
      </c>
      <c r="AM383" t="s">
        <v>6966</v>
      </c>
      <c r="AN383" t="s">
        <v>6966</v>
      </c>
      <c r="AO383" t="s">
        <v>6966</v>
      </c>
      <c r="AP383" t="s">
        <v>6966</v>
      </c>
      <c r="AQ383" t="s">
        <v>6966</v>
      </c>
      <c r="AR383" t="s">
        <v>6966</v>
      </c>
      <c r="AS383" t="s">
        <v>6966</v>
      </c>
      <c r="AT383" t="s">
        <v>6966</v>
      </c>
      <c r="AU383" t="s">
        <v>6966</v>
      </c>
      <c r="AV383" t="s">
        <v>6966</v>
      </c>
      <c r="AW383" t="s">
        <v>6966</v>
      </c>
      <c r="AX383" t="s">
        <v>6966</v>
      </c>
      <c r="AY383" t="s">
        <v>6966</v>
      </c>
      <c r="AZ383">
        <v>5.3491999999999998E-2</v>
      </c>
      <c r="BA383">
        <v>1.35E-4</v>
      </c>
    </row>
    <row r="384" spans="1:53" x14ac:dyDescent="0.25">
      <c r="A384">
        <v>382</v>
      </c>
      <c r="B384" t="s">
        <v>7625</v>
      </c>
      <c r="C384">
        <v>703033</v>
      </c>
      <c r="D384" t="s">
        <v>560</v>
      </c>
      <c r="E384" t="s">
        <v>7704</v>
      </c>
      <c r="F384">
        <v>0</v>
      </c>
      <c r="G384">
        <v>20735.652343999998</v>
      </c>
      <c r="H384">
        <v>332</v>
      </c>
      <c r="I384">
        <v>510</v>
      </c>
      <c r="J384">
        <v>32123</v>
      </c>
      <c r="K384" t="s">
        <v>560</v>
      </c>
      <c r="L384">
        <v>9</v>
      </c>
      <c r="M384">
        <v>9</v>
      </c>
      <c r="N384">
        <v>32123</v>
      </c>
      <c r="O384">
        <v>320</v>
      </c>
      <c r="P384" t="s">
        <v>3215</v>
      </c>
      <c r="Q384">
        <v>1.4</v>
      </c>
      <c r="R384">
        <v>41.96</v>
      </c>
      <c r="S384">
        <v>0.38</v>
      </c>
      <c r="T384">
        <v>11</v>
      </c>
      <c r="U384">
        <v>0</v>
      </c>
      <c r="V384">
        <v>20735.652613999999</v>
      </c>
      <c r="W384">
        <v>383</v>
      </c>
      <c r="X384">
        <v>0</v>
      </c>
      <c r="Y384">
        <v>382</v>
      </c>
      <c r="Z384" t="s">
        <v>6966</v>
      </c>
      <c r="AA384" t="s">
        <v>6966</v>
      </c>
      <c r="AB384" t="s">
        <v>6966</v>
      </c>
      <c r="AC384" t="s">
        <v>6966</v>
      </c>
      <c r="AD384" t="s">
        <v>6966</v>
      </c>
      <c r="AE384" t="s">
        <v>6966</v>
      </c>
      <c r="AF384" t="s">
        <v>6966</v>
      </c>
      <c r="AG384" t="s">
        <v>6966</v>
      </c>
      <c r="AH384" t="s">
        <v>6966</v>
      </c>
      <c r="AI384" t="s">
        <v>6966</v>
      </c>
      <c r="AJ384" t="s">
        <v>6966</v>
      </c>
      <c r="AK384" t="s">
        <v>6966</v>
      </c>
      <c r="AL384" t="s">
        <v>6966</v>
      </c>
      <c r="AM384" t="s">
        <v>6966</v>
      </c>
      <c r="AN384" t="s">
        <v>6966</v>
      </c>
      <c r="AO384" t="s">
        <v>6966</v>
      </c>
      <c r="AP384" t="s">
        <v>6966</v>
      </c>
      <c r="AQ384" t="s">
        <v>6966</v>
      </c>
      <c r="AR384" t="s">
        <v>6966</v>
      </c>
      <c r="AS384" t="s">
        <v>6966</v>
      </c>
      <c r="AT384" t="s">
        <v>6966</v>
      </c>
      <c r="AU384" t="s">
        <v>6966</v>
      </c>
      <c r="AV384" t="s">
        <v>6966</v>
      </c>
      <c r="AW384" t="s">
        <v>6966</v>
      </c>
      <c r="AX384" t="s">
        <v>6966</v>
      </c>
      <c r="AY384" t="s">
        <v>6966</v>
      </c>
      <c r="AZ384">
        <v>0.20785799999999999</v>
      </c>
      <c r="BA384">
        <v>1.189E-3</v>
      </c>
    </row>
    <row r="385" spans="1:53" x14ac:dyDescent="0.25">
      <c r="A385">
        <v>383</v>
      </c>
      <c r="B385" t="s">
        <v>7625</v>
      </c>
      <c r="C385">
        <v>703036</v>
      </c>
      <c r="D385" t="s">
        <v>567</v>
      </c>
      <c r="E385" t="s">
        <v>7704</v>
      </c>
      <c r="F385">
        <v>6017685.5</v>
      </c>
      <c r="G385">
        <v>14806.106444999999</v>
      </c>
      <c r="H385">
        <v>333</v>
      </c>
      <c r="I385">
        <v>511</v>
      </c>
      <c r="J385">
        <v>32137</v>
      </c>
      <c r="K385" t="s">
        <v>567</v>
      </c>
      <c r="L385">
        <v>9</v>
      </c>
      <c r="M385">
        <v>9</v>
      </c>
      <c r="N385">
        <v>32137</v>
      </c>
      <c r="O385">
        <v>321</v>
      </c>
      <c r="P385" t="s">
        <v>3215</v>
      </c>
      <c r="Q385">
        <v>6.1</v>
      </c>
      <c r="R385">
        <v>94.46</v>
      </c>
      <c r="S385">
        <v>1.85</v>
      </c>
      <c r="T385">
        <v>28</v>
      </c>
      <c r="U385">
        <v>6017685.6063099997</v>
      </c>
      <c r="V385">
        <v>14806.107163999999</v>
      </c>
      <c r="W385">
        <v>384</v>
      </c>
      <c r="X385">
        <v>0</v>
      </c>
      <c r="Y385">
        <v>383</v>
      </c>
      <c r="Z385" t="s">
        <v>6966</v>
      </c>
      <c r="AA385" t="s">
        <v>6966</v>
      </c>
      <c r="AB385" t="s">
        <v>6966</v>
      </c>
      <c r="AC385" t="s">
        <v>6966</v>
      </c>
      <c r="AD385" t="s">
        <v>6966</v>
      </c>
      <c r="AE385" t="s">
        <v>6966</v>
      </c>
      <c r="AF385" t="s">
        <v>6966</v>
      </c>
      <c r="AG385" t="s">
        <v>6966</v>
      </c>
      <c r="AH385" t="s">
        <v>6966</v>
      </c>
      <c r="AI385" t="s">
        <v>6966</v>
      </c>
      <c r="AJ385" t="s">
        <v>6966</v>
      </c>
      <c r="AK385" t="s">
        <v>6966</v>
      </c>
      <c r="AL385" t="s">
        <v>6966</v>
      </c>
      <c r="AM385" t="s">
        <v>6966</v>
      </c>
      <c r="AN385" t="s">
        <v>6966</v>
      </c>
      <c r="AO385" t="s">
        <v>6966</v>
      </c>
      <c r="AP385" t="s">
        <v>6966</v>
      </c>
      <c r="AQ385" t="s">
        <v>6966</v>
      </c>
      <c r="AR385" t="s">
        <v>6966</v>
      </c>
      <c r="AS385" t="s">
        <v>6966</v>
      </c>
      <c r="AT385" t="s">
        <v>6966</v>
      </c>
      <c r="AU385" t="s">
        <v>6966</v>
      </c>
      <c r="AV385" t="s">
        <v>6966</v>
      </c>
      <c r="AW385" t="s">
        <v>6966</v>
      </c>
      <c r="AX385" t="s">
        <v>6966</v>
      </c>
      <c r="AY385" t="s">
        <v>6966</v>
      </c>
      <c r="AZ385">
        <v>0.14585999999999999</v>
      </c>
      <c r="BA385">
        <v>5.8900000000000001E-4</v>
      </c>
    </row>
    <row r="386" spans="1:53" x14ac:dyDescent="0.25">
      <c r="A386">
        <v>384</v>
      </c>
      <c r="B386" t="s">
        <v>7625</v>
      </c>
      <c r="C386">
        <v>202009</v>
      </c>
      <c r="D386" t="s">
        <v>1157</v>
      </c>
      <c r="E386" t="s">
        <v>1152</v>
      </c>
      <c r="F386">
        <v>0</v>
      </c>
      <c r="G386">
        <v>20802.728515999999</v>
      </c>
      <c r="H386">
        <v>334</v>
      </c>
      <c r="I386">
        <v>512</v>
      </c>
      <c r="J386">
        <v>54143</v>
      </c>
      <c r="K386" t="s">
        <v>2482</v>
      </c>
      <c r="L386">
        <v>18</v>
      </c>
      <c r="M386">
        <v>17</v>
      </c>
      <c r="N386">
        <v>54143</v>
      </c>
      <c r="O386">
        <v>322</v>
      </c>
      <c r="P386" t="s">
        <v>3214</v>
      </c>
      <c r="Q386">
        <v>0</v>
      </c>
      <c r="R386">
        <v>10.24</v>
      </c>
      <c r="S386">
        <v>0</v>
      </c>
      <c r="T386">
        <v>1</v>
      </c>
      <c r="U386">
        <v>0</v>
      </c>
      <c r="V386">
        <v>20802.728469999998</v>
      </c>
      <c r="W386">
        <v>385</v>
      </c>
      <c r="X386">
        <v>0</v>
      </c>
      <c r="Y386">
        <v>384</v>
      </c>
      <c r="Z386" t="s">
        <v>6966</v>
      </c>
      <c r="AA386" t="s">
        <v>6966</v>
      </c>
      <c r="AB386" t="s">
        <v>6966</v>
      </c>
      <c r="AC386" t="s">
        <v>6966</v>
      </c>
      <c r="AD386" t="s">
        <v>6966</v>
      </c>
      <c r="AE386" t="s">
        <v>6966</v>
      </c>
      <c r="AF386" t="s">
        <v>6966</v>
      </c>
      <c r="AG386" t="s">
        <v>6966</v>
      </c>
      <c r="AH386" t="s">
        <v>6966</v>
      </c>
      <c r="AI386" t="s">
        <v>6966</v>
      </c>
      <c r="AJ386" t="s">
        <v>6966</v>
      </c>
      <c r="AK386" t="s">
        <v>6966</v>
      </c>
      <c r="AL386" t="s">
        <v>6966</v>
      </c>
      <c r="AM386" t="s">
        <v>6966</v>
      </c>
      <c r="AN386" t="s">
        <v>6966</v>
      </c>
      <c r="AO386" t="s">
        <v>6966</v>
      </c>
      <c r="AP386" t="s">
        <v>6966</v>
      </c>
      <c r="AQ386" t="s">
        <v>6966</v>
      </c>
      <c r="AR386" t="s">
        <v>6966</v>
      </c>
      <c r="AS386" t="s">
        <v>6966</v>
      </c>
      <c r="AT386" t="s">
        <v>6966</v>
      </c>
      <c r="AU386" t="s">
        <v>6966</v>
      </c>
      <c r="AV386" t="s">
        <v>6966</v>
      </c>
      <c r="AW386" t="s">
        <v>6966</v>
      </c>
      <c r="AX386" t="s">
        <v>6966</v>
      </c>
      <c r="AY386" t="s">
        <v>6966</v>
      </c>
      <c r="AZ386">
        <v>0.20357600000000001</v>
      </c>
      <c r="BA386">
        <v>1.897E-3</v>
      </c>
    </row>
    <row r="387" spans="1:53" x14ac:dyDescent="0.25">
      <c r="A387">
        <v>385</v>
      </c>
      <c r="B387" t="s">
        <v>7625</v>
      </c>
      <c r="C387">
        <v>706012</v>
      </c>
      <c r="D387" t="s">
        <v>636</v>
      </c>
      <c r="E387" t="s">
        <v>597</v>
      </c>
      <c r="F387">
        <v>375845.78125</v>
      </c>
      <c r="G387">
        <v>3135.6601559999999</v>
      </c>
      <c r="H387">
        <v>335</v>
      </c>
      <c r="I387">
        <v>513</v>
      </c>
      <c r="J387">
        <v>33239</v>
      </c>
      <c r="K387" t="s">
        <v>2073</v>
      </c>
      <c r="L387">
        <v>10</v>
      </c>
      <c r="M387">
        <v>10</v>
      </c>
      <c r="N387">
        <v>33239</v>
      </c>
      <c r="O387">
        <v>323</v>
      </c>
      <c r="P387" t="s">
        <v>3215</v>
      </c>
      <c r="Q387">
        <v>3.7</v>
      </c>
      <c r="R387">
        <v>24.05</v>
      </c>
      <c r="S387">
        <v>3.81</v>
      </c>
      <c r="T387">
        <v>25</v>
      </c>
      <c r="U387">
        <v>375845.73469800001</v>
      </c>
      <c r="V387">
        <v>3135.6600520000002</v>
      </c>
      <c r="W387">
        <v>386</v>
      </c>
      <c r="X387">
        <v>0</v>
      </c>
      <c r="Y387">
        <v>385</v>
      </c>
      <c r="Z387" t="s">
        <v>6966</v>
      </c>
      <c r="AA387" t="s">
        <v>6966</v>
      </c>
      <c r="AB387" t="s">
        <v>6966</v>
      </c>
      <c r="AC387" t="s">
        <v>6966</v>
      </c>
      <c r="AD387" t="s">
        <v>6966</v>
      </c>
      <c r="AE387" t="s">
        <v>6966</v>
      </c>
      <c r="AF387" t="s">
        <v>6966</v>
      </c>
      <c r="AG387" t="s">
        <v>6966</v>
      </c>
      <c r="AH387" t="s">
        <v>6966</v>
      </c>
      <c r="AI387" t="s">
        <v>6966</v>
      </c>
      <c r="AJ387" t="s">
        <v>6966</v>
      </c>
      <c r="AK387" t="s">
        <v>6966</v>
      </c>
      <c r="AL387" t="s">
        <v>6966</v>
      </c>
      <c r="AM387" t="s">
        <v>6966</v>
      </c>
      <c r="AN387" t="s">
        <v>6966</v>
      </c>
      <c r="AO387" t="s">
        <v>6966</v>
      </c>
      <c r="AP387" t="s">
        <v>6966</v>
      </c>
      <c r="AQ387" t="s">
        <v>6966</v>
      </c>
      <c r="AR387" t="s">
        <v>6966</v>
      </c>
      <c r="AS387" t="s">
        <v>6966</v>
      </c>
      <c r="AT387" t="s">
        <v>6966</v>
      </c>
      <c r="AU387" t="s">
        <v>6966</v>
      </c>
      <c r="AV387" t="s">
        <v>6966</v>
      </c>
      <c r="AW387" t="s">
        <v>6966</v>
      </c>
      <c r="AX387" t="s">
        <v>6966</v>
      </c>
      <c r="AY387" t="s">
        <v>6966</v>
      </c>
      <c r="AZ387">
        <v>3.1161000000000001E-2</v>
      </c>
      <c r="BA387">
        <v>3.6999999999999998E-5</v>
      </c>
    </row>
    <row r="388" spans="1:53" x14ac:dyDescent="0.25">
      <c r="A388">
        <v>386</v>
      </c>
      <c r="B388" t="s">
        <v>7625</v>
      </c>
      <c r="C388">
        <v>706048</v>
      </c>
      <c r="D388" t="s">
        <v>640</v>
      </c>
      <c r="E388" t="s">
        <v>597</v>
      </c>
      <c r="F388">
        <v>2934449</v>
      </c>
      <c r="G388">
        <v>8880.9345699999994</v>
      </c>
      <c r="H388">
        <v>336</v>
      </c>
      <c r="I388">
        <v>515</v>
      </c>
      <c r="J388">
        <v>33259</v>
      </c>
      <c r="K388" t="s">
        <v>2076</v>
      </c>
      <c r="L388">
        <v>10</v>
      </c>
      <c r="M388">
        <v>10</v>
      </c>
      <c r="N388">
        <v>33259</v>
      </c>
      <c r="O388">
        <v>324</v>
      </c>
      <c r="P388" t="s">
        <v>3215</v>
      </c>
      <c r="Q388">
        <v>3.2</v>
      </c>
      <c r="R388">
        <v>51.51</v>
      </c>
      <c r="S388">
        <v>0.98</v>
      </c>
      <c r="T388">
        <v>16</v>
      </c>
      <c r="U388">
        <v>2934448.98276</v>
      </c>
      <c r="V388">
        <v>8880.9340329999995</v>
      </c>
      <c r="W388">
        <v>387</v>
      </c>
      <c r="X388">
        <v>0</v>
      </c>
      <c r="Y388">
        <v>386</v>
      </c>
      <c r="Z388" t="s">
        <v>6966</v>
      </c>
      <c r="AA388" t="s">
        <v>6966</v>
      </c>
      <c r="AB388" t="s">
        <v>6966</v>
      </c>
      <c r="AC388" t="s">
        <v>6966</v>
      </c>
      <c r="AD388" t="s">
        <v>6966</v>
      </c>
      <c r="AE388" t="s">
        <v>6966</v>
      </c>
      <c r="AF388" t="s">
        <v>6966</v>
      </c>
      <c r="AG388" t="s">
        <v>6966</v>
      </c>
      <c r="AH388" t="s">
        <v>6966</v>
      </c>
      <c r="AI388" t="s">
        <v>6966</v>
      </c>
      <c r="AJ388" t="s">
        <v>6966</v>
      </c>
      <c r="AK388" t="s">
        <v>6966</v>
      </c>
      <c r="AL388" t="s">
        <v>6966</v>
      </c>
      <c r="AM388" t="s">
        <v>6966</v>
      </c>
      <c r="AN388" t="s">
        <v>6966</v>
      </c>
      <c r="AO388" t="s">
        <v>6966</v>
      </c>
      <c r="AP388" t="s">
        <v>6966</v>
      </c>
      <c r="AQ388" t="s">
        <v>6966</v>
      </c>
      <c r="AR388" t="s">
        <v>6966</v>
      </c>
      <c r="AS388" t="s">
        <v>6966</v>
      </c>
      <c r="AT388" t="s">
        <v>6966</v>
      </c>
      <c r="AU388" t="s">
        <v>6966</v>
      </c>
      <c r="AV388" t="s">
        <v>6966</v>
      </c>
      <c r="AW388" t="s">
        <v>6966</v>
      </c>
      <c r="AX388" t="s">
        <v>6966</v>
      </c>
      <c r="AY388" t="s">
        <v>6966</v>
      </c>
      <c r="AZ388">
        <v>9.1493000000000005E-2</v>
      </c>
      <c r="BA388">
        <v>2.8699999999999998E-4</v>
      </c>
    </row>
    <row r="389" spans="1:53" x14ac:dyDescent="0.25">
      <c r="A389">
        <v>387</v>
      </c>
      <c r="B389" t="s">
        <v>7625</v>
      </c>
      <c r="C389">
        <v>706046</v>
      </c>
      <c r="D389" t="s">
        <v>626</v>
      </c>
      <c r="E389" t="s">
        <v>597</v>
      </c>
      <c r="F389">
        <v>2966050.25</v>
      </c>
      <c r="G389">
        <v>8340.8984380000002</v>
      </c>
      <c r="H389">
        <v>337</v>
      </c>
      <c r="I389">
        <v>516</v>
      </c>
      <c r="J389">
        <v>33167</v>
      </c>
      <c r="K389" t="s">
        <v>2066</v>
      </c>
      <c r="L389">
        <v>10</v>
      </c>
      <c r="M389">
        <v>10</v>
      </c>
      <c r="N389">
        <v>33167</v>
      </c>
      <c r="O389">
        <v>325</v>
      </c>
      <c r="P389" t="s">
        <v>3215</v>
      </c>
      <c r="Q389">
        <v>1.1000000000000001</v>
      </c>
      <c r="R389">
        <v>32.04</v>
      </c>
      <c r="S389">
        <v>0.35</v>
      </c>
      <c r="T389">
        <v>10</v>
      </c>
      <c r="U389">
        <v>2966050.1383199999</v>
      </c>
      <c r="V389">
        <v>8340.8982990000004</v>
      </c>
      <c r="W389">
        <v>388</v>
      </c>
      <c r="X389">
        <v>0</v>
      </c>
      <c r="Y389">
        <v>387</v>
      </c>
      <c r="Z389" t="s">
        <v>6966</v>
      </c>
      <c r="AA389" t="s">
        <v>6966</v>
      </c>
      <c r="AB389" t="s">
        <v>6966</v>
      </c>
      <c r="AC389" t="s">
        <v>6966</v>
      </c>
      <c r="AD389" t="s">
        <v>6966</v>
      </c>
      <c r="AE389" t="s">
        <v>6966</v>
      </c>
      <c r="AF389" t="s">
        <v>6966</v>
      </c>
      <c r="AG389" t="s">
        <v>6966</v>
      </c>
      <c r="AH389" t="s">
        <v>6966</v>
      </c>
      <c r="AI389" t="s">
        <v>6966</v>
      </c>
      <c r="AJ389" t="s">
        <v>6966</v>
      </c>
      <c r="AK389" t="s">
        <v>6966</v>
      </c>
      <c r="AL389" t="s">
        <v>6966</v>
      </c>
      <c r="AM389" t="s">
        <v>6966</v>
      </c>
      <c r="AN389" t="s">
        <v>6966</v>
      </c>
      <c r="AO389" t="s">
        <v>6966</v>
      </c>
      <c r="AP389" t="s">
        <v>6966</v>
      </c>
      <c r="AQ389" t="s">
        <v>6966</v>
      </c>
      <c r="AR389" t="s">
        <v>6966</v>
      </c>
      <c r="AS389" t="s">
        <v>6966</v>
      </c>
      <c r="AT389" t="s">
        <v>6966</v>
      </c>
      <c r="AU389" t="s">
        <v>6966</v>
      </c>
      <c r="AV389" t="s">
        <v>6966</v>
      </c>
      <c r="AW389" t="s">
        <v>6966</v>
      </c>
      <c r="AX389" t="s">
        <v>6966</v>
      </c>
      <c r="AY389" t="s">
        <v>6966</v>
      </c>
      <c r="AZ389">
        <v>8.3233000000000001E-2</v>
      </c>
      <c r="BA389">
        <v>2.9E-4</v>
      </c>
    </row>
    <row r="390" spans="1:53" x14ac:dyDescent="0.25">
      <c r="A390">
        <v>388</v>
      </c>
      <c r="B390" t="s">
        <v>7625</v>
      </c>
      <c r="C390">
        <v>703004</v>
      </c>
      <c r="D390" t="s">
        <v>554</v>
      </c>
      <c r="E390" t="s">
        <v>7704</v>
      </c>
      <c r="F390">
        <v>0</v>
      </c>
      <c r="G390">
        <v>21983.455077999999</v>
      </c>
      <c r="H390">
        <v>338</v>
      </c>
      <c r="I390">
        <v>517</v>
      </c>
      <c r="J390">
        <v>32111</v>
      </c>
      <c r="K390" t="s">
        <v>2011</v>
      </c>
      <c r="L390">
        <v>9</v>
      </c>
      <c r="M390">
        <v>9</v>
      </c>
      <c r="N390">
        <v>32111</v>
      </c>
      <c r="O390">
        <v>326</v>
      </c>
      <c r="P390" t="s">
        <v>3215</v>
      </c>
      <c r="Q390">
        <v>3.6</v>
      </c>
      <c r="R390">
        <v>47.88</v>
      </c>
      <c r="S390">
        <v>0.96</v>
      </c>
      <c r="T390">
        <v>13</v>
      </c>
      <c r="U390">
        <v>0</v>
      </c>
      <c r="V390">
        <v>21983.455415</v>
      </c>
      <c r="W390">
        <v>389</v>
      </c>
      <c r="X390">
        <v>0</v>
      </c>
      <c r="Y390">
        <v>388</v>
      </c>
      <c r="Z390" t="s">
        <v>6966</v>
      </c>
      <c r="AA390" t="s">
        <v>6966</v>
      </c>
      <c r="AB390" t="s">
        <v>6966</v>
      </c>
      <c r="AC390" t="s">
        <v>6966</v>
      </c>
      <c r="AD390" t="s">
        <v>6966</v>
      </c>
      <c r="AE390" t="s">
        <v>6966</v>
      </c>
      <c r="AF390" t="s">
        <v>6966</v>
      </c>
      <c r="AG390" t="s">
        <v>6966</v>
      </c>
      <c r="AH390" t="s">
        <v>6966</v>
      </c>
      <c r="AI390" t="s">
        <v>6966</v>
      </c>
      <c r="AJ390" t="s">
        <v>6966</v>
      </c>
      <c r="AK390" t="s">
        <v>6966</v>
      </c>
      <c r="AL390" t="s">
        <v>6966</v>
      </c>
      <c r="AM390" t="s">
        <v>6966</v>
      </c>
      <c r="AN390" t="s">
        <v>6966</v>
      </c>
      <c r="AO390" t="s">
        <v>6966</v>
      </c>
      <c r="AP390" t="s">
        <v>6966</v>
      </c>
      <c r="AQ390" t="s">
        <v>6966</v>
      </c>
      <c r="AR390" t="s">
        <v>6966</v>
      </c>
      <c r="AS390" t="s">
        <v>6966</v>
      </c>
      <c r="AT390" t="s">
        <v>6966</v>
      </c>
      <c r="AU390" t="s">
        <v>6966</v>
      </c>
      <c r="AV390" t="s">
        <v>6966</v>
      </c>
      <c r="AW390" t="s">
        <v>6966</v>
      </c>
      <c r="AX390" t="s">
        <v>6966</v>
      </c>
      <c r="AY390" t="s">
        <v>6966</v>
      </c>
      <c r="AZ390">
        <v>0.21984200000000001</v>
      </c>
      <c r="BA390">
        <v>1.116E-3</v>
      </c>
    </row>
    <row r="391" spans="1:53" x14ac:dyDescent="0.25">
      <c r="A391">
        <v>389</v>
      </c>
      <c r="B391" t="s">
        <v>7625</v>
      </c>
      <c r="C391">
        <v>706026</v>
      </c>
      <c r="D391" t="s">
        <v>7747</v>
      </c>
      <c r="E391" t="s">
        <v>597</v>
      </c>
      <c r="F391">
        <v>7102093.5</v>
      </c>
      <c r="G391">
        <v>15109.588867</v>
      </c>
      <c r="H391">
        <v>339</v>
      </c>
      <c r="I391">
        <v>518</v>
      </c>
      <c r="J391">
        <v>33169</v>
      </c>
      <c r="K391" t="s">
        <v>7747</v>
      </c>
      <c r="L391">
        <v>10</v>
      </c>
      <c r="M391">
        <v>10</v>
      </c>
      <c r="N391">
        <v>33169</v>
      </c>
      <c r="O391">
        <v>327</v>
      </c>
      <c r="P391" t="s">
        <v>3215</v>
      </c>
      <c r="Q391">
        <v>1.2</v>
      </c>
      <c r="R391">
        <v>28.93</v>
      </c>
      <c r="S391">
        <v>0.37</v>
      </c>
      <c r="T391">
        <v>9</v>
      </c>
      <c r="U391">
        <v>7102093.5014699996</v>
      </c>
      <c r="V391">
        <v>15109.588809999999</v>
      </c>
      <c r="W391">
        <v>390</v>
      </c>
      <c r="X391">
        <v>0</v>
      </c>
      <c r="Y391">
        <v>389</v>
      </c>
      <c r="Z391" t="s">
        <v>6966</v>
      </c>
      <c r="AA391" t="s">
        <v>6966</v>
      </c>
      <c r="AB391" t="s">
        <v>6966</v>
      </c>
      <c r="AC391" t="s">
        <v>6966</v>
      </c>
      <c r="AD391" t="s">
        <v>6966</v>
      </c>
      <c r="AE391" t="s">
        <v>6966</v>
      </c>
      <c r="AF391" t="s">
        <v>6966</v>
      </c>
      <c r="AG391" t="s">
        <v>6966</v>
      </c>
      <c r="AH391" t="s">
        <v>6966</v>
      </c>
      <c r="AI391" t="s">
        <v>6966</v>
      </c>
      <c r="AJ391" t="s">
        <v>6966</v>
      </c>
      <c r="AK391" t="s">
        <v>6966</v>
      </c>
      <c r="AL391" t="s">
        <v>6966</v>
      </c>
      <c r="AM391" t="s">
        <v>6966</v>
      </c>
      <c r="AN391" t="s">
        <v>6966</v>
      </c>
      <c r="AO391" t="s">
        <v>6966</v>
      </c>
      <c r="AP391" t="s">
        <v>6966</v>
      </c>
      <c r="AQ391" t="s">
        <v>6966</v>
      </c>
      <c r="AR391" t="s">
        <v>6966</v>
      </c>
      <c r="AS391" t="s">
        <v>6966</v>
      </c>
      <c r="AT391" t="s">
        <v>6966</v>
      </c>
      <c r="AU391" t="s">
        <v>6966</v>
      </c>
      <c r="AV391" t="s">
        <v>6966</v>
      </c>
      <c r="AW391" t="s">
        <v>6966</v>
      </c>
      <c r="AX391" t="s">
        <v>6966</v>
      </c>
      <c r="AY391" t="s">
        <v>6966</v>
      </c>
      <c r="AZ391">
        <v>0.15162400000000001</v>
      </c>
      <c r="BA391">
        <v>6.9499999999999998E-4</v>
      </c>
    </row>
    <row r="392" spans="1:53" x14ac:dyDescent="0.25">
      <c r="A392">
        <v>390</v>
      </c>
      <c r="B392" t="s">
        <v>7625</v>
      </c>
      <c r="C392">
        <v>706025</v>
      </c>
      <c r="D392" t="s">
        <v>648</v>
      </c>
      <c r="E392" t="s">
        <v>597</v>
      </c>
      <c r="F392">
        <v>2640284</v>
      </c>
      <c r="G392">
        <v>9832.0039059999999</v>
      </c>
      <c r="H392">
        <v>340</v>
      </c>
      <c r="I392">
        <v>519</v>
      </c>
      <c r="J392">
        <v>33291</v>
      </c>
      <c r="K392" t="s">
        <v>2083</v>
      </c>
      <c r="L392">
        <v>10</v>
      </c>
      <c r="M392">
        <v>10</v>
      </c>
      <c r="N392">
        <v>33291</v>
      </c>
      <c r="O392">
        <v>328</v>
      </c>
      <c r="P392" t="s">
        <v>3215</v>
      </c>
      <c r="Q392">
        <v>0.4</v>
      </c>
      <c r="R392">
        <v>28.45</v>
      </c>
      <c r="S392">
        <v>0.19</v>
      </c>
      <c r="T392">
        <v>27</v>
      </c>
      <c r="U392">
        <v>2640283.95903</v>
      </c>
      <c r="V392">
        <v>9832.0043960000003</v>
      </c>
      <c r="W392">
        <v>391</v>
      </c>
      <c r="X392">
        <v>0</v>
      </c>
      <c r="Y392">
        <v>390</v>
      </c>
      <c r="Z392" t="s">
        <v>6966</v>
      </c>
      <c r="AA392" t="s">
        <v>6966</v>
      </c>
      <c r="AB392" t="s">
        <v>6966</v>
      </c>
      <c r="AC392" t="s">
        <v>6966</v>
      </c>
      <c r="AD392" t="s">
        <v>6966</v>
      </c>
      <c r="AE392" t="s">
        <v>6966</v>
      </c>
      <c r="AF392" t="s">
        <v>6966</v>
      </c>
      <c r="AG392" t="s">
        <v>6966</v>
      </c>
      <c r="AH392" t="s">
        <v>6966</v>
      </c>
      <c r="AI392" t="s">
        <v>6966</v>
      </c>
      <c r="AJ392" t="s">
        <v>6966</v>
      </c>
      <c r="AK392" t="s">
        <v>6966</v>
      </c>
      <c r="AL392" t="s">
        <v>6966</v>
      </c>
      <c r="AM392" t="s">
        <v>6966</v>
      </c>
      <c r="AN392" t="s">
        <v>6966</v>
      </c>
      <c r="AO392" t="s">
        <v>6966</v>
      </c>
      <c r="AP392" t="s">
        <v>6966</v>
      </c>
      <c r="AQ392" t="s">
        <v>6966</v>
      </c>
      <c r="AR392" t="s">
        <v>6966</v>
      </c>
      <c r="AS392" t="s">
        <v>6966</v>
      </c>
      <c r="AT392" t="s">
        <v>6966</v>
      </c>
      <c r="AU392" t="s">
        <v>6966</v>
      </c>
      <c r="AV392" t="s">
        <v>6966</v>
      </c>
      <c r="AW392" t="s">
        <v>6966</v>
      </c>
      <c r="AX392" t="s">
        <v>6966</v>
      </c>
      <c r="AY392" t="s">
        <v>6966</v>
      </c>
      <c r="AZ392">
        <v>9.8558999999999994E-2</v>
      </c>
      <c r="BA392">
        <v>2.5900000000000001E-4</v>
      </c>
    </row>
    <row r="393" spans="1:53" x14ac:dyDescent="0.25">
      <c r="A393">
        <v>391</v>
      </c>
      <c r="B393" t="s">
        <v>7625</v>
      </c>
      <c r="C393">
        <v>701035</v>
      </c>
      <c r="D393" t="s">
        <v>655</v>
      </c>
      <c r="E393" t="s">
        <v>649</v>
      </c>
      <c r="F393">
        <v>1453811</v>
      </c>
      <c r="G393">
        <v>8719.0205079999996</v>
      </c>
      <c r="H393">
        <v>341</v>
      </c>
      <c r="I393">
        <v>520</v>
      </c>
      <c r="J393">
        <v>34177</v>
      </c>
      <c r="K393" t="s">
        <v>2088</v>
      </c>
      <c r="L393">
        <v>11</v>
      </c>
      <c r="M393">
        <v>11</v>
      </c>
      <c r="N393">
        <v>34177</v>
      </c>
      <c r="O393">
        <v>329</v>
      </c>
      <c r="P393" t="s">
        <v>3215</v>
      </c>
      <c r="Q393">
        <v>6.3</v>
      </c>
      <c r="R393">
        <v>39.450000000000003</v>
      </c>
      <c r="S393">
        <v>1.32</v>
      </c>
      <c r="T393">
        <v>20</v>
      </c>
      <c r="U393">
        <v>1453810.96416</v>
      </c>
      <c r="V393">
        <v>8719.0207360000004</v>
      </c>
      <c r="W393">
        <v>392</v>
      </c>
      <c r="X393">
        <v>0</v>
      </c>
      <c r="Y393">
        <v>391</v>
      </c>
      <c r="Z393" t="s">
        <v>6966</v>
      </c>
      <c r="AA393" t="s">
        <v>6966</v>
      </c>
      <c r="AB393" t="s">
        <v>6966</v>
      </c>
      <c r="AC393" t="s">
        <v>6966</v>
      </c>
      <c r="AD393" t="s">
        <v>6966</v>
      </c>
      <c r="AE393" t="s">
        <v>6966</v>
      </c>
      <c r="AF393" t="s">
        <v>6966</v>
      </c>
      <c r="AG393" t="s">
        <v>6966</v>
      </c>
      <c r="AH393" t="s">
        <v>6966</v>
      </c>
      <c r="AI393" t="s">
        <v>6966</v>
      </c>
      <c r="AJ393" t="s">
        <v>6966</v>
      </c>
      <c r="AK393" t="s">
        <v>6966</v>
      </c>
      <c r="AL393" t="s">
        <v>6966</v>
      </c>
      <c r="AM393" t="s">
        <v>6966</v>
      </c>
      <c r="AN393" t="s">
        <v>6966</v>
      </c>
      <c r="AO393" t="s">
        <v>6966</v>
      </c>
      <c r="AP393" t="s">
        <v>6966</v>
      </c>
      <c r="AQ393" t="s">
        <v>6966</v>
      </c>
      <c r="AR393" t="s">
        <v>6966</v>
      </c>
      <c r="AS393" t="s">
        <v>6966</v>
      </c>
      <c r="AT393" t="s">
        <v>6966</v>
      </c>
      <c r="AU393" t="s">
        <v>6966</v>
      </c>
      <c r="AV393" t="s">
        <v>6966</v>
      </c>
      <c r="AW393" t="s">
        <v>6966</v>
      </c>
      <c r="AX393" t="s">
        <v>6966</v>
      </c>
      <c r="AY393" t="s">
        <v>6966</v>
      </c>
      <c r="AZ393">
        <v>8.72E-2</v>
      </c>
      <c r="BA393">
        <v>1.4200000000000001E-4</v>
      </c>
    </row>
    <row r="394" spans="1:53" x14ac:dyDescent="0.25">
      <c r="A394">
        <v>392</v>
      </c>
      <c r="B394" t="s">
        <v>7625</v>
      </c>
      <c r="C394">
        <v>706019</v>
      </c>
      <c r="D394" t="s">
        <v>629</v>
      </c>
      <c r="E394" t="s">
        <v>597</v>
      </c>
      <c r="F394">
        <v>0</v>
      </c>
      <c r="G394">
        <v>30245.005859000001</v>
      </c>
      <c r="H394">
        <v>342</v>
      </c>
      <c r="I394">
        <v>521</v>
      </c>
      <c r="J394">
        <v>33211</v>
      </c>
      <c r="K394" t="s">
        <v>629</v>
      </c>
      <c r="L394">
        <v>10</v>
      </c>
      <c r="M394">
        <v>10</v>
      </c>
      <c r="N394">
        <v>33211</v>
      </c>
      <c r="O394">
        <v>330</v>
      </c>
      <c r="P394" t="s">
        <v>3215</v>
      </c>
      <c r="Q394">
        <v>0</v>
      </c>
      <c r="R394">
        <v>0.19</v>
      </c>
      <c r="S394">
        <v>0.34</v>
      </c>
      <c r="T394">
        <v>10</v>
      </c>
      <c r="U394">
        <v>0</v>
      </c>
      <c r="V394">
        <v>30245.005173000001</v>
      </c>
      <c r="W394">
        <v>393</v>
      </c>
      <c r="X394">
        <v>2</v>
      </c>
      <c r="Y394">
        <v>392</v>
      </c>
      <c r="Z394">
        <v>69226</v>
      </c>
      <c r="AA394" s="76">
        <v>45897</v>
      </c>
      <c r="AB394">
        <v>2025</v>
      </c>
      <c r="AC394" t="s">
        <v>7379</v>
      </c>
      <c r="AD394">
        <v>28</v>
      </c>
      <c r="AE394" t="s">
        <v>7426</v>
      </c>
      <c r="AF394" t="s">
        <v>3215</v>
      </c>
      <c r="AG394" t="s">
        <v>597</v>
      </c>
      <c r="AH394" t="s">
        <v>629</v>
      </c>
      <c r="AI394" t="s">
        <v>629</v>
      </c>
      <c r="AJ394" t="s">
        <v>6966</v>
      </c>
      <c r="AK394">
        <v>34.291119999999999</v>
      </c>
      <c r="AL394">
        <v>35.967059999999996</v>
      </c>
      <c r="AM394" t="s">
        <v>7014</v>
      </c>
      <c r="AN394" t="s">
        <v>7014</v>
      </c>
      <c r="AO394" t="s">
        <v>7086</v>
      </c>
      <c r="AP394" t="s">
        <v>7427</v>
      </c>
      <c r="AQ394" t="s">
        <v>6998</v>
      </c>
      <c r="AR394" t="s">
        <v>6999</v>
      </c>
      <c r="AS394" t="s">
        <v>7071</v>
      </c>
      <c r="AT394">
        <v>0</v>
      </c>
      <c r="AU394">
        <v>0</v>
      </c>
      <c r="AV394" t="s">
        <v>6966</v>
      </c>
      <c r="AW394" t="s">
        <v>7119</v>
      </c>
      <c r="AX394" t="s">
        <v>6966</v>
      </c>
      <c r="AY394" t="s">
        <v>7044</v>
      </c>
      <c r="AZ394">
        <v>0.305114</v>
      </c>
      <c r="BA394">
        <v>2.3640000000000002E-3</v>
      </c>
    </row>
    <row r="395" spans="1:53" x14ac:dyDescent="0.25">
      <c r="A395">
        <v>393</v>
      </c>
      <c r="B395" t="s">
        <v>7625</v>
      </c>
      <c r="C395">
        <v>701031</v>
      </c>
      <c r="D395" t="s">
        <v>704</v>
      </c>
      <c r="E395" t="s">
        <v>649</v>
      </c>
      <c r="F395">
        <v>9922773</v>
      </c>
      <c r="G395">
        <v>16246.678711</v>
      </c>
      <c r="H395">
        <v>343</v>
      </c>
      <c r="I395">
        <v>522</v>
      </c>
      <c r="J395">
        <v>34287</v>
      </c>
      <c r="K395" t="s">
        <v>704</v>
      </c>
      <c r="L395">
        <v>11</v>
      </c>
      <c r="M395">
        <v>11</v>
      </c>
      <c r="N395">
        <v>34287</v>
      </c>
      <c r="O395">
        <v>331</v>
      </c>
      <c r="P395" t="s">
        <v>3215</v>
      </c>
      <c r="Q395">
        <v>1.9</v>
      </c>
      <c r="R395">
        <v>21.18</v>
      </c>
      <c r="S395">
        <v>0.48</v>
      </c>
      <c r="T395">
        <v>6</v>
      </c>
      <c r="U395">
        <v>9922773.0889299996</v>
      </c>
      <c r="V395">
        <v>16246.677091</v>
      </c>
      <c r="W395">
        <v>394</v>
      </c>
      <c r="X395">
        <v>0</v>
      </c>
      <c r="Y395">
        <v>393</v>
      </c>
      <c r="Z395" t="s">
        <v>6966</v>
      </c>
      <c r="AA395" t="s">
        <v>6966</v>
      </c>
      <c r="AB395" t="s">
        <v>6966</v>
      </c>
      <c r="AC395" t="s">
        <v>6966</v>
      </c>
      <c r="AD395" t="s">
        <v>6966</v>
      </c>
      <c r="AE395" t="s">
        <v>6966</v>
      </c>
      <c r="AF395" t="s">
        <v>6966</v>
      </c>
      <c r="AG395" t="s">
        <v>6966</v>
      </c>
      <c r="AH395" t="s">
        <v>6966</v>
      </c>
      <c r="AI395" t="s">
        <v>6966</v>
      </c>
      <c r="AJ395" t="s">
        <v>6966</v>
      </c>
      <c r="AK395" t="s">
        <v>6966</v>
      </c>
      <c r="AL395" t="s">
        <v>6966</v>
      </c>
      <c r="AM395" t="s">
        <v>6966</v>
      </c>
      <c r="AN395" t="s">
        <v>6966</v>
      </c>
      <c r="AO395" t="s">
        <v>6966</v>
      </c>
      <c r="AP395" t="s">
        <v>6966</v>
      </c>
      <c r="AQ395" t="s">
        <v>6966</v>
      </c>
      <c r="AR395" t="s">
        <v>6966</v>
      </c>
      <c r="AS395" t="s">
        <v>6966</v>
      </c>
      <c r="AT395" t="s">
        <v>6966</v>
      </c>
      <c r="AU395" t="s">
        <v>6966</v>
      </c>
      <c r="AV395" t="s">
        <v>6966</v>
      </c>
      <c r="AW395" t="s">
        <v>6966</v>
      </c>
      <c r="AX395" t="s">
        <v>6966</v>
      </c>
      <c r="AY395" t="s">
        <v>6966</v>
      </c>
      <c r="AZ395">
        <v>0.161306</v>
      </c>
      <c r="BA395">
        <v>9.7099999999999997E-4</v>
      </c>
    </row>
    <row r="396" spans="1:53" x14ac:dyDescent="0.25">
      <c r="A396">
        <v>394</v>
      </c>
      <c r="B396" t="s">
        <v>7625</v>
      </c>
      <c r="C396">
        <v>706011</v>
      </c>
      <c r="D396" t="s">
        <v>630</v>
      </c>
      <c r="E396" t="s">
        <v>597</v>
      </c>
      <c r="F396">
        <v>1616757.5</v>
      </c>
      <c r="G396">
        <v>5759.9941410000001</v>
      </c>
      <c r="H396">
        <v>344</v>
      </c>
      <c r="I396">
        <v>523</v>
      </c>
      <c r="J396">
        <v>33215</v>
      </c>
      <c r="K396" t="s">
        <v>2068</v>
      </c>
      <c r="L396">
        <v>10</v>
      </c>
      <c r="M396">
        <v>10</v>
      </c>
      <c r="N396">
        <v>33215</v>
      </c>
      <c r="O396">
        <v>332</v>
      </c>
      <c r="P396" t="s">
        <v>3215</v>
      </c>
      <c r="Q396">
        <v>0</v>
      </c>
      <c r="R396">
        <v>0</v>
      </c>
      <c r="S396">
        <v>0.63</v>
      </c>
      <c r="T396">
        <v>35</v>
      </c>
      <c r="U396">
        <v>1616757.46022</v>
      </c>
      <c r="V396">
        <v>5759.9940260000003</v>
      </c>
      <c r="W396">
        <v>395</v>
      </c>
      <c r="X396">
        <v>0</v>
      </c>
      <c r="Y396">
        <v>394</v>
      </c>
      <c r="Z396" t="s">
        <v>6966</v>
      </c>
      <c r="AA396" t="s">
        <v>6966</v>
      </c>
      <c r="AB396" t="s">
        <v>6966</v>
      </c>
      <c r="AC396" t="s">
        <v>6966</v>
      </c>
      <c r="AD396" t="s">
        <v>6966</v>
      </c>
      <c r="AE396" t="s">
        <v>6966</v>
      </c>
      <c r="AF396" t="s">
        <v>6966</v>
      </c>
      <c r="AG396" t="s">
        <v>6966</v>
      </c>
      <c r="AH396" t="s">
        <v>6966</v>
      </c>
      <c r="AI396" t="s">
        <v>6966</v>
      </c>
      <c r="AJ396" t="s">
        <v>6966</v>
      </c>
      <c r="AK396" t="s">
        <v>6966</v>
      </c>
      <c r="AL396" t="s">
        <v>6966</v>
      </c>
      <c r="AM396" t="s">
        <v>6966</v>
      </c>
      <c r="AN396" t="s">
        <v>6966</v>
      </c>
      <c r="AO396" t="s">
        <v>6966</v>
      </c>
      <c r="AP396" t="s">
        <v>6966</v>
      </c>
      <c r="AQ396" t="s">
        <v>6966</v>
      </c>
      <c r="AR396" t="s">
        <v>6966</v>
      </c>
      <c r="AS396" t="s">
        <v>6966</v>
      </c>
      <c r="AT396" t="s">
        <v>6966</v>
      </c>
      <c r="AU396" t="s">
        <v>6966</v>
      </c>
      <c r="AV396" t="s">
        <v>6966</v>
      </c>
      <c r="AW396" t="s">
        <v>6966</v>
      </c>
      <c r="AX396" t="s">
        <v>6966</v>
      </c>
      <c r="AY396" t="s">
        <v>6966</v>
      </c>
      <c r="AZ396">
        <v>5.7498E-2</v>
      </c>
      <c r="BA396">
        <v>1.5799999999999999E-4</v>
      </c>
    </row>
    <row r="397" spans="1:53" x14ac:dyDescent="0.25">
      <c r="A397">
        <v>395</v>
      </c>
      <c r="B397" t="s">
        <v>7625</v>
      </c>
      <c r="C397">
        <v>703029</v>
      </c>
      <c r="D397" t="s">
        <v>587</v>
      </c>
      <c r="E397" t="s">
        <v>7704</v>
      </c>
      <c r="F397">
        <v>3280885</v>
      </c>
      <c r="G397">
        <v>9244.7324219999991</v>
      </c>
      <c r="H397">
        <v>345</v>
      </c>
      <c r="I397">
        <v>524</v>
      </c>
      <c r="J397">
        <v>32177</v>
      </c>
      <c r="K397" t="s">
        <v>2034</v>
      </c>
      <c r="L397">
        <v>9</v>
      </c>
      <c r="M397">
        <v>9</v>
      </c>
      <c r="N397">
        <v>32177</v>
      </c>
      <c r="O397">
        <v>333</v>
      </c>
      <c r="P397" t="s">
        <v>3215</v>
      </c>
      <c r="Q397">
        <v>3.2</v>
      </c>
      <c r="R397">
        <v>23.21</v>
      </c>
      <c r="S397">
        <v>0.76</v>
      </c>
      <c r="T397">
        <v>6</v>
      </c>
      <c r="U397">
        <v>3280884.8738799999</v>
      </c>
      <c r="V397">
        <v>9244.7320870000003</v>
      </c>
      <c r="W397">
        <v>396</v>
      </c>
      <c r="X397">
        <v>0</v>
      </c>
      <c r="Y397">
        <v>395</v>
      </c>
      <c r="Z397" t="s">
        <v>6966</v>
      </c>
      <c r="AA397" t="s">
        <v>6966</v>
      </c>
      <c r="AB397" t="s">
        <v>6966</v>
      </c>
      <c r="AC397" t="s">
        <v>6966</v>
      </c>
      <c r="AD397" t="s">
        <v>6966</v>
      </c>
      <c r="AE397" t="s">
        <v>6966</v>
      </c>
      <c r="AF397" t="s">
        <v>6966</v>
      </c>
      <c r="AG397" t="s">
        <v>6966</v>
      </c>
      <c r="AH397" t="s">
        <v>6966</v>
      </c>
      <c r="AI397" t="s">
        <v>6966</v>
      </c>
      <c r="AJ397" t="s">
        <v>6966</v>
      </c>
      <c r="AK397" t="s">
        <v>6966</v>
      </c>
      <c r="AL397" t="s">
        <v>6966</v>
      </c>
      <c r="AM397" t="s">
        <v>6966</v>
      </c>
      <c r="AN397" t="s">
        <v>6966</v>
      </c>
      <c r="AO397" t="s">
        <v>6966</v>
      </c>
      <c r="AP397" t="s">
        <v>6966</v>
      </c>
      <c r="AQ397" t="s">
        <v>6966</v>
      </c>
      <c r="AR397" t="s">
        <v>6966</v>
      </c>
      <c r="AS397" t="s">
        <v>6966</v>
      </c>
      <c r="AT397" t="s">
        <v>6966</v>
      </c>
      <c r="AU397" t="s">
        <v>6966</v>
      </c>
      <c r="AV397" t="s">
        <v>6966</v>
      </c>
      <c r="AW397" t="s">
        <v>6966</v>
      </c>
      <c r="AX397" t="s">
        <v>6966</v>
      </c>
      <c r="AY397" t="s">
        <v>6966</v>
      </c>
      <c r="AZ397">
        <v>9.2701000000000006E-2</v>
      </c>
      <c r="BA397">
        <v>3.21E-4</v>
      </c>
    </row>
    <row r="398" spans="1:53" x14ac:dyDescent="0.25">
      <c r="A398">
        <v>396</v>
      </c>
      <c r="B398" t="s">
        <v>7625</v>
      </c>
      <c r="C398">
        <v>703035</v>
      </c>
      <c r="D398" t="s">
        <v>556</v>
      </c>
      <c r="E398" t="s">
        <v>7704</v>
      </c>
      <c r="F398">
        <v>1798031.875</v>
      </c>
      <c r="G398">
        <v>7882.6577150000003</v>
      </c>
      <c r="H398">
        <v>346</v>
      </c>
      <c r="I398">
        <v>525</v>
      </c>
      <c r="J398">
        <v>32115</v>
      </c>
      <c r="K398" t="s">
        <v>2013</v>
      </c>
      <c r="L398">
        <v>9</v>
      </c>
      <c r="M398">
        <v>9</v>
      </c>
      <c r="N398">
        <v>32115</v>
      </c>
      <c r="O398">
        <v>334</v>
      </c>
      <c r="P398" t="s">
        <v>3215</v>
      </c>
      <c r="Q398">
        <v>4.0999999999999996</v>
      </c>
      <c r="R398">
        <v>29.6</v>
      </c>
      <c r="S398">
        <v>1.21</v>
      </c>
      <c r="T398">
        <v>9</v>
      </c>
      <c r="U398">
        <v>1798031.8936600001</v>
      </c>
      <c r="V398">
        <v>7882.6568749999997</v>
      </c>
      <c r="W398">
        <v>397</v>
      </c>
      <c r="X398">
        <v>2</v>
      </c>
      <c r="Y398">
        <v>396</v>
      </c>
      <c r="Z398">
        <v>65473</v>
      </c>
      <c r="AA398" s="76">
        <v>45847</v>
      </c>
      <c r="AB398">
        <v>2025</v>
      </c>
      <c r="AC398" t="s">
        <v>7313</v>
      </c>
      <c r="AD398">
        <v>9</v>
      </c>
      <c r="AE398" t="s">
        <v>7335</v>
      </c>
      <c r="AF398" t="s">
        <v>3215</v>
      </c>
      <c r="AG398" t="s">
        <v>3223</v>
      </c>
      <c r="AH398" t="s">
        <v>556</v>
      </c>
      <c r="AI398" t="s">
        <v>2013</v>
      </c>
      <c r="AJ398" t="s">
        <v>6966</v>
      </c>
      <c r="AK398">
        <v>34.29721</v>
      </c>
      <c r="AL398">
        <v>35.830530000000003</v>
      </c>
      <c r="AM398" t="s">
        <v>7013</v>
      </c>
      <c r="AN398" t="s">
        <v>6966</v>
      </c>
      <c r="AO398" t="s">
        <v>7008</v>
      </c>
      <c r="AP398" t="s">
        <v>7336</v>
      </c>
      <c r="AQ398" t="s">
        <v>6998</v>
      </c>
      <c r="AR398" t="s">
        <v>6999</v>
      </c>
      <c r="AS398" t="s">
        <v>7000</v>
      </c>
      <c r="AT398">
        <v>0</v>
      </c>
      <c r="AU398">
        <v>0</v>
      </c>
      <c r="AV398" t="s">
        <v>7337</v>
      </c>
      <c r="AW398" t="s">
        <v>7043</v>
      </c>
      <c r="AX398" t="s">
        <v>6966</v>
      </c>
      <c r="AY398" t="s">
        <v>7003</v>
      </c>
      <c r="AZ398">
        <v>7.6827999999999994E-2</v>
      </c>
      <c r="BA398">
        <v>1.76E-4</v>
      </c>
    </row>
    <row r="399" spans="1:53" x14ac:dyDescent="0.25">
      <c r="A399">
        <v>397</v>
      </c>
      <c r="B399" t="s">
        <v>7625</v>
      </c>
      <c r="C399">
        <v>702004</v>
      </c>
      <c r="D399" t="s">
        <v>7748</v>
      </c>
      <c r="E399" t="s">
        <v>2906</v>
      </c>
      <c r="F399">
        <v>0</v>
      </c>
      <c r="G399">
        <v>46727.070312999997</v>
      </c>
      <c r="H399">
        <v>347</v>
      </c>
      <c r="I399">
        <v>526</v>
      </c>
      <c r="J399">
        <v>36111</v>
      </c>
      <c r="K399" t="s">
        <v>7748</v>
      </c>
      <c r="L399">
        <v>13</v>
      </c>
      <c r="M399">
        <v>13</v>
      </c>
      <c r="N399">
        <v>36111</v>
      </c>
      <c r="O399">
        <v>335</v>
      </c>
      <c r="P399" t="s">
        <v>3215</v>
      </c>
      <c r="Q399">
        <v>0.1</v>
      </c>
      <c r="R399">
        <v>7.6</v>
      </c>
      <c r="S399">
        <v>0.01</v>
      </c>
      <c r="T399">
        <v>2</v>
      </c>
      <c r="U399">
        <v>0</v>
      </c>
      <c r="V399">
        <v>46727.070603</v>
      </c>
      <c r="W399">
        <v>398</v>
      </c>
      <c r="X399">
        <v>0</v>
      </c>
      <c r="Y399">
        <v>397</v>
      </c>
      <c r="Z399" t="s">
        <v>6966</v>
      </c>
      <c r="AA399" t="s">
        <v>6966</v>
      </c>
      <c r="AB399" t="s">
        <v>6966</v>
      </c>
      <c r="AC399" t="s">
        <v>6966</v>
      </c>
      <c r="AD399" t="s">
        <v>6966</v>
      </c>
      <c r="AE399" t="s">
        <v>6966</v>
      </c>
      <c r="AF399" t="s">
        <v>6966</v>
      </c>
      <c r="AG399" t="s">
        <v>6966</v>
      </c>
      <c r="AH399" t="s">
        <v>6966</v>
      </c>
      <c r="AI399" t="s">
        <v>6966</v>
      </c>
      <c r="AJ399" t="s">
        <v>6966</v>
      </c>
      <c r="AK399" t="s">
        <v>6966</v>
      </c>
      <c r="AL399" t="s">
        <v>6966</v>
      </c>
      <c r="AM399" t="s">
        <v>6966</v>
      </c>
      <c r="AN399" t="s">
        <v>6966</v>
      </c>
      <c r="AO399" t="s">
        <v>6966</v>
      </c>
      <c r="AP399" t="s">
        <v>6966</v>
      </c>
      <c r="AQ399" t="s">
        <v>6966</v>
      </c>
      <c r="AR399" t="s">
        <v>6966</v>
      </c>
      <c r="AS399" t="s">
        <v>6966</v>
      </c>
      <c r="AT399" t="s">
        <v>6966</v>
      </c>
      <c r="AU399" t="s">
        <v>6966</v>
      </c>
      <c r="AV399" t="s">
        <v>6966</v>
      </c>
      <c r="AW399" t="s">
        <v>6966</v>
      </c>
      <c r="AX399" t="s">
        <v>6966</v>
      </c>
      <c r="AY399" t="s">
        <v>6966</v>
      </c>
      <c r="AZ399">
        <v>0.46836699999999998</v>
      </c>
      <c r="BA399">
        <v>6.0749999999999997E-3</v>
      </c>
    </row>
    <row r="400" spans="1:53" x14ac:dyDescent="0.25">
      <c r="A400">
        <v>398</v>
      </c>
      <c r="B400" t="s">
        <v>7625</v>
      </c>
      <c r="C400">
        <v>703011</v>
      </c>
      <c r="D400" t="s">
        <v>581</v>
      </c>
      <c r="E400" t="s">
        <v>7704</v>
      </c>
      <c r="F400">
        <v>1745459</v>
      </c>
      <c r="G400">
        <v>6549.6782229999999</v>
      </c>
      <c r="H400">
        <v>348</v>
      </c>
      <c r="I400">
        <v>527</v>
      </c>
      <c r="J400">
        <v>32165</v>
      </c>
      <c r="K400" t="s">
        <v>2029</v>
      </c>
      <c r="L400">
        <v>9</v>
      </c>
      <c r="M400">
        <v>9</v>
      </c>
      <c r="N400">
        <v>32165</v>
      </c>
      <c r="O400">
        <v>336</v>
      </c>
      <c r="P400" t="s">
        <v>3215</v>
      </c>
      <c r="Q400">
        <v>1.9</v>
      </c>
      <c r="R400">
        <v>29.68</v>
      </c>
      <c r="S400">
        <v>0.57999999999999996</v>
      </c>
      <c r="T400">
        <v>9</v>
      </c>
      <c r="U400">
        <v>1745458.9842000001</v>
      </c>
      <c r="V400">
        <v>6549.6785060000002</v>
      </c>
      <c r="W400">
        <v>399</v>
      </c>
      <c r="X400">
        <v>0</v>
      </c>
      <c r="Y400">
        <v>398</v>
      </c>
      <c r="Z400" t="s">
        <v>6966</v>
      </c>
      <c r="AA400" t="s">
        <v>6966</v>
      </c>
      <c r="AB400" t="s">
        <v>6966</v>
      </c>
      <c r="AC400" t="s">
        <v>6966</v>
      </c>
      <c r="AD400" t="s">
        <v>6966</v>
      </c>
      <c r="AE400" t="s">
        <v>6966</v>
      </c>
      <c r="AF400" t="s">
        <v>6966</v>
      </c>
      <c r="AG400" t="s">
        <v>6966</v>
      </c>
      <c r="AH400" t="s">
        <v>6966</v>
      </c>
      <c r="AI400" t="s">
        <v>6966</v>
      </c>
      <c r="AJ400" t="s">
        <v>6966</v>
      </c>
      <c r="AK400" t="s">
        <v>6966</v>
      </c>
      <c r="AL400" t="s">
        <v>6966</v>
      </c>
      <c r="AM400" t="s">
        <v>6966</v>
      </c>
      <c r="AN400" t="s">
        <v>6966</v>
      </c>
      <c r="AO400" t="s">
        <v>6966</v>
      </c>
      <c r="AP400" t="s">
        <v>6966</v>
      </c>
      <c r="AQ400" t="s">
        <v>6966</v>
      </c>
      <c r="AR400" t="s">
        <v>6966</v>
      </c>
      <c r="AS400" t="s">
        <v>6966</v>
      </c>
      <c r="AT400" t="s">
        <v>6966</v>
      </c>
      <c r="AU400" t="s">
        <v>6966</v>
      </c>
      <c r="AV400" t="s">
        <v>6966</v>
      </c>
      <c r="AW400" t="s">
        <v>6966</v>
      </c>
      <c r="AX400" t="s">
        <v>6966</v>
      </c>
      <c r="AY400" t="s">
        <v>6966</v>
      </c>
      <c r="AZ400">
        <v>6.6106999999999999E-2</v>
      </c>
      <c r="BA400">
        <v>1.7100000000000001E-4</v>
      </c>
    </row>
    <row r="401" spans="1:53" x14ac:dyDescent="0.25">
      <c r="A401">
        <v>399</v>
      </c>
      <c r="B401" t="s">
        <v>7625</v>
      </c>
      <c r="C401">
        <v>706003</v>
      </c>
      <c r="D401" t="s">
        <v>633</v>
      </c>
      <c r="E401" t="s">
        <v>597</v>
      </c>
      <c r="F401">
        <v>6473166</v>
      </c>
      <c r="G401">
        <v>18445.771484000001</v>
      </c>
      <c r="H401">
        <v>349</v>
      </c>
      <c r="I401">
        <v>528</v>
      </c>
      <c r="J401">
        <v>33227</v>
      </c>
      <c r="K401" t="s">
        <v>2070</v>
      </c>
      <c r="L401">
        <v>10</v>
      </c>
      <c r="M401">
        <v>10</v>
      </c>
      <c r="N401">
        <v>33227</v>
      </c>
      <c r="O401">
        <v>337</v>
      </c>
      <c r="P401" t="s">
        <v>3215</v>
      </c>
      <c r="Q401">
        <v>1.2</v>
      </c>
      <c r="R401">
        <v>79.39</v>
      </c>
      <c r="S401">
        <v>0.36</v>
      </c>
      <c r="T401">
        <v>23</v>
      </c>
      <c r="U401">
        <v>6473166.0958599998</v>
      </c>
      <c r="V401">
        <v>18445.772636999998</v>
      </c>
      <c r="W401">
        <v>400</v>
      </c>
      <c r="X401">
        <v>0</v>
      </c>
      <c r="Y401">
        <v>399</v>
      </c>
      <c r="Z401" t="s">
        <v>6966</v>
      </c>
      <c r="AA401" t="s">
        <v>6966</v>
      </c>
      <c r="AB401" t="s">
        <v>6966</v>
      </c>
      <c r="AC401" t="s">
        <v>6966</v>
      </c>
      <c r="AD401" t="s">
        <v>6966</v>
      </c>
      <c r="AE401" t="s">
        <v>6966</v>
      </c>
      <c r="AF401" t="s">
        <v>6966</v>
      </c>
      <c r="AG401" t="s">
        <v>6966</v>
      </c>
      <c r="AH401" t="s">
        <v>6966</v>
      </c>
      <c r="AI401" t="s">
        <v>6966</v>
      </c>
      <c r="AJ401" t="s">
        <v>6966</v>
      </c>
      <c r="AK401" t="s">
        <v>6966</v>
      </c>
      <c r="AL401" t="s">
        <v>6966</v>
      </c>
      <c r="AM401" t="s">
        <v>6966</v>
      </c>
      <c r="AN401" t="s">
        <v>6966</v>
      </c>
      <c r="AO401" t="s">
        <v>6966</v>
      </c>
      <c r="AP401" t="s">
        <v>6966</v>
      </c>
      <c r="AQ401" t="s">
        <v>6966</v>
      </c>
      <c r="AR401" t="s">
        <v>6966</v>
      </c>
      <c r="AS401" t="s">
        <v>6966</v>
      </c>
      <c r="AT401" t="s">
        <v>6966</v>
      </c>
      <c r="AU401" t="s">
        <v>6966</v>
      </c>
      <c r="AV401" t="s">
        <v>6966</v>
      </c>
      <c r="AW401" t="s">
        <v>6966</v>
      </c>
      <c r="AX401" t="s">
        <v>6966</v>
      </c>
      <c r="AY401" t="s">
        <v>6966</v>
      </c>
      <c r="AZ401">
        <v>0.18739500000000001</v>
      </c>
      <c r="BA401">
        <v>6.3400000000000001E-4</v>
      </c>
    </row>
    <row r="402" spans="1:53" x14ac:dyDescent="0.25">
      <c r="A402">
        <v>400</v>
      </c>
      <c r="B402" t="s">
        <v>7625</v>
      </c>
      <c r="C402">
        <v>706049</v>
      </c>
      <c r="D402" t="s">
        <v>639</v>
      </c>
      <c r="E402" t="s">
        <v>597</v>
      </c>
      <c r="F402">
        <v>3063449</v>
      </c>
      <c r="G402">
        <v>10257.283203000001</v>
      </c>
      <c r="H402">
        <v>350</v>
      </c>
      <c r="I402">
        <v>529</v>
      </c>
      <c r="J402">
        <v>33255</v>
      </c>
      <c r="K402" t="s">
        <v>2075</v>
      </c>
      <c r="L402">
        <v>10</v>
      </c>
      <c r="M402">
        <v>10</v>
      </c>
      <c r="N402">
        <v>33255</v>
      </c>
      <c r="O402">
        <v>338</v>
      </c>
      <c r="P402" t="s">
        <v>3215</v>
      </c>
      <c r="Q402">
        <v>1.7</v>
      </c>
      <c r="R402">
        <v>175.45</v>
      </c>
      <c r="S402">
        <v>0.49</v>
      </c>
      <c r="T402">
        <v>50</v>
      </c>
      <c r="U402">
        <v>3063448.99291</v>
      </c>
      <c r="V402">
        <v>10257.282432</v>
      </c>
      <c r="W402">
        <v>401</v>
      </c>
      <c r="X402">
        <v>0</v>
      </c>
      <c r="Y402">
        <v>400</v>
      </c>
      <c r="Z402" t="s">
        <v>6966</v>
      </c>
      <c r="AA402" t="s">
        <v>6966</v>
      </c>
      <c r="AB402" t="s">
        <v>6966</v>
      </c>
      <c r="AC402" t="s">
        <v>6966</v>
      </c>
      <c r="AD402" t="s">
        <v>6966</v>
      </c>
      <c r="AE402" t="s">
        <v>6966</v>
      </c>
      <c r="AF402" t="s">
        <v>6966</v>
      </c>
      <c r="AG402" t="s">
        <v>6966</v>
      </c>
      <c r="AH402" t="s">
        <v>6966</v>
      </c>
      <c r="AI402" t="s">
        <v>6966</v>
      </c>
      <c r="AJ402" t="s">
        <v>6966</v>
      </c>
      <c r="AK402" t="s">
        <v>6966</v>
      </c>
      <c r="AL402" t="s">
        <v>6966</v>
      </c>
      <c r="AM402" t="s">
        <v>6966</v>
      </c>
      <c r="AN402" t="s">
        <v>6966</v>
      </c>
      <c r="AO402" t="s">
        <v>6966</v>
      </c>
      <c r="AP402" t="s">
        <v>6966</v>
      </c>
      <c r="AQ402" t="s">
        <v>6966</v>
      </c>
      <c r="AR402" t="s">
        <v>6966</v>
      </c>
      <c r="AS402" t="s">
        <v>6966</v>
      </c>
      <c r="AT402" t="s">
        <v>6966</v>
      </c>
      <c r="AU402" t="s">
        <v>6966</v>
      </c>
      <c r="AV402" t="s">
        <v>6966</v>
      </c>
      <c r="AW402" t="s">
        <v>6966</v>
      </c>
      <c r="AX402" t="s">
        <v>6966</v>
      </c>
      <c r="AY402" t="s">
        <v>6966</v>
      </c>
      <c r="AZ402">
        <v>0.105711</v>
      </c>
      <c r="BA402">
        <v>2.9999999999999997E-4</v>
      </c>
    </row>
    <row r="403" spans="1:53" x14ac:dyDescent="0.25">
      <c r="A403">
        <v>401</v>
      </c>
      <c r="B403" t="s">
        <v>7625</v>
      </c>
      <c r="C403">
        <v>703032</v>
      </c>
      <c r="D403" t="s">
        <v>576</v>
      </c>
      <c r="E403" t="s">
        <v>7704</v>
      </c>
      <c r="F403">
        <v>4932470</v>
      </c>
      <c r="G403">
        <v>13847.507813</v>
      </c>
      <c r="H403">
        <v>351</v>
      </c>
      <c r="I403">
        <v>530</v>
      </c>
      <c r="J403">
        <v>32155</v>
      </c>
      <c r="K403" t="s">
        <v>2025</v>
      </c>
      <c r="L403">
        <v>9</v>
      </c>
      <c r="M403">
        <v>9</v>
      </c>
      <c r="N403">
        <v>32155</v>
      </c>
      <c r="O403">
        <v>339</v>
      </c>
      <c r="P403" t="s">
        <v>3215</v>
      </c>
      <c r="Q403">
        <v>1.8</v>
      </c>
      <c r="R403">
        <v>17</v>
      </c>
      <c r="S403">
        <v>0.52</v>
      </c>
      <c r="T403">
        <v>5</v>
      </c>
      <c r="U403">
        <v>4932469.8112700004</v>
      </c>
      <c r="V403">
        <v>13847.508075</v>
      </c>
      <c r="W403">
        <v>402</v>
      </c>
      <c r="X403">
        <v>0</v>
      </c>
      <c r="Y403">
        <v>401</v>
      </c>
      <c r="Z403" t="s">
        <v>6966</v>
      </c>
      <c r="AA403" t="s">
        <v>6966</v>
      </c>
      <c r="AB403" t="s">
        <v>6966</v>
      </c>
      <c r="AC403" t="s">
        <v>6966</v>
      </c>
      <c r="AD403" t="s">
        <v>6966</v>
      </c>
      <c r="AE403" t="s">
        <v>6966</v>
      </c>
      <c r="AF403" t="s">
        <v>6966</v>
      </c>
      <c r="AG403" t="s">
        <v>6966</v>
      </c>
      <c r="AH403" t="s">
        <v>6966</v>
      </c>
      <c r="AI403" t="s">
        <v>6966</v>
      </c>
      <c r="AJ403" t="s">
        <v>6966</v>
      </c>
      <c r="AK403" t="s">
        <v>6966</v>
      </c>
      <c r="AL403" t="s">
        <v>6966</v>
      </c>
      <c r="AM403" t="s">
        <v>6966</v>
      </c>
      <c r="AN403" t="s">
        <v>6966</v>
      </c>
      <c r="AO403" t="s">
        <v>6966</v>
      </c>
      <c r="AP403" t="s">
        <v>6966</v>
      </c>
      <c r="AQ403" t="s">
        <v>6966</v>
      </c>
      <c r="AR403" t="s">
        <v>6966</v>
      </c>
      <c r="AS403" t="s">
        <v>6966</v>
      </c>
      <c r="AT403" t="s">
        <v>6966</v>
      </c>
      <c r="AU403" t="s">
        <v>6966</v>
      </c>
      <c r="AV403" t="s">
        <v>6966</v>
      </c>
      <c r="AW403" t="s">
        <v>6966</v>
      </c>
      <c r="AX403" t="s">
        <v>6966</v>
      </c>
      <c r="AY403" t="s">
        <v>6966</v>
      </c>
      <c r="AZ403">
        <v>0.13886899999999999</v>
      </c>
      <c r="BA403">
        <v>4.8299999999999998E-4</v>
      </c>
    </row>
    <row r="404" spans="1:53" x14ac:dyDescent="0.25">
      <c r="A404">
        <v>402</v>
      </c>
      <c r="B404" t="s">
        <v>7625</v>
      </c>
      <c r="C404">
        <v>703041</v>
      </c>
      <c r="D404" t="s">
        <v>568</v>
      </c>
      <c r="E404" t="s">
        <v>7704</v>
      </c>
      <c r="F404">
        <v>4275813.5</v>
      </c>
      <c r="G404">
        <v>11111.508789</v>
      </c>
      <c r="H404">
        <v>352</v>
      </c>
      <c r="I404">
        <v>531</v>
      </c>
      <c r="J404">
        <v>32139</v>
      </c>
      <c r="K404" t="s">
        <v>2020</v>
      </c>
      <c r="L404">
        <v>9</v>
      </c>
      <c r="M404">
        <v>9</v>
      </c>
      <c r="N404">
        <v>32139</v>
      </c>
      <c r="O404">
        <v>340</v>
      </c>
      <c r="P404" t="s">
        <v>3215</v>
      </c>
      <c r="Q404">
        <v>2.1</v>
      </c>
      <c r="R404">
        <v>30.2</v>
      </c>
      <c r="S404">
        <v>0.46</v>
      </c>
      <c r="T404">
        <v>7</v>
      </c>
      <c r="U404">
        <v>4275813.6208300004</v>
      </c>
      <c r="V404">
        <v>11111.509142000001</v>
      </c>
      <c r="W404">
        <v>403</v>
      </c>
      <c r="X404">
        <v>0</v>
      </c>
      <c r="Y404">
        <v>402</v>
      </c>
      <c r="Z404" t="s">
        <v>6966</v>
      </c>
      <c r="AA404" t="s">
        <v>6966</v>
      </c>
      <c r="AB404" t="s">
        <v>6966</v>
      </c>
      <c r="AC404" t="s">
        <v>6966</v>
      </c>
      <c r="AD404" t="s">
        <v>6966</v>
      </c>
      <c r="AE404" t="s">
        <v>6966</v>
      </c>
      <c r="AF404" t="s">
        <v>6966</v>
      </c>
      <c r="AG404" t="s">
        <v>6966</v>
      </c>
      <c r="AH404" t="s">
        <v>6966</v>
      </c>
      <c r="AI404" t="s">
        <v>6966</v>
      </c>
      <c r="AJ404" t="s">
        <v>6966</v>
      </c>
      <c r="AK404" t="s">
        <v>6966</v>
      </c>
      <c r="AL404" t="s">
        <v>6966</v>
      </c>
      <c r="AM404" t="s">
        <v>6966</v>
      </c>
      <c r="AN404" t="s">
        <v>6966</v>
      </c>
      <c r="AO404" t="s">
        <v>6966</v>
      </c>
      <c r="AP404" t="s">
        <v>6966</v>
      </c>
      <c r="AQ404" t="s">
        <v>6966</v>
      </c>
      <c r="AR404" t="s">
        <v>6966</v>
      </c>
      <c r="AS404" t="s">
        <v>6966</v>
      </c>
      <c r="AT404" t="s">
        <v>6966</v>
      </c>
      <c r="AU404" t="s">
        <v>6966</v>
      </c>
      <c r="AV404" t="s">
        <v>6966</v>
      </c>
      <c r="AW404" t="s">
        <v>6966</v>
      </c>
      <c r="AX404" t="s">
        <v>6966</v>
      </c>
      <c r="AY404" t="s">
        <v>6966</v>
      </c>
      <c r="AZ404">
        <v>0.11376600000000001</v>
      </c>
      <c r="BA404">
        <v>4.1899999999999999E-4</v>
      </c>
    </row>
    <row r="405" spans="1:53" x14ac:dyDescent="0.25">
      <c r="A405">
        <v>403</v>
      </c>
      <c r="B405" t="s">
        <v>7625</v>
      </c>
      <c r="C405">
        <v>701065</v>
      </c>
      <c r="D405" t="s">
        <v>702</v>
      </c>
      <c r="E405" t="s">
        <v>649</v>
      </c>
      <c r="F405">
        <v>3830902</v>
      </c>
      <c r="G405">
        <v>9623.3701170000004</v>
      </c>
      <c r="H405">
        <v>353</v>
      </c>
      <c r="I405">
        <v>532</v>
      </c>
      <c r="J405">
        <v>34284</v>
      </c>
      <c r="K405" t="s">
        <v>2118</v>
      </c>
      <c r="L405">
        <v>11</v>
      </c>
      <c r="M405">
        <v>11</v>
      </c>
      <c r="N405">
        <v>34284</v>
      </c>
      <c r="O405">
        <v>341</v>
      </c>
      <c r="P405" t="s">
        <v>3215</v>
      </c>
      <c r="Q405">
        <v>3.1</v>
      </c>
      <c r="R405">
        <v>29.22</v>
      </c>
      <c r="S405">
        <v>0.78</v>
      </c>
      <c r="T405">
        <v>7</v>
      </c>
      <c r="U405">
        <v>3830902.18799</v>
      </c>
      <c r="V405">
        <v>9623.3705439999994</v>
      </c>
      <c r="W405">
        <v>404</v>
      </c>
      <c r="X405">
        <v>0</v>
      </c>
      <c r="Y405">
        <v>403</v>
      </c>
      <c r="Z405" t="s">
        <v>6966</v>
      </c>
      <c r="AA405" t="s">
        <v>6966</v>
      </c>
      <c r="AB405" t="s">
        <v>6966</v>
      </c>
      <c r="AC405" t="s">
        <v>6966</v>
      </c>
      <c r="AD405" t="s">
        <v>6966</v>
      </c>
      <c r="AE405" t="s">
        <v>6966</v>
      </c>
      <c r="AF405" t="s">
        <v>6966</v>
      </c>
      <c r="AG405" t="s">
        <v>6966</v>
      </c>
      <c r="AH405" t="s">
        <v>6966</v>
      </c>
      <c r="AI405" t="s">
        <v>6966</v>
      </c>
      <c r="AJ405" t="s">
        <v>6966</v>
      </c>
      <c r="AK405" t="s">
        <v>6966</v>
      </c>
      <c r="AL405" t="s">
        <v>6966</v>
      </c>
      <c r="AM405" t="s">
        <v>6966</v>
      </c>
      <c r="AN405" t="s">
        <v>6966</v>
      </c>
      <c r="AO405" t="s">
        <v>6966</v>
      </c>
      <c r="AP405" t="s">
        <v>6966</v>
      </c>
      <c r="AQ405" t="s">
        <v>6966</v>
      </c>
      <c r="AR405" t="s">
        <v>6966</v>
      </c>
      <c r="AS405" t="s">
        <v>6966</v>
      </c>
      <c r="AT405" t="s">
        <v>6966</v>
      </c>
      <c r="AU405" t="s">
        <v>6966</v>
      </c>
      <c r="AV405" t="s">
        <v>6966</v>
      </c>
      <c r="AW405" t="s">
        <v>6966</v>
      </c>
      <c r="AX405" t="s">
        <v>6966</v>
      </c>
      <c r="AY405" t="s">
        <v>6966</v>
      </c>
      <c r="AZ405">
        <v>9.5342999999999997E-2</v>
      </c>
      <c r="BA405">
        <v>3.7500000000000001E-4</v>
      </c>
    </row>
    <row r="406" spans="1:53" x14ac:dyDescent="0.25">
      <c r="A406">
        <v>404</v>
      </c>
      <c r="B406" t="s">
        <v>7625</v>
      </c>
      <c r="C406">
        <v>701066</v>
      </c>
      <c r="D406" t="s">
        <v>654</v>
      </c>
      <c r="E406" t="s">
        <v>649</v>
      </c>
      <c r="F406">
        <v>2028368.125</v>
      </c>
      <c r="G406">
        <v>10462.03125</v>
      </c>
      <c r="H406">
        <v>354</v>
      </c>
      <c r="I406">
        <v>534</v>
      </c>
      <c r="J406">
        <v>34166</v>
      </c>
      <c r="K406" t="s">
        <v>2087</v>
      </c>
      <c r="L406">
        <v>11</v>
      </c>
      <c r="M406">
        <v>11</v>
      </c>
      <c r="N406">
        <v>34166</v>
      </c>
      <c r="O406">
        <v>342</v>
      </c>
      <c r="P406" t="s">
        <v>3215</v>
      </c>
      <c r="Q406">
        <v>1.9</v>
      </c>
      <c r="R406">
        <v>32.700000000000003</v>
      </c>
      <c r="S406">
        <v>0.55000000000000004</v>
      </c>
      <c r="T406">
        <v>9</v>
      </c>
      <c r="U406">
        <v>2028368.08665</v>
      </c>
      <c r="V406">
        <v>10462.032105</v>
      </c>
      <c r="W406">
        <v>405</v>
      </c>
      <c r="X406">
        <v>0</v>
      </c>
      <c r="Y406">
        <v>404</v>
      </c>
      <c r="Z406" t="s">
        <v>6966</v>
      </c>
      <c r="AA406" t="s">
        <v>6966</v>
      </c>
      <c r="AB406" t="s">
        <v>6966</v>
      </c>
      <c r="AC406" t="s">
        <v>6966</v>
      </c>
      <c r="AD406" t="s">
        <v>6966</v>
      </c>
      <c r="AE406" t="s">
        <v>6966</v>
      </c>
      <c r="AF406" t="s">
        <v>6966</v>
      </c>
      <c r="AG406" t="s">
        <v>6966</v>
      </c>
      <c r="AH406" t="s">
        <v>6966</v>
      </c>
      <c r="AI406" t="s">
        <v>6966</v>
      </c>
      <c r="AJ406" t="s">
        <v>6966</v>
      </c>
      <c r="AK406" t="s">
        <v>6966</v>
      </c>
      <c r="AL406" t="s">
        <v>6966</v>
      </c>
      <c r="AM406" t="s">
        <v>6966</v>
      </c>
      <c r="AN406" t="s">
        <v>6966</v>
      </c>
      <c r="AO406" t="s">
        <v>6966</v>
      </c>
      <c r="AP406" t="s">
        <v>6966</v>
      </c>
      <c r="AQ406" t="s">
        <v>6966</v>
      </c>
      <c r="AR406" t="s">
        <v>6966</v>
      </c>
      <c r="AS406" t="s">
        <v>6966</v>
      </c>
      <c r="AT406" t="s">
        <v>6966</v>
      </c>
      <c r="AU406" t="s">
        <v>6966</v>
      </c>
      <c r="AV406" t="s">
        <v>6966</v>
      </c>
      <c r="AW406" t="s">
        <v>6966</v>
      </c>
      <c r="AX406" t="s">
        <v>6966</v>
      </c>
      <c r="AY406" t="s">
        <v>6966</v>
      </c>
      <c r="AZ406">
        <v>0.10385800000000001</v>
      </c>
      <c r="BA406">
        <v>1.9900000000000001E-4</v>
      </c>
    </row>
    <row r="407" spans="1:53" x14ac:dyDescent="0.25">
      <c r="A407">
        <v>405</v>
      </c>
      <c r="B407" t="s">
        <v>7625</v>
      </c>
      <c r="C407">
        <v>703022</v>
      </c>
      <c r="D407" t="s">
        <v>563</v>
      </c>
      <c r="E407" t="s">
        <v>7704</v>
      </c>
      <c r="F407">
        <v>3433119.25</v>
      </c>
      <c r="G407">
        <v>8683.3222659999992</v>
      </c>
      <c r="H407">
        <v>355</v>
      </c>
      <c r="I407">
        <v>535</v>
      </c>
      <c r="J407">
        <v>32129</v>
      </c>
      <c r="K407" t="s">
        <v>2016</v>
      </c>
      <c r="L407">
        <v>9</v>
      </c>
      <c r="M407">
        <v>9</v>
      </c>
      <c r="N407">
        <v>32129</v>
      </c>
      <c r="O407">
        <v>343</v>
      </c>
      <c r="P407" t="s">
        <v>3215</v>
      </c>
      <c r="Q407">
        <v>0.8</v>
      </c>
      <c r="R407">
        <v>0</v>
      </c>
      <c r="S407">
        <v>0.23</v>
      </c>
      <c r="T407">
        <v>0</v>
      </c>
      <c r="U407">
        <v>3433119.3575400002</v>
      </c>
      <c r="V407">
        <v>8683.3222679999999</v>
      </c>
      <c r="W407">
        <v>406</v>
      </c>
      <c r="X407">
        <v>0</v>
      </c>
      <c r="Y407">
        <v>405</v>
      </c>
      <c r="Z407" t="s">
        <v>6966</v>
      </c>
      <c r="AA407" t="s">
        <v>6966</v>
      </c>
      <c r="AB407" t="s">
        <v>6966</v>
      </c>
      <c r="AC407" t="s">
        <v>6966</v>
      </c>
      <c r="AD407" t="s">
        <v>6966</v>
      </c>
      <c r="AE407" t="s">
        <v>6966</v>
      </c>
      <c r="AF407" t="s">
        <v>6966</v>
      </c>
      <c r="AG407" t="s">
        <v>6966</v>
      </c>
      <c r="AH407" t="s">
        <v>6966</v>
      </c>
      <c r="AI407" t="s">
        <v>6966</v>
      </c>
      <c r="AJ407" t="s">
        <v>6966</v>
      </c>
      <c r="AK407" t="s">
        <v>6966</v>
      </c>
      <c r="AL407" t="s">
        <v>6966</v>
      </c>
      <c r="AM407" t="s">
        <v>6966</v>
      </c>
      <c r="AN407" t="s">
        <v>6966</v>
      </c>
      <c r="AO407" t="s">
        <v>6966</v>
      </c>
      <c r="AP407" t="s">
        <v>6966</v>
      </c>
      <c r="AQ407" t="s">
        <v>6966</v>
      </c>
      <c r="AR407" t="s">
        <v>6966</v>
      </c>
      <c r="AS407" t="s">
        <v>6966</v>
      </c>
      <c r="AT407" t="s">
        <v>6966</v>
      </c>
      <c r="AU407" t="s">
        <v>6966</v>
      </c>
      <c r="AV407" t="s">
        <v>6966</v>
      </c>
      <c r="AW407" t="s">
        <v>6966</v>
      </c>
      <c r="AX407" t="s">
        <v>6966</v>
      </c>
      <c r="AY407" t="s">
        <v>6966</v>
      </c>
      <c r="AZ407">
        <v>8.7361999999999995E-2</v>
      </c>
      <c r="BA407">
        <v>3.3599999999999998E-4</v>
      </c>
    </row>
    <row r="408" spans="1:53" x14ac:dyDescent="0.25">
      <c r="A408">
        <v>406</v>
      </c>
      <c r="B408" t="s">
        <v>7625</v>
      </c>
      <c r="C408">
        <v>702020</v>
      </c>
      <c r="D408" t="s">
        <v>901</v>
      </c>
      <c r="E408" t="s">
        <v>2906</v>
      </c>
      <c r="F408">
        <v>1193901.875</v>
      </c>
      <c r="G408">
        <v>5432.7124020000001</v>
      </c>
      <c r="H408">
        <v>356</v>
      </c>
      <c r="I408">
        <v>537</v>
      </c>
      <c r="J408">
        <v>36154</v>
      </c>
      <c r="K408" t="s">
        <v>2276</v>
      </c>
      <c r="L408">
        <v>13</v>
      </c>
      <c r="M408">
        <v>13</v>
      </c>
      <c r="N408">
        <v>36154</v>
      </c>
      <c r="O408">
        <v>344</v>
      </c>
      <c r="P408" t="s">
        <v>3215</v>
      </c>
      <c r="Q408">
        <v>1.2</v>
      </c>
      <c r="R408">
        <v>0</v>
      </c>
      <c r="S408">
        <v>0.4</v>
      </c>
      <c r="T408">
        <v>0</v>
      </c>
      <c r="U408">
        <v>1193901.72223</v>
      </c>
      <c r="V408">
        <v>5432.7123780000002</v>
      </c>
      <c r="W408">
        <v>407</v>
      </c>
      <c r="X408">
        <v>0</v>
      </c>
      <c r="Y408">
        <v>406</v>
      </c>
      <c r="Z408" t="s">
        <v>6966</v>
      </c>
      <c r="AA408" t="s">
        <v>6966</v>
      </c>
      <c r="AB408" t="s">
        <v>6966</v>
      </c>
      <c r="AC408" t="s">
        <v>6966</v>
      </c>
      <c r="AD408" t="s">
        <v>6966</v>
      </c>
      <c r="AE408" t="s">
        <v>6966</v>
      </c>
      <c r="AF408" t="s">
        <v>6966</v>
      </c>
      <c r="AG408" t="s">
        <v>6966</v>
      </c>
      <c r="AH408" t="s">
        <v>6966</v>
      </c>
      <c r="AI408" t="s">
        <v>6966</v>
      </c>
      <c r="AJ408" t="s">
        <v>6966</v>
      </c>
      <c r="AK408" t="s">
        <v>6966</v>
      </c>
      <c r="AL408" t="s">
        <v>6966</v>
      </c>
      <c r="AM408" t="s">
        <v>6966</v>
      </c>
      <c r="AN408" t="s">
        <v>6966</v>
      </c>
      <c r="AO408" t="s">
        <v>6966</v>
      </c>
      <c r="AP408" t="s">
        <v>6966</v>
      </c>
      <c r="AQ408" t="s">
        <v>6966</v>
      </c>
      <c r="AR408" t="s">
        <v>6966</v>
      </c>
      <c r="AS408" t="s">
        <v>6966</v>
      </c>
      <c r="AT408" t="s">
        <v>6966</v>
      </c>
      <c r="AU408" t="s">
        <v>6966</v>
      </c>
      <c r="AV408" t="s">
        <v>6966</v>
      </c>
      <c r="AW408" t="s">
        <v>6966</v>
      </c>
      <c r="AX408" t="s">
        <v>6966</v>
      </c>
      <c r="AY408" t="s">
        <v>6966</v>
      </c>
      <c r="AZ408">
        <v>5.5173E-2</v>
      </c>
      <c r="BA408">
        <v>1.17E-4</v>
      </c>
    </row>
    <row r="409" spans="1:53" x14ac:dyDescent="0.25">
      <c r="A409">
        <v>407</v>
      </c>
      <c r="B409" t="s">
        <v>7625</v>
      </c>
      <c r="C409">
        <v>706006</v>
      </c>
      <c r="D409" t="s">
        <v>631</v>
      </c>
      <c r="E409" t="s">
        <v>597</v>
      </c>
      <c r="F409">
        <v>1531334.375</v>
      </c>
      <c r="G409">
        <v>7842.1445309999999</v>
      </c>
      <c r="H409">
        <v>357</v>
      </c>
      <c r="I409">
        <v>538</v>
      </c>
      <c r="J409">
        <v>33219</v>
      </c>
      <c r="K409" t="s">
        <v>7749</v>
      </c>
      <c r="L409">
        <v>10</v>
      </c>
      <c r="M409">
        <v>10</v>
      </c>
      <c r="N409">
        <v>33219</v>
      </c>
      <c r="O409">
        <v>345</v>
      </c>
      <c r="P409" t="s">
        <v>3215</v>
      </c>
      <c r="Q409">
        <v>0.4</v>
      </c>
      <c r="R409">
        <v>11.27</v>
      </c>
      <c r="S409">
        <v>0.64</v>
      </c>
      <c r="T409">
        <v>19</v>
      </c>
      <c r="U409">
        <v>1531334.35252</v>
      </c>
      <c r="V409">
        <v>7842.1445450000001</v>
      </c>
      <c r="W409">
        <v>408</v>
      </c>
      <c r="X409">
        <v>0</v>
      </c>
      <c r="Y409">
        <v>407</v>
      </c>
      <c r="Z409" t="s">
        <v>6966</v>
      </c>
      <c r="AA409" t="s">
        <v>6966</v>
      </c>
      <c r="AB409" t="s">
        <v>6966</v>
      </c>
      <c r="AC409" t="s">
        <v>6966</v>
      </c>
      <c r="AD409" t="s">
        <v>6966</v>
      </c>
      <c r="AE409" t="s">
        <v>6966</v>
      </c>
      <c r="AF409" t="s">
        <v>6966</v>
      </c>
      <c r="AG409" t="s">
        <v>6966</v>
      </c>
      <c r="AH409" t="s">
        <v>6966</v>
      </c>
      <c r="AI409" t="s">
        <v>6966</v>
      </c>
      <c r="AJ409" t="s">
        <v>6966</v>
      </c>
      <c r="AK409" t="s">
        <v>6966</v>
      </c>
      <c r="AL409" t="s">
        <v>6966</v>
      </c>
      <c r="AM409" t="s">
        <v>6966</v>
      </c>
      <c r="AN409" t="s">
        <v>6966</v>
      </c>
      <c r="AO409" t="s">
        <v>6966</v>
      </c>
      <c r="AP409" t="s">
        <v>6966</v>
      </c>
      <c r="AQ409" t="s">
        <v>6966</v>
      </c>
      <c r="AR409" t="s">
        <v>6966</v>
      </c>
      <c r="AS409" t="s">
        <v>6966</v>
      </c>
      <c r="AT409" t="s">
        <v>6966</v>
      </c>
      <c r="AU409" t="s">
        <v>6966</v>
      </c>
      <c r="AV409" t="s">
        <v>6966</v>
      </c>
      <c r="AW409" t="s">
        <v>6966</v>
      </c>
      <c r="AX409" t="s">
        <v>6966</v>
      </c>
      <c r="AY409" t="s">
        <v>6966</v>
      </c>
      <c r="AZ409">
        <v>8.0850000000000005E-2</v>
      </c>
      <c r="BA409">
        <v>1.4999999999999999E-4</v>
      </c>
    </row>
    <row r="410" spans="1:53" x14ac:dyDescent="0.25">
      <c r="A410">
        <v>408</v>
      </c>
      <c r="B410" t="s">
        <v>7625</v>
      </c>
      <c r="C410">
        <v>701058</v>
      </c>
      <c r="D410" t="s">
        <v>703</v>
      </c>
      <c r="E410" t="s">
        <v>649</v>
      </c>
      <c r="F410">
        <v>2256280.5</v>
      </c>
      <c r="G410">
        <v>7448.0668949999999</v>
      </c>
      <c r="H410">
        <v>358</v>
      </c>
      <c r="I410">
        <v>539</v>
      </c>
      <c r="J410">
        <v>34286</v>
      </c>
      <c r="K410" t="s">
        <v>2119</v>
      </c>
      <c r="L410">
        <v>11</v>
      </c>
      <c r="M410">
        <v>11</v>
      </c>
      <c r="N410">
        <v>34286</v>
      </c>
      <c r="O410">
        <v>346</v>
      </c>
      <c r="P410" t="s">
        <v>3215</v>
      </c>
      <c r="Q410">
        <v>1.7</v>
      </c>
      <c r="R410">
        <v>17.66</v>
      </c>
      <c r="S410">
        <v>0.38</v>
      </c>
      <c r="T410">
        <v>4</v>
      </c>
      <c r="U410">
        <v>2256280.5737100001</v>
      </c>
      <c r="V410">
        <v>7448.066973</v>
      </c>
      <c r="W410">
        <v>409</v>
      </c>
      <c r="X410">
        <v>0</v>
      </c>
      <c r="Y410">
        <v>408</v>
      </c>
      <c r="Z410" t="s">
        <v>6966</v>
      </c>
      <c r="AA410" t="s">
        <v>6966</v>
      </c>
      <c r="AB410" t="s">
        <v>6966</v>
      </c>
      <c r="AC410" t="s">
        <v>6966</v>
      </c>
      <c r="AD410" t="s">
        <v>6966</v>
      </c>
      <c r="AE410" t="s">
        <v>6966</v>
      </c>
      <c r="AF410" t="s">
        <v>6966</v>
      </c>
      <c r="AG410" t="s">
        <v>6966</v>
      </c>
      <c r="AH410" t="s">
        <v>6966</v>
      </c>
      <c r="AI410" t="s">
        <v>6966</v>
      </c>
      <c r="AJ410" t="s">
        <v>6966</v>
      </c>
      <c r="AK410" t="s">
        <v>6966</v>
      </c>
      <c r="AL410" t="s">
        <v>6966</v>
      </c>
      <c r="AM410" t="s">
        <v>6966</v>
      </c>
      <c r="AN410" t="s">
        <v>6966</v>
      </c>
      <c r="AO410" t="s">
        <v>6966</v>
      </c>
      <c r="AP410" t="s">
        <v>6966</v>
      </c>
      <c r="AQ410" t="s">
        <v>6966</v>
      </c>
      <c r="AR410" t="s">
        <v>6966</v>
      </c>
      <c r="AS410" t="s">
        <v>6966</v>
      </c>
      <c r="AT410" t="s">
        <v>6966</v>
      </c>
      <c r="AU410" t="s">
        <v>6966</v>
      </c>
      <c r="AV410" t="s">
        <v>6966</v>
      </c>
      <c r="AW410" t="s">
        <v>6966</v>
      </c>
      <c r="AX410" t="s">
        <v>6966</v>
      </c>
      <c r="AY410" t="s">
        <v>6966</v>
      </c>
      <c r="AZ410">
        <v>7.4040999999999996E-2</v>
      </c>
      <c r="BA410">
        <v>2.2100000000000001E-4</v>
      </c>
    </row>
    <row r="411" spans="1:53" x14ac:dyDescent="0.25">
      <c r="A411">
        <v>409</v>
      </c>
      <c r="B411" t="s">
        <v>7625</v>
      </c>
      <c r="C411">
        <v>202007</v>
      </c>
      <c r="D411" t="s">
        <v>1158</v>
      </c>
      <c r="E411" t="s">
        <v>1152</v>
      </c>
      <c r="F411">
        <v>0</v>
      </c>
      <c r="G411">
        <v>32740.429688</v>
      </c>
      <c r="H411">
        <v>359</v>
      </c>
      <c r="I411">
        <v>540</v>
      </c>
      <c r="J411">
        <v>54151</v>
      </c>
      <c r="K411" t="s">
        <v>1158</v>
      </c>
      <c r="L411">
        <v>18</v>
      </c>
      <c r="M411">
        <v>17</v>
      </c>
      <c r="N411">
        <v>54151</v>
      </c>
      <c r="O411">
        <v>347</v>
      </c>
      <c r="P411" t="s">
        <v>3214</v>
      </c>
      <c r="Q411">
        <v>0.1</v>
      </c>
      <c r="R411">
        <v>1007.75</v>
      </c>
      <c r="S411">
        <v>0.02</v>
      </c>
      <c r="T411">
        <v>192</v>
      </c>
      <c r="U411">
        <v>0</v>
      </c>
      <c r="V411">
        <v>32740.429467000002</v>
      </c>
      <c r="W411">
        <v>410</v>
      </c>
      <c r="X411">
        <v>0</v>
      </c>
      <c r="Y411">
        <v>409</v>
      </c>
      <c r="Z411" t="s">
        <v>6966</v>
      </c>
      <c r="AA411" t="s">
        <v>6966</v>
      </c>
      <c r="AB411" t="s">
        <v>6966</v>
      </c>
      <c r="AC411" t="s">
        <v>6966</v>
      </c>
      <c r="AD411" t="s">
        <v>6966</v>
      </c>
      <c r="AE411" t="s">
        <v>6966</v>
      </c>
      <c r="AF411" t="s">
        <v>6966</v>
      </c>
      <c r="AG411" t="s">
        <v>6966</v>
      </c>
      <c r="AH411" t="s">
        <v>6966</v>
      </c>
      <c r="AI411" t="s">
        <v>6966</v>
      </c>
      <c r="AJ411" t="s">
        <v>6966</v>
      </c>
      <c r="AK411" t="s">
        <v>6966</v>
      </c>
      <c r="AL411" t="s">
        <v>6966</v>
      </c>
      <c r="AM411" t="s">
        <v>6966</v>
      </c>
      <c r="AN411" t="s">
        <v>6966</v>
      </c>
      <c r="AO411" t="s">
        <v>6966</v>
      </c>
      <c r="AP411" t="s">
        <v>6966</v>
      </c>
      <c r="AQ411" t="s">
        <v>6966</v>
      </c>
      <c r="AR411" t="s">
        <v>6966</v>
      </c>
      <c r="AS411" t="s">
        <v>6966</v>
      </c>
      <c r="AT411" t="s">
        <v>6966</v>
      </c>
      <c r="AU411" t="s">
        <v>6966</v>
      </c>
      <c r="AV411" t="s">
        <v>6966</v>
      </c>
      <c r="AW411" t="s">
        <v>6966</v>
      </c>
      <c r="AX411" t="s">
        <v>6966</v>
      </c>
      <c r="AY411" t="s">
        <v>6966</v>
      </c>
      <c r="AZ411">
        <v>0.34324100000000002</v>
      </c>
      <c r="BA411">
        <v>2.637E-3</v>
      </c>
    </row>
    <row r="412" spans="1:53" x14ac:dyDescent="0.25">
      <c r="A412">
        <v>410</v>
      </c>
      <c r="B412" t="s">
        <v>7625</v>
      </c>
      <c r="C412">
        <v>201099</v>
      </c>
      <c r="D412" t="s">
        <v>87</v>
      </c>
      <c r="E412" t="s">
        <v>1069</v>
      </c>
      <c r="F412">
        <v>3277862</v>
      </c>
      <c r="G412">
        <v>7735.3110349999997</v>
      </c>
      <c r="H412">
        <v>360</v>
      </c>
      <c r="I412">
        <v>541</v>
      </c>
      <c r="J412">
        <v>53001</v>
      </c>
      <c r="K412" t="s">
        <v>87</v>
      </c>
      <c r="L412">
        <v>17</v>
      </c>
      <c r="M412">
        <v>17</v>
      </c>
      <c r="N412">
        <v>53001</v>
      </c>
      <c r="O412">
        <v>348</v>
      </c>
      <c r="P412" t="s">
        <v>3214</v>
      </c>
      <c r="Q412">
        <v>0</v>
      </c>
      <c r="R412">
        <v>0</v>
      </c>
      <c r="S412">
        <v>0</v>
      </c>
      <c r="T412">
        <v>0</v>
      </c>
      <c r="U412">
        <v>3277861.8927000002</v>
      </c>
      <c r="V412">
        <v>7735.3109080000004</v>
      </c>
      <c r="W412">
        <v>411</v>
      </c>
      <c r="X412">
        <v>0</v>
      </c>
      <c r="Y412">
        <v>410</v>
      </c>
      <c r="Z412" t="s">
        <v>6966</v>
      </c>
      <c r="AA412" t="s">
        <v>6966</v>
      </c>
      <c r="AB412" t="s">
        <v>6966</v>
      </c>
      <c r="AC412" t="s">
        <v>6966</v>
      </c>
      <c r="AD412" t="s">
        <v>6966</v>
      </c>
      <c r="AE412" t="s">
        <v>6966</v>
      </c>
      <c r="AF412" t="s">
        <v>6966</v>
      </c>
      <c r="AG412" t="s">
        <v>6966</v>
      </c>
      <c r="AH412" t="s">
        <v>6966</v>
      </c>
      <c r="AI412" t="s">
        <v>6966</v>
      </c>
      <c r="AJ412" t="s">
        <v>6966</v>
      </c>
      <c r="AK412" t="s">
        <v>6966</v>
      </c>
      <c r="AL412" t="s">
        <v>6966</v>
      </c>
      <c r="AM412" t="s">
        <v>6966</v>
      </c>
      <c r="AN412" t="s">
        <v>6966</v>
      </c>
      <c r="AO412" t="s">
        <v>6966</v>
      </c>
      <c r="AP412" t="s">
        <v>6966</v>
      </c>
      <c r="AQ412" t="s">
        <v>6966</v>
      </c>
      <c r="AR412" t="s">
        <v>6966</v>
      </c>
      <c r="AS412" t="s">
        <v>6966</v>
      </c>
      <c r="AT412" t="s">
        <v>6966</v>
      </c>
      <c r="AU412" t="s">
        <v>6966</v>
      </c>
      <c r="AV412" t="s">
        <v>6966</v>
      </c>
      <c r="AW412" t="s">
        <v>6966</v>
      </c>
      <c r="AX412" t="s">
        <v>6966</v>
      </c>
      <c r="AY412" t="s">
        <v>6966</v>
      </c>
      <c r="AZ412">
        <v>7.9141000000000003E-2</v>
      </c>
      <c r="BA412">
        <v>3.21E-4</v>
      </c>
    </row>
    <row r="413" spans="1:53" x14ac:dyDescent="0.25">
      <c r="A413">
        <v>411</v>
      </c>
      <c r="B413" t="s">
        <v>7625</v>
      </c>
      <c r="C413">
        <v>201079</v>
      </c>
      <c r="D413" t="s">
        <v>1092</v>
      </c>
      <c r="E413" t="s">
        <v>1069</v>
      </c>
      <c r="F413">
        <v>0</v>
      </c>
      <c r="G413">
        <v>41756.300780999998</v>
      </c>
      <c r="H413">
        <v>361</v>
      </c>
      <c r="I413">
        <v>542</v>
      </c>
      <c r="J413">
        <v>53227</v>
      </c>
      <c r="K413" t="s">
        <v>2433</v>
      </c>
      <c r="L413">
        <v>17</v>
      </c>
      <c r="M413">
        <v>17</v>
      </c>
      <c r="N413">
        <v>53227</v>
      </c>
      <c r="O413">
        <v>349</v>
      </c>
      <c r="P413" t="s">
        <v>3214</v>
      </c>
      <c r="Q413">
        <v>0</v>
      </c>
      <c r="R413">
        <v>0</v>
      </c>
      <c r="S413">
        <v>0</v>
      </c>
      <c r="T413">
        <v>0</v>
      </c>
      <c r="U413">
        <v>0</v>
      </c>
      <c r="V413">
        <v>41756.302411999997</v>
      </c>
      <c r="W413">
        <v>412</v>
      </c>
      <c r="X413">
        <v>0</v>
      </c>
      <c r="Y413">
        <v>411</v>
      </c>
      <c r="Z413" t="s">
        <v>6966</v>
      </c>
      <c r="AA413" t="s">
        <v>6966</v>
      </c>
      <c r="AB413" t="s">
        <v>6966</v>
      </c>
      <c r="AC413" t="s">
        <v>6966</v>
      </c>
      <c r="AD413" t="s">
        <v>6966</v>
      </c>
      <c r="AE413" t="s">
        <v>6966</v>
      </c>
      <c r="AF413" t="s">
        <v>6966</v>
      </c>
      <c r="AG413" t="s">
        <v>6966</v>
      </c>
      <c r="AH413" t="s">
        <v>6966</v>
      </c>
      <c r="AI413" t="s">
        <v>6966</v>
      </c>
      <c r="AJ413" t="s">
        <v>6966</v>
      </c>
      <c r="AK413" t="s">
        <v>6966</v>
      </c>
      <c r="AL413" t="s">
        <v>6966</v>
      </c>
      <c r="AM413" t="s">
        <v>6966</v>
      </c>
      <c r="AN413" t="s">
        <v>6966</v>
      </c>
      <c r="AO413" t="s">
        <v>6966</v>
      </c>
      <c r="AP413" t="s">
        <v>6966</v>
      </c>
      <c r="AQ413" t="s">
        <v>6966</v>
      </c>
      <c r="AR413" t="s">
        <v>6966</v>
      </c>
      <c r="AS413" t="s">
        <v>6966</v>
      </c>
      <c r="AT413" t="s">
        <v>6966</v>
      </c>
      <c r="AU413" t="s">
        <v>6966</v>
      </c>
      <c r="AV413" t="s">
        <v>6966</v>
      </c>
      <c r="AW413" t="s">
        <v>6966</v>
      </c>
      <c r="AX413" t="s">
        <v>6966</v>
      </c>
      <c r="AY413" t="s">
        <v>6966</v>
      </c>
      <c r="AZ413">
        <v>0.42013200000000001</v>
      </c>
      <c r="BA413">
        <v>5.6690000000000004E-3</v>
      </c>
    </row>
    <row r="414" spans="1:53" x14ac:dyDescent="0.25">
      <c r="A414">
        <v>412</v>
      </c>
      <c r="B414" t="s">
        <v>7625</v>
      </c>
      <c r="C414">
        <v>703020</v>
      </c>
      <c r="D414" t="s">
        <v>559</v>
      </c>
      <c r="E414" t="s">
        <v>7704</v>
      </c>
      <c r="F414">
        <v>4710711.5</v>
      </c>
      <c r="G414">
        <v>11929.205078000001</v>
      </c>
      <c r="H414">
        <v>362</v>
      </c>
      <c r="I414">
        <v>543</v>
      </c>
      <c r="J414">
        <v>32121</v>
      </c>
      <c r="K414" t="s">
        <v>559</v>
      </c>
      <c r="L414">
        <v>9</v>
      </c>
      <c r="M414">
        <v>9</v>
      </c>
      <c r="N414">
        <v>32121</v>
      </c>
      <c r="O414">
        <v>350</v>
      </c>
      <c r="P414" t="s">
        <v>3215</v>
      </c>
      <c r="Q414">
        <v>1.8</v>
      </c>
      <c r="R414">
        <v>24.57</v>
      </c>
      <c r="S414">
        <v>0.52</v>
      </c>
      <c r="T414">
        <v>7</v>
      </c>
      <c r="U414">
        <v>4710711.3922100002</v>
      </c>
      <c r="V414">
        <v>11929.204956</v>
      </c>
      <c r="W414">
        <v>413</v>
      </c>
      <c r="X414">
        <v>0</v>
      </c>
      <c r="Y414">
        <v>412</v>
      </c>
      <c r="Z414" t="s">
        <v>6966</v>
      </c>
      <c r="AA414" t="s">
        <v>6966</v>
      </c>
      <c r="AB414" t="s">
        <v>6966</v>
      </c>
      <c r="AC414" t="s">
        <v>6966</v>
      </c>
      <c r="AD414" t="s">
        <v>6966</v>
      </c>
      <c r="AE414" t="s">
        <v>6966</v>
      </c>
      <c r="AF414" t="s">
        <v>6966</v>
      </c>
      <c r="AG414" t="s">
        <v>6966</v>
      </c>
      <c r="AH414" t="s">
        <v>6966</v>
      </c>
      <c r="AI414" t="s">
        <v>6966</v>
      </c>
      <c r="AJ414" t="s">
        <v>6966</v>
      </c>
      <c r="AK414" t="s">
        <v>6966</v>
      </c>
      <c r="AL414" t="s">
        <v>6966</v>
      </c>
      <c r="AM414" t="s">
        <v>6966</v>
      </c>
      <c r="AN414" t="s">
        <v>6966</v>
      </c>
      <c r="AO414" t="s">
        <v>6966</v>
      </c>
      <c r="AP414" t="s">
        <v>6966</v>
      </c>
      <c r="AQ414" t="s">
        <v>6966</v>
      </c>
      <c r="AR414" t="s">
        <v>6966</v>
      </c>
      <c r="AS414" t="s">
        <v>6966</v>
      </c>
      <c r="AT414" t="s">
        <v>6966</v>
      </c>
      <c r="AU414" t="s">
        <v>6966</v>
      </c>
      <c r="AV414" t="s">
        <v>6966</v>
      </c>
      <c r="AW414" t="s">
        <v>6966</v>
      </c>
      <c r="AX414" t="s">
        <v>6966</v>
      </c>
      <c r="AY414" t="s">
        <v>6966</v>
      </c>
      <c r="AZ414">
        <v>0.11880499999999999</v>
      </c>
      <c r="BA414">
        <v>4.6099999999999998E-4</v>
      </c>
    </row>
    <row r="415" spans="1:53" x14ac:dyDescent="0.25">
      <c r="A415">
        <v>413</v>
      </c>
      <c r="B415" t="s">
        <v>7625</v>
      </c>
      <c r="C415">
        <v>703017</v>
      </c>
      <c r="D415" t="s">
        <v>575</v>
      </c>
      <c r="E415" t="s">
        <v>7704</v>
      </c>
      <c r="F415">
        <v>3445508.25</v>
      </c>
      <c r="G415">
        <v>10776.387694999999</v>
      </c>
      <c r="H415">
        <v>363</v>
      </c>
      <c r="I415">
        <v>544</v>
      </c>
      <c r="J415">
        <v>32153</v>
      </c>
      <c r="K415" t="s">
        <v>575</v>
      </c>
      <c r="L415">
        <v>9</v>
      </c>
      <c r="M415">
        <v>9</v>
      </c>
      <c r="N415">
        <v>32153</v>
      </c>
      <c r="O415">
        <v>351</v>
      </c>
      <c r="P415" t="s">
        <v>3215</v>
      </c>
      <c r="Q415">
        <v>1.4</v>
      </c>
      <c r="R415">
        <v>15.46</v>
      </c>
      <c r="S415">
        <v>0.4</v>
      </c>
      <c r="T415">
        <v>4</v>
      </c>
      <c r="U415">
        <v>3445508.1599699999</v>
      </c>
      <c r="V415">
        <v>10776.388542000001</v>
      </c>
      <c r="W415">
        <v>414</v>
      </c>
      <c r="X415">
        <v>0</v>
      </c>
      <c r="Y415">
        <v>413</v>
      </c>
      <c r="Z415" t="s">
        <v>6966</v>
      </c>
      <c r="AA415" t="s">
        <v>6966</v>
      </c>
      <c r="AB415" t="s">
        <v>6966</v>
      </c>
      <c r="AC415" t="s">
        <v>6966</v>
      </c>
      <c r="AD415" t="s">
        <v>6966</v>
      </c>
      <c r="AE415" t="s">
        <v>6966</v>
      </c>
      <c r="AF415" t="s">
        <v>6966</v>
      </c>
      <c r="AG415" t="s">
        <v>6966</v>
      </c>
      <c r="AH415" t="s">
        <v>6966</v>
      </c>
      <c r="AI415" t="s">
        <v>6966</v>
      </c>
      <c r="AJ415" t="s">
        <v>6966</v>
      </c>
      <c r="AK415" t="s">
        <v>6966</v>
      </c>
      <c r="AL415" t="s">
        <v>6966</v>
      </c>
      <c r="AM415" t="s">
        <v>6966</v>
      </c>
      <c r="AN415" t="s">
        <v>6966</v>
      </c>
      <c r="AO415" t="s">
        <v>6966</v>
      </c>
      <c r="AP415" t="s">
        <v>6966</v>
      </c>
      <c r="AQ415" t="s">
        <v>6966</v>
      </c>
      <c r="AR415" t="s">
        <v>6966</v>
      </c>
      <c r="AS415" t="s">
        <v>6966</v>
      </c>
      <c r="AT415" t="s">
        <v>6966</v>
      </c>
      <c r="AU415" t="s">
        <v>6966</v>
      </c>
      <c r="AV415" t="s">
        <v>6966</v>
      </c>
      <c r="AW415" t="s">
        <v>6966</v>
      </c>
      <c r="AX415" t="s">
        <v>6966</v>
      </c>
      <c r="AY415" t="s">
        <v>6966</v>
      </c>
      <c r="AZ415">
        <v>0.10666200000000001</v>
      </c>
      <c r="BA415">
        <v>3.3700000000000001E-4</v>
      </c>
    </row>
    <row r="416" spans="1:53" x14ac:dyDescent="0.25">
      <c r="A416">
        <v>414</v>
      </c>
      <c r="B416" t="s">
        <v>7625</v>
      </c>
      <c r="C416">
        <v>702024</v>
      </c>
      <c r="D416" t="s">
        <v>892</v>
      </c>
      <c r="E416" t="s">
        <v>2906</v>
      </c>
      <c r="F416">
        <v>4534873</v>
      </c>
      <c r="G416">
        <v>12573.4375</v>
      </c>
      <c r="H416">
        <v>364</v>
      </c>
      <c r="I416">
        <v>545</v>
      </c>
      <c r="J416">
        <v>36124</v>
      </c>
      <c r="K416" t="s">
        <v>892</v>
      </c>
      <c r="L416">
        <v>13</v>
      </c>
      <c r="M416">
        <v>13</v>
      </c>
      <c r="N416">
        <v>36124</v>
      </c>
      <c r="O416">
        <v>352</v>
      </c>
      <c r="P416" t="s">
        <v>3215</v>
      </c>
      <c r="Q416">
        <v>1.3</v>
      </c>
      <c r="R416">
        <v>71.37</v>
      </c>
      <c r="S416">
        <v>0.41</v>
      </c>
      <c r="T416">
        <v>22</v>
      </c>
      <c r="U416">
        <v>4534872.8140399996</v>
      </c>
      <c r="V416">
        <v>12573.438166</v>
      </c>
      <c r="W416">
        <v>415</v>
      </c>
      <c r="X416">
        <v>0</v>
      </c>
      <c r="Y416">
        <v>414</v>
      </c>
      <c r="Z416" t="s">
        <v>6966</v>
      </c>
      <c r="AA416" t="s">
        <v>6966</v>
      </c>
      <c r="AB416" t="s">
        <v>6966</v>
      </c>
      <c r="AC416" t="s">
        <v>6966</v>
      </c>
      <c r="AD416" t="s">
        <v>6966</v>
      </c>
      <c r="AE416" t="s">
        <v>6966</v>
      </c>
      <c r="AF416" t="s">
        <v>6966</v>
      </c>
      <c r="AG416" t="s">
        <v>6966</v>
      </c>
      <c r="AH416" t="s">
        <v>6966</v>
      </c>
      <c r="AI416" t="s">
        <v>6966</v>
      </c>
      <c r="AJ416" t="s">
        <v>6966</v>
      </c>
      <c r="AK416" t="s">
        <v>6966</v>
      </c>
      <c r="AL416" t="s">
        <v>6966</v>
      </c>
      <c r="AM416" t="s">
        <v>6966</v>
      </c>
      <c r="AN416" t="s">
        <v>6966</v>
      </c>
      <c r="AO416" t="s">
        <v>6966</v>
      </c>
      <c r="AP416" t="s">
        <v>6966</v>
      </c>
      <c r="AQ416" t="s">
        <v>6966</v>
      </c>
      <c r="AR416" t="s">
        <v>6966</v>
      </c>
      <c r="AS416" t="s">
        <v>6966</v>
      </c>
      <c r="AT416" t="s">
        <v>6966</v>
      </c>
      <c r="AU416" t="s">
        <v>6966</v>
      </c>
      <c r="AV416" t="s">
        <v>6966</v>
      </c>
      <c r="AW416" t="s">
        <v>6966</v>
      </c>
      <c r="AX416" t="s">
        <v>6966</v>
      </c>
      <c r="AY416" t="s">
        <v>6966</v>
      </c>
      <c r="AZ416">
        <v>0.12562499999999999</v>
      </c>
      <c r="BA416">
        <v>4.44E-4</v>
      </c>
    </row>
    <row r="417" spans="1:53" x14ac:dyDescent="0.25">
      <c r="A417">
        <v>415</v>
      </c>
      <c r="B417" t="s">
        <v>7625</v>
      </c>
      <c r="C417">
        <v>703003</v>
      </c>
      <c r="D417" t="s">
        <v>566</v>
      </c>
      <c r="E417" t="s">
        <v>7704</v>
      </c>
      <c r="F417">
        <v>1168888.5</v>
      </c>
      <c r="G417">
        <v>5451.2724609999996</v>
      </c>
      <c r="H417">
        <v>365</v>
      </c>
      <c r="I417">
        <v>547</v>
      </c>
      <c r="J417">
        <v>32135</v>
      </c>
      <c r="K417" t="s">
        <v>7750</v>
      </c>
      <c r="L417">
        <v>9</v>
      </c>
      <c r="M417">
        <v>9</v>
      </c>
      <c r="N417">
        <v>32135</v>
      </c>
      <c r="O417">
        <v>353</v>
      </c>
      <c r="P417" t="s">
        <v>3215</v>
      </c>
      <c r="Q417">
        <v>0.7</v>
      </c>
      <c r="R417">
        <v>19.03</v>
      </c>
      <c r="S417">
        <v>0.18</v>
      </c>
      <c r="T417">
        <v>5</v>
      </c>
      <c r="U417">
        <v>1168888.4316700001</v>
      </c>
      <c r="V417">
        <v>5451.2724909999997</v>
      </c>
      <c r="W417">
        <v>416</v>
      </c>
      <c r="X417">
        <v>0</v>
      </c>
      <c r="Y417">
        <v>415</v>
      </c>
      <c r="Z417" t="s">
        <v>6966</v>
      </c>
      <c r="AA417" t="s">
        <v>6966</v>
      </c>
      <c r="AB417" t="s">
        <v>6966</v>
      </c>
      <c r="AC417" t="s">
        <v>6966</v>
      </c>
      <c r="AD417" t="s">
        <v>6966</v>
      </c>
      <c r="AE417" t="s">
        <v>6966</v>
      </c>
      <c r="AF417" t="s">
        <v>6966</v>
      </c>
      <c r="AG417" t="s">
        <v>6966</v>
      </c>
      <c r="AH417" t="s">
        <v>6966</v>
      </c>
      <c r="AI417" t="s">
        <v>6966</v>
      </c>
      <c r="AJ417" t="s">
        <v>6966</v>
      </c>
      <c r="AK417" t="s">
        <v>6966</v>
      </c>
      <c r="AL417" t="s">
        <v>6966</v>
      </c>
      <c r="AM417" t="s">
        <v>6966</v>
      </c>
      <c r="AN417" t="s">
        <v>6966</v>
      </c>
      <c r="AO417" t="s">
        <v>6966</v>
      </c>
      <c r="AP417" t="s">
        <v>6966</v>
      </c>
      <c r="AQ417" t="s">
        <v>6966</v>
      </c>
      <c r="AR417" t="s">
        <v>6966</v>
      </c>
      <c r="AS417" t="s">
        <v>6966</v>
      </c>
      <c r="AT417" t="s">
        <v>6966</v>
      </c>
      <c r="AU417" t="s">
        <v>6966</v>
      </c>
      <c r="AV417" t="s">
        <v>6966</v>
      </c>
      <c r="AW417" t="s">
        <v>6966</v>
      </c>
      <c r="AX417" t="s">
        <v>6966</v>
      </c>
      <c r="AY417" t="s">
        <v>6966</v>
      </c>
      <c r="AZ417">
        <v>5.6408E-2</v>
      </c>
      <c r="BA417">
        <v>1.1400000000000001E-4</v>
      </c>
    </row>
    <row r="418" spans="1:53" x14ac:dyDescent="0.25">
      <c r="A418">
        <v>416</v>
      </c>
      <c r="B418" t="s">
        <v>7625</v>
      </c>
      <c r="C418">
        <v>703021</v>
      </c>
      <c r="D418" t="s">
        <v>564</v>
      </c>
      <c r="E418" t="s">
        <v>7704</v>
      </c>
      <c r="F418">
        <v>5642082</v>
      </c>
      <c r="G418">
        <v>12856.622069999999</v>
      </c>
      <c r="H418">
        <v>366</v>
      </c>
      <c r="I418">
        <v>548</v>
      </c>
      <c r="J418">
        <v>32131</v>
      </c>
      <c r="K418" t="s">
        <v>2017</v>
      </c>
      <c r="L418">
        <v>9</v>
      </c>
      <c r="M418">
        <v>9</v>
      </c>
      <c r="N418">
        <v>32131</v>
      </c>
      <c r="O418">
        <v>354</v>
      </c>
      <c r="P418" t="s">
        <v>3215</v>
      </c>
      <c r="Q418">
        <v>2.9</v>
      </c>
      <c r="R418">
        <v>33.58</v>
      </c>
      <c r="S418">
        <v>0.74</v>
      </c>
      <c r="T418">
        <v>9</v>
      </c>
      <c r="U418">
        <v>5642081.9784000004</v>
      </c>
      <c r="V418">
        <v>12856.621885</v>
      </c>
      <c r="W418">
        <v>417</v>
      </c>
      <c r="X418">
        <v>0</v>
      </c>
      <c r="Y418">
        <v>416</v>
      </c>
      <c r="Z418" t="s">
        <v>6966</v>
      </c>
      <c r="AA418" t="s">
        <v>6966</v>
      </c>
      <c r="AB418" t="s">
        <v>6966</v>
      </c>
      <c r="AC418" t="s">
        <v>6966</v>
      </c>
      <c r="AD418" t="s">
        <v>6966</v>
      </c>
      <c r="AE418" t="s">
        <v>6966</v>
      </c>
      <c r="AF418" t="s">
        <v>6966</v>
      </c>
      <c r="AG418" t="s">
        <v>6966</v>
      </c>
      <c r="AH418" t="s">
        <v>6966</v>
      </c>
      <c r="AI418" t="s">
        <v>6966</v>
      </c>
      <c r="AJ418" t="s">
        <v>6966</v>
      </c>
      <c r="AK418" t="s">
        <v>6966</v>
      </c>
      <c r="AL418" t="s">
        <v>6966</v>
      </c>
      <c r="AM418" t="s">
        <v>6966</v>
      </c>
      <c r="AN418" t="s">
        <v>6966</v>
      </c>
      <c r="AO418" t="s">
        <v>6966</v>
      </c>
      <c r="AP418" t="s">
        <v>6966</v>
      </c>
      <c r="AQ418" t="s">
        <v>6966</v>
      </c>
      <c r="AR418" t="s">
        <v>6966</v>
      </c>
      <c r="AS418" t="s">
        <v>6966</v>
      </c>
      <c r="AT418" t="s">
        <v>6966</v>
      </c>
      <c r="AU418" t="s">
        <v>6966</v>
      </c>
      <c r="AV418" t="s">
        <v>6966</v>
      </c>
      <c r="AW418" t="s">
        <v>6966</v>
      </c>
      <c r="AX418" t="s">
        <v>6966</v>
      </c>
      <c r="AY418" t="s">
        <v>6966</v>
      </c>
      <c r="AZ418">
        <v>0.12886700000000001</v>
      </c>
      <c r="BA418">
        <v>5.5199999999999997E-4</v>
      </c>
    </row>
    <row r="419" spans="1:53" x14ac:dyDescent="0.25">
      <c r="A419">
        <v>417</v>
      </c>
      <c r="B419" t="s">
        <v>7625</v>
      </c>
      <c r="C419">
        <v>702001</v>
      </c>
      <c r="D419" t="s">
        <v>891</v>
      </c>
      <c r="E419" t="s">
        <v>2906</v>
      </c>
      <c r="F419">
        <v>2672787.25</v>
      </c>
      <c r="G419">
        <v>8186.7875979999999</v>
      </c>
      <c r="H419">
        <v>367</v>
      </c>
      <c r="I419">
        <v>549</v>
      </c>
      <c r="J419">
        <v>36121</v>
      </c>
      <c r="K419" t="s">
        <v>2270</v>
      </c>
      <c r="L419">
        <v>13</v>
      </c>
      <c r="M419">
        <v>13</v>
      </c>
      <c r="N419">
        <v>36121</v>
      </c>
      <c r="O419">
        <v>355</v>
      </c>
      <c r="P419" t="s">
        <v>3215</v>
      </c>
      <c r="Q419">
        <v>3</v>
      </c>
      <c r="R419">
        <v>134.34</v>
      </c>
      <c r="S419">
        <v>0.69</v>
      </c>
      <c r="T419">
        <v>31</v>
      </c>
      <c r="U419">
        <v>2672787.3228500001</v>
      </c>
      <c r="V419">
        <v>8186.787781</v>
      </c>
      <c r="W419">
        <v>418</v>
      </c>
      <c r="X419">
        <v>0</v>
      </c>
      <c r="Y419">
        <v>417</v>
      </c>
      <c r="Z419" t="s">
        <v>6966</v>
      </c>
      <c r="AA419" t="s">
        <v>6966</v>
      </c>
      <c r="AB419" t="s">
        <v>6966</v>
      </c>
      <c r="AC419" t="s">
        <v>6966</v>
      </c>
      <c r="AD419" t="s">
        <v>6966</v>
      </c>
      <c r="AE419" t="s">
        <v>6966</v>
      </c>
      <c r="AF419" t="s">
        <v>6966</v>
      </c>
      <c r="AG419" t="s">
        <v>6966</v>
      </c>
      <c r="AH419" t="s">
        <v>6966</v>
      </c>
      <c r="AI419" t="s">
        <v>6966</v>
      </c>
      <c r="AJ419" t="s">
        <v>6966</v>
      </c>
      <c r="AK419" t="s">
        <v>6966</v>
      </c>
      <c r="AL419" t="s">
        <v>6966</v>
      </c>
      <c r="AM419" t="s">
        <v>6966</v>
      </c>
      <c r="AN419" t="s">
        <v>6966</v>
      </c>
      <c r="AO419" t="s">
        <v>6966</v>
      </c>
      <c r="AP419" t="s">
        <v>6966</v>
      </c>
      <c r="AQ419" t="s">
        <v>6966</v>
      </c>
      <c r="AR419" t="s">
        <v>6966</v>
      </c>
      <c r="AS419" t="s">
        <v>6966</v>
      </c>
      <c r="AT419" t="s">
        <v>6966</v>
      </c>
      <c r="AU419" t="s">
        <v>6966</v>
      </c>
      <c r="AV419" t="s">
        <v>6966</v>
      </c>
      <c r="AW419" t="s">
        <v>6966</v>
      </c>
      <c r="AX419" t="s">
        <v>6966</v>
      </c>
      <c r="AY419" t="s">
        <v>6966</v>
      </c>
      <c r="AZ419">
        <v>8.1624000000000002E-2</v>
      </c>
      <c r="BA419">
        <v>2.6200000000000003E-4</v>
      </c>
    </row>
    <row r="420" spans="1:53" x14ac:dyDescent="0.25">
      <c r="A420">
        <v>418</v>
      </c>
      <c r="B420" t="s">
        <v>7625</v>
      </c>
      <c r="C420">
        <v>201066</v>
      </c>
      <c r="D420" t="s">
        <v>1105</v>
      </c>
      <c r="E420" t="s">
        <v>1069</v>
      </c>
      <c r="F420">
        <v>0</v>
      </c>
      <c r="G420">
        <v>67001.929688000004</v>
      </c>
      <c r="H420">
        <v>368</v>
      </c>
      <c r="I420">
        <v>551</v>
      </c>
      <c r="J420">
        <v>53271</v>
      </c>
      <c r="K420" t="s">
        <v>2444</v>
      </c>
      <c r="L420">
        <v>17</v>
      </c>
      <c r="M420">
        <v>17</v>
      </c>
      <c r="N420">
        <v>53271</v>
      </c>
      <c r="O420">
        <v>356</v>
      </c>
      <c r="P420" t="s">
        <v>3214</v>
      </c>
      <c r="Q420">
        <v>0.2</v>
      </c>
      <c r="R420">
        <v>103.99</v>
      </c>
      <c r="S420">
        <v>7.0000000000000007E-2</v>
      </c>
      <c r="T420">
        <v>35</v>
      </c>
      <c r="U420">
        <v>0</v>
      </c>
      <c r="V420">
        <v>67001.926156999994</v>
      </c>
      <c r="W420">
        <v>419</v>
      </c>
      <c r="X420">
        <v>0</v>
      </c>
      <c r="Y420">
        <v>418</v>
      </c>
      <c r="Z420" t="s">
        <v>6966</v>
      </c>
      <c r="AA420" t="s">
        <v>6966</v>
      </c>
      <c r="AB420" t="s">
        <v>6966</v>
      </c>
      <c r="AC420" t="s">
        <v>6966</v>
      </c>
      <c r="AD420" t="s">
        <v>6966</v>
      </c>
      <c r="AE420" t="s">
        <v>6966</v>
      </c>
      <c r="AF420" t="s">
        <v>6966</v>
      </c>
      <c r="AG420" t="s">
        <v>6966</v>
      </c>
      <c r="AH420" t="s">
        <v>6966</v>
      </c>
      <c r="AI420" t="s">
        <v>6966</v>
      </c>
      <c r="AJ420" t="s">
        <v>6966</v>
      </c>
      <c r="AK420" t="s">
        <v>6966</v>
      </c>
      <c r="AL420" t="s">
        <v>6966</v>
      </c>
      <c r="AM420" t="s">
        <v>6966</v>
      </c>
      <c r="AN420" t="s">
        <v>6966</v>
      </c>
      <c r="AO420" t="s">
        <v>6966</v>
      </c>
      <c r="AP420" t="s">
        <v>6966</v>
      </c>
      <c r="AQ420" t="s">
        <v>6966</v>
      </c>
      <c r="AR420" t="s">
        <v>6966</v>
      </c>
      <c r="AS420" t="s">
        <v>6966</v>
      </c>
      <c r="AT420" t="s">
        <v>6966</v>
      </c>
      <c r="AU420" t="s">
        <v>6966</v>
      </c>
      <c r="AV420" t="s">
        <v>6966</v>
      </c>
      <c r="AW420" t="s">
        <v>6966</v>
      </c>
      <c r="AX420" t="s">
        <v>6966</v>
      </c>
      <c r="AY420" t="s">
        <v>6966</v>
      </c>
      <c r="AZ420">
        <v>0.67307700000000004</v>
      </c>
      <c r="BA420">
        <v>9.0039999999999999E-3</v>
      </c>
    </row>
    <row r="421" spans="1:53" x14ac:dyDescent="0.25">
      <c r="A421">
        <v>419</v>
      </c>
      <c r="B421" t="s">
        <v>7625</v>
      </c>
      <c r="C421">
        <v>201037</v>
      </c>
      <c r="D421" t="s">
        <v>1088</v>
      </c>
      <c r="E421" t="s">
        <v>1069</v>
      </c>
      <c r="F421">
        <v>0</v>
      </c>
      <c r="G421">
        <v>56196.140625</v>
      </c>
      <c r="H421">
        <v>369</v>
      </c>
      <c r="I421">
        <v>552</v>
      </c>
      <c r="J421">
        <v>53214</v>
      </c>
      <c r="K421" t="s">
        <v>2429</v>
      </c>
      <c r="L421">
        <v>17</v>
      </c>
      <c r="M421">
        <v>17</v>
      </c>
      <c r="N421">
        <v>53214</v>
      </c>
      <c r="O421">
        <v>357</v>
      </c>
      <c r="P421" t="s">
        <v>3214</v>
      </c>
      <c r="Q421">
        <v>1.3</v>
      </c>
      <c r="R421">
        <v>58.23</v>
      </c>
      <c r="S421">
        <v>0.25</v>
      </c>
      <c r="T421">
        <v>11</v>
      </c>
      <c r="U421">
        <v>0</v>
      </c>
      <c r="V421">
        <v>56196.141718999999</v>
      </c>
      <c r="W421">
        <v>420</v>
      </c>
      <c r="X421">
        <v>0</v>
      </c>
      <c r="Y421">
        <v>419</v>
      </c>
      <c r="Z421" t="s">
        <v>6966</v>
      </c>
      <c r="AA421" t="s">
        <v>6966</v>
      </c>
      <c r="AB421" t="s">
        <v>6966</v>
      </c>
      <c r="AC421" t="s">
        <v>6966</v>
      </c>
      <c r="AD421" t="s">
        <v>6966</v>
      </c>
      <c r="AE421" t="s">
        <v>6966</v>
      </c>
      <c r="AF421" t="s">
        <v>6966</v>
      </c>
      <c r="AG421" t="s">
        <v>6966</v>
      </c>
      <c r="AH421" t="s">
        <v>6966</v>
      </c>
      <c r="AI421" t="s">
        <v>6966</v>
      </c>
      <c r="AJ421" t="s">
        <v>6966</v>
      </c>
      <c r="AK421" t="s">
        <v>6966</v>
      </c>
      <c r="AL421" t="s">
        <v>6966</v>
      </c>
      <c r="AM421" t="s">
        <v>6966</v>
      </c>
      <c r="AN421" t="s">
        <v>6966</v>
      </c>
      <c r="AO421" t="s">
        <v>6966</v>
      </c>
      <c r="AP421" t="s">
        <v>6966</v>
      </c>
      <c r="AQ421" t="s">
        <v>6966</v>
      </c>
      <c r="AR421" t="s">
        <v>6966</v>
      </c>
      <c r="AS421" t="s">
        <v>6966</v>
      </c>
      <c r="AT421" t="s">
        <v>6966</v>
      </c>
      <c r="AU421" t="s">
        <v>6966</v>
      </c>
      <c r="AV421" t="s">
        <v>6966</v>
      </c>
      <c r="AW421" t="s">
        <v>6966</v>
      </c>
      <c r="AX421" t="s">
        <v>6966</v>
      </c>
      <c r="AY421" t="s">
        <v>6966</v>
      </c>
      <c r="AZ421">
        <v>0.57154700000000003</v>
      </c>
      <c r="BA421">
        <v>5.7790000000000003E-3</v>
      </c>
    </row>
    <row r="422" spans="1:53" x14ac:dyDescent="0.25">
      <c r="A422">
        <v>420</v>
      </c>
      <c r="B422" t="s">
        <v>7625</v>
      </c>
      <c r="C422">
        <v>703012</v>
      </c>
      <c r="D422" t="s">
        <v>565</v>
      </c>
      <c r="E422" t="s">
        <v>7704</v>
      </c>
      <c r="F422">
        <v>1542659.125</v>
      </c>
      <c r="G422">
        <v>5363.5595700000003</v>
      </c>
      <c r="H422">
        <v>370</v>
      </c>
      <c r="I422">
        <v>553</v>
      </c>
      <c r="J422">
        <v>32133</v>
      </c>
      <c r="K422" t="s">
        <v>2018</v>
      </c>
      <c r="L422">
        <v>9</v>
      </c>
      <c r="M422">
        <v>9</v>
      </c>
      <c r="N422">
        <v>32133</v>
      </c>
      <c r="O422">
        <v>358</v>
      </c>
      <c r="P422" t="s">
        <v>3215</v>
      </c>
      <c r="Q422">
        <v>2.4</v>
      </c>
      <c r="R422">
        <v>43.32</v>
      </c>
      <c r="S422">
        <v>0.62</v>
      </c>
      <c r="T422">
        <v>11</v>
      </c>
      <c r="U422">
        <v>1542659.1038200001</v>
      </c>
      <c r="V422">
        <v>5363.5596830000004</v>
      </c>
      <c r="W422">
        <v>421</v>
      </c>
      <c r="X422">
        <v>0</v>
      </c>
      <c r="Y422">
        <v>420</v>
      </c>
      <c r="Z422" t="s">
        <v>6966</v>
      </c>
      <c r="AA422" t="s">
        <v>6966</v>
      </c>
      <c r="AB422" t="s">
        <v>6966</v>
      </c>
      <c r="AC422" t="s">
        <v>6966</v>
      </c>
      <c r="AD422" t="s">
        <v>6966</v>
      </c>
      <c r="AE422" t="s">
        <v>6966</v>
      </c>
      <c r="AF422" t="s">
        <v>6966</v>
      </c>
      <c r="AG422" t="s">
        <v>6966</v>
      </c>
      <c r="AH422" t="s">
        <v>6966</v>
      </c>
      <c r="AI422" t="s">
        <v>6966</v>
      </c>
      <c r="AJ422" t="s">
        <v>6966</v>
      </c>
      <c r="AK422" t="s">
        <v>6966</v>
      </c>
      <c r="AL422" t="s">
        <v>6966</v>
      </c>
      <c r="AM422" t="s">
        <v>6966</v>
      </c>
      <c r="AN422" t="s">
        <v>6966</v>
      </c>
      <c r="AO422" t="s">
        <v>6966</v>
      </c>
      <c r="AP422" t="s">
        <v>6966</v>
      </c>
      <c r="AQ422" t="s">
        <v>6966</v>
      </c>
      <c r="AR422" t="s">
        <v>6966</v>
      </c>
      <c r="AS422" t="s">
        <v>6966</v>
      </c>
      <c r="AT422" t="s">
        <v>6966</v>
      </c>
      <c r="AU422" t="s">
        <v>6966</v>
      </c>
      <c r="AV422" t="s">
        <v>6966</v>
      </c>
      <c r="AW422" t="s">
        <v>6966</v>
      </c>
      <c r="AX422" t="s">
        <v>6966</v>
      </c>
      <c r="AY422" t="s">
        <v>6966</v>
      </c>
      <c r="AZ422">
        <v>5.3485999999999999E-2</v>
      </c>
      <c r="BA422">
        <v>1.5100000000000001E-4</v>
      </c>
    </row>
    <row r="423" spans="1:53" x14ac:dyDescent="0.25">
      <c r="A423">
        <v>421</v>
      </c>
      <c r="B423" t="s">
        <v>7625</v>
      </c>
      <c r="C423">
        <v>706032</v>
      </c>
      <c r="D423" t="s">
        <v>632</v>
      </c>
      <c r="E423" t="s">
        <v>597</v>
      </c>
      <c r="F423">
        <v>2036423.875</v>
      </c>
      <c r="G423">
        <v>10556.501953000001</v>
      </c>
      <c r="H423">
        <v>371</v>
      </c>
      <c r="I423">
        <v>554</v>
      </c>
      <c r="J423">
        <v>33223</v>
      </c>
      <c r="K423" t="s">
        <v>632</v>
      </c>
      <c r="L423">
        <v>10</v>
      </c>
      <c r="M423">
        <v>10</v>
      </c>
      <c r="N423">
        <v>33223</v>
      </c>
      <c r="O423">
        <v>359</v>
      </c>
      <c r="P423" t="s">
        <v>3215</v>
      </c>
      <c r="Q423">
        <v>0</v>
      </c>
      <c r="R423">
        <v>1.17</v>
      </c>
      <c r="S423">
        <v>1.37</v>
      </c>
      <c r="T423">
        <v>32</v>
      </c>
      <c r="U423">
        <v>2036423.9267800001</v>
      </c>
      <c r="V423">
        <v>10556.502107</v>
      </c>
      <c r="W423">
        <v>422</v>
      </c>
      <c r="X423">
        <v>0</v>
      </c>
      <c r="Y423">
        <v>421</v>
      </c>
      <c r="Z423" t="s">
        <v>6966</v>
      </c>
      <c r="AA423" t="s">
        <v>6966</v>
      </c>
      <c r="AB423" t="s">
        <v>6966</v>
      </c>
      <c r="AC423" t="s">
        <v>6966</v>
      </c>
      <c r="AD423" t="s">
        <v>6966</v>
      </c>
      <c r="AE423" t="s">
        <v>6966</v>
      </c>
      <c r="AF423" t="s">
        <v>6966</v>
      </c>
      <c r="AG423" t="s">
        <v>6966</v>
      </c>
      <c r="AH423" t="s">
        <v>6966</v>
      </c>
      <c r="AI423" t="s">
        <v>6966</v>
      </c>
      <c r="AJ423" t="s">
        <v>6966</v>
      </c>
      <c r="AK423" t="s">
        <v>6966</v>
      </c>
      <c r="AL423" t="s">
        <v>6966</v>
      </c>
      <c r="AM423" t="s">
        <v>6966</v>
      </c>
      <c r="AN423" t="s">
        <v>6966</v>
      </c>
      <c r="AO423" t="s">
        <v>6966</v>
      </c>
      <c r="AP423" t="s">
        <v>6966</v>
      </c>
      <c r="AQ423" t="s">
        <v>6966</v>
      </c>
      <c r="AR423" t="s">
        <v>6966</v>
      </c>
      <c r="AS423" t="s">
        <v>6966</v>
      </c>
      <c r="AT423" t="s">
        <v>6966</v>
      </c>
      <c r="AU423" t="s">
        <v>6966</v>
      </c>
      <c r="AV423" t="s">
        <v>6966</v>
      </c>
      <c r="AW423" t="s">
        <v>6966</v>
      </c>
      <c r="AX423" t="s">
        <v>6966</v>
      </c>
      <c r="AY423" t="s">
        <v>6966</v>
      </c>
      <c r="AZ423">
        <v>0.107256</v>
      </c>
      <c r="BA423">
        <v>1.9900000000000001E-4</v>
      </c>
    </row>
    <row r="424" spans="1:53" x14ac:dyDescent="0.25">
      <c r="A424">
        <v>422</v>
      </c>
      <c r="B424" t="s">
        <v>7625</v>
      </c>
      <c r="C424">
        <v>703028</v>
      </c>
      <c r="D424" t="s">
        <v>577</v>
      </c>
      <c r="E424" t="s">
        <v>7704</v>
      </c>
      <c r="F424">
        <v>2731326</v>
      </c>
      <c r="G424">
        <v>9193.1943360000005</v>
      </c>
      <c r="H424">
        <v>372</v>
      </c>
      <c r="I424">
        <v>555</v>
      </c>
      <c r="J424">
        <v>32157</v>
      </c>
      <c r="K424" t="s">
        <v>2026</v>
      </c>
      <c r="L424">
        <v>9</v>
      </c>
      <c r="M424">
        <v>9</v>
      </c>
      <c r="N424">
        <v>32157</v>
      </c>
      <c r="O424">
        <v>360</v>
      </c>
      <c r="P424" t="s">
        <v>3215</v>
      </c>
      <c r="Q424">
        <v>1.6</v>
      </c>
      <c r="R424">
        <v>15.12</v>
      </c>
      <c r="S424">
        <v>0.43</v>
      </c>
      <c r="T424">
        <v>4</v>
      </c>
      <c r="U424">
        <v>2731325.8705899999</v>
      </c>
      <c r="V424">
        <v>9193.1943179999998</v>
      </c>
      <c r="W424">
        <v>423</v>
      </c>
      <c r="X424">
        <v>0</v>
      </c>
      <c r="Y424">
        <v>422</v>
      </c>
      <c r="Z424" t="s">
        <v>6966</v>
      </c>
      <c r="AA424" t="s">
        <v>6966</v>
      </c>
      <c r="AB424" t="s">
        <v>6966</v>
      </c>
      <c r="AC424" t="s">
        <v>6966</v>
      </c>
      <c r="AD424" t="s">
        <v>6966</v>
      </c>
      <c r="AE424" t="s">
        <v>6966</v>
      </c>
      <c r="AF424" t="s">
        <v>6966</v>
      </c>
      <c r="AG424" t="s">
        <v>6966</v>
      </c>
      <c r="AH424" t="s">
        <v>6966</v>
      </c>
      <c r="AI424" t="s">
        <v>6966</v>
      </c>
      <c r="AJ424" t="s">
        <v>6966</v>
      </c>
      <c r="AK424" t="s">
        <v>6966</v>
      </c>
      <c r="AL424" t="s">
        <v>6966</v>
      </c>
      <c r="AM424" t="s">
        <v>6966</v>
      </c>
      <c r="AN424" t="s">
        <v>6966</v>
      </c>
      <c r="AO424" t="s">
        <v>6966</v>
      </c>
      <c r="AP424" t="s">
        <v>6966</v>
      </c>
      <c r="AQ424" t="s">
        <v>6966</v>
      </c>
      <c r="AR424" t="s">
        <v>6966</v>
      </c>
      <c r="AS424" t="s">
        <v>6966</v>
      </c>
      <c r="AT424" t="s">
        <v>6966</v>
      </c>
      <c r="AU424" t="s">
        <v>6966</v>
      </c>
      <c r="AV424" t="s">
        <v>6966</v>
      </c>
      <c r="AW424" t="s">
        <v>6966</v>
      </c>
      <c r="AX424" t="s">
        <v>6966</v>
      </c>
      <c r="AY424" t="s">
        <v>6966</v>
      </c>
      <c r="AZ424">
        <v>9.2350000000000002E-2</v>
      </c>
      <c r="BA424">
        <v>2.6699999999999998E-4</v>
      </c>
    </row>
    <row r="425" spans="1:53" x14ac:dyDescent="0.25">
      <c r="A425">
        <v>423</v>
      </c>
      <c r="B425" t="s">
        <v>7625</v>
      </c>
      <c r="C425">
        <v>703014</v>
      </c>
      <c r="D425" t="s">
        <v>569</v>
      </c>
      <c r="E425" t="s">
        <v>7704</v>
      </c>
      <c r="F425">
        <v>2759808.75</v>
      </c>
      <c r="G425">
        <v>8289.4804690000001</v>
      </c>
      <c r="H425">
        <v>373</v>
      </c>
      <c r="I425">
        <v>557</v>
      </c>
      <c r="J425">
        <v>32141</v>
      </c>
      <c r="K425" t="s">
        <v>2021</v>
      </c>
      <c r="L425">
        <v>9</v>
      </c>
      <c r="M425">
        <v>9</v>
      </c>
      <c r="N425">
        <v>32141</v>
      </c>
      <c r="O425">
        <v>361</v>
      </c>
      <c r="P425" t="s">
        <v>3215</v>
      </c>
      <c r="Q425">
        <v>0.6</v>
      </c>
      <c r="R425">
        <v>22.67</v>
      </c>
      <c r="S425">
        <v>0.21</v>
      </c>
      <c r="T425">
        <v>7</v>
      </c>
      <c r="U425">
        <v>2759808.7832499999</v>
      </c>
      <c r="V425">
        <v>8289.4807070000006</v>
      </c>
      <c r="W425">
        <v>424</v>
      </c>
      <c r="X425">
        <v>0</v>
      </c>
      <c r="Y425">
        <v>423</v>
      </c>
      <c r="Z425" t="s">
        <v>6966</v>
      </c>
      <c r="AA425" t="s">
        <v>6966</v>
      </c>
      <c r="AB425" t="s">
        <v>6966</v>
      </c>
      <c r="AC425" t="s">
        <v>6966</v>
      </c>
      <c r="AD425" t="s">
        <v>6966</v>
      </c>
      <c r="AE425" t="s">
        <v>6966</v>
      </c>
      <c r="AF425" t="s">
        <v>6966</v>
      </c>
      <c r="AG425" t="s">
        <v>6966</v>
      </c>
      <c r="AH425" t="s">
        <v>6966</v>
      </c>
      <c r="AI425" t="s">
        <v>6966</v>
      </c>
      <c r="AJ425" t="s">
        <v>6966</v>
      </c>
      <c r="AK425" t="s">
        <v>6966</v>
      </c>
      <c r="AL425" t="s">
        <v>6966</v>
      </c>
      <c r="AM425" t="s">
        <v>6966</v>
      </c>
      <c r="AN425" t="s">
        <v>6966</v>
      </c>
      <c r="AO425" t="s">
        <v>6966</v>
      </c>
      <c r="AP425" t="s">
        <v>6966</v>
      </c>
      <c r="AQ425" t="s">
        <v>6966</v>
      </c>
      <c r="AR425" t="s">
        <v>6966</v>
      </c>
      <c r="AS425" t="s">
        <v>6966</v>
      </c>
      <c r="AT425" t="s">
        <v>6966</v>
      </c>
      <c r="AU425" t="s">
        <v>6966</v>
      </c>
      <c r="AV425" t="s">
        <v>6966</v>
      </c>
      <c r="AW425" t="s">
        <v>6966</v>
      </c>
      <c r="AX425" t="s">
        <v>6966</v>
      </c>
      <c r="AY425" t="s">
        <v>6966</v>
      </c>
      <c r="AZ425">
        <v>8.3760000000000001E-2</v>
      </c>
      <c r="BA425">
        <v>2.7E-4</v>
      </c>
    </row>
    <row r="426" spans="1:53" x14ac:dyDescent="0.25">
      <c r="A426">
        <v>424</v>
      </c>
      <c r="B426" t="s">
        <v>7625</v>
      </c>
      <c r="C426">
        <v>702006</v>
      </c>
      <c r="D426" t="s">
        <v>896</v>
      </c>
      <c r="E426" t="s">
        <v>2906</v>
      </c>
      <c r="F426">
        <v>6670737.5</v>
      </c>
      <c r="G426">
        <v>14002.993164</v>
      </c>
      <c r="H426">
        <v>374</v>
      </c>
      <c r="I426">
        <v>558</v>
      </c>
      <c r="J426">
        <v>36137</v>
      </c>
      <c r="K426" t="s">
        <v>896</v>
      </c>
      <c r="L426">
        <v>13</v>
      </c>
      <c r="M426">
        <v>13</v>
      </c>
      <c r="N426">
        <v>36137</v>
      </c>
      <c r="O426">
        <v>362</v>
      </c>
      <c r="P426" t="s">
        <v>3215</v>
      </c>
      <c r="Q426">
        <v>1</v>
      </c>
      <c r="R426">
        <v>81.290000000000006</v>
      </c>
      <c r="S426">
        <v>0.25</v>
      </c>
      <c r="T426">
        <v>20</v>
      </c>
      <c r="U426">
        <v>6670737.4577700002</v>
      </c>
      <c r="V426">
        <v>14002.991864</v>
      </c>
      <c r="W426">
        <v>425</v>
      </c>
      <c r="X426">
        <v>0</v>
      </c>
      <c r="Y426">
        <v>424</v>
      </c>
      <c r="Z426" t="s">
        <v>6966</v>
      </c>
      <c r="AA426" t="s">
        <v>6966</v>
      </c>
      <c r="AB426" t="s">
        <v>6966</v>
      </c>
      <c r="AC426" t="s">
        <v>6966</v>
      </c>
      <c r="AD426" t="s">
        <v>6966</v>
      </c>
      <c r="AE426" t="s">
        <v>6966</v>
      </c>
      <c r="AF426" t="s">
        <v>6966</v>
      </c>
      <c r="AG426" t="s">
        <v>6966</v>
      </c>
      <c r="AH426" t="s">
        <v>6966</v>
      </c>
      <c r="AI426" t="s">
        <v>6966</v>
      </c>
      <c r="AJ426" t="s">
        <v>6966</v>
      </c>
      <c r="AK426" t="s">
        <v>6966</v>
      </c>
      <c r="AL426" t="s">
        <v>6966</v>
      </c>
      <c r="AM426" t="s">
        <v>6966</v>
      </c>
      <c r="AN426" t="s">
        <v>6966</v>
      </c>
      <c r="AO426" t="s">
        <v>6966</v>
      </c>
      <c r="AP426" t="s">
        <v>6966</v>
      </c>
      <c r="AQ426" t="s">
        <v>6966</v>
      </c>
      <c r="AR426" t="s">
        <v>6966</v>
      </c>
      <c r="AS426" t="s">
        <v>6966</v>
      </c>
      <c r="AT426" t="s">
        <v>6966</v>
      </c>
      <c r="AU426" t="s">
        <v>6966</v>
      </c>
      <c r="AV426" t="s">
        <v>6966</v>
      </c>
      <c r="AW426" t="s">
        <v>6966</v>
      </c>
      <c r="AX426" t="s">
        <v>6966</v>
      </c>
      <c r="AY426" t="s">
        <v>6966</v>
      </c>
      <c r="AZ426">
        <v>0.14121800000000001</v>
      </c>
      <c r="BA426">
        <v>6.5300000000000004E-4</v>
      </c>
    </row>
    <row r="427" spans="1:53" x14ac:dyDescent="0.25">
      <c r="A427">
        <v>425</v>
      </c>
      <c r="B427" t="s">
        <v>7625</v>
      </c>
      <c r="C427">
        <v>202005</v>
      </c>
      <c r="D427" t="s">
        <v>1160</v>
      </c>
      <c r="E427" t="s">
        <v>1152</v>
      </c>
      <c r="F427">
        <v>6050992.5</v>
      </c>
      <c r="G427">
        <v>13202.601563</v>
      </c>
      <c r="H427">
        <v>375</v>
      </c>
      <c r="I427">
        <v>559</v>
      </c>
      <c r="J427">
        <v>54167</v>
      </c>
      <c r="K427" t="s">
        <v>7751</v>
      </c>
      <c r="L427">
        <v>18</v>
      </c>
      <c r="M427">
        <v>17</v>
      </c>
      <c r="N427">
        <v>54167</v>
      </c>
      <c r="O427">
        <v>363</v>
      </c>
      <c r="P427" t="s">
        <v>3214</v>
      </c>
      <c r="Q427">
        <v>0.1</v>
      </c>
      <c r="R427">
        <v>23.84</v>
      </c>
      <c r="S427">
        <v>0.02</v>
      </c>
      <c r="T427">
        <v>3</v>
      </c>
      <c r="U427">
        <v>6050992.4177299999</v>
      </c>
      <c r="V427">
        <v>13202.601191</v>
      </c>
      <c r="W427">
        <v>426</v>
      </c>
      <c r="X427">
        <v>0</v>
      </c>
      <c r="Y427">
        <v>425</v>
      </c>
      <c r="Z427" t="s">
        <v>6966</v>
      </c>
      <c r="AA427" t="s">
        <v>6966</v>
      </c>
      <c r="AB427" t="s">
        <v>6966</v>
      </c>
      <c r="AC427" t="s">
        <v>6966</v>
      </c>
      <c r="AD427" t="s">
        <v>6966</v>
      </c>
      <c r="AE427" t="s">
        <v>6966</v>
      </c>
      <c r="AF427" t="s">
        <v>6966</v>
      </c>
      <c r="AG427" t="s">
        <v>6966</v>
      </c>
      <c r="AH427" t="s">
        <v>6966</v>
      </c>
      <c r="AI427" t="s">
        <v>6966</v>
      </c>
      <c r="AJ427" t="s">
        <v>6966</v>
      </c>
      <c r="AK427" t="s">
        <v>6966</v>
      </c>
      <c r="AL427" t="s">
        <v>6966</v>
      </c>
      <c r="AM427" t="s">
        <v>6966</v>
      </c>
      <c r="AN427" t="s">
        <v>6966</v>
      </c>
      <c r="AO427" t="s">
        <v>6966</v>
      </c>
      <c r="AP427" t="s">
        <v>6966</v>
      </c>
      <c r="AQ427" t="s">
        <v>6966</v>
      </c>
      <c r="AR427" t="s">
        <v>6966</v>
      </c>
      <c r="AS427" t="s">
        <v>6966</v>
      </c>
      <c r="AT427" t="s">
        <v>6966</v>
      </c>
      <c r="AU427" t="s">
        <v>6966</v>
      </c>
      <c r="AV427" t="s">
        <v>6966</v>
      </c>
      <c r="AW427" t="s">
        <v>6966</v>
      </c>
      <c r="AX427" t="s">
        <v>6966</v>
      </c>
      <c r="AY427" t="s">
        <v>6966</v>
      </c>
      <c r="AZ427">
        <v>0.134022</v>
      </c>
      <c r="BA427">
        <v>5.9199999999999997E-4</v>
      </c>
    </row>
    <row r="428" spans="1:53" x14ac:dyDescent="0.25">
      <c r="A428">
        <v>426</v>
      </c>
      <c r="B428" t="s">
        <v>7625</v>
      </c>
      <c r="C428">
        <v>702023</v>
      </c>
      <c r="D428" t="s">
        <v>889</v>
      </c>
      <c r="E428" t="s">
        <v>2906</v>
      </c>
      <c r="F428">
        <v>3038902</v>
      </c>
      <c r="G428">
        <v>9023.3525389999995</v>
      </c>
      <c r="H428">
        <v>376</v>
      </c>
      <c r="I428">
        <v>560</v>
      </c>
      <c r="J428">
        <v>36114</v>
      </c>
      <c r="K428" t="s">
        <v>2269</v>
      </c>
      <c r="L428">
        <v>13</v>
      </c>
      <c r="M428">
        <v>13</v>
      </c>
      <c r="N428">
        <v>36114</v>
      </c>
      <c r="O428">
        <v>364</v>
      </c>
      <c r="P428" t="s">
        <v>3215</v>
      </c>
      <c r="Q428">
        <v>0.4</v>
      </c>
      <c r="R428">
        <v>21.14</v>
      </c>
      <c r="S428">
        <v>0.25</v>
      </c>
      <c r="T428">
        <v>12</v>
      </c>
      <c r="U428">
        <v>3038901.9692000002</v>
      </c>
      <c r="V428">
        <v>9023.3521519999995</v>
      </c>
      <c r="W428">
        <v>427</v>
      </c>
      <c r="X428">
        <v>0</v>
      </c>
      <c r="Y428">
        <v>426</v>
      </c>
      <c r="Z428" t="s">
        <v>6966</v>
      </c>
      <c r="AA428" t="s">
        <v>6966</v>
      </c>
      <c r="AB428" t="s">
        <v>6966</v>
      </c>
      <c r="AC428" t="s">
        <v>6966</v>
      </c>
      <c r="AD428" t="s">
        <v>6966</v>
      </c>
      <c r="AE428" t="s">
        <v>6966</v>
      </c>
      <c r="AF428" t="s">
        <v>6966</v>
      </c>
      <c r="AG428" t="s">
        <v>6966</v>
      </c>
      <c r="AH428" t="s">
        <v>6966</v>
      </c>
      <c r="AI428" t="s">
        <v>6966</v>
      </c>
      <c r="AJ428" t="s">
        <v>6966</v>
      </c>
      <c r="AK428" t="s">
        <v>6966</v>
      </c>
      <c r="AL428" t="s">
        <v>6966</v>
      </c>
      <c r="AM428" t="s">
        <v>6966</v>
      </c>
      <c r="AN428" t="s">
        <v>6966</v>
      </c>
      <c r="AO428" t="s">
        <v>6966</v>
      </c>
      <c r="AP428" t="s">
        <v>6966</v>
      </c>
      <c r="AQ428" t="s">
        <v>6966</v>
      </c>
      <c r="AR428" t="s">
        <v>6966</v>
      </c>
      <c r="AS428" t="s">
        <v>6966</v>
      </c>
      <c r="AT428" t="s">
        <v>6966</v>
      </c>
      <c r="AU428" t="s">
        <v>6966</v>
      </c>
      <c r="AV428" t="s">
        <v>6966</v>
      </c>
      <c r="AW428" t="s">
        <v>6966</v>
      </c>
      <c r="AX428" t="s">
        <v>6966</v>
      </c>
      <c r="AY428" t="s">
        <v>6966</v>
      </c>
      <c r="AZ428">
        <v>8.7523000000000004E-2</v>
      </c>
      <c r="BA428">
        <v>2.9700000000000001E-4</v>
      </c>
    </row>
    <row r="429" spans="1:53" x14ac:dyDescent="0.25">
      <c r="A429">
        <v>427</v>
      </c>
      <c r="B429" t="s">
        <v>7625</v>
      </c>
      <c r="C429">
        <v>702002</v>
      </c>
      <c r="D429" t="s">
        <v>899</v>
      </c>
      <c r="E429" t="s">
        <v>2906</v>
      </c>
      <c r="F429">
        <v>3472707.25</v>
      </c>
      <c r="G429">
        <v>13081.534180000001</v>
      </c>
      <c r="H429">
        <v>377</v>
      </c>
      <c r="I429">
        <v>561</v>
      </c>
      <c r="J429">
        <v>36147</v>
      </c>
      <c r="K429" t="s">
        <v>899</v>
      </c>
      <c r="L429">
        <v>13</v>
      </c>
      <c r="M429">
        <v>13</v>
      </c>
      <c r="N429">
        <v>36147</v>
      </c>
      <c r="O429">
        <v>365</v>
      </c>
      <c r="P429" t="s">
        <v>3215</v>
      </c>
      <c r="Q429">
        <v>1.9</v>
      </c>
      <c r="R429">
        <v>113.29</v>
      </c>
      <c r="S429">
        <v>0.55000000000000004</v>
      </c>
      <c r="T429">
        <v>34</v>
      </c>
      <c r="U429">
        <v>3472707.0794799998</v>
      </c>
      <c r="V429">
        <v>13081.533856</v>
      </c>
      <c r="W429">
        <v>428</v>
      </c>
      <c r="X429">
        <v>0</v>
      </c>
      <c r="Y429">
        <v>427</v>
      </c>
      <c r="Z429" t="s">
        <v>6966</v>
      </c>
      <c r="AA429" t="s">
        <v>6966</v>
      </c>
      <c r="AB429" t="s">
        <v>6966</v>
      </c>
      <c r="AC429" t="s">
        <v>6966</v>
      </c>
      <c r="AD429" t="s">
        <v>6966</v>
      </c>
      <c r="AE429" t="s">
        <v>6966</v>
      </c>
      <c r="AF429" t="s">
        <v>6966</v>
      </c>
      <c r="AG429" t="s">
        <v>6966</v>
      </c>
      <c r="AH429" t="s">
        <v>6966</v>
      </c>
      <c r="AI429" t="s">
        <v>6966</v>
      </c>
      <c r="AJ429" t="s">
        <v>6966</v>
      </c>
      <c r="AK429" t="s">
        <v>6966</v>
      </c>
      <c r="AL429" t="s">
        <v>6966</v>
      </c>
      <c r="AM429" t="s">
        <v>6966</v>
      </c>
      <c r="AN429" t="s">
        <v>6966</v>
      </c>
      <c r="AO429" t="s">
        <v>6966</v>
      </c>
      <c r="AP429" t="s">
        <v>6966</v>
      </c>
      <c r="AQ429" t="s">
        <v>6966</v>
      </c>
      <c r="AR429" t="s">
        <v>6966</v>
      </c>
      <c r="AS429" t="s">
        <v>6966</v>
      </c>
      <c r="AT429" t="s">
        <v>6966</v>
      </c>
      <c r="AU429" t="s">
        <v>6966</v>
      </c>
      <c r="AV429" t="s">
        <v>6966</v>
      </c>
      <c r="AW429" t="s">
        <v>6966</v>
      </c>
      <c r="AX429" t="s">
        <v>6966</v>
      </c>
      <c r="AY429" t="s">
        <v>6966</v>
      </c>
      <c r="AZ429">
        <v>0.13381699999999999</v>
      </c>
      <c r="BA429">
        <v>3.4000000000000002E-4</v>
      </c>
    </row>
    <row r="430" spans="1:53" x14ac:dyDescent="0.25">
      <c r="A430">
        <v>428</v>
      </c>
      <c r="B430" t="s">
        <v>7625</v>
      </c>
      <c r="C430">
        <v>701063</v>
      </c>
      <c r="D430" t="s">
        <v>697</v>
      </c>
      <c r="E430" t="s">
        <v>649</v>
      </c>
      <c r="F430">
        <v>3643967.5</v>
      </c>
      <c r="G430">
        <v>9448.1171880000002</v>
      </c>
      <c r="H430">
        <v>378</v>
      </c>
      <c r="I430">
        <v>562</v>
      </c>
      <c r="J430">
        <v>34276</v>
      </c>
      <c r="K430" t="s">
        <v>697</v>
      </c>
      <c r="L430">
        <v>11</v>
      </c>
      <c r="M430">
        <v>11</v>
      </c>
      <c r="N430">
        <v>34276</v>
      </c>
      <c r="O430">
        <v>366</v>
      </c>
      <c r="P430" t="s">
        <v>3215</v>
      </c>
      <c r="Q430">
        <v>0.9</v>
      </c>
      <c r="R430">
        <v>52.71</v>
      </c>
      <c r="S430">
        <v>0.25</v>
      </c>
      <c r="T430">
        <v>14</v>
      </c>
      <c r="U430">
        <v>3643967.63424</v>
      </c>
      <c r="V430">
        <v>9448.1172619999998</v>
      </c>
      <c r="W430">
        <v>429</v>
      </c>
      <c r="X430">
        <v>0</v>
      </c>
      <c r="Y430">
        <v>428</v>
      </c>
      <c r="Z430" t="s">
        <v>6966</v>
      </c>
      <c r="AA430" t="s">
        <v>6966</v>
      </c>
      <c r="AB430" t="s">
        <v>6966</v>
      </c>
      <c r="AC430" t="s">
        <v>6966</v>
      </c>
      <c r="AD430" t="s">
        <v>6966</v>
      </c>
      <c r="AE430" t="s">
        <v>6966</v>
      </c>
      <c r="AF430" t="s">
        <v>6966</v>
      </c>
      <c r="AG430" t="s">
        <v>6966</v>
      </c>
      <c r="AH430" t="s">
        <v>6966</v>
      </c>
      <c r="AI430" t="s">
        <v>6966</v>
      </c>
      <c r="AJ430" t="s">
        <v>6966</v>
      </c>
      <c r="AK430" t="s">
        <v>6966</v>
      </c>
      <c r="AL430" t="s">
        <v>6966</v>
      </c>
      <c r="AM430" t="s">
        <v>6966</v>
      </c>
      <c r="AN430" t="s">
        <v>6966</v>
      </c>
      <c r="AO430" t="s">
        <v>6966</v>
      </c>
      <c r="AP430" t="s">
        <v>6966</v>
      </c>
      <c r="AQ430" t="s">
        <v>6966</v>
      </c>
      <c r="AR430" t="s">
        <v>6966</v>
      </c>
      <c r="AS430" t="s">
        <v>6966</v>
      </c>
      <c r="AT430" t="s">
        <v>6966</v>
      </c>
      <c r="AU430" t="s">
        <v>6966</v>
      </c>
      <c r="AV430" t="s">
        <v>6966</v>
      </c>
      <c r="AW430" t="s">
        <v>6966</v>
      </c>
      <c r="AX430" t="s">
        <v>6966</v>
      </c>
      <c r="AY430" t="s">
        <v>6966</v>
      </c>
      <c r="AZ430">
        <v>9.3781000000000003E-2</v>
      </c>
      <c r="BA430">
        <v>3.57E-4</v>
      </c>
    </row>
    <row r="431" spans="1:53" x14ac:dyDescent="0.25">
      <c r="A431">
        <v>429</v>
      </c>
      <c r="B431" t="s">
        <v>7625</v>
      </c>
      <c r="C431">
        <v>201097</v>
      </c>
      <c r="D431" t="s">
        <v>87</v>
      </c>
      <c r="E431" t="s">
        <v>1069</v>
      </c>
      <c r="F431">
        <v>0</v>
      </c>
      <c r="G431">
        <v>26089</v>
      </c>
      <c r="H431">
        <v>379</v>
      </c>
      <c r="I431">
        <v>563</v>
      </c>
      <c r="J431">
        <v>53002</v>
      </c>
      <c r="K431" t="s">
        <v>87</v>
      </c>
      <c r="L431">
        <v>17</v>
      </c>
      <c r="M431">
        <v>17</v>
      </c>
      <c r="N431">
        <v>53002</v>
      </c>
      <c r="O431">
        <v>367</v>
      </c>
      <c r="P431" t="s">
        <v>3214</v>
      </c>
      <c r="Q431">
        <v>0</v>
      </c>
      <c r="R431">
        <v>0</v>
      </c>
      <c r="S431">
        <v>0</v>
      </c>
      <c r="T431">
        <v>0</v>
      </c>
      <c r="U431">
        <v>0</v>
      </c>
      <c r="V431">
        <v>26088.998824999999</v>
      </c>
      <c r="W431">
        <v>430</v>
      </c>
      <c r="X431">
        <v>0</v>
      </c>
      <c r="Y431">
        <v>429</v>
      </c>
      <c r="Z431" t="s">
        <v>6966</v>
      </c>
      <c r="AA431" t="s">
        <v>6966</v>
      </c>
      <c r="AB431" t="s">
        <v>6966</v>
      </c>
      <c r="AC431" t="s">
        <v>6966</v>
      </c>
      <c r="AD431" t="s">
        <v>6966</v>
      </c>
      <c r="AE431" t="s">
        <v>6966</v>
      </c>
      <c r="AF431" t="s">
        <v>6966</v>
      </c>
      <c r="AG431" t="s">
        <v>6966</v>
      </c>
      <c r="AH431" t="s">
        <v>6966</v>
      </c>
      <c r="AI431" t="s">
        <v>6966</v>
      </c>
      <c r="AJ431" t="s">
        <v>6966</v>
      </c>
      <c r="AK431" t="s">
        <v>6966</v>
      </c>
      <c r="AL431" t="s">
        <v>6966</v>
      </c>
      <c r="AM431" t="s">
        <v>6966</v>
      </c>
      <c r="AN431" t="s">
        <v>6966</v>
      </c>
      <c r="AO431" t="s">
        <v>6966</v>
      </c>
      <c r="AP431" t="s">
        <v>6966</v>
      </c>
      <c r="AQ431" t="s">
        <v>6966</v>
      </c>
      <c r="AR431" t="s">
        <v>6966</v>
      </c>
      <c r="AS431" t="s">
        <v>6966</v>
      </c>
      <c r="AT431" t="s">
        <v>6966</v>
      </c>
      <c r="AU431" t="s">
        <v>6966</v>
      </c>
      <c r="AV431" t="s">
        <v>6966</v>
      </c>
      <c r="AW431" t="s">
        <v>6966</v>
      </c>
      <c r="AX431" t="s">
        <v>6966</v>
      </c>
      <c r="AY431" t="s">
        <v>6966</v>
      </c>
      <c r="AZ431">
        <v>0.259857</v>
      </c>
      <c r="BA431">
        <v>1.81E-3</v>
      </c>
    </row>
    <row r="432" spans="1:53" x14ac:dyDescent="0.25">
      <c r="A432">
        <v>430</v>
      </c>
      <c r="B432" t="s">
        <v>7625</v>
      </c>
      <c r="C432">
        <v>701060</v>
      </c>
      <c r="D432" t="s">
        <v>701</v>
      </c>
      <c r="E432" t="s">
        <v>649</v>
      </c>
      <c r="F432">
        <v>822892.6875</v>
      </c>
      <c r="G432">
        <v>4780.5483400000003</v>
      </c>
      <c r="H432">
        <v>380</v>
      </c>
      <c r="I432">
        <v>564</v>
      </c>
      <c r="J432">
        <v>34283</v>
      </c>
      <c r="K432" t="s">
        <v>2117</v>
      </c>
      <c r="L432">
        <v>11</v>
      </c>
      <c r="M432">
        <v>11</v>
      </c>
      <c r="N432">
        <v>34283</v>
      </c>
      <c r="O432">
        <v>368</v>
      </c>
      <c r="P432" t="s">
        <v>3215</v>
      </c>
      <c r="Q432">
        <v>0</v>
      </c>
      <c r="R432">
        <v>0</v>
      </c>
      <c r="S432">
        <v>0</v>
      </c>
      <c r="T432">
        <v>0</v>
      </c>
      <c r="U432">
        <v>822892.64783599996</v>
      </c>
      <c r="V432">
        <v>4780.5482110000003</v>
      </c>
      <c r="W432">
        <v>431</v>
      </c>
      <c r="X432">
        <v>0</v>
      </c>
      <c r="Y432">
        <v>430</v>
      </c>
      <c r="Z432" t="s">
        <v>6966</v>
      </c>
      <c r="AA432" t="s">
        <v>6966</v>
      </c>
      <c r="AB432" t="s">
        <v>6966</v>
      </c>
      <c r="AC432" t="s">
        <v>6966</v>
      </c>
      <c r="AD432" t="s">
        <v>6966</v>
      </c>
      <c r="AE432" t="s">
        <v>6966</v>
      </c>
      <c r="AF432" t="s">
        <v>6966</v>
      </c>
      <c r="AG432" t="s">
        <v>6966</v>
      </c>
      <c r="AH432" t="s">
        <v>6966</v>
      </c>
      <c r="AI432" t="s">
        <v>6966</v>
      </c>
      <c r="AJ432" t="s">
        <v>6966</v>
      </c>
      <c r="AK432" t="s">
        <v>6966</v>
      </c>
      <c r="AL432" t="s">
        <v>6966</v>
      </c>
      <c r="AM432" t="s">
        <v>6966</v>
      </c>
      <c r="AN432" t="s">
        <v>6966</v>
      </c>
      <c r="AO432" t="s">
        <v>6966</v>
      </c>
      <c r="AP432" t="s">
        <v>6966</v>
      </c>
      <c r="AQ432" t="s">
        <v>6966</v>
      </c>
      <c r="AR432" t="s">
        <v>6966</v>
      </c>
      <c r="AS432" t="s">
        <v>6966</v>
      </c>
      <c r="AT432" t="s">
        <v>6966</v>
      </c>
      <c r="AU432" t="s">
        <v>6966</v>
      </c>
      <c r="AV432" t="s">
        <v>6966</v>
      </c>
      <c r="AW432" t="s">
        <v>6966</v>
      </c>
      <c r="AX432" t="s">
        <v>6966</v>
      </c>
      <c r="AY432" t="s">
        <v>6966</v>
      </c>
      <c r="AZ432">
        <v>4.9117000000000001E-2</v>
      </c>
      <c r="BA432">
        <v>8.1000000000000004E-5</v>
      </c>
    </row>
    <row r="433" spans="1:53" x14ac:dyDescent="0.25">
      <c r="A433">
        <v>431</v>
      </c>
      <c r="B433" t="s">
        <v>7625</v>
      </c>
      <c r="C433">
        <v>702021</v>
      </c>
      <c r="D433" t="s">
        <v>897</v>
      </c>
      <c r="E433" t="s">
        <v>2906</v>
      </c>
      <c r="F433">
        <v>3958083.25</v>
      </c>
      <c r="G433">
        <v>13721.932617</v>
      </c>
      <c r="H433">
        <v>381</v>
      </c>
      <c r="I433">
        <v>565</v>
      </c>
      <c r="J433">
        <v>36141</v>
      </c>
      <c r="K433" t="s">
        <v>2274</v>
      </c>
      <c r="L433">
        <v>13</v>
      </c>
      <c r="M433">
        <v>13</v>
      </c>
      <c r="N433">
        <v>36141</v>
      </c>
      <c r="O433">
        <v>369</v>
      </c>
      <c r="P433" t="s">
        <v>3215</v>
      </c>
      <c r="Q433">
        <v>0.3</v>
      </c>
      <c r="R433">
        <v>56.76</v>
      </c>
      <c r="S433">
        <v>0.08</v>
      </c>
      <c r="T433">
        <v>16</v>
      </c>
      <c r="U433">
        <v>3958083.2154700002</v>
      </c>
      <c r="V433">
        <v>13721.932116</v>
      </c>
      <c r="W433">
        <v>432</v>
      </c>
      <c r="X433">
        <v>0</v>
      </c>
      <c r="Y433">
        <v>431</v>
      </c>
      <c r="Z433" t="s">
        <v>6966</v>
      </c>
      <c r="AA433" t="s">
        <v>6966</v>
      </c>
      <c r="AB433" t="s">
        <v>6966</v>
      </c>
      <c r="AC433" t="s">
        <v>6966</v>
      </c>
      <c r="AD433" t="s">
        <v>6966</v>
      </c>
      <c r="AE433" t="s">
        <v>6966</v>
      </c>
      <c r="AF433" t="s">
        <v>6966</v>
      </c>
      <c r="AG433" t="s">
        <v>6966</v>
      </c>
      <c r="AH433" t="s">
        <v>6966</v>
      </c>
      <c r="AI433" t="s">
        <v>6966</v>
      </c>
      <c r="AJ433" t="s">
        <v>6966</v>
      </c>
      <c r="AK433" t="s">
        <v>6966</v>
      </c>
      <c r="AL433" t="s">
        <v>6966</v>
      </c>
      <c r="AM433" t="s">
        <v>6966</v>
      </c>
      <c r="AN433" t="s">
        <v>6966</v>
      </c>
      <c r="AO433" t="s">
        <v>6966</v>
      </c>
      <c r="AP433" t="s">
        <v>6966</v>
      </c>
      <c r="AQ433" t="s">
        <v>6966</v>
      </c>
      <c r="AR433" t="s">
        <v>6966</v>
      </c>
      <c r="AS433" t="s">
        <v>6966</v>
      </c>
      <c r="AT433" t="s">
        <v>6966</v>
      </c>
      <c r="AU433" t="s">
        <v>6966</v>
      </c>
      <c r="AV433" t="s">
        <v>6966</v>
      </c>
      <c r="AW433" t="s">
        <v>6966</v>
      </c>
      <c r="AX433" t="s">
        <v>6966</v>
      </c>
      <c r="AY433" t="s">
        <v>6966</v>
      </c>
      <c r="AZ433">
        <v>0.135544</v>
      </c>
      <c r="BA433">
        <v>3.8699999999999997E-4</v>
      </c>
    </row>
    <row r="434" spans="1:53" x14ac:dyDescent="0.25">
      <c r="A434">
        <v>432</v>
      </c>
      <c r="B434" t="s">
        <v>7625</v>
      </c>
      <c r="C434">
        <v>701002</v>
      </c>
      <c r="D434" t="s">
        <v>693</v>
      </c>
      <c r="E434" t="s">
        <v>649</v>
      </c>
      <c r="F434">
        <v>5053247.5</v>
      </c>
      <c r="G434">
        <v>15946.693359000001</v>
      </c>
      <c r="H434">
        <v>382</v>
      </c>
      <c r="I434">
        <v>566</v>
      </c>
      <c r="J434">
        <v>34269</v>
      </c>
      <c r="K434" t="s">
        <v>2112</v>
      </c>
      <c r="L434">
        <v>11</v>
      </c>
      <c r="M434">
        <v>11</v>
      </c>
      <c r="N434">
        <v>34269</v>
      </c>
      <c r="O434">
        <v>370</v>
      </c>
      <c r="P434" t="s">
        <v>3215</v>
      </c>
      <c r="Q434">
        <v>2.6</v>
      </c>
      <c r="R434">
        <v>23.9</v>
      </c>
      <c r="S434">
        <v>0.56000000000000005</v>
      </c>
      <c r="T434">
        <v>5</v>
      </c>
      <c r="U434">
        <v>5053247.2663500002</v>
      </c>
      <c r="V434">
        <v>15946.693429000001</v>
      </c>
      <c r="W434">
        <v>433</v>
      </c>
      <c r="X434">
        <v>0</v>
      </c>
      <c r="Y434">
        <v>432</v>
      </c>
      <c r="Z434" t="s">
        <v>6966</v>
      </c>
      <c r="AA434" t="s">
        <v>6966</v>
      </c>
      <c r="AB434" t="s">
        <v>6966</v>
      </c>
      <c r="AC434" t="s">
        <v>6966</v>
      </c>
      <c r="AD434" t="s">
        <v>6966</v>
      </c>
      <c r="AE434" t="s">
        <v>6966</v>
      </c>
      <c r="AF434" t="s">
        <v>6966</v>
      </c>
      <c r="AG434" t="s">
        <v>6966</v>
      </c>
      <c r="AH434" t="s">
        <v>6966</v>
      </c>
      <c r="AI434" t="s">
        <v>6966</v>
      </c>
      <c r="AJ434" t="s">
        <v>6966</v>
      </c>
      <c r="AK434" t="s">
        <v>6966</v>
      </c>
      <c r="AL434" t="s">
        <v>6966</v>
      </c>
      <c r="AM434" t="s">
        <v>6966</v>
      </c>
      <c r="AN434" t="s">
        <v>6966</v>
      </c>
      <c r="AO434" t="s">
        <v>6966</v>
      </c>
      <c r="AP434" t="s">
        <v>6966</v>
      </c>
      <c r="AQ434" t="s">
        <v>6966</v>
      </c>
      <c r="AR434" t="s">
        <v>6966</v>
      </c>
      <c r="AS434" t="s">
        <v>6966</v>
      </c>
      <c r="AT434" t="s">
        <v>6966</v>
      </c>
      <c r="AU434" t="s">
        <v>6966</v>
      </c>
      <c r="AV434" t="s">
        <v>6966</v>
      </c>
      <c r="AW434" t="s">
        <v>6966</v>
      </c>
      <c r="AX434" t="s">
        <v>6966</v>
      </c>
      <c r="AY434" t="s">
        <v>6966</v>
      </c>
      <c r="AZ434">
        <v>0.15932199999999999</v>
      </c>
      <c r="BA434">
        <v>4.9399999999999997E-4</v>
      </c>
    </row>
    <row r="435" spans="1:53" x14ac:dyDescent="0.25">
      <c r="A435">
        <v>433</v>
      </c>
      <c r="B435" t="s">
        <v>7625</v>
      </c>
      <c r="C435">
        <v>701008</v>
      </c>
      <c r="D435" t="s">
        <v>649</v>
      </c>
      <c r="E435" t="s">
        <v>649</v>
      </c>
      <c r="F435">
        <v>4672683</v>
      </c>
      <c r="G435">
        <v>17815.835938</v>
      </c>
      <c r="H435">
        <v>383</v>
      </c>
      <c r="I435">
        <v>567</v>
      </c>
      <c r="J435">
        <v>34111</v>
      </c>
      <c r="K435" t="s">
        <v>2084</v>
      </c>
      <c r="L435">
        <v>11</v>
      </c>
      <c r="M435">
        <v>11</v>
      </c>
      <c r="N435">
        <v>34111</v>
      </c>
      <c r="O435">
        <v>371</v>
      </c>
      <c r="P435" t="s">
        <v>3215</v>
      </c>
      <c r="Q435">
        <v>3</v>
      </c>
      <c r="R435">
        <v>8.84</v>
      </c>
      <c r="S435">
        <v>0.91</v>
      </c>
      <c r="T435">
        <v>3</v>
      </c>
      <c r="U435">
        <v>4672683.1334300004</v>
      </c>
      <c r="V435">
        <v>17815.834358</v>
      </c>
      <c r="W435">
        <v>434</v>
      </c>
      <c r="X435">
        <v>0</v>
      </c>
      <c r="Y435">
        <v>433</v>
      </c>
      <c r="Z435" t="s">
        <v>6966</v>
      </c>
      <c r="AA435" t="s">
        <v>6966</v>
      </c>
      <c r="AB435" t="s">
        <v>6966</v>
      </c>
      <c r="AC435" t="s">
        <v>6966</v>
      </c>
      <c r="AD435" t="s">
        <v>6966</v>
      </c>
      <c r="AE435" t="s">
        <v>6966</v>
      </c>
      <c r="AF435" t="s">
        <v>6966</v>
      </c>
      <c r="AG435" t="s">
        <v>6966</v>
      </c>
      <c r="AH435" t="s">
        <v>6966</v>
      </c>
      <c r="AI435" t="s">
        <v>6966</v>
      </c>
      <c r="AJ435" t="s">
        <v>6966</v>
      </c>
      <c r="AK435" t="s">
        <v>6966</v>
      </c>
      <c r="AL435" t="s">
        <v>6966</v>
      </c>
      <c r="AM435" t="s">
        <v>6966</v>
      </c>
      <c r="AN435" t="s">
        <v>6966</v>
      </c>
      <c r="AO435" t="s">
        <v>6966</v>
      </c>
      <c r="AP435" t="s">
        <v>6966</v>
      </c>
      <c r="AQ435" t="s">
        <v>6966</v>
      </c>
      <c r="AR435" t="s">
        <v>6966</v>
      </c>
      <c r="AS435" t="s">
        <v>6966</v>
      </c>
      <c r="AT435" t="s">
        <v>6966</v>
      </c>
      <c r="AU435" t="s">
        <v>6966</v>
      </c>
      <c r="AV435" t="s">
        <v>6966</v>
      </c>
      <c r="AW435" t="s">
        <v>6966</v>
      </c>
      <c r="AX435" t="s">
        <v>6966</v>
      </c>
      <c r="AY435" t="s">
        <v>6966</v>
      </c>
      <c r="AZ435">
        <v>0.179621</v>
      </c>
      <c r="BA435">
        <v>4.57E-4</v>
      </c>
    </row>
    <row r="436" spans="1:53" x14ac:dyDescent="0.25">
      <c r="A436">
        <v>434</v>
      </c>
      <c r="B436" t="s">
        <v>7625</v>
      </c>
      <c r="C436">
        <v>701048</v>
      </c>
      <c r="D436" t="s">
        <v>653</v>
      </c>
      <c r="E436" t="s">
        <v>649</v>
      </c>
      <c r="F436">
        <v>1147885.375</v>
      </c>
      <c r="G436">
        <v>6486.0649409999996</v>
      </c>
      <c r="H436">
        <v>384</v>
      </c>
      <c r="I436">
        <v>568</v>
      </c>
      <c r="J436">
        <v>34155</v>
      </c>
      <c r="K436" t="s">
        <v>653</v>
      </c>
      <c r="L436">
        <v>11</v>
      </c>
      <c r="M436">
        <v>11</v>
      </c>
      <c r="N436">
        <v>34155</v>
      </c>
      <c r="O436">
        <v>372</v>
      </c>
      <c r="P436" t="s">
        <v>3215</v>
      </c>
      <c r="Q436">
        <v>7.4</v>
      </c>
      <c r="R436">
        <v>40.270000000000003</v>
      </c>
      <c r="S436">
        <v>1.87</v>
      </c>
      <c r="T436">
        <v>10</v>
      </c>
      <c r="U436">
        <v>1147885.3807399999</v>
      </c>
      <c r="V436">
        <v>6486.0653279999997</v>
      </c>
      <c r="W436">
        <v>435</v>
      </c>
      <c r="X436">
        <v>0</v>
      </c>
      <c r="Y436">
        <v>434</v>
      </c>
      <c r="Z436" t="s">
        <v>6966</v>
      </c>
      <c r="AA436" t="s">
        <v>6966</v>
      </c>
      <c r="AB436" t="s">
        <v>6966</v>
      </c>
      <c r="AC436" t="s">
        <v>6966</v>
      </c>
      <c r="AD436" t="s">
        <v>6966</v>
      </c>
      <c r="AE436" t="s">
        <v>6966</v>
      </c>
      <c r="AF436" t="s">
        <v>6966</v>
      </c>
      <c r="AG436" t="s">
        <v>6966</v>
      </c>
      <c r="AH436" t="s">
        <v>6966</v>
      </c>
      <c r="AI436" t="s">
        <v>6966</v>
      </c>
      <c r="AJ436" t="s">
        <v>6966</v>
      </c>
      <c r="AK436" t="s">
        <v>6966</v>
      </c>
      <c r="AL436" t="s">
        <v>6966</v>
      </c>
      <c r="AM436" t="s">
        <v>6966</v>
      </c>
      <c r="AN436" t="s">
        <v>6966</v>
      </c>
      <c r="AO436" t="s">
        <v>6966</v>
      </c>
      <c r="AP436" t="s">
        <v>6966</v>
      </c>
      <c r="AQ436" t="s">
        <v>6966</v>
      </c>
      <c r="AR436" t="s">
        <v>6966</v>
      </c>
      <c r="AS436" t="s">
        <v>6966</v>
      </c>
      <c r="AT436" t="s">
        <v>6966</v>
      </c>
      <c r="AU436" t="s">
        <v>6966</v>
      </c>
      <c r="AV436" t="s">
        <v>6966</v>
      </c>
      <c r="AW436" t="s">
        <v>6966</v>
      </c>
      <c r="AX436" t="s">
        <v>6966</v>
      </c>
      <c r="AY436" t="s">
        <v>6966</v>
      </c>
      <c r="AZ436">
        <v>6.7531999999999995E-2</v>
      </c>
      <c r="BA436">
        <v>1.12E-4</v>
      </c>
    </row>
    <row r="437" spans="1:53" x14ac:dyDescent="0.25">
      <c r="A437">
        <v>435</v>
      </c>
      <c r="B437" t="s">
        <v>7625</v>
      </c>
      <c r="C437">
        <v>702005</v>
      </c>
      <c r="D437" t="s">
        <v>909</v>
      </c>
      <c r="E437" t="s">
        <v>2906</v>
      </c>
      <c r="F437">
        <v>2406027.25</v>
      </c>
      <c r="G437">
        <v>8579.1523440000001</v>
      </c>
      <c r="H437">
        <v>385</v>
      </c>
      <c r="I437">
        <v>569</v>
      </c>
      <c r="J437">
        <v>36187</v>
      </c>
      <c r="K437" t="s">
        <v>909</v>
      </c>
      <c r="L437">
        <v>13</v>
      </c>
      <c r="M437">
        <v>13</v>
      </c>
      <c r="N437">
        <v>36187</v>
      </c>
      <c r="O437">
        <v>373</v>
      </c>
      <c r="P437" t="s">
        <v>3215</v>
      </c>
      <c r="Q437">
        <v>26</v>
      </c>
      <c r="R437">
        <v>3816.11</v>
      </c>
      <c r="S437">
        <v>7.4</v>
      </c>
      <c r="T437">
        <v>1085</v>
      </c>
      <c r="U437">
        <v>2406027.3148500002</v>
      </c>
      <c r="V437">
        <v>8579.1523699999998</v>
      </c>
      <c r="W437">
        <v>436</v>
      </c>
      <c r="X437">
        <v>0</v>
      </c>
      <c r="Y437">
        <v>435</v>
      </c>
      <c r="Z437" t="s">
        <v>6966</v>
      </c>
      <c r="AA437" t="s">
        <v>6966</v>
      </c>
      <c r="AB437" t="s">
        <v>6966</v>
      </c>
      <c r="AC437" t="s">
        <v>6966</v>
      </c>
      <c r="AD437" t="s">
        <v>6966</v>
      </c>
      <c r="AE437" t="s">
        <v>6966</v>
      </c>
      <c r="AF437" t="s">
        <v>6966</v>
      </c>
      <c r="AG437" t="s">
        <v>6966</v>
      </c>
      <c r="AH437" t="s">
        <v>6966</v>
      </c>
      <c r="AI437" t="s">
        <v>6966</v>
      </c>
      <c r="AJ437" t="s">
        <v>6966</v>
      </c>
      <c r="AK437" t="s">
        <v>6966</v>
      </c>
      <c r="AL437" t="s">
        <v>6966</v>
      </c>
      <c r="AM437" t="s">
        <v>6966</v>
      </c>
      <c r="AN437" t="s">
        <v>6966</v>
      </c>
      <c r="AO437" t="s">
        <v>6966</v>
      </c>
      <c r="AP437" t="s">
        <v>6966</v>
      </c>
      <c r="AQ437" t="s">
        <v>6966</v>
      </c>
      <c r="AR437" t="s">
        <v>6966</v>
      </c>
      <c r="AS437" t="s">
        <v>6966</v>
      </c>
      <c r="AT437" t="s">
        <v>6966</v>
      </c>
      <c r="AU437" t="s">
        <v>6966</v>
      </c>
      <c r="AV437" t="s">
        <v>6966</v>
      </c>
      <c r="AW437" t="s">
        <v>6966</v>
      </c>
      <c r="AX437" t="s">
        <v>6966</v>
      </c>
      <c r="AY437" t="s">
        <v>6966</v>
      </c>
      <c r="AZ437">
        <v>8.4166000000000005E-2</v>
      </c>
      <c r="BA437">
        <v>2.3499999999999999E-4</v>
      </c>
    </row>
    <row r="438" spans="1:53" x14ac:dyDescent="0.25">
      <c r="A438">
        <v>436</v>
      </c>
      <c r="B438" t="s">
        <v>7625</v>
      </c>
      <c r="C438">
        <v>701044</v>
      </c>
      <c r="D438" t="s">
        <v>700</v>
      </c>
      <c r="E438" t="s">
        <v>649</v>
      </c>
      <c r="F438">
        <v>2207802</v>
      </c>
      <c r="G438">
        <v>6842.9067379999997</v>
      </c>
      <c r="H438">
        <v>386</v>
      </c>
      <c r="I438">
        <v>570</v>
      </c>
      <c r="J438">
        <v>34281</v>
      </c>
      <c r="K438" t="s">
        <v>2116</v>
      </c>
      <c r="L438">
        <v>11</v>
      </c>
      <c r="M438">
        <v>11</v>
      </c>
      <c r="N438">
        <v>34281</v>
      </c>
      <c r="O438">
        <v>374</v>
      </c>
      <c r="P438" t="s">
        <v>3215</v>
      </c>
      <c r="Q438">
        <v>0.2</v>
      </c>
      <c r="R438">
        <v>35.35</v>
      </c>
      <c r="S438">
        <v>0.04</v>
      </c>
      <c r="T438">
        <v>7</v>
      </c>
      <c r="U438">
        <v>2207801.9008800001</v>
      </c>
      <c r="V438">
        <v>6842.9060730000001</v>
      </c>
      <c r="W438">
        <v>437</v>
      </c>
      <c r="X438">
        <v>0</v>
      </c>
      <c r="Y438">
        <v>436</v>
      </c>
      <c r="Z438" t="s">
        <v>6966</v>
      </c>
      <c r="AA438" t="s">
        <v>6966</v>
      </c>
      <c r="AB438" t="s">
        <v>6966</v>
      </c>
      <c r="AC438" t="s">
        <v>6966</v>
      </c>
      <c r="AD438" t="s">
        <v>6966</v>
      </c>
      <c r="AE438" t="s">
        <v>6966</v>
      </c>
      <c r="AF438" t="s">
        <v>6966</v>
      </c>
      <c r="AG438" t="s">
        <v>6966</v>
      </c>
      <c r="AH438" t="s">
        <v>6966</v>
      </c>
      <c r="AI438" t="s">
        <v>6966</v>
      </c>
      <c r="AJ438" t="s">
        <v>6966</v>
      </c>
      <c r="AK438" t="s">
        <v>6966</v>
      </c>
      <c r="AL438" t="s">
        <v>6966</v>
      </c>
      <c r="AM438" t="s">
        <v>6966</v>
      </c>
      <c r="AN438" t="s">
        <v>6966</v>
      </c>
      <c r="AO438" t="s">
        <v>6966</v>
      </c>
      <c r="AP438" t="s">
        <v>6966</v>
      </c>
      <c r="AQ438" t="s">
        <v>6966</v>
      </c>
      <c r="AR438" t="s">
        <v>6966</v>
      </c>
      <c r="AS438" t="s">
        <v>6966</v>
      </c>
      <c r="AT438" t="s">
        <v>6966</v>
      </c>
      <c r="AU438" t="s">
        <v>6966</v>
      </c>
      <c r="AV438" t="s">
        <v>6966</v>
      </c>
      <c r="AW438" t="s">
        <v>6966</v>
      </c>
      <c r="AX438" t="s">
        <v>6966</v>
      </c>
      <c r="AY438" t="s">
        <v>6966</v>
      </c>
      <c r="AZ438">
        <v>6.8140999999999993E-2</v>
      </c>
      <c r="BA438">
        <v>2.1599999999999999E-4</v>
      </c>
    </row>
    <row r="439" spans="1:53" x14ac:dyDescent="0.25">
      <c r="A439">
        <v>437</v>
      </c>
      <c r="B439" t="s">
        <v>7625</v>
      </c>
      <c r="C439">
        <v>702019</v>
      </c>
      <c r="D439" t="s">
        <v>904</v>
      </c>
      <c r="E439" t="s">
        <v>2906</v>
      </c>
      <c r="F439">
        <v>4330363.5</v>
      </c>
      <c r="G439">
        <v>10028.451171999999</v>
      </c>
      <c r="H439">
        <v>387</v>
      </c>
      <c r="I439">
        <v>571</v>
      </c>
      <c r="J439">
        <v>36164</v>
      </c>
      <c r="K439" t="s">
        <v>2279</v>
      </c>
      <c r="L439">
        <v>13</v>
      </c>
      <c r="M439">
        <v>13</v>
      </c>
      <c r="N439">
        <v>36164</v>
      </c>
      <c r="O439">
        <v>375</v>
      </c>
      <c r="P439" t="s">
        <v>3215</v>
      </c>
      <c r="Q439">
        <v>0.5</v>
      </c>
      <c r="R439">
        <v>11.93</v>
      </c>
      <c r="S439">
        <v>0.16</v>
      </c>
      <c r="T439">
        <v>4</v>
      </c>
      <c r="U439">
        <v>4330363.53522</v>
      </c>
      <c r="V439">
        <v>10028.450467000001</v>
      </c>
      <c r="W439">
        <v>438</v>
      </c>
      <c r="X439">
        <v>0</v>
      </c>
      <c r="Y439">
        <v>437</v>
      </c>
      <c r="Z439" t="s">
        <v>6966</v>
      </c>
      <c r="AA439" t="s">
        <v>6966</v>
      </c>
      <c r="AB439" t="s">
        <v>6966</v>
      </c>
      <c r="AC439" t="s">
        <v>6966</v>
      </c>
      <c r="AD439" t="s">
        <v>6966</v>
      </c>
      <c r="AE439" t="s">
        <v>6966</v>
      </c>
      <c r="AF439" t="s">
        <v>6966</v>
      </c>
      <c r="AG439" t="s">
        <v>6966</v>
      </c>
      <c r="AH439" t="s">
        <v>6966</v>
      </c>
      <c r="AI439" t="s">
        <v>6966</v>
      </c>
      <c r="AJ439" t="s">
        <v>6966</v>
      </c>
      <c r="AK439" t="s">
        <v>6966</v>
      </c>
      <c r="AL439" t="s">
        <v>6966</v>
      </c>
      <c r="AM439" t="s">
        <v>6966</v>
      </c>
      <c r="AN439" t="s">
        <v>6966</v>
      </c>
      <c r="AO439" t="s">
        <v>6966</v>
      </c>
      <c r="AP439" t="s">
        <v>6966</v>
      </c>
      <c r="AQ439" t="s">
        <v>6966</v>
      </c>
      <c r="AR439" t="s">
        <v>6966</v>
      </c>
      <c r="AS439" t="s">
        <v>6966</v>
      </c>
      <c r="AT439" t="s">
        <v>6966</v>
      </c>
      <c r="AU439" t="s">
        <v>6966</v>
      </c>
      <c r="AV439" t="s">
        <v>6966</v>
      </c>
      <c r="AW439" t="s">
        <v>6966</v>
      </c>
      <c r="AX439" t="s">
        <v>6966</v>
      </c>
      <c r="AY439" t="s">
        <v>6966</v>
      </c>
      <c r="AZ439">
        <v>9.9931000000000006E-2</v>
      </c>
      <c r="BA439">
        <v>4.2400000000000001E-4</v>
      </c>
    </row>
    <row r="440" spans="1:53" x14ac:dyDescent="0.25">
      <c r="A440">
        <v>438</v>
      </c>
      <c r="B440" t="s">
        <v>7625</v>
      </c>
      <c r="C440">
        <v>703030</v>
      </c>
      <c r="D440" t="s">
        <v>574</v>
      </c>
      <c r="E440" t="s">
        <v>7704</v>
      </c>
      <c r="F440">
        <v>2557697.75</v>
      </c>
      <c r="G440">
        <v>10821.500977</v>
      </c>
      <c r="H440">
        <v>388</v>
      </c>
      <c r="I440">
        <v>572</v>
      </c>
      <c r="J440">
        <v>32151</v>
      </c>
      <c r="K440" t="s">
        <v>2024</v>
      </c>
      <c r="L440">
        <v>9</v>
      </c>
      <c r="M440">
        <v>9</v>
      </c>
      <c r="N440">
        <v>32151</v>
      </c>
      <c r="O440">
        <v>376</v>
      </c>
      <c r="P440" t="s">
        <v>3215</v>
      </c>
      <c r="Q440">
        <v>1.7</v>
      </c>
      <c r="R440">
        <v>26.68</v>
      </c>
      <c r="S440">
        <v>0.39</v>
      </c>
      <c r="T440">
        <v>6</v>
      </c>
      <c r="U440">
        <v>2557697.5940899998</v>
      </c>
      <c r="V440">
        <v>10821.501313000001</v>
      </c>
      <c r="W440">
        <v>439</v>
      </c>
      <c r="X440">
        <v>0</v>
      </c>
      <c r="Y440">
        <v>438</v>
      </c>
      <c r="Z440" t="s">
        <v>6966</v>
      </c>
      <c r="AA440" t="s">
        <v>6966</v>
      </c>
      <c r="AB440" t="s">
        <v>6966</v>
      </c>
      <c r="AC440" t="s">
        <v>6966</v>
      </c>
      <c r="AD440" t="s">
        <v>6966</v>
      </c>
      <c r="AE440" t="s">
        <v>6966</v>
      </c>
      <c r="AF440" t="s">
        <v>6966</v>
      </c>
      <c r="AG440" t="s">
        <v>6966</v>
      </c>
      <c r="AH440" t="s">
        <v>6966</v>
      </c>
      <c r="AI440" t="s">
        <v>6966</v>
      </c>
      <c r="AJ440" t="s">
        <v>6966</v>
      </c>
      <c r="AK440" t="s">
        <v>6966</v>
      </c>
      <c r="AL440" t="s">
        <v>6966</v>
      </c>
      <c r="AM440" t="s">
        <v>6966</v>
      </c>
      <c r="AN440" t="s">
        <v>6966</v>
      </c>
      <c r="AO440" t="s">
        <v>6966</v>
      </c>
      <c r="AP440" t="s">
        <v>6966</v>
      </c>
      <c r="AQ440" t="s">
        <v>6966</v>
      </c>
      <c r="AR440" t="s">
        <v>6966</v>
      </c>
      <c r="AS440" t="s">
        <v>6966</v>
      </c>
      <c r="AT440" t="s">
        <v>6966</v>
      </c>
      <c r="AU440" t="s">
        <v>6966</v>
      </c>
      <c r="AV440" t="s">
        <v>6966</v>
      </c>
      <c r="AW440" t="s">
        <v>6966</v>
      </c>
      <c r="AX440" t="s">
        <v>6966</v>
      </c>
      <c r="AY440" t="s">
        <v>6966</v>
      </c>
      <c r="AZ440">
        <v>0.109099</v>
      </c>
      <c r="BA440">
        <v>2.5000000000000001E-4</v>
      </c>
    </row>
    <row r="441" spans="1:53" x14ac:dyDescent="0.25">
      <c r="A441">
        <v>439</v>
      </c>
      <c r="B441" t="s">
        <v>7625</v>
      </c>
      <c r="C441">
        <v>201039</v>
      </c>
      <c r="D441" t="s">
        <v>1098</v>
      </c>
      <c r="E441" t="s">
        <v>1069</v>
      </c>
      <c r="F441">
        <v>0</v>
      </c>
      <c r="G441">
        <v>31531.472656000002</v>
      </c>
      <c r="H441">
        <v>389</v>
      </c>
      <c r="I441">
        <v>573</v>
      </c>
      <c r="J441">
        <v>53247</v>
      </c>
      <c r="K441" t="s">
        <v>1098</v>
      </c>
      <c r="L441">
        <v>17</v>
      </c>
      <c r="M441">
        <v>17</v>
      </c>
      <c r="N441">
        <v>53247</v>
      </c>
      <c r="O441">
        <v>377</v>
      </c>
      <c r="P441" t="s">
        <v>3214</v>
      </c>
      <c r="Q441">
        <v>0.4</v>
      </c>
      <c r="R441">
        <v>49.69</v>
      </c>
      <c r="S441">
        <v>0.06</v>
      </c>
      <c r="T441">
        <v>8</v>
      </c>
      <c r="U441">
        <v>0</v>
      </c>
      <c r="V441">
        <v>31531.471522</v>
      </c>
      <c r="W441">
        <v>440</v>
      </c>
      <c r="X441">
        <v>0</v>
      </c>
      <c r="Y441">
        <v>439</v>
      </c>
      <c r="Z441" t="s">
        <v>6966</v>
      </c>
      <c r="AA441" t="s">
        <v>6966</v>
      </c>
      <c r="AB441" t="s">
        <v>6966</v>
      </c>
      <c r="AC441" t="s">
        <v>6966</v>
      </c>
      <c r="AD441" t="s">
        <v>6966</v>
      </c>
      <c r="AE441" t="s">
        <v>6966</v>
      </c>
      <c r="AF441" t="s">
        <v>6966</v>
      </c>
      <c r="AG441" t="s">
        <v>6966</v>
      </c>
      <c r="AH441" t="s">
        <v>6966</v>
      </c>
      <c r="AI441" t="s">
        <v>6966</v>
      </c>
      <c r="AJ441" t="s">
        <v>6966</v>
      </c>
      <c r="AK441" t="s">
        <v>6966</v>
      </c>
      <c r="AL441" t="s">
        <v>6966</v>
      </c>
      <c r="AM441" t="s">
        <v>6966</v>
      </c>
      <c r="AN441" t="s">
        <v>6966</v>
      </c>
      <c r="AO441" t="s">
        <v>6966</v>
      </c>
      <c r="AP441" t="s">
        <v>6966</v>
      </c>
      <c r="AQ441" t="s">
        <v>6966</v>
      </c>
      <c r="AR441" t="s">
        <v>6966</v>
      </c>
      <c r="AS441" t="s">
        <v>6966</v>
      </c>
      <c r="AT441" t="s">
        <v>6966</v>
      </c>
      <c r="AU441" t="s">
        <v>6966</v>
      </c>
      <c r="AV441" t="s">
        <v>6966</v>
      </c>
      <c r="AW441" t="s">
        <v>6966</v>
      </c>
      <c r="AX441" t="s">
        <v>6966</v>
      </c>
      <c r="AY441" t="s">
        <v>6966</v>
      </c>
      <c r="AZ441">
        <v>0.33078400000000002</v>
      </c>
      <c r="BA441">
        <v>1.616E-3</v>
      </c>
    </row>
    <row r="442" spans="1:53" x14ac:dyDescent="0.25">
      <c r="A442">
        <v>440</v>
      </c>
      <c r="B442" t="s">
        <v>7625</v>
      </c>
      <c r="C442">
        <v>702007</v>
      </c>
      <c r="D442" t="s">
        <v>890</v>
      </c>
      <c r="E442" t="s">
        <v>2906</v>
      </c>
      <c r="F442">
        <v>1262111</v>
      </c>
      <c r="G442">
        <v>5870.8725590000004</v>
      </c>
      <c r="H442">
        <v>390</v>
      </c>
      <c r="I442">
        <v>574</v>
      </c>
      <c r="J442">
        <v>36117</v>
      </c>
      <c r="K442" t="s">
        <v>890</v>
      </c>
      <c r="L442">
        <v>13</v>
      </c>
      <c r="M442">
        <v>13</v>
      </c>
      <c r="N442">
        <v>36117</v>
      </c>
      <c r="O442">
        <v>378</v>
      </c>
      <c r="P442" t="s">
        <v>3215</v>
      </c>
      <c r="Q442">
        <v>2.2000000000000002</v>
      </c>
      <c r="R442">
        <v>264.61</v>
      </c>
      <c r="S442">
        <v>0.46</v>
      </c>
      <c r="T442">
        <v>54</v>
      </c>
      <c r="U442">
        <v>1262110.90432</v>
      </c>
      <c r="V442">
        <v>5870.8727159999999</v>
      </c>
      <c r="W442">
        <v>441</v>
      </c>
      <c r="X442">
        <v>0</v>
      </c>
      <c r="Y442">
        <v>440</v>
      </c>
      <c r="Z442" t="s">
        <v>6966</v>
      </c>
      <c r="AA442" t="s">
        <v>6966</v>
      </c>
      <c r="AB442" t="s">
        <v>6966</v>
      </c>
      <c r="AC442" t="s">
        <v>6966</v>
      </c>
      <c r="AD442" t="s">
        <v>6966</v>
      </c>
      <c r="AE442" t="s">
        <v>6966</v>
      </c>
      <c r="AF442" t="s">
        <v>6966</v>
      </c>
      <c r="AG442" t="s">
        <v>6966</v>
      </c>
      <c r="AH442" t="s">
        <v>6966</v>
      </c>
      <c r="AI442" t="s">
        <v>6966</v>
      </c>
      <c r="AJ442" t="s">
        <v>6966</v>
      </c>
      <c r="AK442" t="s">
        <v>6966</v>
      </c>
      <c r="AL442" t="s">
        <v>6966</v>
      </c>
      <c r="AM442" t="s">
        <v>6966</v>
      </c>
      <c r="AN442" t="s">
        <v>6966</v>
      </c>
      <c r="AO442" t="s">
        <v>6966</v>
      </c>
      <c r="AP442" t="s">
        <v>6966</v>
      </c>
      <c r="AQ442" t="s">
        <v>6966</v>
      </c>
      <c r="AR442" t="s">
        <v>6966</v>
      </c>
      <c r="AS442" t="s">
        <v>6966</v>
      </c>
      <c r="AT442" t="s">
        <v>6966</v>
      </c>
      <c r="AU442" t="s">
        <v>6966</v>
      </c>
      <c r="AV442" t="s">
        <v>6966</v>
      </c>
      <c r="AW442" t="s">
        <v>6966</v>
      </c>
      <c r="AX442" t="s">
        <v>6966</v>
      </c>
      <c r="AY442" t="s">
        <v>6966</v>
      </c>
      <c r="AZ442">
        <v>5.9579E-2</v>
      </c>
      <c r="BA442">
        <v>1.2400000000000001E-4</v>
      </c>
    </row>
    <row r="443" spans="1:53" x14ac:dyDescent="0.25">
      <c r="A443">
        <v>441</v>
      </c>
      <c r="B443" t="s">
        <v>7625</v>
      </c>
      <c r="C443">
        <v>701042</v>
      </c>
      <c r="D443" t="s">
        <v>694</v>
      </c>
      <c r="E443" t="s">
        <v>649</v>
      </c>
      <c r="F443">
        <v>4959591.5</v>
      </c>
      <c r="G443">
        <v>12566.079102</v>
      </c>
      <c r="H443">
        <v>391</v>
      </c>
      <c r="I443">
        <v>575</v>
      </c>
      <c r="J443">
        <v>34271</v>
      </c>
      <c r="K443" t="s">
        <v>694</v>
      </c>
      <c r="L443">
        <v>11</v>
      </c>
      <c r="M443">
        <v>11</v>
      </c>
      <c r="N443">
        <v>34271</v>
      </c>
      <c r="O443">
        <v>379</v>
      </c>
      <c r="P443" t="s">
        <v>3215</v>
      </c>
      <c r="Q443">
        <v>0.9</v>
      </c>
      <c r="R443">
        <v>17.75</v>
      </c>
      <c r="S443">
        <v>0.24</v>
      </c>
      <c r="T443">
        <v>5</v>
      </c>
      <c r="U443">
        <v>4959591.4554199995</v>
      </c>
      <c r="V443">
        <v>12566.079154999999</v>
      </c>
      <c r="W443">
        <v>442</v>
      </c>
      <c r="X443">
        <v>0</v>
      </c>
      <c r="Y443">
        <v>441</v>
      </c>
      <c r="Z443" t="s">
        <v>6966</v>
      </c>
      <c r="AA443" t="s">
        <v>6966</v>
      </c>
      <c r="AB443" t="s">
        <v>6966</v>
      </c>
      <c r="AC443" t="s">
        <v>6966</v>
      </c>
      <c r="AD443" t="s">
        <v>6966</v>
      </c>
      <c r="AE443" t="s">
        <v>6966</v>
      </c>
      <c r="AF443" t="s">
        <v>6966</v>
      </c>
      <c r="AG443" t="s">
        <v>6966</v>
      </c>
      <c r="AH443" t="s">
        <v>6966</v>
      </c>
      <c r="AI443" t="s">
        <v>6966</v>
      </c>
      <c r="AJ443" t="s">
        <v>6966</v>
      </c>
      <c r="AK443" t="s">
        <v>6966</v>
      </c>
      <c r="AL443" t="s">
        <v>6966</v>
      </c>
      <c r="AM443" t="s">
        <v>6966</v>
      </c>
      <c r="AN443" t="s">
        <v>6966</v>
      </c>
      <c r="AO443" t="s">
        <v>6966</v>
      </c>
      <c r="AP443" t="s">
        <v>6966</v>
      </c>
      <c r="AQ443" t="s">
        <v>6966</v>
      </c>
      <c r="AR443" t="s">
        <v>6966</v>
      </c>
      <c r="AS443" t="s">
        <v>6966</v>
      </c>
      <c r="AT443" t="s">
        <v>6966</v>
      </c>
      <c r="AU443" t="s">
        <v>6966</v>
      </c>
      <c r="AV443" t="s">
        <v>6966</v>
      </c>
      <c r="AW443" t="s">
        <v>6966</v>
      </c>
      <c r="AX443" t="s">
        <v>6966</v>
      </c>
      <c r="AY443" t="s">
        <v>6966</v>
      </c>
      <c r="AZ443">
        <v>0.12623100000000001</v>
      </c>
      <c r="BA443">
        <v>4.8500000000000003E-4</v>
      </c>
    </row>
    <row r="444" spans="1:53" x14ac:dyDescent="0.25">
      <c r="A444">
        <v>442</v>
      </c>
      <c r="B444" t="s">
        <v>7625</v>
      </c>
      <c r="C444">
        <v>703037</v>
      </c>
      <c r="D444" t="s">
        <v>573</v>
      </c>
      <c r="E444" t="s">
        <v>7704</v>
      </c>
      <c r="F444">
        <v>5384098</v>
      </c>
      <c r="G444">
        <v>11192.650390999999</v>
      </c>
      <c r="H444">
        <v>392</v>
      </c>
      <c r="I444">
        <v>576</v>
      </c>
      <c r="J444">
        <v>32149</v>
      </c>
      <c r="K444" t="s">
        <v>1273</v>
      </c>
      <c r="L444">
        <v>9</v>
      </c>
      <c r="M444">
        <v>9</v>
      </c>
      <c r="N444">
        <v>32149</v>
      </c>
      <c r="O444">
        <v>380</v>
      </c>
      <c r="P444" t="s">
        <v>3215</v>
      </c>
      <c r="Q444">
        <v>0.6</v>
      </c>
      <c r="R444">
        <v>22.89</v>
      </c>
      <c r="S444">
        <v>0.14000000000000001</v>
      </c>
      <c r="T444">
        <v>5</v>
      </c>
      <c r="U444">
        <v>5384098.0454299999</v>
      </c>
      <c r="V444">
        <v>11192.650602</v>
      </c>
      <c r="W444">
        <v>443</v>
      </c>
      <c r="X444">
        <v>1</v>
      </c>
      <c r="Y444">
        <v>442</v>
      </c>
      <c r="Z444">
        <v>69669</v>
      </c>
      <c r="AA444" s="76">
        <v>45903</v>
      </c>
      <c r="AB444">
        <v>2025</v>
      </c>
      <c r="AC444" t="s">
        <v>7433</v>
      </c>
      <c r="AD444">
        <v>3</v>
      </c>
      <c r="AE444" t="s">
        <v>7438</v>
      </c>
      <c r="AF444" t="s">
        <v>3215</v>
      </c>
      <c r="AG444" t="s">
        <v>3223</v>
      </c>
      <c r="AH444" t="s">
        <v>573</v>
      </c>
      <c r="AI444" t="s">
        <v>7439</v>
      </c>
      <c r="AJ444" t="s">
        <v>6966</v>
      </c>
      <c r="AK444">
        <v>34.252450000000003</v>
      </c>
      <c r="AL444">
        <v>35.792670000000001</v>
      </c>
      <c r="AM444" t="s">
        <v>7440</v>
      </c>
      <c r="AN444" t="s">
        <v>6966</v>
      </c>
      <c r="AO444" t="s">
        <v>6996</v>
      </c>
      <c r="AP444" t="s">
        <v>7441</v>
      </c>
      <c r="AQ444" t="s">
        <v>6998</v>
      </c>
      <c r="AR444" t="s">
        <v>6999</v>
      </c>
      <c r="AS444" t="s">
        <v>7000</v>
      </c>
      <c r="AT444">
        <v>0</v>
      </c>
      <c r="AU444">
        <v>0</v>
      </c>
      <c r="AV444" t="s">
        <v>7442</v>
      </c>
      <c r="AW444" t="s">
        <v>7041</v>
      </c>
      <c r="AX444" t="s">
        <v>6966</v>
      </c>
      <c r="AY444" t="s">
        <v>7003</v>
      </c>
      <c r="AZ444">
        <v>0.112557</v>
      </c>
      <c r="BA444">
        <v>5.2700000000000002E-4</v>
      </c>
    </row>
    <row r="445" spans="1:53" x14ac:dyDescent="0.25">
      <c r="A445">
        <v>443</v>
      </c>
      <c r="B445" t="s">
        <v>7625</v>
      </c>
      <c r="C445">
        <v>702008</v>
      </c>
      <c r="D445" t="s">
        <v>900</v>
      </c>
      <c r="E445" t="s">
        <v>2906</v>
      </c>
      <c r="F445">
        <v>1399992.375</v>
      </c>
      <c r="G445">
        <v>6644.3632809999999</v>
      </c>
      <c r="H445">
        <v>393</v>
      </c>
      <c r="I445">
        <v>577</v>
      </c>
      <c r="J445">
        <v>36151</v>
      </c>
      <c r="K445" t="s">
        <v>900</v>
      </c>
      <c r="L445">
        <v>13</v>
      </c>
      <c r="M445">
        <v>13</v>
      </c>
      <c r="N445">
        <v>36151</v>
      </c>
      <c r="O445">
        <v>381</v>
      </c>
      <c r="P445" t="s">
        <v>3215</v>
      </c>
      <c r="Q445">
        <v>3.9</v>
      </c>
      <c r="R445">
        <v>62.09</v>
      </c>
      <c r="S445">
        <v>1.02</v>
      </c>
      <c r="T445">
        <v>16</v>
      </c>
      <c r="U445">
        <v>1399992.3696999999</v>
      </c>
      <c r="V445">
        <v>6644.3633929999996</v>
      </c>
      <c r="W445">
        <v>444</v>
      </c>
      <c r="X445">
        <v>0</v>
      </c>
      <c r="Y445">
        <v>443</v>
      </c>
      <c r="Z445" t="s">
        <v>6966</v>
      </c>
      <c r="AA445" t="s">
        <v>6966</v>
      </c>
      <c r="AB445" t="s">
        <v>6966</v>
      </c>
      <c r="AC445" t="s">
        <v>6966</v>
      </c>
      <c r="AD445" t="s">
        <v>6966</v>
      </c>
      <c r="AE445" t="s">
        <v>6966</v>
      </c>
      <c r="AF445" t="s">
        <v>6966</v>
      </c>
      <c r="AG445" t="s">
        <v>6966</v>
      </c>
      <c r="AH445" t="s">
        <v>6966</v>
      </c>
      <c r="AI445" t="s">
        <v>6966</v>
      </c>
      <c r="AJ445" t="s">
        <v>6966</v>
      </c>
      <c r="AK445" t="s">
        <v>6966</v>
      </c>
      <c r="AL445" t="s">
        <v>6966</v>
      </c>
      <c r="AM445" t="s">
        <v>6966</v>
      </c>
      <c r="AN445" t="s">
        <v>6966</v>
      </c>
      <c r="AO445" t="s">
        <v>6966</v>
      </c>
      <c r="AP445" t="s">
        <v>6966</v>
      </c>
      <c r="AQ445" t="s">
        <v>6966</v>
      </c>
      <c r="AR445" t="s">
        <v>6966</v>
      </c>
      <c r="AS445" t="s">
        <v>6966</v>
      </c>
      <c r="AT445" t="s">
        <v>6966</v>
      </c>
      <c r="AU445" t="s">
        <v>6966</v>
      </c>
      <c r="AV445" t="s">
        <v>6966</v>
      </c>
      <c r="AW445" t="s">
        <v>6966</v>
      </c>
      <c r="AX445" t="s">
        <v>6966</v>
      </c>
      <c r="AY445" t="s">
        <v>6966</v>
      </c>
      <c r="AZ445">
        <v>6.7523E-2</v>
      </c>
      <c r="BA445">
        <v>1.37E-4</v>
      </c>
    </row>
    <row r="446" spans="1:53" x14ac:dyDescent="0.25">
      <c r="A446">
        <v>444</v>
      </c>
      <c r="B446" t="s">
        <v>7625</v>
      </c>
      <c r="C446">
        <v>701075</v>
      </c>
      <c r="D446" t="s">
        <v>87</v>
      </c>
      <c r="E446" t="s">
        <v>649</v>
      </c>
      <c r="F446">
        <v>10633.124023</v>
      </c>
      <c r="G446">
        <v>517.10412599999995</v>
      </c>
      <c r="H446">
        <v>394</v>
      </c>
      <c r="I446">
        <v>578</v>
      </c>
      <c r="J446">
        <v>34001</v>
      </c>
      <c r="K446" t="s">
        <v>87</v>
      </c>
      <c r="L446">
        <v>11</v>
      </c>
      <c r="M446">
        <v>11</v>
      </c>
      <c r="N446">
        <v>34001</v>
      </c>
      <c r="O446">
        <v>382</v>
      </c>
      <c r="P446" t="s">
        <v>3215</v>
      </c>
      <c r="Q446">
        <v>0</v>
      </c>
      <c r="R446">
        <v>0</v>
      </c>
      <c r="S446">
        <v>0</v>
      </c>
      <c r="T446">
        <v>0</v>
      </c>
      <c r="U446">
        <v>10633.112643</v>
      </c>
      <c r="V446">
        <v>517.10372199999995</v>
      </c>
      <c r="W446">
        <v>445</v>
      </c>
      <c r="X446">
        <v>0</v>
      </c>
      <c r="Y446">
        <v>444</v>
      </c>
      <c r="Z446" t="s">
        <v>6966</v>
      </c>
      <c r="AA446" t="s">
        <v>6966</v>
      </c>
      <c r="AB446" t="s">
        <v>6966</v>
      </c>
      <c r="AC446" t="s">
        <v>6966</v>
      </c>
      <c r="AD446" t="s">
        <v>6966</v>
      </c>
      <c r="AE446" t="s">
        <v>6966</v>
      </c>
      <c r="AF446" t="s">
        <v>6966</v>
      </c>
      <c r="AG446" t="s">
        <v>6966</v>
      </c>
      <c r="AH446" t="s">
        <v>6966</v>
      </c>
      <c r="AI446" t="s">
        <v>6966</v>
      </c>
      <c r="AJ446" t="s">
        <v>6966</v>
      </c>
      <c r="AK446" t="s">
        <v>6966</v>
      </c>
      <c r="AL446" t="s">
        <v>6966</v>
      </c>
      <c r="AM446" t="s">
        <v>6966</v>
      </c>
      <c r="AN446" t="s">
        <v>6966</v>
      </c>
      <c r="AO446" t="s">
        <v>6966</v>
      </c>
      <c r="AP446" t="s">
        <v>6966</v>
      </c>
      <c r="AQ446" t="s">
        <v>6966</v>
      </c>
      <c r="AR446" t="s">
        <v>6966</v>
      </c>
      <c r="AS446" t="s">
        <v>6966</v>
      </c>
      <c r="AT446" t="s">
        <v>6966</v>
      </c>
      <c r="AU446" t="s">
        <v>6966</v>
      </c>
      <c r="AV446" t="s">
        <v>6966</v>
      </c>
      <c r="AW446" t="s">
        <v>6966</v>
      </c>
      <c r="AX446" t="s">
        <v>6966</v>
      </c>
      <c r="AY446" t="s">
        <v>6966</v>
      </c>
      <c r="AZ446">
        <v>5.143E-3</v>
      </c>
      <c r="BA446">
        <v>9.9999999999999995E-7</v>
      </c>
    </row>
    <row r="447" spans="1:53" x14ac:dyDescent="0.25">
      <c r="A447">
        <v>445</v>
      </c>
      <c r="B447" t="s">
        <v>7625</v>
      </c>
      <c r="C447">
        <v>701014</v>
      </c>
      <c r="D447" t="s">
        <v>698</v>
      </c>
      <c r="E447" t="s">
        <v>649</v>
      </c>
      <c r="F447">
        <v>2631148</v>
      </c>
      <c r="G447">
        <v>9261.1660159999992</v>
      </c>
      <c r="H447">
        <v>395</v>
      </c>
      <c r="I447">
        <v>579</v>
      </c>
      <c r="J447">
        <v>34277</v>
      </c>
      <c r="K447" t="s">
        <v>2114</v>
      </c>
      <c r="L447">
        <v>11</v>
      </c>
      <c r="M447">
        <v>11</v>
      </c>
      <c r="N447">
        <v>34277</v>
      </c>
      <c r="O447">
        <v>383</v>
      </c>
      <c r="P447" t="s">
        <v>3215</v>
      </c>
      <c r="Q447">
        <v>2.2000000000000002</v>
      </c>
      <c r="R447">
        <v>17.39</v>
      </c>
      <c r="S447">
        <v>0.51</v>
      </c>
      <c r="T447">
        <v>4</v>
      </c>
      <c r="U447">
        <v>2631147.9627399999</v>
      </c>
      <c r="V447">
        <v>9261.1655649999993</v>
      </c>
      <c r="W447">
        <v>446</v>
      </c>
      <c r="X447">
        <v>0</v>
      </c>
      <c r="Y447">
        <v>445</v>
      </c>
      <c r="Z447" t="s">
        <v>6966</v>
      </c>
      <c r="AA447" t="s">
        <v>6966</v>
      </c>
      <c r="AB447" t="s">
        <v>6966</v>
      </c>
      <c r="AC447" t="s">
        <v>6966</v>
      </c>
      <c r="AD447" t="s">
        <v>6966</v>
      </c>
      <c r="AE447" t="s">
        <v>6966</v>
      </c>
      <c r="AF447" t="s">
        <v>6966</v>
      </c>
      <c r="AG447" t="s">
        <v>6966</v>
      </c>
      <c r="AH447" t="s">
        <v>6966</v>
      </c>
      <c r="AI447" t="s">
        <v>6966</v>
      </c>
      <c r="AJ447" t="s">
        <v>6966</v>
      </c>
      <c r="AK447" t="s">
        <v>6966</v>
      </c>
      <c r="AL447" t="s">
        <v>6966</v>
      </c>
      <c r="AM447" t="s">
        <v>6966</v>
      </c>
      <c r="AN447" t="s">
        <v>6966</v>
      </c>
      <c r="AO447" t="s">
        <v>6966</v>
      </c>
      <c r="AP447" t="s">
        <v>6966</v>
      </c>
      <c r="AQ447" t="s">
        <v>6966</v>
      </c>
      <c r="AR447" t="s">
        <v>6966</v>
      </c>
      <c r="AS447" t="s">
        <v>6966</v>
      </c>
      <c r="AT447" t="s">
        <v>6966</v>
      </c>
      <c r="AU447" t="s">
        <v>6966</v>
      </c>
      <c r="AV447" t="s">
        <v>6966</v>
      </c>
      <c r="AW447" t="s">
        <v>6966</v>
      </c>
      <c r="AX447" t="s">
        <v>6966</v>
      </c>
      <c r="AY447" t="s">
        <v>6966</v>
      </c>
      <c r="AZ447">
        <v>9.2601000000000003E-2</v>
      </c>
      <c r="BA447">
        <v>2.5700000000000001E-4</v>
      </c>
    </row>
    <row r="448" spans="1:53" x14ac:dyDescent="0.25">
      <c r="A448">
        <v>446</v>
      </c>
      <c r="B448" t="s">
        <v>7625</v>
      </c>
      <c r="C448">
        <v>701021</v>
      </c>
      <c r="D448" t="s">
        <v>718</v>
      </c>
      <c r="E448" t="s">
        <v>649</v>
      </c>
      <c r="F448">
        <v>3693173.25</v>
      </c>
      <c r="G448">
        <v>10048.320313</v>
      </c>
      <c r="H448">
        <v>396</v>
      </c>
      <c r="I448">
        <v>580</v>
      </c>
      <c r="J448">
        <v>34374</v>
      </c>
      <c r="K448" t="s">
        <v>2130</v>
      </c>
      <c r="L448">
        <v>11</v>
      </c>
      <c r="M448">
        <v>13</v>
      </c>
      <c r="N448">
        <v>34374</v>
      </c>
      <c r="O448">
        <v>384</v>
      </c>
      <c r="P448" t="s">
        <v>3215</v>
      </c>
      <c r="Q448">
        <v>1.7</v>
      </c>
      <c r="R448">
        <v>20.66</v>
      </c>
      <c r="S448">
        <v>0.41</v>
      </c>
      <c r="T448">
        <v>5</v>
      </c>
      <c r="U448">
        <v>3693173.3526599999</v>
      </c>
      <c r="V448">
        <v>10048.320557999999</v>
      </c>
      <c r="W448">
        <v>447</v>
      </c>
      <c r="X448">
        <v>0</v>
      </c>
      <c r="Y448">
        <v>446</v>
      </c>
      <c r="Z448" t="s">
        <v>6966</v>
      </c>
      <c r="AA448" t="s">
        <v>6966</v>
      </c>
      <c r="AB448" t="s">
        <v>6966</v>
      </c>
      <c r="AC448" t="s">
        <v>6966</v>
      </c>
      <c r="AD448" t="s">
        <v>6966</v>
      </c>
      <c r="AE448" t="s">
        <v>6966</v>
      </c>
      <c r="AF448" t="s">
        <v>6966</v>
      </c>
      <c r="AG448" t="s">
        <v>6966</v>
      </c>
      <c r="AH448" t="s">
        <v>6966</v>
      </c>
      <c r="AI448" t="s">
        <v>6966</v>
      </c>
      <c r="AJ448" t="s">
        <v>6966</v>
      </c>
      <c r="AK448" t="s">
        <v>6966</v>
      </c>
      <c r="AL448" t="s">
        <v>6966</v>
      </c>
      <c r="AM448" t="s">
        <v>6966</v>
      </c>
      <c r="AN448" t="s">
        <v>6966</v>
      </c>
      <c r="AO448" t="s">
        <v>6966</v>
      </c>
      <c r="AP448" t="s">
        <v>6966</v>
      </c>
      <c r="AQ448" t="s">
        <v>6966</v>
      </c>
      <c r="AR448" t="s">
        <v>6966</v>
      </c>
      <c r="AS448" t="s">
        <v>6966</v>
      </c>
      <c r="AT448" t="s">
        <v>6966</v>
      </c>
      <c r="AU448" t="s">
        <v>6966</v>
      </c>
      <c r="AV448" t="s">
        <v>6966</v>
      </c>
      <c r="AW448" t="s">
        <v>6966</v>
      </c>
      <c r="AX448" t="s">
        <v>6966</v>
      </c>
      <c r="AY448" t="s">
        <v>6966</v>
      </c>
      <c r="AZ448">
        <v>0.100519</v>
      </c>
      <c r="BA448">
        <v>3.6099999999999999E-4</v>
      </c>
    </row>
    <row r="449" spans="1:53" x14ac:dyDescent="0.25">
      <c r="A449">
        <v>447</v>
      </c>
      <c r="B449" t="s">
        <v>7625</v>
      </c>
      <c r="C449">
        <v>702013</v>
      </c>
      <c r="D449" t="s">
        <v>906</v>
      </c>
      <c r="E449" t="s">
        <v>2906</v>
      </c>
      <c r="F449">
        <v>5275078</v>
      </c>
      <c r="G449">
        <v>11945.702148</v>
      </c>
      <c r="H449">
        <v>397</v>
      </c>
      <c r="I449">
        <v>581</v>
      </c>
      <c r="J449">
        <v>36177</v>
      </c>
      <c r="K449" t="s">
        <v>2281</v>
      </c>
      <c r="L449">
        <v>13</v>
      </c>
      <c r="M449">
        <v>13</v>
      </c>
      <c r="N449">
        <v>36177</v>
      </c>
      <c r="O449">
        <v>385</v>
      </c>
      <c r="P449" t="s">
        <v>3215</v>
      </c>
      <c r="Q449">
        <v>6.8</v>
      </c>
      <c r="R449">
        <v>141.65</v>
      </c>
      <c r="S449">
        <v>1.65</v>
      </c>
      <c r="T449">
        <v>34</v>
      </c>
      <c r="U449">
        <v>5275078.0623899996</v>
      </c>
      <c r="V449">
        <v>11945.700231000001</v>
      </c>
      <c r="W449">
        <v>448</v>
      </c>
      <c r="X449">
        <v>0</v>
      </c>
      <c r="Y449">
        <v>447</v>
      </c>
      <c r="Z449" t="s">
        <v>6966</v>
      </c>
      <c r="AA449" t="s">
        <v>6966</v>
      </c>
      <c r="AB449" t="s">
        <v>6966</v>
      </c>
      <c r="AC449" t="s">
        <v>6966</v>
      </c>
      <c r="AD449" t="s">
        <v>6966</v>
      </c>
      <c r="AE449" t="s">
        <v>6966</v>
      </c>
      <c r="AF449" t="s">
        <v>6966</v>
      </c>
      <c r="AG449" t="s">
        <v>6966</v>
      </c>
      <c r="AH449" t="s">
        <v>6966</v>
      </c>
      <c r="AI449" t="s">
        <v>6966</v>
      </c>
      <c r="AJ449" t="s">
        <v>6966</v>
      </c>
      <c r="AK449" t="s">
        <v>6966</v>
      </c>
      <c r="AL449" t="s">
        <v>6966</v>
      </c>
      <c r="AM449" t="s">
        <v>6966</v>
      </c>
      <c r="AN449" t="s">
        <v>6966</v>
      </c>
      <c r="AO449" t="s">
        <v>6966</v>
      </c>
      <c r="AP449" t="s">
        <v>6966</v>
      </c>
      <c r="AQ449" t="s">
        <v>6966</v>
      </c>
      <c r="AR449" t="s">
        <v>6966</v>
      </c>
      <c r="AS449" t="s">
        <v>6966</v>
      </c>
      <c r="AT449" t="s">
        <v>6966</v>
      </c>
      <c r="AU449" t="s">
        <v>6966</v>
      </c>
      <c r="AV449" t="s">
        <v>6966</v>
      </c>
      <c r="AW449" t="s">
        <v>6966</v>
      </c>
      <c r="AX449" t="s">
        <v>6966</v>
      </c>
      <c r="AY449" t="s">
        <v>6966</v>
      </c>
      <c r="AZ449">
        <v>0.12241100000000001</v>
      </c>
      <c r="BA449">
        <v>5.1599999999999997E-4</v>
      </c>
    </row>
    <row r="450" spans="1:53" x14ac:dyDescent="0.25">
      <c r="A450">
        <v>448</v>
      </c>
      <c r="B450" t="s">
        <v>7625</v>
      </c>
      <c r="C450">
        <v>703043</v>
      </c>
      <c r="D450" t="s">
        <v>596</v>
      </c>
      <c r="E450" t="s">
        <v>7704</v>
      </c>
      <c r="F450">
        <v>1938439.75</v>
      </c>
      <c r="G450">
        <v>8093.1352539999998</v>
      </c>
      <c r="H450">
        <v>398</v>
      </c>
      <c r="I450">
        <v>582</v>
      </c>
      <c r="J450">
        <v>32195</v>
      </c>
      <c r="K450" t="s">
        <v>7752</v>
      </c>
      <c r="L450">
        <v>9</v>
      </c>
      <c r="M450">
        <v>13</v>
      </c>
      <c r="N450">
        <v>32195</v>
      </c>
      <c r="O450">
        <v>386</v>
      </c>
      <c r="P450" t="s">
        <v>3215</v>
      </c>
      <c r="Q450">
        <v>0.1</v>
      </c>
      <c r="R450">
        <v>3.36</v>
      </c>
      <c r="S450">
        <v>0.17</v>
      </c>
      <c r="T450">
        <v>4</v>
      </c>
      <c r="U450">
        <v>1938439.7534399999</v>
      </c>
      <c r="V450">
        <v>8093.1350819999998</v>
      </c>
      <c r="W450">
        <v>449</v>
      </c>
      <c r="X450">
        <v>0</v>
      </c>
      <c r="Y450">
        <v>448</v>
      </c>
      <c r="Z450" t="s">
        <v>6966</v>
      </c>
      <c r="AA450" t="s">
        <v>6966</v>
      </c>
      <c r="AB450" t="s">
        <v>6966</v>
      </c>
      <c r="AC450" t="s">
        <v>6966</v>
      </c>
      <c r="AD450" t="s">
        <v>6966</v>
      </c>
      <c r="AE450" t="s">
        <v>6966</v>
      </c>
      <c r="AF450" t="s">
        <v>6966</v>
      </c>
      <c r="AG450" t="s">
        <v>6966</v>
      </c>
      <c r="AH450" t="s">
        <v>6966</v>
      </c>
      <c r="AI450" t="s">
        <v>6966</v>
      </c>
      <c r="AJ450" t="s">
        <v>6966</v>
      </c>
      <c r="AK450" t="s">
        <v>6966</v>
      </c>
      <c r="AL450" t="s">
        <v>6966</v>
      </c>
      <c r="AM450" t="s">
        <v>6966</v>
      </c>
      <c r="AN450" t="s">
        <v>6966</v>
      </c>
      <c r="AO450" t="s">
        <v>6966</v>
      </c>
      <c r="AP450" t="s">
        <v>6966</v>
      </c>
      <c r="AQ450" t="s">
        <v>6966</v>
      </c>
      <c r="AR450" t="s">
        <v>6966</v>
      </c>
      <c r="AS450" t="s">
        <v>6966</v>
      </c>
      <c r="AT450" t="s">
        <v>6966</v>
      </c>
      <c r="AU450" t="s">
        <v>6966</v>
      </c>
      <c r="AV450" t="s">
        <v>6966</v>
      </c>
      <c r="AW450" t="s">
        <v>6966</v>
      </c>
      <c r="AX450" t="s">
        <v>6966</v>
      </c>
      <c r="AY450" t="s">
        <v>6966</v>
      </c>
      <c r="AZ450">
        <v>8.2960999999999993E-2</v>
      </c>
      <c r="BA450">
        <v>1.9000000000000001E-4</v>
      </c>
    </row>
    <row r="451" spans="1:53" x14ac:dyDescent="0.25">
      <c r="A451">
        <v>449</v>
      </c>
      <c r="B451" t="s">
        <v>7625</v>
      </c>
      <c r="C451">
        <v>702022</v>
      </c>
      <c r="D451" t="s">
        <v>893</v>
      </c>
      <c r="E451" t="s">
        <v>2906</v>
      </c>
      <c r="F451">
        <v>6624697</v>
      </c>
      <c r="G451">
        <v>13966.796875</v>
      </c>
      <c r="H451">
        <v>399</v>
      </c>
      <c r="I451">
        <v>583</v>
      </c>
      <c r="J451">
        <v>36127</v>
      </c>
      <c r="K451" t="s">
        <v>2271</v>
      </c>
      <c r="L451">
        <v>13</v>
      </c>
      <c r="M451">
        <v>13</v>
      </c>
      <c r="N451">
        <v>36127</v>
      </c>
      <c r="O451">
        <v>387</v>
      </c>
      <c r="P451" t="s">
        <v>3215</v>
      </c>
      <c r="Q451">
        <v>1.1000000000000001</v>
      </c>
      <c r="R451">
        <v>109.91</v>
      </c>
      <c r="S451">
        <v>0.33</v>
      </c>
      <c r="T451">
        <v>34</v>
      </c>
      <c r="U451">
        <v>6624697.0227199998</v>
      </c>
      <c r="V451">
        <v>13966.796999</v>
      </c>
      <c r="W451">
        <v>450</v>
      </c>
      <c r="X451">
        <v>0</v>
      </c>
      <c r="Y451">
        <v>449</v>
      </c>
      <c r="Z451" t="s">
        <v>6966</v>
      </c>
      <c r="AA451" t="s">
        <v>6966</v>
      </c>
      <c r="AB451" t="s">
        <v>6966</v>
      </c>
      <c r="AC451" t="s">
        <v>6966</v>
      </c>
      <c r="AD451" t="s">
        <v>6966</v>
      </c>
      <c r="AE451" t="s">
        <v>6966</v>
      </c>
      <c r="AF451" t="s">
        <v>6966</v>
      </c>
      <c r="AG451" t="s">
        <v>6966</v>
      </c>
      <c r="AH451" t="s">
        <v>6966</v>
      </c>
      <c r="AI451" t="s">
        <v>6966</v>
      </c>
      <c r="AJ451" t="s">
        <v>6966</v>
      </c>
      <c r="AK451" t="s">
        <v>6966</v>
      </c>
      <c r="AL451" t="s">
        <v>6966</v>
      </c>
      <c r="AM451" t="s">
        <v>6966</v>
      </c>
      <c r="AN451" t="s">
        <v>6966</v>
      </c>
      <c r="AO451" t="s">
        <v>6966</v>
      </c>
      <c r="AP451" t="s">
        <v>6966</v>
      </c>
      <c r="AQ451" t="s">
        <v>6966</v>
      </c>
      <c r="AR451" t="s">
        <v>6966</v>
      </c>
      <c r="AS451" t="s">
        <v>6966</v>
      </c>
      <c r="AT451" t="s">
        <v>6966</v>
      </c>
      <c r="AU451" t="s">
        <v>6966</v>
      </c>
      <c r="AV451" t="s">
        <v>6966</v>
      </c>
      <c r="AW451" t="s">
        <v>6966</v>
      </c>
      <c r="AX451" t="s">
        <v>6966</v>
      </c>
      <c r="AY451" t="s">
        <v>6966</v>
      </c>
      <c r="AZ451">
        <v>0.139763</v>
      </c>
      <c r="BA451">
        <v>6.4800000000000003E-4</v>
      </c>
    </row>
    <row r="452" spans="1:53" x14ac:dyDescent="0.25">
      <c r="A452">
        <v>450</v>
      </c>
      <c r="B452" t="s">
        <v>7625</v>
      </c>
      <c r="C452">
        <v>701013</v>
      </c>
      <c r="D452" t="s">
        <v>690</v>
      </c>
      <c r="E452" t="s">
        <v>649</v>
      </c>
      <c r="F452">
        <v>3369221.25</v>
      </c>
      <c r="G452">
        <v>10752.106444999999</v>
      </c>
      <c r="H452">
        <v>400</v>
      </c>
      <c r="I452">
        <v>584</v>
      </c>
      <c r="J452">
        <v>34264</v>
      </c>
      <c r="K452" t="s">
        <v>2110</v>
      </c>
      <c r="L452">
        <v>11</v>
      </c>
      <c r="M452">
        <v>11</v>
      </c>
      <c r="N452">
        <v>34264</v>
      </c>
      <c r="O452">
        <v>388</v>
      </c>
      <c r="P452" t="s">
        <v>3215</v>
      </c>
      <c r="Q452">
        <v>2.8</v>
      </c>
      <c r="R452">
        <v>25.75</v>
      </c>
      <c r="S452">
        <v>0.57999999999999996</v>
      </c>
      <c r="T452">
        <v>5</v>
      </c>
      <c r="U452">
        <v>3369221.2958300002</v>
      </c>
      <c r="V452">
        <v>10752.106824</v>
      </c>
      <c r="W452">
        <v>451</v>
      </c>
      <c r="X452">
        <v>0</v>
      </c>
      <c r="Y452">
        <v>450</v>
      </c>
      <c r="Z452" t="s">
        <v>6966</v>
      </c>
      <c r="AA452" t="s">
        <v>6966</v>
      </c>
      <c r="AB452" t="s">
        <v>6966</v>
      </c>
      <c r="AC452" t="s">
        <v>6966</v>
      </c>
      <c r="AD452" t="s">
        <v>6966</v>
      </c>
      <c r="AE452" t="s">
        <v>6966</v>
      </c>
      <c r="AF452" t="s">
        <v>6966</v>
      </c>
      <c r="AG452" t="s">
        <v>6966</v>
      </c>
      <c r="AH452" t="s">
        <v>6966</v>
      </c>
      <c r="AI452" t="s">
        <v>6966</v>
      </c>
      <c r="AJ452" t="s">
        <v>6966</v>
      </c>
      <c r="AK452" t="s">
        <v>6966</v>
      </c>
      <c r="AL452" t="s">
        <v>6966</v>
      </c>
      <c r="AM452" t="s">
        <v>6966</v>
      </c>
      <c r="AN452" t="s">
        <v>6966</v>
      </c>
      <c r="AO452" t="s">
        <v>6966</v>
      </c>
      <c r="AP452" t="s">
        <v>6966</v>
      </c>
      <c r="AQ452" t="s">
        <v>6966</v>
      </c>
      <c r="AR452" t="s">
        <v>6966</v>
      </c>
      <c r="AS452" t="s">
        <v>6966</v>
      </c>
      <c r="AT452" t="s">
        <v>6966</v>
      </c>
      <c r="AU452" t="s">
        <v>6966</v>
      </c>
      <c r="AV452" t="s">
        <v>6966</v>
      </c>
      <c r="AW452" t="s">
        <v>6966</v>
      </c>
      <c r="AX452" t="s">
        <v>6966</v>
      </c>
      <c r="AY452" t="s">
        <v>6966</v>
      </c>
      <c r="AZ452">
        <v>0.10697</v>
      </c>
      <c r="BA452">
        <v>3.3E-4</v>
      </c>
    </row>
    <row r="453" spans="1:53" x14ac:dyDescent="0.25">
      <c r="A453">
        <v>451</v>
      </c>
      <c r="B453" t="s">
        <v>7625</v>
      </c>
      <c r="C453">
        <v>201048</v>
      </c>
      <c r="D453" t="s">
        <v>1103</v>
      </c>
      <c r="E453" t="s">
        <v>1069</v>
      </c>
      <c r="F453">
        <v>0</v>
      </c>
      <c r="G453">
        <v>52253.988280999998</v>
      </c>
      <c r="H453">
        <v>401</v>
      </c>
      <c r="I453">
        <v>585</v>
      </c>
      <c r="J453">
        <v>53264</v>
      </c>
      <c r="K453" t="s">
        <v>2442</v>
      </c>
      <c r="L453">
        <v>17</v>
      </c>
      <c r="M453">
        <v>17</v>
      </c>
      <c r="N453">
        <v>53264</v>
      </c>
      <c r="O453">
        <v>389</v>
      </c>
      <c r="P453" t="s">
        <v>3214</v>
      </c>
      <c r="Q453">
        <v>0.2</v>
      </c>
      <c r="R453">
        <v>28.15</v>
      </c>
      <c r="S453">
        <v>0.09</v>
      </c>
      <c r="T453">
        <v>11</v>
      </c>
      <c r="U453">
        <v>0</v>
      </c>
      <c r="V453">
        <v>52253.990027</v>
      </c>
      <c r="W453">
        <v>452</v>
      </c>
      <c r="X453">
        <v>0</v>
      </c>
      <c r="Y453">
        <v>451</v>
      </c>
      <c r="Z453" t="s">
        <v>6966</v>
      </c>
      <c r="AA453" t="s">
        <v>6966</v>
      </c>
      <c r="AB453" t="s">
        <v>6966</v>
      </c>
      <c r="AC453" t="s">
        <v>6966</v>
      </c>
      <c r="AD453" t="s">
        <v>6966</v>
      </c>
      <c r="AE453" t="s">
        <v>6966</v>
      </c>
      <c r="AF453" t="s">
        <v>6966</v>
      </c>
      <c r="AG453" t="s">
        <v>6966</v>
      </c>
      <c r="AH453" t="s">
        <v>6966</v>
      </c>
      <c r="AI453" t="s">
        <v>6966</v>
      </c>
      <c r="AJ453" t="s">
        <v>6966</v>
      </c>
      <c r="AK453" t="s">
        <v>6966</v>
      </c>
      <c r="AL453" t="s">
        <v>6966</v>
      </c>
      <c r="AM453" t="s">
        <v>6966</v>
      </c>
      <c r="AN453" t="s">
        <v>6966</v>
      </c>
      <c r="AO453" t="s">
        <v>6966</v>
      </c>
      <c r="AP453" t="s">
        <v>6966</v>
      </c>
      <c r="AQ453" t="s">
        <v>6966</v>
      </c>
      <c r="AR453" t="s">
        <v>6966</v>
      </c>
      <c r="AS453" t="s">
        <v>6966</v>
      </c>
      <c r="AT453" t="s">
        <v>6966</v>
      </c>
      <c r="AU453" t="s">
        <v>6966</v>
      </c>
      <c r="AV453" t="s">
        <v>6966</v>
      </c>
      <c r="AW453" t="s">
        <v>6966</v>
      </c>
      <c r="AX453" t="s">
        <v>6966</v>
      </c>
      <c r="AY453" t="s">
        <v>6966</v>
      </c>
      <c r="AZ453">
        <v>0.53034800000000004</v>
      </c>
      <c r="BA453">
        <v>6.4900000000000001E-3</v>
      </c>
    </row>
    <row r="454" spans="1:53" x14ac:dyDescent="0.25">
      <c r="A454">
        <v>452</v>
      </c>
      <c r="B454" t="s">
        <v>7625</v>
      </c>
      <c r="C454">
        <v>702014</v>
      </c>
      <c r="D454" t="s">
        <v>7753</v>
      </c>
      <c r="E454" t="s">
        <v>2906</v>
      </c>
      <c r="F454">
        <v>0</v>
      </c>
      <c r="G454">
        <v>20382.248047000001</v>
      </c>
      <c r="H454">
        <v>402</v>
      </c>
      <c r="I454">
        <v>586</v>
      </c>
      <c r="J454">
        <v>36131</v>
      </c>
      <c r="K454" t="s">
        <v>7754</v>
      </c>
      <c r="L454">
        <v>13</v>
      </c>
      <c r="M454">
        <v>13</v>
      </c>
      <c r="N454">
        <v>36131</v>
      </c>
      <c r="O454">
        <v>390</v>
      </c>
      <c r="P454" t="s">
        <v>3215</v>
      </c>
      <c r="Q454">
        <v>0.8</v>
      </c>
      <c r="R454">
        <v>28.44</v>
      </c>
      <c r="S454">
        <v>0.49</v>
      </c>
      <c r="T454">
        <v>17</v>
      </c>
      <c r="U454">
        <v>0</v>
      </c>
      <c r="V454">
        <v>20382.248561</v>
      </c>
      <c r="W454">
        <v>453</v>
      </c>
      <c r="X454">
        <v>0</v>
      </c>
      <c r="Y454">
        <v>452</v>
      </c>
      <c r="Z454" t="s">
        <v>6966</v>
      </c>
      <c r="AA454" t="s">
        <v>6966</v>
      </c>
      <c r="AB454" t="s">
        <v>6966</v>
      </c>
      <c r="AC454" t="s">
        <v>6966</v>
      </c>
      <c r="AD454" t="s">
        <v>6966</v>
      </c>
      <c r="AE454" t="s">
        <v>6966</v>
      </c>
      <c r="AF454" t="s">
        <v>6966</v>
      </c>
      <c r="AG454" t="s">
        <v>6966</v>
      </c>
      <c r="AH454" t="s">
        <v>6966</v>
      </c>
      <c r="AI454" t="s">
        <v>6966</v>
      </c>
      <c r="AJ454" t="s">
        <v>6966</v>
      </c>
      <c r="AK454" t="s">
        <v>6966</v>
      </c>
      <c r="AL454" t="s">
        <v>6966</v>
      </c>
      <c r="AM454" t="s">
        <v>6966</v>
      </c>
      <c r="AN454" t="s">
        <v>6966</v>
      </c>
      <c r="AO454" t="s">
        <v>6966</v>
      </c>
      <c r="AP454" t="s">
        <v>6966</v>
      </c>
      <c r="AQ454" t="s">
        <v>6966</v>
      </c>
      <c r="AR454" t="s">
        <v>6966</v>
      </c>
      <c r="AS454" t="s">
        <v>6966</v>
      </c>
      <c r="AT454" t="s">
        <v>6966</v>
      </c>
      <c r="AU454" t="s">
        <v>6966</v>
      </c>
      <c r="AV454" t="s">
        <v>6966</v>
      </c>
      <c r="AW454" t="s">
        <v>6966</v>
      </c>
      <c r="AX454" t="s">
        <v>6966</v>
      </c>
      <c r="AY454" t="s">
        <v>6966</v>
      </c>
      <c r="AZ454">
        <v>0.20203499999999999</v>
      </c>
      <c r="BA454">
        <v>1.1169999999999999E-3</v>
      </c>
    </row>
    <row r="455" spans="1:53" x14ac:dyDescent="0.25">
      <c r="A455">
        <v>453</v>
      </c>
      <c r="B455" t="s">
        <v>7625</v>
      </c>
      <c r="C455">
        <v>701036</v>
      </c>
      <c r="D455" t="s">
        <v>691</v>
      </c>
      <c r="E455" t="s">
        <v>649</v>
      </c>
      <c r="F455">
        <v>2732129.25</v>
      </c>
      <c r="G455">
        <v>10469.757813</v>
      </c>
      <c r="H455">
        <v>403</v>
      </c>
      <c r="I455">
        <v>587</v>
      </c>
      <c r="J455">
        <v>34266</v>
      </c>
      <c r="K455" t="s">
        <v>2111</v>
      </c>
      <c r="L455">
        <v>11</v>
      </c>
      <c r="M455">
        <v>11</v>
      </c>
      <c r="N455">
        <v>34266</v>
      </c>
      <c r="O455">
        <v>391</v>
      </c>
      <c r="P455" t="s">
        <v>3215</v>
      </c>
      <c r="Q455">
        <v>1.7</v>
      </c>
      <c r="R455">
        <v>27.41</v>
      </c>
      <c r="S455">
        <v>0.41</v>
      </c>
      <c r="T455">
        <v>7</v>
      </c>
      <c r="U455">
        <v>2732129.12176</v>
      </c>
      <c r="V455">
        <v>10469.757503000001</v>
      </c>
      <c r="W455">
        <v>454</v>
      </c>
      <c r="X455">
        <v>0</v>
      </c>
      <c r="Y455">
        <v>453</v>
      </c>
      <c r="Z455" t="s">
        <v>6966</v>
      </c>
      <c r="AA455" t="s">
        <v>6966</v>
      </c>
      <c r="AB455" t="s">
        <v>6966</v>
      </c>
      <c r="AC455" t="s">
        <v>6966</v>
      </c>
      <c r="AD455" t="s">
        <v>6966</v>
      </c>
      <c r="AE455" t="s">
        <v>6966</v>
      </c>
      <c r="AF455" t="s">
        <v>6966</v>
      </c>
      <c r="AG455" t="s">
        <v>6966</v>
      </c>
      <c r="AH455" t="s">
        <v>6966</v>
      </c>
      <c r="AI455" t="s">
        <v>6966</v>
      </c>
      <c r="AJ455" t="s">
        <v>6966</v>
      </c>
      <c r="AK455" t="s">
        <v>6966</v>
      </c>
      <c r="AL455" t="s">
        <v>6966</v>
      </c>
      <c r="AM455" t="s">
        <v>6966</v>
      </c>
      <c r="AN455" t="s">
        <v>6966</v>
      </c>
      <c r="AO455" t="s">
        <v>6966</v>
      </c>
      <c r="AP455" t="s">
        <v>6966</v>
      </c>
      <c r="AQ455" t="s">
        <v>6966</v>
      </c>
      <c r="AR455" t="s">
        <v>6966</v>
      </c>
      <c r="AS455" t="s">
        <v>6966</v>
      </c>
      <c r="AT455" t="s">
        <v>6966</v>
      </c>
      <c r="AU455" t="s">
        <v>6966</v>
      </c>
      <c r="AV455" t="s">
        <v>6966</v>
      </c>
      <c r="AW455" t="s">
        <v>6966</v>
      </c>
      <c r="AX455" t="s">
        <v>6966</v>
      </c>
      <c r="AY455" t="s">
        <v>6966</v>
      </c>
      <c r="AZ455">
        <v>0.105987</v>
      </c>
      <c r="BA455">
        <v>2.6699999999999998E-4</v>
      </c>
    </row>
    <row r="456" spans="1:53" x14ac:dyDescent="0.25">
      <c r="A456">
        <v>454</v>
      </c>
      <c r="B456" t="s">
        <v>7625</v>
      </c>
      <c r="C456">
        <v>201071</v>
      </c>
      <c r="D456" t="s">
        <v>1162</v>
      </c>
      <c r="E456" t="s">
        <v>1069</v>
      </c>
      <c r="F456">
        <v>0</v>
      </c>
      <c r="G456">
        <v>24361.880859000001</v>
      </c>
      <c r="H456">
        <v>404</v>
      </c>
      <c r="I456">
        <v>588</v>
      </c>
      <c r="J456">
        <v>54183</v>
      </c>
      <c r="K456" t="s">
        <v>2486</v>
      </c>
      <c r="L456">
        <v>17</v>
      </c>
      <c r="M456">
        <v>17</v>
      </c>
      <c r="N456">
        <v>54183</v>
      </c>
      <c r="O456">
        <v>392</v>
      </c>
      <c r="P456" t="s">
        <v>3214</v>
      </c>
      <c r="Q456">
        <v>0</v>
      </c>
      <c r="R456">
        <v>0</v>
      </c>
      <c r="S456">
        <v>0.01</v>
      </c>
      <c r="T456">
        <v>0</v>
      </c>
      <c r="U456">
        <v>0</v>
      </c>
      <c r="V456">
        <v>24361.880051</v>
      </c>
      <c r="W456">
        <v>455</v>
      </c>
      <c r="X456">
        <v>0</v>
      </c>
      <c r="Y456">
        <v>454</v>
      </c>
      <c r="Z456" t="s">
        <v>6966</v>
      </c>
      <c r="AA456" t="s">
        <v>6966</v>
      </c>
      <c r="AB456" t="s">
        <v>6966</v>
      </c>
      <c r="AC456" t="s">
        <v>6966</v>
      </c>
      <c r="AD456" t="s">
        <v>6966</v>
      </c>
      <c r="AE456" t="s">
        <v>6966</v>
      </c>
      <c r="AF456" t="s">
        <v>6966</v>
      </c>
      <c r="AG456" t="s">
        <v>6966</v>
      </c>
      <c r="AH456" t="s">
        <v>6966</v>
      </c>
      <c r="AI456" t="s">
        <v>6966</v>
      </c>
      <c r="AJ456" t="s">
        <v>6966</v>
      </c>
      <c r="AK456" t="s">
        <v>6966</v>
      </c>
      <c r="AL456" t="s">
        <v>6966</v>
      </c>
      <c r="AM456" t="s">
        <v>6966</v>
      </c>
      <c r="AN456" t="s">
        <v>6966</v>
      </c>
      <c r="AO456" t="s">
        <v>6966</v>
      </c>
      <c r="AP456" t="s">
        <v>6966</v>
      </c>
      <c r="AQ456" t="s">
        <v>6966</v>
      </c>
      <c r="AR456" t="s">
        <v>6966</v>
      </c>
      <c r="AS456" t="s">
        <v>6966</v>
      </c>
      <c r="AT456" t="s">
        <v>6966</v>
      </c>
      <c r="AU456" t="s">
        <v>6966</v>
      </c>
      <c r="AV456" t="s">
        <v>6966</v>
      </c>
      <c r="AW456" t="s">
        <v>6966</v>
      </c>
      <c r="AX456" t="s">
        <v>6966</v>
      </c>
      <c r="AY456" t="s">
        <v>6966</v>
      </c>
      <c r="AZ456">
        <v>0.25636199999999998</v>
      </c>
      <c r="BA456">
        <v>1.2489999999999999E-3</v>
      </c>
    </row>
    <row r="457" spans="1:53" x14ac:dyDescent="0.25">
      <c r="A457">
        <v>455</v>
      </c>
      <c r="B457" t="s">
        <v>7625</v>
      </c>
      <c r="C457">
        <v>701037</v>
      </c>
      <c r="D457" t="s">
        <v>696</v>
      </c>
      <c r="E457" t="s">
        <v>649</v>
      </c>
      <c r="F457">
        <v>1484072.5</v>
      </c>
      <c r="G457">
        <v>7663.5390630000002</v>
      </c>
      <c r="H457">
        <v>405</v>
      </c>
      <c r="I457">
        <v>589</v>
      </c>
      <c r="J457">
        <v>34274</v>
      </c>
      <c r="K457" t="s">
        <v>696</v>
      </c>
      <c r="L457">
        <v>11</v>
      </c>
      <c r="M457">
        <v>11</v>
      </c>
      <c r="N457">
        <v>34274</v>
      </c>
      <c r="O457">
        <v>393</v>
      </c>
      <c r="P457" t="s">
        <v>3215</v>
      </c>
      <c r="Q457">
        <v>1.3</v>
      </c>
      <c r="R457">
        <v>15.66</v>
      </c>
      <c r="S457">
        <v>0.37</v>
      </c>
      <c r="T457">
        <v>4</v>
      </c>
      <c r="U457">
        <v>1484072.4561600001</v>
      </c>
      <c r="V457">
        <v>7663.5377939999998</v>
      </c>
      <c r="W457">
        <v>456</v>
      </c>
      <c r="X457">
        <v>0</v>
      </c>
      <c r="Y457">
        <v>455</v>
      </c>
      <c r="Z457" t="s">
        <v>6966</v>
      </c>
      <c r="AA457" t="s">
        <v>6966</v>
      </c>
      <c r="AB457" t="s">
        <v>6966</v>
      </c>
      <c r="AC457" t="s">
        <v>6966</v>
      </c>
      <c r="AD457" t="s">
        <v>6966</v>
      </c>
      <c r="AE457" t="s">
        <v>6966</v>
      </c>
      <c r="AF457" t="s">
        <v>6966</v>
      </c>
      <c r="AG457" t="s">
        <v>6966</v>
      </c>
      <c r="AH457" t="s">
        <v>6966</v>
      </c>
      <c r="AI457" t="s">
        <v>6966</v>
      </c>
      <c r="AJ457" t="s">
        <v>6966</v>
      </c>
      <c r="AK457" t="s">
        <v>6966</v>
      </c>
      <c r="AL457" t="s">
        <v>6966</v>
      </c>
      <c r="AM457" t="s">
        <v>6966</v>
      </c>
      <c r="AN457" t="s">
        <v>6966</v>
      </c>
      <c r="AO457" t="s">
        <v>6966</v>
      </c>
      <c r="AP457" t="s">
        <v>6966</v>
      </c>
      <c r="AQ457" t="s">
        <v>6966</v>
      </c>
      <c r="AR457" t="s">
        <v>6966</v>
      </c>
      <c r="AS457" t="s">
        <v>6966</v>
      </c>
      <c r="AT457" t="s">
        <v>6966</v>
      </c>
      <c r="AU457" t="s">
        <v>6966</v>
      </c>
      <c r="AV457" t="s">
        <v>6966</v>
      </c>
      <c r="AW457" t="s">
        <v>6966</v>
      </c>
      <c r="AX457" t="s">
        <v>6966</v>
      </c>
      <c r="AY457" t="s">
        <v>6966</v>
      </c>
      <c r="AZ457">
        <v>7.8185000000000004E-2</v>
      </c>
      <c r="BA457">
        <v>1.45E-4</v>
      </c>
    </row>
    <row r="458" spans="1:53" x14ac:dyDescent="0.25">
      <c r="A458">
        <v>456</v>
      </c>
      <c r="B458" t="s">
        <v>7625</v>
      </c>
      <c r="C458">
        <v>702016</v>
      </c>
      <c r="D458" t="s">
        <v>898</v>
      </c>
      <c r="E458" t="s">
        <v>2906</v>
      </c>
      <c r="F458">
        <v>1376689</v>
      </c>
      <c r="G458">
        <v>7239.9116210000002</v>
      </c>
      <c r="H458">
        <v>406</v>
      </c>
      <c r="I458">
        <v>590</v>
      </c>
      <c r="J458">
        <v>36144</v>
      </c>
      <c r="K458" t="s">
        <v>2275</v>
      </c>
      <c r="L458">
        <v>13</v>
      </c>
      <c r="M458">
        <v>13</v>
      </c>
      <c r="N458">
        <v>36144</v>
      </c>
      <c r="O458">
        <v>394</v>
      </c>
      <c r="P458" t="s">
        <v>3215</v>
      </c>
      <c r="Q458">
        <v>0.7</v>
      </c>
      <c r="R458">
        <v>36.869999999999997</v>
      </c>
      <c r="S458">
        <v>0.27</v>
      </c>
      <c r="T458">
        <v>14</v>
      </c>
      <c r="U458">
        <v>1376688.9984800001</v>
      </c>
      <c r="V458">
        <v>7239.9117130000004</v>
      </c>
      <c r="W458">
        <v>457</v>
      </c>
      <c r="X458">
        <v>0</v>
      </c>
      <c r="Y458">
        <v>456</v>
      </c>
      <c r="Z458" t="s">
        <v>6966</v>
      </c>
      <c r="AA458" t="s">
        <v>6966</v>
      </c>
      <c r="AB458" t="s">
        <v>6966</v>
      </c>
      <c r="AC458" t="s">
        <v>6966</v>
      </c>
      <c r="AD458" t="s">
        <v>6966</v>
      </c>
      <c r="AE458" t="s">
        <v>6966</v>
      </c>
      <c r="AF458" t="s">
        <v>6966</v>
      </c>
      <c r="AG458" t="s">
        <v>6966</v>
      </c>
      <c r="AH458" t="s">
        <v>6966</v>
      </c>
      <c r="AI458" t="s">
        <v>6966</v>
      </c>
      <c r="AJ458" t="s">
        <v>6966</v>
      </c>
      <c r="AK458" t="s">
        <v>6966</v>
      </c>
      <c r="AL458" t="s">
        <v>6966</v>
      </c>
      <c r="AM458" t="s">
        <v>6966</v>
      </c>
      <c r="AN458" t="s">
        <v>6966</v>
      </c>
      <c r="AO458" t="s">
        <v>6966</v>
      </c>
      <c r="AP458" t="s">
        <v>6966</v>
      </c>
      <c r="AQ458" t="s">
        <v>6966</v>
      </c>
      <c r="AR458" t="s">
        <v>6966</v>
      </c>
      <c r="AS458" t="s">
        <v>6966</v>
      </c>
      <c r="AT458" t="s">
        <v>6966</v>
      </c>
      <c r="AU458" t="s">
        <v>6966</v>
      </c>
      <c r="AV458" t="s">
        <v>6966</v>
      </c>
      <c r="AW458" t="s">
        <v>6966</v>
      </c>
      <c r="AX458" t="s">
        <v>6966</v>
      </c>
      <c r="AY458" t="s">
        <v>6966</v>
      </c>
      <c r="AZ458">
        <v>7.4895000000000003E-2</v>
      </c>
      <c r="BA458">
        <v>1.35E-4</v>
      </c>
    </row>
    <row r="459" spans="1:53" x14ac:dyDescent="0.25">
      <c r="A459">
        <v>457</v>
      </c>
      <c r="B459" t="s">
        <v>7625</v>
      </c>
      <c r="C459">
        <v>701007</v>
      </c>
      <c r="D459" t="s">
        <v>681</v>
      </c>
      <c r="E459" t="s">
        <v>649</v>
      </c>
      <c r="F459">
        <v>568246.5625</v>
      </c>
      <c r="G459">
        <v>4185.9360349999997</v>
      </c>
      <c r="H459">
        <v>407</v>
      </c>
      <c r="I459">
        <v>591</v>
      </c>
      <c r="J459">
        <v>34249</v>
      </c>
      <c r="K459" t="s">
        <v>681</v>
      </c>
      <c r="L459">
        <v>11</v>
      </c>
      <c r="M459">
        <v>11</v>
      </c>
      <c r="N459">
        <v>34249</v>
      </c>
      <c r="O459">
        <v>395</v>
      </c>
      <c r="P459" t="s">
        <v>3215</v>
      </c>
      <c r="Q459">
        <v>8.6</v>
      </c>
      <c r="R459">
        <v>36.630000000000003</v>
      </c>
      <c r="S459">
        <v>2.69</v>
      </c>
      <c r="T459">
        <v>11</v>
      </c>
      <c r="U459">
        <v>568246.58684999996</v>
      </c>
      <c r="V459">
        <v>4185.9356239999997</v>
      </c>
      <c r="W459">
        <v>458</v>
      </c>
      <c r="X459">
        <v>0</v>
      </c>
      <c r="Y459">
        <v>457</v>
      </c>
      <c r="Z459" t="s">
        <v>6966</v>
      </c>
      <c r="AA459" t="s">
        <v>6966</v>
      </c>
      <c r="AB459" t="s">
        <v>6966</v>
      </c>
      <c r="AC459" t="s">
        <v>6966</v>
      </c>
      <c r="AD459" t="s">
        <v>6966</v>
      </c>
      <c r="AE459" t="s">
        <v>6966</v>
      </c>
      <c r="AF459" t="s">
        <v>6966</v>
      </c>
      <c r="AG459" t="s">
        <v>6966</v>
      </c>
      <c r="AH459" t="s">
        <v>6966</v>
      </c>
      <c r="AI459" t="s">
        <v>6966</v>
      </c>
      <c r="AJ459" t="s">
        <v>6966</v>
      </c>
      <c r="AK459" t="s">
        <v>6966</v>
      </c>
      <c r="AL459" t="s">
        <v>6966</v>
      </c>
      <c r="AM459" t="s">
        <v>6966</v>
      </c>
      <c r="AN459" t="s">
        <v>6966</v>
      </c>
      <c r="AO459" t="s">
        <v>6966</v>
      </c>
      <c r="AP459" t="s">
        <v>6966</v>
      </c>
      <c r="AQ459" t="s">
        <v>6966</v>
      </c>
      <c r="AR459" t="s">
        <v>6966</v>
      </c>
      <c r="AS459" t="s">
        <v>6966</v>
      </c>
      <c r="AT459" t="s">
        <v>6966</v>
      </c>
      <c r="AU459" t="s">
        <v>6966</v>
      </c>
      <c r="AV459" t="s">
        <v>6966</v>
      </c>
      <c r="AW459" t="s">
        <v>6966</v>
      </c>
      <c r="AX459" t="s">
        <v>6966</v>
      </c>
      <c r="AY459" t="s">
        <v>6966</v>
      </c>
      <c r="AZ459">
        <v>4.2476E-2</v>
      </c>
      <c r="BA459">
        <v>5.5999999999999999E-5</v>
      </c>
    </row>
    <row r="460" spans="1:53" x14ac:dyDescent="0.25">
      <c r="A460">
        <v>458</v>
      </c>
      <c r="B460" t="s">
        <v>7625</v>
      </c>
      <c r="C460">
        <v>702017</v>
      </c>
      <c r="D460" t="s">
        <v>895</v>
      </c>
      <c r="E460" t="s">
        <v>2906</v>
      </c>
      <c r="F460">
        <v>1921540.5</v>
      </c>
      <c r="G460">
        <v>7096.3315430000002</v>
      </c>
      <c r="H460">
        <v>408</v>
      </c>
      <c r="I460">
        <v>592</v>
      </c>
      <c r="J460">
        <v>36134</v>
      </c>
      <c r="K460" t="s">
        <v>2273</v>
      </c>
      <c r="L460">
        <v>13</v>
      </c>
      <c r="M460">
        <v>13</v>
      </c>
      <c r="N460">
        <v>36134</v>
      </c>
      <c r="O460">
        <v>396</v>
      </c>
      <c r="P460" t="s">
        <v>3215</v>
      </c>
      <c r="Q460">
        <v>1.1000000000000001</v>
      </c>
      <c r="R460">
        <v>51.16</v>
      </c>
      <c r="S460">
        <v>0.32</v>
      </c>
      <c r="T460">
        <v>15</v>
      </c>
      <c r="U460">
        <v>1921540.57488</v>
      </c>
      <c r="V460">
        <v>7096.3318170000002</v>
      </c>
      <c r="W460">
        <v>459</v>
      </c>
      <c r="X460">
        <v>0</v>
      </c>
      <c r="Y460">
        <v>458</v>
      </c>
      <c r="Z460" t="s">
        <v>6966</v>
      </c>
      <c r="AA460" t="s">
        <v>6966</v>
      </c>
      <c r="AB460" t="s">
        <v>6966</v>
      </c>
      <c r="AC460" t="s">
        <v>6966</v>
      </c>
      <c r="AD460" t="s">
        <v>6966</v>
      </c>
      <c r="AE460" t="s">
        <v>6966</v>
      </c>
      <c r="AF460" t="s">
        <v>6966</v>
      </c>
      <c r="AG460" t="s">
        <v>6966</v>
      </c>
      <c r="AH460" t="s">
        <v>6966</v>
      </c>
      <c r="AI460" t="s">
        <v>6966</v>
      </c>
      <c r="AJ460" t="s">
        <v>6966</v>
      </c>
      <c r="AK460" t="s">
        <v>6966</v>
      </c>
      <c r="AL460" t="s">
        <v>6966</v>
      </c>
      <c r="AM460" t="s">
        <v>6966</v>
      </c>
      <c r="AN460" t="s">
        <v>6966</v>
      </c>
      <c r="AO460" t="s">
        <v>6966</v>
      </c>
      <c r="AP460" t="s">
        <v>6966</v>
      </c>
      <c r="AQ460" t="s">
        <v>6966</v>
      </c>
      <c r="AR460" t="s">
        <v>6966</v>
      </c>
      <c r="AS460" t="s">
        <v>6966</v>
      </c>
      <c r="AT460" t="s">
        <v>6966</v>
      </c>
      <c r="AU460" t="s">
        <v>6966</v>
      </c>
      <c r="AV460" t="s">
        <v>6966</v>
      </c>
      <c r="AW460" t="s">
        <v>6966</v>
      </c>
      <c r="AX460" t="s">
        <v>6966</v>
      </c>
      <c r="AY460" t="s">
        <v>6966</v>
      </c>
      <c r="AZ460">
        <v>7.0185999999999998E-2</v>
      </c>
      <c r="BA460">
        <v>1.8799999999999999E-4</v>
      </c>
    </row>
    <row r="461" spans="1:53" x14ac:dyDescent="0.25">
      <c r="A461">
        <v>459</v>
      </c>
      <c r="B461" t="s">
        <v>7625</v>
      </c>
      <c r="C461">
        <v>701049</v>
      </c>
      <c r="D461" t="s">
        <v>679</v>
      </c>
      <c r="E461" t="s">
        <v>649</v>
      </c>
      <c r="F461">
        <v>2852637.5</v>
      </c>
      <c r="G461">
        <v>9486.0742190000001</v>
      </c>
      <c r="H461">
        <v>409</v>
      </c>
      <c r="I461">
        <v>593</v>
      </c>
      <c r="J461">
        <v>34246</v>
      </c>
      <c r="K461" t="s">
        <v>679</v>
      </c>
      <c r="L461">
        <v>11</v>
      </c>
      <c r="M461">
        <v>11</v>
      </c>
      <c r="N461">
        <v>34246</v>
      </c>
      <c r="O461">
        <v>397</v>
      </c>
      <c r="P461" t="s">
        <v>3215</v>
      </c>
      <c r="Q461">
        <v>2.2000000000000002</v>
      </c>
      <c r="R461">
        <v>25.02</v>
      </c>
      <c r="S461">
        <v>0.52</v>
      </c>
      <c r="T461">
        <v>6</v>
      </c>
      <c r="U461">
        <v>2852637.42141</v>
      </c>
      <c r="V461">
        <v>9486.0734219999995</v>
      </c>
      <c r="W461">
        <v>460</v>
      </c>
      <c r="X461">
        <v>0</v>
      </c>
      <c r="Y461">
        <v>459</v>
      </c>
      <c r="Z461" t="s">
        <v>6966</v>
      </c>
      <c r="AA461" t="s">
        <v>6966</v>
      </c>
      <c r="AB461" t="s">
        <v>6966</v>
      </c>
      <c r="AC461" t="s">
        <v>6966</v>
      </c>
      <c r="AD461" t="s">
        <v>6966</v>
      </c>
      <c r="AE461" t="s">
        <v>6966</v>
      </c>
      <c r="AF461" t="s">
        <v>6966</v>
      </c>
      <c r="AG461" t="s">
        <v>6966</v>
      </c>
      <c r="AH461" t="s">
        <v>6966</v>
      </c>
      <c r="AI461" t="s">
        <v>6966</v>
      </c>
      <c r="AJ461" t="s">
        <v>6966</v>
      </c>
      <c r="AK461" t="s">
        <v>6966</v>
      </c>
      <c r="AL461" t="s">
        <v>6966</v>
      </c>
      <c r="AM461" t="s">
        <v>6966</v>
      </c>
      <c r="AN461" t="s">
        <v>6966</v>
      </c>
      <c r="AO461" t="s">
        <v>6966</v>
      </c>
      <c r="AP461" t="s">
        <v>6966</v>
      </c>
      <c r="AQ461" t="s">
        <v>6966</v>
      </c>
      <c r="AR461" t="s">
        <v>6966</v>
      </c>
      <c r="AS461" t="s">
        <v>6966</v>
      </c>
      <c r="AT461" t="s">
        <v>6966</v>
      </c>
      <c r="AU461" t="s">
        <v>6966</v>
      </c>
      <c r="AV461" t="s">
        <v>6966</v>
      </c>
      <c r="AW461" t="s">
        <v>6966</v>
      </c>
      <c r="AX461" t="s">
        <v>6966</v>
      </c>
      <c r="AY461" t="s">
        <v>6966</v>
      </c>
      <c r="AZ461">
        <v>9.3251000000000001E-2</v>
      </c>
      <c r="BA461">
        <v>2.7900000000000001E-4</v>
      </c>
    </row>
    <row r="462" spans="1:53" x14ac:dyDescent="0.25">
      <c r="A462">
        <v>460</v>
      </c>
      <c r="B462" t="s">
        <v>7625</v>
      </c>
      <c r="C462">
        <v>701012</v>
      </c>
      <c r="D462" t="s">
        <v>717</v>
      </c>
      <c r="E462" t="s">
        <v>649</v>
      </c>
      <c r="F462">
        <v>1225298.375</v>
      </c>
      <c r="G462">
        <v>5828.1289059999999</v>
      </c>
      <c r="H462">
        <v>410</v>
      </c>
      <c r="I462">
        <v>594</v>
      </c>
      <c r="J462">
        <v>34371</v>
      </c>
      <c r="K462" t="s">
        <v>2129</v>
      </c>
      <c r="L462">
        <v>11</v>
      </c>
      <c r="M462">
        <v>11</v>
      </c>
      <c r="N462">
        <v>34371</v>
      </c>
      <c r="O462">
        <v>398</v>
      </c>
      <c r="P462" t="s">
        <v>3215</v>
      </c>
      <c r="Q462">
        <v>0.4</v>
      </c>
      <c r="R462">
        <v>5.54</v>
      </c>
      <c r="S462">
        <v>0.15</v>
      </c>
      <c r="T462">
        <v>2</v>
      </c>
      <c r="U462">
        <v>1225298.3221</v>
      </c>
      <c r="V462">
        <v>5828.1300709999996</v>
      </c>
      <c r="W462">
        <v>461</v>
      </c>
      <c r="X462">
        <v>0</v>
      </c>
      <c r="Y462">
        <v>460</v>
      </c>
      <c r="Z462" t="s">
        <v>6966</v>
      </c>
      <c r="AA462" t="s">
        <v>6966</v>
      </c>
      <c r="AB462" t="s">
        <v>6966</v>
      </c>
      <c r="AC462" t="s">
        <v>6966</v>
      </c>
      <c r="AD462" t="s">
        <v>6966</v>
      </c>
      <c r="AE462" t="s">
        <v>6966</v>
      </c>
      <c r="AF462" t="s">
        <v>6966</v>
      </c>
      <c r="AG462" t="s">
        <v>6966</v>
      </c>
      <c r="AH462" t="s">
        <v>6966</v>
      </c>
      <c r="AI462" t="s">
        <v>6966</v>
      </c>
      <c r="AJ462" t="s">
        <v>6966</v>
      </c>
      <c r="AK462" t="s">
        <v>6966</v>
      </c>
      <c r="AL462" t="s">
        <v>6966</v>
      </c>
      <c r="AM462" t="s">
        <v>6966</v>
      </c>
      <c r="AN462" t="s">
        <v>6966</v>
      </c>
      <c r="AO462" t="s">
        <v>6966</v>
      </c>
      <c r="AP462" t="s">
        <v>6966</v>
      </c>
      <c r="AQ462" t="s">
        <v>6966</v>
      </c>
      <c r="AR462" t="s">
        <v>6966</v>
      </c>
      <c r="AS462" t="s">
        <v>6966</v>
      </c>
      <c r="AT462" t="s">
        <v>6966</v>
      </c>
      <c r="AU462" t="s">
        <v>6966</v>
      </c>
      <c r="AV462" t="s">
        <v>6966</v>
      </c>
      <c r="AW462" t="s">
        <v>6966</v>
      </c>
      <c r="AX462" t="s">
        <v>6966</v>
      </c>
      <c r="AY462" t="s">
        <v>6966</v>
      </c>
      <c r="AZ462">
        <v>6.0179000000000003E-2</v>
      </c>
      <c r="BA462">
        <v>1.2E-4</v>
      </c>
    </row>
    <row r="463" spans="1:53" x14ac:dyDescent="0.25">
      <c r="A463">
        <v>461</v>
      </c>
      <c r="B463" t="s">
        <v>7625</v>
      </c>
      <c r="C463">
        <v>201095</v>
      </c>
      <c r="D463" t="s">
        <v>1095</v>
      </c>
      <c r="E463" t="s">
        <v>1069</v>
      </c>
      <c r="F463">
        <v>7874566</v>
      </c>
      <c r="G463">
        <v>16818.609375</v>
      </c>
      <c r="H463">
        <v>411</v>
      </c>
      <c r="I463">
        <v>595</v>
      </c>
      <c r="J463">
        <v>53237</v>
      </c>
      <c r="K463" t="s">
        <v>2436</v>
      </c>
      <c r="L463">
        <v>17</v>
      </c>
      <c r="M463">
        <v>17</v>
      </c>
      <c r="N463">
        <v>53237</v>
      </c>
      <c r="O463">
        <v>399</v>
      </c>
      <c r="P463" t="s">
        <v>3214</v>
      </c>
      <c r="Q463">
        <v>1</v>
      </c>
      <c r="R463">
        <v>27.69</v>
      </c>
      <c r="S463">
        <v>0.2</v>
      </c>
      <c r="T463">
        <v>6</v>
      </c>
      <c r="U463">
        <v>7874566.3754700003</v>
      </c>
      <c r="V463">
        <v>16818.610502</v>
      </c>
      <c r="W463">
        <v>462</v>
      </c>
      <c r="X463">
        <v>0</v>
      </c>
      <c r="Y463">
        <v>461</v>
      </c>
      <c r="Z463" t="s">
        <v>6966</v>
      </c>
      <c r="AA463" t="s">
        <v>6966</v>
      </c>
      <c r="AB463" t="s">
        <v>6966</v>
      </c>
      <c r="AC463" t="s">
        <v>6966</v>
      </c>
      <c r="AD463" t="s">
        <v>6966</v>
      </c>
      <c r="AE463" t="s">
        <v>6966</v>
      </c>
      <c r="AF463" t="s">
        <v>6966</v>
      </c>
      <c r="AG463" t="s">
        <v>6966</v>
      </c>
      <c r="AH463" t="s">
        <v>6966</v>
      </c>
      <c r="AI463" t="s">
        <v>6966</v>
      </c>
      <c r="AJ463" t="s">
        <v>6966</v>
      </c>
      <c r="AK463" t="s">
        <v>6966</v>
      </c>
      <c r="AL463" t="s">
        <v>6966</v>
      </c>
      <c r="AM463" t="s">
        <v>6966</v>
      </c>
      <c r="AN463" t="s">
        <v>6966</v>
      </c>
      <c r="AO463" t="s">
        <v>6966</v>
      </c>
      <c r="AP463" t="s">
        <v>6966</v>
      </c>
      <c r="AQ463" t="s">
        <v>6966</v>
      </c>
      <c r="AR463" t="s">
        <v>6966</v>
      </c>
      <c r="AS463" t="s">
        <v>6966</v>
      </c>
      <c r="AT463" t="s">
        <v>6966</v>
      </c>
      <c r="AU463" t="s">
        <v>6966</v>
      </c>
      <c r="AV463" t="s">
        <v>6966</v>
      </c>
      <c r="AW463" t="s">
        <v>6966</v>
      </c>
      <c r="AX463" t="s">
        <v>6966</v>
      </c>
      <c r="AY463" t="s">
        <v>6966</v>
      </c>
      <c r="AZ463">
        <v>0.17054800000000001</v>
      </c>
      <c r="BA463">
        <v>7.7099999999999998E-4</v>
      </c>
    </row>
    <row r="464" spans="1:53" x14ac:dyDescent="0.25">
      <c r="A464">
        <v>462</v>
      </c>
      <c r="B464" t="s">
        <v>7625</v>
      </c>
      <c r="C464">
        <v>702012</v>
      </c>
      <c r="D464" t="s">
        <v>903</v>
      </c>
      <c r="E464" t="s">
        <v>2906</v>
      </c>
      <c r="F464">
        <v>4129068.75</v>
      </c>
      <c r="G464">
        <v>11029.230469</v>
      </c>
      <c r="H464">
        <v>412</v>
      </c>
      <c r="I464">
        <v>596</v>
      </c>
      <c r="J464">
        <v>36161</v>
      </c>
      <c r="K464" t="s">
        <v>2278</v>
      </c>
      <c r="L464">
        <v>13</v>
      </c>
      <c r="M464">
        <v>13</v>
      </c>
      <c r="N464">
        <v>36161</v>
      </c>
      <c r="O464">
        <v>400</v>
      </c>
      <c r="P464" t="s">
        <v>3215</v>
      </c>
      <c r="Q464">
        <v>0.6</v>
      </c>
      <c r="R464">
        <v>9.44</v>
      </c>
      <c r="S464">
        <v>0.24</v>
      </c>
      <c r="T464">
        <v>4</v>
      </c>
      <c r="U464">
        <v>4129068.8050299999</v>
      </c>
      <c r="V464">
        <v>11029.230583</v>
      </c>
      <c r="W464">
        <v>463</v>
      </c>
      <c r="X464">
        <v>0</v>
      </c>
      <c r="Y464">
        <v>462</v>
      </c>
      <c r="Z464" t="s">
        <v>6966</v>
      </c>
      <c r="AA464" t="s">
        <v>6966</v>
      </c>
      <c r="AB464" t="s">
        <v>6966</v>
      </c>
      <c r="AC464" t="s">
        <v>6966</v>
      </c>
      <c r="AD464" t="s">
        <v>6966</v>
      </c>
      <c r="AE464" t="s">
        <v>6966</v>
      </c>
      <c r="AF464" t="s">
        <v>6966</v>
      </c>
      <c r="AG464" t="s">
        <v>6966</v>
      </c>
      <c r="AH464" t="s">
        <v>6966</v>
      </c>
      <c r="AI464" t="s">
        <v>6966</v>
      </c>
      <c r="AJ464" t="s">
        <v>6966</v>
      </c>
      <c r="AK464" t="s">
        <v>6966</v>
      </c>
      <c r="AL464" t="s">
        <v>6966</v>
      </c>
      <c r="AM464" t="s">
        <v>6966</v>
      </c>
      <c r="AN464" t="s">
        <v>6966</v>
      </c>
      <c r="AO464" t="s">
        <v>6966</v>
      </c>
      <c r="AP464" t="s">
        <v>6966</v>
      </c>
      <c r="AQ464" t="s">
        <v>6966</v>
      </c>
      <c r="AR464" t="s">
        <v>6966</v>
      </c>
      <c r="AS464" t="s">
        <v>6966</v>
      </c>
      <c r="AT464" t="s">
        <v>6966</v>
      </c>
      <c r="AU464" t="s">
        <v>6966</v>
      </c>
      <c r="AV464" t="s">
        <v>6966</v>
      </c>
      <c r="AW464" t="s">
        <v>6966</v>
      </c>
      <c r="AX464" t="s">
        <v>6966</v>
      </c>
      <c r="AY464" t="s">
        <v>6966</v>
      </c>
      <c r="AZ464">
        <v>0.108293</v>
      </c>
      <c r="BA464">
        <v>4.0400000000000001E-4</v>
      </c>
    </row>
    <row r="465" spans="1:53" x14ac:dyDescent="0.25">
      <c r="A465">
        <v>463</v>
      </c>
      <c r="B465" t="s">
        <v>7625</v>
      </c>
      <c r="C465">
        <v>701034</v>
      </c>
      <c r="D465" t="s">
        <v>692</v>
      </c>
      <c r="E465" t="s">
        <v>649</v>
      </c>
      <c r="F465">
        <v>2144034</v>
      </c>
      <c r="G465">
        <v>10919.975586</v>
      </c>
      <c r="H465">
        <v>413</v>
      </c>
      <c r="I465">
        <v>597</v>
      </c>
      <c r="J465">
        <v>34267</v>
      </c>
      <c r="K465" t="s">
        <v>692</v>
      </c>
      <c r="L465">
        <v>11</v>
      </c>
      <c r="M465">
        <v>11</v>
      </c>
      <c r="N465">
        <v>34267</v>
      </c>
      <c r="O465">
        <v>401</v>
      </c>
      <c r="P465" t="s">
        <v>3215</v>
      </c>
      <c r="Q465">
        <v>1</v>
      </c>
      <c r="R465">
        <v>9.2200000000000006</v>
      </c>
      <c r="S465">
        <v>0.24</v>
      </c>
      <c r="T465">
        <v>2</v>
      </c>
      <c r="U465">
        <v>2144034.1744400002</v>
      </c>
      <c r="V465">
        <v>10919.975328</v>
      </c>
      <c r="W465">
        <v>464</v>
      </c>
      <c r="X465">
        <v>0</v>
      </c>
      <c r="Y465">
        <v>463</v>
      </c>
      <c r="Z465" t="s">
        <v>6966</v>
      </c>
      <c r="AA465" t="s">
        <v>6966</v>
      </c>
      <c r="AB465" t="s">
        <v>6966</v>
      </c>
      <c r="AC465" t="s">
        <v>6966</v>
      </c>
      <c r="AD465" t="s">
        <v>6966</v>
      </c>
      <c r="AE465" t="s">
        <v>6966</v>
      </c>
      <c r="AF465" t="s">
        <v>6966</v>
      </c>
      <c r="AG465" t="s">
        <v>6966</v>
      </c>
      <c r="AH465" t="s">
        <v>6966</v>
      </c>
      <c r="AI465" t="s">
        <v>6966</v>
      </c>
      <c r="AJ465" t="s">
        <v>6966</v>
      </c>
      <c r="AK465" t="s">
        <v>6966</v>
      </c>
      <c r="AL465" t="s">
        <v>6966</v>
      </c>
      <c r="AM465" t="s">
        <v>6966</v>
      </c>
      <c r="AN465" t="s">
        <v>6966</v>
      </c>
      <c r="AO465" t="s">
        <v>6966</v>
      </c>
      <c r="AP465" t="s">
        <v>6966</v>
      </c>
      <c r="AQ465" t="s">
        <v>6966</v>
      </c>
      <c r="AR465" t="s">
        <v>6966</v>
      </c>
      <c r="AS465" t="s">
        <v>6966</v>
      </c>
      <c r="AT465" t="s">
        <v>6966</v>
      </c>
      <c r="AU465" t="s">
        <v>6966</v>
      </c>
      <c r="AV465" t="s">
        <v>6966</v>
      </c>
      <c r="AW465" t="s">
        <v>6966</v>
      </c>
      <c r="AX465" t="s">
        <v>6966</v>
      </c>
      <c r="AY465" t="s">
        <v>6966</v>
      </c>
      <c r="AZ465">
        <v>0.108957</v>
      </c>
      <c r="BA465">
        <v>2.1000000000000001E-4</v>
      </c>
    </row>
    <row r="466" spans="1:53" x14ac:dyDescent="0.25">
      <c r="A466">
        <v>464</v>
      </c>
      <c r="B466" t="s">
        <v>7625</v>
      </c>
      <c r="C466">
        <v>702015</v>
      </c>
      <c r="D466" t="s">
        <v>905</v>
      </c>
      <c r="E466" t="s">
        <v>2906</v>
      </c>
      <c r="F466">
        <v>0</v>
      </c>
      <c r="G466">
        <v>15504.241211</v>
      </c>
      <c r="H466">
        <v>414</v>
      </c>
      <c r="I466">
        <v>598</v>
      </c>
      <c r="J466">
        <v>36171</v>
      </c>
      <c r="K466" t="s">
        <v>2280</v>
      </c>
      <c r="L466">
        <v>13</v>
      </c>
      <c r="M466">
        <v>13</v>
      </c>
      <c r="N466">
        <v>36171</v>
      </c>
      <c r="O466">
        <v>402</v>
      </c>
      <c r="P466" t="s">
        <v>3215</v>
      </c>
      <c r="Q466">
        <v>2.2000000000000002</v>
      </c>
      <c r="R466">
        <v>64.069999999999993</v>
      </c>
      <c r="S466">
        <v>0.91</v>
      </c>
      <c r="T466">
        <v>26</v>
      </c>
      <c r="U466">
        <v>0</v>
      </c>
      <c r="V466">
        <v>15504.240932999999</v>
      </c>
      <c r="W466">
        <v>465</v>
      </c>
      <c r="X466">
        <v>0</v>
      </c>
      <c r="Y466">
        <v>464</v>
      </c>
      <c r="Z466" t="s">
        <v>6966</v>
      </c>
      <c r="AA466" t="s">
        <v>6966</v>
      </c>
      <c r="AB466" t="s">
        <v>6966</v>
      </c>
      <c r="AC466" t="s">
        <v>6966</v>
      </c>
      <c r="AD466" t="s">
        <v>6966</v>
      </c>
      <c r="AE466" t="s">
        <v>6966</v>
      </c>
      <c r="AF466" t="s">
        <v>6966</v>
      </c>
      <c r="AG466" t="s">
        <v>6966</v>
      </c>
      <c r="AH466" t="s">
        <v>6966</v>
      </c>
      <c r="AI466" t="s">
        <v>6966</v>
      </c>
      <c r="AJ466" t="s">
        <v>6966</v>
      </c>
      <c r="AK466" t="s">
        <v>6966</v>
      </c>
      <c r="AL466" t="s">
        <v>6966</v>
      </c>
      <c r="AM466" t="s">
        <v>6966</v>
      </c>
      <c r="AN466" t="s">
        <v>6966</v>
      </c>
      <c r="AO466" t="s">
        <v>6966</v>
      </c>
      <c r="AP466" t="s">
        <v>6966</v>
      </c>
      <c r="AQ466" t="s">
        <v>6966</v>
      </c>
      <c r="AR466" t="s">
        <v>6966</v>
      </c>
      <c r="AS466" t="s">
        <v>6966</v>
      </c>
      <c r="AT466" t="s">
        <v>6966</v>
      </c>
      <c r="AU466" t="s">
        <v>6966</v>
      </c>
      <c r="AV466" t="s">
        <v>6966</v>
      </c>
      <c r="AW466" t="s">
        <v>6966</v>
      </c>
      <c r="AX466" t="s">
        <v>6966</v>
      </c>
      <c r="AY466" t="s">
        <v>6966</v>
      </c>
      <c r="AZ466">
        <v>0.15382799999999999</v>
      </c>
      <c r="BA466">
        <v>9.859999999999999E-4</v>
      </c>
    </row>
    <row r="467" spans="1:53" x14ac:dyDescent="0.25">
      <c r="A467">
        <v>465</v>
      </c>
      <c r="B467" t="s">
        <v>7625</v>
      </c>
      <c r="C467">
        <v>701018</v>
      </c>
      <c r="D467" t="s">
        <v>699</v>
      </c>
      <c r="E467" t="s">
        <v>649</v>
      </c>
      <c r="F467">
        <v>1942411.25</v>
      </c>
      <c r="G467">
        <v>6233.8364259999998</v>
      </c>
      <c r="H467">
        <v>415</v>
      </c>
      <c r="I467">
        <v>599</v>
      </c>
      <c r="J467">
        <v>34279</v>
      </c>
      <c r="K467" t="s">
        <v>2115</v>
      </c>
      <c r="L467">
        <v>11</v>
      </c>
      <c r="M467">
        <v>11</v>
      </c>
      <c r="N467">
        <v>34279</v>
      </c>
      <c r="O467">
        <v>403</v>
      </c>
      <c r="P467" t="s">
        <v>3215</v>
      </c>
      <c r="Q467">
        <v>0.3</v>
      </c>
      <c r="R467">
        <v>7.1</v>
      </c>
      <c r="S467">
        <v>0.13</v>
      </c>
      <c r="T467">
        <v>3</v>
      </c>
      <c r="U467">
        <v>1942411.2545700001</v>
      </c>
      <c r="V467">
        <v>6233.8366299999998</v>
      </c>
      <c r="W467">
        <v>466</v>
      </c>
      <c r="X467">
        <v>0</v>
      </c>
      <c r="Y467">
        <v>465</v>
      </c>
      <c r="Z467" t="s">
        <v>6966</v>
      </c>
      <c r="AA467" t="s">
        <v>6966</v>
      </c>
      <c r="AB467" t="s">
        <v>6966</v>
      </c>
      <c r="AC467" t="s">
        <v>6966</v>
      </c>
      <c r="AD467" t="s">
        <v>6966</v>
      </c>
      <c r="AE467" t="s">
        <v>6966</v>
      </c>
      <c r="AF467" t="s">
        <v>6966</v>
      </c>
      <c r="AG467" t="s">
        <v>6966</v>
      </c>
      <c r="AH467" t="s">
        <v>6966</v>
      </c>
      <c r="AI467" t="s">
        <v>6966</v>
      </c>
      <c r="AJ467" t="s">
        <v>6966</v>
      </c>
      <c r="AK467" t="s">
        <v>6966</v>
      </c>
      <c r="AL467" t="s">
        <v>6966</v>
      </c>
      <c r="AM467" t="s">
        <v>6966</v>
      </c>
      <c r="AN467" t="s">
        <v>6966</v>
      </c>
      <c r="AO467" t="s">
        <v>6966</v>
      </c>
      <c r="AP467" t="s">
        <v>6966</v>
      </c>
      <c r="AQ467" t="s">
        <v>6966</v>
      </c>
      <c r="AR467" t="s">
        <v>6966</v>
      </c>
      <c r="AS467" t="s">
        <v>6966</v>
      </c>
      <c r="AT467" t="s">
        <v>6966</v>
      </c>
      <c r="AU467" t="s">
        <v>6966</v>
      </c>
      <c r="AV467" t="s">
        <v>6966</v>
      </c>
      <c r="AW467" t="s">
        <v>6966</v>
      </c>
      <c r="AX467" t="s">
        <v>6966</v>
      </c>
      <c r="AY467" t="s">
        <v>6966</v>
      </c>
      <c r="AZ467">
        <v>6.2884999999999996E-2</v>
      </c>
      <c r="BA467">
        <v>1.9000000000000001E-4</v>
      </c>
    </row>
    <row r="468" spans="1:53" x14ac:dyDescent="0.25">
      <c r="A468">
        <v>466</v>
      </c>
      <c r="B468" t="s">
        <v>7625</v>
      </c>
      <c r="C468">
        <v>701069</v>
      </c>
      <c r="D468" t="s">
        <v>688</v>
      </c>
      <c r="E468" t="s">
        <v>649</v>
      </c>
      <c r="F468">
        <v>2354712</v>
      </c>
      <c r="G468">
        <v>8309.6181639999995</v>
      </c>
      <c r="H468">
        <v>416</v>
      </c>
      <c r="I468">
        <v>600</v>
      </c>
      <c r="J468">
        <v>34261</v>
      </c>
      <c r="K468" t="s">
        <v>2109</v>
      </c>
      <c r="L468">
        <v>11</v>
      </c>
      <c r="M468">
        <v>11</v>
      </c>
      <c r="N468">
        <v>34261</v>
      </c>
      <c r="O468">
        <v>404</v>
      </c>
      <c r="P468" t="s">
        <v>3215</v>
      </c>
      <c r="Q468">
        <v>1.5</v>
      </c>
      <c r="R468">
        <v>18.87</v>
      </c>
      <c r="S468">
        <v>0.36</v>
      </c>
      <c r="T468">
        <v>5</v>
      </c>
      <c r="U468">
        <v>2354712.0439800001</v>
      </c>
      <c r="V468">
        <v>8309.6178999999993</v>
      </c>
      <c r="W468">
        <v>467</v>
      </c>
      <c r="X468">
        <v>0</v>
      </c>
      <c r="Y468">
        <v>466</v>
      </c>
      <c r="Z468" t="s">
        <v>6966</v>
      </c>
      <c r="AA468" t="s">
        <v>6966</v>
      </c>
      <c r="AB468" t="s">
        <v>6966</v>
      </c>
      <c r="AC468" t="s">
        <v>6966</v>
      </c>
      <c r="AD468" t="s">
        <v>6966</v>
      </c>
      <c r="AE468" t="s">
        <v>6966</v>
      </c>
      <c r="AF468" t="s">
        <v>6966</v>
      </c>
      <c r="AG468" t="s">
        <v>6966</v>
      </c>
      <c r="AH468" t="s">
        <v>6966</v>
      </c>
      <c r="AI468" t="s">
        <v>6966</v>
      </c>
      <c r="AJ468" t="s">
        <v>6966</v>
      </c>
      <c r="AK468" t="s">
        <v>6966</v>
      </c>
      <c r="AL468" t="s">
        <v>6966</v>
      </c>
      <c r="AM468" t="s">
        <v>6966</v>
      </c>
      <c r="AN468" t="s">
        <v>6966</v>
      </c>
      <c r="AO468" t="s">
        <v>6966</v>
      </c>
      <c r="AP468" t="s">
        <v>6966</v>
      </c>
      <c r="AQ468" t="s">
        <v>6966</v>
      </c>
      <c r="AR468" t="s">
        <v>6966</v>
      </c>
      <c r="AS468" t="s">
        <v>6966</v>
      </c>
      <c r="AT468" t="s">
        <v>6966</v>
      </c>
      <c r="AU468" t="s">
        <v>6966</v>
      </c>
      <c r="AV468" t="s">
        <v>6966</v>
      </c>
      <c r="AW468" t="s">
        <v>6966</v>
      </c>
      <c r="AX468" t="s">
        <v>6966</v>
      </c>
      <c r="AY468" t="s">
        <v>6966</v>
      </c>
      <c r="AZ468">
        <v>8.3715999999999999E-2</v>
      </c>
      <c r="BA468">
        <v>2.3000000000000001E-4</v>
      </c>
    </row>
    <row r="469" spans="1:53" x14ac:dyDescent="0.25">
      <c r="A469">
        <v>467</v>
      </c>
      <c r="B469" t="s">
        <v>7625</v>
      </c>
      <c r="C469">
        <v>701033</v>
      </c>
      <c r="D469" t="s">
        <v>715</v>
      </c>
      <c r="E469" t="s">
        <v>649</v>
      </c>
      <c r="F469">
        <v>6742183.5</v>
      </c>
      <c r="G469">
        <v>13165.892578000001</v>
      </c>
      <c r="H469">
        <v>417</v>
      </c>
      <c r="I469">
        <v>601</v>
      </c>
      <c r="J469">
        <v>34361</v>
      </c>
      <c r="K469" t="s">
        <v>715</v>
      </c>
      <c r="L469">
        <v>11</v>
      </c>
      <c r="M469">
        <v>11</v>
      </c>
      <c r="N469">
        <v>34361</v>
      </c>
      <c r="O469">
        <v>405</v>
      </c>
      <c r="P469" t="s">
        <v>3215</v>
      </c>
      <c r="Q469">
        <v>0.1</v>
      </c>
      <c r="R469">
        <v>4.51</v>
      </c>
      <c r="S469">
        <v>0.08</v>
      </c>
      <c r="T469">
        <v>2</v>
      </c>
      <c r="U469">
        <v>6742183.6734999996</v>
      </c>
      <c r="V469">
        <v>13165.893027</v>
      </c>
      <c r="W469">
        <v>468</v>
      </c>
      <c r="X469">
        <v>0</v>
      </c>
      <c r="Y469">
        <v>467</v>
      </c>
      <c r="Z469" t="s">
        <v>6966</v>
      </c>
      <c r="AA469" t="s">
        <v>6966</v>
      </c>
      <c r="AB469" t="s">
        <v>6966</v>
      </c>
      <c r="AC469" t="s">
        <v>6966</v>
      </c>
      <c r="AD469" t="s">
        <v>6966</v>
      </c>
      <c r="AE469" t="s">
        <v>6966</v>
      </c>
      <c r="AF469" t="s">
        <v>6966</v>
      </c>
      <c r="AG469" t="s">
        <v>6966</v>
      </c>
      <c r="AH469" t="s">
        <v>6966</v>
      </c>
      <c r="AI469" t="s">
        <v>6966</v>
      </c>
      <c r="AJ469" t="s">
        <v>6966</v>
      </c>
      <c r="AK469" t="s">
        <v>6966</v>
      </c>
      <c r="AL469" t="s">
        <v>6966</v>
      </c>
      <c r="AM469" t="s">
        <v>6966</v>
      </c>
      <c r="AN469" t="s">
        <v>6966</v>
      </c>
      <c r="AO469" t="s">
        <v>6966</v>
      </c>
      <c r="AP469" t="s">
        <v>6966</v>
      </c>
      <c r="AQ469" t="s">
        <v>6966</v>
      </c>
      <c r="AR469" t="s">
        <v>6966</v>
      </c>
      <c r="AS469" t="s">
        <v>6966</v>
      </c>
      <c r="AT469" t="s">
        <v>6966</v>
      </c>
      <c r="AU469" t="s">
        <v>6966</v>
      </c>
      <c r="AV469" t="s">
        <v>6966</v>
      </c>
      <c r="AW469" t="s">
        <v>6966</v>
      </c>
      <c r="AX469" t="s">
        <v>6966</v>
      </c>
      <c r="AY469" t="s">
        <v>6966</v>
      </c>
      <c r="AZ469">
        <v>0.13378999999999999</v>
      </c>
      <c r="BA469">
        <v>6.6E-4</v>
      </c>
    </row>
    <row r="470" spans="1:53" x14ac:dyDescent="0.25">
      <c r="A470">
        <v>468</v>
      </c>
      <c r="B470" t="s">
        <v>7625</v>
      </c>
      <c r="C470">
        <v>701006</v>
      </c>
      <c r="D470" t="s">
        <v>681</v>
      </c>
      <c r="E470" t="s">
        <v>649</v>
      </c>
      <c r="F470">
        <v>1894978.5</v>
      </c>
      <c r="G470">
        <v>6747.8154299999997</v>
      </c>
      <c r="H470">
        <v>418</v>
      </c>
      <c r="I470">
        <v>602</v>
      </c>
      <c r="J470">
        <v>34249</v>
      </c>
      <c r="K470" t="s">
        <v>681</v>
      </c>
      <c r="L470">
        <v>11</v>
      </c>
      <c r="M470">
        <v>11</v>
      </c>
      <c r="N470">
        <v>34249</v>
      </c>
      <c r="O470">
        <v>406</v>
      </c>
      <c r="P470" t="s">
        <v>3215</v>
      </c>
      <c r="Q470">
        <v>2.6</v>
      </c>
      <c r="R470">
        <v>813.63</v>
      </c>
      <c r="S470">
        <v>0.81</v>
      </c>
      <c r="T470">
        <v>11</v>
      </c>
      <c r="U470">
        <v>1894978.5724800001</v>
      </c>
      <c r="V470">
        <v>6747.8157440000004</v>
      </c>
      <c r="W470">
        <v>469</v>
      </c>
      <c r="X470">
        <v>0</v>
      </c>
      <c r="Y470">
        <v>468</v>
      </c>
      <c r="Z470" t="s">
        <v>6966</v>
      </c>
      <c r="AA470" t="s">
        <v>6966</v>
      </c>
      <c r="AB470" t="s">
        <v>6966</v>
      </c>
      <c r="AC470" t="s">
        <v>6966</v>
      </c>
      <c r="AD470" t="s">
        <v>6966</v>
      </c>
      <c r="AE470" t="s">
        <v>6966</v>
      </c>
      <c r="AF470" t="s">
        <v>6966</v>
      </c>
      <c r="AG470" t="s">
        <v>6966</v>
      </c>
      <c r="AH470" t="s">
        <v>6966</v>
      </c>
      <c r="AI470" t="s">
        <v>6966</v>
      </c>
      <c r="AJ470" t="s">
        <v>6966</v>
      </c>
      <c r="AK470" t="s">
        <v>6966</v>
      </c>
      <c r="AL470" t="s">
        <v>6966</v>
      </c>
      <c r="AM470" t="s">
        <v>6966</v>
      </c>
      <c r="AN470" t="s">
        <v>6966</v>
      </c>
      <c r="AO470" t="s">
        <v>6966</v>
      </c>
      <c r="AP470" t="s">
        <v>6966</v>
      </c>
      <c r="AQ470" t="s">
        <v>6966</v>
      </c>
      <c r="AR470" t="s">
        <v>6966</v>
      </c>
      <c r="AS470" t="s">
        <v>6966</v>
      </c>
      <c r="AT470" t="s">
        <v>6966</v>
      </c>
      <c r="AU470" t="s">
        <v>6966</v>
      </c>
      <c r="AV470" t="s">
        <v>6966</v>
      </c>
      <c r="AW470" t="s">
        <v>6966</v>
      </c>
      <c r="AX470" t="s">
        <v>6966</v>
      </c>
      <c r="AY470" t="s">
        <v>6966</v>
      </c>
      <c r="AZ470">
        <v>6.7003999999999994E-2</v>
      </c>
      <c r="BA470">
        <v>1.85E-4</v>
      </c>
    </row>
    <row r="471" spans="1:53" x14ac:dyDescent="0.25">
      <c r="A471">
        <v>469</v>
      </c>
      <c r="B471" t="s">
        <v>7625</v>
      </c>
      <c r="C471">
        <v>701032</v>
      </c>
      <c r="D471" t="s">
        <v>683</v>
      </c>
      <c r="E471" t="s">
        <v>649</v>
      </c>
      <c r="F471">
        <v>700775.3125</v>
      </c>
      <c r="G471">
        <v>3595.0910640000002</v>
      </c>
      <c r="H471">
        <v>419</v>
      </c>
      <c r="I471">
        <v>603</v>
      </c>
      <c r="J471">
        <v>34253</v>
      </c>
      <c r="K471" t="s">
        <v>683</v>
      </c>
      <c r="L471">
        <v>11</v>
      </c>
      <c r="M471">
        <v>11</v>
      </c>
      <c r="N471">
        <v>34253</v>
      </c>
      <c r="O471">
        <v>407</v>
      </c>
      <c r="P471" t="s">
        <v>3215</v>
      </c>
      <c r="Q471">
        <v>0.4</v>
      </c>
      <c r="R471">
        <v>19.149999999999999</v>
      </c>
      <c r="S471">
        <v>7.0000000000000007E-2</v>
      </c>
      <c r="T471">
        <v>4</v>
      </c>
      <c r="U471">
        <v>700775.32338299998</v>
      </c>
      <c r="V471">
        <v>3595.0912560000002</v>
      </c>
      <c r="W471">
        <v>470</v>
      </c>
      <c r="X471">
        <v>0</v>
      </c>
      <c r="Y471">
        <v>469</v>
      </c>
      <c r="Z471" t="s">
        <v>6966</v>
      </c>
      <c r="AA471" t="s">
        <v>6966</v>
      </c>
      <c r="AB471" t="s">
        <v>6966</v>
      </c>
      <c r="AC471" t="s">
        <v>6966</v>
      </c>
      <c r="AD471" t="s">
        <v>6966</v>
      </c>
      <c r="AE471" t="s">
        <v>6966</v>
      </c>
      <c r="AF471" t="s">
        <v>6966</v>
      </c>
      <c r="AG471" t="s">
        <v>6966</v>
      </c>
      <c r="AH471" t="s">
        <v>6966</v>
      </c>
      <c r="AI471" t="s">
        <v>6966</v>
      </c>
      <c r="AJ471" t="s">
        <v>6966</v>
      </c>
      <c r="AK471" t="s">
        <v>6966</v>
      </c>
      <c r="AL471" t="s">
        <v>6966</v>
      </c>
      <c r="AM471" t="s">
        <v>6966</v>
      </c>
      <c r="AN471" t="s">
        <v>6966</v>
      </c>
      <c r="AO471" t="s">
        <v>6966</v>
      </c>
      <c r="AP471" t="s">
        <v>6966</v>
      </c>
      <c r="AQ471" t="s">
        <v>6966</v>
      </c>
      <c r="AR471" t="s">
        <v>6966</v>
      </c>
      <c r="AS471" t="s">
        <v>6966</v>
      </c>
      <c r="AT471" t="s">
        <v>6966</v>
      </c>
      <c r="AU471" t="s">
        <v>6966</v>
      </c>
      <c r="AV471" t="s">
        <v>6966</v>
      </c>
      <c r="AW471" t="s">
        <v>6966</v>
      </c>
      <c r="AX471" t="s">
        <v>6966</v>
      </c>
      <c r="AY471" t="s">
        <v>6966</v>
      </c>
      <c r="AZ471">
        <v>3.5424999999999998E-2</v>
      </c>
      <c r="BA471">
        <v>6.8999999999999997E-5</v>
      </c>
    </row>
    <row r="472" spans="1:53" x14ac:dyDescent="0.25">
      <c r="A472">
        <v>470</v>
      </c>
      <c r="B472" t="s">
        <v>7625</v>
      </c>
      <c r="C472">
        <v>702003</v>
      </c>
      <c r="D472" t="s">
        <v>907</v>
      </c>
      <c r="E472" t="s">
        <v>2906</v>
      </c>
      <c r="F472">
        <v>2267708.25</v>
      </c>
      <c r="G472">
        <v>13162.916992</v>
      </c>
      <c r="H472">
        <v>420</v>
      </c>
      <c r="I472">
        <v>604</v>
      </c>
      <c r="J472">
        <v>36181</v>
      </c>
      <c r="K472" t="s">
        <v>2282</v>
      </c>
      <c r="L472">
        <v>13</v>
      </c>
      <c r="M472">
        <v>13</v>
      </c>
      <c r="N472">
        <v>36181</v>
      </c>
      <c r="O472">
        <v>408</v>
      </c>
      <c r="P472" t="s">
        <v>3215</v>
      </c>
      <c r="Q472">
        <v>3.2</v>
      </c>
      <c r="R472">
        <v>53.96</v>
      </c>
      <c r="S472">
        <v>1.29</v>
      </c>
      <c r="T472">
        <v>22</v>
      </c>
      <c r="U472">
        <v>2267708.1883800002</v>
      </c>
      <c r="V472">
        <v>13162.916488999999</v>
      </c>
      <c r="W472">
        <v>471</v>
      </c>
      <c r="X472">
        <v>0</v>
      </c>
      <c r="Y472">
        <v>470</v>
      </c>
      <c r="Z472" t="s">
        <v>6966</v>
      </c>
      <c r="AA472" t="s">
        <v>6966</v>
      </c>
      <c r="AB472" t="s">
        <v>6966</v>
      </c>
      <c r="AC472" t="s">
        <v>6966</v>
      </c>
      <c r="AD472" t="s">
        <v>6966</v>
      </c>
      <c r="AE472" t="s">
        <v>6966</v>
      </c>
      <c r="AF472" t="s">
        <v>6966</v>
      </c>
      <c r="AG472" t="s">
        <v>6966</v>
      </c>
      <c r="AH472" t="s">
        <v>6966</v>
      </c>
      <c r="AI472" t="s">
        <v>6966</v>
      </c>
      <c r="AJ472" t="s">
        <v>6966</v>
      </c>
      <c r="AK472" t="s">
        <v>6966</v>
      </c>
      <c r="AL472" t="s">
        <v>6966</v>
      </c>
      <c r="AM472" t="s">
        <v>6966</v>
      </c>
      <c r="AN472" t="s">
        <v>6966</v>
      </c>
      <c r="AO472" t="s">
        <v>6966</v>
      </c>
      <c r="AP472" t="s">
        <v>6966</v>
      </c>
      <c r="AQ472" t="s">
        <v>6966</v>
      </c>
      <c r="AR472" t="s">
        <v>6966</v>
      </c>
      <c r="AS472" t="s">
        <v>6966</v>
      </c>
      <c r="AT472" t="s">
        <v>6966</v>
      </c>
      <c r="AU472" t="s">
        <v>6966</v>
      </c>
      <c r="AV472" t="s">
        <v>6966</v>
      </c>
      <c r="AW472" t="s">
        <v>6966</v>
      </c>
      <c r="AX472" t="s">
        <v>6966</v>
      </c>
      <c r="AY472" t="s">
        <v>6966</v>
      </c>
      <c r="AZ472">
        <v>0.12873599999999999</v>
      </c>
      <c r="BA472">
        <v>2.22E-4</v>
      </c>
    </row>
    <row r="473" spans="1:53" x14ac:dyDescent="0.25">
      <c r="A473">
        <v>471</v>
      </c>
      <c r="B473" t="s">
        <v>7625</v>
      </c>
      <c r="C473">
        <v>701040</v>
      </c>
      <c r="D473" t="s">
        <v>652</v>
      </c>
      <c r="E473" t="s">
        <v>649</v>
      </c>
      <c r="F473">
        <v>3589622</v>
      </c>
      <c r="G473">
        <v>10882.637694999999</v>
      </c>
      <c r="H473">
        <v>421</v>
      </c>
      <c r="I473">
        <v>605</v>
      </c>
      <c r="J473">
        <v>34144</v>
      </c>
      <c r="K473" t="s">
        <v>2086</v>
      </c>
      <c r="L473">
        <v>11</v>
      </c>
      <c r="M473">
        <v>11</v>
      </c>
      <c r="N473">
        <v>34144</v>
      </c>
      <c r="O473">
        <v>409</v>
      </c>
      <c r="P473" t="s">
        <v>3215</v>
      </c>
      <c r="Q473">
        <v>24.3</v>
      </c>
      <c r="R473">
        <v>197.7</v>
      </c>
      <c r="S473">
        <v>6.72</v>
      </c>
      <c r="T473">
        <v>55</v>
      </c>
      <c r="U473">
        <v>3589622.1101199999</v>
      </c>
      <c r="V473">
        <v>10882.637714</v>
      </c>
      <c r="W473">
        <v>472</v>
      </c>
      <c r="X473">
        <v>0</v>
      </c>
      <c r="Y473">
        <v>471</v>
      </c>
      <c r="Z473" t="s">
        <v>6966</v>
      </c>
      <c r="AA473" t="s">
        <v>6966</v>
      </c>
      <c r="AB473" t="s">
        <v>6966</v>
      </c>
      <c r="AC473" t="s">
        <v>6966</v>
      </c>
      <c r="AD473" t="s">
        <v>6966</v>
      </c>
      <c r="AE473" t="s">
        <v>6966</v>
      </c>
      <c r="AF473" t="s">
        <v>6966</v>
      </c>
      <c r="AG473" t="s">
        <v>6966</v>
      </c>
      <c r="AH473" t="s">
        <v>6966</v>
      </c>
      <c r="AI473" t="s">
        <v>6966</v>
      </c>
      <c r="AJ473" t="s">
        <v>6966</v>
      </c>
      <c r="AK473" t="s">
        <v>6966</v>
      </c>
      <c r="AL473" t="s">
        <v>6966</v>
      </c>
      <c r="AM473" t="s">
        <v>6966</v>
      </c>
      <c r="AN473" t="s">
        <v>6966</v>
      </c>
      <c r="AO473" t="s">
        <v>6966</v>
      </c>
      <c r="AP473" t="s">
        <v>6966</v>
      </c>
      <c r="AQ473" t="s">
        <v>6966</v>
      </c>
      <c r="AR473" t="s">
        <v>6966</v>
      </c>
      <c r="AS473" t="s">
        <v>6966</v>
      </c>
      <c r="AT473" t="s">
        <v>6966</v>
      </c>
      <c r="AU473" t="s">
        <v>6966</v>
      </c>
      <c r="AV473" t="s">
        <v>6966</v>
      </c>
      <c r="AW473" t="s">
        <v>6966</v>
      </c>
      <c r="AX473" t="s">
        <v>6966</v>
      </c>
      <c r="AY473" t="s">
        <v>6966</v>
      </c>
      <c r="AZ473">
        <v>0.108237</v>
      </c>
      <c r="BA473">
        <v>3.5100000000000002E-4</v>
      </c>
    </row>
    <row r="474" spans="1:53" x14ac:dyDescent="0.25">
      <c r="A474">
        <v>472</v>
      </c>
      <c r="B474" t="s">
        <v>7625</v>
      </c>
      <c r="C474">
        <v>702010</v>
      </c>
      <c r="D474" t="s">
        <v>908</v>
      </c>
      <c r="E474" t="s">
        <v>2906</v>
      </c>
      <c r="F474">
        <v>4802656</v>
      </c>
      <c r="G474">
        <v>16122.263671999999</v>
      </c>
      <c r="H474">
        <v>422</v>
      </c>
      <c r="I474">
        <v>606</v>
      </c>
      <c r="J474">
        <v>36184</v>
      </c>
      <c r="K474" t="s">
        <v>2283</v>
      </c>
      <c r="L474">
        <v>13</v>
      </c>
      <c r="M474">
        <v>13</v>
      </c>
      <c r="N474">
        <v>36184</v>
      </c>
      <c r="O474">
        <v>410</v>
      </c>
      <c r="P474" t="s">
        <v>3215</v>
      </c>
      <c r="Q474">
        <v>2.2000000000000002</v>
      </c>
      <c r="R474">
        <v>158.85</v>
      </c>
      <c r="S474">
        <v>0.6</v>
      </c>
      <c r="T474">
        <v>44</v>
      </c>
      <c r="U474">
        <v>4802655.8223900003</v>
      </c>
      <c r="V474">
        <v>16122.264105</v>
      </c>
      <c r="W474">
        <v>473</v>
      </c>
      <c r="X474">
        <v>0</v>
      </c>
      <c r="Y474">
        <v>472</v>
      </c>
      <c r="Z474" t="s">
        <v>6966</v>
      </c>
      <c r="AA474" t="s">
        <v>6966</v>
      </c>
      <c r="AB474" t="s">
        <v>6966</v>
      </c>
      <c r="AC474" t="s">
        <v>6966</v>
      </c>
      <c r="AD474" t="s">
        <v>6966</v>
      </c>
      <c r="AE474" t="s">
        <v>6966</v>
      </c>
      <c r="AF474" t="s">
        <v>6966</v>
      </c>
      <c r="AG474" t="s">
        <v>6966</v>
      </c>
      <c r="AH474" t="s">
        <v>6966</v>
      </c>
      <c r="AI474" t="s">
        <v>6966</v>
      </c>
      <c r="AJ474" t="s">
        <v>6966</v>
      </c>
      <c r="AK474" t="s">
        <v>6966</v>
      </c>
      <c r="AL474" t="s">
        <v>6966</v>
      </c>
      <c r="AM474" t="s">
        <v>6966</v>
      </c>
      <c r="AN474" t="s">
        <v>6966</v>
      </c>
      <c r="AO474" t="s">
        <v>6966</v>
      </c>
      <c r="AP474" t="s">
        <v>6966</v>
      </c>
      <c r="AQ474" t="s">
        <v>6966</v>
      </c>
      <c r="AR474" t="s">
        <v>6966</v>
      </c>
      <c r="AS474" t="s">
        <v>6966</v>
      </c>
      <c r="AT474" t="s">
        <v>6966</v>
      </c>
      <c r="AU474" t="s">
        <v>6966</v>
      </c>
      <c r="AV474" t="s">
        <v>6966</v>
      </c>
      <c r="AW474" t="s">
        <v>6966</v>
      </c>
      <c r="AX474" t="s">
        <v>6966</v>
      </c>
      <c r="AY474" t="s">
        <v>6966</v>
      </c>
      <c r="AZ474">
        <v>0.15895899999999999</v>
      </c>
      <c r="BA474">
        <v>4.6999999999999999E-4</v>
      </c>
    </row>
    <row r="475" spans="1:53" x14ac:dyDescent="0.25">
      <c r="A475">
        <v>473</v>
      </c>
      <c r="B475" t="s">
        <v>7625</v>
      </c>
      <c r="C475">
        <v>702011</v>
      </c>
      <c r="D475" t="s">
        <v>902</v>
      </c>
      <c r="E475" t="s">
        <v>2906</v>
      </c>
      <c r="F475">
        <v>694251.875</v>
      </c>
      <c r="G475">
        <v>4650.294922</v>
      </c>
      <c r="H475">
        <v>423</v>
      </c>
      <c r="I475">
        <v>607</v>
      </c>
      <c r="J475">
        <v>36157</v>
      </c>
      <c r="K475" t="s">
        <v>2277</v>
      </c>
      <c r="L475">
        <v>13</v>
      </c>
      <c r="M475">
        <v>13</v>
      </c>
      <c r="N475">
        <v>36157</v>
      </c>
      <c r="O475">
        <v>411</v>
      </c>
      <c r="P475" t="s">
        <v>3215</v>
      </c>
      <c r="Q475">
        <v>0.7</v>
      </c>
      <c r="R475">
        <v>8.09</v>
      </c>
      <c r="S475">
        <v>0.89</v>
      </c>
      <c r="T475">
        <v>10</v>
      </c>
      <c r="U475">
        <v>694251.89038</v>
      </c>
      <c r="V475">
        <v>4650.2948150000002</v>
      </c>
      <c r="W475">
        <v>474</v>
      </c>
      <c r="X475">
        <v>0</v>
      </c>
      <c r="Y475">
        <v>473</v>
      </c>
      <c r="Z475" t="s">
        <v>6966</v>
      </c>
      <c r="AA475" t="s">
        <v>6966</v>
      </c>
      <c r="AB475" t="s">
        <v>6966</v>
      </c>
      <c r="AC475" t="s">
        <v>6966</v>
      </c>
      <c r="AD475" t="s">
        <v>6966</v>
      </c>
      <c r="AE475" t="s">
        <v>6966</v>
      </c>
      <c r="AF475" t="s">
        <v>6966</v>
      </c>
      <c r="AG475" t="s">
        <v>6966</v>
      </c>
      <c r="AH475" t="s">
        <v>6966</v>
      </c>
      <c r="AI475" t="s">
        <v>6966</v>
      </c>
      <c r="AJ475" t="s">
        <v>6966</v>
      </c>
      <c r="AK475" t="s">
        <v>6966</v>
      </c>
      <c r="AL475" t="s">
        <v>6966</v>
      </c>
      <c r="AM475" t="s">
        <v>6966</v>
      </c>
      <c r="AN475" t="s">
        <v>6966</v>
      </c>
      <c r="AO475" t="s">
        <v>6966</v>
      </c>
      <c r="AP475" t="s">
        <v>6966</v>
      </c>
      <c r="AQ475" t="s">
        <v>6966</v>
      </c>
      <c r="AR475" t="s">
        <v>6966</v>
      </c>
      <c r="AS475" t="s">
        <v>6966</v>
      </c>
      <c r="AT475" t="s">
        <v>6966</v>
      </c>
      <c r="AU475" t="s">
        <v>6966</v>
      </c>
      <c r="AV475" t="s">
        <v>6966</v>
      </c>
      <c r="AW475" t="s">
        <v>6966</v>
      </c>
      <c r="AX475" t="s">
        <v>6966</v>
      </c>
      <c r="AY475" t="s">
        <v>6966</v>
      </c>
      <c r="AZ475">
        <v>4.4624999999999998E-2</v>
      </c>
      <c r="BA475">
        <v>6.7999999999999999E-5</v>
      </c>
    </row>
    <row r="476" spans="1:53" x14ac:dyDescent="0.25">
      <c r="A476">
        <v>474</v>
      </c>
      <c r="B476" t="s">
        <v>7625</v>
      </c>
      <c r="C476">
        <v>701027</v>
      </c>
      <c r="D476" t="s">
        <v>687</v>
      </c>
      <c r="E476" t="s">
        <v>649</v>
      </c>
      <c r="F476">
        <v>2807870.75</v>
      </c>
      <c r="G476">
        <v>10358.151367</v>
      </c>
      <c r="H476">
        <v>424</v>
      </c>
      <c r="I476">
        <v>608</v>
      </c>
      <c r="J476">
        <v>34259</v>
      </c>
      <c r="K476" t="s">
        <v>7755</v>
      </c>
      <c r="L476">
        <v>11</v>
      </c>
      <c r="M476">
        <v>11</v>
      </c>
      <c r="N476">
        <v>34259</v>
      </c>
      <c r="O476">
        <v>412</v>
      </c>
      <c r="P476" t="s">
        <v>3215</v>
      </c>
      <c r="Q476">
        <v>2.1</v>
      </c>
      <c r="R476">
        <v>17.37</v>
      </c>
      <c r="S476">
        <v>0.48</v>
      </c>
      <c r="T476">
        <v>4</v>
      </c>
      <c r="U476">
        <v>2807870.8810999999</v>
      </c>
      <c r="V476">
        <v>10358.151625</v>
      </c>
      <c r="W476">
        <v>475</v>
      </c>
      <c r="X476">
        <v>0</v>
      </c>
      <c r="Y476">
        <v>474</v>
      </c>
      <c r="Z476" t="s">
        <v>6966</v>
      </c>
      <c r="AA476" t="s">
        <v>6966</v>
      </c>
      <c r="AB476" t="s">
        <v>6966</v>
      </c>
      <c r="AC476" t="s">
        <v>6966</v>
      </c>
      <c r="AD476" t="s">
        <v>6966</v>
      </c>
      <c r="AE476" t="s">
        <v>6966</v>
      </c>
      <c r="AF476" t="s">
        <v>6966</v>
      </c>
      <c r="AG476" t="s">
        <v>6966</v>
      </c>
      <c r="AH476" t="s">
        <v>6966</v>
      </c>
      <c r="AI476" t="s">
        <v>6966</v>
      </c>
      <c r="AJ476" t="s">
        <v>6966</v>
      </c>
      <c r="AK476" t="s">
        <v>6966</v>
      </c>
      <c r="AL476" t="s">
        <v>6966</v>
      </c>
      <c r="AM476" t="s">
        <v>6966</v>
      </c>
      <c r="AN476" t="s">
        <v>6966</v>
      </c>
      <c r="AO476" t="s">
        <v>6966</v>
      </c>
      <c r="AP476" t="s">
        <v>6966</v>
      </c>
      <c r="AQ476" t="s">
        <v>6966</v>
      </c>
      <c r="AR476" t="s">
        <v>6966</v>
      </c>
      <c r="AS476" t="s">
        <v>6966</v>
      </c>
      <c r="AT476" t="s">
        <v>6966</v>
      </c>
      <c r="AU476" t="s">
        <v>6966</v>
      </c>
      <c r="AV476" t="s">
        <v>6966</v>
      </c>
      <c r="AW476" t="s">
        <v>6966</v>
      </c>
      <c r="AX476" t="s">
        <v>6966</v>
      </c>
      <c r="AY476" t="s">
        <v>6966</v>
      </c>
      <c r="AZ476">
        <v>0.10525900000000001</v>
      </c>
      <c r="BA476">
        <v>2.7500000000000002E-4</v>
      </c>
    </row>
    <row r="477" spans="1:53" x14ac:dyDescent="0.25">
      <c r="A477">
        <v>475</v>
      </c>
      <c r="B477" t="s">
        <v>7625</v>
      </c>
      <c r="C477">
        <v>701043</v>
      </c>
      <c r="D477" t="s">
        <v>710</v>
      </c>
      <c r="E477" t="s">
        <v>649</v>
      </c>
      <c r="F477">
        <v>3328204</v>
      </c>
      <c r="G477">
        <v>12368.610352</v>
      </c>
      <c r="H477">
        <v>425</v>
      </c>
      <c r="I477">
        <v>609</v>
      </c>
      <c r="J477">
        <v>34336</v>
      </c>
      <c r="K477" t="s">
        <v>2124</v>
      </c>
      <c r="L477">
        <v>11</v>
      </c>
      <c r="M477">
        <v>11</v>
      </c>
      <c r="N477">
        <v>34336</v>
      </c>
      <c r="O477">
        <v>413</v>
      </c>
      <c r="P477" t="s">
        <v>3215</v>
      </c>
      <c r="Q477">
        <v>1.5</v>
      </c>
      <c r="R477">
        <v>19.91</v>
      </c>
      <c r="S477">
        <v>0.39</v>
      </c>
      <c r="T477">
        <v>5</v>
      </c>
      <c r="U477">
        <v>3328203.983</v>
      </c>
      <c r="V477">
        <v>12368.610048</v>
      </c>
      <c r="W477">
        <v>476</v>
      </c>
      <c r="X477">
        <v>0</v>
      </c>
      <c r="Y477">
        <v>475</v>
      </c>
      <c r="Z477" t="s">
        <v>6966</v>
      </c>
      <c r="AA477" t="s">
        <v>6966</v>
      </c>
      <c r="AB477" t="s">
        <v>6966</v>
      </c>
      <c r="AC477" t="s">
        <v>6966</v>
      </c>
      <c r="AD477" t="s">
        <v>6966</v>
      </c>
      <c r="AE477" t="s">
        <v>6966</v>
      </c>
      <c r="AF477" t="s">
        <v>6966</v>
      </c>
      <c r="AG477" t="s">
        <v>6966</v>
      </c>
      <c r="AH477" t="s">
        <v>6966</v>
      </c>
      <c r="AI477" t="s">
        <v>6966</v>
      </c>
      <c r="AJ477" t="s">
        <v>6966</v>
      </c>
      <c r="AK477" t="s">
        <v>6966</v>
      </c>
      <c r="AL477" t="s">
        <v>6966</v>
      </c>
      <c r="AM477" t="s">
        <v>6966</v>
      </c>
      <c r="AN477" t="s">
        <v>6966</v>
      </c>
      <c r="AO477" t="s">
        <v>6966</v>
      </c>
      <c r="AP477" t="s">
        <v>6966</v>
      </c>
      <c r="AQ477" t="s">
        <v>6966</v>
      </c>
      <c r="AR477" t="s">
        <v>6966</v>
      </c>
      <c r="AS477" t="s">
        <v>6966</v>
      </c>
      <c r="AT477" t="s">
        <v>6966</v>
      </c>
      <c r="AU477" t="s">
        <v>6966</v>
      </c>
      <c r="AV477" t="s">
        <v>6966</v>
      </c>
      <c r="AW477" t="s">
        <v>6966</v>
      </c>
      <c r="AX477" t="s">
        <v>6966</v>
      </c>
      <c r="AY477" t="s">
        <v>6966</v>
      </c>
      <c r="AZ477">
        <v>0.12525700000000001</v>
      </c>
      <c r="BA477">
        <v>3.2600000000000001E-4</v>
      </c>
    </row>
    <row r="478" spans="1:53" x14ac:dyDescent="0.25">
      <c r="A478">
        <v>476</v>
      </c>
      <c r="B478" t="s">
        <v>7625</v>
      </c>
      <c r="C478">
        <v>701010</v>
      </c>
      <c r="D478" t="s">
        <v>709</v>
      </c>
      <c r="E478" t="s">
        <v>649</v>
      </c>
      <c r="F478">
        <v>5727039</v>
      </c>
      <c r="G478">
        <v>14140.476563</v>
      </c>
      <c r="H478">
        <v>426</v>
      </c>
      <c r="I478">
        <v>610</v>
      </c>
      <c r="J478">
        <v>34331</v>
      </c>
      <c r="K478" t="s">
        <v>2123</v>
      </c>
      <c r="L478">
        <v>11</v>
      </c>
      <c r="M478">
        <v>11</v>
      </c>
      <c r="N478">
        <v>34331</v>
      </c>
      <c r="O478">
        <v>414</v>
      </c>
      <c r="P478" t="s">
        <v>3215</v>
      </c>
      <c r="Q478">
        <v>0.7</v>
      </c>
      <c r="R478">
        <v>17.48</v>
      </c>
      <c r="S478">
        <v>0.19</v>
      </c>
      <c r="T478">
        <v>5</v>
      </c>
      <c r="U478">
        <v>5727039.0699300002</v>
      </c>
      <c r="V478">
        <v>14140.478034</v>
      </c>
      <c r="W478">
        <v>477</v>
      </c>
      <c r="X478">
        <v>0</v>
      </c>
      <c r="Y478">
        <v>476</v>
      </c>
      <c r="Z478" t="s">
        <v>6966</v>
      </c>
      <c r="AA478" t="s">
        <v>6966</v>
      </c>
      <c r="AB478" t="s">
        <v>6966</v>
      </c>
      <c r="AC478" t="s">
        <v>6966</v>
      </c>
      <c r="AD478" t="s">
        <v>6966</v>
      </c>
      <c r="AE478" t="s">
        <v>6966</v>
      </c>
      <c r="AF478" t="s">
        <v>6966</v>
      </c>
      <c r="AG478" t="s">
        <v>6966</v>
      </c>
      <c r="AH478" t="s">
        <v>6966</v>
      </c>
      <c r="AI478" t="s">
        <v>6966</v>
      </c>
      <c r="AJ478" t="s">
        <v>6966</v>
      </c>
      <c r="AK478" t="s">
        <v>6966</v>
      </c>
      <c r="AL478" t="s">
        <v>6966</v>
      </c>
      <c r="AM478" t="s">
        <v>6966</v>
      </c>
      <c r="AN478" t="s">
        <v>6966</v>
      </c>
      <c r="AO478" t="s">
        <v>6966</v>
      </c>
      <c r="AP478" t="s">
        <v>6966</v>
      </c>
      <c r="AQ478" t="s">
        <v>6966</v>
      </c>
      <c r="AR478" t="s">
        <v>6966</v>
      </c>
      <c r="AS478" t="s">
        <v>6966</v>
      </c>
      <c r="AT478" t="s">
        <v>6966</v>
      </c>
      <c r="AU478" t="s">
        <v>6966</v>
      </c>
      <c r="AV478" t="s">
        <v>6966</v>
      </c>
      <c r="AW478" t="s">
        <v>6966</v>
      </c>
      <c r="AX478" t="s">
        <v>6966</v>
      </c>
      <c r="AY478" t="s">
        <v>6966</v>
      </c>
      <c r="AZ478">
        <v>0.14083699999999999</v>
      </c>
      <c r="BA478">
        <v>5.5999999999999995E-4</v>
      </c>
    </row>
    <row r="479" spans="1:53" x14ac:dyDescent="0.25">
      <c r="A479">
        <v>477</v>
      </c>
      <c r="B479" t="s">
        <v>7625</v>
      </c>
      <c r="C479">
        <v>201055</v>
      </c>
      <c r="D479" t="s">
        <v>1161</v>
      </c>
      <c r="E479" t="s">
        <v>1069</v>
      </c>
      <c r="F479">
        <v>5549725.5</v>
      </c>
      <c r="G479">
        <v>11260.662109000001</v>
      </c>
      <c r="H479">
        <v>427</v>
      </c>
      <c r="I479">
        <v>611</v>
      </c>
      <c r="J479">
        <v>54175</v>
      </c>
      <c r="K479" t="s">
        <v>2485</v>
      </c>
      <c r="L479">
        <v>17</v>
      </c>
      <c r="M479">
        <v>17</v>
      </c>
      <c r="N479">
        <v>54175</v>
      </c>
      <c r="O479">
        <v>415</v>
      </c>
      <c r="P479" t="s">
        <v>3214</v>
      </c>
      <c r="Q479">
        <v>0.3</v>
      </c>
      <c r="R479">
        <v>22.42</v>
      </c>
      <c r="S479">
        <v>0.05</v>
      </c>
      <c r="T479">
        <v>4</v>
      </c>
      <c r="U479">
        <v>5549725.6018000003</v>
      </c>
      <c r="V479">
        <v>11260.661708</v>
      </c>
      <c r="W479">
        <v>478</v>
      </c>
      <c r="X479">
        <v>0</v>
      </c>
      <c r="Y479">
        <v>477</v>
      </c>
      <c r="Z479" t="s">
        <v>6966</v>
      </c>
      <c r="AA479" t="s">
        <v>6966</v>
      </c>
      <c r="AB479" t="s">
        <v>6966</v>
      </c>
      <c r="AC479" t="s">
        <v>6966</v>
      </c>
      <c r="AD479" t="s">
        <v>6966</v>
      </c>
      <c r="AE479" t="s">
        <v>6966</v>
      </c>
      <c r="AF479" t="s">
        <v>6966</v>
      </c>
      <c r="AG479" t="s">
        <v>6966</v>
      </c>
      <c r="AH479" t="s">
        <v>6966</v>
      </c>
      <c r="AI479" t="s">
        <v>6966</v>
      </c>
      <c r="AJ479" t="s">
        <v>6966</v>
      </c>
      <c r="AK479" t="s">
        <v>6966</v>
      </c>
      <c r="AL479" t="s">
        <v>6966</v>
      </c>
      <c r="AM479" t="s">
        <v>6966</v>
      </c>
      <c r="AN479" t="s">
        <v>6966</v>
      </c>
      <c r="AO479" t="s">
        <v>6966</v>
      </c>
      <c r="AP479" t="s">
        <v>6966</v>
      </c>
      <c r="AQ479" t="s">
        <v>6966</v>
      </c>
      <c r="AR479" t="s">
        <v>6966</v>
      </c>
      <c r="AS479" t="s">
        <v>6966</v>
      </c>
      <c r="AT479" t="s">
        <v>6966</v>
      </c>
      <c r="AU479" t="s">
        <v>6966</v>
      </c>
      <c r="AV479" t="s">
        <v>6966</v>
      </c>
      <c r="AW479" t="s">
        <v>6966</v>
      </c>
      <c r="AX479" t="s">
        <v>6966</v>
      </c>
      <c r="AY479" t="s">
        <v>6966</v>
      </c>
      <c r="AZ479">
        <v>0.115982</v>
      </c>
      <c r="BA479">
        <v>5.4299999999999997E-4</v>
      </c>
    </row>
    <row r="480" spans="1:53" x14ac:dyDescent="0.25">
      <c r="A480">
        <v>478</v>
      </c>
      <c r="B480" t="s">
        <v>7625</v>
      </c>
      <c r="C480">
        <v>701046</v>
      </c>
      <c r="D480" t="s">
        <v>671</v>
      </c>
      <c r="E480" t="s">
        <v>649</v>
      </c>
      <c r="F480">
        <v>1454908.125</v>
      </c>
      <c r="G480">
        <v>7087.7626950000003</v>
      </c>
      <c r="H480">
        <v>428</v>
      </c>
      <c r="I480">
        <v>612</v>
      </c>
      <c r="J480">
        <v>34233</v>
      </c>
      <c r="K480" t="s">
        <v>671</v>
      </c>
      <c r="L480">
        <v>11</v>
      </c>
      <c r="M480">
        <v>11</v>
      </c>
      <c r="N480">
        <v>34233</v>
      </c>
      <c r="O480">
        <v>416</v>
      </c>
      <c r="P480" t="s">
        <v>3215</v>
      </c>
      <c r="Q480">
        <v>2.7</v>
      </c>
      <c r="R480">
        <v>15.95</v>
      </c>
      <c r="S480">
        <v>0.68</v>
      </c>
      <c r="T480">
        <v>4</v>
      </c>
      <c r="U480">
        <v>1454908.13161</v>
      </c>
      <c r="V480">
        <v>7087.7628729999997</v>
      </c>
      <c r="W480">
        <v>479</v>
      </c>
      <c r="X480">
        <v>0</v>
      </c>
      <c r="Y480">
        <v>478</v>
      </c>
      <c r="Z480" t="s">
        <v>6966</v>
      </c>
      <c r="AA480" t="s">
        <v>6966</v>
      </c>
      <c r="AB480" t="s">
        <v>6966</v>
      </c>
      <c r="AC480" t="s">
        <v>6966</v>
      </c>
      <c r="AD480" t="s">
        <v>6966</v>
      </c>
      <c r="AE480" t="s">
        <v>6966</v>
      </c>
      <c r="AF480" t="s">
        <v>6966</v>
      </c>
      <c r="AG480" t="s">
        <v>6966</v>
      </c>
      <c r="AH480" t="s">
        <v>6966</v>
      </c>
      <c r="AI480" t="s">
        <v>6966</v>
      </c>
      <c r="AJ480" t="s">
        <v>6966</v>
      </c>
      <c r="AK480" t="s">
        <v>6966</v>
      </c>
      <c r="AL480" t="s">
        <v>6966</v>
      </c>
      <c r="AM480" t="s">
        <v>6966</v>
      </c>
      <c r="AN480" t="s">
        <v>6966</v>
      </c>
      <c r="AO480" t="s">
        <v>6966</v>
      </c>
      <c r="AP480" t="s">
        <v>6966</v>
      </c>
      <c r="AQ480" t="s">
        <v>6966</v>
      </c>
      <c r="AR480" t="s">
        <v>6966</v>
      </c>
      <c r="AS480" t="s">
        <v>6966</v>
      </c>
      <c r="AT480" t="s">
        <v>6966</v>
      </c>
      <c r="AU480" t="s">
        <v>6966</v>
      </c>
      <c r="AV480" t="s">
        <v>6966</v>
      </c>
      <c r="AW480" t="s">
        <v>6966</v>
      </c>
      <c r="AX480" t="s">
        <v>6966</v>
      </c>
      <c r="AY480" t="s">
        <v>6966</v>
      </c>
      <c r="AZ480">
        <v>7.0139000000000007E-2</v>
      </c>
      <c r="BA480">
        <v>1.4200000000000001E-4</v>
      </c>
    </row>
    <row r="481" spans="1:53" x14ac:dyDescent="0.25">
      <c r="A481">
        <v>479</v>
      </c>
      <c r="B481" t="s">
        <v>7625</v>
      </c>
      <c r="C481">
        <v>701076</v>
      </c>
      <c r="D481" t="s">
        <v>87</v>
      </c>
      <c r="E481" t="s">
        <v>649</v>
      </c>
      <c r="F481">
        <v>2392.6892090000001</v>
      </c>
      <c r="G481">
        <v>287.43264799999997</v>
      </c>
      <c r="H481">
        <v>429</v>
      </c>
      <c r="I481">
        <v>613</v>
      </c>
      <c r="J481">
        <v>34002</v>
      </c>
      <c r="K481" t="s">
        <v>87</v>
      </c>
      <c r="L481">
        <v>11</v>
      </c>
      <c r="M481">
        <v>11</v>
      </c>
      <c r="N481">
        <v>34002</v>
      </c>
      <c r="O481">
        <v>417</v>
      </c>
      <c r="P481" t="s">
        <v>3215</v>
      </c>
      <c r="Q481">
        <v>0</v>
      </c>
      <c r="R481">
        <v>0</v>
      </c>
      <c r="S481">
        <v>0</v>
      </c>
      <c r="T481">
        <v>0</v>
      </c>
      <c r="U481">
        <v>2392.680186</v>
      </c>
      <c r="V481">
        <v>287.43278199999997</v>
      </c>
      <c r="W481">
        <v>480</v>
      </c>
      <c r="X481">
        <v>0</v>
      </c>
      <c r="Y481">
        <v>479</v>
      </c>
      <c r="Z481" t="s">
        <v>6966</v>
      </c>
      <c r="AA481" t="s">
        <v>6966</v>
      </c>
      <c r="AB481" t="s">
        <v>6966</v>
      </c>
      <c r="AC481" t="s">
        <v>6966</v>
      </c>
      <c r="AD481" t="s">
        <v>6966</v>
      </c>
      <c r="AE481" t="s">
        <v>6966</v>
      </c>
      <c r="AF481" t="s">
        <v>6966</v>
      </c>
      <c r="AG481" t="s">
        <v>6966</v>
      </c>
      <c r="AH481" t="s">
        <v>6966</v>
      </c>
      <c r="AI481" t="s">
        <v>6966</v>
      </c>
      <c r="AJ481" t="s">
        <v>6966</v>
      </c>
      <c r="AK481" t="s">
        <v>6966</v>
      </c>
      <c r="AL481" t="s">
        <v>6966</v>
      </c>
      <c r="AM481" t="s">
        <v>6966</v>
      </c>
      <c r="AN481" t="s">
        <v>6966</v>
      </c>
      <c r="AO481" t="s">
        <v>6966</v>
      </c>
      <c r="AP481" t="s">
        <v>6966</v>
      </c>
      <c r="AQ481" t="s">
        <v>6966</v>
      </c>
      <c r="AR481" t="s">
        <v>6966</v>
      </c>
      <c r="AS481" t="s">
        <v>6966</v>
      </c>
      <c r="AT481" t="s">
        <v>6966</v>
      </c>
      <c r="AU481" t="s">
        <v>6966</v>
      </c>
      <c r="AV481" t="s">
        <v>6966</v>
      </c>
      <c r="AW481" t="s">
        <v>6966</v>
      </c>
      <c r="AX481" t="s">
        <v>6966</v>
      </c>
      <c r="AY481" t="s">
        <v>6966</v>
      </c>
      <c r="AZ481">
        <v>2.6640000000000001E-3</v>
      </c>
      <c r="BA481">
        <v>0</v>
      </c>
    </row>
    <row r="482" spans="1:53" x14ac:dyDescent="0.25">
      <c r="A482">
        <v>480</v>
      </c>
      <c r="B482" t="s">
        <v>7625</v>
      </c>
      <c r="C482">
        <v>701011</v>
      </c>
      <c r="D482" t="s">
        <v>707</v>
      </c>
      <c r="E482" t="s">
        <v>649</v>
      </c>
      <c r="F482">
        <v>2441791</v>
      </c>
      <c r="G482">
        <v>13652.494140999999</v>
      </c>
      <c r="H482">
        <v>430</v>
      </c>
      <c r="I482">
        <v>614</v>
      </c>
      <c r="J482">
        <v>34321</v>
      </c>
      <c r="K482" t="s">
        <v>2121</v>
      </c>
      <c r="L482">
        <v>11</v>
      </c>
      <c r="M482">
        <v>11</v>
      </c>
      <c r="N482">
        <v>34321</v>
      </c>
      <c r="O482">
        <v>418</v>
      </c>
      <c r="P482" t="s">
        <v>3215</v>
      </c>
      <c r="Q482">
        <v>1.5</v>
      </c>
      <c r="R482">
        <v>24.02</v>
      </c>
      <c r="S482">
        <v>0.31</v>
      </c>
      <c r="T482">
        <v>5</v>
      </c>
      <c r="U482">
        <v>2441790.9831900001</v>
      </c>
      <c r="V482">
        <v>13652.494037</v>
      </c>
      <c r="W482">
        <v>481</v>
      </c>
      <c r="X482">
        <v>0</v>
      </c>
      <c r="Y482">
        <v>480</v>
      </c>
      <c r="Z482" t="s">
        <v>6966</v>
      </c>
      <c r="AA482" t="s">
        <v>6966</v>
      </c>
      <c r="AB482" t="s">
        <v>6966</v>
      </c>
      <c r="AC482" t="s">
        <v>6966</v>
      </c>
      <c r="AD482" t="s">
        <v>6966</v>
      </c>
      <c r="AE482" t="s">
        <v>6966</v>
      </c>
      <c r="AF482" t="s">
        <v>6966</v>
      </c>
      <c r="AG482" t="s">
        <v>6966</v>
      </c>
      <c r="AH482" t="s">
        <v>6966</v>
      </c>
      <c r="AI482" t="s">
        <v>6966</v>
      </c>
      <c r="AJ482" t="s">
        <v>6966</v>
      </c>
      <c r="AK482" t="s">
        <v>6966</v>
      </c>
      <c r="AL482" t="s">
        <v>6966</v>
      </c>
      <c r="AM482" t="s">
        <v>6966</v>
      </c>
      <c r="AN482" t="s">
        <v>6966</v>
      </c>
      <c r="AO482" t="s">
        <v>6966</v>
      </c>
      <c r="AP482" t="s">
        <v>6966</v>
      </c>
      <c r="AQ482" t="s">
        <v>6966</v>
      </c>
      <c r="AR482" t="s">
        <v>6966</v>
      </c>
      <c r="AS482" t="s">
        <v>6966</v>
      </c>
      <c r="AT482" t="s">
        <v>6966</v>
      </c>
      <c r="AU482" t="s">
        <v>6966</v>
      </c>
      <c r="AV482" t="s">
        <v>6966</v>
      </c>
      <c r="AW482" t="s">
        <v>6966</v>
      </c>
      <c r="AX482" t="s">
        <v>6966</v>
      </c>
      <c r="AY482" t="s">
        <v>6966</v>
      </c>
      <c r="AZ482">
        <v>0.136709</v>
      </c>
      <c r="BA482">
        <v>2.3900000000000001E-4</v>
      </c>
    </row>
    <row r="483" spans="1:53" x14ac:dyDescent="0.25">
      <c r="A483">
        <v>481</v>
      </c>
      <c r="B483" t="s">
        <v>7625</v>
      </c>
      <c r="C483">
        <v>701004</v>
      </c>
      <c r="D483" t="s">
        <v>682</v>
      </c>
      <c r="E483" t="s">
        <v>649</v>
      </c>
      <c r="F483">
        <v>572701.125</v>
      </c>
      <c r="G483">
        <v>3647.1120609999998</v>
      </c>
      <c r="H483">
        <v>431</v>
      </c>
      <c r="I483">
        <v>615</v>
      </c>
      <c r="J483">
        <v>34251</v>
      </c>
      <c r="K483" t="s">
        <v>2106</v>
      </c>
      <c r="L483">
        <v>11</v>
      </c>
      <c r="M483">
        <v>11</v>
      </c>
      <c r="N483">
        <v>34251</v>
      </c>
      <c r="O483">
        <v>419</v>
      </c>
      <c r="P483" t="s">
        <v>3215</v>
      </c>
      <c r="Q483">
        <v>2.7</v>
      </c>
      <c r="R483">
        <v>12.12</v>
      </c>
      <c r="S483">
        <v>0.72</v>
      </c>
      <c r="T483">
        <v>3</v>
      </c>
      <c r="U483">
        <v>572701.12921899999</v>
      </c>
      <c r="V483">
        <v>3647.1123240000002</v>
      </c>
      <c r="W483">
        <v>482</v>
      </c>
      <c r="X483">
        <v>0</v>
      </c>
      <c r="Y483">
        <v>481</v>
      </c>
      <c r="Z483" t="s">
        <v>6966</v>
      </c>
      <c r="AA483" t="s">
        <v>6966</v>
      </c>
      <c r="AB483" t="s">
        <v>6966</v>
      </c>
      <c r="AC483" t="s">
        <v>6966</v>
      </c>
      <c r="AD483" t="s">
        <v>6966</v>
      </c>
      <c r="AE483" t="s">
        <v>6966</v>
      </c>
      <c r="AF483" t="s">
        <v>6966</v>
      </c>
      <c r="AG483" t="s">
        <v>6966</v>
      </c>
      <c r="AH483" t="s">
        <v>6966</v>
      </c>
      <c r="AI483" t="s">
        <v>6966</v>
      </c>
      <c r="AJ483" t="s">
        <v>6966</v>
      </c>
      <c r="AK483" t="s">
        <v>6966</v>
      </c>
      <c r="AL483" t="s">
        <v>6966</v>
      </c>
      <c r="AM483" t="s">
        <v>6966</v>
      </c>
      <c r="AN483" t="s">
        <v>6966</v>
      </c>
      <c r="AO483" t="s">
        <v>6966</v>
      </c>
      <c r="AP483" t="s">
        <v>6966</v>
      </c>
      <c r="AQ483" t="s">
        <v>6966</v>
      </c>
      <c r="AR483" t="s">
        <v>6966</v>
      </c>
      <c r="AS483" t="s">
        <v>6966</v>
      </c>
      <c r="AT483" t="s">
        <v>6966</v>
      </c>
      <c r="AU483" t="s">
        <v>6966</v>
      </c>
      <c r="AV483" t="s">
        <v>6966</v>
      </c>
      <c r="AW483" t="s">
        <v>6966</v>
      </c>
      <c r="AX483" t="s">
        <v>6966</v>
      </c>
      <c r="AY483" t="s">
        <v>6966</v>
      </c>
      <c r="AZ483">
        <v>3.7450999999999998E-2</v>
      </c>
      <c r="BA483">
        <v>5.5999999999999999E-5</v>
      </c>
    </row>
    <row r="484" spans="1:53" x14ac:dyDescent="0.25">
      <c r="A484">
        <v>482</v>
      </c>
      <c r="B484" t="s">
        <v>7625</v>
      </c>
      <c r="C484">
        <v>701057</v>
      </c>
      <c r="D484" t="s">
        <v>719</v>
      </c>
      <c r="E484" t="s">
        <v>649</v>
      </c>
      <c r="F484">
        <v>4637908</v>
      </c>
      <c r="G484">
        <v>11982.78125</v>
      </c>
      <c r="H484">
        <v>432</v>
      </c>
      <c r="I484">
        <v>616</v>
      </c>
      <c r="J484">
        <v>34376</v>
      </c>
      <c r="K484" t="s">
        <v>1783</v>
      </c>
      <c r="L484">
        <v>11</v>
      </c>
      <c r="M484">
        <v>11</v>
      </c>
      <c r="N484">
        <v>34376</v>
      </c>
      <c r="O484">
        <v>420</v>
      </c>
      <c r="P484" t="s">
        <v>3215</v>
      </c>
      <c r="Q484">
        <v>0.4</v>
      </c>
      <c r="R484">
        <v>18.8</v>
      </c>
      <c r="S484">
        <v>0.16</v>
      </c>
      <c r="T484">
        <v>8</v>
      </c>
      <c r="U484">
        <v>4637907.8757499997</v>
      </c>
      <c r="V484">
        <v>11982.7814</v>
      </c>
      <c r="W484">
        <v>483</v>
      </c>
      <c r="X484">
        <v>0</v>
      </c>
      <c r="Y484">
        <v>482</v>
      </c>
      <c r="Z484" t="s">
        <v>6966</v>
      </c>
      <c r="AA484" t="s">
        <v>6966</v>
      </c>
      <c r="AB484" t="s">
        <v>6966</v>
      </c>
      <c r="AC484" t="s">
        <v>6966</v>
      </c>
      <c r="AD484" t="s">
        <v>6966</v>
      </c>
      <c r="AE484" t="s">
        <v>6966</v>
      </c>
      <c r="AF484" t="s">
        <v>6966</v>
      </c>
      <c r="AG484" t="s">
        <v>6966</v>
      </c>
      <c r="AH484" t="s">
        <v>6966</v>
      </c>
      <c r="AI484" t="s">
        <v>6966</v>
      </c>
      <c r="AJ484" t="s">
        <v>6966</v>
      </c>
      <c r="AK484" t="s">
        <v>6966</v>
      </c>
      <c r="AL484" t="s">
        <v>6966</v>
      </c>
      <c r="AM484" t="s">
        <v>6966</v>
      </c>
      <c r="AN484" t="s">
        <v>6966</v>
      </c>
      <c r="AO484" t="s">
        <v>6966</v>
      </c>
      <c r="AP484" t="s">
        <v>6966</v>
      </c>
      <c r="AQ484" t="s">
        <v>6966</v>
      </c>
      <c r="AR484" t="s">
        <v>6966</v>
      </c>
      <c r="AS484" t="s">
        <v>6966</v>
      </c>
      <c r="AT484" t="s">
        <v>6966</v>
      </c>
      <c r="AU484" t="s">
        <v>6966</v>
      </c>
      <c r="AV484" t="s">
        <v>6966</v>
      </c>
      <c r="AW484" t="s">
        <v>6966</v>
      </c>
      <c r="AX484" t="s">
        <v>6966</v>
      </c>
      <c r="AY484" t="s">
        <v>6966</v>
      </c>
      <c r="AZ484">
        <v>0.119171</v>
      </c>
      <c r="BA484">
        <v>4.5399999999999998E-4</v>
      </c>
    </row>
    <row r="485" spans="1:53" x14ac:dyDescent="0.25">
      <c r="A485">
        <v>483</v>
      </c>
      <c r="B485" t="s">
        <v>7625</v>
      </c>
      <c r="C485">
        <v>702009</v>
      </c>
      <c r="D485" t="s">
        <v>910</v>
      </c>
      <c r="E485" t="s">
        <v>2906</v>
      </c>
      <c r="F485">
        <v>6961679</v>
      </c>
      <c r="G485">
        <v>13173.351563</v>
      </c>
      <c r="H485">
        <v>433</v>
      </c>
      <c r="I485">
        <v>617</v>
      </c>
      <c r="J485">
        <v>36191</v>
      </c>
      <c r="K485" t="s">
        <v>2284</v>
      </c>
      <c r="L485">
        <v>13</v>
      </c>
      <c r="M485">
        <v>13</v>
      </c>
      <c r="N485">
        <v>36191</v>
      </c>
      <c r="O485">
        <v>421</v>
      </c>
      <c r="P485" t="s">
        <v>3215</v>
      </c>
      <c r="Q485">
        <v>0.8</v>
      </c>
      <c r="R485">
        <v>110.07</v>
      </c>
      <c r="S485">
        <v>0.33</v>
      </c>
      <c r="T485">
        <v>46</v>
      </c>
      <c r="U485">
        <v>6961678.9919499997</v>
      </c>
      <c r="V485">
        <v>13173.351586999999</v>
      </c>
      <c r="W485">
        <v>484</v>
      </c>
      <c r="X485">
        <v>0</v>
      </c>
      <c r="Y485">
        <v>483</v>
      </c>
      <c r="Z485" t="s">
        <v>6966</v>
      </c>
      <c r="AA485" t="s">
        <v>6966</v>
      </c>
      <c r="AB485" t="s">
        <v>6966</v>
      </c>
      <c r="AC485" t="s">
        <v>6966</v>
      </c>
      <c r="AD485" t="s">
        <v>6966</v>
      </c>
      <c r="AE485" t="s">
        <v>6966</v>
      </c>
      <c r="AF485" t="s">
        <v>6966</v>
      </c>
      <c r="AG485" t="s">
        <v>6966</v>
      </c>
      <c r="AH485" t="s">
        <v>6966</v>
      </c>
      <c r="AI485" t="s">
        <v>6966</v>
      </c>
      <c r="AJ485" t="s">
        <v>6966</v>
      </c>
      <c r="AK485" t="s">
        <v>6966</v>
      </c>
      <c r="AL485" t="s">
        <v>6966</v>
      </c>
      <c r="AM485" t="s">
        <v>6966</v>
      </c>
      <c r="AN485" t="s">
        <v>6966</v>
      </c>
      <c r="AO485" t="s">
        <v>6966</v>
      </c>
      <c r="AP485" t="s">
        <v>6966</v>
      </c>
      <c r="AQ485" t="s">
        <v>6966</v>
      </c>
      <c r="AR485" t="s">
        <v>6966</v>
      </c>
      <c r="AS485" t="s">
        <v>6966</v>
      </c>
      <c r="AT485" t="s">
        <v>6966</v>
      </c>
      <c r="AU485" t="s">
        <v>6966</v>
      </c>
      <c r="AV485" t="s">
        <v>6966</v>
      </c>
      <c r="AW485" t="s">
        <v>6966</v>
      </c>
      <c r="AX485" t="s">
        <v>6966</v>
      </c>
      <c r="AY485" t="s">
        <v>6966</v>
      </c>
      <c r="AZ485">
        <v>0.130407</v>
      </c>
      <c r="BA485">
        <v>6.8099999999999996E-4</v>
      </c>
    </row>
    <row r="486" spans="1:53" x14ac:dyDescent="0.25">
      <c r="A486">
        <v>484</v>
      </c>
      <c r="B486" t="s">
        <v>7625</v>
      </c>
      <c r="C486">
        <v>701005</v>
      </c>
      <c r="D486" t="s">
        <v>689</v>
      </c>
      <c r="E486" t="s">
        <v>649</v>
      </c>
      <c r="F486">
        <v>9353646</v>
      </c>
      <c r="G486">
        <v>24106.615234000001</v>
      </c>
      <c r="H486">
        <v>434</v>
      </c>
      <c r="I486">
        <v>618</v>
      </c>
      <c r="J486">
        <v>34263</v>
      </c>
      <c r="K486" t="s">
        <v>689</v>
      </c>
      <c r="L486">
        <v>11</v>
      </c>
      <c r="M486">
        <v>11</v>
      </c>
      <c r="N486">
        <v>34263</v>
      </c>
      <c r="O486">
        <v>422</v>
      </c>
      <c r="P486" t="s">
        <v>3215</v>
      </c>
      <c r="Q486">
        <v>0.8</v>
      </c>
      <c r="R486">
        <v>37.46</v>
      </c>
      <c r="S486">
        <v>0.17</v>
      </c>
      <c r="T486">
        <v>8</v>
      </c>
      <c r="U486">
        <v>9353645.9360199999</v>
      </c>
      <c r="V486">
        <v>24106.616569000002</v>
      </c>
      <c r="W486">
        <v>485</v>
      </c>
      <c r="X486">
        <v>0</v>
      </c>
      <c r="Y486">
        <v>484</v>
      </c>
      <c r="Z486" t="s">
        <v>6966</v>
      </c>
      <c r="AA486" t="s">
        <v>6966</v>
      </c>
      <c r="AB486" t="s">
        <v>6966</v>
      </c>
      <c r="AC486" t="s">
        <v>6966</v>
      </c>
      <c r="AD486" t="s">
        <v>6966</v>
      </c>
      <c r="AE486" t="s">
        <v>6966</v>
      </c>
      <c r="AF486" t="s">
        <v>6966</v>
      </c>
      <c r="AG486" t="s">
        <v>6966</v>
      </c>
      <c r="AH486" t="s">
        <v>6966</v>
      </c>
      <c r="AI486" t="s">
        <v>6966</v>
      </c>
      <c r="AJ486" t="s">
        <v>6966</v>
      </c>
      <c r="AK486" t="s">
        <v>6966</v>
      </c>
      <c r="AL486" t="s">
        <v>6966</v>
      </c>
      <c r="AM486" t="s">
        <v>6966</v>
      </c>
      <c r="AN486" t="s">
        <v>6966</v>
      </c>
      <c r="AO486" t="s">
        <v>6966</v>
      </c>
      <c r="AP486" t="s">
        <v>6966</v>
      </c>
      <c r="AQ486" t="s">
        <v>6966</v>
      </c>
      <c r="AR486" t="s">
        <v>6966</v>
      </c>
      <c r="AS486" t="s">
        <v>6966</v>
      </c>
      <c r="AT486" t="s">
        <v>6966</v>
      </c>
      <c r="AU486" t="s">
        <v>6966</v>
      </c>
      <c r="AV486" t="s">
        <v>6966</v>
      </c>
      <c r="AW486" t="s">
        <v>6966</v>
      </c>
      <c r="AX486" t="s">
        <v>6966</v>
      </c>
      <c r="AY486" t="s">
        <v>6966</v>
      </c>
      <c r="AZ486">
        <v>0.244564</v>
      </c>
      <c r="BA486">
        <v>9.1500000000000001E-4</v>
      </c>
    </row>
    <row r="487" spans="1:53" x14ac:dyDescent="0.25">
      <c r="A487">
        <v>485</v>
      </c>
      <c r="B487" t="s">
        <v>7625</v>
      </c>
      <c r="C487">
        <v>701041</v>
      </c>
      <c r="D487" t="s">
        <v>676</v>
      </c>
      <c r="E487" t="s">
        <v>649</v>
      </c>
      <c r="F487">
        <v>778580.0625</v>
      </c>
      <c r="G487">
        <v>5153.0600590000004</v>
      </c>
      <c r="H487">
        <v>435</v>
      </c>
      <c r="I487">
        <v>619</v>
      </c>
      <c r="J487">
        <v>34241</v>
      </c>
      <c r="K487" t="s">
        <v>676</v>
      </c>
      <c r="L487">
        <v>11</v>
      </c>
      <c r="M487">
        <v>11</v>
      </c>
      <c r="N487">
        <v>34241</v>
      </c>
      <c r="O487">
        <v>423</v>
      </c>
      <c r="P487" t="s">
        <v>3215</v>
      </c>
      <c r="Q487">
        <v>4.0999999999999996</v>
      </c>
      <c r="R487">
        <v>16.21</v>
      </c>
      <c r="S487">
        <v>0.95</v>
      </c>
      <c r="T487">
        <v>4</v>
      </c>
      <c r="U487">
        <v>778580.07279100001</v>
      </c>
      <c r="V487">
        <v>5153.0608929999999</v>
      </c>
      <c r="W487">
        <v>486</v>
      </c>
      <c r="X487">
        <v>0</v>
      </c>
      <c r="Y487">
        <v>485</v>
      </c>
      <c r="Z487" t="s">
        <v>6966</v>
      </c>
      <c r="AA487" t="s">
        <v>6966</v>
      </c>
      <c r="AB487" t="s">
        <v>6966</v>
      </c>
      <c r="AC487" t="s">
        <v>6966</v>
      </c>
      <c r="AD487" t="s">
        <v>6966</v>
      </c>
      <c r="AE487" t="s">
        <v>6966</v>
      </c>
      <c r="AF487" t="s">
        <v>6966</v>
      </c>
      <c r="AG487" t="s">
        <v>6966</v>
      </c>
      <c r="AH487" t="s">
        <v>6966</v>
      </c>
      <c r="AI487" t="s">
        <v>6966</v>
      </c>
      <c r="AJ487" t="s">
        <v>6966</v>
      </c>
      <c r="AK487" t="s">
        <v>6966</v>
      </c>
      <c r="AL487" t="s">
        <v>6966</v>
      </c>
      <c r="AM487" t="s">
        <v>6966</v>
      </c>
      <c r="AN487" t="s">
        <v>6966</v>
      </c>
      <c r="AO487" t="s">
        <v>6966</v>
      </c>
      <c r="AP487" t="s">
        <v>6966</v>
      </c>
      <c r="AQ487" t="s">
        <v>6966</v>
      </c>
      <c r="AR487" t="s">
        <v>6966</v>
      </c>
      <c r="AS487" t="s">
        <v>6966</v>
      </c>
      <c r="AT487" t="s">
        <v>6966</v>
      </c>
      <c r="AU487" t="s">
        <v>6966</v>
      </c>
      <c r="AV487" t="s">
        <v>6966</v>
      </c>
      <c r="AW487" t="s">
        <v>6966</v>
      </c>
      <c r="AX487" t="s">
        <v>6966</v>
      </c>
      <c r="AY487" t="s">
        <v>6966</v>
      </c>
      <c r="AZ487">
        <v>5.1891E-2</v>
      </c>
      <c r="BA487">
        <v>7.6000000000000004E-5</v>
      </c>
    </row>
    <row r="488" spans="1:53" x14ac:dyDescent="0.25">
      <c r="A488">
        <v>486</v>
      </c>
      <c r="B488" t="s">
        <v>7625</v>
      </c>
      <c r="C488">
        <v>701022</v>
      </c>
      <c r="D488" t="s">
        <v>665</v>
      </c>
      <c r="E488" t="s">
        <v>649</v>
      </c>
      <c r="F488">
        <v>2858613.5</v>
      </c>
      <c r="G488">
        <v>9701.7402340000008</v>
      </c>
      <c r="H488">
        <v>436</v>
      </c>
      <c r="I488">
        <v>620</v>
      </c>
      <c r="J488">
        <v>34223</v>
      </c>
      <c r="K488" t="s">
        <v>665</v>
      </c>
      <c r="L488">
        <v>11</v>
      </c>
      <c r="M488">
        <v>11</v>
      </c>
      <c r="N488">
        <v>34223</v>
      </c>
      <c r="O488">
        <v>424</v>
      </c>
      <c r="P488" t="s">
        <v>3215</v>
      </c>
      <c r="Q488">
        <v>0</v>
      </c>
      <c r="R488">
        <v>0.72</v>
      </c>
      <c r="S488">
        <v>0.04</v>
      </c>
      <c r="T488">
        <v>1</v>
      </c>
      <c r="U488">
        <v>2858613.585</v>
      </c>
      <c r="V488">
        <v>9701.7404349999997</v>
      </c>
      <c r="W488">
        <v>487</v>
      </c>
      <c r="X488">
        <v>0</v>
      </c>
      <c r="Y488">
        <v>486</v>
      </c>
      <c r="Z488" t="s">
        <v>6966</v>
      </c>
      <c r="AA488" t="s">
        <v>6966</v>
      </c>
      <c r="AB488" t="s">
        <v>6966</v>
      </c>
      <c r="AC488" t="s">
        <v>6966</v>
      </c>
      <c r="AD488" t="s">
        <v>6966</v>
      </c>
      <c r="AE488" t="s">
        <v>6966</v>
      </c>
      <c r="AF488" t="s">
        <v>6966</v>
      </c>
      <c r="AG488" t="s">
        <v>6966</v>
      </c>
      <c r="AH488" t="s">
        <v>6966</v>
      </c>
      <c r="AI488" t="s">
        <v>6966</v>
      </c>
      <c r="AJ488" t="s">
        <v>6966</v>
      </c>
      <c r="AK488" t="s">
        <v>6966</v>
      </c>
      <c r="AL488" t="s">
        <v>6966</v>
      </c>
      <c r="AM488" t="s">
        <v>6966</v>
      </c>
      <c r="AN488" t="s">
        <v>6966</v>
      </c>
      <c r="AO488" t="s">
        <v>6966</v>
      </c>
      <c r="AP488" t="s">
        <v>6966</v>
      </c>
      <c r="AQ488" t="s">
        <v>6966</v>
      </c>
      <c r="AR488" t="s">
        <v>6966</v>
      </c>
      <c r="AS488" t="s">
        <v>6966</v>
      </c>
      <c r="AT488" t="s">
        <v>6966</v>
      </c>
      <c r="AU488" t="s">
        <v>6966</v>
      </c>
      <c r="AV488" t="s">
        <v>6966</v>
      </c>
      <c r="AW488" t="s">
        <v>6966</v>
      </c>
      <c r="AX488" t="s">
        <v>6966</v>
      </c>
      <c r="AY488" t="s">
        <v>6966</v>
      </c>
      <c r="AZ488">
        <v>9.7267999999999993E-2</v>
      </c>
      <c r="BA488">
        <v>2.7999999999999998E-4</v>
      </c>
    </row>
    <row r="489" spans="1:53" x14ac:dyDescent="0.25">
      <c r="A489">
        <v>487</v>
      </c>
      <c r="B489" t="s">
        <v>7625</v>
      </c>
      <c r="C489">
        <v>701045</v>
      </c>
      <c r="D489" t="s">
        <v>686</v>
      </c>
      <c r="E489" t="s">
        <v>649</v>
      </c>
      <c r="F489">
        <v>930918.9375</v>
      </c>
      <c r="G489">
        <v>6010.7060549999997</v>
      </c>
      <c r="H489">
        <v>437</v>
      </c>
      <c r="I489">
        <v>621</v>
      </c>
      <c r="J489">
        <v>34257</v>
      </c>
      <c r="K489" t="s">
        <v>7756</v>
      </c>
      <c r="L489">
        <v>11</v>
      </c>
      <c r="M489">
        <v>11</v>
      </c>
      <c r="N489">
        <v>34257</v>
      </c>
      <c r="O489">
        <v>425</v>
      </c>
      <c r="P489" t="s">
        <v>3215</v>
      </c>
      <c r="Q489">
        <v>0.8</v>
      </c>
      <c r="R489">
        <v>30.97</v>
      </c>
      <c r="S489">
        <v>0.24</v>
      </c>
      <c r="T489">
        <v>9</v>
      </c>
      <c r="U489">
        <v>930919.00291699998</v>
      </c>
      <c r="V489">
        <v>6010.7071669999996</v>
      </c>
      <c r="W489">
        <v>488</v>
      </c>
      <c r="X489">
        <v>0</v>
      </c>
      <c r="Y489">
        <v>487</v>
      </c>
      <c r="Z489" t="s">
        <v>6966</v>
      </c>
      <c r="AA489" t="s">
        <v>6966</v>
      </c>
      <c r="AB489" t="s">
        <v>6966</v>
      </c>
      <c r="AC489" t="s">
        <v>6966</v>
      </c>
      <c r="AD489" t="s">
        <v>6966</v>
      </c>
      <c r="AE489" t="s">
        <v>6966</v>
      </c>
      <c r="AF489" t="s">
        <v>6966</v>
      </c>
      <c r="AG489" t="s">
        <v>6966</v>
      </c>
      <c r="AH489" t="s">
        <v>6966</v>
      </c>
      <c r="AI489" t="s">
        <v>6966</v>
      </c>
      <c r="AJ489" t="s">
        <v>6966</v>
      </c>
      <c r="AK489" t="s">
        <v>6966</v>
      </c>
      <c r="AL489" t="s">
        <v>6966</v>
      </c>
      <c r="AM489" t="s">
        <v>6966</v>
      </c>
      <c r="AN489" t="s">
        <v>6966</v>
      </c>
      <c r="AO489" t="s">
        <v>6966</v>
      </c>
      <c r="AP489" t="s">
        <v>6966</v>
      </c>
      <c r="AQ489" t="s">
        <v>6966</v>
      </c>
      <c r="AR489" t="s">
        <v>6966</v>
      </c>
      <c r="AS489" t="s">
        <v>6966</v>
      </c>
      <c r="AT489" t="s">
        <v>6966</v>
      </c>
      <c r="AU489" t="s">
        <v>6966</v>
      </c>
      <c r="AV489" t="s">
        <v>6966</v>
      </c>
      <c r="AW489" t="s">
        <v>6966</v>
      </c>
      <c r="AX489" t="s">
        <v>6966</v>
      </c>
      <c r="AY489" t="s">
        <v>6966</v>
      </c>
      <c r="AZ489">
        <v>6.1283999999999998E-2</v>
      </c>
      <c r="BA489">
        <v>9.1000000000000003E-5</v>
      </c>
    </row>
    <row r="490" spans="1:53" x14ac:dyDescent="0.25">
      <c r="A490">
        <v>488</v>
      </c>
      <c r="B490" t="s">
        <v>7625</v>
      </c>
      <c r="C490">
        <v>201011</v>
      </c>
      <c r="D490" t="s">
        <v>1090</v>
      </c>
      <c r="E490" t="s">
        <v>1069</v>
      </c>
      <c r="F490">
        <v>6322064</v>
      </c>
      <c r="G490">
        <v>12658.908203000001</v>
      </c>
      <c r="H490">
        <v>438</v>
      </c>
      <c r="I490">
        <v>622</v>
      </c>
      <c r="J490">
        <v>53221</v>
      </c>
      <c r="K490" t="s">
        <v>7757</v>
      </c>
      <c r="L490">
        <v>17</v>
      </c>
      <c r="M490">
        <v>17</v>
      </c>
      <c r="N490">
        <v>53221</v>
      </c>
      <c r="O490">
        <v>426</v>
      </c>
      <c r="P490" t="s">
        <v>3214</v>
      </c>
      <c r="Q490">
        <v>0.8</v>
      </c>
      <c r="R490">
        <v>172.44</v>
      </c>
      <c r="S490">
        <v>0.17</v>
      </c>
      <c r="T490">
        <v>38</v>
      </c>
      <c r="U490">
        <v>6322063.89604</v>
      </c>
      <c r="V490">
        <v>12658.908348999999</v>
      </c>
      <c r="W490">
        <v>489</v>
      </c>
      <c r="X490">
        <v>0</v>
      </c>
      <c r="Y490">
        <v>488</v>
      </c>
      <c r="Z490" t="s">
        <v>6966</v>
      </c>
      <c r="AA490" t="s">
        <v>6966</v>
      </c>
      <c r="AB490" t="s">
        <v>6966</v>
      </c>
      <c r="AC490" t="s">
        <v>6966</v>
      </c>
      <c r="AD490" t="s">
        <v>6966</v>
      </c>
      <c r="AE490" t="s">
        <v>6966</v>
      </c>
      <c r="AF490" t="s">
        <v>6966</v>
      </c>
      <c r="AG490" t="s">
        <v>6966</v>
      </c>
      <c r="AH490" t="s">
        <v>6966</v>
      </c>
      <c r="AI490" t="s">
        <v>6966</v>
      </c>
      <c r="AJ490" t="s">
        <v>6966</v>
      </c>
      <c r="AK490" t="s">
        <v>6966</v>
      </c>
      <c r="AL490" t="s">
        <v>6966</v>
      </c>
      <c r="AM490" t="s">
        <v>6966</v>
      </c>
      <c r="AN490" t="s">
        <v>6966</v>
      </c>
      <c r="AO490" t="s">
        <v>6966</v>
      </c>
      <c r="AP490" t="s">
        <v>6966</v>
      </c>
      <c r="AQ490" t="s">
        <v>6966</v>
      </c>
      <c r="AR490" t="s">
        <v>6966</v>
      </c>
      <c r="AS490" t="s">
        <v>6966</v>
      </c>
      <c r="AT490" t="s">
        <v>6966</v>
      </c>
      <c r="AU490" t="s">
        <v>6966</v>
      </c>
      <c r="AV490" t="s">
        <v>6966</v>
      </c>
      <c r="AW490" t="s">
        <v>6966</v>
      </c>
      <c r="AX490" t="s">
        <v>6966</v>
      </c>
      <c r="AY490" t="s">
        <v>6966</v>
      </c>
      <c r="AZ490">
        <v>0.124517</v>
      </c>
      <c r="BA490">
        <v>6.1899999999999998E-4</v>
      </c>
    </row>
    <row r="491" spans="1:53" x14ac:dyDescent="0.25">
      <c r="A491">
        <v>489</v>
      </c>
      <c r="B491" t="s">
        <v>7625</v>
      </c>
      <c r="C491">
        <v>701028</v>
      </c>
      <c r="D491" t="s">
        <v>678</v>
      </c>
      <c r="E491" t="s">
        <v>649</v>
      </c>
      <c r="F491">
        <v>416008.625</v>
      </c>
      <c r="G491">
        <v>3649.681885</v>
      </c>
      <c r="H491">
        <v>439</v>
      </c>
      <c r="I491">
        <v>623</v>
      </c>
      <c r="J491">
        <v>34244</v>
      </c>
      <c r="K491" t="s">
        <v>2105</v>
      </c>
      <c r="L491">
        <v>11</v>
      </c>
      <c r="M491">
        <v>11</v>
      </c>
      <c r="N491">
        <v>34244</v>
      </c>
      <c r="O491">
        <v>427</v>
      </c>
      <c r="P491" t="s">
        <v>3215</v>
      </c>
      <c r="Q491">
        <v>1.8</v>
      </c>
      <c r="R491">
        <v>28.35</v>
      </c>
      <c r="S491">
        <v>0.36</v>
      </c>
      <c r="T491">
        <v>6</v>
      </c>
      <c r="U491">
        <v>416008.57164699998</v>
      </c>
      <c r="V491">
        <v>3649.6822520000001</v>
      </c>
      <c r="W491">
        <v>490</v>
      </c>
      <c r="X491">
        <v>0</v>
      </c>
      <c r="Y491">
        <v>489</v>
      </c>
      <c r="Z491" t="s">
        <v>6966</v>
      </c>
      <c r="AA491" t="s">
        <v>6966</v>
      </c>
      <c r="AB491" t="s">
        <v>6966</v>
      </c>
      <c r="AC491" t="s">
        <v>6966</v>
      </c>
      <c r="AD491" t="s">
        <v>6966</v>
      </c>
      <c r="AE491" t="s">
        <v>6966</v>
      </c>
      <c r="AF491" t="s">
        <v>6966</v>
      </c>
      <c r="AG491" t="s">
        <v>6966</v>
      </c>
      <c r="AH491" t="s">
        <v>6966</v>
      </c>
      <c r="AI491" t="s">
        <v>6966</v>
      </c>
      <c r="AJ491" t="s">
        <v>6966</v>
      </c>
      <c r="AK491" t="s">
        <v>6966</v>
      </c>
      <c r="AL491" t="s">
        <v>6966</v>
      </c>
      <c r="AM491" t="s">
        <v>6966</v>
      </c>
      <c r="AN491" t="s">
        <v>6966</v>
      </c>
      <c r="AO491" t="s">
        <v>6966</v>
      </c>
      <c r="AP491" t="s">
        <v>6966</v>
      </c>
      <c r="AQ491" t="s">
        <v>6966</v>
      </c>
      <c r="AR491" t="s">
        <v>6966</v>
      </c>
      <c r="AS491" t="s">
        <v>6966</v>
      </c>
      <c r="AT491" t="s">
        <v>6966</v>
      </c>
      <c r="AU491" t="s">
        <v>6966</v>
      </c>
      <c r="AV491" t="s">
        <v>6966</v>
      </c>
      <c r="AW491" t="s">
        <v>6966</v>
      </c>
      <c r="AX491" t="s">
        <v>6966</v>
      </c>
      <c r="AY491" t="s">
        <v>6966</v>
      </c>
      <c r="AZ491">
        <v>3.7772E-2</v>
      </c>
      <c r="BA491">
        <v>4.1E-5</v>
      </c>
    </row>
    <row r="492" spans="1:53" x14ac:dyDescent="0.25">
      <c r="A492">
        <v>490</v>
      </c>
      <c r="B492" t="s">
        <v>7625</v>
      </c>
      <c r="C492">
        <v>201002</v>
      </c>
      <c r="D492" t="s">
        <v>1089</v>
      </c>
      <c r="E492" t="s">
        <v>1069</v>
      </c>
      <c r="F492">
        <v>8782236</v>
      </c>
      <c r="G492">
        <v>13491.364258</v>
      </c>
      <c r="H492">
        <v>440</v>
      </c>
      <c r="I492">
        <v>624</v>
      </c>
      <c r="J492">
        <v>53217</v>
      </c>
      <c r="K492" t="s">
        <v>7758</v>
      </c>
      <c r="L492">
        <v>17</v>
      </c>
      <c r="M492">
        <v>17</v>
      </c>
      <c r="N492">
        <v>53217</v>
      </c>
      <c r="O492">
        <v>428</v>
      </c>
      <c r="P492" t="s">
        <v>3214</v>
      </c>
      <c r="Q492">
        <v>7.5</v>
      </c>
      <c r="R492">
        <v>146.72</v>
      </c>
      <c r="S492">
        <v>1.54</v>
      </c>
      <c r="T492">
        <v>30</v>
      </c>
      <c r="U492">
        <v>8782236.4192699995</v>
      </c>
      <c r="V492">
        <v>13491.363372</v>
      </c>
      <c r="W492">
        <v>491</v>
      </c>
      <c r="X492">
        <v>0</v>
      </c>
      <c r="Y492">
        <v>490</v>
      </c>
      <c r="Z492" t="s">
        <v>6966</v>
      </c>
      <c r="AA492" t="s">
        <v>6966</v>
      </c>
      <c r="AB492" t="s">
        <v>6966</v>
      </c>
      <c r="AC492" t="s">
        <v>6966</v>
      </c>
      <c r="AD492" t="s">
        <v>6966</v>
      </c>
      <c r="AE492" t="s">
        <v>6966</v>
      </c>
      <c r="AF492" t="s">
        <v>6966</v>
      </c>
      <c r="AG492" t="s">
        <v>6966</v>
      </c>
      <c r="AH492" t="s">
        <v>6966</v>
      </c>
      <c r="AI492" t="s">
        <v>6966</v>
      </c>
      <c r="AJ492" t="s">
        <v>6966</v>
      </c>
      <c r="AK492" t="s">
        <v>6966</v>
      </c>
      <c r="AL492" t="s">
        <v>6966</v>
      </c>
      <c r="AM492" t="s">
        <v>6966</v>
      </c>
      <c r="AN492" t="s">
        <v>6966</v>
      </c>
      <c r="AO492" t="s">
        <v>6966</v>
      </c>
      <c r="AP492" t="s">
        <v>6966</v>
      </c>
      <c r="AQ492" t="s">
        <v>6966</v>
      </c>
      <c r="AR492" t="s">
        <v>6966</v>
      </c>
      <c r="AS492" t="s">
        <v>6966</v>
      </c>
      <c r="AT492" t="s">
        <v>6966</v>
      </c>
      <c r="AU492" t="s">
        <v>6966</v>
      </c>
      <c r="AV492" t="s">
        <v>6966</v>
      </c>
      <c r="AW492" t="s">
        <v>6966</v>
      </c>
      <c r="AX492" t="s">
        <v>6966</v>
      </c>
      <c r="AY492" t="s">
        <v>6966</v>
      </c>
      <c r="AZ492">
        <v>0.13525799999999999</v>
      </c>
      <c r="BA492">
        <v>8.5899999999999995E-4</v>
      </c>
    </row>
    <row r="493" spans="1:53" x14ac:dyDescent="0.25">
      <c r="A493">
        <v>491</v>
      </c>
      <c r="B493" t="s">
        <v>7625</v>
      </c>
      <c r="C493">
        <v>701039</v>
      </c>
      <c r="D493" t="s">
        <v>672</v>
      </c>
      <c r="E493" t="s">
        <v>649</v>
      </c>
      <c r="F493">
        <v>1822481.25</v>
      </c>
      <c r="G493">
        <v>8239.8466800000006</v>
      </c>
      <c r="H493">
        <v>441</v>
      </c>
      <c r="I493">
        <v>625</v>
      </c>
      <c r="J493">
        <v>34234</v>
      </c>
      <c r="K493" t="s">
        <v>2100</v>
      </c>
      <c r="L493">
        <v>11</v>
      </c>
      <c r="M493">
        <v>11</v>
      </c>
      <c r="N493">
        <v>34234</v>
      </c>
      <c r="O493">
        <v>429</v>
      </c>
      <c r="P493" t="s">
        <v>3215</v>
      </c>
      <c r="Q493">
        <v>2.5</v>
      </c>
      <c r="R493">
        <v>15.06</v>
      </c>
      <c r="S493">
        <v>0.52</v>
      </c>
      <c r="T493">
        <v>3</v>
      </c>
      <c r="U493">
        <v>1822481.29107</v>
      </c>
      <c r="V493">
        <v>8239.8475490000001</v>
      </c>
      <c r="W493">
        <v>492</v>
      </c>
      <c r="X493">
        <v>0</v>
      </c>
      <c r="Y493">
        <v>491</v>
      </c>
      <c r="Z493" t="s">
        <v>6966</v>
      </c>
      <c r="AA493" t="s">
        <v>6966</v>
      </c>
      <c r="AB493" t="s">
        <v>6966</v>
      </c>
      <c r="AC493" t="s">
        <v>6966</v>
      </c>
      <c r="AD493" t="s">
        <v>6966</v>
      </c>
      <c r="AE493" t="s">
        <v>6966</v>
      </c>
      <c r="AF493" t="s">
        <v>6966</v>
      </c>
      <c r="AG493" t="s">
        <v>6966</v>
      </c>
      <c r="AH493" t="s">
        <v>6966</v>
      </c>
      <c r="AI493" t="s">
        <v>6966</v>
      </c>
      <c r="AJ493" t="s">
        <v>6966</v>
      </c>
      <c r="AK493" t="s">
        <v>6966</v>
      </c>
      <c r="AL493" t="s">
        <v>6966</v>
      </c>
      <c r="AM493" t="s">
        <v>6966</v>
      </c>
      <c r="AN493" t="s">
        <v>6966</v>
      </c>
      <c r="AO493" t="s">
        <v>6966</v>
      </c>
      <c r="AP493" t="s">
        <v>6966</v>
      </c>
      <c r="AQ493" t="s">
        <v>6966</v>
      </c>
      <c r="AR493" t="s">
        <v>6966</v>
      </c>
      <c r="AS493" t="s">
        <v>6966</v>
      </c>
      <c r="AT493" t="s">
        <v>6966</v>
      </c>
      <c r="AU493" t="s">
        <v>6966</v>
      </c>
      <c r="AV493" t="s">
        <v>6966</v>
      </c>
      <c r="AW493" t="s">
        <v>6966</v>
      </c>
      <c r="AX493" t="s">
        <v>6966</v>
      </c>
      <c r="AY493" t="s">
        <v>6966</v>
      </c>
      <c r="AZ493">
        <v>8.2577999999999999E-2</v>
      </c>
      <c r="BA493">
        <v>1.7799999999999999E-4</v>
      </c>
    </row>
    <row r="494" spans="1:53" x14ac:dyDescent="0.25">
      <c r="A494">
        <v>492</v>
      </c>
      <c r="B494" t="s">
        <v>7625</v>
      </c>
      <c r="C494">
        <v>201069</v>
      </c>
      <c r="D494" t="s">
        <v>1091</v>
      </c>
      <c r="E494" t="s">
        <v>1069</v>
      </c>
      <c r="F494">
        <v>0</v>
      </c>
      <c r="G494">
        <v>19974.654297000001</v>
      </c>
      <c r="H494">
        <v>442</v>
      </c>
      <c r="I494">
        <v>626</v>
      </c>
      <c r="J494">
        <v>53224</v>
      </c>
      <c r="K494" t="s">
        <v>2432</v>
      </c>
      <c r="L494">
        <v>17</v>
      </c>
      <c r="M494">
        <v>17</v>
      </c>
      <c r="N494">
        <v>53224</v>
      </c>
      <c r="O494">
        <v>430</v>
      </c>
      <c r="P494" t="s">
        <v>3214</v>
      </c>
      <c r="Q494">
        <v>2.4</v>
      </c>
      <c r="R494">
        <v>157.55000000000001</v>
      </c>
      <c r="S494">
        <v>0.59</v>
      </c>
      <c r="T494">
        <v>40</v>
      </c>
      <c r="U494">
        <v>0</v>
      </c>
      <c r="V494">
        <v>19974.653387999999</v>
      </c>
      <c r="W494">
        <v>493</v>
      </c>
      <c r="X494">
        <v>0</v>
      </c>
      <c r="Y494">
        <v>492</v>
      </c>
      <c r="Z494" t="s">
        <v>6966</v>
      </c>
      <c r="AA494" t="s">
        <v>6966</v>
      </c>
      <c r="AB494" t="s">
        <v>6966</v>
      </c>
      <c r="AC494" t="s">
        <v>6966</v>
      </c>
      <c r="AD494" t="s">
        <v>6966</v>
      </c>
      <c r="AE494" t="s">
        <v>6966</v>
      </c>
      <c r="AF494" t="s">
        <v>6966</v>
      </c>
      <c r="AG494" t="s">
        <v>6966</v>
      </c>
      <c r="AH494" t="s">
        <v>6966</v>
      </c>
      <c r="AI494" t="s">
        <v>6966</v>
      </c>
      <c r="AJ494" t="s">
        <v>6966</v>
      </c>
      <c r="AK494" t="s">
        <v>6966</v>
      </c>
      <c r="AL494" t="s">
        <v>6966</v>
      </c>
      <c r="AM494" t="s">
        <v>6966</v>
      </c>
      <c r="AN494" t="s">
        <v>6966</v>
      </c>
      <c r="AO494" t="s">
        <v>6966</v>
      </c>
      <c r="AP494" t="s">
        <v>6966</v>
      </c>
      <c r="AQ494" t="s">
        <v>6966</v>
      </c>
      <c r="AR494" t="s">
        <v>6966</v>
      </c>
      <c r="AS494" t="s">
        <v>6966</v>
      </c>
      <c r="AT494" t="s">
        <v>6966</v>
      </c>
      <c r="AU494" t="s">
        <v>6966</v>
      </c>
      <c r="AV494" t="s">
        <v>6966</v>
      </c>
      <c r="AW494" t="s">
        <v>6966</v>
      </c>
      <c r="AX494" t="s">
        <v>6966</v>
      </c>
      <c r="AY494" t="s">
        <v>6966</v>
      </c>
      <c r="AZ494">
        <v>0.199576</v>
      </c>
      <c r="BA494">
        <v>1.0449999999999999E-3</v>
      </c>
    </row>
    <row r="495" spans="1:53" x14ac:dyDescent="0.25">
      <c r="A495">
        <v>493</v>
      </c>
      <c r="B495" t="s">
        <v>7625</v>
      </c>
      <c r="C495">
        <v>701053</v>
      </c>
      <c r="D495" t="s">
        <v>685</v>
      </c>
      <c r="E495" t="s">
        <v>649</v>
      </c>
      <c r="F495">
        <v>1597172.375</v>
      </c>
      <c r="G495">
        <v>6935.3989259999998</v>
      </c>
      <c r="H495">
        <v>443</v>
      </c>
      <c r="I495">
        <v>627</v>
      </c>
      <c r="J495">
        <v>34256</v>
      </c>
      <c r="K495" t="s">
        <v>685</v>
      </c>
      <c r="L495">
        <v>11</v>
      </c>
      <c r="M495">
        <v>11</v>
      </c>
      <c r="N495">
        <v>34256</v>
      </c>
      <c r="O495">
        <v>431</v>
      </c>
      <c r="P495" t="s">
        <v>3215</v>
      </c>
      <c r="Q495">
        <v>1.6</v>
      </c>
      <c r="R495">
        <v>18.190000000000001</v>
      </c>
      <c r="S495">
        <v>0.39</v>
      </c>
      <c r="T495">
        <v>4</v>
      </c>
      <c r="U495">
        <v>1597172.34152</v>
      </c>
      <c r="V495">
        <v>6935.398999</v>
      </c>
      <c r="W495">
        <v>494</v>
      </c>
      <c r="X495">
        <v>0</v>
      </c>
      <c r="Y495">
        <v>493</v>
      </c>
      <c r="Z495" t="s">
        <v>6966</v>
      </c>
      <c r="AA495" t="s">
        <v>6966</v>
      </c>
      <c r="AB495" t="s">
        <v>6966</v>
      </c>
      <c r="AC495" t="s">
        <v>6966</v>
      </c>
      <c r="AD495" t="s">
        <v>6966</v>
      </c>
      <c r="AE495" t="s">
        <v>6966</v>
      </c>
      <c r="AF495" t="s">
        <v>6966</v>
      </c>
      <c r="AG495" t="s">
        <v>6966</v>
      </c>
      <c r="AH495" t="s">
        <v>6966</v>
      </c>
      <c r="AI495" t="s">
        <v>6966</v>
      </c>
      <c r="AJ495" t="s">
        <v>6966</v>
      </c>
      <c r="AK495" t="s">
        <v>6966</v>
      </c>
      <c r="AL495" t="s">
        <v>6966</v>
      </c>
      <c r="AM495" t="s">
        <v>6966</v>
      </c>
      <c r="AN495" t="s">
        <v>6966</v>
      </c>
      <c r="AO495" t="s">
        <v>6966</v>
      </c>
      <c r="AP495" t="s">
        <v>6966</v>
      </c>
      <c r="AQ495" t="s">
        <v>6966</v>
      </c>
      <c r="AR495" t="s">
        <v>6966</v>
      </c>
      <c r="AS495" t="s">
        <v>6966</v>
      </c>
      <c r="AT495" t="s">
        <v>6966</v>
      </c>
      <c r="AU495" t="s">
        <v>6966</v>
      </c>
      <c r="AV495" t="s">
        <v>6966</v>
      </c>
      <c r="AW495" t="s">
        <v>6966</v>
      </c>
      <c r="AX495" t="s">
        <v>6966</v>
      </c>
      <c r="AY495" t="s">
        <v>6966</v>
      </c>
      <c r="AZ495">
        <v>7.0846999999999993E-2</v>
      </c>
      <c r="BA495">
        <v>1.56E-4</v>
      </c>
    </row>
    <row r="496" spans="1:53" x14ac:dyDescent="0.25">
      <c r="A496">
        <v>494</v>
      </c>
      <c r="B496" t="s">
        <v>7625</v>
      </c>
      <c r="C496">
        <v>201009</v>
      </c>
      <c r="D496" t="s">
        <v>1117</v>
      </c>
      <c r="E496" t="s">
        <v>1069</v>
      </c>
      <c r="F496">
        <v>0</v>
      </c>
      <c r="G496">
        <v>33106.941405999998</v>
      </c>
      <c r="H496">
        <v>444</v>
      </c>
      <c r="I496">
        <v>628</v>
      </c>
      <c r="J496">
        <v>53377</v>
      </c>
      <c r="K496" t="s">
        <v>7759</v>
      </c>
      <c r="L496">
        <v>17</v>
      </c>
      <c r="M496">
        <v>17</v>
      </c>
      <c r="N496">
        <v>53377</v>
      </c>
      <c r="O496">
        <v>432</v>
      </c>
      <c r="P496" t="s">
        <v>3214</v>
      </c>
      <c r="Q496">
        <v>0.2</v>
      </c>
      <c r="R496">
        <v>76.77</v>
      </c>
      <c r="S496">
        <v>0.04</v>
      </c>
      <c r="T496">
        <v>14</v>
      </c>
      <c r="U496">
        <v>0</v>
      </c>
      <c r="V496">
        <v>33106.942569999999</v>
      </c>
      <c r="W496">
        <v>495</v>
      </c>
      <c r="X496">
        <v>0</v>
      </c>
      <c r="Y496">
        <v>494</v>
      </c>
      <c r="Z496" t="s">
        <v>6966</v>
      </c>
      <c r="AA496" t="s">
        <v>6966</v>
      </c>
      <c r="AB496" t="s">
        <v>6966</v>
      </c>
      <c r="AC496" t="s">
        <v>6966</v>
      </c>
      <c r="AD496" t="s">
        <v>6966</v>
      </c>
      <c r="AE496" t="s">
        <v>6966</v>
      </c>
      <c r="AF496" t="s">
        <v>6966</v>
      </c>
      <c r="AG496" t="s">
        <v>6966</v>
      </c>
      <c r="AH496" t="s">
        <v>6966</v>
      </c>
      <c r="AI496" t="s">
        <v>6966</v>
      </c>
      <c r="AJ496" t="s">
        <v>6966</v>
      </c>
      <c r="AK496" t="s">
        <v>6966</v>
      </c>
      <c r="AL496" t="s">
        <v>6966</v>
      </c>
      <c r="AM496" t="s">
        <v>6966</v>
      </c>
      <c r="AN496" t="s">
        <v>6966</v>
      </c>
      <c r="AO496" t="s">
        <v>6966</v>
      </c>
      <c r="AP496" t="s">
        <v>6966</v>
      </c>
      <c r="AQ496" t="s">
        <v>6966</v>
      </c>
      <c r="AR496" t="s">
        <v>6966</v>
      </c>
      <c r="AS496" t="s">
        <v>6966</v>
      </c>
      <c r="AT496" t="s">
        <v>6966</v>
      </c>
      <c r="AU496" t="s">
        <v>6966</v>
      </c>
      <c r="AV496" t="s">
        <v>6966</v>
      </c>
      <c r="AW496" t="s">
        <v>6966</v>
      </c>
      <c r="AX496" t="s">
        <v>6966</v>
      </c>
      <c r="AY496" t="s">
        <v>6966</v>
      </c>
      <c r="AZ496">
        <v>0.32970300000000002</v>
      </c>
      <c r="BA496">
        <v>4.4949999999999999E-3</v>
      </c>
    </row>
    <row r="497" spans="1:53" x14ac:dyDescent="0.25">
      <c r="A497">
        <v>495</v>
      </c>
      <c r="B497" t="s">
        <v>7625</v>
      </c>
      <c r="C497">
        <v>701074</v>
      </c>
      <c r="D497" t="s">
        <v>7760</v>
      </c>
      <c r="E497" t="s">
        <v>649</v>
      </c>
      <c r="F497">
        <v>2707380.25</v>
      </c>
      <c r="G497">
        <v>8880.4775389999995</v>
      </c>
      <c r="H497">
        <v>445</v>
      </c>
      <c r="I497">
        <v>629</v>
      </c>
      <c r="J497">
        <v>34243</v>
      </c>
      <c r="K497" t="s">
        <v>2104</v>
      </c>
      <c r="L497">
        <v>11</v>
      </c>
      <c r="M497">
        <v>11</v>
      </c>
      <c r="N497">
        <v>34243</v>
      </c>
      <c r="O497">
        <v>433</v>
      </c>
      <c r="P497" t="s">
        <v>3215</v>
      </c>
      <c r="Q497">
        <v>2.4</v>
      </c>
      <c r="R497">
        <v>43.36</v>
      </c>
      <c r="S497">
        <v>0.63</v>
      </c>
      <c r="T497">
        <v>12</v>
      </c>
      <c r="U497">
        <v>2707380.0841899998</v>
      </c>
      <c r="V497">
        <v>8880.4783019999995</v>
      </c>
      <c r="W497">
        <v>496</v>
      </c>
      <c r="X497">
        <v>0</v>
      </c>
      <c r="Y497">
        <v>495</v>
      </c>
      <c r="Z497" t="s">
        <v>6966</v>
      </c>
      <c r="AA497" t="s">
        <v>6966</v>
      </c>
      <c r="AB497" t="s">
        <v>6966</v>
      </c>
      <c r="AC497" t="s">
        <v>6966</v>
      </c>
      <c r="AD497" t="s">
        <v>6966</v>
      </c>
      <c r="AE497" t="s">
        <v>6966</v>
      </c>
      <c r="AF497" t="s">
        <v>6966</v>
      </c>
      <c r="AG497" t="s">
        <v>6966</v>
      </c>
      <c r="AH497" t="s">
        <v>6966</v>
      </c>
      <c r="AI497" t="s">
        <v>6966</v>
      </c>
      <c r="AJ497" t="s">
        <v>6966</v>
      </c>
      <c r="AK497" t="s">
        <v>6966</v>
      </c>
      <c r="AL497" t="s">
        <v>6966</v>
      </c>
      <c r="AM497" t="s">
        <v>6966</v>
      </c>
      <c r="AN497" t="s">
        <v>6966</v>
      </c>
      <c r="AO497" t="s">
        <v>6966</v>
      </c>
      <c r="AP497" t="s">
        <v>6966</v>
      </c>
      <c r="AQ497" t="s">
        <v>6966</v>
      </c>
      <c r="AR497" t="s">
        <v>6966</v>
      </c>
      <c r="AS497" t="s">
        <v>6966</v>
      </c>
      <c r="AT497" t="s">
        <v>6966</v>
      </c>
      <c r="AU497" t="s">
        <v>6966</v>
      </c>
      <c r="AV497" t="s">
        <v>6966</v>
      </c>
      <c r="AW497" t="s">
        <v>6966</v>
      </c>
      <c r="AX497" t="s">
        <v>6966</v>
      </c>
      <c r="AY497" t="s">
        <v>6966</v>
      </c>
      <c r="AZ497">
        <v>9.1174000000000005E-2</v>
      </c>
      <c r="BA497">
        <v>2.6499999999999999E-4</v>
      </c>
    </row>
    <row r="498" spans="1:53" x14ac:dyDescent="0.25">
      <c r="A498">
        <v>496</v>
      </c>
      <c r="B498" t="s">
        <v>7625</v>
      </c>
      <c r="C498">
        <v>701047</v>
      </c>
      <c r="D498" t="s">
        <v>711</v>
      </c>
      <c r="E498" t="s">
        <v>649</v>
      </c>
      <c r="F498">
        <v>7214750</v>
      </c>
      <c r="G498">
        <v>17117.101563</v>
      </c>
      <c r="H498">
        <v>446</v>
      </c>
      <c r="I498">
        <v>630</v>
      </c>
      <c r="J498">
        <v>34341</v>
      </c>
      <c r="K498" t="s">
        <v>2125</v>
      </c>
      <c r="L498">
        <v>11</v>
      </c>
      <c r="M498">
        <v>11</v>
      </c>
      <c r="N498">
        <v>34341</v>
      </c>
      <c r="O498">
        <v>434</v>
      </c>
      <c r="P498" t="s">
        <v>3215</v>
      </c>
      <c r="Q498">
        <v>0.5</v>
      </c>
      <c r="R498">
        <v>19.05</v>
      </c>
      <c r="S498">
        <v>0.16</v>
      </c>
      <c r="T498">
        <v>7</v>
      </c>
      <c r="U498">
        <v>7214750.0812900001</v>
      </c>
      <c r="V498">
        <v>17117.101424</v>
      </c>
      <c r="W498">
        <v>497</v>
      </c>
      <c r="X498">
        <v>0</v>
      </c>
      <c r="Y498">
        <v>496</v>
      </c>
      <c r="Z498" t="s">
        <v>6966</v>
      </c>
      <c r="AA498" t="s">
        <v>6966</v>
      </c>
      <c r="AB498" t="s">
        <v>6966</v>
      </c>
      <c r="AC498" t="s">
        <v>6966</v>
      </c>
      <c r="AD498" t="s">
        <v>6966</v>
      </c>
      <c r="AE498" t="s">
        <v>6966</v>
      </c>
      <c r="AF498" t="s">
        <v>6966</v>
      </c>
      <c r="AG498" t="s">
        <v>6966</v>
      </c>
      <c r="AH498" t="s">
        <v>6966</v>
      </c>
      <c r="AI498" t="s">
        <v>6966</v>
      </c>
      <c r="AJ498" t="s">
        <v>6966</v>
      </c>
      <c r="AK498" t="s">
        <v>6966</v>
      </c>
      <c r="AL498" t="s">
        <v>6966</v>
      </c>
      <c r="AM498" t="s">
        <v>6966</v>
      </c>
      <c r="AN498" t="s">
        <v>6966</v>
      </c>
      <c r="AO498" t="s">
        <v>6966</v>
      </c>
      <c r="AP498" t="s">
        <v>6966</v>
      </c>
      <c r="AQ498" t="s">
        <v>6966</v>
      </c>
      <c r="AR498" t="s">
        <v>6966</v>
      </c>
      <c r="AS498" t="s">
        <v>6966</v>
      </c>
      <c r="AT498" t="s">
        <v>6966</v>
      </c>
      <c r="AU498" t="s">
        <v>6966</v>
      </c>
      <c r="AV498" t="s">
        <v>6966</v>
      </c>
      <c r="AW498" t="s">
        <v>6966</v>
      </c>
      <c r="AX498" t="s">
        <v>6966</v>
      </c>
      <c r="AY498" t="s">
        <v>6966</v>
      </c>
      <c r="AZ498">
        <v>0.17784900000000001</v>
      </c>
      <c r="BA498">
        <v>7.0600000000000003E-4</v>
      </c>
    </row>
    <row r="499" spans="1:53" x14ac:dyDescent="0.25">
      <c r="A499">
        <v>497</v>
      </c>
      <c r="B499" t="s">
        <v>7625</v>
      </c>
      <c r="C499">
        <v>201083</v>
      </c>
      <c r="D499" t="s">
        <v>1102</v>
      </c>
      <c r="E499" t="s">
        <v>1069</v>
      </c>
      <c r="F499">
        <v>5741490</v>
      </c>
      <c r="G499">
        <v>12466.941406</v>
      </c>
      <c r="H499">
        <v>447</v>
      </c>
      <c r="I499">
        <v>631</v>
      </c>
      <c r="J499">
        <v>53261</v>
      </c>
      <c r="K499" t="s">
        <v>1102</v>
      </c>
      <c r="L499">
        <v>17</v>
      </c>
      <c r="M499">
        <v>17</v>
      </c>
      <c r="N499">
        <v>53261</v>
      </c>
      <c r="O499">
        <v>435</v>
      </c>
      <c r="P499" t="s">
        <v>3214</v>
      </c>
      <c r="Q499">
        <v>0.5</v>
      </c>
      <c r="R499">
        <v>71.959999999999994</v>
      </c>
      <c r="S499">
        <v>0.17</v>
      </c>
      <c r="T499">
        <v>26</v>
      </c>
      <c r="U499">
        <v>5741489.6323600002</v>
      </c>
      <c r="V499">
        <v>12466.941541</v>
      </c>
      <c r="W499">
        <v>498</v>
      </c>
      <c r="X499">
        <v>0</v>
      </c>
      <c r="Y499">
        <v>497</v>
      </c>
      <c r="Z499" t="s">
        <v>6966</v>
      </c>
      <c r="AA499" t="s">
        <v>6966</v>
      </c>
      <c r="AB499" t="s">
        <v>6966</v>
      </c>
      <c r="AC499" t="s">
        <v>6966</v>
      </c>
      <c r="AD499" t="s">
        <v>6966</v>
      </c>
      <c r="AE499" t="s">
        <v>6966</v>
      </c>
      <c r="AF499" t="s">
        <v>6966</v>
      </c>
      <c r="AG499" t="s">
        <v>6966</v>
      </c>
      <c r="AH499" t="s">
        <v>6966</v>
      </c>
      <c r="AI499" t="s">
        <v>6966</v>
      </c>
      <c r="AJ499" t="s">
        <v>6966</v>
      </c>
      <c r="AK499" t="s">
        <v>6966</v>
      </c>
      <c r="AL499" t="s">
        <v>6966</v>
      </c>
      <c r="AM499" t="s">
        <v>6966</v>
      </c>
      <c r="AN499" t="s">
        <v>6966</v>
      </c>
      <c r="AO499" t="s">
        <v>6966</v>
      </c>
      <c r="AP499" t="s">
        <v>6966</v>
      </c>
      <c r="AQ499" t="s">
        <v>6966</v>
      </c>
      <c r="AR499" t="s">
        <v>6966</v>
      </c>
      <c r="AS499" t="s">
        <v>6966</v>
      </c>
      <c r="AT499" t="s">
        <v>6966</v>
      </c>
      <c r="AU499" t="s">
        <v>6966</v>
      </c>
      <c r="AV499" t="s">
        <v>6966</v>
      </c>
      <c r="AW499" t="s">
        <v>6966</v>
      </c>
      <c r="AX499" t="s">
        <v>6966</v>
      </c>
      <c r="AY499" t="s">
        <v>6966</v>
      </c>
      <c r="AZ499">
        <v>0.129249</v>
      </c>
      <c r="BA499">
        <v>5.62E-4</v>
      </c>
    </row>
    <row r="500" spans="1:53" x14ac:dyDescent="0.25">
      <c r="A500">
        <v>498</v>
      </c>
      <c r="B500" t="s">
        <v>7625</v>
      </c>
      <c r="C500">
        <v>701068</v>
      </c>
      <c r="D500" t="s">
        <v>675</v>
      </c>
      <c r="E500" t="s">
        <v>649</v>
      </c>
      <c r="F500">
        <v>1944231.75</v>
      </c>
      <c r="G500">
        <v>9929.6337889999995</v>
      </c>
      <c r="H500">
        <v>448</v>
      </c>
      <c r="I500">
        <v>632</v>
      </c>
      <c r="J500">
        <v>34239</v>
      </c>
      <c r="K500" t="s">
        <v>2103</v>
      </c>
      <c r="L500">
        <v>11</v>
      </c>
      <c r="M500">
        <v>11</v>
      </c>
      <c r="N500">
        <v>34239</v>
      </c>
      <c r="O500">
        <v>436</v>
      </c>
      <c r="P500" t="s">
        <v>3215</v>
      </c>
      <c r="Q500">
        <v>1.5</v>
      </c>
      <c r="R500">
        <v>17.57</v>
      </c>
      <c r="S500">
        <v>0.42</v>
      </c>
      <c r="T500">
        <v>5</v>
      </c>
      <c r="U500">
        <v>1944231.7331699999</v>
      </c>
      <c r="V500">
        <v>9929.6331379999992</v>
      </c>
      <c r="W500">
        <v>499</v>
      </c>
      <c r="X500">
        <v>0</v>
      </c>
      <c r="Y500">
        <v>498</v>
      </c>
      <c r="Z500" t="s">
        <v>6966</v>
      </c>
      <c r="AA500" t="s">
        <v>6966</v>
      </c>
      <c r="AB500" t="s">
        <v>6966</v>
      </c>
      <c r="AC500" t="s">
        <v>6966</v>
      </c>
      <c r="AD500" t="s">
        <v>6966</v>
      </c>
      <c r="AE500" t="s">
        <v>6966</v>
      </c>
      <c r="AF500" t="s">
        <v>6966</v>
      </c>
      <c r="AG500" t="s">
        <v>6966</v>
      </c>
      <c r="AH500" t="s">
        <v>6966</v>
      </c>
      <c r="AI500" t="s">
        <v>6966</v>
      </c>
      <c r="AJ500" t="s">
        <v>6966</v>
      </c>
      <c r="AK500" t="s">
        <v>6966</v>
      </c>
      <c r="AL500" t="s">
        <v>6966</v>
      </c>
      <c r="AM500" t="s">
        <v>6966</v>
      </c>
      <c r="AN500" t="s">
        <v>6966</v>
      </c>
      <c r="AO500" t="s">
        <v>6966</v>
      </c>
      <c r="AP500" t="s">
        <v>6966</v>
      </c>
      <c r="AQ500" t="s">
        <v>6966</v>
      </c>
      <c r="AR500" t="s">
        <v>6966</v>
      </c>
      <c r="AS500" t="s">
        <v>6966</v>
      </c>
      <c r="AT500" t="s">
        <v>6966</v>
      </c>
      <c r="AU500" t="s">
        <v>6966</v>
      </c>
      <c r="AV500" t="s">
        <v>6966</v>
      </c>
      <c r="AW500" t="s">
        <v>6966</v>
      </c>
      <c r="AX500" t="s">
        <v>6966</v>
      </c>
      <c r="AY500" t="s">
        <v>6966</v>
      </c>
      <c r="AZ500">
        <v>0.101979</v>
      </c>
      <c r="BA500">
        <v>1.9000000000000001E-4</v>
      </c>
    </row>
    <row r="501" spans="1:53" x14ac:dyDescent="0.25">
      <c r="A501">
        <v>499</v>
      </c>
      <c r="B501" t="s">
        <v>7625</v>
      </c>
      <c r="C501">
        <v>201008</v>
      </c>
      <c r="D501" t="s">
        <v>1093</v>
      </c>
      <c r="E501" t="s">
        <v>1069</v>
      </c>
      <c r="F501">
        <v>0</v>
      </c>
      <c r="G501">
        <v>86877.476563000004</v>
      </c>
      <c r="H501">
        <v>449</v>
      </c>
      <c r="I501">
        <v>633</v>
      </c>
      <c r="J501">
        <v>53231</v>
      </c>
      <c r="K501" t="s">
        <v>2434</v>
      </c>
      <c r="L501">
        <v>17</v>
      </c>
      <c r="M501">
        <v>17</v>
      </c>
      <c r="N501">
        <v>53231</v>
      </c>
      <c r="O501">
        <v>437</v>
      </c>
      <c r="P501" t="s">
        <v>3214</v>
      </c>
      <c r="Q501">
        <v>0.5</v>
      </c>
      <c r="R501">
        <v>118.04</v>
      </c>
      <c r="S501">
        <v>0.11</v>
      </c>
      <c r="T501">
        <v>24</v>
      </c>
      <c r="U501">
        <v>0</v>
      </c>
      <c r="V501">
        <v>86877.477012999996</v>
      </c>
      <c r="W501">
        <v>500</v>
      </c>
      <c r="X501">
        <v>1</v>
      </c>
      <c r="Y501">
        <v>499</v>
      </c>
      <c r="Z501">
        <v>64616</v>
      </c>
      <c r="AA501" s="76">
        <v>45832</v>
      </c>
      <c r="AB501">
        <v>2025</v>
      </c>
      <c r="AC501" t="s">
        <v>7298</v>
      </c>
      <c r="AD501">
        <v>24</v>
      </c>
      <c r="AE501" t="s">
        <v>7309</v>
      </c>
      <c r="AF501" t="s">
        <v>3216</v>
      </c>
      <c r="AG501" t="s">
        <v>1069</v>
      </c>
      <c r="AH501" t="s">
        <v>1093</v>
      </c>
      <c r="AI501" t="s">
        <v>1093</v>
      </c>
      <c r="AJ501" t="s">
        <v>6966</v>
      </c>
      <c r="AK501">
        <v>34.17924</v>
      </c>
      <c r="AL501">
        <v>36.419589999999999</v>
      </c>
      <c r="AM501" t="s">
        <v>7013</v>
      </c>
      <c r="AN501" t="s">
        <v>7028</v>
      </c>
      <c r="AO501" t="s">
        <v>7015</v>
      </c>
      <c r="AP501" t="s">
        <v>7310</v>
      </c>
      <c r="AQ501" t="s">
        <v>6998</v>
      </c>
      <c r="AR501" t="s">
        <v>6999</v>
      </c>
      <c r="AS501" t="s">
        <v>7000</v>
      </c>
      <c r="AT501">
        <v>0</v>
      </c>
      <c r="AU501">
        <v>0</v>
      </c>
      <c r="AV501" t="s">
        <v>7311</v>
      </c>
      <c r="AW501" t="s">
        <v>7043</v>
      </c>
      <c r="AX501" t="s">
        <v>7129</v>
      </c>
      <c r="AY501" t="s">
        <v>7003</v>
      </c>
      <c r="AZ501">
        <v>0.878166</v>
      </c>
      <c r="BA501">
        <v>3.0986E-2</v>
      </c>
    </row>
    <row r="502" spans="1:53" x14ac:dyDescent="0.25">
      <c r="A502">
        <v>500</v>
      </c>
      <c r="B502" t="s">
        <v>7625</v>
      </c>
      <c r="C502">
        <v>701055</v>
      </c>
      <c r="D502" t="s">
        <v>669</v>
      </c>
      <c r="E502" t="s">
        <v>649</v>
      </c>
      <c r="F502">
        <v>964734.875</v>
      </c>
      <c r="G502">
        <v>5889.9204099999997</v>
      </c>
      <c r="H502">
        <v>450</v>
      </c>
      <c r="I502">
        <v>634</v>
      </c>
      <c r="J502">
        <v>34229</v>
      </c>
      <c r="K502" t="s">
        <v>2098</v>
      </c>
      <c r="L502">
        <v>11</v>
      </c>
      <c r="M502">
        <v>11</v>
      </c>
      <c r="N502">
        <v>34229</v>
      </c>
      <c r="O502">
        <v>438</v>
      </c>
      <c r="P502" t="s">
        <v>3215</v>
      </c>
      <c r="Q502">
        <v>1.3</v>
      </c>
      <c r="R502">
        <v>7.34</v>
      </c>
      <c r="S502">
        <v>0.35</v>
      </c>
      <c r="T502">
        <v>2</v>
      </c>
      <c r="U502">
        <v>964734.864282</v>
      </c>
      <c r="V502">
        <v>5889.9205480000001</v>
      </c>
      <c r="W502">
        <v>501</v>
      </c>
      <c r="X502">
        <v>0</v>
      </c>
      <c r="Y502">
        <v>500</v>
      </c>
      <c r="Z502" t="s">
        <v>6966</v>
      </c>
      <c r="AA502" t="s">
        <v>6966</v>
      </c>
      <c r="AB502" t="s">
        <v>6966</v>
      </c>
      <c r="AC502" t="s">
        <v>6966</v>
      </c>
      <c r="AD502" t="s">
        <v>6966</v>
      </c>
      <c r="AE502" t="s">
        <v>6966</v>
      </c>
      <c r="AF502" t="s">
        <v>6966</v>
      </c>
      <c r="AG502" t="s">
        <v>6966</v>
      </c>
      <c r="AH502" t="s">
        <v>6966</v>
      </c>
      <c r="AI502" t="s">
        <v>6966</v>
      </c>
      <c r="AJ502" t="s">
        <v>6966</v>
      </c>
      <c r="AK502" t="s">
        <v>6966</v>
      </c>
      <c r="AL502" t="s">
        <v>6966</v>
      </c>
      <c r="AM502" t="s">
        <v>6966</v>
      </c>
      <c r="AN502" t="s">
        <v>6966</v>
      </c>
      <c r="AO502" t="s">
        <v>6966</v>
      </c>
      <c r="AP502" t="s">
        <v>6966</v>
      </c>
      <c r="AQ502" t="s">
        <v>6966</v>
      </c>
      <c r="AR502" t="s">
        <v>6966</v>
      </c>
      <c r="AS502" t="s">
        <v>6966</v>
      </c>
      <c r="AT502" t="s">
        <v>6966</v>
      </c>
      <c r="AU502" t="s">
        <v>6966</v>
      </c>
      <c r="AV502" t="s">
        <v>6966</v>
      </c>
      <c r="AW502" t="s">
        <v>6966</v>
      </c>
      <c r="AX502" t="s">
        <v>6966</v>
      </c>
      <c r="AY502" t="s">
        <v>6966</v>
      </c>
      <c r="AZ502">
        <v>5.9219000000000001E-2</v>
      </c>
      <c r="BA502">
        <v>9.3999999999999994E-5</v>
      </c>
    </row>
    <row r="503" spans="1:53" x14ac:dyDescent="0.25">
      <c r="A503">
        <v>501</v>
      </c>
      <c r="B503" t="s">
        <v>7625</v>
      </c>
      <c r="C503">
        <v>701016</v>
      </c>
      <c r="D503" t="s">
        <v>664</v>
      </c>
      <c r="E503" t="s">
        <v>649</v>
      </c>
      <c r="F503">
        <v>5260041.5</v>
      </c>
      <c r="G503">
        <v>10548.588867</v>
      </c>
      <c r="H503">
        <v>451</v>
      </c>
      <c r="I503">
        <v>635</v>
      </c>
      <c r="J503">
        <v>34221</v>
      </c>
      <c r="K503" t="s">
        <v>2096</v>
      </c>
      <c r="L503">
        <v>11</v>
      </c>
      <c r="M503">
        <v>11</v>
      </c>
      <c r="N503">
        <v>34221</v>
      </c>
      <c r="O503">
        <v>439</v>
      </c>
      <c r="P503" t="s">
        <v>3215</v>
      </c>
      <c r="Q503">
        <v>0.9</v>
      </c>
      <c r="R503">
        <v>26.78</v>
      </c>
      <c r="S503">
        <v>0.3</v>
      </c>
      <c r="T503">
        <v>8</v>
      </c>
      <c r="U503">
        <v>5260041.3684599996</v>
      </c>
      <c r="V503">
        <v>10548.589362000001</v>
      </c>
      <c r="W503">
        <v>502</v>
      </c>
      <c r="X503">
        <v>0</v>
      </c>
      <c r="Y503">
        <v>501</v>
      </c>
      <c r="Z503" t="s">
        <v>6966</v>
      </c>
      <c r="AA503" t="s">
        <v>6966</v>
      </c>
      <c r="AB503" t="s">
        <v>6966</v>
      </c>
      <c r="AC503" t="s">
        <v>6966</v>
      </c>
      <c r="AD503" t="s">
        <v>6966</v>
      </c>
      <c r="AE503" t="s">
        <v>6966</v>
      </c>
      <c r="AF503" t="s">
        <v>6966</v>
      </c>
      <c r="AG503" t="s">
        <v>6966</v>
      </c>
      <c r="AH503" t="s">
        <v>6966</v>
      </c>
      <c r="AI503" t="s">
        <v>6966</v>
      </c>
      <c r="AJ503" t="s">
        <v>6966</v>
      </c>
      <c r="AK503" t="s">
        <v>6966</v>
      </c>
      <c r="AL503" t="s">
        <v>6966</v>
      </c>
      <c r="AM503" t="s">
        <v>6966</v>
      </c>
      <c r="AN503" t="s">
        <v>6966</v>
      </c>
      <c r="AO503" t="s">
        <v>6966</v>
      </c>
      <c r="AP503" t="s">
        <v>6966</v>
      </c>
      <c r="AQ503" t="s">
        <v>6966</v>
      </c>
      <c r="AR503" t="s">
        <v>6966</v>
      </c>
      <c r="AS503" t="s">
        <v>6966</v>
      </c>
      <c r="AT503" t="s">
        <v>6966</v>
      </c>
      <c r="AU503" t="s">
        <v>6966</v>
      </c>
      <c r="AV503" t="s">
        <v>6966</v>
      </c>
      <c r="AW503" t="s">
        <v>6966</v>
      </c>
      <c r="AX503" t="s">
        <v>6966</v>
      </c>
      <c r="AY503" t="s">
        <v>6966</v>
      </c>
      <c r="AZ503">
        <v>0.106806</v>
      </c>
      <c r="BA503">
        <v>5.1400000000000003E-4</v>
      </c>
    </row>
    <row r="504" spans="1:53" x14ac:dyDescent="0.25">
      <c r="A504">
        <v>502</v>
      </c>
      <c r="B504" t="s">
        <v>7625</v>
      </c>
      <c r="C504">
        <v>701062</v>
      </c>
      <c r="D504" t="s">
        <v>650</v>
      </c>
      <c r="E504" t="s">
        <v>649</v>
      </c>
      <c r="F504">
        <v>1251642.25</v>
      </c>
      <c r="G504">
        <v>5833.5815430000002</v>
      </c>
      <c r="H504">
        <v>452</v>
      </c>
      <c r="I504">
        <v>636</v>
      </c>
      <c r="J504">
        <v>34122</v>
      </c>
      <c r="K504" t="s">
        <v>650</v>
      </c>
      <c r="L504">
        <v>11</v>
      </c>
      <c r="M504">
        <v>11</v>
      </c>
      <c r="N504">
        <v>34122</v>
      </c>
      <c r="O504">
        <v>440</v>
      </c>
      <c r="P504" t="s">
        <v>3215</v>
      </c>
      <c r="Q504">
        <v>1.7</v>
      </c>
      <c r="R504">
        <v>12.53</v>
      </c>
      <c r="S504">
        <v>0.34</v>
      </c>
      <c r="T504">
        <v>3</v>
      </c>
      <c r="U504">
        <v>1251642.24737</v>
      </c>
      <c r="V504">
        <v>5833.5811590000003</v>
      </c>
      <c r="W504">
        <v>503</v>
      </c>
      <c r="X504">
        <v>0</v>
      </c>
      <c r="Y504">
        <v>502</v>
      </c>
      <c r="Z504" t="s">
        <v>6966</v>
      </c>
      <c r="AA504" t="s">
        <v>6966</v>
      </c>
      <c r="AB504" t="s">
        <v>6966</v>
      </c>
      <c r="AC504" t="s">
        <v>6966</v>
      </c>
      <c r="AD504" t="s">
        <v>6966</v>
      </c>
      <c r="AE504" t="s">
        <v>6966</v>
      </c>
      <c r="AF504" t="s">
        <v>6966</v>
      </c>
      <c r="AG504" t="s">
        <v>6966</v>
      </c>
      <c r="AH504" t="s">
        <v>6966</v>
      </c>
      <c r="AI504" t="s">
        <v>6966</v>
      </c>
      <c r="AJ504" t="s">
        <v>6966</v>
      </c>
      <c r="AK504" t="s">
        <v>6966</v>
      </c>
      <c r="AL504" t="s">
        <v>6966</v>
      </c>
      <c r="AM504" t="s">
        <v>6966</v>
      </c>
      <c r="AN504" t="s">
        <v>6966</v>
      </c>
      <c r="AO504" t="s">
        <v>6966</v>
      </c>
      <c r="AP504" t="s">
        <v>6966</v>
      </c>
      <c r="AQ504" t="s">
        <v>6966</v>
      </c>
      <c r="AR504" t="s">
        <v>6966</v>
      </c>
      <c r="AS504" t="s">
        <v>6966</v>
      </c>
      <c r="AT504" t="s">
        <v>6966</v>
      </c>
      <c r="AU504" t="s">
        <v>6966</v>
      </c>
      <c r="AV504" t="s">
        <v>6966</v>
      </c>
      <c r="AW504" t="s">
        <v>6966</v>
      </c>
      <c r="AX504" t="s">
        <v>6966</v>
      </c>
      <c r="AY504" t="s">
        <v>6966</v>
      </c>
      <c r="AZ504">
        <v>5.9097999999999998E-2</v>
      </c>
      <c r="BA504">
        <v>1.22E-4</v>
      </c>
    </row>
    <row r="505" spans="1:53" x14ac:dyDescent="0.25">
      <c r="A505">
        <v>503</v>
      </c>
      <c r="B505" t="s">
        <v>7625</v>
      </c>
      <c r="C505">
        <v>701023</v>
      </c>
      <c r="D505" t="s">
        <v>708</v>
      </c>
      <c r="E505" t="s">
        <v>649</v>
      </c>
      <c r="F505">
        <v>551973.6875</v>
      </c>
      <c r="G505">
        <v>3098.4497070000002</v>
      </c>
      <c r="H505">
        <v>453</v>
      </c>
      <c r="I505">
        <v>637</v>
      </c>
      <c r="J505">
        <v>34326</v>
      </c>
      <c r="K505" t="s">
        <v>2122</v>
      </c>
      <c r="L505">
        <v>11</v>
      </c>
      <c r="M505">
        <v>11</v>
      </c>
      <c r="N505">
        <v>34326</v>
      </c>
      <c r="O505">
        <v>441</v>
      </c>
      <c r="P505" t="s">
        <v>3215</v>
      </c>
      <c r="Q505">
        <v>0</v>
      </c>
      <c r="R505">
        <v>0</v>
      </c>
      <c r="S505">
        <v>0</v>
      </c>
      <c r="T505">
        <v>0</v>
      </c>
      <c r="U505">
        <v>551973.65205200005</v>
      </c>
      <c r="V505">
        <v>3098.4491819999998</v>
      </c>
      <c r="W505">
        <v>504</v>
      </c>
      <c r="X505">
        <v>0</v>
      </c>
      <c r="Y505">
        <v>503</v>
      </c>
      <c r="Z505" t="s">
        <v>6966</v>
      </c>
      <c r="AA505" t="s">
        <v>6966</v>
      </c>
      <c r="AB505" t="s">
        <v>6966</v>
      </c>
      <c r="AC505" t="s">
        <v>6966</v>
      </c>
      <c r="AD505" t="s">
        <v>6966</v>
      </c>
      <c r="AE505" t="s">
        <v>6966</v>
      </c>
      <c r="AF505" t="s">
        <v>6966</v>
      </c>
      <c r="AG505" t="s">
        <v>6966</v>
      </c>
      <c r="AH505" t="s">
        <v>6966</v>
      </c>
      <c r="AI505" t="s">
        <v>6966</v>
      </c>
      <c r="AJ505" t="s">
        <v>6966</v>
      </c>
      <c r="AK505" t="s">
        <v>6966</v>
      </c>
      <c r="AL505" t="s">
        <v>6966</v>
      </c>
      <c r="AM505" t="s">
        <v>6966</v>
      </c>
      <c r="AN505" t="s">
        <v>6966</v>
      </c>
      <c r="AO505" t="s">
        <v>6966</v>
      </c>
      <c r="AP505" t="s">
        <v>6966</v>
      </c>
      <c r="AQ505" t="s">
        <v>6966</v>
      </c>
      <c r="AR505" t="s">
        <v>6966</v>
      </c>
      <c r="AS505" t="s">
        <v>6966</v>
      </c>
      <c r="AT505" t="s">
        <v>6966</v>
      </c>
      <c r="AU505" t="s">
        <v>6966</v>
      </c>
      <c r="AV505" t="s">
        <v>6966</v>
      </c>
      <c r="AW505" t="s">
        <v>6966</v>
      </c>
      <c r="AX505" t="s">
        <v>6966</v>
      </c>
      <c r="AY505" t="s">
        <v>6966</v>
      </c>
      <c r="AZ505">
        <v>3.0262000000000001E-2</v>
      </c>
      <c r="BA505">
        <v>5.3999999999999998E-5</v>
      </c>
    </row>
    <row r="506" spans="1:53" x14ac:dyDescent="0.25">
      <c r="A506">
        <v>504</v>
      </c>
      <c r="B506" t="s">
        <v>7625</v>
      </c>
      <c r="C506">
        <v>701072</v>
      </c>
      <c r="D506" t="s">
        <v>651</v>
      </c>
      <c r="E506" t="s">
        <v>649</v>
      </c>
      <c r="F506">
        <v>1543001.25</v>
      </c>
      <c r="G506">
        <v>5990.4306640000004</v>
      </c>
      <c r="H506">
        <v>454</v>
      </c>
      <c r="I506">
        <v>638</v>
      </c>
      <c r="J506">
        <v>34133</v>
      </c>
      <c r="K506" t="s">
        <v>2085</v>
      </c>
      <c r="L506">
        <v>11</v>
      </c>
      <c r="M506">
        <v>11</v>
      </c>
      <c r="N506">
        <v>34133</v>
      </c>
      <c r="O506">
        <v>442</v>
      </c>
      <c r="P506" t="s">
        <v>3215</v>
      </c>
      <c r="Q506">
        <v>2.9</v>
      </c>
      <c r="R506">
        <v>12.62</v>
      </c>
      <c r="S506">
        <v>0.71</v>
      </c>
      <c r="T506">
        <v>3</v>
      </c>
      <c r="U506">
        <v>1543001.29375</v>
      </c>
      <c r="V506">
        <v>5990.4301480000004</v>
      </c>
      <c r="W506">
        <v>505</v>
      </c>
      <c r="X506">
        <v>0</v>
      </c>
      <c r="Y506">
        <v>504</v>
      </c>
      <c r="Z506" t="s">
        <v>6966</v>
      </c>
      <c r="AA506" t="s">
        <v>6966</v>
      </c>
      <c r="AB506" t="s">
        <v>6966</v>
      </c>
      <c r="AC506" t="s">
        <v>6966</v>
      </c>
      <c r="AD506" t="s">
        <v>6966</v>
      </c>
      <c r="AE506" t="s">
        <v>6966</v>
      </c>
      <c r="AF506" t="s">
        <v>6966</v>
      </c>
      <c r="AG506" t="s">
        <v>6966</v>
      </c>
      <c r="AH506" t="s">
        <v>6966</v>
      </c>
      <c r="AI506" t="s">
        <v>6966</v>
      </c>
      <c r="AJ506" t="s">
        <v>6966</v>
      </c>
      <c r="AK506" t="s">
        <v>6966</v>
      </c>
      <c r="AL506" t="s">
        <v>6966</v>
      </c>
      <c r="AM506" t="s">
        <v>6966</v>
      </c>
      <c r="AN506" t="s">
        <v>6966</v>
      </c>
      <c r="AO506" t="s">
        <v>6966</v>
      </c>
      <c r="AP506" t="s">
        <v>6966</v>
      </c>
      <c r="AQ506" t="s">
        <v>6966</v>
      </c>
      <c r="AR506" t="s">
        <v>6966</v>
      </c>
      <c r="AS506" t="s">
        <v>6966</v>
      </c>
      <c r="AT506" t="s">
        <v>6966</v>
      </c>
      <c r="AU506" t="s">
        <v>6966</v>
      </c>
      <c r="AV506" t="s">
        <v>6966</v>
      </c>
      <c r="AW506" t="s">
        <v>6966</v>
      </c>
      <c r="AX506" t="s">
        <v>6966</v>
      </c>
      <c r="AY506" t="s">
        <v>6966</v>
      </c>
      <c r="AZ506">
        <v>6.0859000000000003E-2</v>
      </c>
      <c r="BA506">
        <v>1.5100000000000001E-4</v>
      </c>
    </row>
    <row r="507" spans="1:53" x14ac:dyDescent="0.25">
      <c r="A507">
        <v>505</v>
      </c>
      <c r="B507" t="s">
        <v>7625</v>
      </c>
      <c r="C507">
        <v>701056</v>
      </c>
      <c r="D507" t="s">
        <v>7761</v>
      </c>
      <c r="E507" t="s">
        <v>649</v>
      </c>
      <c r="F507">
        <v>616622.625</v>
      </c>
      <c r="G507">
        <v>4763.2958980000003</v>
      </c>
      <c r="H507">
        <v>455</v>
      </c>
      <c r="I507">
        <v>639</v>
      </c>
      <c r="J507">
        <v>34273</v>
      </c>
      <c r="K507" t="s">
        <v>2113</v>
      </c>
      <c r="L507">
        <v>11</v>
      </c>
      <c r="M507">
        <v>11</v>
      </c>
      <c r="N507">
        <v>34273</v>
      </c>
      <c r="O507">
        <v>443</v>
      </c>
      <c r="P507" t="s">
        <v>3215</v>
      </c>
      <c r="Q507">
        <v>0.9</v>
      </c>
      <c r="R507">
        <v>0</v>
      </c>
      <c r="S507">
        <v>0.31</v>
      </c>
      <c r="T507">
        <v>0</v>
      </c>
      <c r="U507">
        <v>616622.60751</v>
      </c>
      <c r="V507">
        <v>4763.2966329999999</v>
      </c>
      <c r="W507">
        <v>506</v>
      </c>
      <c r="X507">
        <v>0</v>
      </c>
      <c r="Y507">
        <v>505</v>
      </c>
      <c r="Z507" t="s">
        <v>6966</v>
      </c>
      <c r="AA507" t="s">
        <v>6966</v>
      </c>
      <c r="AB507" t="s">
        <v>6966</v>
      </c>
      <c r="AC507" t="s">
        <v>6966</v>
      </c>
      <c r="AD507" t="s">
        <v>6966</v>
      </c>
      <c r="AE507" t="s">
        <v>6966</v>
      </c>
      <c r="AF507" t="s">
        <v>6966</v>
      </c>
      <c r="AG507" t="s">
        <v>6966</v>
      </c>
      <c r="AH507" t="s">
        <v>6966</v>
      </c>
      <c r="AI507" t="s">
        <v>6966</v>
      </c>
      <c r="AJ507" t="s">
        <v>6966</v>
      </c>
      <c r="AK507" t="s">
        <v>6966</v>
      </c>
      <c r="AL507" t="s">
        <v>6966</v>
      </c>
      <c r="AM507" t="s">
        <v>6966</v>
      </c>
      <c r="AN507" t="s">
        <v>6966</v>
      </c>
      <c r="AO507" t="s">
        <v>6966</v>
      </c>
      <c r="AP507" t="s">
        <v>6966</v>
      </c>
      <c r="AQ507" t="s">
        <v>6966</v>
      </c>
      <c r="AR507" t="s">
        <v>6966</v>
      </c>
      <c r="AS507" t="s">
        <v>6966</v>
      </c>
      <c r="AT507" t="s">
        <v>6966</v>
      </c>
      <c r="AU507" t="s">
        <v>6966</v>
      </c>
      <c r="AV507" t="s">
        <v>6966</v>
      </c>
      <c r="AW507" t="s">
        <v>6966</v>
      </c>
      <c r="AX507" t="s">
        <v>6966</v>
      </c>
      <c r="AY507" t="s">
        <v>6966</v>
      </c>
      <c r="AZ507">
        <v>4.7503999999999998E-2</v>
      </c>
      <c r="BA507">
        <v>6.0000000000000002E-5</v>
      </c>
    </row>
    <row r="508" spans="1:53" x14ac:dyDescent="0.25">
      <c r="A508">
        <v>506</v>
      </c>
      <c r="B508" t="s">
        <v>7625</v>
      </c>
      <c r="C508">
        <v>701029</v>
      </c>
      <c r="D508" t="s">
        <v>670</v>
      </c>
      <c r="E508" t="s">
        <v>649</v>
      </c>
      <c r="F508">
        <v>1502436.25</v>
      </c>
      <c r="G508">
        <v>5894.6748049999997</v>
      </c>
      <c r="H508">
        <v>456</v>
      </c>
      <c r="I508">
        <v>640</v>
      </c>
      <c r="J508">
        <v>34231</v>
      </c>
      <c r="K508" t="s">
        <v>2099</v>
      </c>
      <c r="L508">
        <v>11</v>
      </c>
      <c r="M508">
        <v>11</v>
      </c>
      <c r="N508">
        <v>34231</v>
      </c>
      <c r="O508">
        <v>444</v>
      </c>
      <c r="P508" t="s">
        <v>3215</v>
      </c>
      <c r="Q508">
        <v>1.5</v>
      </c>
      <c r="R508">
        <v>16.25</v>
      </c>
      <c r="S508">
        <v>0.33</v>
      </c>
      <c r="T508">
        <v>4</v>
      </c>
      <c r="U508">
        <v>1502436.2955199999</v>
      </c>
      <c r="V508">
        <v>5894.6747690000002</v>
      </c>
      <c r="W508">
        <v>507</v>
      </c>
      <c r="X508">
        <v>0</v>
      </c>
      <c r="Y508">
        <v>506</v>
      </c>
      <c r="Z508" t="s">
        <v>6966</v>
      </c>
      <c r="AA508" t="s">
        <v>6966</v>
      </c>
      <c r="AB508" t="s">
        <v>6966</v>
      </c>
      <c r="AC508" t="s">
        <v>6966</v>
      </c>
      <c r="AD508" t="s">
        <v>6966</v>
      </c>
      <c r="AE508" t="s">
        <v>6966</v>
      </c>
      <c r="AF508" t="s">
        <v>6966</v>
      </c>
      <c r="AG508" t="s">
        <v>6966</v>
      </c>
      <c r="AH508" t="s">
        <v>6966</v>
      </c>
      <c r="AI508" t="s">
        <v>6966</v>
      </c>
      <c r="AJ508" t="s">
        <v>6966</v>
      </c>
      <c r="AK508" t="s">
        <v>6966</v>
      </c>
      <c r="AL508" t="s">
        <v>6966</v>
      </c>
      <c r="AM508" t="s">
        <v>6966</v>
      </c>
      <c r="AN508" t="s">
        <v>6966</v>
      </c>
      <c r="AO508" t="s">
        <v>6966</v>
      </c>
      <c r="AP508" t="s">
        <v>6966</v>
      </c>
      <c r="AQ508" t="s">
        <v>6966</v>
      </c>
      <c r="AR508" t="s">
        <v>6966</v>
      </c>
      <c r="AS508" t="s">
        <v>6966</v>
      </c>
      <c r="AT508" t="s">
        <v>6966</v>
      </c>
      <c r="AU508" t="s">
        <v>6966</v>
      </c>
      <c r="AV508" t="s">
        <v>6966</v>
      </c>
      <c r="AW508" t="s">
        <v>6966</v>
      </c>
      <c r="AX508" t="s">
        <v>6966</v>
      </c>
      <c r="AY508" t="s">
        <v>6966</v>
      </c>
      <c r="AZ508">
        <v>6.1004000000000003E-2</v>
      </c>
      <c r="BA508">
        <v>1.47E-4</v>
      </c>
    </row>
    <row r="509" spans="1:53" x14ac:dyDescent="0.25">
      <c r="A509">
        <v>507</v>
      </c>
      <c r="B509" t="s">
        <v>7625</v>
      </c>
      <c r="C509">
        <v>201059</v>
      </c>
      <c r="D509" t="s">
        <v>7762</v>
      </c>
      <c r="E509" t="s">
        <v>1069</v>
      </c>
      <c r="F509">
        <v>0</v>
      </c>
      <c r="G509">
        <v>26161.410156000002</v>
      </c>
      <c r="H509">
        <v>457</v>
      </c>
      <c r="I509">
        <v>641</v>
      </c>
      <c r="J509">
        <v>53234</v>
      </c>
      <c r="K509" t="s">
        <v>2435</v>
      </c>
      <c r="L509">
        <v>17</v>
      </c>
      <c r="M509">
        <v>17</v>
      </c>
      <c r="N509">
        <v>53234</v>
      </c>
      <c r="O509">
        <v>445</v>
      </c>
      <c r="P509" t="s">
        <v>3214</v>
      </c>
      <c r="Q509">
        <v>3</v>
      </c>
      <c r="R509">
        <v>71.44</v>
      </c>
      <c r="S509">
        <v>0.67</v>
      </c>
      <c r="T509">
        <v>16</v>
      </c>
      <c r="U509">
        <v>0</v>
      </c>
      <c r="V509">
        <v>26161.409767000001</v>
      </c>
      <c r="W509">
        <v>508</v>
      </c>
      <c r="X509">
        <v>0</v>
      </c>
      <c r="Y509">
        <v>507</v>
      </c>
      <c r="Z509" t="s">
        <v>6966</v>
      </c>
      <c r="AA509" t="s">
        <v>6966</v>
      </c>
      <c r="AB509" t="s">
        <v>6966</v>
      </c>
      <c r="AC509" t="s">
        <v>6966</v>
      </c>
      <c r="AD509" t="s">
        <v>6966</v>
      </c>
      <c r="AE509" t="s">
        <v>6966</v>
      </c>
      <c r="AF509" t="s">
        <v>6966</v>
      </c>
      <c r="AG509" t="s">
        <v>6966</v>
      </c>
      <c r="AH509" t="s">
        <v>6966</v>
      </c>
      <c r="AI509" t="s">
        <v>6966</v>
      </c>
      <c r="AJ509" t="s">
        <v>6966</v>
      </c>
      <c r="AK509" t="s">
        <v>6966</v>
      </c>
      <c r="AL509" t="s">
        <v>6966</v>
      </c>
      <c r="AM509" t="s">
        <v>6966</v>
      </c>
      <c r="AN509" t="s">
        <v>6966</v>
      </c>
      <c r="AO509" t="s">
        <v>6966</v>
      </c>
      <c r="AP509" t="s">
        <v>6966</v>
      </c>
      <c r="AQ509" t="s">
        <v>6966</v>
      </c>
      <c r="AR509" t="s">
        <v>6966</v>
      </c>
      <c r="AS509" t="s">
        <v>6966</v>
      </c>
      <c r="AT509" t="s">
        <v>6966</v>
      </c>
      <c r="AU509" t="s">
        <v>6966</v>
      </c>
      <c r="AV509" t="s">
        <v>6966</v>
      </c>
      <c r="AW509" t="s">
        <v>6966</v>
      </c>
      <c r="AX509" t="s">
        <v>6966</v>
      </c>
      <c r="AY509" t="s">
        <v>6966</v>
      </c>
      <c r="AZ509">
        <v>0.25794</v>
      </c>
      <c r="BA509">
        <v>2.232E-3</v>
      </c>
    </row>
    <row r="510" spans="1:53" x14ac:dyDescent="0.25">
      <c r="A510">
        <v>508</v>
      </c>
      <c r="B510" t="s">
        <v>7625</v>
      </c>
      <c r="C510">
        <v>701020</v>
      </c>
      <c r="D510" t="s">
        <v>660</v>
      </c>
      <c r="E510" t="s">
        <v>649</v>
      </c>
      <c r="F510">
        <v>392627.1875</v>
      </c>
      <c r="G510">
        <v>4195.9008789999998</v>
      </c>
      <c r="H510">
        <v>458</v>
      </c>
      <c r="I510">
        <v>642</v>
      </c>
      <c r="J510">
        <v>34215</v>
      </c>
      <c r="K510" t="s">
        <v>2092</v>
      </c>
      <c r="L510">
        <v>11</v>
      </c>
      <c r="M510">
        <v>11</v>
      </c>
      <c r="N510">
        <v>34215</v>
      </c>
      <c r="O510">
        <v>446</v>
      </c>
      <c r="P510" t="s">
        <v>3215</v>
      </c>
      <c r="Q510">
        <v>6.6</v>
      </c>
      <c r="R510">
        <v>20.87</v>
      </c>
      <c r="S510">
        <v>1.55</v>
      </c>
      <c r="T510">
        <v>5</v>
      </c>
      <c r="U510">
        <v>392627.18019400002</v>
      </c>
      <c r="V510">
        <v>4195.9006040000004</v>
      </c>
      <c r="W510">
        <v>509</v>
      </c>
      <c r="X510">
        <v>0</v>
      </c>
      <c r="Y510">
        <v>508</v>
      </c>
      <c r="Z510" t="s">
        <v>6966</v>
      </c>
      <c r="AA510" t="s">
        <v>6966</v>
      </c>
      <c r="AB510" t="s">
        <v>6966</v>
      </c>
      <c r="AC510" t="s">
        <v>6966</v>
      </c>
      <c r="AD510" t="s">
        <v>6966</v>
      </c>
      <c r="AE510" t="s">
        <v>6966</v>
      </c>
      <c r="AF510" t="s">
        <v>6966</v>
      </c>
      <c r="AG510" t="s">
        <v>6966</v>
      </c>
      <c r="AH510" t="s">
        <v>6966</v>
      </c>
      <c r="AI510" t="s">
        <v>6966</v>
      </c>
      <c r="AJ510" t="s">
        <v>6966</v>
      </c>
      <c r="AK510" t="s">
        <v>6966</v>
      </c>
      <c r="AL510" t="s">
        <v>6966</v>
      </c>
      <c r="AM510" t="s">
        <v>6966</v>
      </c>
      <c r="AN510" t="s">
        <v>6966</v>
      </c>
      <c r="AO510" t="s">
        <v>6966</v>
      </c>
      <c r="AP510" t="s">
        <v>6966</v>
      </c>
      <c r="AQ510" t="s">
        <v>6966</v>
      </c>
      <c r="AR510" t="s">
        <v>6966</v>
      </c>
      <c r="AS510" t="s">
        <v>6966</v>
      </c>
      <c r="AT510" t="s">
        <v>6966</v>
      </c>
      <c r="AU510" t="s">
        <v>6966</v>
      </c>
      <c r="AV510" t="s">
        <v>6966</v>
      </c>
      <c r="AW510" t="s">
        <v>6966</v>
      </c>
      <c r="AX510" t="s">
        <v>6966</v>
      </c>
      <c r="AY510" t="s">
        <v>6966</v>
      </c>
      <c r="AZ510">
        <v>4.2233E-2</v>
      </c>
      <c r="BA510">
        <v>3.8000000000000002E-5</v>
      </c>
    </row>
    <row r="511" spans="1:53" x14ac:dyDescent="0.25">
      <c r="A511">
        <v>509</v>
      </c>
      <c r="B511" t="s">
        <v>7625</v>
      </c>
      <c r="C511">
        <v>701001</v>
      </c>
      <c r="D511" t="s">
        <v>661</v>
      </c>
      <c r="E511" t="s">
        <v>649</v>
      </c>
      <c r="F511">
        <v>2863841</v>
      </c>
      <c r="G511">
        <v>9938.8818360000005</v>
      </c>
      <c r="H511">
        <v>459</v>
      </c>
      <c r="I511">
        <v>643</v>
      </c>
      <c r="J511">
        <v>34217</v>
      </c>
      <c r="K511" t="s">
        <v>2093</v>
      </c>
      <c r="L511">
        <v>11</v>
      </c>
      <c r="M511">
        <v>11</v>
      </c>
      <c r="N511">
        <v>34217</v>
      </c>
      <c r="O511">
        <v>447</v>
      </c>
      <c r="P511" t="s">
        <v>3215</v>
      </c>
      <c r="Q511">
        <v>1.8</v>
      </c>
      <c r="R511">
        <v>15.03</v>
      </c>
      <c r="S511">
        <v>0.43</v>
      </c>
      <c r="T511">
        <v>4</v>
      </c>
      <c r="U511">
        <v>2863840.9076399999</v>
      </c>
      <c r="V511">
        <v>9938.8834430000006</v>
      </c>
      <c r="W511">
        <v>510</v>
      </c>
      <c r="X511">
        <v>0</v>
      </c>
      <c r="Y511">
        <v>509</v>
      </c>
      <c r="Z511" t="s">
        <v>6966</v>
      </c>
      <c r="AA511" t="s">
        <v>6966</v>
      </c>
      <c r="AB511" t="s">
        <v>6966</v>
      </c>
      <c r="AC511" t="s">
        <v>6966</v>
      </c>
      <c r="AD511" t="s">
        <v>6966</v>
      </c>
      <c r="AE511" t="s">
        <v>6966</v>
      </c>
      <c r="AF511" t="s">
        <v>6966</v>
      </c>
      <c r="AG511" t="s">
        <v>6966</v>
      </c>
      <c r="AH511" t="s">
        <v>6966</v>
      </c>
      <c r="AI511" t="s">
        <v>6966</v>
      </c>
      <c r="AJ511" t="s">
        <v>6966</v>
      </c>
      <c r="AK511" t="s">
        <v>6966</v>
      </c>
      <c r="AL511" t="s">
        <v>6966</v>
      </c>
      <c r="AM511" t="s">
        <v>6966</v>
      </c>
      <c r="AN511" t="s">
        <v>6966</v>
      </c>
      <c r="AO511" t="s">
        <v>6966</v>
      </c>
      <c r="AP511" t="s">
        <v>6966</v>
      </c>
      <c r="AQ511" t="s">
        <v>6966</v>
      </c>
      <c r="AR511" t="s">
        <v>6966</v>
      </c>
      <c r="AS511" t="s">
        <v>6966</v>
      </c>
      <c r="AT511" t="s">
        <v>6966</v>
      </c>
      <c r="AU511" t="s">
        <v>6966</v>
      </c>
      <c r="AV511" t="s">
        <v>6966</v>
      </c>
      <c r="AW511" t="s">
        <v>6966</v>
      </c>
      <c r="AX511" t="s">
        <v>6966</v>
      </c>
      <c r="AY511" t="s">
        <v>6966</v>
      </c>
      <c r="AZ511">
        <v>9.8876000000000006E-2</v>
      </c>
      <c r="BA511">
        <v>2.7999999999999998E-4</v>
      </c>
    </row>
    <row r="512" spans="1:53" x14ac:dyDescent="0.25">
      <c r="A512">
        <v>510</v>
      </c>
      <c r="B512" t="s">
        <v>7625</v>
      </c>
      <c r="C512">
        <v>701025</v>
      </c>
      <c r="D512" t="s">
        <v>705</v>
      </c>
      <c r="E512" t="s">
        <v>649</v>
      </c>
      <c r="F512">
        <v>0</v>
      </c>
      <c r="G512">
        <v>16748.037109000001</v>
      </c>
      <c r="H512">
        <v>460</v>
      </c>
      <c r="I512">
        <v>644</v>
      </c>
      <c r="J512">
        <v>34311</v>
      </c>
      <c r="K512" t="s">
        <v>705</v>
      </c>
      <c r="L512">
        <v>11</v>
      </c>
      <c r="M512">
        <v>11</v>
      </c>
      <c r="N512">
        <v>34311</v>
      </c>
      <c r="O512">
        <v>448</v>
      </c>
      <c r="P512" t="s">
        <v>3215</v>
      </c>
      <c r="Q512">
        <v>1.1000000000000001</v>
      </c>
      <c r="R512">
        <v>39.200000000000003</v>
      </c>
      <c r="S512">
        <v>0.36</v>
      </c>
      <c r="T512">
        <v>13</v>
      </c>
      <c r="U512">
        <v>0</v>
      </c>
      <c r="V512">
        <v>16748.037001000001</v>
      </c>
      <c r="W512">
        <v>511</v>
      </c>
      <c r="X512">
        <v>0</v>
      </c>
      <c r="Y512">
        <v>510</v>
      </c>
      <c r="Z512" t="s">
        <v>6966</v>
      </c>
      <c r="AA512" t="s">
        <v>6966</v>
      </c>
      <c r="AB512" t="s">
        <v>6966</v>
      </c>
      <c r="AC512" t="s">
        <v>6966</v>
      </c>
      <c r="AD512" t="s">
        <v>6966</v>
      </c>
      <c r="AE512" t="s">
        <v>6966</v>
      </c>
      <c r="AF512" t="s">
        <v>6966</v>
      </c>
      <c r="AG512" t="s">
        <v>6966</v>
      </c>
      <c r="AH512" t="s">
        <v>6966</v>
      </c>
      <c r="AI512" t="s">
        <v>6966</v>
      </c>
      <c r="AJ512" t="s">
        <v>6966</v>
      </c>
      <c r="AK512" t="s">
        <v>6966</v>
      </c>
      <c r="AL512" t="s">
        <v>6966</v>
      </c>
      <c r="AM512" t="s">
        <v>6966</v>
      </c>
      <c r="AN512" t="s">
        <v>6966</v>
      </c>
      <c r="AO512" t="s">
        <v>6966</v>
      </c>
      <c r="AP512" t="s">
        <v>6966</v>
      </c>
      <c r="AQ512" t="s">
        <v>6966</v>
      </c>
      <c r="AR512" t="s">
        <v>6966</v>
      </c>
      <c r="AS512" t="s">
        <v>6966</v>
      </c>
      <c r="AT512" t="s">
        <v>6966</v>
      </c>
      <c r="AU512" t="s">
        <v>6966</v>
      </c>
      <c r="AV512" t="s">
        <v>6966</v>
      </c>
      <c r="AW512" t="s">
        <v>6966</v>
      </c>
      <c r="AX512" t="s">
        <v>6966</v>
      </c>
      <c r="AY512" t="s">
        <v>6966</v>
      </c>
      <c r="AZ512">
        <v>0.16598599999999999</v>
      </c>
      <c r="BA512">
        <v>1.137E-3</v>
      </c>
    </row>
    <row r="513" spans="1:53" x14ac:dyDescent="0.25">
      <c r="A513">
        <v>511</v>
      </c>
      <c r="B513" t="s">
        <v>7625</v>
      </c>
      <c r="C513">
        <v>701009</v>
      </c>
      <c r="D513" t="s">
        <v>706</v>
      </c>
      <c r="E513" t="s">
        <v>649</v>
      </c>
      <c r="F513">
        <v>6068063.5</v>
      </c>
      <c r="G513">
        <v>14217.977539</v>
      </c>
      <c r="H513">
        <v>461</v>
      </c>
      <c r="I513">
        <v>645</v>
      </c>
      <c r="J513">
        <v>34316</v>
      </c>
      <c r="K513" t="s">
        <v>7763</v>
      </c>
      <c r="L513">
        <v>11</v>
      </c>
      <c r="M513">
        <v>11</v>
      </c>
      <c r="N513">
        <v>34316</v>
      </c>
      <c r="O513">
        <v>449</v>
      </c>
      <c r="P513" t="s">
        <v>3215</v>
      </c>
      <c r="Q513">
        <v>0.6</v>
      </c>
      <c r="R513">
        <v>14.72</v>
      </c>
      <c r="S513">
        <v>0.42</v>
      </c>
      <c r="T513">
        <v>10</v>
      </c>
      <c r="U513">
        <v>6068063.7091800002</v>
      </c>
      <c r="V513">
        <v>14217.977719</v>
      </c>
      <c r="W513">
        <v>512</v>
      </c>
      <c r="X513">
        <v>0</v>
      </c>
      <c r="Y513">
        <v>511</v>
      </c>
      <c r="Z513" t="s">
        <v>6966</v>
      </c>
      <c r="AA513" t="s">
        <v>6966</v>
      </c>
      <c r="AB513" t="s">
        <v>6966</v>
      </c>
      <c r="AC513" t="s">
        <v>6966</v>
      </c>
      <c r="AD513" t="s">
        <v>6966</v>
      </c>
      <c r="AE513" t="s">
        <v>6966</v>
      </c>
      <c r="AF513" t="s">
        <v>6966</v>
      </c>
      <c r="AG513" t="s">
        <v>6966</v>
      </c>
      <c r="AH513" t="s">
        <v>6966</v>
      </c>
      <c r="AI513" t="s">
        <v>6966</v>
      </c>
      <c r="AJ513" t="s">
        <v>6966</v>
      </c>
      <c r="AK513" t="s">
        <v>6966</v>
      </c>
      <c r="AL513" t="s">
        <v>6966</v>
      </c>
      <c r="AM513" t="s">
        <v>6966</v>
      </c>
      <c r="AN513" t="s">
        <v>6966</v>
      </c>
      <c r="AO513" t="s">
        <v>6966</v>
      </c>
      <c r="AP513" t="s">
        <v>6966</v>
      </c>
      <c r="AQ513" t="s">
        <v>6966</v>
      </c>
      <c r="AR513" t="s">
        <v>6966</v>
      </c>
      <c r="AS513" t="s">
        <v>6966</v>
      </c>
      <c r="AT513" t="s">
        <v>6966</v>
      </c>
      <c r="AU513" t="s">
        <v>6966</v>
      </c>
      <c r="AV513" t="s">
        <v>6966</v>
      </c>
      <c r="AW513" t="s">
        <v>6966</v>
      </c>
      <c r="AX513" t="s">
        <v>6966</v>
      </c>
      <c r="AY513" t="s">
        <v>6966</v>
      </c>
      <c r="AZ513">
        <v>0.142128</v>
      </c>
      <c r="BA513">
        <v>5.9299999999999999E-4</v>
      </c>
    </row>
    <row r="514" spans="1:53" x14ac:dyDescent="0.25">
      <c r="A514">
        <v>512</v>
      </c>
      <c r="B514" t="s">
        <v>7625</v>
      </c>
      <c r="C514">
        <v>701070</v>
      </c>
      <c r="D514" t="s">
        <v>721</v>
      </c>
      <c r="E514" t="s">
        <v>649</v>
      </c>
      <c r="F514">
        <v>0</v>
      </c>
      <c r="G514">
        <v>52781.664062999997</v>
      </c>
      <c r="H514">
        <v>462</v>
      </c>
      <c r="I514">
        <v>646</v>
      </c>
      <c r="J514">
        <v>34386</v>
      </c>
      <c r="K514" t="s">
        <v>2132</v>
      </c>
      <c r="L514">
        <v>11</v>
      </c>
      <c r="M514">
        <v>11</v>
      </c>
      <c r="N514">
        <v>34386</v>
      </c>
      <c r="O514">
        <v>450</v>
      </c>
      <c r="P514" t="s">
        <v>3215</v>
      </c>
      <c r="Q514">
        <v>0.2</v>
      </c>
      <c r="R514">
        <v>57.74</v>
      </c>
      <c r="S514">
        <v>0.12</v>
      </c>
      <c r="T514">
        <v>28</v>
      </c>
      <c r="U514">
        <v>0</v>
      </c>
      <c r="V514">
        <v>52781.665391000002</v>
      </c>
      <c r="W514">
        <v>513</v>
      </c>
      <c r="X514">
        <v>0</v>
      </c>
      <c r="Y514">
        <v>512</v>
      </c>
      <c r="Z514" t="s">
        <v>6966</v>
      </c>
      <c r="AA514" t="s">
        <v>6966</v>
      </c>
      <c r="AB514" t="s">
        <v>6966</v>
      </c>
      <c r="AC514" t="s">
        <v>6966</v>
      </c>
      <c r="AD514" t="s">
        <v>6966</v>
      </c>
      <c r="AE514" t="s">
        <v>6966</v>
      </c>
      <c r="AF514" t="s">
        <v>6966</v>
      </c>
      <c r="AG514" t="s">
        <v>6966</v>
      </c>
      <c r="AH514" t="s">
        <v>6966</v>
      </c>
      <c r="AI514" t="s">
        <v>6966</v>
      </c>
      <c r="AJ514" t="s">
        <v>6966</v>
      </c>
      <c r="AK514" t="s">
        <v>6966</v>
      </c>
      <c r="AL514" t="s">
        <v>6966</v>
      </c>
      <c r="AM514" t="s">
        <v>6966</v>
      </c>
      <c r="AN514" t="s">
        <v>6966</v>
      </c>
      <c r="AO514" t="s">
        <v>6966</v>
      </c>
      <c r="AP514" t="s">
        <v>6966</v>
      </c>
      <c r="AQ514" t="s">
        <v>6966</v>
      </c>
      <c r="AR514" t="s">
        <v>6966</v>
      </c>
      <c r="AS514" t="s">
        <v>6966</v>
      </c>
      <c r="AT514" t="s">
        <v>6966</v>
      </c>
      <c r="AU514" t="s">
        <v>6966</v>
      </c>
      <c r="AV514" t="s">
        <v>6966</v>
      </c>
      <c r="AW514" t="s">
        <v>6966</v>
      </c>
      <c r="AX514" t="s">
        <v>6966</v>
      </c>
      <c r="AY514" t="s">
        <v>6966</v>
      </c>
      <c r="AZ514">
        <v>0.53271500000000005</v>
      </c>
      <c r="BA514">
        <v>6.5830000000000003E-3</v>
      </c>
    </row>
    <row r="515" spans="1:53" x14ac:dyDescent="0.25">
      <c r="A515">
        <v>513</v>
      </c>
      <c r="B515" t="s">
        <v>7625</v>
      </c>
      <c r="C515">
        <v>701071</v>
      </c>
      <c r="D515" t="s">
        <v>714</v>
      </c>
      <c r="E515" t="s">
        <v>649</v>
      </c>
      <c r="F515">
        <v>8114731</v>
      </c>
      <c r="G515">
        <v>22723.666015999999</v>
      </c>
      <c r="H515">
        <v>463</v>
      </c>
      <c r="I515">
        <v>647</v>
      </c>
      <c r="J515">
        <v>34356</v>
      </c>
      <c r="K515" t="s">
        <v>2128</v>
      </c>
      <c r="L515">
        <v>11</v>
      </c>
      <c r="M515">
        <v>11</v>
      </c>
      <c r="N515">
        <v>34356</v>
      </c>
      <c r="O515">
        <v>451</v>
      </c>
      <c r="P515" t="s">
        <v>3215</v>
      </c>
      <c r="Q515">
        <v>1.1000000000000001</v>
      </c>
      <c r="R515">
        <v>50.03</v>
      </c>
      <c r="S515">
        <v>0.26</v>
      </c>
      <c r="T515">
        <v>12</v>
      </c>
      <c r="U515">
        <v>8114731.03859</v>
      </c>
      <c r="V515">
        <v>22723.66474</v>
      </c>
      <c r="W515">
        <v>514</v>
      </c>
      <c r="X515">
        <v>0</v>
      </c>
      <c r="Y515">
        <v>513</v>
      </c>
      <c r="Z515" t="s">
        <v>6966</v>
      </c>
      <c r="AA515" t="s">
        <v>6966</v>
      </c>
      <c r="AB515" t="s">
        <v>6966</v>
      </c>
      <c r="AC515" t="s">
        <v>6966</v>
      </c>
      <c r="AD515" t="s">
        <v>6966</v>
      </c>
      <c r="AE515" t="s">
        <v>6966</v>
      </c>
      <c r="AF515" t="s">
        <v>6966</v>
      </c>
      <c r="AG515" t="s">
        <v>6966</v>
      </c>
      <c r="AH515" t="s">
        <v>6966</v>
      </c>
      <c r="AI515" t="s">
        <v>6966</v>
      </c>
      <c r="AJ515" t="s">
        <v>6966</v>
      </c>
      <c r="AK515" t="s">
        <v>6966</v>
      </c>
      <c r="AL515" t="s">
        <v>6966</v>
      </c>
      <c r="AM515" t="s">
        <v>6966</v>
      </c>
      <c r="AN515" t="s">
        <v>6966</v>
      </c>
      <c r="AO515" t="s">
        <v>6966</v>
      </c>
      <c r="AP515" t="s">
        <v>6966</v>
      </c>
      <c r="AQ515" t="s">
        <v>6966</v>
      </c>
      <c r="AR515" t="s">
        <v>6966</v>
      </c>
      <c r="AS515" t="s">
        <v>6966</v>
      </c>
      <c r="AT515" t="s">
        <v>6966</v>
      </c>
      <c r="AU515" t="s">
        <v>6966</v>
      </c>
      <c r="AV515" t="s">
        <v>6966</v>
      </c>
      <c r="AW515" t="s">
        <v>6966</v>
      </c>
      <c r="AX515" t="s">
        <v>6966</v>
      </c>
      <c r="AY515" t="s">
        <v>6966</v>
      </c>
      <c r="AZ515">
        <v>0.231105</v>
      </c>
      <c r="BA515">
        <v>7.94E-4</v>
      </c>
    </row>
    <row r="516" spans="1:53" x14ac:dyDescent="0.25">
      <c r="A516">
        <v>514</v>
      </c>
      <c r="B516" t="s">
        <v>7625</v>
      </c>
      <c r="C516">
        <v>701024</v>
      </c>
      <c r="D516" t="s">
        <v>668</v>
      </c>
      <c r="E516" t="s">
        <v>649</v>
      </c>
      <c r="F516">
        <v>1111384</v>
      </c>
      <c r="G516">
        <v>9568.5751949999994</v>
      </c>
      <c r="H516">
        <v>464</v>
      </c>
      <c r="I516">
        <v>648</v>
      </c>
      <c r="J516">
        <v>34227</v>
      </c>
      <c r="K516" t="s">
        <v>668</v>
      </c>
      <c r="L516">
        <v>11</v>
      </c>
      <c r="M516">
        <v>11</v>
      </c>
      <c r="N516">
        <v>34227</v>
      </c>
      <c r="O516">
        <v>452</v>
      </c>
      <c r="P516" t="s">
        <v>3215</v>
      </c>
      <c r="Q516">
        <v>0</v>
      </c>
      <c r="R516">
        <v>0</v>
      </c>
      <c r="S516">
        <v>0</v>
      </c>
      <c r="T516">
        <v>0</v>
      </c>
      <c r="U516">
        <v>1111383.96169</v>
      </c>
      <c r="V516">
        <v>9568.5750580000004</v>
      </c>
      <c r="W516">
        <v>515</v>
      </c>
      <c r="X516">
        <v>0</v>
      </c>
      <c r="Y516">
        <v>514</v>
      </c>
      <c r="Z516" t="s">
        <v>6966</v>
      </c>
      <c r="AA516" t="s">
        <v>6966</v>
      </c>
      <c r="AB516" t="s">
        <v>6966</v>
      </c>
      <c r="AC516" t="s">
        <v>6966</v>
      </c>
      <c r="AD516" t="s">
        <v>6966</v>
      </c>
      <c r="AE516" t="s">
        <v>6966</v>
      </c>
      <c r="AF516" t="s">
        <v>6966</v>
      </c>
      <c r="AG516" t="s">
        <v>6966</v>
      </c>
      <c r="AH516" t="s">
        <v>6966</v>
      </c>
      <c r="AI516" t="s">
        <v>6966</v>
      </c>
      <c r="AJ516" t="s">
        <v>6966</v>
      </c>
      <c r="AK516" t="s">
        <v>6966</v>
      </c>
      <c r="AL516" t="s">
        <v>6966</v>
      </c>
      <c r="AM516" t="s">
        <v>6966</v>
      </c>
      <c r="AN516" t="s">
        <v>6966</v>
      </c>
      <c r="AO516" t="s">
        <v>6966</v>
      </c>
      <c r="AP516" t="s">
        <v>6966</v>
      </c>
      <c r="AQ516" t="s">
        <v>6966</v>
      </c>
      <c r="AR516" t="s">
        <v>6966</v>
      </c>
      <c r="AS516" t="s">
        <v>6966</v>
      </c>
      <c r="AT516" t="s">
        <v>6966</v>
      </c>
      <c r="AU516" t="s">
        <v>6966</v>
      </c>
      <c r="AV516" t="s">
        <v>6966</v>
      </c>
      <c r="AW516" t="s">
        <v>6966</v>
      </c>
      <c r="AX516" t="s">
        <v>6966</v>
      </c>
      <c r="AY516" t="s">
        <v>6966</v>
      </c>
      <c r="AZ516">
        <v>9.6602999999999994E-2</v>
      </c>
      <c r="BA516">
        <v>1.0900000000000001E-4</v>
      </c>
    </row>
    <row r="517" spans="1:53" x14ac:dyDescent="0.25">
      <c r="A517">
        <v>515</v>
      </c>
      <c r="B517" t="s">
        <v>7625</v>
      </c>
      <c r="C517">
        <v>701054</v>
      </c>
      <c r="D517" t="s">
        <v>684</v>
      </c>
      <c r="E517" t="s">
        <v>649</v>
      </c>
      <c r="F517">
        <v>392801.40625</v>
      </c>
      <c r="G517">
        <v>3061.0114749999998</v>
      </c>
      <c r="H517">
        <v>465</v>
      </c>
      <c r="I517">
        <v>649</v>
      </c>
      <c r="J517">
        <v>34254</v>
      </c>
      <c r="K517" t="s">
        <v>2107</v>
      </c>
      <c r="L517">
        <v>11</v>
      </c>
      <c r="M517">
        <v>11</v>
      </c>
      <c r="N517">
        <v>34254</v>
      </c>
      <c r="O517">
        <v>453</v>
      </c>
      <c r="P517" t="s">
        <v>3215</v>
      </c>
      <c r="Q517">
        <v>1.7</v>
      </c>
      <c r="R517">
        <v>25.14</v>
      </c>
      <c r="S517">
        <v>0.38</v>
      </c>
      <c r="T517">
        <v>6</v>
      </c>
      <c r="U517">
        <v>392801.40660799999</v>
      </c>
      <c r="V517">
        <v>3061.012013</v>
      </c>
      <c r="W517">
        <v>516</v>
      </c>
      <c r="X517">
        <v>0</v>
      </c>
      <c r="Y517">
        <v>515</v>
      </c>
      <c r="Z517" t="s">
        <v>6966</v>
      </c>
      <c r="AA517" t="s">
        <v>6966</v>
      </c>
      <c r="AB517" t="s">
        <v>6966</v>
      </c>
      <c r="AC517" t="s">
        <v>6966</v>
      </c>
      <c r="AD517" t="s">
        <v>6966</v>
      </c>
      <c r="AE517" t="s">
        <v>6966</v>
      </c>
      <c r="AF517" t="s">
        <v>6966</v>
      </c>
      <c r="AG517" t="s">
        <v>6966</v>
      </c>
      <c r="AH517" t="s">
        <v>6966</v>
      </c>
      <c r="AI517" t="s">
        <v>6966</v>
      </c>
      <c r="AJ517" t="s">
        <v>6966</v>
      </c>
      <c r="AK517" t="s">
        <v>6966</v>
      </c>
      <c r="AL517" t="s">
        <v>6966</v>
      </c>
      <c r="AM517" t="s">
        <v>6966</v>
      </c>
      <c r="AN517" t="s">
        <v>6966</v>
      </c>
      <c r="AO517" t="s">
        <v>6966</v>
      </c>
      <c r="AP517" t="s">
        <v>6966</v>
      </c>
      <c r="AQ517" t="s">
        <v>6966</v>
      </c>
      <c r="AR517" t="s">
        <v>6966</v>
      </c>
      <c r="AS517" t="s">
        <v>6966</v>
      </c>
      <c r="AT517" t="s">
        <v>6966</v>
      </c>
      <c r="AU517" t="s">
        <v>6966</v>
      </c>
      <c r="AV517" t="s">
        <v>6966</v>
      </c>
      <c r="AW517" t="s">
        <v>6966</v>
      </c>
      <c r="AX517" t="s">
        <v>6966</v>
      </c>
      <c r="AY517" t="s">
        <v>6966</v>
      </c>
      <c r="AZ517">
        <v>3.0183000000000001E-2</v>
      </c>
      <c r="BA517">
        <v>3.8000000000000002E-5</v>
      </c>
    </row>
    <row r="518" spans="1:53" x14ac:dyDescent="0.25">
      <c r="A518">
        <v>516</v>
      </c>
      <c r="B518" t="s">
        <v>7625</v>
      </c>
      <c r="C518">
        <v>701073</v>
      </c>
      <c r="D518" t="s">
        <v>658</v>
      </c>
      <c r="E518" t="s">
        <v>649</v>
      </c>
      <c r="F518">
        <v>2696099.5</v>
      </c>
      <c r="G518">
        <v>11382.181640999999</v>
      </c>
      <c r="H518">
        <v>466</v>
      </c>
      <c r="I518">
        <v>650</v>
      </c>
      <c r="J518">
        <v>34212</v>
      </c>
      <c r="K518" t="s">
        <v>2071</v>
      </c>
      <c r="L518">
        <v>11</v>
      </c>
      <c r="M518">
        <v>11</v>
      </c>
      <c r="N518">
        <v>34212</v>
      </c>
      <c r="O518">
        <v>454</v>
      </c>
      <c r="P518" t="s">
        <v>3215</v>
      </c>
      <c r="Q518">
        <v>1.3</v>
      </c>
      <c r="R518">
        <v>11.84</v>
      </c>
      <c r="S518">
        <v>0.37</v>
      </c>
      <c r="T518">
        <v>4</v>
      </c>
      <c r="U518">
        <v>2696099.4925299999</v>
      </c>
      <c r="V518">
        <v>11382.181683000001</v>
      </c>
      <c r="W518">
        <v>517</v>
      </c>
      <c r="X518">
        <v>0</v>
      </c>
      <c r="Y518">
        <v>516</v>
      </c>
      <c r="Z518" t="s">
        <v>6966</v>
      </c>
      <c r="AA518" t="s">
        <v>6966</v>
      </c>
      <c r="AB518" t="s">
        <v>6966</v>
      </c>
      <c r="AC518" t="s">
        <v>6966</v>
      </c>
      <c r="AD518" t="s">
        <v>6966</v>
      </c>
      <c r="AE518" t="s">
        <v>6966</v>
      </c>
      <c r="AF518" t="s">
        <v>6966</v>
      </c>
      <c r="AG518" t="s">
        <v>6966</v>
      </c>
      <c r="AH518" t="s">
        <v>6966</v>
      </c>
      <c r="AI518" t="s">
        <v>6966</v>
      </c>
      <c r="AJ518" t="s">
        <v>6966</v>
      </c>
      <c r="AK518" t="s">
        <v>6966</v>
      </c>
      <c r="AL518" t="s">
        <v>6966</v>
      </c>
      <c r="AM518" t="s">
        <v>6966</v>
      </c>
      <c r="AN518" t="s">
        <v>6966</v>
      </c>
      <c r="AO518" t="s">
        <v>6966</v>
      </c>
      <c r="AP518" t="s">
        <v>6966</v>
      </c>
      <c r="AQ518" t="s">
        <v>6966</v>
      </c>
      <c r="AR518" t="s">
        <v>6966</v>
      </c>
      <c r="AS518" t="s">
        <v>6966</v>
      </c>
      <c r="AT518" t="s">
        <v>6966</v>
      </c>
      <c r="AU518" t="s">
        <v>6966</v>
      </c>
      <c r="AV518" t="s">
        <v>6966</v>
      </c>
      <c r="AW518" t="s">
        <v>6966</v>
      </c>
      <c r="AX518" t="s">
        <v>6966</v>
      </c>
      <c r="AY518" t="s">
        <v>6966</v>
      </c>
      <c r="AZ518">
        <v>0.114077</v>
      </c>
      <c r="BA518">
        <v>2.6400000000000002E-4</v>
      </c>
    </row>
    <row r="519" spans="1:53" x14ac:dyDescent="0.25">
      <c r="A519">
        <v>517</v>
      </c>
      <c r="B519" t="s">
        <v>7625</v>
      </c>
      <c r="C519">
        <v>701003</v>
      </c>
      <c r="D519" t="s">
        <v>674</v>
      </c>
      <c r="E519" t="s">
        <v>649</v>
      </c>
      <c r="F519">
        <v>1359062.875</v>
      </c>
      <c r="G519">
        <v>8189.8007809999999</v>
      </c>
      <c r="H519">
        <v>467</v>
      </c>
      <c r="I519">
        <v>651</v>
      </c>
      <c r="J519">
        <v>34237</v>
      </c>
      <c r="K519" t="s">
        <v>2102</v>
      </c>
      <c r="L519">
        <v>11</v>
      </c>
      <c r="M519">
        <v>11</v>
      </c>
      <c r="N519">
        <v>34237</v>
      </c>
      <c r="O519">
        <v>455</v>
      </c>
      <c r="P519" t="s">
        <v>3215</v>
      </c>
      <c r="Q519">
        <v>1</v>
      </c>
      <c r="R519">
        <v>13.46</v>
      </c>
      <c r="S519">
        <v>0.38</v>
      </c>
      <c r="T519">
        <v>5</v>
      </c>
      <c r="U519">
        <v>1359062.8193999999</v>
      </c>
      <c r="V519">
        <v>8189.8007360000001</v>
      </c>
      <c r="W519">
        <v>518</v>
      </c>
      <c r="X519">
        <v>0</v>
      </c>
      <c r="Y519">
        <v>517</v>
      </c>
      <c r="Z519" t="s">
        <v>6966</v>
      </c>
      <c r="AA519" t="s">
        <v>6966</v>
      </c>
      <c r="AB519" t="s">
        <v>6966</v>
      </c>
      <c r="AC519" t="s">
        <v>6966</v>
      </c>
      <c r="AD519" t="s">
        <v>6966</v>
      </c>
      <c r="AE519" t="s">
        <v>6966</v>
      </c>
      <c r="AF519" t="s">
        <v>6966</v>
      </c>
      <c r="AG519" t="s">
        <v>6966</v>
      </c>
      <c r="AH519" t="s">
        <v>6966</v>
      </c>
      <c r="AI519" t="s">
        <v>6966</v>
      </c>
      <c r="AJ519" t="s">
        <v>6966</v>
      </c>
      <c r="AK519" t="s">
        <v>6966</v>
      </c>
      <c r="AL519" t="s">
        <v>6966</v>
      </c>
      <c r="AM519" t="s">
        <v>6966</v>
      </c>
      <c r="AN519" t="s">
        <v>6966</v>
      </c>
      <c r="AO519" t="s">
        <v>6966</v>
      </c>
      <c r="AP519" t="s">
        <v>6966</v>
      </c>
      <c r="AQ519" t="s">
        <v>6966</v>
      </c>
      <c r="AR519" t="s">
        <v>6966</v>
      </c>
      <c r="AS519" t="s">
        <v>6966</v>
      </c>
      <c r="AT519" t="s">
        <v>6966</v>
      </c>
      <c r="AU519" t="s">
        <v>6966</v>
      </c>
      <c r="AV519" t="s">
        <v>6966</v>
      </c>
      <c r="AW519" t="s">
        <v>6966</v>
      </c>
      <c r="AX519" t="s">
        <v>6966</v>
      </c>
      <c r="AY519" t="s">
        <v>6966</v>
      </c>
      <c r="AZ519">
        <v>8.2100999999999993E-2</v>
      </c>
      <c r="BA519">
        <v>1.3300000000000001E-4</v>
      </c>
    </row>
    <row r="520" spans="1:53" x14ac:dyDescent="0.25">
      <c r="A520">
        <v>518</v>
      </c>
      <c r="B520" t="s">
        <v>7625</v>
      </c>
      <c r="C520">
        <v>702018</v>
      </c>
      <c r="D520" t="s">
        <v>7764</v>
      </c>
      <c r="E520" t="s">
        <v>2906</v>
      </c>
      <c r="F520">
        <v>0</v>
      </c>
      <c r="G520">
        <v>17538.591797000001</v>
      </c>
      <c r="H520">
        <v>468</v>
      </c>
      <c r="I520">
        <v>652</v>
      </c>
      <c r="J520">
        <v>36110</v>
      </c>
      <c r="K520" t="s">
        <v>7765</v>
      </c>
      <c r="L520">
        <v>13</v>
      </c>
      <c r="M520">
        <v>13</v>
      </c>
      <c r="N520">
        <v>36110</v>
      </c>
      <c r="O520">
        <v>456</v>
      </c>
      <c r="P520" t="s">
        <v>3215</v>
      </c>
      <c r="Q520">
        <v>0</v>
      </c>
      <c r="R520">
        <v>0</v>
      </c>
      <c r="S520">
        <v>0</v>
      </c>
      <c r="T520">
        <v>0</v>
      </c>
      <c r="U520">
        <v>0</v>
      </c>
      <c r="V520">
        <v>17538.591521999999</v>
      </c>
      <c r="W520">
        <v>519</v>
      </c>
      <c r="X520">
        <v>0</v>
      </c>
      <c r="Y520">
        <v>518</v>
      </c>
      <c r="Z520" t="s">
        <v>6966</v>
      </c>
      <c r="AA520" t="s">
        <v>6966</v>
      </c>
      <c r="AB520" t="s">
        <v>6966</v>
      </c>
      <c r="AC520" t="s">
        <v>6966</v>
      </c>
      <c r="AD520" t="s">
        <v>6966</v>
      </c>
      <c r="AE520" t="s">
        <v>6966</v>
      </c>
      <c r="AF520" t="s">
        <v>6966</v>
      </c>
      <c r="AG520" t="s">
        <v>6966</v>
      </c>
      <c r="AH520" t="s">
        <v>6966</v>
      </c>
      <c r="AI520" t="s">
        <v>6966</v>
      </c>
      <c r="AJ520" t="s">
        <v>6966</v>
      </c>
      <c r="AK520" t="s">
        <v>6966</v>
      </c>
      <c r="AL520" t="s">
        <v>6966</v>
      </c>
      <c r="AM520" t="s">
        <v>6966</v>
      </c>
      <c r="AN520" t="s">
        <v>6966</v>
      </c>
      <c r="AO520" t="s">
        <v>6966</v>
      </c>
      <c r="AP520" t="s">
        <v>6966</v>
      </c>
      <c r="AQ520" t="s">
        <v>6966</v>
      </c>
      <c r="AR520" t="s">
        <v>6966</v>
      </c>
      <c r="AS520" t="s">
        <v>6966</v>
      </c>
      <c r="AT520" t="s">
        <v>6966</v>
      </c>
      <c r="AU520" t="s">
        <v>6966</v>
      </c>
      <c r="AV520" t="s">
        <v>6966</v>
      </c>
      <c r="AW520" t="s">
        <v>6966</v>
      </c>
      <c r="AX520" t="s">
        <v>6966</v>
      </c>
      <c r="AY520" t="s">
        <v>6966</v>
      </c>
      <c r="AZ520">
        <v>0.17599999999999999</v>
      </c>
      <c r="BA520">
        <v>1.1150000000000001E-3</v>
      </c>
    </row>
    <row r="521" spans="1:53" x14ac:dyDescent="0.25">
      <c r="A521">
        <v>519</v>
      </c>
      <c r="B521" t="s">
        <v>7625</v>
      </c>
      <c r="C521">
        <v>504036</v>
      </c>
      <c r="D521" t="s">
        <v>509</v>
      </c>
      <c r="E521" t="s">
        <v>7766</v>
      </c>
      <c r="F521">
        <v>2191663.25</v>
      </c>
      <c r="G521">
        <v>9238.5341800000006</v>
      </c>
      <c r="H521">
        <v>469</v>
      </c>
      <c r="I521">
        <v>653</v>
      </c>
      <c r="J521">
        <v>26298</v>
      </c>
      <c r="K521" t="s">
        <v>509</v>
      </c>
      <c r="L521">
        <v>7</v>
      </c>
      <c r="M521">
        <v>7</v>
      </c>
      <c r="N521">
        <v>26298</v>
      </c>
      <c r="O521">
        <v>457</v>
      </c>
      <c r="P521" t="s">
        <v>3212</v>
      </c>
      <c r="Q521">
        <v>2</v>
      </c>
      <c r="R521">
        <v>25.43</v>
      </c>
      <c r="S521">
        <v>0.56999999999999995</v>
      </c>
      <c r="T521">
        <v>7</v>
      </c>
      <c r="U521">
        <v>2191663.2790899999</v>
      </c>
      <c r="V521">
        <v>9238.5339530000001</v>
      </c>
      <c r="W521">
        <v>520</v>
      </c>
      <c r="X521">
        <v>0</v>
      </c>
      <c r="Y521">
        <v>519</v>
      </c>
      <c r="Z521" t="s">
        <v>6966</v>
      </c>
      <c r="AA521" t="s">
        <v>6966</v>
      </c>
      <c r="AB521" t="s">
        <v>6966</v>
      </c>
      <c r="AC521" t="s">
        <v>6966</v>
      </c>
      <c r="AD521" t="s">
        <v>6966</v>
      </c>
      <c r="AE521" t="s">
        <v>6966</v>
      </c>
      <c r="AF521" t="s">
        <v>6966</v>
      </c>
      <c r="AG521" t="s">
        <v>6966</v>
      </c>
      <c r="AH521" t="s">
        <v>6966</v>
      </c>
      <c r="AI521" t="s">
        <v>6966</v>
      </c>
      <c r="AJ521" t="s">
        <v>6966</v>
      </c>
      <c r="AK521" t="s">
        <v>6966</v>
      </c>
      <c r="AL521" t="s">
        <v>6966</v>
      </c>
      <c r="AM521" t="s">
        <v>6966</v>
      </c>
      <c r="AN521" t="s">
        <v>6966</v>
      </c>
      <c r="AO521" t="s">
        <v>6966</v>
      </c>
      <c r="AP521" t="s">
        <v>6966</v>
      </c>
      <c r="AQ521" t="s">
        <v>6966</v>
      </c>
      <c r="AR521" t="s">
        <v>6966</v>
      </c>
      <c r="AS521" t="s">
        <v>6966</v>
      </c>
      <c r="AT521" t="s">
        <v>6966</v>
      </c>
      <c r="AU521" t="s">
        <v>6966</v>
      </c>
      <c r="AV521" t="s">
        <v>6966</v>
      </c>
      <c r="AW521" t="s">
        <v>6966</v>
      </c>
      <c r="AX521" t="s">
        <v>6966</v>
      </c>
      <c r="AY521" t="s">
        <v>6966</v>
      </c>
      <c r="AZ521">
        <v>9.5320000000000002E-2</v>
      </c>
      <c r="BA521">
        <v>2.14E-4</v>
      </c>
    </row>
    <row r="522" spans="1:53" x14ac:dyDescent="0.25">
      <c r="A522">
        <v>520</v>
      </c>
      <c r="B522" t="s">
        <v>7625</v>
      </c>
      <c r="C522">
        <v>701067</v>
      </c>
      <c r="D522" t="s">
        <v>666</v>
      </c>
      <c r="E522" t="s">
        <v>649</v>
      </c>
      <c r="F522">
        <v>2041019.5</v>
      </c>
      <c r="G522">
        <v>9543.2304690000001</v>
      </c>
      <c r="H522">
        <v>470</v>
      </c>
      <c r="I522">
        <v>654</v>
      </c>
      <c r="J522">
        <v>34224</v>
      </c>
      <c r="K522" t="s">
        <v>2097</v>
      </c>
      <c r="L522">
        <v>11</v>
      </c>
      <c r="M522">
        <v>11</v>
      </c>
      <c r="N522">
        <v>34224</v>
      </c>
      <c r="O522">
        <v>458</v>
      </c>
      <c r="P522" t="s">
        <v>3215</v>
      </c>
      <c r="Q522">
        <v>1</v>
      </c>
      <c r="R522">
        <v>9.7899999999999991</v>
      </c>
      <c r="S522">
        <v>0.24</v>
      </c>
      <c r="T522">
        <v>2</v>
      </c>
      <c r="U522">
        <v>2041019.61335</v>
      </c>
      <c r="V522">
        <v>9543.2305180000003</v>
      </c>
      <c r="W522">
        <v>521</v>
      </c>
      <c r="X522">
        <v>0</v>
      </c>
      <c r="Y522">
        <v>520</v>
      </c>
      <c r="Z522" t="s">
        <v>6966</v>
      </c>
      <c r="AA522" t="s">
        <v>6966</v>
      </c>
      <c r="AB522" t="s">
        <v>6966</v>
      </c>
      <c r="AC522" t="s">
        <v>6966</v>
      </c>
      <c r="AD522" t="s">
        <v>6966</v>
      </c>
      <c r="AE522" t="s">
        <v>6966</v>
      </c>
      <c r="AF522" t="s">
        <v>6966</v>
      </c>
      <c r="AG522" t="s">
        <v>6966</v>
      </c>
      <c r="AH522" t="s">
        <v>6966</v>
      </c>
      <c r="AI522" t="s">
        <v>6966</v>
      </c>
      <c r="AJ522" t="s">
        <v>6966</v>
      </c>
      <c r="AK522" t="s">
        <v>6966</v>
      </c>
      <c r="AL522" t="s">
        <v>6966</v>
      </c>
      <c r="AM522" t="s">
        <v>6966</v>
      </c>
      <c r="AN522" t="s">
        <v>6966</v>
      </c>
      <c r="AO522" t="s">
        <v>6966</v>
      </c>
      <c r="AP522" t="s">
        <v>6966</v>
      </c>
      <c r="AQ522" t="s">
        <v>6966</v>
      </c>
      <c r="AR522" t="s">
        <v>6966</v>
      </c>
      <c r="AS522" t="s">
        <v>6966</v>
      </c>
      <c r="AT522" t="s">
        <v>6966</v>
      </c>
      <c r="AU522" t="s">
        <v>6966</v>
      </c>
      <c r="AV522" t="s">
        <v>6966</v>
      </c>
      <c r="AW522" t="s">
        <v>6966</v>
      </c>
      <c r="AX522" t="s">
        <v>6966</v>
      </c>
      <c r="AY522" t="s">
        <v>6966</v>
      </c>
      <c r="AZ522">
        <v>9.6072000000000005E-2</v>
      </c>
      <c r="BA522">
        <v>2.0000000000000001E-4</v>
      </c>
    </row>
    <row r="523" spans="1:53" x14ac:dyDescent="0.25">
      <c r="A523">
        <v>521</v>
      </c>
      <c r="B523" t="s">
        <v>7625</v>
      </c>
      <c r="C523">
        <v>701038</v>
      </c>
      <c r="D523" t="s">
        <v>663</v>
      </c>
      <c r="E523" t="s">
        <v>649</v>
      </c>
      <c r="F523">
        <v>1920189.125</v>
      </c>
      <c r="G523">
        <v>8290.6835940000001</v>
      </c>
      <c r="H523">
        <v>471</v>
      </c>
      <c r="I523">
        <v>655</v>
      </c>
      <c r="J523">
        <v>34219</v>
      </c>
      <c r="K523" t="s">
        <v>2095</v>
      </c>
      <c r="L523">
        <v>11</v>
      </c>
      <c r="M523">
        <v>11</v>
      </c>
      <c r="N523">
        <v>34219</v>
      </c>
      <c r="O523">
        <v>459</v>
      </c>
      <c r="P523" t="s">
        <v>3215</v>
      </c>
      <c r="Q523">
        <v>0.6</v>
      </c>
      <c r="R523">
        <v>18.91</v>
      </c>
      <c r="S523">
        <v>0.16</v>
      </c>
      <c r="T523">
        <v>5</v>
      </c>
      <c r="U523">
        <v>1920189.09665</v>
      </c>
      <c r="V523">
        <v>8290.6830059999993</v>
      </c>
      <c r="W523">
        <v>522</v>
      </c>
      <c r="X523">
        <v>0</v>
      </c>
      <c r="Y523">
        <v>521</v>
      </c>
      <c r="Z523" t="s">
        <v>6966</v>
      </c>
      <c r="AA523" t="s">
        <v>6966</v>
      </c>
      <c r="AB523" t="s">
        <v>6966</v>
      </c>
      <c r="AC523" t="s">
        <v>6966</v>
      </c>
      <c r="AD523" t="s">
        <v>6966</v>
      </c>
      <c r="AE523" t="s">
        <v>6966</v>
      </c>
      <c r="AF523" t="s">
        <v>6966</v>
      </c>
      <c r="AG523" t="s">
        <v>6966</v>
      </c>
      <c r="AH523" t="s">
        <v>6966</v>
      </c>
      <c r="AI523" t="s">
        <v>6966</v>
      </c>
      <c r="AJ523" t="s">
        <v>6966</v>
      </c>
      <c r="AK523" t="s">
        <v>6966</v>
      </c>
      <c r="AL523" t="s">
        <v>6966</v>
      </c>
      <c r="AM523" t="s">
        <v>6966</v>
      </c>
      <c r="AN523" t="s">
        <v>6966</v>
      </c>
      <c r="AO523" t="s">
        <v>6966</v>
      </c>
      <c r="AP523" t="s">
        <v>6966</v>
      </c>
      <c r="AQ523" t="s">
        <v>6966</v>
      </c>
      <c r="AR523" t="s">
        <v>6966</v>
      </c>
      <c r="AS523" t="s">
        <v>6966</v>
      </c>
      <c r="AT523" t="s">
        <v>6966</v>
      </c>
      <c r="AU523" t="s">
        <v>6966</v>
      </c>
      <c r="AV523" t="s">
        <v>6966</v>
      </c>
      <c r="AW523" t="s">
        <v>6966</v>
      </c>
      <c r="AX523" t="s">
        <v>6966</v>
      </c>
      <c r="AY523" t="s">
        <v>6966</v>
      </c>
      <c r="AZ523">
        <v>8.3698999999999996E-2</v>
      </c>
      <c r="BA523">
        <v>1.8799999999999999E-4</v>
      </c>
    </row>
    <row r="524" spans="1:53" x14ac:dyDescent="0.25">
      <c r="A524">
        <v>522</v>
      </c>
      <c r="B524" t="s">
        <v>7625</v>
      </c>
      <c r="C524">
        <v>504062</v>
      </c>
      <c r="D524" t="s">
        <v>7767</v>
      </c>
      <c r="E524" t="s">
        <v>7766</v>
      </c>
      <c r="F524">
        <v>1340061.75</v>
      </c>
      <c r="G524">
        <v>6577.3310549999997</v>
      </c>
      <c r="H524">
        <v>472</v>
      </c>
      <c r="I524">
        <v>656</v>
      </c>
      <c r="J524">
        <v>26189</v>
      </c>
      <c r="K524" t="s">
        <v>7768</v>
      </c>
      <c r="L524">
        <v>7</v>
      </c>
      <c r="M524">
        <v>7</v>
      </c>
      <c r="N524">
        <v>26189</v>
      </c>
      <c r="O524">
        <v>460</v>
      </c>
      <c r="P524" t="s">
        <v>3212</v>
      </c>
      <c r="Q524">
        <v>0.9</v>
      </c>
      <c r="R524">
        <v>16.66</v>
      </c>
      <c r="S524">
        <v>0.18</v>
      </c>
      <c r="T524">
        <v>4</v>
      </c>
      <c r="U524">
        <v>1340061.7538399999</v>
      </c>
      <c r="V524">
        <v>6577.3311780000004</v>
      </c>
      <c r="W524">
        <v>523</v>
      </c>
      <c r="X524">
        <v>0</v>
      </c>
      <c r="Y524">
        <v>522</v>
      </c>
      <c r="Z524" t="s">
        <v>6966</v>
      </c>
      <c r="AA524" t="s">
        <v>6966</v>
      </c>
      <c r="AB524" t="s">
        <v>6966</v>
      </c>
      <c r="AC524" t="s">
        <v>6966</v>
      </c>
      <c r="AD524" t="s">
        <v>6966</v>
      </c>
      <c r="AE524" t="s">
        <v>6966</v>
      </c>
      <c r="AF524" t="s">
        <v>6966</v>
      </c>
      <c r="AG524" t="s">
        <v>6966</v>
      </c>
      <c r="AH524" t="s">
        <v>6966</v>
      </c>
      <c r="AI524" t="s">
        <v>6966</v>
      </c>
      <c r="AJ524" t="s">
        <v>6966</v>
      </c>
      <c r="AK524" t="s">
        <v>6966</v>
      </c>
      <c r="AL524" t="s">
        <v>6966</v>
      </c>
      <c r="AM524" t="s">
        <v>6966</v>
      </c>
      <c r="AN524" t="s">
        <v>6966</v>
      </c>
      <c r="AO524" t="s">
        <v>6966</v>
      </c>
      <c r="AP524" t="s">
        <v>6966</v>
      </c>
      <c r="AQ524" t="s">
        <v>6966</v>
      </c>
      <c r="AR524" t="s">
        <v>6966</v>
      </c>
      <c r="AS524" t="s">
        <v>6966</v>
      </c>
      <c r="AT524" t="s">
        <v>6966</v>
      </c>
      <c r="AU524" t="s">
        <v>6966</v>
      </c>
      <c r="AV524" t="s">
        <v>6966</v>
      </c>
      <c r="AW524" t="s">
        <v>6966</v>
      </c>
      <c r="AX524" t="s">
        <v>6966</v>
      </c>
      <c r="AY524" t="s">
        <v>6966</v>
      </c>
      <c r="AZ524">
        <v>6.6769999999999996E-2</v>
      </c>
      <c r="BA524">
        <v>1.3100000000000001E-4</v>
      </c>
    </row>
    <row r="525" spans="1:53" x14ac:dyDescent="0.25">
      <c r="A525">
        <v>523</v>
      </c>
      <c r="B525" t="s">
        <v>7625</v>
      </c>
      <c r="C525">
        <v>504021</v>
      </c>
      <c r="D525" t="s">
        <v>450</v>
      </c>
      <c r="E525" t="s">
        <v>7766</v>
      </c>
      <c r="F525">
        <v>3153659.25</v>
      </c>
      <c r="G525">
        <v>10493.836914</v>
      </c>
      <c r="H525">
        <v>473</v>
      </c>
      <c r="I525">
        <v>657</v>
      </c>
      <c r="J525">
        <v>26183</v>
      </c>
      <c r="K525" t="s">
        <v>1923</v>
      </c>
      <c r="L525">
        <v>7</v>
      </c>
      <c r="M525">
        <v>7</v>
      </c>
      <c r="N525">
        <v>26183</v>
      </c>
      <c r="O525">
        <v>461</v>
      </c>
      <c r="P525" t="s">
        <v>3212</v>
      </c>
      <c r="Q525">
        <v>1.5</v>
      </c>
      <c r="R525">
        <v>15.18</v>
      </c>
      <c r="S525">
        <v>0.3</v>
      </c>
      <c r="T525">
        <v>3</v>
      </c>
      <c r="U525">
        <v>3153659.2281399998</v>
      </c>
      <c r="V525">
        <v>10493.837025999999</v>
      </c>
      <c r="W525">
        <v>524</v>
      </c>
      <c r="X525">
        <v>0</v>
      </c>
      <c r="Y525">
        <v>523</v>
      </c>
      <c r="Z525" t="s">
        <v>6966</v>
      </c>
      <c r="AA525" t="s">
        <v>6966</v>
      </c>
      <c r="AB525" t="s">
        <v>6966</v>
      </c>
      <c r="AC525" t="s">
        <v>6966</v>
      </c>
      <c r="AD525" t="s">
        <v>6966</v>
      </c>
      <c r="AE525" t="s">
        <v>6966</v>
      </c>
      <c r="AF525" t="s">
        <v>6966</v>
      </c>
      <c r="AG525" t="s">
        <v>6966</v>
      </c>
      <c r="AH525" t="s">
        <v>6966</v>
      </c>
      <c r="AI525" t="s">
        <v>6966</v>
      </c>
      <c r="AJ525" t="s">
        <v>6966</v>
      </c>
      <c r="AK525" t="s">
        <v>6966</v>
      </c>
      <c r="AL525" t="s">
        <v>6966</v>
      </c>
      <c r="AM525" t="s">
        <v>6966</v>
      </c>
      <c r="AN525" t="s">
        <v>6966</v>
      </c>
      <c r="AO525" t="s">
        <v>6966</v>
      </c>
      <c r="AP525" t="s">
        <v>6966</v>
      </c>
      <c r="AQ525" t="s">
        <v>6966</v>
      </c>
      <c r="AR525" t="s">
        <v>6966</v>
      </c>
      <c r="AS525" t="s">
        <v>6966</v>
      </c>
      <c r="AT525" t="s">
        <v>6966</v>
      </c>
      <c r="AU525" t="s">
        <v>6966</v>
      </c>
      <c r="AV525" t="s">
        <v>6966</v>
      </c>
      <c r="AW525" t="s">
        <v>6966</v>
      </c>
      <c r="AX525" t="s">
        <v>6966</v>
      </c>
      <c r="AY525" t="s">
        <v>6966</v>
      </c>
      <c r="AZ525">
        <v>0.104146</v>
      </c>
      <c r="BA525">
        <v>3.0800000000000001E-4</v>
      </c>
    </row>
    <row r="526" spans="1:53" x14ac:dyDescent="0.25">
      <c r="A526">
        <v>524</v>
      </c>
      <c r="B526" t="s">
        <v>7625</v>
      </c>
      <c r="C526">
        <v>201012</v>
      </c>
      <c r="D526" t="s">
        <v>1113</v>
      </c>
      <c r="E526" t="s">
        <v>1069</v>
      </c>
      <c r="F526">
        <v>0</v>
      </c>
      <c r="G526">
        <v>24422.34375</v>
      </c>
      <c r="H526">
        <v>474</v>
      </c>
      <c r="I526">
        <v>658</v>
      </c>
      <c r="J526">
        <v>53344</v>
      </c>
      <c r="K526" t="s">
        <v>2451</v>
      </c>
      <c r="L526">
        <v>17</v>
      </c>
      <c r="M526">
        <v>17</v>
      </c>
      <c r="N526">
        <v>53344</v>
      </c>
      <c r="O526">
        <v>462</v>
      </c>
      <c r="P526" t="s">
        <v>3214</v>
      </c>
      <c r="Q526">
        <v>0.5</v>
      </c>
      <c r="R526">
        <v>79.319999999999993</v>
      </c>
      <c r="S526">
        <v>7.0000000000000007E-2</v>
      </c>
      <c r="T526">
        <v>14</v>
      </c>
      <c r="U526">
        <v>0</v>
      </c>
      <c r="V526">
        <v>24422.343874999999</v>
      </c>
      <c r="W526">
        <v>525</v>
      </c>
      <c r="X526">
        <v>0</v>
      </c>
      <c r="Y526">
        <v>524</v>
      </c>
      <c r="Z526" t="s">
        <v>6966</v>
      </c>
      <c r="AA526" t="s">
        <v>6966</v>
      </c>
      <c r="AB526" t="s">
        <v>6966</v>
      </c>
      <c r="AC526" t="s">
        <v>6966</v>
      </c>
      <c r="AD526" t="s">
        <v>6966</v>
      </c>
      <c r="AE526" t="s">
        <v>6966</v>
      </c>
      <c r="AF526" t="s">
        <v>6966</v>
      </c>
      <c r="AG526" t="s">
        <v>6966</v>
      </c>
      <c r="AH526" t="s">
        <v>6966</v>
      </c>
      <c r="AI526" t="s">
        <v>6966</v>
      </c>
      <c r="AJ526" t="s">
        <v>6966</v>
      </c>
      <c r="AK526" t="s">
        <v>6966</v>
      </c>
      <c r="AL526" t="s">
        <v>6966</v>
      </c>
      <c r="AM526" t="s">
        <v>6966</v>
      </c>
      <c r="AN526" t="s">
        <v>6966</v>
      </c>
      <c r="AO526" t="s">
        <v>6966</v>
      </c>
      <c r="AP526" t="s">
        <v>6966</v>
      </c>
      <c r="AQ526" t="s">
        <v>6966</v>
      </c>
      <c r="AR526" t="s">
        <v>6966</v>
      </c>
      <c r="AS526" t="s">
        <v>6966</v>
      </c>
      <c r="AT526" t="s">
        <v>6966</v>
      </c>
      <c r="AU526" t="s">
        <v>6966</v>
      </c>
      <c r="AV526" t="s">
        <v>6966</v>
      </c>
      <c r="AW526" t="s">
        <v>6966</v>
      </c>
      <c r="AX526" t="s">
        <v>6966</v>
      </c>
      <c r="AY526" t="s">
        <v>6966</v>
      </c>
      <c r="AZ526">
        <v>0.24187700000000001</v>
      </c>
      <c r="BA526">
        <v>1.9090000000000001E-3</v>
      </c>
    </row>
    <row r="527" spans="1:53" x14ac:dyDescent="0.25">
      <c r="A527">
        <v>525</v>
      </c>
      <c r="B527" t="s">
        <v>7625</v>
      </c>
      <c r="C527">
        <v>701061</v>
      </c>
      <c r="D527" t="s">
        <v>680</v>
      </c>
      <c r="E527" t="s">
        <v>649</v>
      </c>
      <c r="F527">
        <v>1931773.625</v>
      </c>
      <c r="G527">
        <v>8005.3955079999996</v>
      </c>
      <c r="H527">
        <v>475</v>
      </c>
      <c r="I527">
        <v>659</v>
      </c>
      <c r="J527">
        <v>34247</v>
      </c>
      <c r="K527" t="s">
        <v>680</v>
      </c>
      <c r="L527">
        <v>11</v>
      </c>
      <c r="M527">
        <v>11</v>
      </c>
      <c r="N527">
        <v>34247</v>
      </c>
      <c r="O527">
        <v>463</v>
      </c>
      <c r="P527" t="s">
        <v>3215</v>
      </c>
      <c r="Q527">
        <v>1.1000000000000001</v>
      </c>
      <c r="R527">
        <v>23.29</v>
      </c>
      <c r="S527">
        <v>0.24</v>
      </c>
      <c r="T527">
        <v>5</v>
      </c>
      <c r="U527">
        <v>1931773.57372</v>
      </c>
      <c r="V527">
        <v>8005.3952360000003</v>
      </c>
      <c r="W527">
        <v>526</v>
      </c>
      <c r="X527">
        <v>0</v>
      </c>
      <c r="Y527">
        <v>525</v>
      </c>
      <c r="Z527" t="s">
        <v>6966</v>
      </c>
      <c r="AA527" t="s">
        <v>6966</v>
      </c>
      <c r="AB527" t="s">
        <v>6966</v>
      </c>
      <c r="AC527" t="s">
        <v>6966</v>
      </c>
      <c r="AD527" t="s">
        <v>6966</v>
      </c>
      <c r="AE527" t="s">
        <v>6966</v>
      </c>
      <c r="AF527" t="s">
        <v>6966</v>
      </c>
      <c r="AG527" t="s">
        <v>6966</v>
      </c>
      <c r="AH527" t="s">
        <v>6966</v>
      </c>
      <c r="AI527" t="s">
        <v>6966</v>
      </c>
      <c r="AJ527" t="s">
        <v>6966</v>
      </c>
      <c r="AK527" t="s">
        <v>6966</v>
      </c>
      <c r="AL527" t="s">
        <v>6966</v>
      </c>
      <c r="AM527" t="s">
        <v>6966</v>
      </c>
      <c r="AN527" t="s">
        <v>6966</v>
      </c>
      <c r="AO527" t="s">
        <v>6966</v>
      </c>
      <c r="AP527" t="s">
        <v>6966</v>
      </c>
      <c r="AQ527" t="s">
        <v>6966</v>
      </c>
      <c r="AR527" t="s">
        <v>6966</v>
      </c>
      <c r="AS527" t="s">
        <v>6966</v>
      </c>
      <c r="AT527" t="s">
        <v>6966</v>
      </c>
      <c r="AU527" t="s">
        <v>6966</v>
      </c>
      <c r="AV527" t="s">
        <v>6966</v>
      </c>
      <c r="AW527" t="s">
        <v>6966</v>
      </c>
      <c r="AX527" t="s">
        <v>6966</v>
      </c>
      <c r="AY527" t="s">
        <v>6966</v>
      </c>
      <c r="AZ527">
        <v>8.0746999999999999E-2</v>
      </c>
      <c r="BA527">
        <v>1.8900000000000001E-4</v>
      </c>
    </row>
    <row r="528" spans="1:53" x14ac:dyDescent="0.25">
      <c r="A528">
        <v>526</v>
      </c>
      <c r="B528" t="s">
        <v>7625</v>
      </c>
      <c r="C528">
        <v>504070</v>
      </c>
      <c r="D528" t="s">
        <v>504</v>
      </c>
      <c r="E528" t="s">
        <v>7766</v>
      </c>
      <c r="F528">
        <v>3334681</v>
      </c>
      <c r="G528">
        <v>11127.109375</v>
      </c>
      <c r="H528">
        <v>476</v>
      </c>
      <c r="I528">
        <v>660</v>
      </c>
      <c r="J528">
        <v>26293</v>
      </c>
      <c r="K528" t="s">
        <v>504</v>
      </c>
      <c r="L528">
        <v>7</v>
      </c>
      <c r="M528">
        <v>7</v>
      </c>
      <c r="N528">
        <v>26293</v>
      </c>
      <c r="O528">
        <v>464</v>
      </c>
      <c r="P528" t="s">
        <v>3212</v>
      </c>
      <c r="Q528">
        <v>1.1000000000000001</v>
      </c>
      <c r="R528">
        <v>17.239999999999998</v>
      </c>
      <c r="S528">
        <v>0.34</v>
      </c>
      <c r="T528">
        <v>5</v>
      </c>
      <c r="U528">
        <v>3334680.9717199998</v>
      </c>
      <c r="V528">
        <v>11127.107276000001</v>
      </c>
      <c r="W528">
        <v>527</v>
      </c>
      <c r="X528">
        <v>0</v>
      </c>
      <c r="Y528">
        <v>526</v>
      </c>
      <c r="Z528" t="s">
        <v>6966</v>
      </c>
      <c r="AA528" t="s">
        <v>6966</v>
      </c>
      <c r="AB528" t="s">
        <v>6966</v>
      </c>
      <c r="AC528" t="s">
        <v>6966</v>
      </c>
      <c r="AD528" t="s">
        <v>6966</v>
      </c>
      <c r="AE528" t="s">
        <v>6966</v>
      </c>
      <c r="AF528" t="s">
        <v>6966</v>
      </c>
      <c r="AG528" t="s">
        <v>6966</v>
      </c>
      <c r="AH528" t="s">
        <v>6966</v>
      </c>
      <c r="AI528" t="s">
        <v>6966</v>
      </c>
      <c r="AJ528" t="s">
        <v>6966</v>
      </c>
      <c r="AK528" t="s">
        <v>6966</v>
      </c>
      <c r="AL528" t="s">
        <v>6966</v>
      </c>
      <c r="AM528" t="s">
        <v>6966</v>
      </c>
      <c r="AN528" t="s">
        <v>6966</v>
      </c>
      <c r="AO528" t="s">
        <v>6966</v>
      </c>
      <c r="AP528" t="s">
        <v>6966</v>
      </c>
      <c r="AQ528" t="s">
        <v>6966</v>
      </c>
      <c r="AR528" t="s">
        <v>6966</v>
      </c>
      <c r="AS528" t="s">
        <v>6966</v>
      </c>
      <c r="AT528" t="s">
        <v>6966</v>
      </c>
      <c r="AU528" t="s">
        <v>6966</v>
      </c>
      <c r="AV528" t="s">
        <v>6966</v>
      </c>
      <c r="AW528" t="s">
        <v>6966</v>
      </c>
      <c r="AX528" t="s">
        <v>6966</v>
      </c>
      <c r="AY528" t="s">
        <v>6966</v>
      </c>
      <c r="AZ528">
        <v>0.11118500000000001</v>
      </c>
      <c r="BA528">
        <v>3.2600000000000001E-4</v>
      </c>
    </row>
    <row r="529" spans="1:53" x14ac:dyDescent="0.25">
      <c r="A529">
        <v>527</v>
      </c>
      <c r="B529" t="s">
        <v>7625</v>
      </c>
      <c r="C529">
        <v>504031</v>
      </c>
      <c r="D529" t="s">
        <v>507</v>
      </c>
      <c r="E529" t="s">
        <v>7766</v>
      </c>
      <c r="F529">
        <v>1122930.5</v>
      </c>
      <c r="G529">
        <v>5878.8051759999998</v>
      </c>
      <c r="H529">
        <v>477</v>
      </c>
      <c r="I529">
        <v>661</v>
      </c>
      <c r="J529">
        <v>26296</v>
      </c>
      <c r="K529" t="s">
        <v>507</v>
      </c>
      <c r="L529">
        <v>7</v>
      </c>
      <c r="M529">
        <v>7</v>
      </c>
      <c r="N529">
        <v>26296</v>
      </c>
      <c r="O529">
        <v>465</v>
      </c>
      <c r="P529" t="s">
        <v>3212</v>
      </c>
      <c r="Q529">
        <v>1.6</v>
      </c>
      <c r="R529">
        <v>21.49</v>
      </c>
      <c r="S529">
        <v>0.33</v>
      </c>
      <c r="T529">
        <v>4</v>
      </c>
      <c r="U529">
        <v>1122930.5236899999</v>
      </c>
      <c r="V529">
        <v>5878.8049730000002</v>
      </c>
      <c r="W529">
        <v>528</v>
      </c>
      <c r="X529">
        <v>0</v>
      </c>
      <c r="Y529">
        <v>527</v>
      </c>
      <c r="Z529" t="s">
        <v>6966</v>
      </c>
      <c r="AA529" t="s">
        <v>6966</v>
      </c>
      <c r="AB529" t="s">
        <v>6966</v>
      </c>
      <c r="AC529" t="s">
        <v>6966</v>
      </c>
      <c r="AD529" t="s">
        <v>6966</v>
      </c>
      <c r="AE529" t="s">
        <v>6966</v>
      </c>
      <c r="AF529" t="s">
        <v>6966</v>
      </c>
      <c r="AG529" t="s">
        <v>6966</v>
      </c>
      <c r="AH529" t="s">
        <v>6966</v>
      </c>
      <c r="AI529" t="s">
        <v>6966</v>
      </c>
      <c r="AJ529" t="s">
        <v>6966</v>
      </c>
      <c r="AK529" t="s">
        <v>6966</v>
      </c>
      <c r="AL529" t="s">
        <v>6966</v>
      </c>
      <c r="AM529" t="s">
        <v>6966</v>
      </c>
      <c r="AN529" t="s">
        <v>6966</v>
      </c>
      <c r="AO529" t="s">
        <v>6966</v>
      </c>
      <c r="AP529" t="s">
        <v>6966</v>
      </c>
      <c r="AQ529" t="s">
        <v>6966</v>
      </c>
      <c r="AR529" t="s">
        <v>6966</v>
      </c>
      <c r="AS529" t="s">
        <v>6966</v>
      </c>
      <c r="AT529" t="s">
        <v>6966</v>
      </c>
      <c r="AU529" t="s">
        <v>6966</v>
      </c>
      <c r="AV529" t="s">
        <v>6966</v>
      </c>
      <c r="AW529" t="s">
        <v>6966</v>
      </c>
      <c r="AX529" t="s">
        <v>6966</v>
      </c>
      <c r="AY529" t="s">
        <v>6966</v>
      </c>
      <c r="AZ529">
        <v>5.9239E-2</v>
      </c>
      <c r="BA529">
        <v>1.1E-4</v>
      </c>
    </row>
    <row r="530" spans="1:53" x14ac:dyDescent="0.25">
      <c r="A530">
        <v>528</v>
      </c>
      <c r="B530" t="s">
        <v>7625</v>
      </c>
      <c r="C530">
        <v>701059</v>
      </c>
      <c r="D530" t="s">
        <v>720</v>
      </c>
      <c r="E530" t="s">
        <v>649</v>
      </c>
      <c r="F530">
        <v>3979197</v>
      </c>
      <c r="G530">
        <v>10153.541015999999</v>
      </c>
      <c r="H530">
        <v>478</v>
      </c>
      <c r="I530">
        <v>662</v>
      </c>
      <c r="J530">
        <v>34381</v>
      </c>
      <c r="K530" t="s">
        <v>2131</v>
      </c>
      <c r="L530">
        <v>11</v>
      </c>
      <c r="M530">
        <v>11</v>
      </c>
      <c r="N530">
        <v>34381</v>
      </c>
      <c r="O530">
        <v>466</v>
      </c>
      <c r="P530" t="s">
        <v>3215</v>
      </c>
      <c r="Q530">
        <v>1.7</v>
      </c>
      <c r="R530">
        <v>77.040000000000006</v>
      </c>
      <c r="S530">
        <v>0.35</v>
      </c>
      <c r="T530">
        <v>16</v>
      </c>
      <c r="U530">
        <v>3979197.1093899999</v>
      </c>
      <c r="V530">
        <v>10153.542119</v>
      </c>
      <c r="W530">
        <v>529</v>
      </c>
      <c r="X530">
        <v>0</v>
      </c>
      <c r="Y530">
        <v>528</v>
      </c>
      <c r="Z530" t="s">
        <v>6966</v>
      </c>
      <c r="AA530" t="s">
        <v>6966</v>
      </c>
      <c r="AB530" t="s">
        <v>6966</v>
      </c>
      <c r="AC530" t="s">
        <v>6966</v>
      </c>
      <c r="AD530" t="s">
        <v>6966</v>
      </c>
      <c r="AE530" t="s">
        <v>6966</v>
      </c>
      <c r="AF530" t="s">
        <v>6966</v>
      </c>
      <c r="AG530" t="s">
        <v>6966</v>
      </c>
      <c r="AH530" t="s">
        <v>6966</v>
      </c>
      <c r="AI530" t="s">
        <v>6966</v>
      </c>
      <c r="AJ530" t="s">
        <v>6966</v>
      </c>
      <c r="AK530" t="s">
        <v>6966</v>
      </c>
      <c r="AL530" t="s">
        <v>6966</v>
      </c>
      <c r="AM530" t="s">
        <v>6966</v>
      </c>
      <c r="AN530" t="s">
        <v>6966</v>
      </c>
      <c r="AO530" t="s">
        <v>6966</v>
      </c>
      <c r="AP530" t="s">
        <v>6966</v>
      </c>
      <c r="AQ530" t="s">
        <v>6966</v>
      </c>
      <c r="AR530" t="s">
        <v>6966</v>
      </c>
      <c r="AS530" t="s">
        <v>6966</v>
      </c>
      <c r="AT530" t="s">
        <v>6966</v>
      </c>
      <c r="AU530" t="s">
        <v>6966</v>
      </c>
      <c r="AV530" t="s">
        <v>6966</v>
      </c>
      <c r="AW530" t="s">
        <v>6966</v>
      </c>
      <c r="AX530" t="s">
        <v>6966</v>
      </c>
      <c r="AY530" t="s">
        <v>6966</v>
      </c>
      <c r="AZ530">
        <v>0.103199</v>
      </c>
      <c r="BA530">
        <v>3.8900000000000002E-4</v>
      </c>
    </row>
    <row r="531" spans="1:53" x14ac:dyDescent="0.25">
      <c r="A531">
        <v>529</v>
      </c>
      <c r="B531" t="s">
        <v>7625</v>
      </c>
      <c r="C531">
        <v>701026</v>
      </c>
      <c r="D531" t="s">
        <v>662</v>
      </c>
      <c r="E531" t="s">
        <v>649</v>
      </c>
      <c r="F531">
        <v>1746134.875</v>
      </c>
      <c r="G531">
        <v>7656.9555659999996</v>
      </c>
      <c r="H531">
        <v>479</v>
      </c>
      <c r="I531">
        <v>663</v>
      </c>
      <c r="J531">
        <v>34218</v>
      </c>
      <c r="K531" t="s">
        <v>2094</v>
      </c>
      <c r="L531">
        <v>11</v>
      </c>
      <c r="M531">
        <v>11</v>
      </c>
      <c r="N531">
        <v>34218</v>
      </c>
      <c r="O531">
        <v>467</v>
      </c>
      <c r="P531" t="s">
        <v>3215</v>
      </c>
      <c r="Q531">
        <v>0.8</v>
      </c>
      <c r="R531">
        <v>0</v>
      </c>
      <c r="S531">
        <v>0.25</v>
      </c>
      <c r="T531">
        <v>0</v>
      </c>
      <c r="U531">
        <v>1746134.9124199999</v>
      </c>
      <c r="V531">
        <v>7656.9563699999999</v>
      </c>
      <c r="W531">
        <v>530</v>
      </c>
      <c r="X531">
        <v>0</v>
      </c>
      <c r="Y531">
        <v>529</v>
      </c>
      <c r="Z531" t="s">
        <v>6966</v>
      </c>
      <c r="AA531" t="s">
        <v>6966</v>
      </c>
      <c r="AB531" t="s">
        <v>6966</v>
      </c>
      <c r="AC531" t="s">
        <v>6966</v>
      </c>
      <c r="AD531" t="s">
        <v>6966</v>
      </c>
      <c r="AE531" t="s">
        <v>6966</v>
      </c>
      <c r="AF531" t="s">
        <v>6966</v>
      </c>
      <c r="AG531" t="s">
        <v>6966</v>
      </c>
      <c r="AH531" t="s">
        <v>6966</v>
      </c>
      <c r="AI531" t="s">
        <v>6966</v>
      </c>
      <c r="AJ531" t="s">
        <v>6966</v>
      </c>
      <c r="AK531" t="s">
        <v>6966</v>
      </c>
      <c r="AL531" t="s">
        <v>6966</v>
      </c>
      <c r="AM531" t="s">
        <v>6966</v>
      </c>
      <c r="AN531" t="s">
        <v>6966</v>
      </c>
      <c r="AO531" t="s">
        <v>6966</v>
      </c>
      <c r="AP531" t="s">
        <v>6966</v>
      </c>
      <c r="AQ531" t="s">
        <v>6966</v>
      </c>
      <c r="AR531" t="s">
        <v>6966</v>
      </c>
      <c r="AS531" t="s">
        <v>6966</v>
      </c>
      <c r="AT531" t="s">
        <v>6966</v>
      </c>
      <c r="AU531" t="s">
        <v>6966</v>
      </c>
      <c r="AV531" t="s">
        <v>6966</v>
      </c>
      <c r="AW531" t="s">
        <v>6966</v>
      </c>
      <c r="AX531" t="s">
        <v>6966</v>
      </c>
      <c r="AY531" t="s">
        <v>6966</v>
      </c>
      <c r="AZ531">
        <v>7.8401999999999999E-2</v>
      </c>
      <c r="BA531">
        <v>1.7100000000000001E-4</v>
      </c>
    </row>
    <row r="532" spans="1:53" x14ac:dyDescent="0.25">
      <c r="A532">
        <v>530</v>
      </c>
      <c r="B532" t="s">
        <v>7625</v>
      </c>
      <c r="C532">
        <v>701052</v>
      </c>
      <c r="D532" t="s">
        <v>673</v>
      </c>
      <c r="E532" t="s">
        <v>649</v>
      </c>
      <c r="F532">
        <v>1702249</v>
      </c>
      <c r="G532">
        <v>6321.6616210000002</v>
      </c>
      <c r="H532">
        <v>480</v>
      </c>
      <c r="I532">
        <v>664</v>
      </c>
      <c r="J532">
        <v>34236</v>
      </c>
      <c r="K532" t="s">
        <v>2101</v>
      </c>
      <c r="L532">
        <v>11</v>
      </c>
      <c r="M532">
        <v>11</v>
      </c>
      <c r="N532">
        <v>34236</v>
      </c>
      <c r="O532">
        <v>468</v>
      </c>
      <c r="P532" t="s">
        <v>3215</v>
      </c>
      <c r="Q532">
        <v>1.9</v>
      </c>
      <c r="R532">
        <v>17.170000000000002</v>
      </c>
      <c r="S532">
        <v>0.76</v>
      </c>
      <c r="T532">
        <v>7</v>
      </c>
      <c r="U532">
        <v>1702249.0289799999</v>
      </c>
      <c r="V532">
        <v>6321.6621679999998</v>
      </c>
      <c r="W532">
        <v>531</v>
      </c>
      <c r="X532">
        <v>0</v>
      </c>
      <c r="Y532">
        <v>530</v>
      </c>
      <c r="Z532" t="s">
        <v>6966</v>
      </c>
      <c r="AA532" t="s">
        <v>6966</v>
      </c>
      <c r="AB532" t="s">
        <v>6966</v>
      </c>
      <c r="AC532" t="s">
        <v>6966</v>
      </c>
      <c r="AD532" t="s">
        <v>6966</v>
      </c>
      <c r="AE532" t="s">
        <v>6966</v>
      </c>
      <c r="AF532" t="s">
        <v>6966</v>
      </c>
      <c r="AG532" t="s">
        <v>6966</v>
      </c>
      <c r="AH532" t="s">
        <v>6966</v>
      </c>
      <c r="AI532" t="s">
        <v>6966</v>
      </c>
      <c r="AJ532" t="s">
        <v>6966</v>
      </c>
      <c r="AK532" t="s">
        <v>6966</v>
      </c>
      <c r="AL532" t="s">
        <v>6966</v>
      </c>
      <c r="AM532" t="s">
        <v>6966</v>
      </c>
      <c r="AN532" t="s">
        <v>6966</v>
      </c>
      <c r="AO532" t="s">
        <v>6966</v>
      </c>
      <c r="AP532" t="s">
        <v>6966</v>
      </c>
      <c r="AQ532" t="s">
        <v>6966</v>
      </c>
      <c r="AR532" t="s">
        <v>6966</v>
      </c>
      <c r="AS532" t="s">
        <v>6966</v>
      </c>
      <c r="AT532" t="s">
        <v>6966</v>
      </c>
      <c r="AU532" t="s">
        <v>6966</v>
      </c>
      <c r="AV532" t="s">
        <v>6966</v>
      </c>
      <c r="AW532" t="s">
        <v>6966</v>
      </c>
      <c r="AX532" t="s">
        <v>6966</v>
      </c>
      <c r="AY532" t="s">
        <v>6966</v>
      </c>
      <c r="AZ532">
        <v>6.4626000000000003E-2</v>
      </c>
      <c r="BA532">
        <v>1.66E-4</v>
      </c>
    </row>
    <row r="533" spans="1:53" x14ac:dyDescent="0.25">
      <c r="A533">
        <v>531</v>
      </c>
      <c r="B533" t="s">
        <v>7625</v>
      </c>
      <c r="C533">
        <v>701030</v>
      </c>
      <c r="D533" t="s">
        <v>713</v>
      </c>
      <c r="E533" t="s">
        <v>649</v>
      </c>
      <c r="F533">
        <v>2508591.25</v>
      </c>
      <c r="G533">
        <v>10408.306640999999</v>
      </c>
      <c r="H533">
        <v>481</v>
      </c>
      <c r="I533">
        <v>665</v>
      </c>
      <c r="J533">
        <v>34351</v>
      </c>
      <c r="K533" t="s">
        <v>2127</v>
      </c>
      <c r="L533">
        <v>11</v>
      </c>
      <c r="M533">
        <v>11</v>
      </c>
      <c r="N533">
        <v>34351</v>
      </c>
      <c r="O533">
        <v>469</v>
      </c>
      <c r="P533" t="s">
        <v>3215</v>
      </c>
      <c r="Q533">
        <v>1.5</v>
      </c>
      <c r="R533">
        <v>39.6</v>
      </c>
      <c r="S533">
        <v>0.41</v>
      </c>
      <c r="T533">
        <v>10</v>
      </c>
      <c r="U533">
        <v>2508591.2560200002</v>
      </c>
      <c r="V533">
        <v>10408.306063</v>
      </c>
      <c r="W533">
        <v>532</v>
      </c>
      <c r="X533">
        <v>0</v>
      </c>
      <c r="Y533">
        <v>531</v>
      </c>
      <c r="Z533" t="s">
        <v>6966</v>
      </c>
      <c r="AA533" t="s">
        <v>6966</v>
      </c>
      <c r="AB533" t="s">
        <v>6966</v>
      </c>
      <c r="AC533" t="s">
        <v>6966</v>
      </c>
      <c r="AD533" t="s">
        <v>6966</v>
      </c>
      <c r="AE533" t="s">
        <v>6966</v>
      </c>
      <c r="AF533" t="s">
        <v>6966</v>
      </c>
      <c r="AG533" t="s">
        <v>6966</v>
      </c>
      <c r="AH533" t="s">
        <v>6966</v>
      </c>
      <c r="AI533" t="s">
        <v>6966</v>
      </c>
      <c r="AJ533" t="s">
        <v>6966</v>
      </c>
      <c r="AK533" t="s">
        <v>6966</v>
      </c>
      <c r="AL533" t="s">
        <v>6966</v>
      </c>
      <c r="AM533" t="s">
        <v>6966</v>
      </c>
      <c r="AN533" t="s">
        <v>6966</v>
      </c>
      <c r="AO533" t="s">
        <v>6966</v>
      </c>
      <c r="AP533" t="s">
        <v>6966</v>
      </c>
      <c r="AQ533" t="s">
        <v>6966</v>
      </c>
      <c r="AR533" t="s">
        <v>6966</v>
      </c>
      <c r="AS533" t="s">
        <v>6966</v>
      </c>
      <c r="AT533" t="s">
        <v>6966</v>
      </c>
      <c r="AU533" t="s">
        <v>6966</v>
      </c>
      <c r="AV533" t="s">
        <v>6966</v>
      </c>
      <c r="AW533" t="s">
        <v>6966</v>
      </c>
      <c r="AX533" t="s">
        <v>6966</v>
      </c>
      <c r="AY533" t="s">
        <v>6966</v>
      </c>
      <c r="AZ533">
        <v>0.10510700000000001</v>
      </c>
      <c r="BA533">
        <v>2.4499999999999999E-4</v>
      </c>
    </row>
    <row r="534" spans="1:53" x14ac:dyDescent="0.25">
      <c r="A534">
        <v>532</v>
      </c>
      <c r="B534" t="s">
        <v>7625</v>
      </c>
      <c r="C534">
        <v>701015</v>
      </c>
      <c r="D534" t="s">
        <v>716</v>
      </c>
      <c r="E534" t="s">
        <v>649</v>
      </c>
      <c r="F534">
        <v>6392855</v>
      </c>
      <c r="G534">
        <v>15512.579102</v>
      </c>
      <c r="H534">
        <v>482</v>
      </c>
      <c r="I534">
        <v>666</v>
      </c>
      <c r="J534">
        <v>34366</v>
      </c>
      <c r="K534" t="s">
        <v>716</v>
      </c>
      <c r="L534">
        <v>11</v>
      </c>
      <c r="M534">
        <v>11</v>
      </c>
      <c r="N534">
        <v>34366</v>
      </c>
      <c r="O534">
        <v>470</v>
      </c>
      <c r="P534" t="s">
        <v>3215</v>
      </c>
      <c r="Q534">
        <v>0</v>
      </c>
      <c r="R534">
        <v>13.95</v>
      </c>
      <c r="S534">
        <v>0.2</v>
      </c>
      <c r="T534">
        <v>120</v>
      </c>
      <c r="U534">
        <v>6392855.2030400001</v>
      </c>
      <c r="V534">
        <v>15512.578538</v>
      </c>
      <c r="W534">
        <v>533</v>
      </c>
      <c r="X534">
        <v>0</v>
      </c>
      <c r="Y534">
        <v>532</v>
      </c>
      <c r="Z534" t="s">
        <v>6966</v>
      </c>
      <c r="AA534" t="s">
        <v>6966</v>
      </c>
      <c r="AB534" t="s">
        <v>6966</v>
      </c>
      <c r="AC534" t="s">
        <v>6966</v>
      </c>
      <c r="AD534" t="s">
        <v>6966</v>
      </c>
      <c r="AE534" t="s">
        <v>6966</v>
      </c>
      <c r="AF534" t="s">
        <v>6966</v>
      </c>
      <c r="AG534" t="s">
        <v>6966</v>
      </c>
      <c r="AH534" t="s">
        <v>6966</v>
      </c>
      <c r="AI534" t="s">
        <v>6966</v>
      </c>
      <c r="AJ534" t="s">
        <v>6966</v>
      </c>
      <c r="AK534" t="s">
        <v>6966</v>
      </c>
      <c r="AL534" t="s">
        <v>6966</v>
      </c>
      <c r="AM534" t="s">
        <v>6966</v>
      </c>
      <c r="AN534" t="s">
        <v>6966</v>
      </c>
      <c r="AO534" t="s">
        <v>6966</v>
      </c>
      <c r="AP534" t="s">
        <v>6966</v>
      </c>
      <c r="AQ534" t="s">
        <v>6966</v>
      </c>
      <c r="AR534" t="s">
        <v>6966</v>
      </c>
      <c r="AS534" t="s">
        <v>6966</v>
      </c>
      <c r="AT534" t="s">
        <v>6966</v>
      </c>
      <c r="AU534" t="s">
        <v>6966</v>
      </c>
      <c r="AV534" t="s">
        <v>6966</v>
      </c>
      <c r="AW534" t="s">
        <v>6966</v>
      </c>
      <c r="AX534" t="s">
        <v>6966</v>
      </c>
      <c r="AY534" t="s">
        <v>6966</v>
      </c>
      <c r="AZ534">
        <v>0.15184800000000001</v>
      </c>
      <c r="BA534">
        <v>6.2500000000000001E-4</v>
      </c>
    </row>
    <row r="535" spans="1:53" x14ac:dyDescent="0.25">
      <c r="A535">
        <v>533</v>
      </c>
      <c r="B535" t="s">
        <v>7625</v>
      </c>
      <c r="C535">
        <v>504074</v>
      </c>
      <c r="D535" t="s">
        <v>483</v>
      </c>
      <c r="E535" t="s">
        <v>7766</v>
      </c>
      <c r="F535">
        <v>5880354</v>
      </c>
      <c r="G535">
        <v>15377.692383</v>
      </c>
      <c r="H535">
        <v>483</v>
      </c>
      <c r="I535">
        <v>667</v>
      </c>
      <c r="J535">
        <v>26257</v>
      </c>
      <c r="K535" t="s">
        <v>7769</v>
      </c>
      <c r="L535">
        <v>7</v>
      </c>
      <c r="M535">
        <v>7</v>
      </c>
      <c r="N535">
        <v>26257</v>
      </c>
      <c r="O535">
        <v>471</v>
      </c>
      <c r="P535" t="s">
        <v>3212</v>
      </c>
      <c r="Q535">
        <v>0.7</v>
      </c>
      <c r="R535">
        <v>12</v>
      </c>
      <c r="S535">
        <v>0.24</v>
      </c>
      <c r="T535">
        <v>4</v>
      </c>
      <c r="U535">
        <v>5880353.90558</v>
      </c>
      <c r="V535">
        <v>15377.691629000001</v>
      </c>
      <c r="W535">
        <v>534</v>
      </c>
      <c r="X535">
        <v>0</v>
      </c>
      <c r="Y535">
        <v>533</v>
      </c>
      <c r="Z535" t="s">
        <v>6966</v>
      </c>
      <c r="AA535" t="s">
        <v>6966</v>
      </c>
      <c r="AB535" t="s">
        <v>6966</v>
      </c>
      <c r="AC535" t="s">
        <v>6966</v>
      </c>
      <c r="AD535" t="s">
        <v>6966</v>
      </c>
      <c r="AE535" t="s">
        <v>6966</v>
      </c>
      <c r="AF535" t="s">
        <v>6966</v>
      </c>
      <c r="AG535" t="s">
        <v>6966</v>
      </c>
      <c r="AH535" t="s">
        <v>6966</v>
      </c>
      <c r="AI535" t="s">
        <v>6966</v>
      </c>
      <c r="AJ535" t="s">
        <v>6966</v>
      </c>
      <c r="AK535" t="s">
        <v>6966</v>
      </c>
      <c r="AL535" t="s">
        <v>6966</v>
      </c>
      <c r="AM535" t="s">
        <v>6966</v>
      </c>
      <c r="AN535" t="s">
        <v>6966</v>
      </c>
      <c r="AO535" t="s">
        <v>6966</v>
      </c>
      <c r="AP535" t="s">
        <v>6966</v>
      </c>
      <c r="AQ535" t="s">
        <v>6966</v>
      </c>
      <c r="AR535" t="s">
        <v>6966</v>
      </c>
      <c r="AS535" t="s">
        <v>6966</v>
      </c>
      <c r="AT535" t="s">
        <v>6966</v>
      </c>
      <c r="AU535" t="s">
        <v>6966</v>
      </c>
      <c r="AV535" t="s">
        <v>6966</v>
      </c>
      <c r="AW535" t="s">
        <v>6966</v>
      </c>
      <c r="AX535" t="s">
        <v>6966</v>
      </c>
      <c r="AY535" t="s">
        <v>6966</v>
      </c>
      <c r="AZ535">
        <v>0.155755</v>
      </c>
      <c r="BA535">
        <v>5.7499999999999999E-4</v>
      </c>
    </row>
    <row r="536" spans="1:53" x14ac:dyDescent="0.25">
      <c r="A536">
        <v>534</v>
      </c>
      <c r="B536" t="s">
        <v>7625</v>
      </c>
      <c r="C536">
        <v>504005</v>
      </c>
      <c r="D536" t="s">
        <v>502</v>
      </c>
      <c r="E536" t="s">
        <v>7766</v>
      </c>
      <c r="F536">
        <v>2145396.5</v>
      </c>
      <c r="G536">
        <v>9349.4580079999996</v>
      </c>
      <c r="H536">
        <v>484</v>
      </c>
      <c r="I536">
        <v>668</v>
      </c>
      <c r="J536">
        <v>26289</v>
      </c>
      <c r="K536" t="s">
        <v>7770</v>
      </c>
      <c r="L536">
        <v>7</v>
      </c>
      <c r="M536">
        <v>7</v>
      </c>
      <c r="N536">
        <v>26289</v>
      </c>
      <c r="O536">
        <v>472</v>
      </c>
      <c r="P536" t="s">
        <v>3212</v>
      </c>
      <c r="Q536">
        <v>0.6</v>
      </c>
      <c r="R536">
        <v>17.09</v>
      </c>
      <c r="S536">
        <v>0.26</v>
      </c>
      <c r="T536">
        <v>8</v>
      </c>
      <c r="U536">
        <v>2145396.52459</v>
      </c>
      <c r="V536">
        <v>9349.4579979999999</v>
      </c>
      <c r="W536">
        <v>535</v>
      </c>
      <c r="X536">
        <v>0</v>
      </c>
      <c r="Y536">
        <v>534</v>
      </c>
      <c r="Z536" t="s">
        <v>6966</v>
      </c>
      <c r="AA536" t="s">
        <v>6966</v>
      </c>
      <c r="AB536" t="s">
        <v>6966</v>
      </c>
      <c r="AC536" t="s">
        <v>6966</v>
      </c>
      <c r="AD536" t="s">
        <v>6966</v>
      </c>
      <c r="AE536" t="s">
        <v>6966</v>
      </c>
      <c r="AF536" t="s">
        <v>6966</v>
      </c>
      <c r="AG536" t="s">
        <v>6966</v>
      </c>
      <c r="AH536" t="s">
        <v>6966</v>
      </c>
      <c r="AI536" t="s">
        <v>6966</v>
      </c>
      <c r="AJ536" t="s">
        <v>6966</v>
      </c>
      <c r="AK536" t="s">
        <v>6966</v>
      </c>
      <c r="AL536" t="s">
        <v>6966</v>
      </c>
      <c r="AM536" t="s">
        <v>6966</v>
      </c>
      <c r="AN536" t="s">
        <v>6966</v>
      </c>
      <c r="AO536" t="s">
        <v>6966</v>
      </c>
      <c r="AP536" t="s">
        <v>6966</v>
      </c>
      <c r="AQ536" t="s">
        <v>6966</v>
      </c>
      <c r="AR536" t="s">
        <v>6966</v>
      </c>
      <c r="AS536" t="s">
        <v>6966</v>
      </c>
      <c r="AT536" t="s">
        <v>6966</v>
      </c>
      <c r="AU536" t="s">
        <v>6966</v>
      </c>
      <c r="AV536" t="s">
        <v>6966</v>
      </c>
      <c r="AW536" t="s">
        <v>6966</v>
      </c>
      <c r="AX536" t="s">
        <v>6966</v>
      </c>
      <c r="AY536" t="s">
        <v>6966</v>
      </c>
      <c r="AZ536">
        <v>9.4552999999999998E-2</v>
      </c>
      <c r="BA536">
        <v>2.1000000000000001E-4</v>
      </c>
    </row>
    <row r="537" spans="1:53" x14ac:dyDescent="0.25">
      <c r="A537">
        <v>535</v>
      </c>
      <c r="B537" t="s">
        <v>7625</v>
      </c>
      <c r="C537">
        <v>504020</v>
      </c>
      <c r="D537" t="s">
        <v>508</v>
      </c>
      <c r="E537" t="s">
        <v>7766</v>
      </c>
      <c r="F537">
        <v>1673118.125</v>
      </c>
      <c r="G537">
        <v>7858.828125</v>
      </c>
      <c r="H537">
        <v>485</v>
      </c>
      <c r="I537">
        <v>669</v>
      </c>
      <c r="J537">
        <v>26297</v>
      </c>
      <c r="K537" t="s">
        <v>1971</v>
      </c>
      <c r="L537">
        <v>7</v>
      </c>
      <c r="M537">
        <v>7</v>
      </c>
      <c r="N537">
        <v>26297</v>
      </c>
      <c r="O537">
        <v>473</v>
      </c>
      <c r="P537" t="s">
        <v>3212</v>
      </c>
      <c r="Q537">
        <v>0.4</v>
      </c>
      <c r="R537">
        <v>7.18</v>
      </c>
      <c r="S537">
        <v>0.16</v>
      </c>
      <c r="T537">
        <v>3</v>
      </c>
      <c r="U537">
        <v>1673118.10751</v>
      </c>
      <c r="V537">
        <v>7858.828031</v>
      </c>
      <c r="W537">
        <v>536</v>
      </c>
      <c r="X537">
        <v>0</v>
      </c>
      <c r="Y537">
        <v>535</v>
      </c>
      <c r="Z537" t="s">
        <v>6966</v>
      </c>
      <c r="AA537" t="s">
        <v>6966</v>
      </c>
      <c r="AB537" t="s">
        <v>6966</v>
      </c>
      <c r="AC537" t="s">
        <v>6966</v>
      </c>
      <c r="AD537" t="s">
        <v>6966</v>
      </c>
      <c r="AE537" t="s">
        <v>6966</v>
      </c>
      <c r="AF537" t="s">
        <v>6966</v>
      </c>
      <c r="AG537" t="s">
        <v>6966</v>
      </c>
      <c r="AH537" t="s">
        <v>6966</v>
      </c>
      <c r="AI537" t="s">
        <v>6966</v>
      </c>
      <c r="AJ537" t="s">
        <v>6966</v>
      </c>
      <c r="AK537" t="s">
        <v>6966</v>
      </c>
      <c r="AL537" t="s">
        <v>6966</v>
      </c>
      <c r="AM537" t="s">
        <v>6966</v>
      </c>
      <c r="AN537" t="s">
        <v>6966</v>
      </c>
      <c r="AO537" t="s">
        <v>6966</v>
      </c>
      <c r="AP537" t="s">
        <v>6966</v>
      </c>
      <c r="AQ537" t="s">
        <v>6966</v>
      </c>
      <c r="AR537" t="s">
        <v>6966</v>
      </c>
      <c r="AS537" t="s">
        <v>6966</v>
      </c>
      <c r="AT537" t="s">
        <v>6966</v>
      </c>
      <c r="AU537" t="s">
        <v>6966</v>
      </c>
      <c r="AV537" t="s">
        <v>6966</v>
      </c>
      <c r="AW537" t="s">
        <v>6966</v>
      </c>
      <c r="AX537" t="s">
        <v>6966</v>
      </c>
      <c r="AY537" t="s">
        <v>6966</v>
      </c>
      <c r="AZ537">
        <v>8.0564999999999998E-2</v>
      </c>
      <c r="BA537">
        <v>1.64E-4</v>
      </c>
    </row>
    <row r="538" spans="1:53" x14ac:dyDescent="0.25">
      <c r="A538">
        <v>536</v>
      </c>
      <c r="B538" t="s">
        <v>7625</v>
      </c>
      <c r="C538">
        <v>504019</v>
      </c>
      <c r="D538" t="s">
        <v>7771</v>
      </c>
      <c r="E538" t="s">
        <v>7766</v>
      </c>
      <c r="F538">
        <v>5023134</v>
      </c>
      <c r="G538">
        <v>12204.120117</v>
      </c>
      <c r="H538">
        <v>486</v>
      </c>
      <c r="I538">
        <v>670</v>
      </c>
      <c r="J538">
        <v>26276</v>
      </c>
      <c r="K538" t="s">
        <v>7771</v>
      </c>
      <c r="L538">
        <v>7</v>
      </c>
      <c r="M538">
        <v>7</v>
      </c>
      <c r="N538">
        <v>26276</v>
      </c>
      <c r="O538">
        <v>474</v>
      </c>
      <c r="P538" t="s">
        <v>3212</v>
      </c>
      <c r="Q538">
        <v>1.1000000000000001</v>
      </c>
      <c r="R538">
        <v>12.66</v>
      </c>
      <c r="S538">
        <v>0.43</v>
      </c>
      <c r="T538">
        <v>5</v>
      </c>
      <c r="U538">
        <v>5023133.7095699999</v>
      </c>
      <c r="V538">
        <v>12204.119721999999</v>
      </c>
      <c r="W538">
        <v>537</v>
      </c>
      <c r="X538">
        <v>0</v>
      </c>
      <c r="Y538">
        <v>536</v>
      </c>
      <c r="Z538" t="s">
        <v>6966</v>
      </c>
      <c r="AA538" t="s">
        <v>6966</v>
      </c>
      <c r="AB538" t="s">
        <v>6966</v>
      </c>
      <c r="AC538" t="s">
        <v>6966</v>
      </c>
      <c r="AD538" t="s">
        <v>6966</v>
      </c>
      <c r="AE538" t="s">
        <v>6966</v>
      </c>
      <c r="AF538" t="s">
        <v>6966</v>
      </c>
      <c r="AG538" t="s">
        <v>6966</v>
      </c>
      <c r="AH538" t="s">
        <v>6966</v>
      </c>
      <c r="AI538" t="s">
        <v>6966</v>
      </c>
      <c r="AJ538" t="s">
        <v>6966</v>
      </c>
      <c r="AK538" t="s">
        <v>6966</v>
      </c>
      <c r="AL538" t="s">
        <v>6966</v>
      </c>
      <c r="AM538" t="s">
        <v>6966</v>
      </c>
      <c r="AN538" t="s">
        <v>6966</v>
      </c>
      <c r="AO538" t="s">
        <v>6966</v>
      </c>
      <c r="AP538" t="s">
        <v>6966</v>
      </c>
      <c r="AQ538" t="s">
        <v>6966</v>
      </c>
      <c r="AR538" t="s">
        <v>6966</v>
      </c>
      <c r="AS538" t="s">
        <v>6966</v>
      </c>
      <c r="AT538" t="s">
        <v>6966</v>
      </c>
      <c r="AU538" t="s">
        <v>6966</v>
      </c>
      <c r="AV538" t="s">
        <v>6966</v>
      </c>
      <c r="AW538" t="s">
        <v>6966</v>
      </c>
      <c r="AX538" t="s">
        <v>6966</v>
      </c>
      <c r="AY538" t="s">
        <v>6966</v>
      </c>
      <c r="AZ538">
        <v>0.12411899999999999</v>
      </c>
      <c r="BA538">
        <v>4.9100000000000001E-4</v>
      </c>
    </row>
    <row r="539" spans="1:53" x14ac:dyDescent="0.25">
      <c r="A539">
        <v>537</v>
      </c>
      <c r="B539" t="s">
        <v>7625</v>
      </c>
      <c r="C539">
        <v>701019</v>
      </c>
      <c r="D539" t="s">
        <v>657</v>
      </c>
      <c r="E539" t="s">
        <v>649</v>
      </c>
      <c r="F539">
        <v>780720.5625</v>
      </c>
      <c r="G539">
        <v>4927.2075199999999</v>
      </c>
      <c r="H539">
        <v>487</v>
      </c>
      <c r="I539">
        <v>671</v>
      </c>
      <c r="J539">
        <v>34211</v>
      </c>
      <c r="K539" t="s">
        <v>7772</v>
      </c>
      <c r="L539">
        <v>11</v>
      </c>
      <c r="M539">
        <v>11</v>
      </c>
      <c r="N539">
        <v>34211</v>
      </c>
      <c r="O539">
        <v>475</v>
      </c>
      <c r="P539" t="s">
        <v>3215</v>
      </c>
      <c r="Q539">
        <v>1</v>
      </c>
      <c r="R539">
        <v>7.79</v>
      </c>
      <c r="S539">
        <v>0.28000000000000003</v>
      </c>
      <c r="T539">
        <v>2</v>
      </c>
      <c r="U539">
        <v>780720.50896000001</v>
      </c>
      <c r="V539">
        <v>4927.2073019999998</v>
      </c>
      <c r="W539">
        <v>538</v>
      </c>
      <c r="X539">
        <v>0</v>
      </c>
      <c r="Y539">
        <v>537</v>
      </c>
      <c r="Z539" t="s">
        <v>6966</v>
      </c>
      <c r="AA539" t="s">
        <v>6966</v>
      </c>
      <c r="AB539" t="s">
        <v>6966</v>
      </c>
      <c r="AC539" t="s">
        <v>6966</v>
      </c>
      <c r="AD539" t="s">
        <v>6966</v>
      </c>
      <c r="AE539" t="s">
        <v>6966</v>
      </c>
      <c r="AF539" t="s">
        <v>6966</v>
      </c>
      <c r="AG539" t="s">
        <v>6966</v>
      </c>
      <c r="AH539" t="s">
        <v>6966</v>
      </c>
      <c r="AI539" t="s">
        <v>6966</v>
      </c>
      <c r="AJ539" t="s">
        <v>6966</v>
      </c>
      <c r="AK539" t="s">
        <v>6966</v>
      </c>
      <c r="AL539" t="s">
        <v>6966</v>
      </c>
      <c r="AM539" t="s">
        <v>6966</v>
      </c>
      <c r="AN539" t="s">
        <v>6966</v>
      </c>
      <c r="AO539" t="s">
        <v>6966</v>
      </c>
      <c r="AP539" t="s">
        <v>6966</v>
      </c>
      <c r="AQ539" t="s">
        <v>6966</v>
      </c>
      <c r="AR539" t="s">
        <v>6966</v>
      </c>
      <c r="AS539" t="s">
        <v>6966</v>
      </c>
      <c r="AT539" t="s">
        <v>6966</v>
      </c>
      <c r="AU539" t="s">
        <v>6966</v>
      </c>
      <c r="AV539" t="s">
        <v>6966</v>
      </c>
      <c r="AW539" t="s">
        <v>6966</v>
      </c>
      <c r="AX539" t="s">
        <v>6966</v>
      </c>
      <c r="AY539" t="s">
        <v>6966</v>
      </c>
      <c r="AZ539">
        <v>5.0291000000000002E-2</v>
      </c>
      <c r="BA539">
        <v>7.6000000000000004E-5</v>
      </c>
    </row>
    <row r="540" spans="1:53" x14ac:dyDescent="0.25">
      <c r="A540">
        <v>538</v>
      </c>
      <c r="B540" t="s">
        <v>7625</v>
      </c>
      <c r="C540">
        <v>504096</v>
      </c>
      <c r="D540" t="s">
        <v>533</v>
      </c>
      <c r="E540" t="s">
        <v>7766</v>
      </c>
      <c r="F540">
        <v>0</v>
      </c>
      <c r="G540">
        <v>17810.134765999999</v>
      </c>
      <c r="H540">
        <v>488</v>
      </c>
      <c r="I540">
        <v>672</v>
      </c>
      <c r="J540">
        <v>26384</v>
      </c>
      <c r="K540" t="s">
        <v>1993</v>
      </c>
      <c r="L540">
        <v>7</v>
      </c>
      <c r="M540">
        <v>7</v>
      </c>
      <c r="N540">
        <v>26384</v>
      </c>
      <c r="O540">
        <v>476</v>
      </c>
      <c r="P540" t="s">
        <v>3212</v>
      </c>
      <c r="Q540">
        <v>0.9</v>
      </c>
      <c r="R540">
        <v>36.47</v>
      </c>
      <c r="S540">
        <v>0.3</v>
      </c>
      <c r="T540">
        <v>13</v>
      </c>
      <c r="U540">
        <v>0</v>
      </c>
      <c r="V540">
        <v>17810.135037</v>
      </c>
      <c r="W540">
        <v>539</v>
      </c>
      <c r="X540">
        <v>0</v>
      </c>
      <c r="Y540">
        <v>538</v>
      </c>
      <c r="Z540" t="s">
        <v>6966</v>
      </c>
      <c r="AA540" t="s">
        <v>6966</v>
      </c>
      <c r="AB540" t="s">
        <v>6966</v>
      </c>
      <c r="AC540" t="s">
        <v>6966</v>
      </c>
      <c r="AD540" t="s">
        <v>6966</v>
      </c>
      <c r="AE540" t="s">
        <v>6966</v>
      </c>
      <c r="AF540" t="s">
        <v>6966</v>
      </c>
      <c r="AG540" t="s">
        <v>6966</v>
      </c>
      <c r="AH540" t="s">
        <v>6966</v>
      </c>
      <c r="AI540" t="s">
        <v>6966</v>
      </c>
      <c r="AJ540" t="s">
        <v>6966</v>
      </c>
      <c r="AK540" t="s">
        <v>6966</v>
      </c>
      <c r="AL540" t="s">
        <v>6966</v>
      </c>
      <c r="AM540" t="s">
        <v>6966</v>
      </c>
      <c r="AN540" t="s">
        <v>6966</v>
      </c>
      <c r="AO540" t="s">
        <v>6966</v>
      </c>
      <c r="AP540" t="s">
        <v>6966</v>
      </c>
      <c r="AQ540" t="s">
        <v>6966</v>
      </c>
      <c r="AR540" t="s">
        <v>6966</v>
      </c>
      <c r="AS540" t="s">
        <v>6966</v>
      </c>
      <c r="AT540" t="s">
        <v>6966</v>
      </c>
      <c r="AU540" t="s">
        <v>6966</v>
      </c>
      <c r="AV540" t="s">
        <v>6966</v>
      </c>
      <c r="AW540" t="s">
        <v>6966</v>
      </c>
      <c r="AX540" t="s">
        <v>6966</v>
      </c>
      <c r="AY540" t="s">
        <v>6966</v>
      </c>
      <c r="AZ540">
        <v>0.17943999999999999</v>
      </c>
      <c r="BA540">
        <v>1.103E-3</v>
      </c>
    </row>
    <row r="541" spans="1:53" x14ac:dyDescent="0.25">
      <c r="A541">
        <v>539</v>
      </c>
      <c r="B541" t="s">
        <v>7625</v>
      </c>
      <c r="C541">
        <v>701050</v>
      </c>
      <c r="D541" t="s">
        <v>667</v>
      </c>
      <c r="E541" t="s">
        <v>649</v>
      </c>
      <c r="F541">
        <v>953212.0625</v>
      </c>
      <c r="G541">
        <v>5236.4223629999997</v>
      </c>
      <c r="H541">
        <v>489</v>
      </c>
      <c r="I541">
        <v>673</v>
      </c>
      <c r="J541">
        <v>34226</v>
      </c>
      <c r="K541" t="s">
        <v>667</v>
      </c>
      <c r="L541">
        <v>11</v>
      </c>
      <c r="M541">
        <v>11</v>
      </c>
      <c r="N541">
        <v>34226</v>
      </c>
      <c r="O541">
        <v>477</v>
      </c>
      <c r="P541" t="s">
        <v>3215</v>
      </c>
      <c r="Q541">
        <v>1</v>
      </c>
      <c r="R541">
        <v>16.02</v>
      </c>
      <c r="S541">
        <v>0.27</v>
      </c>
      <c r="T541">
        <v>4</v>
      </c>
      <c r="U541">
        <v>953212.09062000003</v>
      </c>
      <c r="V541">
        <v>5236.4230189999998</v>
      </c>
      <c r="W541">
        <v>540</v>
      </c>
      <c r="X541">
        <v>0</v>
      </c>
      <c r="Y541">
        <v>539</v>
      </c>
      <c r="Z541" t="s">
        <v>6966</v>
      </c>
      <c r="AA541" t="s">
        <v>6966</v>
      </c>
      <c r="AB541" t="s">
        <v>6966</v>
      </c>
      <c r="AC541" t="s">
        <v>6966</v>
      </c>
      <c r="AD541" t="s">
        <v>6966</v>
      </c>
      <c r="AE541" t="s">
        <v>6966</v>
      </c>
      <c r="AF541" t="s">
        <v>6966</v>
      </c>
      <c r="AG541" t="s">
        <v>6966</v>
      </c>
      <c r="AH541" t="s">
        <v>6966</v>
      </c>
      <c r="AI541" t="s">
        <v>6966</v>
      </c>
      <c r="AJ541" t="s">
        <v>6966</v>
      </c>
      <c r="AK541" t="s">
        <v>6966</v>
      </c>
      <c r="AL541" t="s">
        <v>6966</v>
      </c>
      <c r="AM541" t="s">
        <v>6966</v>
      </c>
      <c r="AN541" t="s">
        <v>6966</v>
      </c>
      <c r="AO541" t="s">
        <v>6966</v>
      </c>
      <c r="AP541" t="s">
        <v>6966</v>
      </c>
      <c r="AQ541" t="s">
        <v>6966</v>
      </c>
      <c r="AR541" t="s">
        <v>6966</v>
      </c>
      <c r="AS541" t="s">
        <v>6966</v>
      </c>
      <c r="AT541" t="s">
        <v>6966</v>
      </c>
      <c r="AU541" t="s">
        <v>6966</v>
      </c>
      <c r="AV541" t="s">
        <v>6966</v>
      </c>
      <c r="AW541" t="s">
        <v>6966</v>
      </c>
      <c r="AX541" t="s">
        <v>6966</v>
      </c>
      <c r="AY541" t="s">
        <v>6966</v>
      </c>
      <c r="AZ541">
        <v>5.2184000000000001E-2</v>
      </c>
      <c r="BA541">
        <v>9.2999999999999997E-5</v>
      </c>
    </row>
    <row r="542" spans="1:53" x14ac:dyDescent="0.25">
      <c r="A542">
        <v>540</v>
      </c>
      <c r="B542" t="s">
        <v>7625</v>
      </c>
      <c r="C542">
        <v>701051</v>
      </c>
      <c r="D542" t="s">
        <v>659</v>
      </c>
      <c r="E542" t="s">
        <v>649</v>
      </c>
      <c r="F542">
        <v>1479316.875</v>
      </c>
      <c r="G542">
        <v>5888.0678710000002</v>
      </c>
      <c r="H542">
        <v>490</v>
      </c>
      <c r="I542">
        <v>674</v>
      </c>
      <c r="J542">
        <v>34214</v>
      </c>
      <c r="K542" t="s">
        <v>2091</v>
      </c>
      <c r="L542">
        <v>11</v>
      </c>
      <c r="M542">
        <v>11</v>
      </c>
      <c r="N542">
        <v>34214</v>
      </c>
      <c r="O542">
        <v>478</v>
      </c>
      <c r="P542" t="s">
        <v>3215</v>
      </c>
      <c r="Q542">
        <v>0.5</v>
      </c>
      <c r="R542">
        <v>7.75</v>
      </c>
      <c r="S542">
        <v>0.15</v>
      </c>
      <c r="T542">
        <v>2</v>
      </c>
      <c r="U542">
        <v>1479316.8986800001</v>
      </c>
      <c r="V542">
        <v>5888.0673150000002</v>
      </c>
      <c r="W542">
        <v>541</v>
      </c>
      <c r="X542">
        <v>0</v>
      </c>
      <c r="Y542">
        <v>540</v>
      </c>
      <c r="Z542" t="s">
        <v>6966</v>
      </c>
      <c r="AA542" t="s">
        <v>6966</v>
      </c>
      <c r="AB542" t="s">
        <v>6966</v>
      </c>
      <c r="AC542" t="s">
        <v>6966</v>
      </c>
      <c r="AD542" t="s">
        <v>6966</v>
      </c>
      <c r="AE542" t="s">
        <v>6966</v>
      </c>
      <c r="AF542" t="s">
        <v>6966</v>
      </c>
      <c r="AG542" t="s">
        <v>6966</v>
      </c>
      <c r="AH542" t="s">
        <v>6966</v>
      </c>
      <c r="AI542" t="s">
        <v>6966</v>
      </c>
      <c r="AJ542" t="s">
        <v>6966</v>
      </c>
      <c r="AK542" t="s">
        <v>6966</v>
      </c>
      <c r="AL542" t="s">
        <v>6966</v>
      </c>
      <c r="AM542" t="s">
        <v>6966</v>
      </c>
      <c r="AN542" t="s">
        <v>6966</v>
      </c>
      <c r="AO542" t="s">
        <v>6966</v>
      </c>
      <c r="AP542" t="s">
        <v>6966</v>
      </c>
      <c r="AQ542" t="s">
        <v>6966</v>
      </c>
      <c r="AR542" t="s">
        <v>6966</v>
      </c>
      <c r="AS542" t="s">
        <v>6966</v>
      </c>
      <c r="AT542" t="s">
        <v>6966</v>
      </c>
      <c r="AU542" t="s">
        <v>6966</v>
      </c>
      <c r="AV542" t="s">
        <v>6966</v>
      </c>
      <c r="AW542" t="s">
        <v>6966</v>
      </c>
      <c r="AX542" t="s">
        <v>6966</v>
      </c>
      <c r="AY542" t="s">
        <v>6966</v>
      </c>
      <c r="AZ542">
        <v>5.9531000000000001E-2</v>
      </c>
      <c r="BA542">
        <v>1.45E-4</v>
      </c>
    </row>
    <row r="543" spans="1:53" x14ac:dyDescent="0.25">
      <c r="A543">
        <v>541</v>
      </c>
      <c r="B543" t="s">
        <v>7625</v>
      </c>
      <c r="C543">
        <v>504080</v>
      </c>
      <c r="D543" t="s">
        <v>449</v>
      </c>
      <c r="E543" t="s">
        <v>7766</v>
      </c>
      <c r="F543">
        <v>3406863</v>
      </c>
      <c r="G543">
        <v>9568.7021480000003</v>
      </c>
      <c r="H543">
        <v>491</v>
      </c>
      <c r="I543">
        <v>675</v>
      </c>
      <c r="J543">
        <v>26177</v>
      </c>
      <c r="K543" t="s">
        <v>1922</v>
      </c>
      <c r="L543">
        <v>7</v>
      </c>
      <c r="M543">
        <v>7</v>
      </c>
      <c r="N543">
        <v>26177</v>
      </c>
      <c r="O543">
        <v>479</v>
      </c>
      <c r="P543" t="s">
        <v>3212</v>
      </c>
      <c r="Q543">
        <v>3.9</v>
      </c>
      <c r="R543">
        <v>43.47</v>
      </c>
      <c r="S543">
        <v>0.95</v>
      </c>
      <c r="T543">
        <v>11</v>
      </c>
      <c r="U543">
        <v>3406862.8974199998</v>
      </c>
      <c r="V543">
        <v>9568.7031009999992</v>
      </c>
      <c r="W543">
        <v>542</v>
      </c>
      <c r="X543">
        <v>0</v>
      </c>
      <c r="Y543">
        <v>541</v>
      </c>
      <c r="Z543" t="s">
        <v>6966</v>
      </c>
      <c r="AA543" t="s">
        <v>6966</v>
      </c>
      <c r="AB543" t="s">
        <v>6966</v>
      </c>
      <c r="AC543" t="s">
        <v>6966</v>
      </c>
      <c r="AD543" t="s">
        <v>6966</v>
      </c>
      <c r="AE543" t="s">
        <v>6966</v>
      </c>
      <c r="AF543" t="s">
        <v>6966</v>
      </c>
      <c r="AG543" t="s">
        <v>6966</v>
      </c>
      <c r="AH543" t="s">
        <v>6966</v>
      </c>
      <c r="AI543" t="s">
        <v>6966</v>
      </c>
      <c r="AJ543" t="s">
        <v>6966</v>
      </c>
      <c r="AK543" t="s">
        <v>6966</v>
      </c>
      <c r="AL543" t="s">
        <v>6966</v>
      </c>
      <c r="AM543" t="s">
        <v>6966</v>
      </c>
      <c r="AN543" t="s">
        <v>6966</v>
      </c>
      <c r="AO543" t="s">
        <v>6966</v>
      </c>
      <c r="AP543" t="s">
        <v>6966</v>
      </c>
      <c r="AQ543" t="s">
        <v>6966</v>
      </c>
      <c r="AR543" t="s">
        <v>6966</v>
      </c>
      <c r="AS543" t="s">
        <v>6966</v>
      </c>
      <c r="AT543" t="s">
        <v>6966</v>
      </c>
      <c r="AU543" t="s">
        <v>6966</v>
      </c>
      <c r="AV543" t="s">
        <v>6966</v>
      </c>
      <c r="AW543" t="s">
        <v>6966</v>
      </c>
      <c r="AX543" t="s">
        <v>6966</v>
      </c>
      <c r="AY543" t="s">
        <v>6966</v>
      </c>
      <c r="AZ543">
        <v>9.5588999999999993E-2</v>
      </c>
      <c r="BA543">
        <v>3.3300000000000002E-4</v>
      </c>
    </row>
    <row r="544" spans="1:53" x14ac:dyDescent="0.25">
      <c r="A544">
        <v>542</v>
      </c>
      <c r="B544" t="s">
        <v>7625</v>
      </c>
      <c r="C544">
        <v>701064</v>
      </c>
      <c r="D544" t="s">
        <v>712</v>
      </c>
      <c r="E544" t="s">
        <v>649</v>
      </c>
      <c r="F544">
        <v>1304536.125</v>
      </c>
      <c r="G544">
        <v>5599.0180659999996</v>
      </c>
      <c r="H544">
        <v>492</v>
      </c>
      <c r="I544">
        <v>676</v>
      </c>
      <c r="J544">
        <v>34346</v>
      </c>
      <c r="K544" t="s">
        <v>2126</v>
      </c>
      <c r="L544">
        <v>11</v>
      </c>
      <c r="M544">
        <v>11</v>
      </c>
      <c r="N544">
        <v>34346</v>
      </c>
      <c r="O544">
        <v>480</v>
      </c>
      <c r="P544" t="s">
        <v>3215</v>
      </c>
      <c r="Q544">
        <v>0.1</v>
      </c>
      <c r="R544">
        <v>1.68</v>
      </c>
      <c r="S544">
        <v>0.4</v>
      </c>
      <c r="T544">
        <v>9</v>
      </c>
      <c r="U544">
        <v>1304536.0578699999</v>
      </c>
      <c r="V544">
        <v>5599.0173180000002</v>
      </c>
      <c r="W544">
        <v>543</v>
      </c>
      <c r="X544">
        <v>0</v>
      </c>
      <c r="Y544">
        <v>542</v>
      </c>
      <c r="Z544" t="s">
        <v>6966</v>
      </c>
      <c r="AA544" t="s">
        <v>6966</v>
      </c>
      <c r="AB544" t="s">
        <v>6966</v>
      </c>
      <c r="AC544" t="s">
        <v>6966</v>
      </c>
      <c r="AD544" t="s">
        <v>6966</v>
      </c>
      <c r="AE544" t="s">
        <v>6966</v>
      </c>
      <c r="AF544" t="s">
        <v>6966</v>
      </c>
      <c r="AG544" t="s">
        <v>6966</v>
      </c>
      <c r="AH544" t="s">
        <v>6966</v>
      </c>
      <c r="AI544" t="s">
        <v>6966</v>
      </c>
      <c r="AJ544" t="s">
        <v>6966</v>
      </c>
      <c r="AK544" t="s">
        <v>6966</v>
      </c>
      <c r="AL544" t="s">
        <v>6966</v>
      </c>
      <c r="AM544" t="s">
        <v>6966</v>
      </c>
      <c r="AN544" t="s">
        <v>6966</v>
      </c>
      <c r="AO544" t="s">
        <v>6966</v>
      </c>
      <c r="AP544" t="s">
        <v>6966</v>
      </c>
      <c r="AQ544" t="s">
        <v>6966</v>
      </c>
      <c r="AR544" t="s">
        <v>6966</v>
      </c>
      <c r="AS544" t="s">
        <v>6966</v>
      </c>
      <c r="AT544" t="s">
        <v>6966</v>
      </c>
      <c r="AU544" t="s">
        <v>6966</v>
      </c>
      <c r="AV544" t="s">
        <v>6966</v>
      </c>
      <c r="AW544" t="s">
        <v>6966</v>
      </c>
      <c r="AX544" t="s">
        <v>6966</v>
      </c>
      <c r="AY544" t="s">
        <v>6966</v>
      </c>
      <c r="AZ544">
        <v>5.7576000000000002E-2</v>
      </c>
      <c r="BA544">
        <v>1.2799999999999999E-4</v>
      </c>
    </row>
    <row r="545" spans="1:53" x14ac:dyDescent="0.25">
      <c r="A545">
        <v>543</v>
      </c>
      <c r="B545" t="s">
        <v>7625</v>
      </c>
      <c r="C545">
        <v>504040</v>
      </c>
      <c r="D545" t="s">
        <v>505</v>
      </c>
      <c r="E545" t="s">
        <v>7766</v>
      </c>
      <c r="F545">
        <v>2975570.25</v>
      </c>
      <c r="G545">
        <v>10253.782227</v>
      </c>
      <c r="H545">
        <v>493</v>
      </c>
      <c r="I545">
        <v>677</v>
      </c>
      <c r="J545">
        <v>26294</v>
      </c>
      <c r="K545" t="s">
        <v>1970</v>
      </c>
      <c r="L545">
        <v>7</v>
      </c>
      <c r="M545">
        <v>7</v>
      </c>
      <c r="N545">
        <v>26294</v>
      </c>
      <c r="O545">
        <v>481</v>
      </c>
      <c r="P545" t="s">
        <v>3212</v>
      </c>
      <c r="Q545">
        <v>1</v>
      </c>
      <c r="R545">
        <v>30.52</v>
      </c>
      <c r="S545">
        <v>0.34</v>
      </c>
      <c r="T545">
        <v>10</v>
      </c>
      <c r="U545">
        <v>2975570.3835300002</v>
      </c>
      <c r="V545">
        <v>10253.781319</v>
      </c>
      <c r="W545">
        <v>544</v>
      </c>
      <c r="X545">
        <v>0</v>
      </c>
      <c r="Y545">
        <v>543</v>
      </c>
      <c r="Z545" t="s">
        <v>6966</v>
      </c>
      <c r="AA545" t="s">
        <v>6966</v>
      </c>
      <c r="AB545" t="s">
        <v>6966</v>
      </c>
      <c r="AC545" t="s">
        <v>6966</v>
      </c>
      <c r="AD545" t="s">
        <v>6966</v>
      </c>
      <c r="AE545" t="s">
        <v>6966</v>
      </c>
      <c r="AF545" t="s">
        <v>6966</v>
      </c>
      <c r="AG545" t="s">
        <v>6966</v>
      </c>
      <c r="AH545" t="s">
        <v>6966</v>
      </c>
      <c r="AI545" t="s">
        <v>6966</v>
      </c>
      <c r="AJ545" t="s">
        <v>6966</v>
      </c>
      <c r="AK545" t="s">
        <v>6966</v>
      </c>
      <c r="AL545" t="s">
        <v>6966</v>
      </c>
      <c r="AM545" t="s">
        <v>6966</v>
      </c>
      <c r="AN545" t="s">
        <v>6966</v>
      </c>
      <c r="AO545" t="s">
        <v>6966</v>
      </c>
      <c r="AP545" t="s">
        <v>6966</v>
      </c>
      <c r="AQ545" t="s">
        <v>6966</v>
      </c>
      <c r="AR545" t="s">
        <v>6966</v>
      </c>
      <c r="AS545" t="s">
        <v>6966</v>
      </c>
      <c r="AT545" t="s">
        <v>6966</v>
      </c>
      <c r="AU545" t="s">
        <v>6966</v>
      </c>
      <c r="AV545" t="s">
        <v>6966</v>
      </c>
      <c r="AW545" t="s">
        <v>6966</v>
      </c>
      <c r="AX545" t="s">
        <v>6966</v>
      </c>
      <c r="AY545" t="s">
        <v>6966</v>
      </c>
      <c r="AZ545">
        <v>0.104743</v>
      </c>
      <c r="BA545">
        <v>2.9100000000000003E-4</v>
      </c>
    </row>
    <row r="546" spans="1:53" x14ac:dyDescent="0.25">
      <c r="A546">
        <v>544</v>
      </c>
      <c r="B546" t="s">
        <v>7625</v>
      </c>
      <c r="C546">
        <v>201078</v>
      </c>
      <c r="D546" t="s">
        <v>1108</v>
      </c>
      <c r="E546" t="s">
        <v>1069</v>
      </c>
      <c r="F546">
        <v>7018059.5</v>
      </c>
      <c r="G546">
        <v>11026.088867</v>
      </c>
      <c r="H546">
        <v>494</v>
      </c>
      <c r="I546">
        <v>679</v>
      </c>
      <c r="J546">
        <v>53281</v>
      </c>
      <c r="K546" t="s">
        <v>2446</v>
      </c>
      <c r="L546">
        <v>17</v>
      </c>
      <c r="M546">
        <v>17</v>
      </c>
      <c r="N546">
        <v>53281</v>
      </c>
      <c r="O546">
        <v>482</v>
      </c>
      <c r="P546" t="s">
        <v>3214</v>
      </c>
      <c r="Q546">
        <v>0.6</v>
      </c>
      <c r="R546">
        <v>31.19</v>
      </c>
      <c r="S546">
        <v>0.19</v>
      </c>
      <c r="T546">
        <v>10</v>
      </c>
      <c r="U546">
        <v>7018059.5212099999</v>
      </c>
      <c r="V546">
        <v>11026.089249000001</v>
      </c>
      <c r="W546">
        <v>545</v>
      </c>
      <c r="X546">
        <v>0</v>
      </c>
      <c r="Y546">
        <v>544</v>
      </c>
      <c r="Z546" t="s">
        <v>6966</v>
      </c>
      <c r="AA546" t="s">
        <v>6966</v>
      </c>
      <c r="AB546" t="s">
        <v>6966</v>
      </c>
      <c r="AC546" t="s">
        <v>6966</v>
      </c>
      <c r="AD546" t="s">
        <v>6966</v>
      </c>
      <c r="AE546" t="s">
        <v>6966</v>
      </c>
      <c r="AF546" t="s">
        <v>6966</v>
      </c>
      <c r="AG546" t="s">
        <v>6966</v>
      </c>
      <c r="AH546" t="s">
        <v>6966</v>
      </c>
      <c r="AI546" t="s">
        <v>6966</v>
      </c>
      <c r="AJ546" t="s">
        <v>6966</v>
      </c>
      <c r="AK546" t="s">
        <v>6966</v>
      </c>
      <c r="AL546" t="s">
        <v>6966</v>
      </c>
      <c r="AM546" t="s">
        <v>6966</v>
      </c>
      <c r="AN546" t="s">
        <v>6966</v>
      </c>
      <c r="AO546" t="s">
        <v>6966</v>
      </c>
      <c r="AP546" t="s">
        <v>6966</v>
      </c>
      <c r="AQ546" t="s">
        <v>6966</v>
      </c>
      <c r="AR546" t="s">
        <v>6966</v>
      </c>
      <c r="AS546" t="s">
        <v>6966</v>
      </c>
      <c r="AT546" t="s">
        <v>6966</v>
      </c>
      <c r="AU546" t="s">
        <v>6966</v>
      </c>
      <c r="AV546" t="s">
        <v>6966</v>
      </c>
      <c r="AW546" t="s">
        <v>6966</v>
      </c>
      <c r="AX546" t="s">
        <v>6966</v>
      </c>
      <c r="AY546" t="s">
        <v>6966</v>
      </c>
      <c r="AZ546">
        <v>0.109095</v>
      </c>
      <c r="BA546">
        <v>6.8599999999999998E-4</v>
      </c>
    </row>
    <row r="547" spans="1:53" x14ac:dyDescent="0.25">
      <c r="A547">
        <v>545</v>
      </c>
      <c r="B547" t="s">
        <v>7625</v>
      </c>
      <c r="C547">
        <v>504086</v>
      </c>
      <c r="D547" t="s">
        <v>479</v>
      </c>
      <c r="E547" t="s">
        <v>7766</v>
      </c>
      <c r="F547">
        <v>2234085</v>
      </c>
      <c r="G547">
        <v>11041.801758</v>
      </c>
      <c r="H547">
        <v>495</v>
      </c>
      <c r="I547">
        <v>680</v>
      </c>
      <c r="J547">
        <v>26251</v>
      </c>
      <c r="K547" t="s">
        <v>1948</v>
      </c>
      <c r="L547">
        <v>7</v>
      </c>
      <c r="M547">
        <v>7</v>
      </c>
      <c r="N547">
        <v>26251</v>
      </c>
      <c r="O547">
        <v>483</v>
      </c>
      <c r="P547" t="s">
        <v>3212</v>
      </c>
      <c r="Q547">
        <v>1.7</v>
      </c>
      <c r="R547">
        <v>69.709999999999994</v>
      </c>
      <c r="S547">
        <v>0.35</v>
      </c>
      <c r="T547">
        <v>17</v>
      </c>
      <c r="U547">
        <v>2234085.01553</v>
      </c>
      <c r="V547">
        <v>11041.801299999999</v>
      </c>
      <c r="W547">
        <v>546</v>
      </c>
      <c r="X547">
        <v>0</v>
      </c>
      <c r="Y547">
        <v>545</v>
      </c>
      <c r="Z547" t="s">
        <v>6966</v>
      </c>
      <c r="AA547" t="s">
        <v>6966</v>
      </c>
      <c r="AB547" t="s">
        <v>6966</v>
      </c>
      <c r="AC547" t="s">
        <v>6966</v>
      </c>
      <c r="AD547" t="s">
        <v>6966</v>
      </c>
      <c r="AE547" t="s">
        <v>6966</v>
      </c>
      <c r="AF547" t="s">
        <v>6966</v>
      </c>
      <c r="AG547" t="s">
        <v>6966</v>
      </c>
      <c r="AH547" t="s">
        <v>6966</v>
      </c>
      <c r="AI547" t="s">
        <v>6966</v>
      </c>
      <c r="AJ547" t="s">
        <v>6966</v>
      </c>
      <c r="AK547" t="s">
        <v>6966</v>
      </c>
      <c r="AL547" t="s">
        <v>6966</v>
      </c>
      <c r="AM547" t="s">
        <v>6966</v>
      </c>
      <c r="AN547" t="s">
        <v>6966</v>
      </c>
      <c r="AO547" t="s">
        <v>6966</v>
      </c>
      <c r="AP547" t="s">
        <v>6966</v>
      </c>
      <c r="AQ547" t="s">
        <v>6966</v>
      </c>
      <c r="AR547" t="s">
        <v>6966</v>
      </c>
      <c r="AS547" t="s">
        <v>6966</v>
      </c>
      <c r="AT547" t="s">
        <v>6966</v>
      </c>
      <c r="AU547" t="s">
        <v>6966</v>
      </c>
      <c r="AV547" t="s">
        <v>6966</v>
      </c>
      <c r="AW547" t="s">
        <v>6966</v>
      </c>
      <c r="AX547" t="s">
        <v>6966</v>
      </c>
      <c r="AY547" t="s">
        <v>6966</v>
      </c>
      <c r="AZ547">
        <v>0.111362</v>
      </c>
      <c r="BA547">
        <v>2.1800000000000001E-4</v>
      </c>
    </row>
    <row r="548" spans="1:53" x14ac:dyDescent="0.25">
      <c r="A548">
        <v>546</v>
      </c>
      <c r="B548" t="s">
        <v>7625</v>
      </c>
      <c r="C548">
        <v>504066</v>
      </c>
      <c r="D548" t="s">
        <v>478</v>
      </c>
      <c r="E548" t="s">
        <v>7766</v>
      </c>
      <c r="F548">
        <v>1825717.75</v>
      </c>
      <c r="G548">
        <v>7985.0820309999999</v>
      </c>
      <c r="H548">
        <v>496</v>
      </c>
      <c r="I548">
        <v>682</v>
      </c>
      <c r="J548">
        <v>26249</v>
      </c>
      <c r="K548" t="s">
        <v>7773</v>
      </c>
      <c r="L548">
        <v>7</v>
      </c>
      <c r="M548">
        <v>7</v>
      </c>
      <c r="N548">
        <v>26249</v>
      </c>
      <c r="O548">
        <v>484</v>
      </c>
      <c r="P548" t="s">
        <v>3212</v>
      </c>
      <c r="Q548">
        <v>1</v>
      </c>
      <c r="R548">
        <v>20.88</v>
      </c>
      <c r="S548">
        <v>0.34</v>
      </c>
      <c r="T548">
        <v>7</v>
      </c>
      <c r="U548">
        <v>1825717.7076300001</v>
      </c>
      <c r="V548">
        <v>7985.0826399999996</v>
      </c>
      <c r="W548">
        <v>547</v>
      </c>
      <c r="X548">
        <v>0</v>
      </c>
      <c r="Y548">
        <v>546</v>
      </c>
      <c r="Z548" t="s">
        <v>6966</v>
      </c>
      <c r="AA548" t="s">
        <v>6966</v>
      </c>
      <c r="AB548" t="s">
        <v>6966</v>
      </c>
      <c r="AC548" t="s">
        <v>6966</v>
      </c>
      <c r="AD548" t="s">
        <v>6966</v>
      </c>
      <c r="AE548" t="s">
        <v>6966</v>
      </c>
      <c r="AF548" t="s">
        <v>6966</v>
      </c>
      <c r="AG548" t="s">
        <v>6966</v>
      </c>
      <c r="AH548" t="s">
        <v>6966</v>
      </c>
      <c r="AI548" t="s">
        <v>6966</v>
      </c>
      <c r="AJ548" t="s">
        <v>6966</v>
      </c>
      <c r="AK548" t="s">
        <v>6966</v>
      </c>
      <c r="AL548" t="s">
        <v>6966</v>
      </c>
      <c r="AM548" t="s">
        <v>6966</v>
      </c>
      <c r="AN548" t="s">
        <v>6966</v>
      </c>
      <c r="AO548" t="s">
        <v>6966</v>
      </c>
      <c r="AP548" t="s">
        <v>6966</v>
      </c>
      <c r="AQ548" t="s">
        <v>6966</v>
      </c>
      <c r="AR548" t="s">
        <v>6966</v>
      </c>
      <c r="AS548" t="s">
        <v>6966</v>
      </c>
      <c r="AT548" t="s">
        <v>6966</v>
      </c>
      <c r="AU548" t="s">
        <v>6966</v>
      </c>
      <c r="AV548" t="s">
        <v>6966</v>
      </c>
      <c r="AW548" t="s">
        <v>6966</v>
      </c>
      <c r="AX548" t="s">
        <v>6966</v>
      </c>
      <c r="AY548" t="s">
        <v>6966</v>
      </c>
      <c r="AZ548">
        <v>8.2147999999999999E-2</v>
      </c>
      <c r="BA548">
        <v>1.7799999999999999E-4</v>
      </c>
    </row>
    <row r="549" spans="1:53" x14ac:dyDescent="0.25">
      <c r="A549">
        <v>547</v>
      </c>
      <c r="B549" t="s">
        <v>7625</v>
      </c>
      <c r="C549">
        <v>504039</v>
      </c>
      <c r="D549" t="s">
        <v>495</v>
      </c>
      <c r="E549" t="s">
        <v>7766</v>
      </c>
      <c r="F549">
        <v>2372303.5</v>
      </c>
      <c r="G549">
        <v>12036.142578000001</v>
      </c>
      <c r="H549">
        <v>497</v>
      </c>
      <c r="I549">
        <v>683</v>
      </c>
      <c r="J549">
        <v>26277</v>
      </c>
      <c r="K549" t="s">
        <v>1963</v>
      </c>
      <c r="L549">
        <v>7</v>
      </c>
      <c r="M549">
        <v>7</v>
      </c>
      <c r="N549">
        <v>26277</v>
      </c>
      <c r="O549">
        <v>485</v>
      </c>
      <c r="P549" t="s">
        <v>3212</v>
      </c>
      <c r="Q549">
        <v>1.8</v>
      </c>
      <c r="R549">
        <v>36.5</v>
      </c>
      <c r="S549">
        <v>0.4</v>
      </c>
      <c r="T549">
        <v>8</v>
      </c>
      <c r="U549">
        <v>2372303.5605100002</v>
      </c>
      <c r="V549">
        <v>12036.140867</v>
      </c>
      <c r="W549">
        <v>548</v>
      </c>
      <c r="X549">
        <v>0</v>
      </c>
      <c r="Y549">
        <v>547</v>
      </c>
      <c r="Z549" t="s">
        <v>6966</v>
      </c>
      <c r="AA549" t="s">
        <v>6966</v>
      </c>
      <c r="AB549" t="s">
        <v>6966</v>
      </c>
      <c r="AC549" t="s">
        <v>6966</v>
      </c>
      <c r="AD549" t="s">
        <v>6966</v>
      </c>
      <c r="AE549" t="s">
        <v>6966</v>
      </c>
      <c r="AF549" t="s">
        <v>6966</v>
      </c>
      <c r="AG549" t="s">
        <v>6966</v>
      </c>
      <c r="AH549" t="s">
        <v>6966</v>
      </c>
      <c r="AI549" t="s">
        <v>6966</v>
      </c>
      <c r="AJ549" t="s">
        <v>6966</v>
      </c>
      <c r="AK549" t="s">
        <v>6966</v>
      </c>
      <c r="AL549" t="s">
        <v>6966</v>
      </c>
      <c r="AM549" t="s">
        <v>6966</v>
      </c>
      <c r="AN549" t="s">
        <v>6966</v>
      </c>
      <c r="AO549" t="s">
        <v>6966</v>
      </c>
      <c r="AP549" t="s">
        <v>6966</v>
      </c>
      <c r="AQ549" t="s">
        <v>6966</v>
      </c>
      <c r="AR549" t="s">
        <v>6966</v>
      </c>
      <c r="AS549" t="s">
        <v>6966</v>
      </c>
      <c r="AT549" t="s">
        <v>6966</v>
      </c>
      <c r="AU549" t="s">
        <v>6966</v>
      </c>
      <c r="AV549" t="s">
        <v>6966</v>
      </c>
      <c r="AW549" t="s">
        <v>6966</v>
      </c>
      <c r="AX549" t="s">
        <v>6966</v>
      </c>
      <c r="AY549" t="s">
        <v>6966</v>
      </c>
      <c r="AZ549">
        <v>0.123817</v>
      </c>
      <c r="BA549">
        <v>2.32E-4</v>
      </c>
    </row>
    <row r="550" spans="1:53" x14ac:dyDescent="0.25">
      <c r="A550">
        <v>548</v>
      </c>
      <c r="B550" t="s">
        <v>7625</v>
      </c>
      <c r="C550">
        <v>504030</v>
      </c>
      <c r="D550" t="s">
        <v>506</v>
      </c>
      <c r="E550" t="s">
        <v>7766</v>
      </c>
      <c r="F550">
        <v>1452121.25</v>
      </c>
      <c r="G550">
        <v>10075.731444999999</v>
      </c>
      <c r="H550">
        <v>498</v>
      </c>
      <c r="I550">
        <v>684</v>
      </c>
      <c r="J550">
        <v>26295</v>
      </c>
      <c r="K550" t="s">
        <v>506</v>
      </c>
      <c r="L550">
        <v>7</v>
      </c>
      <c r="M550">
        <v>7</v>
      </c>
      <c r="N550">
        <v>26295</v>
      </c>
      <c r="O550">
        <v>486</v>
      </c>
      <c r="P550" t="s">
        <v>3212</v>
      </c>
      <c r="Q550">
        <v>3.4</v>
      </c>
      <c r="R550">
        <v>24.53</v>
      </c>
      <c r="S550">
        <v>0.69</v>
      </c>
      <c r="T550">
        <v>5</v>
      </c>
      <c r="U550">
        <v>1452121.2013399999</v>
      </c>
      <c r="V550">
        <v>10075.731900000001</v>
      </c>
      <c r="W550">
        <v>549</v>
      </c>
      <c r="X550">
        <v>0</v>
      </c>
      <c r="Y550">
        <v>548</v>
      </c>
      <c r="Z550" t="s">
        <v>6966</v>
      </c>
      <c r="AA550" t="s">
        <v>6966</v>
      </c>
      <c r="AB550" t="s">
        <v>6966</v>
      </c>
      <c r="AC550" t="s">
        <v>6966</v>
      </c>
      <c r="AD550" t="s">
        <v>6966</v>
      </c>
      <c r="AE550" t="s">
        <v>6966</v>
      </c>
      <c r="AF550" t="s">
        <v>6966</v>
      </c>
      <c r="AG550" t="s">
        <v>6966</v>
      </c>
      <c r="AH550" t="s">
        <v>6966</v>
      </c>
      <c r="AI550" t="s">
        <v>6966</v>
      </c>
      <c r="AJ550" t="s">
        <v>6966</v>
      </c>
      <c r="AK550" t="s">
        <v>6966</v>
      </c>
      <c r="AL550" t="s">
        <v>6966</v>
      </c>
      <c r="AM550" t="s">
        <v>6966</v>
      </c>
      <c r="AN550" t="s">
        <v>6966</v>
      </c>
      <c r="AO550" t="s">
        <v>6966</v>
      </c>
      <c r="AP550" t="s">
        <v>6966</v>
      </c>
      <c r="AQ550" t="s">
        <v>6966</v>
      </c>
      <c r="AR550" t="s">
        <v>6966</v>
      </c>
      <c r="AS550" t="s">
        <v>6966</v>
      </c>
      <c r="AT550" t="s">
        <v>6966</v>
      </c>
      <c r="AU550" t="s">
        <v>6966</v>
      </c>
      <c r="AV550" t="s">
        <v>6966</v>
      </c>
      <c r="AW550" t="s">
        <v>6966</v>
      </c>
      <c r="AX550" t="s">
        <v>6966</v>
      </c>
      <c r="AY550" t="s">
        <v>6966</v>
      </c>
      <c r="AZ550">
        <v>0.102213</v>
      </c>
      <c r="BA550">
        <v>1.4200000000000001E-4</v>
      </c>
    </row>
    <row r="551" spans="1:53" x14ac:dyDescent="0.25">
      <c r="A551">
        <v>549</v>
      </c>
      <c r="B551" t="s">
        <v>7625</v>
      </c>
      <c r="C551">
        <v>201064</v>
      </c>
      <c r="D551" t="s">
        <v>1099</v>
      </c>
      <c r="E551" t="s">
        <v>1069</v>
      </c>
      <c r="F551">
        <v>0</v>
      </c>
      <c r="G551">
        <v>16929.074218999998</v>
      </c>
      <c r="H551">
        <v>499</v>
      </c>
      <c r="I551">
        <v>685</v>
      </c>
      <c r="J551">
        <v>53251</v>
      </c>
      <c r="K551" t="s">
        <v>2439</v>
      </c>
      <c r="L551">
        <v>17</v>
      </c>
      <c r="M551">
        <v>17</v>
      </c>
      <c r="N551">
        <v>53251</v>
      </c>
      <c r="O551">
        <v>487</v>
      </c>
      <c r="P551" t="s">
        <v>3214</v>
      </c>
      <c r="Q551">
        <v>0.6</v>
      </c>
      <c r="R551">
        <v>33.770000000000003</v>
      </c>
      <c r="S551">
        <v>0.14000000000000001</v>
      </c>
      <c r="T551">
        <v>9</v>
      </c>
      <c r="U551">
        <v>0</v>
      </c>
      <c r="V551">
        <v>16929.075033000001</v>
      </c>
      <c r="W551">
        <v>550</v>
      </c>
      <c r="X551">
        <v>0</v>
      </c>
      <c r="Y551">
        <v>549</v>
      </c>
      <c r="Z551" t="s">
        <v>6966</v>
      </c>
      <c r="AA551" t="s">
        <v>6966</v>
      </c>
      <c r="AB551" t="s">
        <v>6966</v>
      </c>
      <c r="AC551" t="s">
        <v>6966</v>
      </c>
      <c r="AD551" t="s">
        <v>6966</v>
      </c>
      <c r="AE551" t="s">
        <v>6966</v>
      </c>
      <c r="AF551" t="s">
        <v>6966</v>
      </c>
      <c r="AG551" t="s">
        <v>6966</v>
      </c>
      <c r="AH551" t="s">
        <v>6966</v>
      </c>
      <c r="AI551" t="s">
        <v>6966</v>
      </c>
      <c r="AJ551" t="s">
        <v>6966</v>
      </c>
      <c r="AK551" t="s">
        <v>6966</v>
      </c>
      <c r="AL551" t="s">
        <v>6966</v>
      </c>
      <c r="AM551" t="s">
        <v>6966</v>
      </c>
      <c r="AN551" t="s">
        <v>6966</v>
      </c>
      <c r="AO551" t="s">
        <v>6966</v>
      </c>
      <c r="AP551" t="s">
        <v>6966</v>
      </c>
      <c r="AQ551" t="s">
        <v>6966</v>
      </c>
      <c r="AR551" t="s">
        <v>6966</v>
      </c>
      <c r="AS551" t="s">
        <v>6966</v>
      </c>
      <c r="AT551" t="s">
        <v>6966</v>
      </c>
      <c r="AU551" t="s">
        <v>6966</v>
      </c>
      <c r="AV551" t="s">
        <v>6966</v>
      </c>
      <c r="AW551" t="s">
        <v>6966</v>
      </c>
      <c r="AX551" t="s">
        <v>6966</v>
      </c>
      <c r="AY551" t="s">
        <v>6966</v>
      </c>
      <c r="AZ551">
        <v>0.16684099999999999</v>
      </c>
      <c r="BA551">
        <v>1.459E-3</v>
      </c>
    </row>
    <row r="552" spans="1:53" x14ac:dyDescent="0.25">
      <c r="A552">
        <v>550</v>
      </c>
      <c r="B552" t="s">
        <v>7625</v>
      </c>
      <c r="C552">
        <v>504054</v>
      </c>
      <c r="D552" t="s">
        <v>532</v>
      </c>
      <c r="E552" t="s">
        <v>7766</v>
      </c>
      <c r="F552">
        <v>0</v>
      </c>
      <c r="G552">
        <v>23509.525390999999</v>
      </c>
      <c r="H552">
        <v>500</v>
      </c>
      <c r="I552">
        <v>686</v>
      </c>
      <c r="J552">
        <v>26381</v>
      </c>
      <c r="K552" t="s">
        <v>1992</v>
      </c>
      <c r="L552">
        <v>7</v>
      </c>
      <c r="M552">
        <v>7</v>
      </c>
      <c r="N552">
        <v>26381</v>
      </c>
      <c r="O552">
        <v>488</v>
      </c>
      <c r="P552" t="s">
        <v>3212</v>
      </c>
      <c r="Q552">
        <v>0.3</v>
      </c>
      <c r="R552">
        <v>16.16</v>
      </c>
      <c r="S552">
        <v>0.19</v>
      </c>
      <c r="T552">
        <v>11</v>
      </c>
      <c r="U552">
        <v>0</v>
      </c>
      <c r="V552">
        <v>23509.524379999999</v>
      </c>
      <c r="W552">
        <v>551</v>
      </c>
      <c r="X552">
        <v>0</v>
      </c>
      <c r="Y552">
        <v>550</v>
      </c>
      <c r="Z552" t="s">
        <v>6966</v>
      </c>
      <c r="AA552" t="s">
        <v>6966</v>
      </c>
      <c r="AB552" t="s">
        <v>6966</v>
      </c>
      <c r="AC552" t="s">
        <v>6966</v>
      </c>
      <c r="AD552" t="s">
        <v>6966</v>
      </c>
      <c r="AE552" t="s">
        <v>6966</v>
      </c>
      <c r="AF552" t="s">
        <v>6966</v>
      </c>
      <c r="AG552" t="s">
        <v>6966</v>
      </c>
      <c r="AH552" t="s">
        <v>6966</v>
      </c>
      <c r="AI552" t="s">
        <v>6966</v>
      </c>
      <c r="AJ552" t="s">
        <v>6966</v>
      </c>
      <c r="AK552" t="s">
        <v>6966</v>
      </c>
      <c r="AL552" t="s">
        <v>6966</v>
      </c>
      <c r="AM552" t="s">
        <v>6966</v>
      </c>
      <c r="AN552" t="s">
        <v>6966</v>
      </c>
      <c r="AO552" t="s">
        <v>6966</v>
      </c>
      <c r="AP552" t="s">
        <v>6966</v>
      </c>
      <c r="AQ552" t="s">
        <v>6966</v>
      </c>
      <c r="AR552" t="s">
        <v>6966</v>
      </c>
      <c r="AS552" t="s">
        <v>6966</v>
      </c>
      <c r="AT552" t="s">
        <v>6966</v>
      </c>
      <c r="AU552" t="s">
        <v>6966</v>
      </c>
      <c r="AV552" t="s">
        <v>6966</v>
      </c>
      <c r="AW552" t="s">
        <v>6966</v>
      </c>
      <c r="AX552" t="s">
        <v>6966</v>
      </c>
      <c r="AY552" t="s">
        <v>6966</v>
      </c>
      <c r="AZ552">
        <v>0.23898800000000001</v>
      </c>
      <c r="BA552">
        <v>1.147E-3</v>
      </c>
    </row>
    <row r="553" spans="1:53" x14ac:dyDescent="0.25">
      <c r="A553">
        <v>551</v>
      </c>
      <c r="B553" t="s">
        <v>7625</v>
      </c>
      <c r="C553">
        <v>504089</v>
      </c>
      <c r="D553" t="s">
        <v>446</v>
      </c>
      <c r="E553" t="s">
        <v>7766</v>
      </c>
      <c r="F553">
        <v>1012896.3125</v>
      </c>
      <c r="G553">
        <v>5380.107422</v>
      </c>
      <c r="H553">
        <v>501</v>
      </c>
      <c r="I553">
        <v>687</v>
      </c>
      <c r="J553">
        <v>26159</v>
      </c>
      <c r="K553" t="s">
        <v>7774</v>
      </c>
      <c r="L553">
        <v>7</v>
      </c>
      <c r="M553">
        <v>7</v>
      </c>
      <c r="N553">
        <v>26159</v>
      </c>
      <c r="O553">
        <v>489</v>
      </c>
      <c r="P553" t="s">
        <v>3212</v>
      </c>
      <c r="Q553">
        <v>2</v>
      </c>
      <c r="R553">
        <v>18.8</v>
      </c>
      <c r="S553">
        <v>0.5</v>
      </c>
      <c r="T553">
        <v>5</v>
      </c>
      <c r="U553">
        <v>1012896.36219</v>
      </c>
      <c r="V553">
        <v>5380.1075719999999</v>
      </c>
      <c r="W553">
        <v>552</v>
      </c>
      <c r="X553">
        <v>0</v>
      </c>
      <c r="Y553">
        <v>551</v>
      </c>
      <c r="Z553" t="s">
        <v>6966</v>
      </c>
      <c r="AA553" t="s">
        <v>6966</v>
      </c>
      <c r="AB553" t="s">
        <v>6966</v>
      </c>
      <c r="AC553" t="s">
        <v>6966</v>
      </c>
      <c r="AD553" t="s">
        <v>6966</v>
      </c>
      <c r="AE553" t="s">
        <v>6966</v>
      </c>
      <c r="AF553" t="s">
        <v>6966</v>
      </c>
      <c r="AG553" t="s">
        <v>6966</v>
      </c>
      <c r="AH553" t="s">
        <v>6966</v>
      </c>
      <c r="AI553" t="s">
        <v>6966</v>
      </c>
      <c r="AJ553" t="s">
        <v>6966</v>
      </c>
      <c r="AK553" t="s">
        <v>6966</v>
      </c>
      <c r="AL553" t="s">
        <v>6966</v>
      </c>
      <c r="AM553" t="s">
        <v>6966</v>
      </c>
      <c r="AN553" t="s">
        <v>6966</v>
      </c>
      <c r="AO553" t="s">
        <v>6966</v>
      </c>
      <c r="AP553" t="s">
        <v>6966</v>
      </c>
      <c r="AQ553" t="s">
        <v>6966</v>
      </c>
      <c r="AR553" t="s">
        <v>6966</v>
      </c>
      <c r="AS553" t="s">
        <v>6966</v>
      </c>
      <c r="AT553" t="s">
        <v>6966</v>
      </c>
      <c r="AU553" t="s">
        <v>6966</v>
      </c>
      <c r="AV553" t="s">
        <v>6966</v>
      </c>
      <c r="AW553" t="s">
        <v>6966</v>
      </c>
      <c r="AX553" t="s">
        <v>6966</v>
      </c>
      <c r="AY553" t="s">
        <v>6966</v>
      </c>
      <c r="AZ553">
        <v>5.3504999999999997E-2</v>
      </c>
      <c r="BA553">
        <v>9.8999999999999994E-5</v>
      </c>
    </row>
    <row r="554" spans="1:53" x14ac:dyDescent="0.25">
      <c r="A554">
        <v>552</v>
      </c>
      <c r="B554" t="s">
        <v>7625</v>
      </c>
      <c r="C554">
        <v>504069</v>
      </c>
      <c r="D554" t="s">
        <v>468</v>
      </c>
      <c r="E554" t="s">
        <v>7766</v>
      </c>
      <c r="F554">
        <v>5285195</v>
      </c>
      <c r="G554">
        <v>14748.859375</v>
      </c>
      <c r="H554">
        <v>502</v>
      </c>
      <c r="I554">
        <v>688</v>
      </c>
      <c r="J554">
        <v>26233</v>
      </c>
      <c r="K554" t="s">
        <v>468</v>
      </c>
      <c r="L554">
        <v>7</v>
      </c>
      <c r="M554">
        <v>7</v>
      </c>
      <c r="N554">
        <v>26233</v>
      </c>
      <c r="O554">
        <v>490</v>
      </c>
      <c r="P554" t="s">
        <v>3212</v>
      </c>
      <c r="Q554">
        <v>2.2999999999999998</v>
      </c>
      <c r="R554">
        <v>44.86</v>
      </c>
      <c r="S554">
        <v>0.49</v>
      </c>
      <c r="T554">
        <v>10</v>
      </c>
      <c r="U554">
        <v>5285195.0060200002</v>
      </c>
      <c r="V554">
        <v>14748.860833000001</v>
      </c>
      <c r="W554">
        <v>553</v>
      </c>
      <c r="X554">
        <v>0</v>
      </c>
      <c r="Y554">
        <v>552</v>
      </c>
      <c r="Z554" t="s">
        <v>6966</v>
      </c>
      <c r="AA554" t="s">
        <v>6966</v>
      </c>
      <c r="AB554" t="s">
        <v>6966</v>
      </c>
      <c r="AC554" t="s">
        <v>6966</v>
      </c>
      <c r="AD554" t="s">
        <v>6966</v>
      </c>
      <c r="AE554" t="s">
        <v>6966</v>
      </c>
      <c r="AF554" t="s">
        <v>6966</v>
      </c>
      <c r="AG554" t="s">
        <v>6966</v>
      </c>
      <c r="AH554" t="s">
        <v>6966</v>
      </c>
      <c r="AI554" t="s">
        <v>6966</v>
      </c>
      <c r="AJ554" t="s">
        <v>6966</v>
      </c>
      <c r="AK554" t="s">
        <v>6966</v>
      </c>
      <c r="AL554" t="s">
        <v>6966</v>
      </c>
      <c r="AM554" t="s">
        <v>6966</v>
      </c>
      <c r="AN554" t="s">
        <v>6966</v>
      </c>
      <c r="AO554" t="s">
        <v>6966</v>
      </c>
      <c r="AP554" t="s">
        <v>6966</v>
      </c>
      <c r="AQ554" t="s">
        <v>6966</v>
      </c>
      <c r="AR554" t="s">
        <v>6966</v>
      </c>
      <c r="AS554" t="s">
        <v>6966</v>
      </c>
      <c r="AT554" t="s">
        <v>6966</v>
      </c>
      <c r="AU554" t="s">
        <v>6966</v>
      </c>
      <c r="AV554" t="s">
        <v>6966</v>
      </c>
      <c r="AW554" t="s">
        <v>6966</v>
      </c>
      <c r="AX554" t="s">
        <v>6966</v>
      </c>
      <c r="AY554" t="s">
        <v>6966</v>
      </c>
      <c r="AZ554">
        <v>0.14974799999999999</v>
      </c>
      <c r="BA554">
        <v>5.1699999999999999E-4</v>
      </c>
    </row>
    <row r="555" spans="1:53" x14ac:dyDescent="0.25">
      <c r="A555">
        <v>553</v>
      </c>
      <c r="B555" t="s">
        <v>7625</v>
      </c>
      <c r="C555">
        <v>504044</v>
      </c>
      <c r="D555" t="s">
        <v>477</v>
      </c>
      <c r="E555" t="s">
        <v>7766</v>
      </c>
      <c r="F555">
        <v>4599732.5</v>
      </c>
      <c r="G555">
        <v>9823.3515630000002</v>
      </c>
      <c r="H555">
        <v>503</v>
      </c>
      <c r="I555">
        <v>689</v>
      </c>
      <c r="J555">
        <v>26247</v>
      </c>
      <c r="K555" t="s">
        <v>1946</v>
      </c>
      <c r="L555">
        <v>7</v>
      </c>
      <c r="M555">
        <v>7</v>
      </c>
      <c r="N555">
        <v>26247</v>
      </c>
      <c r="O555">
        <v>491</v>
      </c>
      <c r="P555" t="s">
        <v>3212</v>
      </c>
      <c r="Q555">
        <v>0.5</v>
      </c>
      <c r="R555">
        <v>15.31</v>
      </c>
      <c r="S555">
        <v>0.22</v>
      </c>
      <c r="T555">
        <v>6</v>
      </c>
      <c r="U555">
        <v>4599732.3285699999</v>
      </c>
      <c r="V555">
        <v>9823.3529479999997</v>
      </c>
      <c r="W555">
        <v>554</v>
      </c>
      <c r="X555">
        <v>0</v>
      </c>
      <c r="Y555">
        <v>553</v>
      </c>
      <c r="Z555" t="s">
        <v>6966</v>
      </c>
      <c r="AA555" t="s">
        <v>6966</v>
      </c>
      <c r="AB555" t="s">
        <v>6966</v>
      </c>
      <c r="AC555" t="s">
        <v>6966</v>
      </c>
      <c r="AD555" t="s">
        <v>6966</v>
      </c>
      <c r="AE555" t="s">
        <v>6966</v>
      </c>
      <c r="AF555" t="s">
        <v>6966</v>
      </c>
      <c r="AG555" t="s">
        <v>6966</v>
      </c>
      <c r="AH555" t="s">
        <v>6966</v>
      </c>
      <c r="AI555" t="s">
        <v>6966</v>
      </c>
      <c r="AJ555" t="s">
        <v>6966</v>
      </c>
      <c r="AK555" t="s">
        <v>6966</v>
      </c>
      <c r="AL555" t="s">
        <v>6966</v>
      </c>
      <c r="AM555" t="s">
        <v>6966</v>
      </c>
      <c r="AN555" t="s">
        <v>6966</v>
      </c>
      <c r="AO555" t="s">
        <v>6966</v>
      </c>
      <c r="AP555" t="s">
        <v>6966</v>
      </c>
      <c r="AQ555" t="s">
        <v>6966</v>
      </c>
      <c r="AR555" t="s">
        <v>6966</v>
      </c>
      <c r="AS555" t="s">
        <v>6966</v>
      </c>
      <c r="AT555" t="s">
        <v>6966</v>
      </c>
      <c r="AU555" t="s">
        <v>6966</v>
      </c>
      <c r="AV555" t="s">
        <v>6966</v>
      </c>
      <c r="AW555" t="s">
        <v>6966</v>
      </c>
      <c r="AX555" t="s">
        <v>6966</v>
      </c>
      <c r="AY555" t="s">
        <v>6966</v>
      </c>
      <c r="AZ555">
        <v>0.100505</v>
      </c>
      <c r="BA555">
        <v>4.4999999999999999E-4</v>
      </c>
    </row>
    <row r="556" spans="1:53" x14ac:dyDescent="0.25">
      <c r="A556">
        <v>554</v>
      </c>
      <c r="B556" t="s">
        <v>7625</v>
      </c>
      <c r="C556">
        <v>504052</v>
      </c>
      <c r="D556" t="s">
        <v>500</v>
      </c>
      <c r="E556" t="s">
        <v>7766</v>
      </c>
      <c r="F556">
        <v>2515530.5</v>
      </c>
      <c r="G556">
        <v>7590.1552730000003</v>
      </c>
      <c r="H556">
        <v>504</v>
      </c>
      <c r="I556">
        <v>690</v>
      </c>
      <c r="J556">
        <v>26286</v>
      </c>
      <c r="K556" t="s">
        <v>1966</v>
      </c>
      <c r="L556">
        <v>7</v>
      </c>
      <c r="M556">
        <v>7</v>
      </c>
      <c r="N556">
        <v>26286</v>
      </c>
      <c r="O556">
        <v>492</v>
      </c>
      <c r="P556" t="s">
        <v>3212</v>
      </c>
      <c r="Q556">
        <v>4</v>
      </c>
      <c r="R556">
        <v>20.399999999999999</v>
      </c>
      <c r="S556">
        <v>0.87</v>
      </c>
      <c r="T556">
        <v>4</v>
      </c>
      <c r="U556">
        <v>2515530.3649599999</v>
      </c>
      <c r="V556">
        <v>7590.1550930000003</v>
      </c>
      <c r="W556">
        <v>555</v>
      </c>
      <c r="X556">
        <v>0</v>
      </c>
      <c r="Y556">
        <v>554</v>
      </c>
      <c r="Z556" t="s">
        <v>6966</v>
      </c>
      <c r="AA556" t="s">
        <v>6966</v>
      </c>
      <c r="AB556" t="s">
        <v>6966</v>
      </c>
      <c r="AC556" t="s">
        <v>6966</v>
      </c>
      <c r="AD556" t="s">
        <v>6966</v>
      </c>
      <c r="AE556" t="s">
        <v>6966</v>
      </c>
      <c r="AF556" t="s">
        <v>6966</v>
      </c>
      <c r="AG556" t="s">
        <v>6966</v>
      </c>
      <c r="AH556" t="s">
        <v>6966</v>
      </c>
      <c r="AI556" t="s">
        <v>6966</v>
      </c>
      <c r="AJ556" t="s">
        <v>6966</v>
      </c>
      <c r="AK556" t="s">
        <v>6966</v>
      </c>
      <c r="AL556" t="s">
        <v>6966</v>
      </c>
      <c r="AM556" t="s">
        <v>6966</v>
      </c>
      <c r="AN556" t="s">
        <v>6966</v>
      </c>
      <c r="AO556" t="s">
        <v>6966</v>
      </c>
      <c r="AP556" t="s">
        <v>6966</v>
      </c>
      <c r="AQ556" t="s">
        <v>6966</v>
      </c>
      <c r="AR556" t="s">
        <v>6966</v>
      </c>
      <c r="AS556" t="s">
        <v>6966</v>
      </c>
      <c r="AT556" t="s">
        <v>6966</v>
      </c>
      <c r="AU556" t="s">
        <v>6966</v>
      </c>
      <c r="AV556" t="s">
        <v>6966</v>
      </c>
      <c r="AW556" t="s">
        <v>6966</v>
      </c>
      <c r="AX556" t="s">
        <v>6966</v>
      </c>
      <c r="AY556" t="s">
        <v>6966</v>
      </c>
      <c r="AZ556">
        <v>7.7362E-2</v>
      </c>
      <c r="BA556">
        <v>2.4600000000000002E-4</v>
      </c>
    </row>
    <row r="557" spans="1:53" x14ac:dyDescent="0.25">
      <c r="A557">
        <v>555</v>
      </c>
      <c r="B557" t="s">
        <v>7625</v>
      </c>
      <c r="C557">
        <v>504045</v>
      </c>
      <c r="D557" t="s">
        <v>445</v>
      </c>
      <c r="E557" t="s">
        <v>7766</v>
      </c>
      <c r="F557">
        <v>2588995</v>
      </c>
      <c r="G557">
        <v>9822.0644530000009</v>
      </c>
      <c r="H557">
        <v>505</v>
      </c>
      <c r="I557">
        <v>691</v>
      </c>
      <c r="J557">
        <v>26153</v>
      </c>
      <c r="K557" t="s">
        <v>7775</v>
      </c>
      <c r="L557">
        <v>7</v>
      </c>
      <c r="M557">
        <v>7</v>
      </c>
      <c r="N557">
        <v>26153</v>
      </c>
      <c r="O557">
        <v>493</v>
      </c>
      <c r="P557" t="s">
        <v>3212</v>
      </c>
      <c r="Q557">
        <v>3.1</v>
      </c>
      <c r="R557">
        <v>38.119999999999997</v>
      </c>
      <c r="S557">
        <v>0.81</v>
      </c>
      <c r="T557">
        <v>10</v>
      </c>
      <c r="U557">
        <v>2588995.15576</v>
      </c>
      <c r="V557">
        <v>9822.0643099999998</v>
      </c>
      <c r="W557">
        <v>556</v>
      </c>
      <c r="X557">
        <v>0</v>
      </c>
      <c r="Y557">
        <v>555</v>
      </c>
      <c r="Z557" t="s">
        <v>6966</v>
      </c>
      <c r="AA557" t="s">
        <v>6966</v>
      </c>
      <c r="AB557" t="s">
        <v>6966</v>
      </c>
      <c r="AC557" t="s">
        <v>6966</v>
      </c>
      <c r="AD557" t="s">
        <v>6966</v>
      </c>
      <c r="AE557" t="s">
        <v>6966</v>
      </c>
      <c r="AF557" t="s">
        <v>6966</v>
      </c>
      <c r="AG557" t="s">
        <v>6966</v>
      </c>
      <c r="AH557" t="s">
        <v>6966</v>
      </c>
      <c r="AI557" t="s">
        <v>6966</v>
      </c>
      <c r="AJ557" t="s">
        <v>6966</v>
      </c>
      <c r="AK557" t="s">
        <v>6966</v>
      </c>
      <c r="AL557" t="s">
        <v>6966</v>
      </c>
      <c r="AM557" t="s">
        <v>6966</v>
      </c>
      <c r="AN557" t="s">
        <v>6966</v>
      </c>
      <c r="AO557" t="s">
        <v>6966</v>
      </c>
      <c r="AP557" t="s">
        <v>6966</v>
      </c>
      <c r="AQ557" t="s">
        <v>6966</v>
      </c>
      <c r="AR557" t="s">
        <v>6966</v>
      </c>
      <c r="AS557" t="s">
        <v>6966</v>
      </c>
      <c r="AT557" t="s">
        <v>6966</v>
      </c>
      <c r="AU557" t="s">
        <v>6966</v>
      </c>
      <c r="AV557" t="s">
        <v>6966</v>
      </c>
      <c r="AW557" t="s">
        <v>6966</v>
      </c>
      <c r="AX557" t="s">
        <v>6966</v>
      </c>
      <c r="AY557" t="s">
        <v>6966</v>
      </c>
      <c r="AZ557">
        <v>0.100199</v>
      </c>
      <c r="BA557">
        <v>2.5300000000000002E-4</v>
      </c>
    </row>
    <row r="558" spans="1:53" x14ac:dyDescent="0.25">
      <c r="A558">
        <v>556</v>
      </c>
      <c r="B558" t="s">
        <v>7625</v>
      </c>
      <c r="C558">
        <v>504029</v>
      </c>
      <c r="D558" t="s">
        <v>496</v>
      </c>
      <c r="E558" t="s">
        <v>7766</v>
      </c>
      <c r="F558">
        <v>1079533.25</v>
      </c>
      <c r="G558">
        <v>8317.3017579999996</v>
      </c>
      <c r="H558">
        <v>506</v>
      </c>
      <c r="I558">
        <v>692</v>
      </c>
      <c r="J558">
        <v>26279</v>
      </c>
      <c r="K558" t="s">
        <v>496</v>
      </c>
      <c r="L558">
        <v>7</v>
      </c>
      <c r="M558">
        <v>7</v>
      </c>
      <c r="N558">
        <v>26279</v>
      </c>
      <c r="O558">
        <v>494</v>
      </c>
      <c r="P558" t="s">
        <v>3212</v>
      </c>
      <c r="Q558">
        <v>4.5999999999999996</v>
      </c>
      <c r="R558">
        <v>13.32</v>
      </c>
      <c r="S558">
        <v>1.06</v>
      </c>
      <c r="T558">
        <v>3</v>
      </c>
      <c r="U558">
        <v>1079533.2230499999</v>
      </c>
      <c r="V558">
        <v>8317.3006229999992</v>
      </c>
      <c r="W558">
        <v>557</v>
      </c>
      <c r="X558">
        <v>0</v>
      </c>
      <c r="Y558">
        <v>556</v>
      </c>
      <c r="Z558" t="s">
        <v>6966</v>
      </c>
      <c r="AA558" t="s">
        <v>6966</v>
      </c>
      <c r="AB558" t="s">
        <v>6966</v>
      </c>
      <c r="AC558" t="s">
        <v>6966</v>
      </c>
      <c r="AD558" t="s">
        <v>6966</v>
      </c>
      <c r="AE558" t="s">
        <v>6966</v>
      </c>
      <c r="AF558" t="s">
        <v>6966</v>
      </c>
      <c r="AG558" t="s">
        <v>6966</v>
      </c>
      <c r="AH558" t="s">
        <v>6966</v>
      </c>
      <c r="AI558" t="s">
        <v>6966</v>
      </c>
      <c r="AJ558" t="s">
        <v>6966</v>
      </c>
      <c r="AK558" t="s">
        <v>6966</v>
      </c>
      <c r="AL558" t="s">
        <v>6966</v>
      </c>
      <c r="AM558" t="s">
        <v>6966</v>
      </c>
      <c r="AN558" t="s">
        <v>6966</v>
      </c>
      <c r="AO558" t="s">
        <v>6966</v>
      </c>
      <c r="AP558" t="s">
        <v>6966</v>
      </c>
      <c r="AQ558" t="s">
        <v>6966</v>
      </c>
      <c r="AR558" t="s">
        <v>6966</v>
      </c>
      <c r="AS558" t="s">
        <v>6966</v>
      </c>
      <c r="AT558" t="s">
        <v>6966</v>
      </c>
      <c r="AU558" t="s">
        <v>6966</v>
      </c>
      <c r="AV558" t="s">
        <v>6966</v>
      </c>
      <c r="AW558" t="s">
        <v>6966</v>
      </c>
      <c r="AX558" t="s">
        <v>6966</v>
      </c>
      <c r="AY558" t="s">
        <v>6966</v>
      </c>
      <c r="AZ558">
        <v>8.4307999999999994E-2</v>
      </c>
      <c r="BA558">
        <v>1.06E-4</v>
      </c>
    </row>
    <row r="559" spans="1:53" x14ac:dyDescent="0.25">
      <c r="A559">
        <v>557</v>
      </c>
      <c r="B559" t="s">
        <v>7625</v>
      </c>
      <c r="C559">
        <v>504001</v>
      </c>
      <c r="D559" t="s">
        <v>482</v>
      </c>
      <c r="E559" t="s">
        <v>7766</v>
      </c>
      <c r="F559">
        <v>2630978</v>
      </c>
      <c r="G559">
        <v>10347.423828000001</v>
      </c>
      <c r="H559">
        <v>507</v>
      </c>
      <c r="I559">
        <v>693</v>
      </c>
      <c r="J559">
        <v>26256</v>
      </c>
      <c r="K559" t="s">
        <v>1951</v>
      </c>
      <c r="L559">
        <v>7</v>
      </c>
      <c r="M559">
        <v>7</v>
      </c>
      <c r="N559">
        <v>26256</v>
      </c>
      <c r="O559">
        <v>495</v>
      </c>
      <c r="P559" t="s">
        <v>3212</v>
      </c>
      <c r="Q559">
        <v>2.5</v>
      </c>
      <c r="R559">
        <v>20.71</v>
      </c>
      <c r="S559">
        <v>0.54</v>
      </c>
      <c r="T559">
        <v>4</v>
      </c>
      <c r="U559">
        <v>2630977.9542700001</v>
      </c>
      <c r="V559">
        <v>10347.424448</v>
      </c>
      <c r="W559">
        <v>558</v>
      </c>
      <c r="X559">
        <v>0</v>
      </c>
      <c r="Y559">
        <v>557</v>
      </c>
      <c r="Z559" t="s">
        <v>6966</v>
      </c>
      <c r="AA559" t="s">
        <v>6966</v>
      </c>
      <c r="AB559" t="s">
        <v>6966</v>
      </c>
      <c r="AC559" t="s">
        <v>6966</v>
      </c>
      <c r="AD559" t="s">
        <v>6966</v>
      </c>
      <c r="AE559" t="s">
        <v>6966</v>
      </c>
      <c r="AF559" t="s">
        <v>6966</v>
      </c>
      <c r="AG559" t="s">
        <v>6966</v>
      </c>
      <c r="AH559" t="s">
        <v>6966</v>
      </c>
      <c r="AI559" t="s">
        <v>6966</v>
      </c>
      <c r="AJ559" t="s">
        <v>6966</v>
      </c>
      <c r="AK559" t="s">
        <v>6966</v>
      </c>
      <c r="AL559" t="s">
        <v>6966</v>
      </c>
      <c r="AM559" t="s">
        <v>6966</v>
      </c>
      <c r="AN559" t="s">
        <v>6966</v>
      </c>
      <c r="AO559" t="s">
        <v>6966</v>
      </c>
      <c r="AP559" t="s">
        <v>6966</v>
      </c>
      <c r="AQ559" t="s">
        <v>6966</v>
      </c>
      <c r="AR559" t="s">
        <v>6966</v>
      </c>
      <c r="AS559" t="s">
        <v>6966</v>
      </c>
      <c r="AT559" t="s">
        <v>6966</v>
      </c>
      <c r="AU559" t="s">
        <v>6966</v>
      </c>
      <c r="AV559" t="s">
        <v>6966</v>
      </c>
      <c r="AW559" t="s">
        <v>6966</v>
      </c>
      <c r="AX559" t="s">
        <v>6966</v>
      </c>
      <c r="AY559" t="s">
        <v>6966</v>
      </c>
      <c r="AZ559">
        <v>0.106784</v>
      </c>
      <c r="BA559">
        <v>2.5700000000000001E-4</v>
      </c>
    </row>
    <row r="560" spans="1:53" x14ac:dyDescent="0.25">
      <c r="A560">
        <v>558</v>
      </c>
      <c r="B560" t="s">
        <v>7625</v>
      </c>
      <c r="C560">
        <v>504057</v>
      </c>
      <c r="D560" t="s">
        <v>447</v>
      </c>
      <c r="E560" t="s">
        <v>7766</v>
      </c>
      <c r="F560">
        <v>1047319.6875</v>
      </c>
      <c r="G560">
        <v>6178.7514650000003</v>
      </c>
      <c r="H560">
        <v>508</v>
      </c>
      <c r="I560">
        <v>694</v>
      </c>
      <c r="J560">
        <v>26165</v>
      </c>
      <c r="K560" t="s">
        <v>1920</v>
      </c>
      <c r="L560">
        <v>7</v>
      </c>
      <c r="M560">
        <v>7</v>
      </c>
      <c r="N560">
        <v>26165</v>
      </c>
      <c r="O560">
        <v>496</v>
      </c>
      <c r="P560" t="s">
        <v>3212</v>
      </c>
      <c r="Q560">
        <v>7.1</v>
      </c>
      <c r="R560">
        <v>18.670000000000002</v>
      </c>
      <c r="S560">
        <v>1.64</v>
      </c>
      <c r="T560">
        <v>4</v>
      </c>
      <c r="U560">
        <v>1047319.62206</v>
      </c>
      <c r="V560">
        <v>6178.7536129999999</v>
      </c>
      <c r="W560">
        <v>559</v>
      </c>
      <c r="X560">
        <v>0</v>
      </c>
      <c r="Y560">
        <v>558</v>
      </c>
      <c r="Z560" t="s">
        <v>6966</v>
      </c>
      <c r="AA560" t="s">
        <v>6966</v>
      </c>
      <c r="AB560" t="s">
        <v>6966</v>
      </c>
      <c r="AC560" t="s">
        <v>6966</v>
      </c>
      <c r="AD560" t="s">
        <v>6966</v>
      </c>
      <c r="AE560" t="s">
        <v>6966</v>
      </c>
      <c r="AF560" t="s">
        <v>6966</v>
      </c>
      <c r="AG560" t="s">
        <v>6966</v>
      </c>
      <c r="AH560" t="s">
        <v>6966</v>
      </c>
      <c r="AI560" t="s">
        <v>6966</v>
      </c>
      <c r="AJ560" t="s">
        <v>6966</v>
      </c>
      <c r="AK560" t="s">
        <v>6966</v>
      </c>
      <c r="AL560" t="s">
        <v>6966</v>
      </c>
      <c r="AM560" t="s">
        <v>6966</v>
      </c>
      <c r="AN560" t="s">
        <v>6966</v>
      </c>
      <c r="AO560" t="s">
        <v>6966</v>
      </c>
      <c r="AP560" t="s">
        <v>6966</v>
      </c>
      <c r="AQ560" t="s">
        <v>6966</v>
      </c>
      <c r="AR560" t="s">
        <v>6966</v>
      </c>
      <c r="AS560" t="s">
        <v>6966</v>
      </c>
      <c r="AT560" t="s">
        <v>6966</v>
      </c>
      <c r="AU560" t="s">
        <v>6966</v>
      </c>
      <c r="AV560" t="s">
        <v>6966</v>
      </c>
      <c r="AW560" t="s">
        <v>6966</v>
      </c>
      <c r="AX560" t="s">
        <v>6966</v>
      </c>
      <c r="AY560" t="s">
        <v>6966</v>
      </c>
      <c r="AZ560">
        <v>6.2802999999999998E-2</v>
      </c>
      <c r="BA560">
        <v>1.02E-4</v>
      </c>
    </row>
    <row r="561" spans="1:53" x14ac:dyDescent="0.25">
      <c r="A561">
        <v>559</v>
      </c>
      <c r="B561" t="s">
        <v>7625</v>
      </c>
      <c r="C561">
        <v>201076</v>
      </c>
      <c r="D561" t="s">
        <v>1107</v>
      </c>
      <c r="E561" t="s">
        <v>1069</v>
      </c>
      <c r="F561">
        <v>4153960.75</v>
      </c>
      <c r="G561">
        <v>10085.084961</v>
      </c>
      <c r="H561">
        <v>509</v>
      </c>
      <c r="I561">
        <v>695</v>
      </c>
      <c r="J561">
        <v>53277</v>
      </c>
      <c r="K561" t="s">
        <v>2445</v>
      </c>
      <c r="L561">
        <v>17</v>
      </c>
      <c r="M561">
        <v>17</v>
      </c>
      <c r="N561">
        <v>53277</v>
      </c>
      <c r="O561">
        <v>497</v>
      </c>
      <c r="P561" t="s">
        <v>3214</v>
      </c>
      <c r="Q561">
        <v>1.3</v>
      </c>
      <c r="R561">
        <v>45.23</v>
      </c>
      <c r="S561">
        <v>0.2</v>
      </c>
      <c r="T561">
        <v>7</v>
      </c>
      <c r="U561">
        <v>4153960.7598000001</v>
      </c>
      <c r="V561">
        <v>10085.084747000001</v>
      </c>
      <c r="W561">
        <v>560</v>
      </c>
      <c r="X561">
        <v>0</v>
      </c>
      <c r="Y561">
        <v>559</v>
      </c>
      <c r="Z561" t="s">
        <v>6966</v>
      </c>
      <c r="AA561" t="s">
        <v>6966</v>
      </c>
      <c r="AB561" t="s">
        <v>6966</v>
      </c>
      <c r="AC561" t="s">
        <v>6966</v>
      </c>
      <c r="AD561" t="s">
        <v>6966</v>
      </c>
      <c r="AE561" t="s">
        <v>6966</v>
      </c>
      <c r="AF561" t="s">
        <v>6966</v>
      </c>
      <c r="AG561" t="s">
        <v>6966</v>
      </c>
      <c r="AH561" t="s">
        <v>6966</v>
      </c>
      <c r="AI561" t="s">
        <v>6966</v>
      </c>
      <c r="AJ561" t="s">
        <v>6966</v>
      </c>
      <c r="AK561" t="s">
        <v>6966</v>
      </c>
      <c r="AL561" t="s">
        <v>6966</v>
      </c>
      <c r="AM561" t="s">
        <v>6966</v>
      </c>
      <c r="AN561" t="s">
        <v>6966</v>
      </c>
      <c r="AO561" t="s">
        <v>6966</v>
      </c>
      <c r="AP561" t="s">
        <v>6966</v>
      </c>
      <c r="AQ561" t="s">
        <v>6966</v>
      </c>
      <c r="AR561" t="s">
        <v>6966</v>
      </c>
      <c r="AS561" t="s">
        <v>6966</v>
      </c>
      <c r="AT561" t="s">
        <v>6966</v>
      </c>
      <c r="AU561" t="s">
        <v>6966</v>
      </c>
      <c r="AV561" t="s">
        <v>6966</v>
      </c>
      <c r="AW561" t="s">
        <v>6966</v>
      </c>
      <c r="AX561" t="s">
        <v>6966</v>
      </c>
      <c r="AY561" t="s">
        <v>6966</v>
      </c>
      <c r="AZ561">
        <v>0.102351</v>
      </c>
      <c r="BA561">
        <v>4.06E-4</v>
      </c>
    </row>
    <row r="562" spans="1:53" x14ac:dyDescent="0.25">
      <c r="A562">
        <v>560</v>
      </c>
      <c r="B562" t="s">
        <v>7625</v>
      </c>
      <c r="C562">
        <v>201020</v>
      </c>
      <c r="D562" t="s">
        <v>1106</v>
      </c>
      <c r="E562" t="s">
        <v>1069</v>
      </c>
      <c r="F562">
        <v>0</v>
      </c>
      <c r="G562">
        <v>41555.3125</v>
      </c>
      <c r="H562">
        <v>510</v>
      </c>
      <c r="I562">
        <v>696</v>
      </c>
      <c r="J562">
        <v>53274</v>
      </c>
      <c r="K562" t="s">
        <v>1106</v>
      </c>
      <c r="L562">
        <v>17</v>
      </c>
      <c r="M562">
        <v>17</v>
      </c>
      <c r="N562">
        <v>53274</v>
      </c>
      <c r="O562">
        <v>498</v>
      </c>
      <c r="P562" t="s">
        <v>3214</v>
      </c>
      <c r="Q562">
        <v>1.5</v>
      </c>
      <c r="R562">
        <v>42.6</v>
      </c>
      <c r="S562">
        <v>0.24</v>
      </c>
      <c r="T562">
        <v>7</v>
      </c>
      <c r="U562">
        <v>0</v>
      </c>
      <c r="V562">
        <v>41555.313173000002</v>
      </c>
      <c r="W562">
        <v>561</v>
      </c>
      <c r="X562">
        <v>0</v>
      </c>
      <c r="Y562">
        <v>560</v>
      </c>
      <c r="Z562" t="s">
        <v>6966</v>
      </c>
      <c r="AA562" t="s">
        <v>6966</v>
      </c>
      <c r="AB562" t="s">
        <v>6966</v>
      </c>
      <c r="AC562" t="s">
        <v>6966</v>
      </c>
      <c r="AD562" t="s">
        <v>6966</v>
      </c>
      <c r="AE562" t="s">
        <v>6966</v>
      </c>
      <c r="AF562" t="s">
        <v>6966</v>
      </c>
      <c r="AG562" t="s">
        <v>6966</v>
      </c>
      <c r="AH562" t="s">
        <v>6966</v>
      </c>
      <c r="AI562" t="s">
        <v>6966</v>
      </c>
      <c r="AJ562" t="s">
        <v>6966</v>
      </c>
      <c r="AK562" t="s">
        <v>6966</v>
      </c>
      <c r="AL562" t="s">
        <v>6966</v>
      </c>
      <c r="AM562" t="s">
        <v>6966</v>
      </c>
      <c r="AN562" t="s">
        <v>6966</v>
      </c>
      <c r="AO562" t="s">
        <v>6966</v>
      </c>
      <c r="AP562" t="s">
        <v>6966</v>
      </c>
      <c r="AQ562" t="s">
        <v>6966</v>
      </c>
      <c r="AR562" t="s">
        <v>6966</v>
      </c>
      <c r="AS562" t="s">
        <v>6966</v>
      </c>
      <c r="AT562" t="s">
        <v>6966</v>
      </c>
      <c r="AU562" t="s">
        <v>6966</v>
      </c>
      <c r="AV562" t="s">
        <v>6966</v>
      </c>
      <c r="AW562" t="s">
        <v>6966</v>
      </c>
      <c r="AX562" t="s">
        <v>6966</v>
      </c>
      <c r="AY562" t="s">
        <v>6966</v>
      </c>
      <c r="AZ562">
        <v>0.41332000000000002</v>
      </c>
      <c r="BA562">
        <v>2.6870000000000002E-3</v>
      </c>
    </row>
    <row r="563" spans="1:53" x14ac:dyDescent="0.25">
      <c r="A563">
        <v>561</v>
      </c>
      <c r="B563" t="s">
        <v>7625</v>
      </c>
      <c r="C563">
        <v>201093</v>
      </c>
      <c r="D563" t="s">
        <v>7776</v>
      </c>
      <c r="E563" t="s">
        <v>1069</v>
      </c>
      <c r="F563">
        <v>0</v>
      </c>
      <c r="G563">
        <v>34416.195312999997</v>
      </c>
      <c r="H563">
        <v>511</v>
      </c>
      <c r="I563">
        <v>697</v>
      </c>
      <c r="J563">
        <v>53388</v>
      </c>
      <c r="K563" t="s">
        <v>7777</v>
      </c>
      <c r="L563">
        <v>17</v>
      </c>
      <c r="M563">
        <v>17</v>
      </c>
      <c r="N563">
        <v>53388</v>
      </c>
      <c r="O563">
        <v>499</v>
      </c>
      <c r="P563" t="s">
        <v>3214</v>
      </c>
      <c r="Q563">
        <v>0.4</v>
      </c>
      <c r="R563">
        <v>61.64</v>
      </c>
      <c r="S563">
        <v>0.08</v>
      </c>
      <c r="T563">
        <v>13</v>
      </c>
      <c r="U563">
        <v>0</v>
      </c>
      <c r="V563">
        <v>34416.192614</v>
      </c>
      <c r="W563">
        <v>562</v>
      </c>
      <c r="X563">
        <v>0</v>
      </c>
      <c r="Y563">
        <v>561</v>
      </c>
      <c r="Z563" t="s">
        <v>6966</v>
      </c>
      <c r="AA563" t="s">
        <v>6966</v>
      </c>
      <c r="AB563" t="s">
        <v>6966</v>
      </c>
      <c r="AC563" t="s">
        <v>6966</v>
      </c>
      <c r="AD563" t="s">
        <v>6966</v>
      </c>
      <c r="AE563" t="s">
        <v>6966</v>
      </c>
      <c r="AF563" t="s">
        <v>6966</v>
      </c>
      <c r="AG563" t="s">
        <v>6966</v>
      </c>
      <c r="AH563" t="s">
        <v>6966</v>
      </c>
      <c r="AI563" t="s">
        <v>6966</v>
      </c>
      <c r="AJ563" t="s">
        <v>6966</v>
      </c>
      <c r="AK563" t="s">
        <v>6966</v>
      </c>
      <c r="AL563" t="s">
        <v>6966</v>
      </c>
      <c r="AM563" t="s">
        <v>6966</v>
      </c>
      <c r="AN563" t="s">
        <v>6966</v>
      </c>
      <c r="AO563" t="s">
        <v>6966</v>
      </c>
      <c r="AP563" t="s">
        <v>6966</v>
      </c>
      <c r="AQ563" t="s">
        <v>6966</v>
      </c>
      <c r="AR563" t="s">
        <v>6966</v>
      </c>
      <c r="AS563" t="s">
        <v>6966</v>
      </c>
      <c r="AT563" t="s">
        <v>6966</v>
      </c>
      <c r="AU563" t="s">
        <v>6966</v>
      </c>
      <c r="AV563" t="s">
        <v>6966</v>
      </c>
      <c r="AW563" t="s">
        <v>6966</v>
      </c>
      <c r="AX563" t="s">
        <v>6966</v>
      </c>
      <c r="AY563" t="s">
        <v>6966</v>
      </c>
      <c r="AZ563">
        <v>0.34181499999999998</v>
      </c>
      <c r="BA563">
        <v>2.8839999999999998E-3</v>
      </c>
    </row>
    <row r="564" spans="1:53" x14ac:dyDescent="0.25">
      <c r="A564">
        <v>562</v>
      </c>
      <c r="B564" t="s">
        <v>7625</v>
      </c>
      <c r="C564">
        <v>504009</v>
      </c>
      <c r="D564" t="s">
        <v>443</v>
      </c>
      <c r="E564" t="s">
        <v>7766</v>
      </c>
      <c r="F564">
        <v>5819106.5</v>
      </c>
      <c r="G564">
        <v>15069.683594</v>
      </c>
      <c r="H564">
        <v>512</v>
      </c>
      <c r="I564">
        <v>698</v>
      </c>
      <c r="J564">
        <v>26141</v>
      </c>
      <c r="K564" t="s">
        <v>1917</v>
      </c>
      <c r="L564">
        <v>7</v>
      </c>
      <c r="M564">
        <v>7</v>
      </c>
      <c r="N564">
        <v>26141</v>
      </c>
      <c r="O564">
        <v>500</v>
      </c>
      <c r="P564" t="s">
        <v>3212</v>
      </c>
      <c r="Q564">
        <v>23.2</v>
      </c>
      <c r="R564">
        <v>77.02</v>
      </c>
      <c r="S564">
        <v>5.86</v>
      </c>
      <c r="T564">
        <v>20</v>
      </c>
      <c r="U564">
        <v>5819106.3026999999</v>
      </c>
      <c r="V564">
        <v>15069.684096000001</v>
      </c>
      <c r="W564">
        <v>563</v>
      </c>
      <c r="X564">
        <v>1</v>
      </c>
      <c r="Y564">
        <v>562</v>
      </c>
      <c r="Z564">
        <v>74392</v>
      </c>
      <c r="AA564" s="76">
        <v>45966</v>
      </c>
      <c r="AB564">
        <v>2025</v>
      </c>
      <c r="AC564" t="s">
        <v>7516</v>
      </c>
      <c r="AD564">
        <v>5</v>
      </c>
      <c r="AE564" t="s">
        <v>7517</v>
      </c>
      <c r="AF564" t="s">
        <v>3212</v>
      </c>
      <c r="AG564" t="s">
        <v>3227</v>
      </c>
      <c r="AH564" t="s">
        <v>443</v>
      </c>
      <c r="AI564" t="s">
        <v>443</v>
      </c>
      <c r="AJ564" t="s">
        <v>6966</v>
      </c>
      <c r="AK564">
        <v>34.148440000000001</v>
      </c>
      <c r="AL564">
        <v>35.644930000000002</v>
      </c>
      <c r="AM564" t="s">
        <v>6995</v>
      </c>
      <c r="AN564" t="s">
        <v>6966</v>
      </c>
      <c r="AO564" t="s">
        <v>6996</v>
      </c>
      <c r="AP564" t="s">
        <v>7518</v>
      </c>
      <c r="AQ564" t="s">
        <v>6998</v>
      </c>
      <c r="AR564" t="s">
        <v>6999</v>
      </c>
      <c r="AS564" t="s">
        <v>7000</v>
      </c>
      <c r="AT564">
        <v>0</v>
      </c>
      <c r="AU564">
        <v>0</v>
      </c>
      <c r="AV564" t="s">
        <v>7519</v>
      </c>
      <c r="AW564" t="s">
        <v>7041</v>
      </c>
      <c r="AX564" t="s">
        <v>6966</v>
      </c>
      <c r="AY564" t="s">
        <v>7003</v>
      </c>
      <c r="AZ564">
        <v>0.149173</v>
      </c>
      <c r="BA564">
        <v>5.6899999999999995E-4</v>
      </c>
    </row>
    <row r="565" spans="1:53" x14ac:dyDescent="0.25">
      <c r="A565">
        <v>563</v>
      </c>
      <c r="B565" t="s">
        <v>7625</v>
      </c>
      <c r="C565">
        <v>504087</v>
      </c>
      <c r="D565" t="s">
        <v>485</v>
      </c>
      <c r="E565" t="s">
        <v>7766</v>
      </c>
      <c r="F565">
        <v>144026.078125</v>
      </c>
      <c r="G565">
        <v>1755.055298</v>
      </c>
      <c r="H565">
        <v>513</v>
      </c>
      <c r="I565">
        <v>699</v>
      </c>
      <c r="J565">
        <v>26261</v>
      </c>
      <c r="K565" t="s">
        <v>1954</v>
      </c>
      <c r="L565">
        <v>7</v>
      </c>
      <c r="M565">
        <v>7</v>
      </c>
      <c r="N565">
        <v>26261</v>
      </c>
      <c r="O565">
        <v>501</v>
      </c>
      <c r="P565" t="s">
        <v>3212</v>
      </c>
      <c r="Q565">
        <v>5.4</v>
      </c>
      <c r="R565">
        <v>39.36</v>
      </c>
      <c r="S565">
        <v>1.6</v>
      </c>
      <c r="T565">
        <v>12</v>
      </c>
      <c r="U565">
        <v>144026.064621</v>
      </c>
      <c r="V565">
        <v>1755.0552459999999</v>
      </c>
      <c r="W565">
        <v>564</v>
      </c>
      <c r="X565">
        <v>0</v>
      </c>
      <c r="Y565">
        <v>563</v>
      </c>
      <c r="Z565" t="s">
        <v>6966</v>
      </c>
      <c r="AA565" t="s">
        <v>6966</v>
      </c>
      <c r="AB565" t="s">
        <v>6966</v>
      </c>
      <c r="AC565" t="s">
        <v>6966</v>
      </c>
      <c r="AD565" t="s">
        <v>6966</v>
      </c>
      <c r="AE565" t="s">
        <v>6966</v>
      </c>
      <c r="AF565" t="s">
        <v>6966</v>
      </c>
      <c r="AG565" t="s">
        <v>6966</v>
      </c>
      <c r="AH565" t="s">
        <v>6966</v>
      </c>
      <c r="AI565" t="s">
        <v>6966</v>
      </c>
      <c r="AJ565" t="s">
        <v>6966</v>
      </c>
      <c r="AK565" t="s">
        <v>6966</v>
      </c>
      <c r="AL565" t="s">
        <v>6966</v>
      </c>
      <c r="AM565" t="s">
        <v>6966</v>
      </c>
      <c r="AN565" t="s">
        <v>6966</v>
      </c>
      <c r="AO565" t="s">
        <v>6966</v>
      </c>
      <c r="AP565" t="s">
        <v>6966</v>
      </c>
      <c r="AQ565" t="s">
        <v>6966</v>
      </c>
      <c r="AR565" t="s">
        <v>6966</v>
      </c>
      <c r="AS565" t="s">
        <v>6966</v>
      </c>
      <c r="AT565" t="s">
        <v>6966</v>
      </c>
      <c r="AU565" t="s">
        <v>6966</v>
      </c>
      <c r="AV565" t="s">
        <v>6966</v>
      </c>
      <c r="AW565" t="s">
        <v>6966</v>
      </c>
      <c r="AX565" t="s">
        <v>6966</v>
      </c>
      <c r="AY565" t="s">
        <v>6966</v>
      </c>
      <c r="AZ565">
        <v>1.8058000000000001E-2</v>
      </c>
      <c r="BA565">
        <v>1.4E-5</v>
      </c>
    </row>
    <row r="566" spans="1:53" x14ac:dyDescent="0.25">
      <c r="A566">
        <v>564</v>
      </c>
      <c r="B566" t="s">
        <v>7625</v>
      </c>
      <c r="C566">
        <v>504018</v>
      </c>
      <c r="D566" t="s">
        <v>491</v>
      </c>
      <c r="E566" t="s">
        <v>7766</v>
      </c>
      <c r="F566">
        <v>754871.8125</v>
      </c>
      <c r="G566">
        <v>5795.0546880000002</v>
      </c>
      <c r="H566">
        <v>514</v>
      </c>
      <c r="I566">
        <v>700</v>
      </c>
      <c r="J566">
        <v>26271</v>
      </c>
      <c r="K566" t="s">
        <v>1960</v>
      </c>
      <c r="L566">
        <v>7</v>
      </c>
      <c r="M566">
        <v>7</v>
      </c>
      <c r="N566">
        <v>26271</v>
      </c>
      <c r="O566">
        <v>502</v>
      </c>
      <c r="P566" t="s">
        <v>3212</v>
      </c>
      <c r="Q566">
        <v>1.3</v>
      </c>
      <c r="R566">
        <v>17.940000000000001</v>
      </c>
      <c r="S566">
        <v>0.37</v>
      </c>
      <c r="T566">
        <v>5</v>
      </c>
      <c r="U566">
        <v>754871.82001200004</v>
      </c>
      <c r="V566">
        <v>5795.05465</v>
      </c>
      <c r="W566">
        <v>565</v>
      </c>
      <c r="X566">
        <v>0</v>
      </c>
      <c r="Y566">
        <v>564</v>
      </c>
      <c r="Z566" t="s">
        <v>6966</v>
      </c>
      <c r="AA566" t="s">
        <v>6966</v>
      </c>
      <c r="AB566" t="s">
        <v>6966</v>
      </c>
      <c r="AC566" t="s">
        <v>6966</v>
      </c>
      <c r="AD566" t="s">
        <v>6966</v>
      </c>
      <c r="AE566" t="s">
        <v>6966</v>
      </c>
      <c r="AF566" t="s">
        <v>6966</v>
      </c>
      <c r="AG566" t="s">
        <v>6966</v>
      </c>
      <c r="AH566" t="s">
        <v>6966</v>
      </c>
      <c r="AI566" t="s">
        <v>6966</v>
      </c>
      <c r="AJ566" t="s">
        <v>6966</v>
      </c>
      <c r="AK566" t="s">
        <v>6966</v>
      </c>
      <c r="AL566" t="s">
        <v>6966</v>
      </c>
      <c r="AM566" t="s">
        <v>6966</v>
      </c>
      <c r="AN566" t="s">
        <v>6966</v>
      </c>
      <c r="AO566" t="s">
        <v>6966</v>
      </c>
      <c r="AP566" t="s">
        <v>6966</v>
      </c>
      <c r="AQ566" t="s">
        <v>6966</v>
      </c>
      <c r="AR566" t="s">
        <v>6966</v>
      </c>
      <c r="AS566" t="s">
        <v>6966</v>
      </c>
      <c r="AT566" t="s">
        <v>6966</v>
      </c>
      <c r="AU566" t="s">
        <v>6966</v>
      </c>
      <c r="AV566" t="s">
        <v>6966</v>
      </c>
      <c r="AW566" t="s">
        <v>6966</v>
      </c>
      <c r="AX566" t="s">
        <v>6966</v>
      </c>
      <c r="AY566" t="s">
        <v>6966</v>
      </c>
      <c r="AZ566">
        <v>5.9663000000000001E-2</v>
      </c>
      <c r="BA566">
        <v>7.3999999999999996E-5</v>
      </c>
    </row>
    <row r="567" spans="1:53" x14ac:dyDescent="0.25">
      <c r="A567">
        <v>565</v>
      </c>
      <c r="B567" t="s">
        <v>7625</v>
      </c>
      <c r="C567">
        <v>504090</v>
      </c>
      <c r="D567" t="s">
        <v>531</v>
      </c>
      <c r="E567" t="s">
        <v>7766</v>
      </c>
      <c r="F567">
        <v>6709340</v>
      </c>
      <c r="G567">
        <v>13936.494140999999</v>
      </c>
      <c r="H567">
        <v>515</v>
      </c>
      <c r="I567">
        <v>701</v>
      </c>
      <c r="J567">
        <v>26377</v>
      </c>
      <c r="K567" t="s">
        <v>1991</v>
      </c>
      <c r="L567">
        <v>7</v>
      </c>
      <c r="M567">
        <v>7</v>
      </c>
      <c r="N567">
        <v>26377</v>
      </c>
      <c r="O567">
        <v>503</v>
      </c>
      <c r="P567" t="s">
        <v>3212</v>
      </c>
      <c r="Q567">
        <v>0.1</v>
      </c>
      <c r="R567">
        <v>9.0399999999999991</v>
      </c>
      <c r="S567">
        <v>0.11</v>
      </c>
      <c r="T567">
        <v>11</v>
      </c>
      <c r="U567">
        <v>6709339.91885</v>
      </c>
      <c r="V567">
        <v>13936.492142999999</v>
      </c>
      <c r="W567">
        <v>566</v>
      </c>
      <c r="X567">
        <v>0</v>
      </c>
      <c r="Y567">
        <v>565</v>
      </c>
      <c r="Z567" t="s">
        <v>6966</v>
      </c>
      <c r="AA567" t="s">
        <v>6966</v>
      </c>
      <c r="AB567" t="s">
        <v>6966</v>
      </c>
      <c r="AC567" t="s">
        <v>6966</v>
      </c>
      <c r="AD567" t="s">
        <v>6966</v>
      </c>
      <c r="AE567" t="s">
        <v>6966</v>
      </c>
      <c r="AF567" t="s">
        <v>6966</v>
      </c>
      <c r="AG567" t="s">
        <v>6966</v>
      </c>
      <c r="AH567" t="s">
        <v>6966</v>
      </c>
      <c r="AI567" t="s">
        <v>6966</v>
      </c>
      <c r="AJ567" t="s">
        <v>6966</v>
      </c>
      <c r="AK567" t="s">
        <v>6966</v>
      </c>
      <c r="AL567" t="s">
        <v>6966</v>
      </c>
      <c r="AM567" t="s">
        <v>6966</v>
      </c>
      <c r="AN567" t="s">
        <v>6966</v>
      </c>
      <c r="AO567" t="s">
        <v>6966</v>
      </c>
      <c r="AP567" t="s">
        <v>6966</v>
      </c>
      <c r="AQ567" t="s">
        <v>6966</v>
      </c>
      <c r="AR567" t="s">
        <v>6966</v>
      </c>
      <c r="AS567" t="s">
        <v>6966</v>
      </c>
      <c r="AT567" t="s">
        <v>6966</v>
      </c>
      <c r="AU567" t="s">
        <v>6966</v>
      </c>
      <c r="AV567" t="s">
        <v>6966</v>
      </c>
      <c r="AW567" t="s">
        <v>6966</v>
      </c>
      <c r="AX567" t="s">
        <v>6966</v>
      </c>
      <c r="AY567" t="s">
        <v>6966</v>
      </c>
      <c r="AZ567">
        <v>0.14122699999999999</v>
      </c>
      <c r="BA567">
        <v>6.5600000000000001E-4</v>
      </c>
    </row>
    <row r="568" spans="1:53" x14ac:dyDescent="0.25">
      <c r="A568">
        <v>566</v>
      </c>
      <c r="B568" t="s">
        <v>7625</v>
      </c>
      <c r="C568">
        <v>504041</v>
      </c>
      <c r="D568" t="s">
        <v>503</v>
      </c>
      <c r="E568" t="s">
        <v>7766</v>
      </c>
      <c r="F568">
        <v>2045396.5</v>
      </c>
      <c r="G568">
        <v>10482.719727</v>
      </c>
      <c r="H568">
        <v>516</v>
      </c>
      <c r="I568">
        <v>702</v>
      </c>
      <c r="J568">
        <v>26291</v>
      </c>
      <c r="K568" t="s">
        <v>1969</v>
      </c>
      <c r="L568">
        <v>7</v>
      </c>
      <c r="M568">
        <v>7</v>
      </c>
      <c r="N568">
        <v>26291</v>
      </c>
      <c r="O568">
        <v>504</v>
      </c>
      <c r="P568" t="s">
        <v>3212</v>
      </c>
      <c r="Q568">
        <v>2</v>
      </c>
      <c r="R568">
        <v>21.09</v>
      </c>
      <c r="S568">
        <v>0.72</v>
      </c>
      <c r="T568">
        <v>8</v>
      </c>
      <c r="U568">
        <v>2045396.44948</v>
      </c>
      <c r="V568">
        <v>10482.719665000001</v>
      </c>
      <c r="W568">
        <v>567</v>
      </c>
      <c r="X568">
        <v>0</v>
      </c>
      <c r="Y568">
        <v>566</v>
      </c>
      <c r="Z568" t="s">
        <v>6966</v>
      </c>
      <c r="AA568" t="s">
        <v>6966</v>
      </c>
      <c r="AB568" t="s">
        <v>6966</v>
      </c>
      <c r="AC568" t="s">
        <v>6966</v>
      </c>
      <c r="AD568" t="s">
        <v>6966</v>
      </c>
      <c r="AE568" t="s">
        <v>6966</v>
      </c>
      <c r="AF568" t="s">
        <v>6966</v>
      </c>
      <c r="AG568" t="s">
        <v>6966</v>
      </c>
      <c r="AH568" t="s">
        <v>6966</v>
      </c>
      <c r="AI568" t="s">
        <v>6966</v>
      </c>
      <c r="AJ568" t="s">
        <v>6966</v>
      </c>
      <c r="AK568" t="s">
        <v>6966</v>
      </c>
      <c r="AL568" t="s">
        <v>6966</v>
      </c>
      <c r="AM568" t="s">
        <v>6966</v>
      </c>
      <c r="AN568" t="s">
        <v>6966</v>
      </c>
      <c r="AO568" t="s">
        <v>6966</v>
      </c>
      <c r="AP568" t="s">
        <v>6966</v>
      </c>
      <c r="AQ568" t="s">
        <v>6966</v>
      </c>
      <c r="AR568" t="s">
        <v>6966</v>
      </c>
      <c r="AS568" t="s">
        <v>6966</v>
      </c>
      <c r="AT568" t="s">
        <v>6966</v>
      </c>
      <c r="AU568" t="s">
        <v>6966</v>
      </c>
      <c r="AV568" t="s">
        <v>6966</v>
      </c>
      <c r="AW568" t="s">
        <v>6966</v>
      </c>
      <c r="AX568" t="s">
        <v>6966</v>
      </c>
      <c r="AY568" t="s">
        <v>6966</v>
      </c>
      <c r="AZ568">
        <v>0.10699599999999999</v>
      </c>
      <c r="BA568">
        <v>2.0000000000000001E-4</v>
      </c>
    </row>
    <row r="569" spans="1:53" x14ac:dyDescent="0.25">
      <c r="A569">
        <v>567</v>
      </c>
      <c r="B569" t="s">
        <v>7625</v>
      </c>
      <c r="C569">
        <v>504091</v>
      </c>
      <c r="D569" t="s">
        <v>486</v>
      </c>
      <c r="E569" t="s">
        <v>7766</v>
      </c>
      <c r="F569">
        <v>342512</v>
      </c>
      <c r="G569">
        <v>3231.6164549999999</v>
      </c>
      <c r="H569">
        <v>517</v>
      </c>
      <c r="I569">
        <v>703</v>
      </c>
      <c r="J569">
        <v>26263</v>
      </c>
      <c r="K569" t="s">
        <v>1955</v>
      </c>
      <c r="L569">
        <v>7</v>
      </c>
      <c r="M569">
        <v>7</v>
      </c>
      <c r="N569">
        <v>26263</v>
      </c>
      <c r="O569">
        <v>505</v>
      </c>
      <c r="P569" t="s">
        <v>3212</v>
      </c>
      <c r="Q569">
        <v>2.7</v>
      </c>
      <c r="R569">
        <v>23.62</v>
      </c>
      <c r="S569">
        <v>0.64</v>
      </c>
      <c r="T569">
        <v>6</v>
      </c>
      <c r="U569">
        <v>342512.02758300002</v>
      </c>
      <c r="V569">
        <v>3231.6168499999999</v>
      </c>
      <c r="W569">
        <v>568</v>
      </c>
      <c r="X569">
        <v>0</v>
      </c>
      <c r="Y569">
        <v>567</v>
      </c>
      <c r="Z569" t="s">
        <v>6966</v>
      </c>
      <c r="AA569" t="s">
        <v>6966</v>
      </c>
      <c r="AB569" t="s">
        <v>6966</v>
      </c>
      <c r="AC569" t="s">
        <v>6966</v>
      </c>
      <c r="AD569" t="s">
        <v>6966</v>
      </c>
      <c r="AE569" t="s">
        <v>6966</v>
      </c>
      <c r="AF569" t="s">
        <v>6966</v>
      </c>
      <c r="AG569" t="s">
        <v>6966</v>
      </c>
      <c r="AH569" t="s">
        <v>6966</v>
      </c>
      <c r="AI569" t="s">
        <v>6966</v>
      </c>
      <c r="AJ569" t="s">
        <v>6966</v>
      </c>
      <c r="AK569" t="s">
        <v>6966</v>
      </c>
      <c r="AL569" t="s">
        <v>6966</v>
      </c>
      <c r="AM569" t="s">
        <v>6966</v>
      </c>
      <c r="AN569" t="s">
        <v>6966</v>
      </c>
      <c r="AO569" t="s">
        <v>6966</v>
      </c>
      <c r="AP569" t="s">
        <v>6966</v>
      </c>
      <c r="AQ569" t="s">
        <v>6966</v>
      </c>
      <c r="AR569" t="s">
        <v>6966</v>
      </c>
      <c r="AS569" t="s">
        <v>6966</v>
      </c>
      <c r="AT569" t="s">
        <v>6966</v>
      </c>
      <c r="AU569" t="s">
        <v>6966</v>
      </c>
      <c r="AV569" t="s">
        <v>6966</v>
      </c>
      <c r="AW569" t="s">
        <v>6966</v>
      </c>
      <c r="AX569" t="s">
        <v>6966</v>
      </c>
      <c r="AY569" t="s">
        <v>6966</v>
      </c>
      <c r="AZ569">
        <v>3.2631E-2</v>
      </c>
      <c r="BA569">
        <v>3.3000000000000003E-5</v>
      </c>
    </row>
    <row r="570" spans="1:53" x14ac:dyDescent="0.25">
      <c r="A570">
        <v>568</v>
      </c>
      <c r="B570" t="s">
        <v>7625</v>
      </c>
      <c r="C570">
        <v>504046</v>
      </c>
      <c r="D570" t="s">
        <v>497</v>
      </c>
      <c r="E570" t="s">
        <v>7766</v>
      </c>
      <c r="F570">
        <v>1739782.5</v>
      </c>
      <c r="G570">
        <v>8421.1005860000005</v>
      </c>
      <c r="H570">
        <v>518</v>
      </c>
      <c r="I570">
        <v>704</v>
      </c>
      <c r="J570">
        <v>26281</v>
      </c>
      <c r="K570" t="s">
        <v>1964</v>
      </c>
      <c r="L570">
        <v>7</v>
      </c>
      <c r="M570">
        <v>7</v>
      </c>
      <c r="N570">
        <v>26281</v>
      </c>
      <c r="O570">
        <v>506</v>
      </c>
      <c r="P570" t="s">
        <v>3212</v>
      </c>
      <c r="Q570">
        <v>2</v>
      </c>
      <c r="R570">
        <v>12.73</v>
      </c>
      <c r="S570">
        <v>0.45</v>
      </c>
      <c r="T570">
        <v>3</v>
      </c>
      <c r="U570">
        <v>1739782.5970900001</v>
      </c>
      <c r="V570">
        <v>8421.0995019999991</v>
      </c>
      <c r="W570">
        <v>569</v>
      </c>
      <c r="X570">
        <v>0</v>
      </c>
      <c r="Y570">
        <v>568</v>
      </c>
      <c r="Z570" t="s">
        <v>6966</v>
      </c>
      <c r="AA570" t="s">
        <v>6966</v>
      </c>
      <c r="AB570" t="s">
        <v>6966</v>
      </c>
      <c r="AC570" t="s">
        <v>6966</v>
      </c>
      <c r="AD570" t="s">
        <v>6966</v>
      </c>
      <c r="AE570" t="s">
        <v>6966</v>
      </c>
      <c r="AF570" t="s">
        <v>6966</v>
      </c>
      <c r="AG570" t="s">
        <v>6966</v>
      </c>
      <c r="AH570" t="s">
        <v>6966</v>
      </c>
      <c r="AI570" t="s">
        <v>6966</v>
      </c>
      <c r="AJ570" t="s">
        <v>6966</v>
      </c>
      <c r="AK570" t="s">
        <v>6966</v>
      </c>
      <c r="AL570" t="s">
        <v>6966</v>
      </c>
      <c r="AM570" t="s">
        <v>6966</v>
      </c>
      <c r="AN570" t="s">
        <v>6966</v>
      </c>
      <c r="AO570" t="s">
        <v>6966</v>
      </c>
      <c r="AP570" t="s">
        <v>6966</v>
      </c>
      <c r="AQ570" t="s">
        <v>6966</v>
      </c>
      <c r="AR570" t="s">
        <v>6966</v>
      </c>
      <c r="AS570" t="s">
        <v>6966</v>
      </c>
      <c r="AT570" t="s">
        <v>6966</v>
      </c>
      <c r="AU570" t="s">
        <v>6966</v>
      </c>
      <c r="AV570" t="s">
        <v>6966</v>
      </c>
      <c r="AW570" t="s">
        <v>6966</v>
      </c>
      <c r="AX570" t="s">
        <v>6966</v>
      </c>
      <c r="AY570" t="s">
        <v>6966</v>
      </c>
      <c r="AZ570">
        <v>8.6717000000000002E-2</v>
      </c>
      <c r="BA570">
        <v>1.7000000000000001E-4</v>
      </c>
    </row>
    <row r="571" spans="1:53" x14ac:dyDescent="0.25">
      <c r="A571">
        <v>569</v>
      </c>
      <c r="B571" t="s">
        <v>7625</v>
      </c>
      <c r="C571">
        <v>504010</v>
      </c>
      <c r="D571" t="s">
        <v>529</v>
      </c>
      <c r="E571" t="s">
        <v>7766</v>
      </c>
      <c r="F571">
        <v>0</v>
      </c>
      <c r="G571">
        <v>57018.164062999997</v>
      </c>
      <c r="H571">
        <v>519</v>
      </c>
      <c r="I571">
        <v>705</v>
      </c>
      <c r="J571">
        <v>26371</v>
      </c>
      <c r="K571" t="s">
        <v>1989</v>
      </c>
      <c r="L571">
        <v>7</v>
      </c>
      <c r="M571">
        <v>7</v>
      </c>
      <c r="N571">
        <v>26371</v>
      </c>
      <c r="O571">
        <v>507</v>
      </c>
      <c r="P571" t="s">
        <v>3212</v>
      </c>
      <c r="Q571">
        <v>0</v>
      </c>
      <c r="R571">
        <v>25.65</v>
      </c>
      <c r="S571">
        <v>0.04</v>
      </c>
      <c r="T571">
        <v>23</v>
      </c>
      <c r="U571">
        <v>0</v>
      </c>
      <c r="V571">
        <v>57018.166103000003</v>
      </c>
      <c r="W571">
        <v>570</v>
      </c>
      <c r="X571">
        <v>0</v>
      </c>
      <c r="Y571">
        <v>569</v>
      </c>
      <c r="Z571" t="s">
        <v>6966</v>
      </c>
      <c r="AA571" t="s">
        <v>6966</v>
      </c>
      <c r="AB571" t="s">
        <v>6966</v>
      </c>
      <c r="AC571" t="s">
        <v>6966</v>
      </c>
      <c r="AD571" t="s">
        <v>6966</v>
      </c>
      <c r="AE571" t="s">
        <v>6966</v>
      </c>
      <c r="AF571" t="s">
        <v>6966</v>
      </c>
      <c r="AG571" t="s">
        <v>6966</v>
      </c>
      <c r="AH571" t="s">
        <v>6966</v>
      </c>
      <c r="AI571" t="s">
        <v>6966</v>
      </c>
      <c r="AJ571" t="s">
        <v>6966</v>
      </c>
      <c r="AK571" t="s">
        <v>6966</v>
      </c>
      <c r="AL571" t="s">
        <v>6966</v>
      </c>
      <c r="AM571" t="s">
        <v>6966</v>
      </c>
      <c r="AN571" t="s">
        <v>6966</v>
      </c>
      <c r="AO571" t="s">
        <v>6966</v>
      </c>
      <c r="AP571" t="s">
        <v>6966</v>
      </c>
      <c r="AQ571" t="s">
        <v>6966</v>
      </c>
      <c r="AR571" t="s">
        <v>6966</v>
      </c>
      <c r="AS571" t="s">
        <v>6966</v>
      </c>
      <c r="AT571" t="s">
        <v>6966</v>
      </c>
      <c r="AU571" t="s">
        <v>6966</v>
      </c>
      <c r="AV571" t="s">
        <v>6966</v>
      </c>
      <c r="AW571" t="s">
        <v>6966</v>
      </c>
      <c r="AX571" t="s">
        <v>6966</v>
      </c>
      <c r="AY571" t="s">
        <v>6966</v>
      </c>
      <c r="AZ571">
        <v>0.56102300000000005</v>
      </c>
      <c r="BA571">
        <v>9.8189999999999996E-3</v>
      </c>
    </row>
    <row r="572" spans="1:53" x14ac:dyDescent="0.25">
      <c r="A572">
        <v>570</v>
      </c>
      <c r="B572" t="s">
        <v>7625</v>
      </c>
      <c r="C572">
        <v>201013</v>
      </c>
      <c r="D572" t="s">
        <v>1112</v>
      </c>
      <c r="E572" t="s">
        <v>1069</v>
      </c>
      <c r="F572">
        <v>0</v>
      </c>
      <c r="G572">
        <v>22002.177734000001</v>
      </c>
      <c r="H572">
        <v>520</v>
      </c>
      <c r="I572">
        <v>706</v>
      </c>
      <c r="J572">
        <v>53333</v>
      </c>
      <c r="K572" t="s">
        <v>2450</v>
      </c>
      <c r="L572">
        <v>17</v>
      </c>
      <c r="M572">
        <v>17</v>
      </c>
      <c r="N572">
        <v>53333</v>
      </c>
      <c r="O572">
        <v>508</v>
      </c>
      <c r="P572" t="s">
        <v>3214</v>
      </c>
      <c r="Q572">
        <v>0.6</v>
      </c>
      <c r="R572">
        <v>26.84</v>
      </c>
      <c r="S572">
        <v>0.19</v>
      </c>
      <c r="T572">
        <v>8</v>
      </c>
      <c r="U572">
        <v>0</v>
      </c>
      <c r="V572">
        <v>22002.17713</v>
      </c>
      <c r="W572">
        <v>571</v>
      </c>
      <c r="X572">
        <v>0</v>
      </c>
      <c r="Y572">
        <v>570</v>
      </c>
      <c r="Z572" t="s">
        <v>6966</v>
      </c>
      <c r="AA572" t="s">
        <v>6966</v>
      </c>
      <c r="AB572" t="s">
        <v>6966</v>
      </c>
      <c r="AC572" t="s">
        <v>6966</v>
      </c>
      <c r="AD572" t="s">
        <v>6966</v>
      </c>
      <c r="AE572" t="s">
        <v>6966</v>
      </c>
      <c r="AF572" t="s">
        <v>6966</v>
      </c>
      <c r="AG572" t="s">
        <v>6966</v>
      </c>
      <c r="AH572" t="s">
        <v>6966</v>
      </c>
      <c r="AI572" t="s">
        <v>6966</v>
      </c>
      <c r="AJ572" t="s">
        <v>6966</v>
      </c>
      <c r="AK572" t="s">
        <v>6966</v>
      </c>
      <c r="AL572" t="s">
        <v>6966</v>
      </c>
      <c r="AM572" t="s">
        <v>6966</v>
      </c>
      <c r="AN572" t="s">
        <v>6966</v>
      </c>
      <c r="AO572" t="s">
        <v>6966</v>
      </c>
      <c r="AP572" t="s">
        <v>6966</v>
      </c>
      <c r="AQ572" t="s">
        <v>6966</v>
      </c>
      <c r="AR572" t="s">
        <v>6966</v>
      </c>
      <c r="AS572" t="s">
        <v>6966</v>
      </c>
      <c r="AT572" t="s">
        <v>6966</v>
      </c>
      <c r="AU572" t="s">
        <v>6966</v>
      </c>
      <c r="AV572" t="s">
        <v>6966</v>
      </c>
      <c r="AW572" t="s">
        <v>6966</v>
      </c>
      <c r="AX572" t="s">
        <v>6966</v>
      </c>
      <c r="AY572" t="s">
        <v>6966</v>
      </c>
      <c r="AZ572">
        <v>0.22332099999999999</v>
      </c>
      <c r="BA572">
        <v>1.4009999999999999E-3</v>
      </c>
    </row>
    <row r="573" spans="1:53" x14ac:dyDescent="0.25">
      <c r="A573">
        <v>571</v>
      </c>
      <c r="B573" t="s">
        <v>7625</v>
      </c>
      <c r="C573">
        <v>201081</v>
      </c>
      <c r="D573" t="s">
        <v>1114</v>
      </c>
      <c r="E573" t="s">
        <v>1069</v>
      </c>
      <c r="F573">
        <v>0</v>
      </c>
      <c r="G573">
        <v>30396.179688</v>
      </c>
      <c r="H573">
        <v>521</v>
      </c>
      <c r="I573">
        <v>707</v>
      </c>
      <c r="J573">
        <v>53355</v>
      </c>
      <c r="K573" t="s">
        <v>1114</v>
      </c>
      <c r="L573">
        <v>17</v>
      </c>
      <c r="M573">
        <v>17</v>
      </c>
      <c r="N573">
        <v>53355</v>
      </c>
      <c r="O573">
        <v>509</v>
      </c>
      <c r="P573" t="s">
        <v>3214</v>
      </c>
      <c r="Q573">
        <v>0.4</v>
      </c>
      <c r="R573">
        <v>59.09</v>
      </c>
      <c r="S573">
        <v>0.06</v>
      </c>
      <c r="T573">
        <v>9</v>
      </c>
      <c r="U573">
        <v>0</v>
      </c>
      <c r="V573">
        <v>30396.178985999999</v>
      </c>
      <c r="W573">
        <v>572</v>
      </c>
      <c r="X573">
        <v>0</v>
      </c>
      <c r="Y573">
        <v>571</v>
      </c>
      <c r="Z573" t="s">
        <v>6966</v>
      </c>
      <c r="AA573" t="s">
        <v>6966</v>
      </c>
      <c r="AB573" t="s">
        <v>6966</v>
      </c>
      <c r="AC573" t="s">
        <v>6966</v>
      </c>
      <c r="AD573" t="s">
        <v>6966</v>
      </c>
      <c r="AE573" t="s">
        <v>6966</v>
      </c>
      <c r="AF573" t="s">
        <v>6966</v>
      </c>
      <c r="AG573" t="s">
        <v>6966</v>
      </c>
      <c r="AH573" t="s">
        <v>6966</v>
      </c>
      <c r="AI573" t="s">
        <v>6966</v>
      </c>
      <c r="AJ573" t="s">
        <v>6966</v>
      </c>
      <c r="AK573" t="s">
        <v>6966</v>
      </c>
      <c r="AL573" t="s">
        <v>6966</v>
      </c>
      <c r="AM573" t="s">
        <v>6966</v>
      </c>
      <c r="AN573" t="s">
        <v>6966</v>
      </c>
      <c r="AO573" t="s">
        <v>6966</v>
      </c>
      <c r="AP573" t="s">
        <v>6966</v>
      </c>
      <c r="AQ573" t="s">
        <v>6966</v>
      </c>
      <c r="AR573" t="s">
        <v>6966</v>
      </c>
      <c r="AS573" t="s">
        <v>6966</v>
      </c>
      <c r="AT573" t="s">
        <v>6966</v>
      </c>
      <c r="AU573" t="s">
        <v>6966</v>
      </c>
      <c r="AV573" t="s">
        <v>6966</v>
      </c>
      <c r="AW573" t="s">
        <v>6966</v>
      </c>
      <c r="AX573" t="s">
        <v>6966</v>
      </c>
      <c r="AY573" t="s">
        <v>6966</v>
      </c>
      <c r="AZ573">
        <v>0.30354700000000001</v>
      </c>
      <c r="BA573">
        <v>1.3110000000000001E-3</v>
      </c>
    </row>
    <row r="574" spans="1:53" x14ac:dyDescent="0.25">
      <c r="A574">
        <v>572</v>
      </c>
      <c r="B574" t="s">
        <v>7625</v>
      </c>
      <c r="C574">
        <v>504079</v>
      </c>
      <c r="D574" t="s">
        <v>458</v>
      </c>
      <c r="E574" t="s">
        <v>7766</v>
      </c>
      <c r="F574">
        <v>0</v>
      </c>
      <c r="G574">
        <v>21326.550781000002</v>
      </c>
      <c r="H574">
        <v>522</v>
      </c>
      <c r="I574">
        <v>708</v>
      </c>
      <c r="J574">
        <v>26218</v>
      </c>
      <c r="K574" t="s">
        <v>1930</v>
      </c>
      <c r="L574">
        <v>7</v>
      </c>
      <c r="M574">
        <v>7</v>
      </c>
      <c r="N574">
        <v>26218</v>
      </c>
      <c r="O574">
        <v>510</v>
      </c>
      <c r="P574" t="s">
        <v>3212</v>
      </c>
      <c r="Q574">
        <v>1</v>
      </c>
      <c r="R574">
        <v>24.84</v>
      </c>
      <c r="S574">
        <v>0.2</v>
      </c>
      <c r="T574">
        <v>5</v>
      </c>
      <c r="U574">
        <v>0</v>
      </c>
      <c r="V574">
        <v>21326.549125000001</v>
      </c>
      <c r="W574">
        <v>573</v>
      </c>
      <c r="X574">
        <v>0</v>
      </c>
      <c r="Y574">
        <v>572</v>
      </c>
      <c r="Z574" t="s">
        <v>6966</v>
      </c>
      <c r="AA574" t="s">
        <v>6966</v>
      </c>
      <c r="AB574" t="s">
        <v>6966</v>
      </c>
      <c r="AC574" t="s">
        <v>6966</v>
      </c>
      <c r="AD574" t="s">
        <v>6966</v>
      </c>
      <c r="AE574" t="s">
        <v>6966</v>
      </c>
      <c r="AF574" t="s">
        <v>6966</v>
      </c>
      <c r="AG574" t="s">
        <v>6966</v>
      </c>
      <c r="AH574" t="s">
        <v>6966</v>
      </c>
      <c r="AI574" t="s">
        <v>6966</v>
      </c>
      <c r="AJ574" t="s">
        <v>6966</v>
      </c>
      <c r="AK574" t="s">
        <v>6966</v>
      </c>
      <c r="AL574" t="s">
        <v>6966</v>
      </c>
      <c r="AM574" t="s">
        <v>6966</v>
      </c>
      <c r="AN574" t="s">
        <v>6966</v>
      </c>
      <c r="AO574" t="s">
        <v>6966</v>
      </c>
      <c r="AP574" t="s">
        <v>6966</v>
      </c>
      <c r="AQ574" t="s">
        <v>6966</v>
      </c>
      <c r="AR574" t="s">
        <v>6966</v>
      </c>
      <c r="AS574" t="s">
        <v>6966</v>
      </c>
      <c r="AT574" t="s">
        <v>6966</v>
      </c>
      <c r="AU574" t="s">
        <v>6966</v>
      </c>
      <c r="AV574" t="s">
        <v>6966</v>
      </c>
      <c r="AW574" t="s">
        <v>6966</v>
      </c>
      <c r="AX574" t="s">
        <v>6966</v>
      </c>
      <c r="AY574" t="s">
        <v>6966</v>
      </c>
      <c r="AZ574">
        <v>0.21687200000000001</v>
      </c>
      <c r="BA574">
        <v>1.34E-3</v>
      </c>
    </row>
    <row r="575" spans="1:53" x14ac:dyDescent="0.25">
      <c r="A575">
        <v>573</v>
      </c>
      <c r="B575" t="s">
        <v>7625</v>
      </c>
      <c r="C575">
        <v>504024</v>
      </c>
      <c r="D575" t="s">
        <v>471</v>
      </c>
      <c r="E575" t="s">
        <v>7766</v>
      </c>
      <c r="F575">
        <v>3621699.5</v>
      </c>
      <c r="G575">
        <v>14116.394531</v>
      </c>
      <c r="H575">
        <v>523</v>
      </c>
      <c r="I575">
        <v>709</v>
      </c>
      <c r="J575">
        <v>26237</v>
      </c>
      <c r="K575" t="s">
        <v>1940</v>
      </c>
      <c r="L575">
        <v>7</v>
      </c>
      <c r="M575">
        <v>7</v>
      </c>
      <c r="N575">
        <v>26237</v>
      </c>
      <c r="O575">
        <v>511</v>
      </c>
      <c r="P575" t="s">
        <v>3212</v>
      </c>
      <c r="Q575">
        <v>0.2</v>
      </c>
      <c r="R575">
        <v>37.81</v>
      </c>
      <c r="S575">
        <v>0.06</v>
      </c>
      <c r="T575">
        <v>11</v>
      </c>
      <c r="U575">
        <v>3621699.4821199998</v>
      </c>
      <c r="V575">
        <v>14116.39265</v>
      </c>
      <c r="W575">
        <v>574</v>
      </c>
      <c r="X575">
        <v>0</v>
      </c>
      <c r="Y575">
        <v>573</v>
      </c>
      <c r="Z575" t="s">
        <v>6966</v>
      </c>
      <c r="AA575" t="s">
        <v>6966</v>
      </c>
      <c r="AB575" t="s">
        <v>6966</v>
      </c>
      <c r="AC575" t="s">
        <v>6966</v>
      </c>
      <c r="AD575" t="s">
        <v>6966</v>
      </c>
      <c r="AE575" t="s">
        <v>6966</v>
      </c>
      <c r="AF575" t="s">
        <v>6966</v>
      </c>
      <c r="AG575" t="s">
        <v>6966</v>
      </c>
      <c r="AH575" t="s">
        <v>6966</v>
      </c>
      <c r="AI575" t="s">
        <v>6966</v>
      </c>
      <c r="AJ575" t="s">
        <v>6966</v>
      </c>
      <c r="AK575" t="s">
        <v>6966</v>
      </c>
      <c r="AL575" t="s">
        <v>6966</v>
      </c>
      <c r="AM575" t="s">
        <v>6966</v>
      </c>
      <c r="AN575" t="s">
        <v>6966</v>
      </c>
      <c r="AO575" t="s">
        <v>6966</v>
      </c>
      <c r="AP575" t="s">
        <v>6966</v>
      </c>
      <c r="AQ575" t="s">
        <v>6966</v>
      </c>
      <c r="AR575" t="s">
        <v>6966</v>
      </c>
      <c r="AS575" t="s">
        <v>6966</v>
      </c>
      <c r="AT575" t="s">
        <v>6966</v>
      </c>
      <c r="AU575" t="s">
        <v>6966</v>
      </c>
      <c r="AV575" t="s">
        <v>6966</v>
      </c>
      <c r="AW575" t="s">
        <v>6966</v>
      </c>
      <c r="AX575" t="s">
        <v>6966</v>
      </c>
      <c r="AY575" t="s">
        <v>6966</v>
      </c>
      <c r="AZ575">
        <v>0.14402699999999999</v>
      </c>
      <c r="BA575">
        <v>3.5399999999999999E-4</v>
      </c>
    </row>
    <row r="576" spans="1:53" x14ac:dyDescent="0.25">
      <c r="A576">
        <v>574</v>
      </c>
      <c r="B576" t="s">
        <v>7625</v>
      </c>
      <c r="C576">
        <v>504065</v>
      </c>
      <c r="D576" t="s">
        <v>489</v>
      </c>
      <c r="E576" t="s">
        <v>7766</v>
      </c>
      <c r="F576">
        <v>1860161.5</v>
      </c>
      <c r="G576">
        <v>7226.341797</v>
      </c>
      <c r="H576">
        <v>524</v>
      </c>
      <c r="I576">
        <v>710</v>
      </c>
      <c r="J576">
        <v>26267</v>
      </c>
      <c r="K576" t="s">
        <v>1958</v>
      </c>
      <c r="L576">
        <v>7</v>
      </c>
      <c r="M576">
        <v>7</v>
      </c>
      <c r="N576">
        <v>26267</v>
      </c>
      <c r="O576">
        <v>512</v>
      </c>
      <c r="P576" t="s">
        <v>3212</v>
      </c>
      <c r="Q576">
        <v>3.2</v>
      </c>
      <c r="R576">
        <v>57.63</v>
      </c>
      <c r="S576">
        <v>0.66</v>
      </c>
      <c r="T576">
        <v>12</v>
      </c>
      <c r="U576">
        <v>1860161.5110299999</v>
      </c>
      <c r="V576">
        <v>7226.3415269999996</v>
      </c>
      <c r="W576">
        <v>575</v>
      </c>
      <c r="X576">
        <v>0</v>
      </c>
      <c r="Y576">
        <v>574</v>
      </c>
      <c r="Z576" t="s">
        <v>6966</v>
      </c>
      <c r="AA576" t="s">
        <v>6966</v>
      </c>
      <c r="AB576" t="s">
        <v>6966</v>
      </c>
      <c r="AC576" t="s">
        <v>6966</v>
      </c>
      <c r="AD576" t="s">
        <v>6966</v>
      </c>
      <c r="AE576" t="s">
        <v>6966</v>
      </c>
      <c r="AF576" t="s">
        <v>6966</v>
      </c>
      <c r="AG576" t="s">
        <v>6966</v>
      </c>
      <c r="AH576" t="s">
        <v>6966</v>
      </c>
      <c r="AI576" t="s">
        <v>6966</v>
      </c>
      <c r="AJ576" t="s">
        <v>6966</v>
      </c>
      <c r="AK576" t="s">
        <v>6966</v>
      </c>
      <c r="AL576" t="s">
        <v>6966</v>
      </c>
      <c r="AM576" t="s">
        <v>6966</v>
      </c>
      <c r="AN576" t="s">
        <v>6966</v>
      </c>
      <c r="AO576" t="s">
        <v>6966</v>
      </c>
      <c r="AP576" t="s">
        <v>6966</v>
      </c>
      <c r="AQ576" t="s">
        <v>6966</v>
      </c>
      <c r="AR576" t="s">
        <v>6966</v>
      </c>
      <c r="AS576" t="s">
        <v>6966</v>
      </c>
      <c r="AT576" t="s">
        <v>6966</v>
      </c>
      <c r="AU576" t="s">
        <v>6966</v>
      </c>
      <c r="AV576" t="s">
        <v>6966</v>
      </c>
      <c r="AW576" t="s">
        <v>6966</v>
      </c>
      <c r="AX576" t="s">
        <v>6966</v>
      </c>
      <c r="AY576" t="s">
        <v>6966</v>
      </c>
      <c r="AZ576">
        <v>7.5436000000000003E-2</v>
      </c>
      <c r="BA576">
        <v>1.8200000000000001E-4</v>
      </c>
    </row>
    <row r="577" spans="1:53" x14ac:dyDescent="0.25">
      <c r="A577">
        <v>575</v>
      </c>
      <c r="B577" t="s">
        <v>7625</v>
      </c>
      <c r="C577">
        <v>504060</v>
      </c>
      <c r="D577" t="s">
        <v>848</v>
      </c>
      <c r="E577" t="s">
        <v>7766</v>
      </c>
      <c r="F577">
        <v>977191.4375</v>
      </c>
      <c r="G577">
        <v>5227.8911129999997</v>
      </c>
      <c r="H577">
        <v>525</v>
      </c>
      <c r="I577">
        <v>711</v>
      </c>
      <c r="J577">
        <v>26273</v>
      </c>
      <c r="K577" t="s">
        <v>1961</v>
      </c>
      <c r="L577">
        <v>7</v>
      </c>
      <c r="M577">
        <v>7</v>
      </c>
      <c r="N577">
        <v>26273</v>
      </c>
      <c r="O577">
        <v>513</v>
      </c>
      <c r="P577" t="s">
        <v>3212</v>
      </c>
      <c r="Q577">
        <v>2.9</v>
      </c>
      <c r="R577">
        <v>15.18</v>
      </c>
      <c r="S577">
        <v>0.78</v>
      </c>
      <c r="T577">
        <v>4</v>
      </c>
      <c r="U577">
        <v>977191.39768699999</v>
      </c>
      <c r="V577">
        <v>5227.8908090000004</v>
      </c>
      <c r="W577">
        <v>576</v>
      </c>
      <c r="X577">
        <v>0</v>
      </c>
      <c r="Y577">
        <v>575</v>
      </c>
      <c r="Z577" t="s">
        <v>6966</v>
      </c>
      <c r="AA577" t="s">
        <v>6966</v>
      </c>
      <c r="AB577" t="s">
        <v>6966</v>
      </c>
      <c r="AC577" t="s">
        <v>6966</v>
      </c>
      <c r="AD577" t="s">
        <v>6966</v>
      </c>
      <c r="AE577" t="s">
        <v>6966</v>
      </c>
      <c r="AF577" t="s">
        <v>6966</v>
      </c>
      <c r="AG577" t="s">
        <v>6966</v>
      </c>
      <c r="AH577" t="s">
        <v>6966</v>
      </c>
      <c r="AI577" t="s">
        <v>6966</v>
      </c>
      <c r="AJ577" t="s">
        <v>6966</v>
      </c>
      <c r="AK577" t="s">
        <v>6966</v>
      </c>
      <c r="AL577" t="s">
        <v>6966</v>
      </c>
      <c r="AM577" t="s">
        <v>6966</v>
      </c>
      <c r="AN577" t="s">
        <v>6966</v>
      </c>
      <c r="AO577" t="s">
        <v>6966</v>
      </c>
      <c r="AP577" t="s">
        <v>6966</v>
      </c>
      <c r="AQ577" t="s">
        <v>6966</v>
      </c>
      <c r="AR577" t="s">
        <v>6966</v>
      </c>
      <c r="AS577" t="s">
        <v>6966</v>
      </c>
      <c r="AT577" t="s">
        <v>6966</v>
      </c>
      <c r="AU577" t="s">
        <v>6966</v>
      </c>
      <c r="AV577" t="s">
        <v>6966</v>
      </c>
      <c r="AW577" t="s">
        <v>6966</v>
      </c>
      <c r="AX577" t="s">
        <v>6966</v>
      </c>
      <c r="AY577" t="s">
        <v>6966</v>
      </c>
      <c r="AZ577">
        <v>5.3412000000000001E-2</v>
      </c>
      <c r="BA577">
        <v>9.5000000000000005E-5</v>
      </c>
    </row>
    <row r="578" spans="1:53" x14ac:dyDescent="0.25">
      <c r="A578">
        <v>576</v>
      </c>
      <c r="B578" t="s">
        <v>7625</v>
      </c>
      <c r="C578">
        <v>201034</v>
      </c>
      <c r="D578" t="s">
        <v>1110</v>
      </c>
      <c r="E578" t="s">
        <v>1069</v>
      </c>
      <c r="F578">
        <v>0</v>
      </c>
      <c r="G578">
        <v>42908.953125</v>
      </c>
      <c r="H578">
        <v>526</v>
      </c>
      <c r="I578">
        <v>713</v>
      </c>
      <c r="J578">
        <v>53311</v>
      </c>
      <c r="K578" t="s">
        <v>2448</v>
      </c>
      <c r="L578">
        <v>17</v>
      </c>
      <c r="M578">
        <v>17</v>
      </c>
      <c r="N578">
        <v>53311</v>
      </c>
      <c r="O578">
        <v>514</v>
      </c>
      <c r="P578" t="s">
        <v>3214</v>
      </c>
      <c r="Q578">
        <v>1.1000000000000001</v>
      </c>
      <c r="R578">
        <v>37.42</v>
      </c>
      <c r="S578">
        <v>0.28999999999999998</v>
      </c>
      <c r="T578">
        <v>10</v>
      </c>
      <c r="U578">
        <v>0</v>
      </c>
      <c r="V578">
        <v>42908.952348999999</v>
      </c>
      <c r="W578">
        <v>577</v>
      </c>
      <c r="X578">
        <v>1</v>
      </c>
      <c r="Y578">
        <v>576</v>
      </c>
      <c r="Z578">
        <v>68565</v>
      </c>
      <c r="AA578" s="76">
        <v>45888</v>
      </c>
      <c r="AB578">
        <v>2025</v>
      </c>
      <c r="AC578" t="s">
        <v>7379</v>
      </c>
      <c r="AD578">
        <v>19</v>
      </c>
      <c r="AE578" t="s">
        <v>7409</v>
      </c>
      <c r="AF578" t="s">
        <v>3216</v>
      </c>
      <c r="AG578" t="s">
        <v>1069</v>
      </c>
      <c r="AH578" t="s">
        <v>1110</v>
      </c>
      <c r="AI578" t="s">
        <v>3064</v>
      </c>
      <c r="AJ578" t="s">
        <v>6966</v>
      </c>
      <c r="AK578">
        <v>34.124890000000001</v>
      </c>
      <c r="AL578">
        <v>36.12764</v>
      </c>
      <c r="AM578" t="s">
        <v>6995</v>
      </c>
      <c r="AN578" t="s">
        <v>6995</v>
      </c>
      <c r="AO578" t="s">
        <v>7086</v>
      </c>
      <c r="AP578" t="s">
        <v>7410</v>
      </c>
      <c r="AQ578" t="s">
        <v>6998</v>
      </c>
      <c r="AR578" t="s">
        <v>6999</v>
      </c>
      <c r="AS578" t="s">
        <v>7071</v>
      </c>
      <c r="AT578">
        <v>0</v>
      </c>
      <c r="AU578">
        <v>0</v>
      </c>
      <c r="AV578" t="s">
        <v>6966</v>
      </c>
      <c r="AW578" t="s">
        <v>7119</v>
      </c>
      <c r="AX578" t="s">
        <v>6966</v>
      </c>
      <c r="AY578" t="s">
        <v>7114</v>
      </c>
      <c r="AZ578">
        <v>0.43029000000000001</v>
      </c>
      <c r="BA578">
        <v>4.0530000000000002E-3</v>
      </c>
    </row>
    <row r="579" spans="1:53" x14ac:dyDescent="0.25">
      <c r="A579">
        <v>577</v>
      </c>
      <c r="B579" t="s">
        <v>7625</v>
      </c>
      <c r="C579">
        <v>504042</v>
      </c>
      <c r="D579" t="s">
        <v>469</v>
      </c>
      <c r="E579" t="s">
        <v>7766</v>
      </c>
      <c r="F579">
        <v>1078231.5</v>
      </c>
      <c r="G579">
        <v>6241.2426759999998</v>
      </c>
      <c r="H579">
        <v>527</v>
      </c>
      <c r="I579">
        <v>714</v>
      </c>
      <c r="J579">
        <v>26234</v>
      </c>
      <c r="K579" t="s">
        <v>469</v>
      </c>
      <c r="L579">
        <v>7</v>
      </c>
      <c r="M579">
        <v>7</v>
      </c>
      <c r="N579">
        <v>26234</v>
      </c>
      <c r="O579">
        <v>515</v>
      </c>
      <c r="P579" t="s">
        <v>3212</v>
      </c>
      <c r="Q579">
        <v>0.9</v>
      </c>
      <c r="R579">
        <v>18.46</v>
      </c>
      <c r="S579">
        <v>0.4</v>
      </c>
      <c r="T579">
        <v>9</v>
      </c>
      <c r="U579">
        <v>1078231.4277999999</v>
      </c>
      <c r="V579">
        <v>6241.2423529999996</v>
      </c>
      <c r="W579">
        <v>578</v>
      </c>
      <c r="X579">
        <v>0</v>
      </c>
      <c r="Y579">
        <v>577</v>
      </c>
      <c r="Z579" t="s">
        <v>6966</v>
      </c>
      <c r="AA579" t="s">
        <v>6966</v>
      </c>
      <c r="AB579" t="s">
        <v>6966</v>
      </c>
      <c r="AC579" t="s">
        <v>6966</v>
      </c>
      <c r="AD579" t="s">
        <v>6966</v>
      </c>
      <c r="AE579" t="s">
        <v>6966</v>
      </c>
      <c r="AF579" t="s">
        <v>6966</v>
      </c>
      <c r="AG579" t="s">
        <v>6966</v>
      </c>
      <c r="AH579" t="s">
        <v>6966</v>
      </c>
      <c r="AI579" t="s">
        <v>6966</v>
      </c>
      <c r="AJ579" t="s">
        <v>6966</v>
      </c>
      <c r="AK579" t="s">
        <v>6966</v>
      </c>
      <c r="AL579" t="s">
        <v>6966</v>
      </c>
      <c r="AM579" t="s">
        <v>6966</v>
      </c>
      <c r="AN579" t="s">
        <v>6966</v>
      </c>
      <c r="AO579" t="s">
        <v>6966</v>
      </c>
      <c r="AP579" t="s">
        <v>6966</v>
      </c>
      <c r="AQ579" t="s">
        <v>6966</v>
      </c>
      <c r="AR579" t="s">
        <v>6966</v>
      </c>
      <c r="AS579" t="s">
        <v>6966</v>
      </c>
      <c r="AT579" t="s">
        <v>6966</v>
      </c>
      <c r="AU579" t="s">
        <v>6966</v>
      </c>
      <c r="AV579" t="s">
        <v>6966</v>
      </c>
      <c r="AW579" t="s">
        <v>6966</v>
      </c>
      <c r="AX579" t="s">
        <v>6966</v>
      </c>
      <c r="AY579" t="s">
        <v>6966</v>
      </c>
      <c r="AZ579">
        <v>6.3746999999999998E-2</v>
      </c>
      <c r="BA579">
        <v>1.05E-4</v>
      </c>
    </row>
    <row r="580" spans="1:53" x14ac:dyDescent="0.25">
      <c r="A580">
        <v>578</v>
      </c>
      <c r="B580" t="s">
        <v>7625</v>
      </c>
      <c r="C580">
        <v>504063</v>
      </c>
      <c r="D580" t="s">
        <v>501</v>
      </c>
      <c r="E580" t="s">
        <v>7766</v>
      </c>
      <c r="F580">
        <v>1945585.875</v>
      </c>
      <c r="G580">
        <v>9437.5712889999995</v>
      </c>
      <c r="H580">
        <v>528</v>
      </c>
      <c r="I580">
        <v>715</v>
      </c>
      <c r="J580">
        <v>26287</v>
      </c>
      <c r="K580" t="s">
        <v>1967</v>
      </c>
      <c r="L580">
        <v>7</v>
      </c>
      <c r="M580">
        <v>7</v>
      </c>
      <c r="N580">
        <v>26287</v>
      </c>
      <c r="O580">
        <v>516</v>
      </c>
      <c r="P580" t="s">
        <v>3212</v>
      </c>
      <c r="Q580">
        <v>2.2000000000000002</v>
      </c>
      <c r="R580">
        <v>22.15</v>
      </c>
      <c r="S580">
        <v>0.5</v>
      </c>
      <c r="T580">
        <v>5</v>
      </c>
      <c r="U580">
        <v>1945585.8438599999</v>
      </c>
      <c r="V580">
        <v>9437.5719840000002</v>
      </c>
      <c r="W580">
        <v>579</v>
      </c>
      <c r="X580">
        <v>0</v>
      </c>
      <c r="Y580">
        <v>578</v>
      </c>
      <c r="Z580" t="s">
        <v>6966</v>
      </c>
      <c r="AA580" t="s">
        <v>6966</v>
      </c>
      <c r="AB580" t="s">
        <v>6966</v>
      </c>
      <c r="AC580" t="s">
        <v>6966</v>
      </c>
      <c r="AD580" t="s">
        <v>6966</v>
      </c>
      <c r="AE580" t="s">
        <v>6966</v>
      </c>
      <c r="AF580" t="s">
        <v>6966</v>
      </c>
      <c r="AG580" t="s">
        <v>6966</v>
      </c>
      <c r="AH580" t="s">
        <v>6966</v>
      </c>
      <c r="AI580" t="s">
        <v>6966</v>
      </c>
      <c r="AJ580" t="s">
        <v>6966</v>
      </c>
      <c r="AK580" t="s">
        <v>6966</v>
      </c>
      <c r="AL580" t="s">
        <v>6966</v>
      </c>
      <c r="AM580" t="s">
        <v>6966</v>
      </c>
      <c r="AN580" t="s">
        <v>6966</v>
      </c>
      <c r="AO580" t="s">
        <v>6966</v>
      </c>
      <c r="AP580" t="s">
        <v>6966</v>
      </c>
      <c r="AQ580" t="s">
        <v>6966</v>
      </c>
      <c r="AR580" t="s">
        <v>6966</v>
      </c>
      <c r="AS580" t="s">
        <v>6966</v>
      </c>
      <c r="AT580" t="s">
        <v>6966</v>
      </c>
      <c r="AU580" t="s">
        <v>6966</v>
      </c>
      <c r="AV580" t="s">
        <v>6966</v>
      </c>
      <c r="AW580" t="s">
        <v>6966</v>
      </c>
      <c r="AX580" t="s">
        <v>6966</v>
      </c>
      <c r="AY580" t="s">
        <v>6966</v>
      </c>
      <c r="AZ580">
        <v>9.4982999999999998E-2</v>
      </c>
      <c r="BA580">
        <v>1.9000000000000001E-4</v>
      </c>
    </row>
    <row r="581" spans="1:53" x14ac:dyDescent="0.25">
      <c r="A581">
        <v>579</v>
      </c>
      <c r="B581" t="s">
        <v>7625</v>
      </c>
      <c r="C581">
        <v>504011</v>
      </c>
      <c r="D581" t="s">
        <v>530</v>
      </c>
      <c r="E581" t="s">
        <v>7766</v>
      </c>
      <c r="F581">
        <v>623938.75</v>
      </c>
      <c r="G581">
        <v>5581.3642579999996</v>
      </c>
      <c r="H581">
        <v>529</v>
      </c>
      <c r="I581">
        <v>716</v>
      </c>
      <c r="J581">
        <v>26374</v>
      </c>
      <c r="K581" t="s">
        <v>1990</v>
      </c>
      <c r="L581">
        <v>7</v>
      </c>
      <c r="M581">
        <v>7</v>
      </c>
      <c r="N581">
        <v>26374</v>
      </c>
      <c r="O581">
        <v>517</v>
      </c>
      <c r="P581" t="s">
        <v>3212</v>
      </c>
      <c r="Q581">
        <v>0</v>
      </c>
      <c r="R581">
        <v>0</v>
      </c>
      <c r="S581">
        <v>0.1</v>
      </c>
      <c r="T581">
        <v>0</v>
      </c>
      <c r="U581">
        <v>623938.77376400004</v>
      </c>
      <c r="V581">
        <v>5581.3648569999996</v>
      </c>
      <c r="W581">
        <v>580</v>
      </c>
      <c r="X581">
        <v>0</v>
      </c>
      <c r="Y581">
        <v>579</v>
      </c>
      <c r="Z581" t="s">
        <v>6966</v>
      </c>
      <c r="AA581" t="s">
        <v>6966</v>
      </c>
      <c r="AB581" t="s">
        <v>6966</v>
      </c>
      <c r="AC581" t="s">
        <v>6966</v>
      </c>
      <c r="AD581" t="s">
        <v>6966</v>
      </c>
      <c r="AE581" t="s">
        <v>6966</v>
      </c>
      <c r="AF581" t="s">
        <v>6966</v>
      </c>
      <c r="AG581" t="s">
        <v>6966</v>
      </c>
      <c r="AH581" t="s">
        <v>6966</v>
      </c>
      <c r="AI581" t="s">
        <v>6966</v>
      </c>
      <c r="AJ581" t="s">
        <v>6966</v>
      </c>
      <c r="AK581" t="s">
        <v>6966</v>
      </c>
      <c r="AL581" t="s">
        <v>6966</v>
      </c>
      <c r="AM581" t="s">
        <v>6966</v>
      </c>
      <c r="AN581" t="s">
        <v>6966</v>
      </c>
      <c r="AO581" t="s">
        <v>6966</v>
      </c>
      <c r="AP581" t="s">
        <v>6966</v>
      </c>
      <c r="AQ581" t="s">
        <v>6966</v>
      </c>
      <c r="AR581" t="s">
        <v>6966</v>
      </c>
      <c r="AS581" t="s">
        <v>6966</v>
      </c>
      <c r="AT581" t="s">
        <v>6966</v>
      </c>
      <c r="AU581" t="s">
        <v>6966</v>
      </c>
      <c r="AV581" t="s">
        <v>6966</v>
      </c>
      <c r="AW581" t="s">
        <v>6966</v>
      </c>
      <c r="AX581" t="s">
        <v>6966</v>
      </c>
      <c r="AY581" t="s">
        <v>6966</v>
      </c>
      <c r="AZ581">
        <v>5.7291000000000002E-2</v>
      </c>
      <c r="BA581">
        <v>6.0999999999999999E-5</v>
      </c>
    </row>
    <row r="582" spans="1:53" x14ac:dyDescent="0.25">
      <c r="A582">
        <v>580</v>
      </c>
      <c r="B582" t="s">
        <v>7625</v>
      </c>
      <c r="C582">
        <v>504017</v>
      </c>
      <c r="D582" t="s">
        <v>484</v>
      </c>
      <c r="E582" t="s">
        <v>7766</v>
      </c>
      <c r="F582">
        <v>1145752.375</v>
      </c>
      <c r="G582">
        <v>5540.6489259999998</v>
      </c>
      <c r="H582">
        <v>530</v>
      </c>
      <c r="I582">
        <v>718</v>
      </c>
      <c r="J582">
        <v>26259</v>
      </c>
      <c r="K582" t="s">
        <v>1953</v>
      </c>
      <c r="L582">
        <v>7</v>
      </c>
      <c r="M582">
        <v>7</v>
      </c>
      <c r="N582">
        <v>26259</v>
      </c>
      <c r="O582">
        <v>518</v>
      </c>
      <c r="P582" t="s">
        <v>3212</v>
      </c>
      <c r="Q582">
        <v>1.5</v>
      </c>
      <c r="R582">
        <v>34.15</v>
      </c>
      <c r="S582">
        <v>0.44</v>
      </c>
      <c r="T582">
        <v>10</v>
      </c>
      <c r="U582">
        <v>1145752.30562</v>
      </c>
      <c r="V582">
        <v>5540.6492090000002</v>
      </c>
      <c r="W582">
        <v>581</v>
      </c>
      <c r="X582">
        <v>0</v>
      </c>
      <c r="Y582">
        <v>580</v>
      </c>
      <c r="Z582" t="s">
        <v>6966</v>
      </c>
      <c r="AA582" t="s">
        <v>6966</v>
      </c>
      <c r="AB582" t="s">
        <v>6966</v>
      </c>
      <c r="AC582" t="s">
        <v>6966</v>
      </c>
      <c r="AD582" t="s">
        <v>6966</v>
      </c>
      <c r="AE582" t="s">
        <v>6966</v>
      </c>
      <c r="AF582" t="s">
        <v>6966</v>
      </c>
      <c r="AG582" t="s">
        <v>6966</v>
      </c>
      <c r="AH582" t="s">
        <v>6966</v>
      </c>
      <c r="AI582" t="s">
        <v>6966</v>
      </c>
      <c r="AJ582" t="s">
        <v>6966</v>
      </c>
      <c r="AK582" t="s">
        <v>6966</v>
      </c>
      <c r="AL582" t="s">
        <v>6966</v>
      </c>
      <c r="AM582" t="s">
        <v>6966</v>
      </c>
      <c r="AN582" t="s">
        <v>6966</v>
      </c>
      <c r="AO582" t="s">
        <v>6966</v>
      </c>
      <c r="AP582" t="s">
        <v>6966</v>
      </c>
      <c r="AQ582" t="s">
        <v>6966</v>
      </c>
      <c r="AR582" t="s">
        <v>6966</v>
      </c>
      <c r="AS582" t="s">
        <v>6966</v>
      </c>
      <c r="AT582" t="s">
        <v>6966</v>
      </c>
      <c r="AU582" t="s">
        <v>6966</v>
      </c>
      <c r="AV582" t="s">
        <v>6966</v>
      </c>
      <c r="AW582" t="s">
        <v>6966</v>
      </c>
      <c r="AX582" t="s">
        <v>6966</v>
      </c>
      <c r="AY582" t="s">
        <v>6966</v>
      </c>
      <c r="AZ582">
        <v>5.7024999999999999E-2</v>
      </c>
      <c r="BA582">
        <v>1.12E-4</v>
      </c>
    </row>
    <row r="583" spans="1:53" x14ac:dyDescent="0.25">
      <c r="A583">
        <v>581</v>
      </c>
      <c r="B583" t="s">
        <v>7625</v>
      </c>
      <c r="C583">
        <v>201094</v>
      </c>
      <c r="D583" t="s">
        <v>1109</v>
      </c>
      <c r="E583" t="s">
        <v>1069</v>
      </c>
      <c r="F583">
        <v>0</v>
      </c>
      <c r="G583">
        <v>45184.515625</v>
      </c>
      <c r="H583">
        <v>531</v>
      </c>
      <c r="I583">
        <v>719</v>
      </c>
      <c r="J583">
        <v>53284</v>
      </c>
      <c r="K583" t="s">
        <v>2447</v>
      </c>
      <c r="L583">
        <v>17</v>
      </c>
      <c r="M583">
        <v>17</v>
      </c>
      <c r="N583">
        <v>53284</v>
      </c>
      <c r="O583">
        <v>519</v>
      </c>
      <c r="P583" t="s">
        <v>3214</v>
      </c>
      <c r="Q583">
        <v>0.5</v>
      </c>
      <c r="R583">
        <v>35.96</v>
      </c>
      <c r="S583">
        <v>0.15</v>
      </c>
      <c r="T583">
        <v>12</v>
      </c>
      <c r="U583">
        <v>0</v>
      </c>
      <c r="V583">
        <v>45184.515725999998</v>
      </c>
      <c r="W583">
        <v>582</v>
      </c>
      <c r="X583">
        <v>1</v>
      </c>
      <c r="Y583">
        <v>581</v>
      </c>
      <c r="Z583">
        <v>70800</v>
      </c>
      <c r="AA583" s="76">
        <v>45917</v>
      </c>
      <c r="AB583">
        <v>2025</v>
      </c>
      <c r="AC583" t="s">
        <v>7433</v>
      </c>
      <c r="AD583">
        <v>17</v>
      </c>
      <c r="AE583" t="s">
        <v>7457</v>
      </c>
      <c r="AF583" t="s">
        <v>3216</v>
      </c>
      <c r="AG583" t="s">
        <v>1069</v>
      </c>
      <c r="AH583" t="s">
        <v>1109</v>
      </c>
      <c r="AI583" t="s">
        <v>2447</v>
      </c>
      <c r="AJ583" t="s">
        <v>6966</v>
      </c>
      <c r="AK583">
        <v>34.07846</v>
      </c>
      <c r="AL583">
        <v>36.274940000000001</v>
      </c>
      <c r="AM583" t="s">
        <v>7059</v>
      </c>
      <c r="AN583" t="s">
        <v>6966</v>
      </c>
      <c r="AO583" t="s">
        <v>7103</v>
      </c>
      <c r="AP583" t="s">
        <v>7458</v>
      </c>
      <c r="AQ583" t="s">
        <v>6998</v>
      </c>
      <c r="AR583" t="s">
        <v>6999</v>
      </c>
      <c r="AS583" t="s">
        <v>7000</v>
      </c>
      <c r="AT583">
        <v>0</v>
      </c>
      <c r="AU583">
        <v>0</v>
      </c>
      <c r="AV583" t="s">
        <v>7459</v>
      </c>
      <c r="AW583" t="s">
        <v>7002</v>
      </c>
      <c r="AX583" t="s">
        <v>6966</v>
      </c>
      <c r="AY583" t="s">
        <v>7044</v>
      </c>
      <c r="AZ583">
        <v>0.44686700000000001</v>
      </c>
      <c r="BA583">
        <v>7.5830000000000003E-3</v>
      </c>
    </row>
    <row r="584" spans="1:53" x14ac:dyDescent="0.25">
      <c r="A584">
        <v>582</v>
      </c>
      <c r="B584" t="s">
        <v>7625</v>
      </c>
      <c r="C584">
        <v>504032</v>
      </c>
      <c r="D584" t="s">
        <v>7778</v>
      </c>
      <c r="E584" t="s">
        <v>7766</v>
      </c>
      <c r="F584">
        <v>3974867.75</v>
      </c>
      <c r="G584">
        <v>12571.376953000001</v>
      </c>
      <c r="H584">
        <v>532</v>
      </c>
      <c r="I584">
        <v>720</v>
      </c>
      <c r="J584">
        <v>26135</v>
      </c>
      <c r="K584" t="s">
        <v>7755</v>
      </c>
      <c r="L584">
        <v>7</v>
      </c>
      <c r="M584">
        <v>7</v>
      </c>
      <c r="N584">
        <v>26135</v>
      </c>
      <c r="O584">
        <v>520</v>
      </c>
      <c r="P584" t="s">
        <v>3212</v>
      </c>
      <c r="Q584">
        <v>2.7</v>
      </c>
      <c r="R584">
        <v>21.93</v>
      </c>
      <c r="S584">
        <v>0.62</v>
      </c>
      <c r="T584">
        <v>5</v>
      </c>
      <c r="U584">
        <v>3974867.8927600002</v>
      </c>
      <c r="V584">
        <v>12571.376045999999</v>
      </c>
      <c r="W584">
        <v>583</v>
      </c>
      <c r="X584">
        <v>0</v>
      </c>
      <c r="Y584">
        <v>582</v>
      </c>
      <c r="Z584" t="s">
        <v>6966</v>
      </c>
      <c r="AA584" t="s">
        <v>6966</v>
      </c>
      <c r="AB584" t="s">
        <v>6966</v>
      </c>
      <c r="AC584" t="s">
        <v>6966</v>
      </c>
      <c r="AD584" t="s">
        <v>6966</v>
      </c>
      <c r="AE584" t="s">
        <v>6966</v>
      </c>
      <c r="AF584" t="s">
        <v>6966</v>
      </c>
      <c r="AG584" t="s">
        <v>6966</v>
      </c>
      <c r="AH584" t="s">
        <v>6966</v>
      </c>
      <c r="AI584" t="s">
        <v>6966</v>
      </c>
      <c r="AJ584" t="s">
        <v>6966</v>
      </c>
      <c r="AK584" t="s">
        <v>6966</v>
      </c>
      <c r="AL584" t="s">
        <v>6966</v>
      </c>
      <c r="AM584" t="s">
        <v>6966</v>
      </c>
      <c r="AN584" t="s">
        <v>6966</v>
      </c>
      <c r="AO584" t="s">
        <v>6966</v>
      </c>
      <c r="AP584" t="s">
        <v>6966</v>
      </c>
      <c r="AQ584" t="s">
        <v>6966</v>
      </c>
      <c r="AR584" t="s">
        <v>6966</v>
      </c>
      <c r="AS584" t="s">
        <v>6966</v>
      </c>
      <c r="AT584" t="s">
        <v>6966</v>
      </c>
      <c r="AU584" t="s">
        <v>6966</v>
      </c>
      <c r="AV584" t="s">
        <v>6966</v>
      </c>
      <c r="AW584" t="s">
        <v>6966</v>
      </c>
      <c r="AX584" t="s">
        <v>6966</v>
      </c>
      <c r="AY584" t="s">
        <v>6966</v>
      </c>
      <c r="AZ584">
        <v>0.127049</v>
      </c>
      <c r="BA584">
        <v>3.88E-4</v>
      </c>
    </row>
    <row r="585" spans="1:53" x14ac:dyDescent="0.25">
      <c r="A585">
        <v>583</v>
      </c>
      <c r="B585" t="s">
        <v>7625</v>
      </c>
      <c r="C585">
        <v>504049</v>
      </c>
      <c r="D585" t="s">
        <v>535</v>
      </c>
      <c r="E585" t="s">
        <v>7766</v>
      </c>
      <c r="F585">
        <v>1725312.125</v>
      </c>
      <c r="G585">
        <v>6168.1538090000004</v>
      </c>
      <c r="H585">
        <v>533</v>
      </c>
      <c r="I585">
        <v>721</v>
      </c>
      <c r="J585">
        <v>26390</v>
      </c>
      <c r="K585" t="s">
        <v>1835</v>
      </c>
      <c r="L585">
        <v>7</v>
      </c>
      <c r="M585">
        <v>7</v>
      </c>
      <c r="N585">
        <v>26390</v>
      </c>
      <c r="O585">
        <v>521</v>
      </c>
      <c r="P585" t="s">
        <v>3212</v>
      </c>
      <c r="Q585">
        <v>0</v>
      </c>
      <c r="R585">
        <v>0</v>
      </c>
      <c r="S585">
        <v>0.02</v>
      </c>
      <c r="T585">
        <v>8</v>
      </c>
      <c r="U585">
        <v>1725312.23432</v>
      </c>
      <c r="V585">
        <v>6168.1538369999998</v>
      </c>
      <c r="W585">
        <v>584</v>
      </c>
      <c r="X585">
        <v>0</v>
      </c>
      <c r="Y585">
        <v>583</v>
      </c>
      <c r="Z585" t="s">
        <v>6966</v>
      </c>
      <c r="AA585" t="s">
        <v>6966</v>
      </c>
      <c r="AB585" t="s">
        <v>6966</v>
      </c>
      <c r="AC585" t="s">
        <v>6966</v>
      </c>
      <c r="AD585" t="s">
        <v>6966</v>
      </c>
      <c r="AE585" t="s">
        <v>6966</v>
      </c>
      <c r="AF585" t="s">
        <v>6966</v>
      </c>
      <c r="AG585" t="s">
        <v>6966</v>
      </c>
      <c r="AH585" t="s">
        <v>6966</v>
      </c>
      <c r="AI585" t="s">
        <v>6966</v>
      </c>
      <c r="AJ585" t="s">
        <v>6966</v>
      </c>
      <c r="AK585" t="s">
        <v>6966</v>
      </c>
      <c r="AL585" t="s">
        <v>6966</v>
      </c>
      <c r="AM585" t="s">
        <v>6966</v>
      </c>
      <c r="AN585" t="s">
        <v>6966</v>
      </c>
      <c r="AO585" t="s">
        <v>6966</v>
      </c>
      <c r="AP585" t="s">
        <v>6966</v>
      </c>
      <c r="AQ585" t="s">
        <v>6966</v>
      </c>
      <c r="AR585" t="s">
        <v>6966</v>
      </c>
      <c r="AS585" t="s">
        <v>6966</v>
      </c>
      <c r="AT585" t="s">
        <v>6966</v>
      </c>
      <c r="AU585" t="s">
        <v>6966</v>
      </c>
      <c r="AV585" t="s">
        <v>6966</v>
      </c>
      <c r="AW585" t="s">
        <v>6966</v>
      </c>
      <c r="AX585" t="s">
        <v>6966</v>
      </c>
      <c r="AY585" t="s">
        <v>6966</v>
      </c>
      <c r="AZ585">
        <v>6.1179999999999998E-2</v>
      </c>
      <c r="BA585">
        <v>1.6899999999999999E-4</v>
      </c>
    </row>
    <row r="586" spans="1:53" x14ac:dyDescent="0.25">
      <c r="A586">
        <v>584</v>
      </c>
      <c r="B586" t="s">
        <v>7625</v>
      </c>
      <c r="C586">
        <v>504023</v>
      </c>
      <c r="D586" t="s">
        <v>490</v>
      </c>
      <c r="E586" t="s">
        <v>7766</v>
      </c>
      <c r="F586">
        <v>4160206.25</v>
      </c>
      <c r="G586">
        <v>12803.730469</v>
      </c>
      <c r="H586">
        <v>534</v>
      </c>
      <c r="I586">
        <v>722</v>
      </c>
      <c r="J586">
        <v>26269</v>
      </c>
      <c r="K586" t="s">
        <v>7779</v>
      </c>
      <c r="L586">
        <v>7</v>
      </c>
      <c r="M586">
        <v>7</v>
      </c>
      <c r="N586">
        <v>26269</v>
      </c>
      <c r="O586">
        <v>522</v>
      </c>
      <c r="P586" t="s">
        <v>3212</v>
      </c>
      <c r="Q586">
        <v>1</v>
      </c>
      <c r="R586">
        <v>17.38</v>
      </c>
      <c r="S586">
        <v>0.21</v>
      </c>
      <c r="T586">
        <v>4</v>
      </c>
      <c r="U586">
        <v>4160206.36735</v>
      </c>
      <c r="V586">
        <v>12803.728869</v>
      </c>
      <c r="W586">
        <v>585</v>
      </c>
      <c r="X586">
        <v>0</v>
      </c>
      <c r="Y586">
        <v>584</v>
      </c>
      <c r="Z586" t="s">
        <v>6966</v>
      </c>
      <c r="AA586" t="s">
        <v>6966</v>
      </c>
      <c r="AB586" t="s">
        <v>6966</v>
      </c>
      <c r="AC586" t="s">
        <v>6966</v>
      </c>
      <c r="AD586" t="s">
        <v>6966</v>
      </c>
      <c r="AE586" t="s">
        <v>6966</v>
      </c>
      <c r="AF586" t="s">
        <v>6966</v>
      </c>
      <c r="AG586" t="s">
        <v>6966</v>
      </c>
      <c r="AH586" t="s">
        <v>6966</v>
      </c>
      <c r="AI586" t="s">
        <v>6966</v>
      </c>
      <c r="AJ586" t="s">
        <v>6966</v>
      </c>
      <c r="AK586" t="s">
        <v>6966</v>
      </c>
      <c r="AL586" t="s">
        <v>6966</v>
      </c>
      <c r="AM586" t="s">
        <v>6966</v>
      </c>
      <c r="AN586" t="s">
        <v>6966</v>
      </c>
      <c r="AO586" t="s">
        <v>6966</v>
      </c>
      <c r="AP586" t="s">
        <v>6966</v>
      </c>
      <c r="AQ586" t="s">
        <v>6966</v>
      </c>
      <c r="AR586" t="s">
        <v>6966</v>
      </c>
      <c r="AS586" t="s">
        <v>6966</v>
      </c>
      <c r="AT586" t="s">
        <v>6966</v>
      </c>
      <c r="AU586" t="s">
        <v>6966</v>
      </c>
      <c r="AV586" t="s">
        <v>6966</v>
      </c>
      <c r="AW586" t="s">
        <v>6966</v>
      </c>
      <c r="AX586" t="s">
        <v>6966</v>
      </c>
      <c r="AY586" t="s">
        <v>6966</v>
      </c>
      <c r="AZ586">
        <v>0.130298</v>
      </c>
      <c r="BA586">
        <v>4.0700000000000003E-4</v>
      </c>
    </row>
    <row r="587" spans="1:53" x14ac:dyDescent="0.25">
      <c r="A587">
        <v>585</v>
      </c>
      <c r="B587" t="s">
        <v>7625</v>
      </c>
      <c r="C587">
        <v>504051</v>
      </c>
      <c r="D587" t="s">
        <v>464</v>
      </c>
      <c r="E587" t="s">
        <v>7766</v>
      </c>
      <c r="F587">
        <v>5281064</v>
      </c>
      <c r="G587">
        <v>15644.640625</v>
      </c>
      <c r="H587">
        <v>535</v>
      </c>
      <c r="I587">
        <v>724</v>
      </c>
      <c r="J587">
        <v>26226</v>
      </c>
      <c r="K587" t="s">
        <v>1935</v>
      </c>
      <c r="L587">
        <v>7</v>
      </c>
      <c r="M587">
        <v>7</v>
      </c>
      <c r="N587">
        <v>26226</v>
      </c>
      <c r="O587">
        <v>523</v>
      </c>
      <c r="P587" t="s">
        <v>3212</v>
      </c>
      <c r="Q587">
        <v>0.3</v>
      </c>
      <c r="R587">
        <v>37.340000000000003</v>
      </c>
      <c r="S587">
        <v>0.08</v>
      </c>
      <c r="T587">
        <v>9</v>
      </c>
      <c r="U587">
        <v>5281064.0105799995</v>
      </c>
      <c r="V587">
        <v>15644.639292</v>
      </c>
      <c r="W587">
        <v>586</v>
      </c>
      <c r="X587">
        <v>0</v>
      </c>
      <c r="Y587">
        <v>585</v>
      </c>
      <c r="Z587" t="s">
        <v>6966</v>
      </c>
      <c r="AA587" t="s">
        <v>6966</v>
      </c>
      <c r="AB587" t="s">
        <v>6966</v>
      </c>
      <c r="AC587" t="s">
        <v>6966</v>
      </c>
      <c r="AD587" t="s">
        <v>6966</v>
      </c>
      <c r="AE587" t="s">
        <v>6966</v>
      </c>
      <c r="AF587" t="s">
        <v>6966</v>
      </c>
      <c r="AG587" t="s">
        <v>6966</v>
      </c>
      <c r="AH587" t="s">
        <v>6966</v>
      </c>
      <c r="AI587" t="s">
        <v>6966</v>
      </c>
      <c r="AJ587" t="s">
        <v>6966</v>
      </c>
      <c r="AK587" t="s">
        <v>6966</v>
      </c>
      <c r="AL587" t="s">
        <v>6966</v>
      </c>
      <c r="AM587" t="s">
        <v>6966</v>
      </c>
      <c r="AN587" t="s">
        <v>6966</v>
      </c>
      <c r="AO587" t="s">
        <v>6966</v>
      </c>
      <c r="AP587" t="s">
        <v>6966</v>
      </c>
      <c r="AQ587" t="s">
        <v>6966</v>
      </c>
      <c r="AR587" t="s">
        <v>6966</v>
      </c>
      <c r="AS587" t="s">
        <v>6966</v>
      </c>
      <c r="AT587" t="s">
        <v>6966</v>
      </c>
      <c r="AU587" t="s">
        <v>6966</v>
      </c>
      <c r="AV587" t="s">
        <v>6966</v>
      </c>
      <c r="AW587" t="s">
        <v>6966</v>
      </c>
      <c r="AX587" t="s">
        <v>6966</v>
      </c>
      <c r="AY587" t="s">
        <v>6966</v>
      </c>
      <c r="AZ587">
        <v>0.15812499999999999</v>
      </c>
      <c r="BA587">
        <v>5.1599999999999997E-4</v>
      </c>
    </row>
    <row r="588" spans="1:53" x14ac:dyDescent="0.25">
      <c r="A588">
        <v>586</v>
      </c>
      <c r="B588" t="s">
        <v>7625</v>
      </c>
      <c r="C588">
        <v>201058</v>
      </c>
      <c r="D588" t="s">
        <v>1111</v>
      </c>
      <c r="E588" t="s">
        <v>1069</v>
      </c>
      <c r="F588">
        <v>0</v>
      </c>
      <c r="G588">
        <v>20080.445313</v>
      </c>
      <c r="H588">
        <v>536</v>
      </c>
      <c r="I588">
        <v>725</v>
      </c>
      <c r="J588">
        <v>53322</v>
      </c>
      <c r="K588" t="s">
        <v>2449</v>
      </c>
      <c r="L588">
        <v>17</v>
      </c>
      <c r="M588">
        <v>17</v>
      </c>
      <c r="N588">
        <v>53322</v>
      </c>
      <c r="O588">
        <v>524</v>
      </c>
      <c r="P588" t="s">
        <v>3214</v>
      </c>
      <c r="Q588">
        <v>0.7</v>
      </c>
      <c r="R588">
        <v>88.4</v>
      </c>
      <c r="S588">
        <v>0.1</v>
      </c>
      <c r="T588">
        <v>14</v>
      </c>
      <c r="U588">
        <v>0</v>
      </c>
      <c r="V588">
        <v>20080.446024000001</v>
      </c>
      <c r="W588">
        <v>587</v>
      </c>
      <c r="X588">
        <v>0</v>
      </c>
      <c r="Y588">
        <v>586</v>
      </c>
      <c r="Z588" t="s">
        <v>6966</v>
      </c>
      <c r="AA588" t="s">
        <v>6966</v>
      </c>
      <c r="AB588" t="s">
        <v>6966</v>
      </c>
      <c r="AC588" t="s">
        <v>6966</v>
      </c>
      <c r="AD588" t="s">
        <v>6966</v>
      </c>
      <c r="AE588" t="s">
        <v>6966</v>
      </c>
      <c r="AF588" t="s">
        <v>6966</v>
      </c>
      <c r="AG588" t="s">
        <v>6966</v>
      </c>
      <c r="AH588" t="s">
        <v>6966</v>
      </c>
      <c r="AI588" t="s">
        <v>6966</v>
      </c>
      <c r="AJ588" t="s">
        <v>6966</v>
      </c>
      <c r="AK588" t="s">
        <v>6966</v>
      </c>
      <c r="AL588" t="s">
        <v>6966</v>
      </c>
      <c r="AM588" t="s">
        <v>6966</v>
      </c>
      <c r="AN588" t="s">
        <v>6966</v>
      </c>
      <c r="AO588" t="s">
        <v>6966</v>
      </c>
      <c r="AP588" t="s">
        <v>6966</v>
      </c>
      <c r="AQ588" t="s">
        <v>6966</v>
      </c>
      <c r="AR588" t="s">
        <v>6966</v>
      </c>
      <c r="AS588" t="s">
        <v>6966</v>
      </c>
      <c r="AT588" t="s">
        <v>6966</v>
      </c>
      <c r="AU588" t="s">
        <v>6966</v>
      </c>
      <c r="AV588" t="s">
        <v>6966</v>
      </c>
      <c r="AW588" t="s">
        <v>6966</v>
      </c>
      <c r="AX588" t="s">
        <v>6966</v>
      </c>
      <c r="AY588" t="s">
        <v>6966</v>
      </c>
      <c r="AZ588">
        <v>0.19724</v>
      </c>
      <c r="BA588">
        <v>1.7129999999999999E-3</v>
      </c>
    </row>
    <row r="589" spans="1:53" x14ac:dyDescent="0.25">
      <c r="A589">
        <v>587</v>
      </c>
      <c r="B589" t="s">
        <v>7625</v>
      </c>
      <c r="C589">
        <v>504033</v>
      </c>
      <c r="D589" t="s">
        <v>452</v>
      </c>
      <c r="E589" t="s">
        <v>7766</v>
      </c>
      <c r="F589">
        <v>0</v>
      </c>
      <c r="G589">
        <v>26811.056640999999</v>
      </c>
      <c r="H589">
        <v>537</v>
      </c>
      <c r="I589">
        <v>727</v>
      </c>
      <c r="J589">
        <v>26211</v>
      </c>
      <c r="K589" t="s">
        <v>7780</v>
      </c>
      <c r="L589">
        <v>7</v>
      </c>
      <c r="M589">
        <v>7</v>
      </c>
      <c r="N589">
        <v>26211</v>
      </c>
      <c r="O589">
        <v>525</v>
      </c>
      <c r="P589" t="s">
        <v>3212</v>
      </c>
      <c r="Q589">
        <v>0.7</v>
      </c>
      <c r="R589">
        <v>19.86</v>
      </c>
      <c r="S589">
        <v>0.28000000000000003</v>
      </c>
      <c r="T589">
        <v>8</v>
      </c>
      <c r="U589">
        <v>0</v>
      </c>
      <c r="V589">
        <v>26811.055507000001</v>
      </c>
      <c r="W589">
        <v>588</v>
      </c>
      <c r="X589">
        <v>0</v>
      </c>
      <c r="Y589">
        <v>587</v>
      </c>
      <c r="Z589" t="s">
        <v>6966</v>
      </c>
      <c r="AA589" t="s">
        <v>6966</v>
      </c>
      <c r="AB589" t="s">
        <v>6966</v>
      </c>
      <c r="AC589" t="s">
        <v>6966</v>
      </c>
      <c r="AD589" t="s">
        <v>6966</v>
      </c>
      <c r="AE589" t="s">
        <v>6966</v>
      </c>
      <c r="AF589" t="s">
        <v>6966</v>
      </c>
      <c r="AG589" t="s">
        <v>6966</v>
      </c>
      <c r="AH589" t="s">
        <v>6966</v>
      </c>
      <c r="AI589" t="s">
        <v>6966</v>
      </c>
      <c r="AJ589" t="s">
        <v>6966</v>
      </c>
      <c r="AK589" t="s">
        <v>6966</v>
      </c>
      <c r="AL589" t="s">
        <v>6966</v>
      </c>
      <c r="AM589" t="s">
        <v>6966</v>
      </c>
      <c r="AN589" t="s">
        <v>6966</v>
      </c>
      <c r="AO589" t="s">
        <v>6966</v>
      </c>
      <c r="AP589" t="s">
        <v>6966</v>
      </c>
      <c r="AQ589" t="s">
        <v>6966</v>
      </c>
      <c r="AR589" t="s">
        <v>6966</v>
      </c>
      <c r="AS589" t="s">
        <v>6966</v>
      </c>
      <c r="AT589" t="s">
        <v>6966</v>
      </c>
      <c r="AU589" t="s">
        <v>6966</v>
      </c>
      <c r="AV589" t="s">
        <v>6966</v>
      </c>
      <c r="AW589" t="s">
        <v>6966</v>
      </c>
      <c r="AX589" t="s">
        <v>6966</v>
      </c>
      <c r="AY589" t="s">
        <v>6966</v>
      </c>
      <c r="AZ589">
        <v>0.27376099999999998</v>
      </c>
      <c r="BA589">
        <v>1.702E-3</v>
      </c>
    </row>
    <row r="590" spans="1:53" x14ac:dyDescent="0.25">
      <c r="A590">
        <v>588</v>
      </c>
      <c r="B590" t="s">
        <v>7625</v>
      </c>
      <c r="C590">
        <v>504067</v>
      </c>
      <c r="D590" t="s">
        <v>526</v>
      </c>
      <c r="E590" t="s">
        <v>7766</v>
      </c>
      <c r="F590">
        <v>2130012.25</v>
      </c>
      <c r="G590">
        <v>7666.439453</v>
      </c>
      <c r="H590">
        <v>538</v>
      </c>
      <c r="I590">
        <v>728</v>
      </c>
      <c r="J590">
        <v>26361</v>
      </c>
      <c r="K590" t="s">
        <v>1986</v>
      </c>
      <c r="L590">
        <v>7</v>
      </c>
      <c r="M590">
        <v>7</v>
      </c>
      <c r="N590">
        <v>26361</v>
      </c>
      <c r="O590">
        <v>526</v>
      </c>
      <c r="P590" t="s">
        <v>3212</v>
      </c>
      <c r="Q590">
        <v>0.6</v>
      </c>
      <c r="R590">
        <v>52.69</v>
      </c>
      <c r="S590">
        <v>0.17</v>
      </c>
      <c r="T590">
        <v>14</v>
      </c>
      <c r="U590">
        <v>2130012.29953</v>
      </c>
      <c r="V590">
        <v>7666.439695</v>
      </c>
      <c r="W590">
        <v>589</v>
      </c>
      <c r="X590">
        <v>0</v>
      </c>
      <c r="Y590">
        <v>588</v>
      </c>
      <c r="Z590" t="s">
        <v>6966</v>
      </c>
      <c r="AA590" t="s">
        <v>6966</v>
      </c>
      <c r="AB590" t="s">
        <v>6966</v>
      </c>
      <c r="AC590" t="s">
        <v>6966</v>
      </c>
      <c r="AD590" t="s">
        <v>6966</v>
      </c>
      <c r="AE590" t="s">
        <v>6966</v>
      </c>
      <c r="AF590" t="s">
        <v>6966</v>
      </c>
      <c r="AG590" t="s">
        <v>6966</v>
      </c>
      <c r="AH590" t="s">
        <v>6966</v>
      </c>
      <c r="AI590" t="s">
        <v>6966</v>
      </c>
      <c r="AJ590" t="s">
        <v>6966</v>
      </c>
      <c r="AK590" t="s">
        <v>6966</v>
      </c>
      <c r="AL590" t="s">
        <v>6966</v>
      </c>
      <c r="AM590" t="s">
        <v>6966</v>
      </c>
      <c r="AN590" t="s">
        <v>6966</v>
      </c>
      <c r="AO590" t="s">
        <v>6966</v>
      </c>
      <c r="AP590" t="s">
        <v>6966</v>
      </c>
      <c r="AQ590" t="s">
        <v>6966</v>
      </c>
      <c r="AR590" t="s">
        <v>6966</v>
      </c>
      <c r="AS590" t="s">
        <v>6966</v>
      </c>
      <c r="AT590" t="s">
        <v>6966</v>
      </c>
      <c r="AU590" t="s">
        <v>6966</v>
      </c>
      <c r="AV590" t="s">
        <v>6966</v>
      </c>
      <c r="AW590" t="s">
        <v>6966</v>
      </c>
      <c r="AX590" t="s">
        <v>6966</v>
      </c>
      <c r="AY590" t="s">
        <v>6966</v>
      </c>
      <c r="AZ590">
        <v>7.6330999999999996E-2</v>
      </c>
      <c r="BA590">
        <v>2.0799999999999999E-4</v>
      </c>
    </row>
    <row r="591" spans="1:53" x14ac:dyDescent="0.25">
      <c r="A591">
        <v>589</v>
      </c>
      <c r="B591" t="s">
        <v>7625</v>
      </c>
      <c r="C591">
        <v>504022</v>
      </c>
      <c r="D591" t="s">
        <v>474</v>
      </c>
      <c r="E591" t="s">
        <v>7766</v>
      </c>
      <c r="F591">
        <v>3903884.5</v>
      </c>
      <c r="G591">
        <v>11310.996094</v>
      </c>
      <c r="H591">
        <v>539</v>
      </c>
      <c r="I591">
        <v>729</v>
      </c>
      <c r="J591">
        <v>26243</v>
      </c>
      <c r="K591" t="s">
        <v>1943</v>
      </c>
      <c r="L591">
        <v>7</v>
      </c>
      <c r="M591">
        <v>7</v>
      </c>
      <c r="N591">
        <v>26243</v>
      </c>
      <c r="O591">
        <v>527</v>
      </c>
      <c r="P591" t="s">
        <v>3212</v>
      </c>
      <c r="Q591">
        <v>0.9</v>
      </c>
      <c r="R591">
        <v>30.84</v>
      </c>
      <c r="S591">
        <v>0.21</v>
      </c>
      <c r="T591">
        <v>8</v>
      </c>
      <c r="U591">
        <v>3903884.36784</v>
      </c>
      <c r="V591">
        <v>11310.995249</v>
      </c>
      <c r="W591">
        <v>590</v>
      </c>
      <c r="X591">
        <v>0</v>
      </c>
      <c r="Y591">
        <v>589</v>
      </c>
      <c r="Z591" t="s">
        <v>6966</v>
      </c>
      <c r="AA591" t="s">
        <v>6966</v>
      </c>
      <c r="AB591" t="s">
        <v>6966</v>
      </c>
      <c r="AC591" t="s">
        <v>6966</v>
      </c>
      <c r="AD591" t="s">
        <v>6966</v>
      </c>
      <c r="AE591" t="s">
        <v>6966</v>
      </c>
      <c r="AF591" t="s">
        <v>6966</v>
      </c>
      <c r="AG591" t="s">
        <v>6966</v>
      </c>
      <c r="AH591" t="s">
        <v>6966</v>
      </c>
      <c r="AI591" t="s">
        <v>6966</v>
      </c>
      <c r="AJ591" t="s">
        <v>6966</v>
      </c>
      <c r="AK591" t="s">
        <v>6966</v>
      </c>
      <c r="AL591" t="s">
        <v>6966</v>
      </c>
      <c r="AM591" t="s">
        <v>6966</v>
      </c>
      <c r="AN591" t="s">
        <v>6966</v>
      </c>
      <c r="AO591" t="s">
        <v>6966</v>
      </c>
      <c r="AP591" t="s">
        <v>6966</v>
      </c>
      <c r="AQ591" t="s">
        <v>6966</v>
      </c>
      <c r="AR591" t="s">
        <v>6966</v>
      </c>
      <c r="AS591" t="s">
        <v>6966</v>
      </c>
      <c r="AT591" t="s">
        <v>6966</v>
      </c>
      <c r="AU591" t="s">
        <v>6966</v>
      </c>
      <c r="AV591" t="s">
        <v>6966</v>
      </c>
      <c r="AW591" t="s">
        <v>6966</v>
      </c>
      <c r="AX591" t="s">
        <v>6966</v>
      </c>
      <c r="AY591" t="s">
        <v>6966</v>
      </c>
      <c r="AZ591">
        <v>0.115769</v>
      </c>
      <c r="BA591">
        <v>3.8099999999999999E-4</v>
      </c>
    </row>
    <row r="592" spans="1:53" x14ac:dyDescent="0.25">
      <c r="A592">
        <v>590</v>
      </c>
      <c r="B592" t="s">
        <v>7625</v>
      </c>
      <c r="C592">
        <v>504047</v>
      </c>
      <c r="D592" t="s">
        <v>499</v>
      </c>
      <c r="E592" t="s">
        <v>7766</v>
      </c>
      <c r="F592">
        <v>2391638.25</v>
      </c>
      <c r="G592">
        <v>8978.7773440000001</v>
      </c>
      <c r="H592">
        <v>540</v>
      </c>
      <c r="I592">
        <v>731</v>
      </c>
      <c r="J592">
        <v>26284</v>
      </c>
      <c r="K592" t="s">
        <v>499</v>
      </c>
      <c r="L592">
        <v>7</v>
      </c>
      <c r="M592">
        <v>7</v>
      </c>
      <c r="N592">
        <v>26284</v>
      </c>
      <c r="O592">
        <v>528</v>
      </c>
      <c r="P592" t="s">
        <v>3212</v>
      </c>
      <c r="Q592">
        <v>4.2</v>
      </c>
      <c r="R592">
        <v>25.87</v>
      </c>
      <c r="S592">
        <v>1.03</v>
      </c>
      <c r="T592">
        <v>6</v>
      </c>
      <c r="U592">
        <v>2391638.3075000001</v>
      </c>
      <c r="V592">
        <v>8978.7762540000003</v>
      </c>
      <c r="W592">
        <v>591</v>
      </c>
      <c r="X592">
        <v>0</v>
      </c>
      <c r="Y592">
        <v>590</v>
      </c>
      <c r="Z592" t="s">
        <v>6966</v>
      </c>
      <c r="AA592" t="s">
        <v>6966</v>
      </c>
      <c r="AB592" t="s">
        <v>6966</v>
      </c>
      <c r="AC592" t="s">
        <v>6966</v>
      </c>
      <c r="AD592" t="s">
        <v>6966</v>
      </c>
      <c r="AE592" t="s">
        <v>6966</v>
      </c>
      <c r="AF592" t="s">
        <v>6966</v>
      </c>
      <c r="AG592" t="s">
        <v>6966</v>
      </c>
      <c r="AH592" t="s">
        <v>6966</v>
      </c>
      <c r="AI592" t="s">
        <v>6966</v>
      </c>
      <c r="AJ592" t="s">
        <v>6966</v>
      </c>
      <c r="AK592" t="s">
        <v>6966</v>
      </c>
      <c r="AL592" t="s">
        <v>6966</v>
      </c>
      <c r="AM592" t="s">
        <v>6966</v>
      </c>
      <c r="AN592" t="s">
        <v>6966</v>
      </c>
      <c r="AO592" t="s">
        <v>6966</v>
      </c>
      <c r="AP592" t="s">
        <v>6966</v>
      </c>
      <c r="AQ592" t="s">
        <v>6966</v>
      </c>
      <c r="AR592" t="s">
        <v>6966</v>
      </c>
      <c r="AS592" t="s">
        <v>6966</v>
      </c>
      <c r="AT592" t="s">
        <v>6966</v>
      </c>
      <c r="AU592" t="s">
        <v>6966</v>
      </c>
      <c r="AV592" t="s">
        <v>6966</v>
      </c>
      <c r="AW592" t="s">
        <v>6966</v>
      </c>
      <c r="AX592" t="s">
        <v>6966</v>
      </c>
      <c r="AY592" t="s">
        <v>6966</v>
      </c>
      <c r="AZ592">
        <v>9.2623999999999998E-2</v>
      </c>
      <c r="BA592">
        <v>2.34E-4</v>
      </c>
    </row>
    <row r="593" spans="1:53" x14ac:dyDescent="0.25">
      <c r="A593">
        <v>591</v>
      </c>
      <c r="B593" t="s">
        <v>7625</v>
      </c>
      <c r="C593">
        <v>504076</v>
      </c>
      <c r="D593" t="s">
        <v>514</v>
      </c>
      <c r="E593" t="s">
        <v>7766</v>
      </c>
      <c r="F593">
        <v>7911218</v>
      </c>
      <c r="G593">
        <v>19368.144531000002</v>
      </c>
      <c r="H593">
        <v>541</v>
      </c>
      <c r="I593">
        <v>732</v>
      </c>
      <c r="J593">
        <v>26321</v>
      </c>
      <c r="K593" t="s">
        <v>1976</v>
      </c>
      <c r="L593">
        <v>7</v>
      </c>
      <c r="M593">
        <v>7</v>
      </c>
      <c r="N593">
        <v>26321</v>
      </c>
      <c r="O593">
        <v>529</v>
      </c>
      <c r="P593" t="s">
        <v>3212</v>
      </c>
      <c r="Q593">
        <v>1.6</v>
      </c>
      <c r="R593">
        <v>43.92</v>
      </c>
      <c r="S593">
        <v>0.36</v>
      </c>
      <c r="T593">
        <v>11</v>
      </c>
      <c r="U593">
        <v>7911218.0577199999</v>
      </c>
      <c r="V593">
        <v>19368.144843999999</v>
      </c>
      <c r="W593">
        <v>592</v>
      </c>
      <c r="X593">
        <v>0</v>
      </c>
      <c r="Y593">
        <v>591</v>
      </c>
      <c r="Z593" t="s">
        <v>6966</v>
      </c>
      <c r="AA593" t="s">
        <v>6966</v>
      </c>
      <c r="AB593" t="s">
        <v>6966</v>
      </c>
      <c r="AC593" t="s">
        <v>6966</v>
      </c>
      <c r="AD593" t="s">
        <v>6966</v>
      </c>
      <c r="AE593" t="s">
        <v>6966</v>
      </c>
      <c r="AF593" t="s">
        <v>6966</v>
      </c>
      <c r="AG593" t="s">
        <v>6966</v>
      </c>
      <c r="AH593" t="s">
        <v>6966</v>
      </c>
      <c r="AI593" t="s">
        <v>6966</v>
      </c>
      <c r="AJ593" t="s">
        <v>6966</v>
      </c>
      <c r="AK593" t="s">
        <v>6966</v>
      </c>
      <c r="AL593" t="s">
        <v>6966</v>
      </c>
      <c r="AM593" t="s">
        <v>6966</v>
      </c>
      <c r="AN593" t="s">
        <v>6966</v>
      </c>
      <c r="AO593" t="s">
        <v>6966</v>
      </c>
      <c r="AP593" t="s">
        <v>6966</v>
      </c>
      <c r="AQ593" t="s">
        <v>6966</v>
      </c>
      <c r="AR593" t="s">
        <v>6966</v>
      </c>
      <c r="AS593" t="s">
        <v>6966</v>
      </c>
      <c r="AT593" t="s">
        <v>6966</v>
      </c>
      <c r="AU593" t="s">
        <v>6966</v>
      </c>
      <c r="AV593" t="s">
        <v>6966</v>
      </c>
      <c r="AW593" t="s">
        <v>6966</v>
      </c>
      <c r="AX593" t="s">
        <v>6966</v>
      </c>
      <c r="AY593" t="s">
        <v>6966</v>
      </c>
      <c r="AZ593">
        <v>0.190055</v>
      </c>
      <c r="BA593">
        <v>7.7300000000000003E-4</v>
      </c>
    </row>
    <row r="594" spans="1:53" x14ac:dyDescent="0.25">
      <c r="A594">
        <v>592</v>
      </c>
      <c r="B594" t="s">
        <v>7625</v>
      </c>
      <c r="C594">
        <v>504056</v>
      </c>
      <c r="D594" t="s">
        <v>438</v>
      </c>
      <c r="E594" t="s">
        <v>7766</v>
      </c>
      <c r="F594">
        <v>4121690.25</v>
      </c>
      <c r="G594">
        <v>13766.484375</v>
      </c>
      <c r="H594">
        <v>542</v>
      </c>
      <c r="I594">
        <v>734</v>
      </c>
      <c r="J594">
        <v>26111</v>
      </c>
      <c r="K594" t="s">
        <v>1913</v>
      </c>
      <c r="L594">
        <v>7</v>
      </c>
      <c r="M594">
        <v>7</v>
      </c>
      <c r="N594">
        <v>26111</v>
      </c>
      <c r="O594">
        <v>530</v>
      </c>
      <c r="P594" t="s">
        <v>3212</v>
      </c>
      <c r="Q594">
        <v>32.200000000000003</v>
      </c>
      <c r="R594">
        <v>68.069999999999993</v>
      </c>
      <c r="S594">
        <v>7</v>
      </c>
      <c r="T594">
        <v>17</v>
      </c>
      <c r="U594">
        <v>4121690.4276200002</v>
      </c>
      <c r="V594">
        <v>13766.484938</v>
      </c>
      <c r="W594">
        <v>593</v>
      </c>
      <c r="X594">
        <v>2</v>
      </c>
      <c r="Y594">
        <v>592</v>
      </c>
      <c r="Z594">
        <v>72491</v>
      </c>
      <c r="AA594" s="76">
        <v>45941</v>
      </c>
      <c r="AB594">
        <v>2025</v>
      </c>
      <c r="AC594" t="s">
        <v>7473</v>
      </c>
      <c r="AD594">
        <v>11</v>
      </c>
      <c r="AE594" t="s">
        <v>7494</v>
      </c>
      <c r="AF594" t="s">
        <v>3212</v>
      </c>
      <c r="AG594" t="s">
        <v>3227</v>
      </c>
      <c r="AH594" t="s">
        <v>438</v>
      </c>
      <c r="AI594" t="s">
        <v>1913</v>
      </c>
      <c r="AJ594" t="s">
        <v>6966</v>
      </c>
      <c r="AK594">
        <v>34.120420000000003</v>
      </c>
      <c r="AL594">
        <v>35.647109999999998</v>
      </c>
      <c r="AM594" t="s">
        <v>7014</v>
      </c>
      <c r="AN594" t="s">
        <v>7014</v>
      </c>
      <c r="AO594" t="s">
        <v>7086</v>
      </c>
      <c r="AP594" t="s">
        <v>7495</v>
      </c>
      <c r="AQ594" t="s">
        <v>6998</v>
      </c>
      <c r="AR594" t="s">
        <v>7048</v>
      </c>
      <c r="AS594" t="s">
        <v>7071</v>
      </c>
      <c r="AT594">
        <v>0</v>
      </c>
      <c r="AU594">
        <v>0</v>
      </c>
      <c r="AV594" t="s">
        <v>7523</v>
      </c>
      <c r="AW594" t="s">
        <v>7119</v>
      </c>
      <c r="AX594" t="s">
        <v>6966</v>
      </c>
      <c r="AY594" t="s">
        <v>7044</v>
      </c>
      <c r="AZ594">
        <v>0.14043</v>
      </c>
      <c r="BA594">
        <v>4.0299999999999998E-4</v>
      </c>
    </row>
    <row r="595" spans="1:53" x14ac:dyDescent="0.25">
      <c r="A595">
        <v>593</v>
      </c>
      <c r="B595" t="s">
        <v>7625</v>
      </c>
      <c r="C595">
        <v>504050</v>
      </c>
      <c r="D595" t="s">
        <v>534</v>
      </c>
      <c r="E595" t="s">
        <v>7766</v>
      </c>
      <c r="F595">
        <v>152127.5625</v>
      </c>
      <c r="G595">
        <v>2317.3120119999999</v>
      </c>
      <c r="H595">
        <v>543</v>
      </c>
      <c r="I595">
        <v>735</v>
      </c>
      <c r="J595">
        <v>26388</v>
      </c>
      <c r="K595" t="s">
        <v>1835</v>
      </c>
      <c r="L595">
        <v>7</v>
      </c>
      <c r="M595">
        <v>7</v>
      </c>
      <c r="N595">
        <v>26388</v>
      </c>
      <c r="O595">
        <v>531</v>
      </c>
      <c r="P595" t="s">
        <v>3212</v>
      </c>
      <c r="Q595">
        <v>0.6</v>
      </c>
      <c r="R595">
        <v>12</v>
      </c>
      <c r="S595">
        <v>0.13</v>
      </c>
      <c r="T595">
        <v>0</v>
      </c>
      <c r="U595">
        <v>152127.56811399999</v>
      </c>
      <c r="V595">
        <v>2317.3118169999998</v>
      </c>
      <c r="W595">
        <v>594</v>
      </c>
      <c r="X595">
        <v>0</v>
      </c>
      <c r="Y595">
        <v>593</v>
      </c>
      <c r="Z595" t="s">
        <v>6966</v>
      </c>
      <c r="AA595" t="s">
        <v>6966</v>
      </c>
      <c r="AB595" t="s">
        <v>6966</v>
      </c>
      <c r="AC595" t="s">
        <v>6966</v>
      </c>
      <c r="AD595" t="s">
        <v>6966</v>
      </c>
      <c r="AE595" t="s">
        <v>6966</v>
      </c>
      <c r="AF595" t="s">
        <v>6966</v>
      </c>
      <c r="AG595" t="s">
        <v>6966</v>
      </c>
      <c r="AH595" t="s">
        <v>6966</v>
      </c>
      <c r="AI595" t="s">
        <v>6966</v>
      </c>
      <c r="AJ595" t="s">
        <v>6966</v>
      </c>
      <c r="AK595" t="s">
        <v>6966</v>
      </c>
      <c r="AL595" t="s">
        <v>6966</v>
      </c>
      <c r="AM595" t="s">
        <v>6966</v>
      </c>
      <c r="AN595" t="s">
        <v>6966</v>
      </c>
      <c r="AO595" t="s">
        <v>6966</v>
      </c>
      <c r="AP595" t="s">
        <v>6966</v>
      </c>
      <c r="AQ595" t="s">
        <v>6966</v>
      </c>
      <c r="AR595" t="s">
        <v>6966</v>
      </c>
      <c r="AS595" t="s">
        <v>6966</v>
      </c>
      <c r="AT595" t="s">
        <v>6966</v>
      </c>
      <c r="AU595" t="s">
        <v>6966</v>
      </c>
      <c r="AV595" t="s">
        <v>6966</v>
      </c>
      <c r="AW595" t="s">
        <v>6966</v>
      </c>
      <c r="AX595" t="s">
        <v>6966</v>
      </c>
      <c r="AY595" t="s">
        <v>6966</v>
      </c>
      <c r="AZ595">
        <v>2.2550000000000001E-2</v>
      </c>
      <c r="BA595">
        <v>1.5E-5</v>
      </c>
    </row>
    <row r="596" spans="1:53" x14ac:dyDescent="0.25">
      <c r="A596">
        <v>594</v>
      </c>
      <c r="B596" t="s">
        <v>7625</v>
      </c>
      <c r="C596">
        <v>504088</v>
      </c>
      <c r="D596" t="s">
        <v>473</v>
      </c>
      <c r="E596" t="s">
        <v>7766</v>
      </c>
      <c r="F596">
        <v>4285057</v>
      </c>
      <c r="G596">
        <v>11481.672852</v>
      </c>
      <c r="H596">
        <v>544</v>
      </c>
      <c r="I596">
        <v>736</v>
      </c>
      <c r="J596">
        <v>26241</v>
      </c>
      <c r="K596" t="s">
        <v>1942</v>
      </c>
      <c r="L596">
        <v>7</v>
      </c>
      <c r="M596">
        <v>7</v>
      </c>
      <c r="N596">
        <v>26241</v>
      </c>
      <c r="O596">
        <v>532</v>
      </c>
      <c r="P596" t="s">
        <v>3212</v>
      </c>
      <c r="Q596">
        <v>1.1000000000000001</v>
      </c>
      <c r="R596">
        <v>33.39</v>
      </c>
      <c r="S596">
        <v>0.38</v>
      </c>
      <c r="T596">
        <v>11</v>
      </c>
      <c r="U596">
        <v>4285057.0594699997</v>
      </c>
      <c r="V596">
        <v>11481.673996</v>
      </c>
      <c r="W596">
        <v>595</v>
      </c>
      <c r="X596">
        <v>0</v>
      </c>
      <c r="Y596">
        <v>594</v>
      </c>
      <c r="Z596" t="s">
        <v>6966</v>
      </c>
      <c r="AA596" t="s">
        <v>6966</v>
      </c>
      <c r="AB596" t="s">
        <v>6966</v>
      </c>
      <c r="AC596" t="s">
        <v>6966</v>
      </c>
      <c r="AD596" t="s">
        <v>6966</v>
      </c>
      <c r="AE596" t="s">
        <v>6966</v>
      </c>
      <c r="AF596" t="s">
        <v>6966</v>
      </c>
      <c r="AG596" t="s">
        <v>6966</v>
      </c>
      <c r="AH596" t="s">
        <v>6966</v>
      </c>
      <c r="AI596" t="s">
        <v>6966</v>
      </c>
      <c r="AJ596" t="s">
        <v>6966</v>
      </c>
      <c r="AK596" t="s">
        <v>6966</v>
      </c>
      <c r="AL596" t="s">
        <v>6966</v>
      </c>
      <c r="AM596" t="s">
        <v>6966</v>
      </c>
      <c r="AN596" t="s">
        <v>6966</v>
      </c>
      <c r="AO596" t="s">
        <v>6966</v>
      </c>
      <c r="AP596" t="s">
        <v>6966</v>
      </c>
      <c r="AQ596" t="s">
        <v>6966</v>
      </c>
      <c r="AR596" t="s">
        <v>6966</v>
      </c>
      <c r="AS596" t="s">
        <v>6966</v>
      </c>
      <c r="AT596" t="s">
        <v>6966</v>
      </c>
      <c r="AU596" t="s">
        <v>6966</v>
      </c>
      <c r="AV596" t="s">
        <v>6966</v>
      </c>
      <c r="AW596" t="s">
        <v>6966</v>
      </c>
      <c r="AX596" t="s">
        <v>6966</v>
      </c>
      <c r="AY596" t="s">
        <v>6966</v>
      </c>
      <c r="AZ596">
        <v>0.117466</v>
      </c>
      <c r="BA596">
        <v>4.1899999999999999E-4</v>
      </c>
    </row>
    <row r="597" spans="1:53" x14ac:dyDescent="0.25">
      <c r="A597">
        <v>595</v>
      </c>
      <c r="B597" t="s">
        <v>7625</v>
      </c>
      <c r="C597">
        <v>504064</v>
      </c>
      <c r="D597" t="s">
        <v>487</v>
      </c>
      <c r="E597" t="s">
        <v>7766</v>
      </c>
      <c r="F597">
        <v>477184.96875</v>
      </c>
      <c r="G597">
        <v>3407.336914</v>
      </c>
      <c r="H597">
        <v>545</v>
      </c>
      <c r="I597">
        <v>737</v>
      </c>
      <c r="J597">
        <v>26264</v>
      </c>
      <c r="K597" t="s">
        <v>1956</v>
      </c>
      <c r="L597">
        <v>7</v>
      </c>
      <c r="M597">
        <v>7</v>
      </c>
      <c r="N597">
        <v>26264</v>
      </c>
      <c r="O597">
        <v>533</v>
      </c>
      <c r="P597" t="s">
        <v>3212</v>
      </c>
      <c r="Q597">
        <v>0.3</v>
      </c>
      <c r="R597">
        <v>5.92</v>
      </c>
      <c r="S597">
        <v>0.06</v>
      </c>
      <c r="T597">
        <v>1</v>
      </c>
      <c r="U597">
        <v>477184.92274299997</v>
      </c>
      <c r="V597">
        <v>3407.33628</v>
      </c>
      <c r="W597">
        <v>596</v>
      </c>
      <c r="X597">
        <v>0</v>
      </c>
      <c r="Y597">
        <v>595</v>
      </c>
      <c r="Z597" t="s">
        <v>6966</v>
      </c>
      <c r="AA597" t="s">
        <v>6966</v>
      </c>
      <c r="AB597" t="s">
        <v>6966</v>
      </c>
      <c r="AC597" t="s">
        <v>6966</v>
      </c>
      <c r="AD597" t="s">
        <v>6966</v>
      </c>
      <c r="AE597" t="s">
        <v>6966</v>
      </c>
      <c r="AF597" t="s">
        <v>6966</v>
      </c>
      <c r="AG597" t="s">
        <v>6966</v>
      </c>
      <c r="AH597" t="s">
        <v>6966</v>
      </c>
      <c r="AI597" t="s">
        <v>6966</v>
      </c>
      <c r="AJ597" t="s">
        <v>6966</v>
      </c>
      <c r="AK597" t="s">
        <v>6966</v>
      </c>
      <c r="AL597" t="s">
        <v>6966</v>
      </c>
      <c r="AM597" t="s">
        <v>6966</v>
      </c>
      <c r="AN597" t="s">
        <v>6966</v>
      </c>
      <c r="AO597" t="s">
        <v>6966</v>
      </c>
      <c r="AP597" t="s">
        <v>6966</v>
      </c>
      <c r="AQ597" t="s">
        <v>6966</v>
      </c>
      <c r="AR597" t="s">
        <v>6966</v>
      </c>
      <c r="AS597" t="s">
        <v>6966</v>
      </c>
      <c r="AT597" t="s">
        <v>6966</v>
      </c>
      <c r="AU597" t="s">
        <v>6966</v>
      </c>
      <c r="AV597" t="s">
        <v>6966</v>
      </c>
      <c r="AW597" t="s">
        <v>6966</v>
      </c>
      <c r="AX597" t="s">
        <v>6966</v>
      </c>
      <c r="AY597" t="s">
        <v>6966</v>
      </c>
      <c r="AZ597">
        <v>3.4513000000000002E-2</v>
      </c>
      <c r="BA597">
        <v>4.6999999999999997E-5</v>
      </c>
    </row>
    <row r="598" spans="1:53" x14ac:dyDescent="0.25">
      <c r="A598">
        <v>596</v>
      </c>
      <c r="B598" t="s">
        <v>7625</v>
      </c>
      <c r="C598">
        <v>504026</v>
      </c>
      <c r="D598" t="s">
        <v>498</v>
      </c>
      <c r="E598" t="s">
        <v>7766</v>
      </c>
      <c r="F598">
        <v>1147237.25</v>
      </c>
      <c r="G598">
        <v>6876.0546880000002</v>
      </c>
      <c r="H598">
        <v>546</v>
      </c>
      <c r="I598">
        <v>738</v>
      </c>
      <c r="J598">
        <v>26283</v>
      </c>
      <c r="K598" t="s">
        <v>1965</v>
      </c>
      <c r="L598">
        <v>7</v>
      </c>
      <c r="M598">
        <v>7</v>
      </c>
      <c r="N598">
        <v>26283</v>
      </c>
      <c r="O598">
        <v>534</v>
      </c>
      <c r="P598" t="s">
        <v>3212</v>
      </c>
      <c r="Q598">
        <v>0.3</v>
      </c>
      <c r="R598">
        <v>5.08</v>
      </c>
      <c r="S598">
        <v>0.05</v>
      </c>
      <c r="T598">
        <v>1</v>
      </c>
      <c r="U598">
        <v>1147237.19958</v>
      </c>
      <c r="V598">
        <v>6876.0539479999998</v>
      </c>
      <c r="W598">
        <v>597</v>
      </c>
      <c r="X598">
        <v>0</v>
      </c>
      <c r="Y598">
        <v>596</v>
      </c>
      <c r="Z598" t="s">
        <v>6966</v>
      </c>
      <c r="AA598" t="s">
        <v>6966</v>
      </c>
      <c r="AB598" t="s">
        <v>6966</v>
      </c>
      <c r="AC598" t="s">
        <v>6966</v>
      </c>
      <c r="AD598" t="s">
        <v>6966</v>
      </c>
      <c r="AE598" t="s">
        <v>6966</v>
      </c>
      <c r="AF598" t="s">
        <v>6966</v>
      </c>
      <c r="AG598" t="s">
        <v>6966</v>
      </c>
      <c r="AH598" t="s">
        <v>6966</v>
      </c>
      <c r="AI598" t="s">
        <v>6966</v>
      </c>
      <c r="AJ598" t="s">
        <v>6966</v>
      </c>
      <c r="AK598" t="s">
        <v>6966</v>
      </c>
      <c r="AL598" t="s">
        <v>6966</v>
      </c>
      <c r="AM598" t="s">
        <v>6966</v>
      </c>
      <c r="AN598" t="s">
        <v>6966</v>
      </c>
      <c r="AO598" t="s">
        <v>6966</v>
      </c>
      <c r="AP598" t="s">
        <v>6966</v>
      </c>
      <c r="AQ598" t="s">
        <v>6966</v>
      </c>
      <c r="AR598" t="s">
        <v>6966</v>
      </c>
      <c r="AS598" t="s">
        <v>6966</v>
      </c>
      <c r="AT598" t="s">
        <v>6966</v>
      </c>
      <c r="AU598" t="s">
        <v>6966</v>
      </c>
      <c r="AV598" t="s">
        <v>6966</v>
      </c>
      <c r="AW598" t="s">
        <v>6966</v>
      </c>
      <c r="AX598" t="s">
        <v>6966</v>
      </c>
      <c r="AY598" t="s">
        <v>6966</v>
      </c>
      <c r="AZ598">
        <v>7.0735000000000006E-2</v>
      </c>
      <c r="BA598">
        <v>1.12E-4</v>
      </c>
    </row>
    <row r="599" spans="1:53" x14ac:dyDescent="0.25">
      <c r="A599">
        <v>597</v>
      </c>
      <c r="B599" t="s">
        <v>7625</v>
      </c>
      <c r="C599">
        <v>201018</v>
      </c>
      <c r="D599" t="s">
        <v>1116</v>
      </c>
      <c r="E599" t="s">
        <v>1069</v>
      </c>
      <c r="F599">
        <v>0</v>
      </c>
      <c r="G599">
        <v>19103.501952999999</v>
      </c>
      <c r="H599">
        <v>547</v>
      </c>
      <c r="I599">
        <v>739</v>
      </c>
      <c r="J599">
        <v>53375</v>
      </c>
      <c r="K599" t="s">
        <v>7781</v>
      </c>
      <c r="L599">
        <v>17</v>
      </c>
      <c r="M599">
        <v>17</v>
      </c>
      <c r="N599">
        <v>53375</v>
      </c>
      <c r="O599">
        <v>535</v>
      </c>
      <c r="P599" t="s">
        <v>3214</v>
      </c>
      <c r="Q599">
        <v>0.7</v>
      </c>
      <c r="R599">
        <v>20.68</v>
      </c>
      <c r="S599">
        <v>0.19</v>
      </c>
      <c r="T599">
        <v>6</v>
      </c>
      <c r="U599">
        <v>0</v>
      </c>
      <c r="V599">
        <v>19103.502687</v>
      </c>
      <c r="W599">
        <v>598</v>
      </c>
      <c r="X599">
        <v>0</v>
      </c>
      <c r="Y599">
        <v>597</v>
      </c>
      <c r="Z599" t="s">
        <v>6966</v>
      </c>
      <c r="AA599" t="s">
        <v>6966</v>
      </c>
      <c r="AB599" t="s">
        <v>6966</v>
      </c>
      <c r="AC599" t="s">
        <v>6966</v>
      </c>
      <c r="AD599" t="s">
        <v>6966</v>
      </c>
      <c r="AE599" t="s">
        <v>6966</v>
      </c>
      <c r="AF599" t="s">
        <v>6966</v>
      </c>
      <c r="AG599" t="s">
        <v>6966</v>
      </c>
      <c r="AH599" t="s">
        <v>6966</v>
      </c>
      <c r="AI599" t="s">
        <v>6966</v>
      </c>
      <c r="AJ599" t="s">
        <v>6966</v>
      </c>
      <c r="AK599" t="s">
        <v>6966</v>
      </c>
      <c r="AL599" t="s">
        <v>6966</v>
      </c>
      <c r="AM599" t="s">
        <v>6966</v>
      </c>
      <c r="AN599" t="s">
        <v>6966</v>
      </c>
      <c r="AO599" t="s">
        <v>6966</v>
      </c>
      <c r="AP599" t="s">
        <v>6966</v>
      </c>
      <c r="AQ599" t="s">
        <v>6966</v>
      </c>
      <c r="AR599" t="s">
        <v>6966</v>
      </c>
      <c r="AS599" t="s">
        <v>6966</v>
      </c>
      <c r="AT599" t="s">
        <v>6966</v>
      </c>
      <c r="AU599" t="s">
        <v>6966</v>
      </c>
      <c r="AV599" t="s">
        <v>6966</v>
      </c>
      <c r="AW599" t="s">
        <v>6966</v>
      </c>
      <c r="AX599" t="s">
        <v>6966</v>
      </c>
      <c r="AY599" t="s">
        <v>6966</v>
      </c>
      <c r="AZ599">
        <v>0.191416</v>
      </c>
      <c r="BA599">
        <v>1.2689999999999999E-3</v>
      </c>
    </row>
    <row r="600" spans="1:53" x14ac:dyDescent="0.25">
      <c r="A600">
        <v>598</v>
      </c>
      <c r="B600" t="s">
        <v>7625</v>
      </c>
      <c r="C600">
        <v>504028</v>
      </c>
      <c r="D600" t="s">
        <v>480</v>
      </c>
      <c r="E600" t="s">
        <v>7766</v>
      </c>
      <c r="F600">
        <v>1032266.5</v>
      </c>
      <c r="G600">
        <v>5756.3466799999997</v>
      </c>
      <c r="H600">
        <v>548</v>
      </c>
      <c r="I600">
        <v>741</v>
      </c>
      <c r="J600">
        <v>26253</v>
      </c>
      <c r="K600" t="s">
        <v>1949</v>
      </c>
      <c r="L600">
        <v>7</v>
      </c>
      <c r="M600">
        <v>7</v>
      </c>
      <c r="N600">
        <v>26253</v>
      </c>
      <c r="O600">
        <v>536</v>
      </c>
      <c r="P600" t="s">
        <v>3212</v>
      </c>
      <c r="Q600">
        <v>3.5</v>
      </c>
      <c r="R600">
        <v>34.51</v>
      </c>
      <c r="S600">
        <v>0.83</v>
      </c>
      <c r="T600">
        <v>8</v>
      </c>
      <c r="U600">
        <v>1032266.53915</v>
      </c>
      <c r="V600">
        <v>5756.3462170000003</v>
      </c>
      <c r="W600">
        <v>599</v>
      </c>
      <c r="X600">
        <v>0</v>
      </c>
      <c r="Y600">
        <v>598</v>
      </c>
      <c r="Z600" t="s">
        <v>6966</v>
      </c>
      <c r="AA600" t="s">
        <v>6966</v>
      </c>
      <c r="AB600" t="s">
        <v>6966</v>
      </c>
      <c r="AC600" t="s">
        <v>6966</v>
      </c>
      <c r="AD600" t="s">
        <v>6966</v>
      </c>
      <c r="AE600" t="s">
        <v>6966</v>
      </c>
      <c r="AF600" t="s">
        <v>6966</v>
      </c>
      <c r="AG600" t="s">
        <v>6966</v>
      </c>
      <c r="AH600" t="s">
        <v>6966</v>
      </c>
      <c r="AI600" t="s">
        <v>6966</v>
      </c>
      <c r="AJ600" t="s">
        <v>6966</v>
      </c>
      <c r="AK600" t="s">
        <v>6966</v>
      </c>
      <c r="AL600" t="s">
        <v>6966</v>
      </c>
      <c r="AM600" t="s">
        <v>6966</v>
      </c>
      <c r="AN600" t="s">
        <v>6966</v>
      </c>
      <c r="AO600" t="s">
        <v>6966</v>
      </c>
      <c r="AP600" t="s">
        <v>6966</v>
      </c>
      <c r="AQ600" t="s">
        <v>6966</v>
      </c>
      <c r="AR600" t="s">
        <v>6966</v>
      </c>
      <c r="AS600" t="s">
        <v>6966</v>
      </c>
      <c r="AT600" t="s">
        <v>6966</v>
      </c>
      <c r="AU600" t="s">
        <v>6966</v>
      </c>
      <c r="AV600" t="s">
        <v>6966</v>
      </c>
      <c r="AW600" t="s">
        <v>6966</v>
      </c>
      <c r="AX600" t="s">
        <v>6966</v>
      </c>
      <c r="AY600" t="s">
        <v>6966</v>
      </c>
      <c r="AZ600">
        <v>5.8758999999999999E-2</v>
      </c>
      <c r="BA600">
        <v>1.01E-4</v>
      </c>
    </row>
    <row r="601" spans="1:53" x14ac:dyDescent="0.25">
      <c r="A601">
        <v>599</v>
      </c>
      <c r="B601" t="s">
        <v>7625</v>
      </c>
      <c r="C601">
        <v>504102</v>
      </c>
      <c r="D601" t="s">
        <v>87</v>
      </c>
      <c r="E601" t="s">
        <v>7766</v>
      </c>
      <c r="F601">
        <v>140034.4375</v>
      </c>
      <c r="G601">
        <v>1712.544922</v>
      </c>
      <c r="H601">
        <v>549</v>
      </c>
      <c r="I601">
        <v>742</v>
      </c>
      <c r="J601">
        <v>26001</v>
      </c>
      <c r="K601" t="s">
        <v>87</v>
      </c>
      <c r="L601">
        <v>7</v>
      </c>
      <c r="M601">
        <v>7</v>
      </c>
      <c r="N601">
        <v>26001</v>
      </c>
      <c r="O601">
        <v>537</v>
      </c>
      <c r="P601" t="s">
        <v>3212</v>
      </c>
      <c r="Q601">
        <v>0</v>
      </c>
      <c r="R601">
        <v>0</v>
      </c>
      <c r="S601">
        <v>0</v>
      </c>
      <c r="T601">
        <v>0</v>
      </c>
      <c r="U601">
        <v>140034.41936999999</v>
      </c>
      <c r="V601">
        <v>1712.545077</v>
      </c>
      <c r="W601">
        <v>600</v>
      </c>
      <c r="X601">
        <v>0</v>
      </c>
      <c r="Y601">
        <v>599</v>
      </c>
      <c r="Z601" t="s">
        <v>6966</v>
      </c>
      <c r="AA601" t="s">
        <v>6966</v>
      </c>
      <c r="AB601" t="s">
        <v>6966</v>
      </c>
      <c r="AC601" t="s">
        <v>6966</v>
      </c>
      <c r="AD601" t="s">
        <v>6966</v>
      </c>
      <c r="AE601" t="s">
        <v>6966</v>
      </c>
      <c r="AF601" t="s">
        <v>6966</v>
      </c>
      <c r="AG601" t="s">
        <v>6966</v>
      </c>
      <c r="AH601" t="s">
        <v>6966</v>
      </c>
      <c r="AI601" t="s">
        <v>6966</v>
      </c>
      <c r="AJ601" t="s">
        <v>6966</v>
      </c>
      <c r="AK601" t="s">
        <v>6966</v>
      </c>
      <c r="AL601" t="s">
        <v>6966</v>
      </c>
      <c r="AM601" t="s">
        <v>6966</v>
      </c>
      <c r="AN601" t="s">
        <v>6966</v>
      </c>
      <c r="AO601" t="s">
        <v>6966</v>
      </c>
      <c r="AP601" t="s">
        <v>6966</v>
      </c>
      <c r="AQ601" t="s">
        <v>6966</v>
      </c>
      <c r="AR601" t="s">
        <v>6966</v>
      </c>
      <c r="AS601" t="s">
        <v>6966</v>
      </c>
      <c r="AT601" t="s">
        <v>6966</v>
      </c>
      <c r="AU601" t="s">
        <v>6966</v>
      </c>
      <c r="AV601" t="s">
        <v>6966</v>
      </c>
      <c r="AW601" t="s">
        <v>6966</v>
      </c>
      <c r="AX601" t="s">
        <v>6966</v>
      </c>
      <c r="AY601" t="s">
        <v>6966</v>
      </c>
      <c r="AZ601">
        <v>1.7492000000000001E-2</v>
      </c>
      <c r="BA601">
        <v>1.4E-5</v>
      </c>
    </row>
    <row r="602" spans="1:53" x14ac:dyDescent="0.25">
      <c r="A602">
        <v>600</v>
      </c>
      <c r="B602" t="s">
        <v>7625</v>
      </c>
      <c r="C602">
        <v>504025</v>
      </c>
      <c r="D602" t="s">
        <v>441</v>
      </c>
      <c r="E602" t="s">
        <v>7766</v>
      </c>
      <c r="F602">
        <v>6825420.5</v>
      </c>
      <c r="G602">
        <v>15801.479492</v>
      </c>
      <c r="H602">
        <v>550</v>
      </c>
      <c r="I602">
        <v>743</v>
      </c>
      <c r="J602">
        <v>26129</v>
      </c>
      <c r="K602" t="s">
        <v>1915</v>
      </c>
      <c r="L602">
        <v>7</v>
      </c>
      <c r="M602">
        <v>7</v>
      </c>
      <c r="N602">
        <v>26129</v>
      </c>
      <c r="O602">
        <v>538</v>
      </c>
      <c r="P602" t="s">
        <v>3212</v>
      </c>
      <c r="Q602">
        <v>12.9</v>
      </c>
      <c r="R602">
        <v>49.87</v>
      </c>
      <c r="S602">
        <v>3.63</v>
      </c>
      <c r="T602">
        <v>14</v>
      </c>
      <c r="U602">
        <v>6825420.7685399996</v>
      </c>
      <c r="V602">
        <v>15801.479568999999</v>
      </c>
      <c r="W602">
        <v>601</v>
      </c>
      <c r="X602">
        <v>0</v>
      </c>
      <c r="Y602">
        <v>600</v>
      </c>
      <c r="Z602" t="s">
        <v>6966</v>
      </c>
      <c r="AA602" t="s">
        <v>6966</v>
      </c>
      <c r="AB602" t="s">
        <v>6966</v>
      </c>
      <c r="AC602" t="s">
        <v>6966</v>
      </c>
      <c r="AD602" t="s">
        <v>6966</v>
      </c>
      <c r="AE602" t="s">
        <v>6966</v>
      </c>
      <c r="AF602" t="s">
        <v>6966</v>
      </c>
      <c r="AG602" t="s">
        <v>6966</v>
      </c>
      <c r="AH602" t="s">
        <v>6966</v>
      </c>
      <c r="AI602" t="s">
        <v>6966</v>
      </c>
      <c r="AJ602" t="s">
        <v>6966</v>
      </c>
      <c r="AK602" t="s">
        <v>6966</v>
      </c>
      <c r="AL602" t="s">
        <v>6966</v>
      </c>
      <c r="AM602" t="s">
        <v>6966</v>
      </c>
      <c r="AN602" t="s">
        <v>6966</v>
      </c>
      <c r="AO602" t="s">
        <v>6966</v>
      </c>
      <c r="AP602" t="s">
        <v>6966</v>
      </c>
      <c r="AQ602" t="s">
        <v>6966</v>
      </c>
      <c r="AR602" t="s">
        <v>6966</v>
      </c>
      <c r="AS602" t="s">
        <v>6966</v>
      </c>
      <c r="AT602" t="s">
        <v>6966</v>
      </c>
      <c r="AU602" t="s">
        <v>6966</v>
      </c>
      <c r="AV602" t="s">
        <v>6966</v>
      </c>
      <c r="AW602" t="s">
        <v>6966</v>
      </c>
      <c r="AX602" t="s">
        <v>6966</v>
      </c>
      <c r="AY602" t="s">
        <v>6966</v>
      </c>
      <c r="AZ602">
        <v>0.161075</v>
      </c>
      <c r="BA602">
        <v>6.6699999999999995E-4</v>
      </c>
    </row>
    <row r="603" spans="1:53" x14ac:dyDescent="0.25">
      <c r="A603">
        <v>601</v>
      </c>
      <c r="B603" t="s">
        <v>7625</v>
      </c>
      <c r="C603">
        <v>504061</v>
      </c>
      <c r="D603" t="s">
        <v>463</v>
      </c>
      <c r="E603" t="s">
        <v>7766</v>
      </c>
      <c r="F603">
        <v>2891998.5</v>
      </c>
      <c r="G603">
        <v>12440.811523</v>
      </c>
      <c r="H603">
        <v>551</v>
      </c>
      <c r="I603">
        <v>745</v>
      </c>
      <c r="J603">
        <v>26224</v>
      </c>
      <c r="K603" t="s">
        <v>1934</v>
      </c>
      <c r="L603">
        <v>7</v>
      </c>
      <c r="M603">
        <v>7</v>
      </c>
      <c r="N603">
        <v>26224</v>
      </c>
      <c r="O603">
        <v>539</v>
      </c>
      <c r="P603" t="s">
        <v>3212</v>
      </c>
      <c r="Q603">
        <v>0.7</v>
      </c>
      <c r="R603">
        <v>9.9499999999999993</v>
      </c>
      <c r="S603">
        <v>0.64</v>
      </c>
      <c r="T603">
        <v>9</v>
      </c>
      <c r="U603">
        <v>2891998.6195899998</v>
      </c>
      <c r="V603">
        <v>12440.811279</v>
      </c>
      <c r="W603">
        <v>602</v>
      </c>
      <c r="X603">
        <v>0</v>
      </c>
      <c r="Y603">
        <v>601</v>
      </c>
      <c r="Z603" t="s">
        <v>6966</v>
      </c>
      <c r="AA603" t="s">
        <v>6966</v>
      </c>
      <c r="AB603" t="s">
        <v>6966</v>
      </c>
      <c r="AC603" t="s">
        <v>6966</v>
      </c>
      <c r="AD603" t="s">
        <v>6966</v>
      </c>
      <c r="AE603" t="s">
        <v>6966</v>
      </c>
      <c r="AF603" t="s">
        <v>6966</v>
      </c>
      <c r="AG603" t="s">
        <v>6966</v>
      </c>
      <c r="AH603" t="s">
        <v>6966</v>
      </c>
      <c r="AI603" t="s">
        <v>6966</v>
      </c>
      <c r="AJ603" t="s">
        <v>6966</v>
      </c>
      <c r="AK603" t="s">
        <v>6966</v>
      </c>
      <c r="AL603" t="s">
        <v>6966</v>
      </c>
      <c r="AM603" t="s">
        <v>6966</v>
      </c>
      <c r="AN603" t="s">
        <v>6966</v>
      </c>
      <c r="AO603" t="s">
        <v>6966</v>
      </c>
      <c r="AP603" t="s">
        <v>6966</v>
      </c>
      <c r="AQ603" t="s">
        <v>6966</v>
      </c>
      <c r="AR603" t="s">
        <v>6966</v>
      </c>
      <c r="AS603" t="s">
        <v>6966</v>
      </c>
      <c r="AT603" t="s">
        <v>6966</v>
      </c>
      <c r="AU603" t="s">
        <v>6966</v>
      </c>
      <c r="AV603" t="s">
        <v>6966</v>
      </c>
      <c r="AW603" t="s">
        <v>6966</v>
      </c>
      <c r="AX603" t="s">
        <v>6966</v>
      </c>
      <c r="AY603" t="s">
        <v>6966</v>
      </c>
      <c r="AZ603">
        <v>0.12679599999999999</v>
      </c>
      <c r="BA603">
        <v>2.8299999999999999E-4</v>
      </c>
    </row>
    <row r="604" spans="1:53" x14ac:dyDescent="0.25">
      <c r="A604">
        <v>602</v>
      </c>
      <c r="B604" t="s">
        <v>7625</v>
      </c>
      <c r="C604">
        <v>504075</v>
      </c>
      <c r="D604" t="s">
        <v>454</v>
      </c>
      <c r="E604" t="s">
        <v>7766</v>
      </c>
      <c r="F604">
        <v>885064.5625</v>
      </c>
      <c r="G604">
        <v>4687.2866210000002</v>
      </c>
      <c r="H604">
        <v>552</v>
      </c>
      <c r="I604">
        <v>746</v>
      </c>
      <c r="J604">
        <v>26213</v>
      </c>
      <c r="K604" t="s">
        <v>1835</v>
      </c>
      <c r="L604">
        <v>7</v>
      </c>
      <c r="M604">
        <v>7</v>
      </c>
      <c r="N604">
        <v>26213</v>
      </c>
      <c r="O604">
        <v>540</v>
      </c>
      <c r="P604" t="s">
        <v>3212</v>
      </c>
      <c r="Q604">
        <v>0</v>
      </c>
      <c r="R604">
        <v>0</v>
      </c>
      <c r="S604">
        <v>0.01</v>
      </c>
      <c r="T604">
        <v>0</v>
      </c>
      <c r="U604">
        <v>885064.61886799999</v>
      </c>
      <c r="V604">
        <v>4687.2865590000001</v>
      </c>
      <c r="W604">
        <v>603</v>
      </c>
      <c r="X604">
        <v>0</v>
      </c>
      <c r="Y604">
        <v>602</v>
      </c>
      <c r="Z604" t="s">
        <v>6966</v>
      </c>
      <c r="AA604" t="s">
        <v>6966</v>
      </c>
      <c r="AB604" t="s">
        <v>6966</v>
      </c>
      <c r="AC604" t="s">
        <v>6966</v>
      </c>
      <c r="AD604" t="s">
        <v>6966</v>
      </c>
      <c r="AE604" t="s">
        <v>6966</v>
      </c>
      <c r="AF604" t="s">
        <v>6966</v>
      </c>
      <c r="AG604" t="s">
        <v>6966</v>
      </c>
      <c r="AH604" t="s">
        <v>6966</v>
      </c>
      <c r="AI604" t="s">
        <v>6966</v>
      </c>
      <c r="AJ604" t="s">
        <v>6966</v>
      </c>
      <c r="AK604" t="s">
        <v>6966</v>
      </c>
      <c r="AL604" t="s">
        <v>6966</v>
      </c>
      <c r="AM604" t="s">
        <v>6966</v>
      </c>
      <c r="AN604" t="s">
        <v>6966</v>
      </c>
      <c r="AO604" t="s">
        <v>6966</v>
      </c>
      <c r="AP604" t="s">
        <v>6966</v>
      </c>
      <c r="AQ604" t="s">
        <v>6966</v>
      </c>
      <c r="AR604" t="s">
        <v>6966</v>
      </c>
      <c r="AS604" t="s">
        <v>6966</v>
      </c>
      <c r="AT604" t="s">
        <v>6966</v>
      </c>
      <c r="AU604" t="s">
        <v>6966</v>
      </c>
      <c r="AV604" t="s">
        <v>6966</v>
      </c>
      <c r="AW604" t="s">
        <v>6966</v>
      </c>
      <c r="AX604" t="s">
        <v>6966</v>
      </c>
      <c r="AY604" t="s">
        <v>6966</v>
      </c>
      <c r="AZ604">
        <v>4.7253000000000003E-2</v>
      </c>
      <c r="BA604">
        <v>8.6000000000000003E-5</v>
      </c>
    </row>
    <row r="605" spans="1:53" x14ac:dyDescent="0.25">
      <c r="A605">
        <v>603</v>
      </c>
      <c r="B605" t="s">
        <v>7625</v>
      </c>
      <c r="C605">
        <v>504058</v>
      </c>
      <c r="D605" t="s">
        <v>7782</v>
      </c>
      <c r="E605" t="s">
        <v>7766</v>
      </c>
      <c r="F605">
        <v>1390989.375</v>
      </c>
      <c r="G605">
        <v>6296.40625</v>
      </c>
      <c r="H605">
        <v>553</v>
      </c>
      <c r="I605">
        <v>747</v>
      </c>
      <c r="J605">
        <v>26274</v>
      </c>
      <c r="K605" t="s">
        <v>7783</v>
      </c>
      <c r="L605">
        <v>7</v>
      </c>
      <c r="M605">
        <v>7</v>
      </c>
      <c r="N605">
        <v>26274</v>
      </c>
      <c r="O605">
        <v>541</v>
      </c>
      <c r="P605" t="s">
        <v>3212</v>
      </c>
      <c r="Q605">
        <v>0.2</v>
      </c>
      <c r="R605">
        <v>22.19</v>
      </c>
      <c r="S605">
        <v>0.06</v>
      </c>
      <c r="T605">
        <v>7</v>
      </c>
      <c r="U605">
        <v>1390989.3953199999</v>
      </c>
      <c r="V605">
        <v>6296.4059079999997</v>
      </c>
      <c r="W605">
        <v>604</v>
      </c>
      <c r="X605">
        <v>0</v>
      </c>
      <c r="Y605">
        <v>603</v>
      </c>
      <c r="Z605" t="s">
        <v>6966</v>
      </c>
      <c r="AA605" t="s">
        <v>6966</v>
      </c>
      <c r="AB605" t="s">
        <v>6966</v>
      </c>
      <c r="AC605" t="s">
        <v>6966</v>
      </c>
      <c r="AD605" t="s">
        <v>6966</v>
      </c>
      <c r="AE605" t="s">
        <v>6966</v>
      </c>
      <c r="AF605" t="s">
        <v>6966</v>
      </c>
      <c r="AG605" t="s">
        <v>6966</v>
      </c>
      <c r="AH605" t="s">
        <v>6966</v>
      </c>
      <c r="AI605" t="s">
        <v>6966</v>
      </c>
      <c r="AJ605" t="s">
        <v>6966</v>
      </c>
      <c r="AK605" t="s">
        <v>6966</v>
      </c>
      <c r="AL605" t="s">
        <v>6966</v>
      </c>
      <c r="AM605" t="s">
        <v>6966</v>
      </c>
      <c r="AN605" t="s">
        <v>6966</v>
      </c>
      <c r="AO605" t="s">
        <v>6966</v>
      </c>
      <c r="AP605" t="s">
        <v>6966</v>
      </c>
      <c r="AQ605" t="s">
        <v>6966</v>
      </c>
      <c r="AR605" t="s">
        <v>6966</v>
      </c>
      <c r="AS605" t="s">
        <v>6966</v>
      </c>
      <c r="AT605" t="s">
        <v>6966</v>
      </c>
      <c r="AU605" t="s">
        <v>6966</v>
      </c>
      <c r="AV605" t="s">
        <v>6966</v>
      </c>
      <c r="AW605" t="s">
        <v>6966</v>
      </c>
      <c r="AX605" t="s">
        <v>6966</v>
      </c>
      <c r="AY605" t="s">
        <v>6966</v>
      </c>
      <c r="AZ605">
        <v>6.4288999999999999E-2</v>
      </c>
      <c r="BA605">
        <v>1.36E-4</v>
      </c>
    </row>
    <row r="606" spans="1:53" x14ac:dyDescent="0.25">
      <c r="A606">
        <v>604</v>
      </c>
      <c r="B606" t="s">
        <v>7625</v>
      </c>
      <c r="C606">
        <v>504008</v>
      </c>
      <c r="D606" t="s">
        <v>7784</v>
      </c>
      <c r="E606" t="s">
        <v>7766</v>
      </c>
      <c r="F606">
        <v>9013948</v>
      </c>
      <c r="G606">
        <v>22719.222656000002</v>
      </c>
      <c r="H606">
        <v>554</v>
      </c>
      <c r="I606">
        <v>749</v>
      </c>
      <c r="J606">
        <v>26214</v>
      </c>
      <c r="K606" t="s">
        <v>1927</v>
      </c>
      <c r="L606">
        <v>7</v>
      </c>
      <c r="M606">
        <v>7</v>
      </c>
      <c r="N606">
        <v>26214</v>
      </c>
      <c r="O606">
        <v>542</v>
      </c>
      <c r="P606" t="s">
        <v>3212</v>
      </c>
      <c r="Q606">
        <v>0.1</v>
      </c>
      <c r="R606">
        <v>1.83</v>
      </c>
      <c r="S606">
        <v>0.11</v>
      </c>
      <c r="T606">
        <v>4</v>
      </c>
      <c r="U606">
        <v>9013948.1543700006</v>
      </c>
      <c r="V606">
        <v>22719.222318</v>
      </c>
      <c r="W606">
        <v>605</v>
      </c>
      <c r="X606">
        <v>0</v>
      </c>
      <c r="Y606">
        <v>604</v>
      </c>
      <c r="Z606" t="s">
        <v>6966</v>
      </c>
      <c r="AA606" t="s">
        <v>6966</v>
      </c>
      <c r="AB606" t="s">
        <v>6966</v>
      </c>
      <c r="AC606" t="s">
        <v>6966</v>
      </c>
      <c r="AD606" t="s">
        <v>6966</v>
      </c>
      <c r="AE606" t="s">
        <v>6966</v>
      </c>
      <c r="AF606" t="s">
        <v>6966</v>
      </c>
      <c r="AG606" t="s">
        <v>6966</v>
      </c>
      <c r="AH606" t="s">
        <v>6966</v>
      </c>
      <c r="AI606" t="s">
        <v>6966</v>
      </c>
      <c r="AJ606" t="s">
        <v>6966</v>
      </c>
      <c r="AK606" t="s">
        <v>6966</v>
      </c>
      <c r="AL606" t="s">
        <v>6966</v>
      </c>
      <c r="AM606" t="s">
        <v>6966</v>
      </c>
      <c r="AN606" t="s">
        <v>6966</v>
      </c>
      <c r="AO606" t="s">
        <v>6966</v>
      </c>
      <c r="AP606" t="s">
        <v>6966</v>
      </c>
      <c r="AQ606" t="s">
        <v>6966</v>
      </c>
      <c r="AR606" t="s">
        <v>6966</v>
      </c>
      <c r="AS606" t="s">
        <v>6966</v>
      </c>
      <c r="AT606" t="s">
        <v>6966</v>
      </c>
      <c r="AU606" t="s">
        <v>6966</v>
      </c>
      <c r="AV606" t="s">
        <v>6966</v>
      </c>
      <c r="AW606" t="s">
        <v>6966</v>
      </c>
      <c r="AX606" t="s">
        <v>6966</v>
      </c>
      <c r="AY606" t="s">
        <v>6966</v>
      </c>
      <c r="AZ606">
        <v>0.22972699999999999</v>
      </c>
      <c r="BA606">
        <v>8.8000000000000003E-4</v>
      </c>
    </row>
    <row r="607" spans="1:53" x14ac:dyDescent="0.25">
      <c r="A607">
        <v>605</v>
      </c>
      <c r="B607" t="s">
        <v>7625</v>
      </c>
      <c r="C607">
        <v>504078</v>
      </c>
      <c r="D607" t="s">
        <v>7785</v>
      </c>
      <c r="E607" t="s">
        <v>7766</v>
      </c>
      <c r="F607">
        <v>2628255.25</v>
      </c>
      <c r="G607">
        <v>8372.953125</v>
      </c>
      <c r="H607">
        <v>555</v>
      </c>
      <c r="I607">
        <v>750</v>
      </c>
      <c r="J607">
        <v>26341</v>
      </c>
      <c r="K607" t="s">
        <v>7786</v>
      </c>
      <c r="L607">
        <v>7</v>
      </c>
      <c r="M607">
        <v>7</v>
      </c>
      <c r="N607">
        <v>26341</v>
      </c>
      <c r="O607">
        <v>543</v>
      </c>
      <c r="P607" t="s">
        <v>3212</v>
      </c>
      <c r="Q607">
        <v>2.5</v>
      </c>
      <c r="R607">
        <v>43.5</v>
      </c>
      <c r="S607">
        <v>0.52</v>
      </c>
      <c r="T607">
        <v>10</v>
      </c>
      <c r="U607">
        <v>2628255.34295</v>
      </c>
      <c r="V607">
        <v>8372.9532280000003</v>
      </c>
      <c r="W607">
        <v>606</v>
      </c>
      <c r="X607">
        <v>0</v>
      </c>
      <c r="Y607">
        <v>605</v>
      </c>
      <c r="Z607" t="s">
        <v>6966</v>
      </c>
      <c r="AA607" t="s">
        <v>6966</v>
      </c>
      <c r="AB607" t="s">
        <v>6966</v>
      </c>
      <c r="AC607" t="s">
        <v>6966</v>
      </c>
      <c r="AD607" t="s">
        <v>6966</v>
      </c>
      <c r="AE607" t="s">
        <v>6966</v>
      </c>
      <c r="AF607" t="s">
        <v>6966</v>
      </c>
      <c r="AG607" t="s">
        <v>6966</v>
      </c>
      <c r="AH607" t="s">
        <v>6966</v>
      </c>
      <c r="AI607" t="s">
        <v>6966</v>
      </c>
      <c r="AJ607" t="s">
        <v>6966</v>
      </c>
      <c r="AK607" t="s">
        <v>6966</v>
      </c>
      <c r="AL607" t="s">
        <v>6966</v>
      </c>
      <c r="AM607" t="s">
        <v>6966</v>
      </c>
      <c r="AN607" t="s">
        <v>6966</v>
      </c>
      <c r="AO607" t="s">
        <v>6966</v>
      </c>
      <c r="AP607" t="s">
        <v>6966</v>
      </c>
      <c r="AQ607" t="s">
        <v>6966</v>
      </c>
      <c r="AR607" t="s">
        <v>6966</v>
      </c>
      <c r="AS607" t="s">
        <v>6966</v>
      </c>
      <c r="AT607" t="s">
        <v>6966</v>
      </c>
      <c r="AU607" t="s">
        <v>6966</v>
      </c>
      <c r="AV607" t="s">
        <v>6966</v>
      </c>
      <c r="AW607" t="s">
        <v>6966</v>
      </c>
      <c r="AX607" t="s">
        <v>6966</v>
      </c>
      <c r="AY607" t="s">
        <v>6966</v>
      </c>
      <c r="AZ607">
        <v>8.1749000000000002E-2</v>
      </c>
      <c r="BA607">
        <v>2.5700000000000001E-4</v>
      </c>
    </row>
    <row r="608" spans="1:53" x14ac:dyDescent="0.25">
      <c r="A608">
        <v>606</v>
      </c>
      <c r="B608" t="s">
        <v>7625</v>
      </c>
      <c r="C608">
        <v>504083</v>
      </c>
      <c r="D608" t="s">
        <v>511</v>
      </c>
      <c r="E608" t="s">
        <v>7766</v>
      </c>
      <c r="F608">
        <v>8498961</v>
      </c>
      <c r="G608">
        <v>17133.0625</v>
      </c>
      <c r="H608">
        <v>556</v>
      </c>
      <c r="I608">
        <v>751</v>
      </c>
      <c r="J608">
        <v>26311</v>
      </c>
      <c r="K608" t="s">
        <v>1973</v>
      </c>
      <c r="L608">
        <v>7</v>
      </c>
      <c r="M608">
        <v>7</v>
      </c>
      <c r="N608">
        <v>26311</v>
      </c>
      <c r="O608">
        <v>544</v>
      </c>
      <c r="P608" t="s">
        <v>3212</v>
      </c>
      <c r="Q608">
        <v>2.6</v>
      </c>
      <c r="R608">
        <v>41.24</v>
      </c>
      <c r="S608">
        <v>0.98</v>
      </c>
      <c r="T608">
        <v>16</v>
      </c>
      <c r="U608">
        <v>8498960.7388499994</v>
      </c>
      <c r="V608">
        <v>17133.062322000002</v>
      </c>
      <c r="W608">
        <v>607</v>
      </c>
      <c r="X608">
        <v>0</v>
      </c>
      <c r="Y608">
        <v>606</v>
      </c>
      <c r="Z608" t="s">
        <v>6966</v>
      </c>
      <c r="AA608" t="s">
        <v>6966</v>
      </c>
      <c r="AB608" t="s">
        <v>6966</v>
      </c>
      <c r="AC608" t="s">
        <v>6966</v>
      </c>
      <c r="AD608" t="s">
        <v>6966</v>
      </c>
      <c r="AE608" t="s">
        <v>6966</v>
      </c>
      <c r="AF608" t="s">
        <v>6966</v>
      </c>
      <c r="AG608" t="s">
        <v>6966</v>
      </c>
      <c r="AH608" t="s">
        <v>6966</v>
      </c>
      <c r="AI608" t="s">
        <v>6966</v>
      </c>
      <c r="AJ608" t="s">
        <v>6966</v>
      </c>
      <c r="AK608" t="s">
        <v>6966</v>
      </c>
      <c r="AL608" t="s">
        <v>6966</v>
      </c>
      <c r="AM608" t="s">
        <v>6966</v>
      </c>
      <c r="AN608" t="s">
        <v>6966</v>
      </c>
      <c r="AO608" t="s">
        <v>6966</v>
      </c>
      <c r="AP608" t="s">
        <v>6966</v>
      </c>
      <c r="AQ608" t="s">
        <v>6966</v>
      </c>
      <c r="AR608" t="s">
        <v>6966</v>
      </c>
      <c r="AS608" t="s">
        <v>6966</v>
      </c>
      <c r="AT608" t="s">
        <v>6966</v>
      </c>
      <c r="AU608" t="s">
        <v>6966</v>
      </c>
      <c r="AV608" t="s">
        <v>6966</v>
      </c>
      <c r="AW608" t="s">
        <v>6966</v>
      </c>
      <c r="AX608" t="s">
        <v>6966</v>
      </c>
      <c r="AY608" t="s">
        <v>6966</v>
      </c>
      <c r="AZ608">
        <v>0.16903000000000001</v>
      </c>
      <c r="BA608">
        <v>8.3000000000000001E-4</v>
      </c>
    </row>
    <row r="609" spans="1:53" x14ac:dyDescent="0.25">
      <c r="A609">
        <v>607</v>
      </c>
      <c r="B609" t="s">
        <v>7625</v>
      </c>
      <c r="C609">
        <v>504097</v>
      </c>
      <c r="D609" t="s">
        <v>456</v>
      </c>
      <c r="E609" t="s">
        <v>7766</v>
      </c>
      <c r="F609">
        <v>2007228.5</v>
      </c>
      <c r="G609">
        <v>9827.0664059999999</v>
      </c>
      <c r="H609">
        <v>557</v>
      </c>
      <c r="I609">
        <v>752</v>
      </c>
      <c r="J609">
        <v>26215</v>
      </c>
      <c r="K609" t="s">
        <v>1928</v>
      </c>
      <c r="L609">
        <v>7</v>
      </c>
      <c r="M609">
        <v>7</v>
      </c>
      <c r="N609">
        <v>26215</v>
      </c>
      <c r="O609">
        <v>545</v>
      </c>
      <c r="P609" t="s">
        <v>3212</v>
      </c>
      <c r="Q609">
        <v>3.4</v>
      </c>
      <c r="R609">
        <v>58.3</v>
      </c>
      <c r="S609">
        <v>0.86</v>
      </c>
      <c r="T609">
        <v>15</v>
      </c>
      <c r="U609">
        <v>2007228.5421200001</v>
      </c>
      <c r="V609">
        <v>9827.0647559999998</v>
      </c>
      <c r="W609">
        <v>608</v>
      </c>
      <c r="X609">
        <v>0</v>
      </c>
      <c r="Y609">
        <v>607</v>
      </c>
      <c r="Z609" t="s">
        <v>6966</v>
      </c>
      <c r="AA609" t="s">
        <v>6966</v>
      </c>
      <c r="AB609" t="s">
        <v>6966</v>
      </c>
      <c r="AC609" t="s">
        <v>6966</v>
      </c>
      <c r="AD609" t="s">
        <v>6966</v>
      </c>
      <c r="AE609" t="s">
        <v>6966</v>
      </c>
      <c r="AF609" t="s">
        <v>6966</v>
      </c>
      <c r="AG609" t="s">
        <v>6966</v>
      </c>
      <c r="AH609" t="s">
        <v>6966</v>
      </c>
      <c r="AI609" t="s">
        <v>6966</v>
      </c>
      <c r="AJ609" t="s">
        <v>6966</v>
      </c>
      <c r="AK609" t="s">
        <v>6966</v>
      </c>
      <c r="AL609" t="s">
        <v>6966</v>
      </c>
      <c r="AM609" t="s">
        <v>6966</v>
      </c>
      <c r="AN609" t="s">
        <v>6966</v>
      </c>
      <c r="AO609" t="s">
        <v>6966</v>
      </c>
      <c r="AP609" t="s">
        <v>6966</v>
      </c>
      <c r="AQ609" t="s">
        <v>6966</v>
      </c>
      <c r="AR609" t="s">
        <v>6966</v>
      </c>
      <c r="AS609" t="s">
        <v>6966</v>
      </c>
      <c r="AT609" t="s">
        <v>6966</v>
      </c>
      <c r="AU609" t="s">
        <v>6966</v>
      </c>
      <c r="AV609" t="s">
        <v>6966</v>
      </c>
      <c r="AW609" t="s">
        <v>6966</v>
      </c>
      <c r="AX609" t="s">
        <v>6966</v>
      </c>
      <c r="AY609" t="s">
        <v>6966</v>
      </c>
      <c r="AZ609">
        <v>9.9955000000000002E-2</v>
      </c>
      <c r="BA609">
        <v>1.9599999999999999E-4</v>
      </c>
    </row>
    <row r="610" spans="1:53" x14ac:dyDescent="0.25">
      <c r="A610">
        <v>608</v>
      </c>
      <c r="B610" t="s">
        <v>7625</v>
      </c>
      <c r="C610">
        <v>201033</v>
      </c>
      <c r="D610" t="s">
        <v>1115</v>
      </c>
      <c r="E610" t="s">
        <v>1069</v>
      </c>
      <c r="F610">
        <v>5834661</v>
      </c>
      <c r="G610">
        <v>11933.138671999999</v>
      </c>
      <c r="H610">
        <v>558</v>
      </c>
      <c r="I610">
        <v>753</v>
      </c>
      <c r="J610">
        <v>53366</v>
      </c>
      <c r="K610" t="s">
        <v>2452</v>
      </c>
      <c r="L610">
        <v>17</v>
      </c>
      <c r="M610">
        <v>17</v>
      </c>
      <c r="N610">
        <v>53366</v>
      </c>
      <c r="O610">
        <v>546</v>
      </c>
      <c r="P610" t="s">
        <v>3214</v>
      </c>
      <c r="Q610">
        <v>0.2</v>
      </c>
      <c r="R610">
        <v>25.43</v>
      </c>
      <c r="S610">
        <v>0.11</v>
      </c>
      <c r="T610">
        <v>15</v>
      </c>
      <c r="U610">
        <v>5834660.8712299997</v>
      </c>
      <c r="V610">
        <v>11933.13825</v>
      </c>
      <c r="W610">
        <v>609</v>
      </c>
      <c r="X610">
        <v>0</v>
      </c>
      <c r="Y610">
        <v>608</v>
      </c>
      <c r="Z610" t="s">
        <v>6966</v>
      </c>
      <c r="AA610" t="s">
        <v>6966</v>
      </c>
      <c r="AB610" t="s">
        <v>6966</v>
      </c>
      <c r="AC610" t="s">
        <v>6966</v>
      </c>
      <c r="AD610" t="s">
        <v>6966</v>
      </c>
      <c r="AE610" t="s">
        <v>6966</v>
      </c>
      <c r="AF610" t="s">
        <v>6966</v>
      </c>
      <c r="AG610" t="s">
        <v>6966</v>
      </c>
      <c r="AH610" t="s">
        <v>6966</v>
      </c>
      <c r="AI610" t="s">
        <v>6966</v>
      </c>
      <c r="AJ610" t="s">
        <v>6966</v>
      </c>
      <c r="AK610" t="s">
        <v>6966</v>
      </c>
      <c r="AL610" t="s">
        <v>6966</v>
      </c>
      <c r="AM610" t="s">
        <v>6966</v>
      </c>
      <c r="AN610" t="s">
        <v>6966</v>
      </c>
      <c r="AO610" t="s">
        <v>6966</v>
      </c>
      <c r="AP610" t="s">
        <v>6966</v>
      </c>
      <c r="AQ610" t="s">
        <v>6966</v>
      </c>
      <c r="AR610" t="s">
        <v>6966</v>
      </c>
      <c r="AS610" t="s">
        <v>6966</v>
      </c>
      <c r="AT610" t="s">
        <v>6966</v>
      </c>
      <c r="AU610" t="s">
        <v>6966</v>
      </c>
      <c r="AV610" t="s">
        <v>6966</v>
      </c>
      <c r="AW610" t="s">
        <v>6966</v>
      </c>
      <c r="AX610" t="s">
        <v>6966</v>
      </c>
      <c r="AY610" t="s">
        <v>6966</v>
      </c>
      <c r="AZ610">
        <v>0.12064</v>
      </c>
      <c r="BA610">
        <v>5.6999999999999998E-4</v>
      </c>
    </row>
    <row r="611" spans="1:53" x14ac:dyDescent="0.25">
      <c r="A611">
        <v>609</v>
      </c>
      <c r="B611" t="s">
        <v>7625</v>
      </c>
      <c r="C611">
        <v>504007</v>
      </c>
      <c r="D611" t="s">
        <v>7787</v>
      </c>
      <c r="E611" t="s">
        <v>7766</v>
      </c>
      <c r="F611">
        <v>3921243.75</v>
      </c>
      <c r="G611">
        <v>14838.972656</v>
      </c>
      <c r="H611">
        <v>559</v>
      </c>
      <c r="I611">
        <v>754</v>
      </c>
      <c r="J611">
        <v>26212</v>
      </c>
      <c r="K611" t="s">
        <v>1926</v>
      </c>
      <c r="L611">
        <v>7</v>
      </c>
      <c r="M611">
        <v>7</v>
      </c>
      <c r="N611">
        <v>26212</v>
      </c>
      <c r="O611">
        <v>547</v>
      </c>
      <c r="P611" t="s">
        <v>3212</v>
      </c>
      <c r="Q611">
        <v>1.4</v>
      </c>
      <c r="R611">
        <v>21.17</v>
      </c>
      <c r="S611">
        <v>0.48</v>
      </c>
      <c r="T611">
        <v>8</v>
      </c>
      <c r="U611">
        <v>3921243.7711399999</v>
      </c>
      <c r="V611">
        <v>14838.972449000001</v>
      </c>
      <c r="W611">
        <v>610</v>
      </c>
      <c r="X611">
        <v>0</v>
      </c>
      <c r="Y611">
        <v>609</v>
      </c>
      <c r="Z611" t="s">
        <v>6966</v>
      </c>
      <c r="AA611" t="s">
        <v>6966</v>
      </c>
      <c r="AB611" t="s">
        <v>6966</v>
      </c>
      <c r="AC611" t="s">
        <v>6966</v>
      </c>
      <c r="AD611" t="s">
        <v>6966</v>
      </c>
      <c r="AE611" t="s">
        <v>6966</v>
      </c>
      <c r="AF611" t="s">
        <v>6966</v>
      </c>
      <c r="AG611" t="s">
        <v>6966</v>
      </c>
      <c r="AH611" t="s">
        <v>6966</v>
      </c>
      <c r="AI611" t="s">
        <v>6966</v>
      </c>
      <c r="AJ611" t="s">
        <v>6966</v>
      </c>
      <c r="AK611" t="s">
        <v>6966</v>
      </c>
      <c r="AL611" t="s">
        <v>6966</v>
      </c>
      <c r="AM611" t="s">
        <v>6966</v>
      </c>
      <c r="AN611" t="s">
        <v>6966</v>
      </c>
      <c r="AO611" t="s">
        <v>6966</v>
      </c>
      <c r="AP611" t="s">
        <v>6966</v>
      </c>
      <c r="AQ611" t="s">
        <v>6966</v>
      </c>
      <c r="AR611" t="s">
        <v>6966</v>
      </c>
      <c r="AS611" t="s">
        <v>6966</v>
      </c>
      <c r="AT611" t="s">
        <v>6966</v>
      </c>
      <c r="AU611" t="s">
        <v>6966</v>
      </c>
      <c r="AV611" t="s">
        <v>6966</v>
      </c>
      <c r="AW611" t="s">
        <v>6966</v>
      </c>
      <c r="AX611" t="s">
        <v>6966</v>
      </c>
      <c r="AY611" t="s">
        <v>6966</v>
      </c>
      <c r="AZ611">
        <v>0.15273500000000001</v>
      </c>
      <c r="BA611">
        <v>3.8299999999999999E-4</v>
      </c>
    </row>
    <row r="612" spans="1:53" x14ac:dyDescent="0.25">
      <c r="A612">
        <v>610</v>
      </c>
      <c r="B612" t="s">
        <v>7625</v>
      </c>
      <c r="C612">
        <v>504092</v>
      </c>
      <c r="D612" t="s">
        <v>481</v>
      </c>
      <c r="E612" t="s">
        <v>7766</v>
      </c>
      <c r="F612">
        <v>959231.5</v>
      </c>
      <c r="G612">
        <v>5085.7597660000001</v>
      </c>
      <c r="H612">
        <v>560</v>
      </c>
      <c r="I612">
        <v>755</v>
      </c>
      <c r="J612">
        <v>26254</v>
      </c>
      <c r="K612" t="s">
        <v>1950</v>
      </c>
      <c r="L612">
        <v>7</v>
      </c>
      <c r="M612">
        <v>7</v>
      </c>
      <c r="N612">
        <v>26254</v>
      </c>
      <c r="O612">
        <v>548</v>
      </c>
      <c r="P612" t="s">
        <v>3212</v>
      </c>
      <c r="Q612">
        <v>0</v>
      </c>
      <c r="R612">
        <v>0</v>
      </c>
      <c r="S612">
        <v>0</v>
      </c>
      <c r="T612">
        <v>0</v>
      </c>
      <c r="U612">
        <v>959231.47601600003</v>
      </c>
      <c r="V612">
        <v>5085.7598840000001</v>
      </c>
      <c r="W612">
        <v>611</v>
      </c>
      <c r="X612">
        <v>0</v>
      </c>
      <c r="Y612">
        <v>610</v>
      </c>
      <c r="Z612" t="s">
        <v>6966</v>
      </c>
      <c r="AA612" t="s">
        <v>6966</v>
      </c>
      <c r="AB612" t="s">
        <v>6966</v>
      </c>
      <c r="AC612" t="s">
        <v>6966</v>
      </c>
      <c r="AD612" t="s">
        <v>6966</v>
      </c>
      <c r="AE612" t="s">
        <v>6966</v>
      </c>
      <c r="AF612" t="s">
        <v>6966</v>
      </c>
      <c r="AG612" t="s">
        <v>6966</v>
      </c>
      <c r="AH612" t="s">
        <v>6966</v>
      </c>
      <c r="AI612" t="s">
        <v>6966</v>
      </c>
      <c r="AJ612" t="s">
        <v>6966</v>
      </c>
      <c r="AK612" t="s">
        <v>6966</v>
      </c>
      <c r="AL612" t="s">
        <v>6966</v>
      </c>
      <c r="AM612" t="s">
        <v>6966</v>
      </c>
      <c r="AN612" t="s">
        <v>6966</v>
      </c>
      <c r="AO612" t="s">
        <v>6966</v>
      </c>
      <c r="AP612" t="s">
        <v>6966</v>
      </c>
      <c r="AQ612" t="s">
        <v>6966</v>
      </c>
      <c r="AR612" t="s">
        <v>6966</v>
      </c>
      <c r="AS612" t="s">
        <v>6966</v>
      </c>
      <c r="AT612" t="s">
        <v>6966</v>
      </c>
      <c r="AU612" t="s">
        <v>6966</v>
      </c>
      <c r="AV612" t="s">
        <v>6966</v>
      </c>
      <c r="AW612" t="s">
        <v>6966</v>
      </c>
      <c r="AX612" t="s">
        <v>6966</v>
      </c>
      <c r="AY612" t="s">
        <v>6966</v>
      </c>
      <c r="AZ612">
        <v>5.1790000000000003E-2</v>
      </c>
      <c r="BA612">
        <v>9.3999999999999994E-5</v>
      </c>
    </row>
    <row r="613" spans="1:53" x14ac:dyDescent="0.25">
      <c r="A613">
        <v>611</v>
      </c>
      <c r="B613" t="s">
        <v>7625</v>
      </c>
      <c r="C613">
        <v>504084</v>
      </c>
      <c r="D613" t="s">
        <v>440</v>
      </c>
      <c r="E613" t="s">
        <v>7766</v>
      </c>
      <c r="F613">
        <v>753565.0625</v>
      </c>
      <c r="G613">
        <v>4693.5883789999998</v>
      </c>
      <c r="H613">
        <v>561</v>
      </c>
      <c r="I613">
        <v>756</v>
      </c>
      <c r="J613">
        <v>26123</v>
      </c>
      <c r="K613" t="s">
        <v>1914</v>
      </c>
      <c r="L613">
        <v>7</v>
      </c>
      <c r="M613">
        <v>7</v>
      </c>
      <c r="N613">
        <v>26123</v>
      </c>
      <c r="O613">
        <v>549</v>
      </c>
      <c r="P613" t="s">
        <v>3212</v>
      </c>
      <c r="Q613">
        <v>32</v>
      </c>
      <c r="R613">
        <v>76.47</v>
      </c>
      <c r="S613">
        <v>7.17</v>
      </c>
      <c r="T613">
        <v>17</v>
      </c>
      <c r="U613">
        <v>753565.01916499995</v>
      </c>
      <c r="V613">
        <v>4693.5886870000004</v>
      </c>
      <c r="W613">
        <v>612</v>
      </c>
      <c r="X613">
        <v>0</v>
      </c>
      <c r="Y613">
        <v>611</v>
      </c>
      <c r="Z613" t="s">
        <v>6966</v>
      </c>
      <c r="AA613" t="s">
        <v>6966</v>
      </c>
      <c r="AB613" t="s">
        <v>6966</v>
      </c>
      <c r="AC613" t="s">
        <v>6966</v>
      </c>
      <c r="AD613" t="s">
        <v>6966</v>
      </c>
      <c r="AE613" t="s">
        <v>6966</v>
      </c>
      <c r="AF613" t="s">
        <v>6966</v>
      </c>
      <c r="AG613" t="s">
        <v>6966</v>
      </c>
      <c r="AH613" t="s">
        <v>6966</v>
      </c>
      <c r="AI613" t="s">
        <v>6966</v>
      </c>
      <c r="AJ613" t="s">
        <v>6966</v>
      </c>
      <c r="AK613" t="s">
        <v>6966</v>
      </c>
      <c r="AL613" t="s">
        <v>6966</v>
      </c>
      <c r="AM613" t="s">
        <v>6966</v>
      </c>
      <c r="AN613" t="s">
        <v>6966</v>
      </c>
      <c r="AO613" t="s">
        <v>6966</v>
      </c>
      <c r="AP613" t="s">
        <v>6966</v>
      </c>
      <c r="AQ613" t="s">
        <v>6966</v>
      </c>
      <c r="AR613" t="s">
        <v>6966</v>
      </c>
      <c r="AS613" t="s">
        <v>6966</v>
      </c>
      <c r="AT613" t="s">
        <v>6966</v>
      </c>
      <c r="AU613" t="s">
        <v>6966</v>
      </c>
      <c r="AV613" t="s">
        <v>6966</v>
      </c>
      <c r="AW613" t="s">
        <v>6966</v>
      </c>
      <c r="AX613" t="s">
        <v>6966</v>
      </c>
      <c r="AY613" t="s">
        <v>6966</v>
      </c>
      <c r="AZ613">
        <v>4.7592000000000002E-2</v>
      </c>
      <c r="BA613">
        <v>7.3999999999999996E-5</v>
      </c>
    </row>
    <row r="614" spans="1:53" x14ac:dyDescent="0.25">
      <c r="A614">
        <v>612</v>
      </c>
      <c r="B614" t="s">
        <v>7625</v>
      </c>
      <c r="C614">
        <v>504059</v>
      </c>
      <c r="D614" t="s">
        <v>470</v>
      </c>
      <c r="E614" t="s">
        <v>7766</v>
      </c>
      <c r="F614">
        <v>1594797.75</v>
      </c>
      <c r="G614">
        <v>8253.9384769999997</v>
      </c>
      <c r="H614">
        <v>562</v>
      </c>
      <c r="I614">
        <v>758</v>
      </c>
      <c r="J614">
        <v>26236</v>
      </c>
      <c r="K614" t="s">
        <v>1939</v>
      </c>
      <c r="L614">
        <v>7</v>
      </c>
      <c r="M614">
        <v>7</v>
      </c>
      <c r="N614">
        <v>26236</v>
      </c>
      <c r="O614">
        <v>550</v>
      </c>
      <c r="P614" t="s">
        <v>3212</v>
      </c>
      <c r="Q614">
        <v>0.4</v>
      </c>
      <c r="R614">
        <v>21.54</v>
      </c>
      <c r="S614">
        <v>0.14000000000000001</v>
      </c>
      <c r="T614">
        <v>7</v>
      </c>
      <c r="U614">
        <v>1594797.71022</v>
      </c>
      <c r="V614">
        <v>8253.9380760000004</v>
      </c>
      <c r="W614">
        <v>613</v>
      </c>
      <c r="X614">
        <v>0</v>
      </c>
      <c r="Y614">
        <v>612</v>
      </c>
      <c r="Z614" t="s">
        <v>6966</v>
      </c>
      <c r="AA614" t="s">
        <v>6966</v>
      </c>
      <c r="AB614" t="s">
        <v>6966</v>
      </c>
      <c r="AC614" t="s">
        <v>6966</v>
      </c>
      <c r="AD614" t="s">
        <v>6966</v>
      </c>
      <c r="AE614" t="s">
        <v>6966</v>
      </c>
      <c r="AF614" t="s">
        <v>6966</v>
      </c>
      <c r="AG614" t="s">
        <v>6966</v>
      </c>
      <c r="AH614" t="s">
        <v>6966</v>
      </c>
      <c r="AI614" t="s">
        <v>6966</v>
      </c>
      <c r="AJ614" t="s">
        <v>6966</v>
      </c>
      <c r="AK614" t="s">
        <v>6966</v>
      </c>
      <c r="AL614" t="s">
        <v>6966</v>
      </c>
      <c r="AM614" t="s">
        <v>6966</v>
      </c>
      <c r="AN614" t="s">
        <v>6966</v>
      </c>
      <c r="AO614" t="s">
        <v>6966</v>
      </c>
      <c r="AP614" t="s">
        <v>6966</v>
      </c>
      <c r="AQ614" t="s">
        <v>6966</v>
      </c>
      <c r="AR614" t="s">
        <v>6966</v>
      </c>
      <c r="AS614" t="s">
        <v>6966</v>
      </c>
      <c r="AT614" t="s">
        <v>6966</v>
      </c>
      <c r="AU614" t="s">
        <v>6966</v>
      </c>
      <c r="AV614" t="s">
        <v>6966</v>
      </c>
      <c r="AW614" t="s">
        <v>6966</v>
      </c>
      <c r="AX614" t="s">
        <v>6966</v>
      </c>
      <c r="AY614" t="s">
        <v>6966</v>
      </c>
      <c r="AZ614">
        <v>8.4270999999999999E-2</v>
      </c>
      <c r="BA614">
        <v>1.56E-4</v>
      </c>
    </row>
    <row r="615" spans="1:53" x14ac:dyDescent="0.25">
      <c r="A615">
        <v>613</v>
      </c>
      <c r="B615" t="s">
        <v>7625</v>
      </c>
      <c r="C615">
        <v>504073</v>
      </c>
      <c r="D615" t="s">
        <v>439</v>
      </c>
      <c r="E615" t="s">
        <v>7766</v>
      </c>
      <c r="F615">
        <v>895887.3125</v>
      </c>
      <c r="G615">
        <v>4267.1899409999996</v>
      </c>
      <c r="H615">
        <v>563</v>
      </c>
      <c r="I615">
        <v>759</v>
      </c>
      <c r="J615">
        <v>26117</v>
      </c>
      <c r="K615" t="s">
        <v>439</v>
      </c>
      <c r="L615">
        <v>7</v>
      </c>
      <c r="M615">
        <v>7</v>
      </c>
      <c r="N615">
        <v>26117</v>
      </c>
      <c r="O615">
        <v>551</v>
      </c>
      <c r="P615" t="s">
        <v>3212</v>
      </c>
      <c r="Q615">
        <v>2.7</v>
      </c>
      <c r="R615">
        <v>10.93</v>
      </c>
      <c r="S615">
        <v>1.99</v>
      </c>
      <c r="T615">
        <v>8</v>
      </c>
      <c r="U615">
        <v>895887.32696700003</v>
      </c>
      <c r="V615">
        <v>4267.1906710000003</v>
      </c>
      <c r="W615">
        <v>614</v>
      </c>
      <c r="X615">
        <v>0</v>
      </c>
      <c r="Y615">
        <v>613</v>
      </c>
      <c r="Z615" t="s">
        <v>6966</v>
      </c>
      <c r="AA615" t="s">
        <v>6966</v>
      </c>
      <c r="AB615" t="s">
        <v>6966</v>
      </c>
      <c r="AC615" t="s">
        <v>6966</v>
      </c>
      <c r="AD615" t="s">
        <v>6966</v>
      </c>
      <c r="AE615" t="s">
        <v>6966</v>
      </c>
      <c r="AF615" t="s">
        <v>6966</v>
      </c>
      <c r="AG615" t="s">
        <v>6966</v>
      </c>
      <c r="AH615" t="s">
        <v>6966</v>
      </c>
      <c r="AI615" t="s">
        <v>6966</v>
      </c>
      <c r="AJ615" t="s">
        <v>6966</v>
      </c>
      <c r="AK615" t="s">
        <v>6966</v>
      </c>
      <c r="AL615" t="s">
        <v>6966</v>
      </c>
      <c r="AM615" t="s">
        <v>6966</v>
      </c>
      <c r="AN615" t="s">
        <v>6966</v>
      </c>
      <c r="AO615" t="s">
        <v>6966</v>
      </c>
      <c r="AP615" t="s">
        <v>6966</v>
      </c>
      <c r="AQ615" t="s">
        <v>6966</v>
      </c>
      <c r="AR615" t="s">
        <v>6966</v>
      </c>
      <c r="AS615" t="s">
        <v>6966</v>
      </c>
      <c r="AT615" t="s">
        <v>6966</v>
      </c>
      <c r="AU615" t="s">
        <v>6966</v>
      </c>
      <c r="AV615" t="s">
        <v>6966</v>
      </c>
      <c r="AW615" t="s">
        <v>6966</v>
      </c>
      <c r="AX615" t="s">
        <v>6966</v>
      </c>
      <c r="AY615" t="s">
        <v>6966</v>
      </c>
      <c r="AZ615">
        <v>4.3672999999999997E-2</v>
      </c>
      <c r="BA615">
        <v>8.7999999999999998E-5</v>
      </c>
    </row>
    <row r="616" spans="1:53" x14ac:dyDescent="0.25">
      <c r="A616">
        <v>614</v>
      </c>
      <c r="B616" t="s">
        <v>7625</v>
      </c>
      <c r="C616">
        <v>504016</v>
      </c>
      <c r="D616" t="s">
        <v>475</v>
      </c>
      <c r="E616" t="s">
        <v>7766</v>
      </c>
      <c r="F616">
        <v>1531988.625</v>
      </c>
      <c r="G616">
        <v>6479.8359380000002</v>
      </c>
      <c r="H616">
        <v>564</v>
      </c>
      <c r="I616">
        <v>760</v>
      </c>
      <c r="J616">
        <v>26244</v>
      </c>
      <c r="K616" t="s">
        <v>7788</v>
      </c>
      <c r="L616">
        <v>7</v>
      </c>
      <c r="M616">
        <v>7</v>
      </c>
      <c r="N616">
        <v>26244</v>
      </c>
      <c r="O616">
        <v>552</v>
      </c>
      <c r="P616" t="s">
        <v>3212</v>
      </c>
      <c r="Q616">
        <v>2.6</v>
      </c>
      <c r="R616">
        <v>19.850000000000001</v>
      </c>
      <c r="S616">
        <v>0.63</v>
      </c>
      <c r="T616">
        <v>5</v>
      </c>
      <c r="U616">
        <v>1531988.6082299999</v>
      </c>
      <c r="V616">
        <v>6479.8357139999998</v>
      </c>
      <c r="W616">
        <v>615</v>
      </c>
      <c r="X616">
        <v>0</v>
      </c>
      <c r="Y616">
        <v>614</v>
      </c>
      <c r="Z616" t="s">
        <v>6966</v>
      </c>
      <c r="AA616" t="s">
        <v>6966</v>
      </c>
      <c r="AB616" t="s">
        <v>6966</v>
      </c>
      <c r="AC616" t="s">
        <v>6966</v>
      </c>
      <c r="AD616" t="s">
        <v>6966</v>
      </c>
      <c r="AE616" t="s">
        <v>6966</v>
      </c>
      <c r="AF616" t="s">
        <v>6966</v>
      </c>
      <c r="AG616" t="s">
        <v>6966</v>
      </c>
      <c r="AH616" t="s">
        <v>6966</v>
      </c>
      <c r="AI616" t="s">
        <v>6966</v>
      </c>
      <c r="AJ616" t="s">
        <v>6966</v>
      </c>
      <c r="AK616" t="s">
        <v>6966</v>
      </c>
      <c r="AL616" t="s">
        <v>6966</v>
      </c>
      <c r="AM616" t="s">
        <v>6966</v>
      </c>
      <c r="AN616" t="s">
        <v>6966</v>
      </c>
      <c r="AO616" t="s">
        <v>6966</v>
      </c>
      <c r="AP616" t="s">
        <v>6966</v>
      </c>
      <c r="AQ616" t="s">
        <v>6966</v>
      </c>
      <c r="AR616" t="s">
        <v>6966</v>
      </c>
      <c r="AS616" t="s">
        <v>6966</v>
      </c>
      <c r="AT616" t="s">
        <v>6966</v>
      </c>
      <c r="AU616" t="s">
        <v>6966</v>
      </c>
      <c r="AV616" t="s">
        <v>6966</v>
      </c>
      <c r="AW616" t="s">
        <v>6966</v>
      </c>
      <c r="AX616" t="s">
        <v>6966</v>
      </c>
      <c r="AY616" t="s">
        <v>6966</v>
      </c>
      <c r="AZ616">
        <v>6.6030000000000005E-2</v>
      </c>
      <c r="BA616">
        <v>1.4999999999999999E-4</v>
      </c>
    </row>
    <row r="617" spans="1:53" x14ac:dyDescent="0.25">
      <c r="A617">
        <v>615</v>
      </c>
      <c r="B617" t="s">
        <v>7625</v>
      </c>
      <c r="C617">
        <v>504095</v>
      </c>
      <c r="D617" t="s">
        <v>521</v>
      </c>
      <c r="E617" t="s">
        <v>7766</v>
      </c>
      <c r="F617">
        <v>395744.1875</v>
      </c>
      <c r="G617">
        <v>3412.4040530000002</v>
      </c>
      <c r="H617">
        <v>565</v>
      </c>
      <c r="I617">
        <v>761</v>
      </c>
      <c r="J617">
        <v>26344</v>
      </c>
      <c r="K617" t="s">
        <v>1981</v>
      </c>
      <c r="L617">
        <v>7</v>
      </c>
      <c r="M617">
        <v>7</v>
      </c>
      <c r="N617">
        <v>26344</v>
      </c>
      <c r="O617">
        <v>553</v>
      </c>
      <c r="P617" t="s">
        <v>3212</v>
      </c>
      <c r="Q617">
        <v>0</v>
      </c>
      <c r="R617">
        <v>0</v>
      </c>
      <c r="S617">
        <v>0</v>
      </c>
      <c r="T617">
        <v>0</v>
      </c>
      <c r="U617">
        <v>395744.16323300003</v>
      </c>
      <c r="V617">
        <v>3412.4039379999999</v>
      </c>
      <c r="W617">
        <v>616</v>
      </c>
      <c r="X617">
        <v>0</v>
      </c>
      <c r="Y617">
        <v>615</v>
      </c>
      <c r="Z617" t="s">
        <v>6966</v>
      </c>
      <c r="AA617" t="s">
        <v>6966</v>
      </c>
      <c r="AB617" t="s">
        <v>6966</v>
      </c>
      <c r="AC617" t="s">
        <v>6966</v>
      </c>
      <c r="AD617" t="s">
        <v>6966</v>
      </c>
      <c r="AE617" t="s">
        <v>6966</v>
      </c>
      <c r="AF617" t="s">
        <v>6966</v>
      </c>
      <c r="AG617" t="s">
        <v>6966</v>
      </c>
      <c r="AH617" t="s">
        <v>6966</v>
      </c>
      <c r="AI617" t="s">
        <v>6966</v>
      </c>
      <c r="AJ617" t="s">
        <v>6966</v>
      </c>
      <c r="AK617" t="s">
        <v>6966</v>
      </c>
      <c r="AL617" t="s">
        <v>6966</v>
      </c>
      <c r="AM617" t="s">
        <v>6966</v>
      </c>
      <c r="AN617" t="s">
        <v>6966</v>
      </c>
      <c r="AO617" t="s">
        <v>6966</v>
      </c>
      <c r="AP617" t="s">
        <v>6966</v>
      </c>
      <c r="AQ617" t="s">
        <v>6966</v>
      </c>
      <c r="AR617" t="s">
        <v>6966</v>
      </c>
      <c r="AS617" t="s">
        <v>6966</v>
      </c>
      <c r="AT617" t="s">
        <v>6966</v>
      </c>
      <c r="AU617" t="s">
        <v>6966</v>
      </c>
      <c r="AV617" t="s">
        <v>6966</v>
      </c>
      <c r="AW617" t="s">
        <v>6966</v>
      </c>
      <c r="AX617" t="s">
        <v>6966</v>
      </c>
      <c r="AY617" t="s">
        <v>6966</v>
      </c>
      <c r="AZ617">
        <v>3.2736000000000001E-2</v>
      </c>
      <c r="BA617">
        <v>3.8999999999999999E-5</v>
      </c>
    </row>
    <row r="618" spans="1:53" x14ac:dyDescent="0.25">
      <c r="A618">
        <v>616</v>
      </c>
      <c r="B618" t="s">
        <v>7625</v>
      </c>
      <c r="C618">
        <v>504071</v>
      </c>
      <c r="D618" t="s">
        <v>525</v>
      </c>
      <c r="E618" t="s">
        <v>7766</v>
      </c>
      <c r="F618">
        <v>0</v>
      </c>
      <c r="G618">
        <v>17992.330077999999</v>
      </c>
      <c r="H618">
        <v>566</v>
      </c>
      <c r="I618">
        <v>762</v>
      </c>
      <c r="J618">
        <v>26357</v>
      </c>
      <c r="K618" t="s">
        <v>1985</v>
      </c>
      <c r="L618">
        <v>7</v>
      </c>
      <c r="M618">
        <v>7</v>
      </c>
      <c r="N618">
        <v>26357</v>
      </c>
      <c r="O618">
        <v>554</v>
      </c>
      <c r="P618" t="s">
        <v>3212</v>
      </c>
      <c r="Q618">
        <v>0.3</v>
      </c>
      <c r="R618">
        <v>45.57</v>
      </c>
      <c r="S618">
        <v>0.1</v>
      </c>
      <c r="T618">
        <v>17</v>
      </c>
      <c r="U618">
        <v>0</v>
      </c>
      <c r="V618">
        <v>17992.329233</v>
      </c>
      <c r="W618">
        <v>617</v>
      </c>
      <c r="X618">
        <v>0</v>
      </c>
      <c r="Y618">
        <v>616</v>
      </c>
      <c r="Z618" t="s">
        <v>6966</v>
      </c>
      <c r="AA618" t="s">
        <v>6966</v>
      </c>
      <c r="AB618" t="s">
        <v>6966</v>
      </c>
      <c r="AC618" t="s">
        <v>6966</v>
      </c>
      <c r="AD618" t="s">
        <v>6966</v>
      </c>
      <c r="AE618" t="s">
        <v>6966</v>
      </c>
      <c r="AF618" t="s">
        <v>6966</v>
      </c>
      <c r="AG618" t="s">
        <v>6966</v>
      </c>
      <c r="AH618" t="s">
        <v>6966</v>
      </c>
      <c r="AI618" t="s">
        <v>6966</v>
      </c>
      <c r="AJ618" t="s">
        <v>6966</v>
      </c>
      <c r="AK618" t="s">
        <v>6966</v>
      </c>
      <c r="AL618" t="s">
        <v>6966</v>
      </c>
      <c r="AM618" t="s">
        <v>6966</v>
      </c>
      <c r="AN618" t="s">
        <v>6966</v>
      </c>
      <c r="AO618" t="s">
        <v>6966</v>
      </c>
      <c r="AP618" t="s">
        <v>6966</v>
      </c>
      <c r="AQ618" t="s">
        <v>6966</v>
      </c>
      <c r="AR618" t="s">
        <v>6966</v>
      </c>
      <c r="AS618" t="s">
        <v>6966</v>
      </c>
      <c r="AT618" t="s">
        <v>6966</v>
      </c>
      <c r="AU618" t="s">
        <v>6966</v>
      </c>
      <c r="AV618" t="s">
        <v>6966</v>
      </c>
      <c r="AW618" t="s">
        <v>6966</v>
      </c>
      <c r="AX618" t="s">
        <v>6966</v>
      </c>
      <c r="AY618" t="s">
        <v>6966</v>
      </c>
      <c r="AZ618">
        <v>0.17937800000000001</v>
      </c>
      <c r="BA618">
        <v>1.505E-3</v>
      </c>
    </row>
    <row r="619" spans="1:53" x14ac:dyDescent="0.25">
      <c r="A619">
        <v>617</v>
      </c>
      <c r="B619" t="s">
        <v>7625</v>
      </c>
      <c r="C619">
        <v>504027</v>
      </c>
      <c r="D619" t="s">
        <v>524</v>
      </c>
      <c r="E619" t="s">
        <v>7766</v>
      </c>
      <c r="F619">
        <v>2904743.75</v>
      </c>
      <c r="G619">
        <v>9228.2460940000001</v>
      </c>
      <c r="H619">
        <v>567</v>
      </c>
      <c r="I619">
        <v>763</v>
      </c>
      <c r="J619">
        <v>26354</v>
      </c>
      <c r="K619" t="s">
        <v>1984</v>
      </c>
      <c r="L619">
        <v>7</v>
      </c>
      <c r="M619">
        <v>7</v>
      </c>
      <c r="N619">
        <v>26354</v>
      </c>
      <c r="O619">
        <v>555</v>
      </c>
      <c r="P619" t="s">
        <v>3212</v>
      </c>
      <c r="Q619">
        <v>0</v>
      </c>
      <c r="R619">
        <v>0</v>
      </c>
      <c r="S619">
        <v>0.03</v>
      </c>
      <c r="T619">
        <v>0</v>
      </c>
      <c r="U619">
        <v>2904743.7796999998</v>
      </c>
      <c r="V619">
        <v>9228.2464060000002</v>
      </c>
      <c r="W619">
        <v>618</v>
      </c>
      <c r="X619">
        <v>0</v>
      </c>
      <c r="Y619">
        <v>617</v>
      </c>
      <c r="Z619" t="s">
        <v>6966</v>
      </c>
      <c r="AA619" t="s">
        <v>6966</v>
      </c>
      <c r="AB619" t="s">
        <v>6966</v>
      </c>
      <c r="AC619" t="s">
        <v>6966</v>
      </c>
      <c r="AD619" t="s">
        <v>6966</v>
      </c>
      <c r="AE619" t="s">
        <v>6966</v>
      </c>
      <c r="AF619" t="s">
        <v>6966</v>
      </c>
      <c r="AG619" t="s">
        <v>6966</v>
      </c>
      <c r="AH619" t="s">
        <v>6966</v>
      </c>
      <c r="AI619" t="s">
        <v>6966</v>
      </c>
      <c r="AJ619" t="s">
        <v>6966</v>
      </c>
      <c r="AK619" t="s">
        <v>6966</v>
      </c>
      <c r="AL619" t="s">
        <v>6966</v>
      </c>
      <c r="AM619" t="s">
        <v>6966</v>
      </c>
      <c r="AN619" t="s">
        <v>6966</v>
      </c>
      <c r="AO619" t="s">
        <v>6966</v>
      </c>
      <c r="AP619" t="s">
        <v>6966</v>
      </c>
      <c r="AQ619" t="s">
        <v>6966</v>
      </c>
      <c r="AR619" t="s">
        <v>6966</v>
      </c>
      <c r="AS619" t="s">
        <v>6966</v>
      </c>
      <c r="AT619" t="s">
        <v>6966</v>
      </c>
      <c r="AU619" t="s">
        <v>6966</v>
      </c>
      <c r="AV619" t="s">
        <v>6966</v>
      </c>
      <c r="AW619" t="s">
        <v>6966</v>
      </c>
      <c r="AX619" t="s">
        <v>6966</v>
      </c>
      <c r="AY619" t="s">
        <v>6966</v>
      </c>
      <c r="AZ619">
        <v>9.1836000000000001E-2</v>
      </c>
      <c r="BA619">
        <v>2.8400000000000002E-4</v>
      </c>
    </row>
    <row r="620" spans="1:53" x14ac:dyDescent="0.25">
      <c r="A620">
        <v>618</v>
      </c>
      <c r="B620" t="s">
        <v>7625</v>
      </c>
      <c r="C620">
        <v>504035</v>
      </c>
      <c r="D620" t="s">
        <v>457</v>
      </c>
      <c r="E620" t="s">
        <v>7766</v>
      </c>
      <c r="F620">
        <v>1092405.75</v>
      </c>
      <c r="G620">
        <v>9070.1611329999996</v>
      </c>
      <c r="H620">
        <v>568</v>
      </c>
      <c r="I620">
        <v>764</v>
      </c>
      <c r="J620">
        <v>26217</v>
      </c>
      <c r="K620" t="s">
        <v>1929</v>
      </c>
      <c r="L620">
        <v>7</v>
      </c>
      <c r="M620">
        <v>7</v>
      </c>
      <c r="N620">
        <v>26217</v>
      </c>
      <c r="O620">
        <v>556</v>
      </c>
      <c r="P620" t="s">
        <v>3212</v>
      </c>
      <c r="Q620">
        <v>2.7</v>
      </c>
      <c r="R620">
        <v>0</v>
      </c>
      <c r="S620">
        <v>0.55000000000000004</v>
      </c>
      <c r="T620">
        <v>0</v>
      </c>
      <c r="U620">
        <v>1092405.6742199999</v>
      </c>
      <c r="V620">
        <v>9070.1603080000004</v>
      </c>
      <c r="W620">
        <v>619</v>
      </c>
      <c r="X620">
        <v>0</v>
      </c>
      <c r="Y620">
        <v>618</v>
      </c>
      <c r="Z620" t="s">
        <v>6966</v>
      </c>
      <c r="AA620" t="s">
        <v>6966</v>
      </c>
      <c r="AB620" t="s">
        <v>6966</v>
      </c>
      <c r="AC620" t="s">
        <v>6966</v>
      </c>
      <c r="AD620" t="s">
        <v>6966</v>
      </c>
      <c r="AE620" t="s">
        <v>6966</v>
      </c>
      <c r="AF620" t="s">
        <v>6966</v>
      </c>
      <c r="AG620" t="s">
        <v>6966</v>
      </c>
      <c r="AH620" t="s">
        <v>6966</v>
      </c>
      <c r="AI620" t="s">
        <v>6966</v>
      </c>
      <c r="AJ620" t="s">
        <v>6966</v>
      </c>
      <c r="AK620" t="s">
        <v>6966</v>
      </c>
      <c r="AL620" t="s">
        <v>6966</v>
      </c>
      <c r="AM620" t="s">
        <v>6966</v>
      </c>
      <c r="AN620" t="s">
        <v>6966</v>
      </c>
      <c r="AO620" t="s">
        <v>6966</v>
      </c>
      <c r="AP620" t="s">
        <v>6966</v>
      </c>
      <c r="AQ620" t="s">
        <v>6966</v>
      </c>
      <c r="AR620" t="s">
        <v>6966</v>
      </c>
      <c r="AS620" t="s">
        <v>6966</v>
      </c>
      <c r="AT620" t="s">
        <v>6966</v>
      </c>
      <c r="AU620" t="s">
        <v>6966</v>
      </c>
      <c r="AV620" t="s">
        <v>6966</v>
      </c>
      <c r="AW620" t="s">
        <v>6966</v>
      </c>
      <c r="AX620" t="s">
        <v>6966</v>
      </c>
      <c r="AY620" t="s">
        <v>6966</v>
      </c>
      <c r="AZ620">
        <v>9.2973E-2</v>
      </c>
      <c r="BA620">
        <v>1.07E-4</v>
      </c>
    </row>
    <row r="621" spans="1:53" x14ac:dyDescent="0.25">
      <c r="A621">
        <v>619</v>
      </c>
      <c r="B621" t="s">
        <v>7625</v>
      </c>
      <c r="C621">
        <v>504098</v>
      </c>
      <c r="D621" t="s">
        <v>522</v>
      </c>
      <c r="E621" t="s">
        <v>7766</v>
      </c>
      <c r="F621">
        <v>1472561.875</v>
      </c>
      <c r="G621">
        <v>6984.609375</v>
      </c>
      <c r="H621">
        <v>569</v>
      </c>
      <c r="I621">
        <v>765</v>
      </c>
      <c r="J621">
        <v>26347</v>
      </c>
      <c r="K621" t="s">
        <v>1982</v>
      </c>
      <c r="L621">
        <v>7</v>
      </c>
      <c r="M621">
        <v>7</v>
      </c>
      <c r="N621">
        <v>26347</v>
      </c>
      <c r="O621">
        <v>557</v>
      </c>
      <c r="P621" t="s">
        <v>3212</v>
      </c>
      <c r="Q621">
        <v>0.1</v>
      </c>
      <c r="R621">
        <v>6.09</v>
      </c>
      <c r="S621">
        <v>0.69</v>
      </c>
      <c r="T621">
        <v>31</v>
      </c>
      <c r="U621">
        <v>1472561.81008</v>
      </c>
      <c r="V621">
        <v>6984.609281</v>
      </c>
      <c r="W621">
        <v>620</v>
      </c>
      <c r="X621">
        <v>0</v>
      </c>
      <c r="Y621">
        <v>619</v>
      </c>
      <c r="Z621" t="s">
        <v>6966</v>
      </c>
      <c r="AA621" t="s">
        <v>6966</v>
      </c>
      <c r="AB621" t="s">
        <v>6966</v>
      </c>
      <c r="AC621" t="s">
        <v>6966</v>
      </c>
      <c r="AD621" t="s">
        <v>6966</v>
      </c>
      <c r="AE621" t="s">
        <v>6966</v>
      </c>
      <c r="AF621" t="s">
        <v>6966</v>
      </c>
      <c r="AG621" t="s">
        <v>6966</v>
      </c>
      <c r="AH621" t="s">
        <v>6966</v>
      </c>
      <c r="AI621" t="s">
        <v>6966</v>
      </c>
      <c r="AJ621" t="s">
        <v>6966</v>
      </c>
      <c r="AK621" t="s">
        <v>6966</v>
      </c>
      <c r="AL621" t="s">
        <v>6966</v>
      </c>
      <c r="AM621" t="s">
        <v>6966</v>
      </c>
      <c r="AN621" t="s">
        <v>6966</v>
      </c>
      <c r="AO621" t="s">
        <v>6966</v>
      </c>
      <c r="AP621" t="s">
        <v>6966</v>
      </c>
      <c r="AQ621" t="s">
        <v>6966</v>
      </c>
      <c r="AR621" t="s">
        <v>6966</v>
      </c>
      <c r="AS621" t="s">
        <v>6966</v>
      </c>
      <c r="AT621" t="s">
        <v>6966</v>
      </c>
      <c r="AU621" t="s">
        <v>6966</v>
      </c>
      <c r="AV621" t="s">
        <v>6966</v>
      </c>
      <c r="AW621" t="s">
        <v>6966</v>
      </c>
      <c r="AX621" t="s">
        <v>6966</v>
      </c>
      <c r="AY621" t="s">
        <v>6966</v>
      </c>
      <c r="AZ621">
        <v>6.9811999999999999E-2</v>
      </c>
      <c r="BA621">
        <v>1.44E-4</v>
      </c>
    </row>
    <row r="622" spans="1:53" x14ac:dyDescent="0.25">
      <c r="A622">
        <v>620</v>
      </c>
      <c r="B622" t="s">
        <v>7625</v>
      </c>
      <c r="C622">
        <v>201021</v>
      </c>
      <c r="D622" t="s">
        <v>1147</v>
      </c>
      <c r="E622" t="s">
        <v>1069</v>
      </c>
      <c r="F622">
        <v>0</v>
      </c>
      <c r="G622">
        <v>23116.269531000002</v>
      </c>
      <c r="H622">
        <v>570</v>
      </c>
      <c r="I622">
        <v>766</v>
      </c>
      <c r="J622">
        <v>53467</v>
      </c>
      <c r="K622" t="s">
        <v>1147</v>
      </c>
      <c r="L622">
        <v>17</v>
      </c>
      <c r="M622">
        <v>17</v>
      </c>
      <c r="N622">
        <v>53467</v>
      </c>
      <c r="O622">
        <v>558</v>
      </c>
      <c r="P622" t="s">
        <v>3214</v>
      </c>
      <c r="Q622">
        <v>0.7</v>
      </c>
      <c r="R622">
        <v>46.58</v>
      </c>
      <c r="S622">
        <v>0.23</v>
      </c>
      <c r="T622">
        <v>16</v>
      </c>
      <c r="U622">
        <v>0</v>
      </c>
      <c r="V622">
        <v>23116.268774</v>
      </c>
      <c r="W622">
        <v>621</v>
      </c>
      <c r="X622">
        <v>0</v>
      </c>
      <c r="Y622">
        <v>620</v>
      </c>
      <c r="Z622" t="s">
        <v>6966</v>
      </c>
      <c r="AA622" t="s">
        <v>6966</v>
      </c>
      <c r="AB622" t="s">
        <v>6966</v>
      </c>
      <c r="AC622" t="s">
        <v>6966</v>
      </c>
      <c r="AD622" t="s">
        <v>6966</v>
      </c>
      <c r="AE622" t="s">
        <v>6966</v>
      </c>
      <c r="AF622" t="s">
        <v>6966</v>
      </c>
      <c r="AG622" t="s">
        <v>6966</v>
      </c>
      <c r="AH622" t="s">
        <v>6966</v>
      </c>
      <c r="AI622" t="s">
        <v>6966</v>
      </c>
      <c r="AJ622" t="s">
        <v>6966</v>
      </c>
      <c r="AK622" t="s">
        <v>6966</v>
      </c>
      <c r="AL622" t="s">
        <v>6966</v>
      </c>
      <c r="AM622" t="s">
        <v>6966</v>
      </c>
      <c r="AN622" t="s">
        <v>6966</v>
      </c>
      <c r="AO622" t="s">
        <v>6966</v>
      </c>
      <c r="AP622" t="s">
        <v>6966</v>
      </c>
      <c r="AQ622" t="s">
        <v>6966</v>
      </c>
      <c r="AR622" t="s">
        <v>6966</v>
      </c>
      <c r="AS622" t="s">
        <v>6966</v>
      </c>
      <c r="AT622" t="s">
        <v>6966</v>
      </c>
      <c r="AU622" t="s">
        <v>6966</v>
      </c>
      <c r="AV622" t="s">
        <v>6966</v>
      </c>
      <c r="AW622" t="s">
        <v>6966</v>
      </c>
      <c r="AX622" t="s">
        <v>6966</v>
      </c>
      <c r="AY622" t="s">
        <v>6966</v>
      </c>
      <c r="AZ622">
        <v>0.23317199999999999</v>
      </c>
      <c r="BA622">
        <v>1.686E-3</v>
      </c>
    </row>
    <row r="623" spans="1:53" x14ac:dyDescent="0.25">
      <c r="A623">
        <v>621</v>
      </c>
      <c r="B623" t="s">
        <v>7625</v>
      </c>
      <c r="C623">
        <v>504053</v>
      </c>
      <c r="D623" t="s">
        <v>466</v>
      </c>
      <c r="E623" t="s">
        <v>7766</v>
      </c>
      <c r="F623">
        <v>3257844.5</v>
      </c>
      <c r="G623">
        <v>12013.685546999999</v>
      </c>
      <c r="H623">
        <v>571</v>
      </c>
      <c r="I623">
        <v>767</v>
      </c>
      <c r="J623">
        <v>26229</v>
      </c>
      <c r="K623" t="s">
        <v>1937</v>
      </c>
      <c r="L623">
        <v>7</v>
      </c>
      <c r="M623">
        <v>7</v>
      </c>
      <c r="N623">
        <v>26229</v>
      </c>
      <c r="O623">
        <v>559</v>
      </c>
      <c r="P623" t="s">
        <v>3212</v>
      </c>
      <c r="Q623">
        <v>2</v>
      </c>
      <c r="R623">
        <v>24.55</v>
      </c>
      <c r="S623">
        <v>0.52</v>
      </c>
      <c r="T623">
        <v>6</v>
      </c>
      <c r="U623">
        <v>3257844.5454299999</v>
      </c>
      <c r="V623">
        <v>12013.684483000001</v>
      </c>
      <c r="W623">
        <v>622</v>
      </c>
      <c r="X623">
        <v>0</v>
      </c>
      <c r="Y623">
        <v>621</v>
      </c>
      <c r="Z623" t="s">
        <v>6966</v>
      </c>
      <c r="AA623" t="s">
        <v>6966</v>
      </c>
      <c r="AB623" t="s">
        <v>6966</v>
      </c>
      <c r="AC623" t="s">
        <v>6966</v>
      </c>
      <c r="AD623" t="s">
        <v>6966</v>
      </c>
      <c r="AE623" t="s">
        <v>6966</v>
      </c>
      <c r="AF623" t="s">
        <v>6966</v>
      </c>
      <c r="AG623" t="s">
        <v>6966</v>
      </c>
      <c r="AH623" t="s">
        <v>6966</v>
      </c>
      <c r="AI623" t="s">
        <v>6966</v>
      </c>
      <c r="AJ623" t="s">
        <v>6966</v>
      </c>
      <c r="AK623" t="s">
        <v>6966</v>
      </c>
      <c r="AL623" t="s">
        <v>6966</v>
      </c>
      <c r="AM623" t="s">
        <v>6966</v>
      </c>
      <c r="AN623" t="s">
        <v>6966</v>
      </c>
      <c r="AO623" t="s">
        <v>6966</v>
      </c>
      <c r="AP623" t="s">
        <v>6966</v>
      </c>
      <c r="AQ623" t="s">
        <v>6966</v>
      </c>
      <c r="AR623" t="s">
        <v>6966</v>
      </c>
      <c r="AS623" t="s">
        <v>6966</v>
      </c>
      <c r="AT623" t="s">
        <v>6966</v>
      </c>
      <c r="AU623" t="s">
        <v>6966</v>
      </c>
      <c r="AV623" t="s">
        <v>6966</v>
      </c>
      <c r="AW623" t="s">
        <v>6966</v>
      </c>
      <c r="AX623" t="s">
        <v>6966</v>
      </c>
      <c r="AY623" t="s">
        <v>6966</v>
      </c>
      <c r="AZ623">
        <v>0.12381399999999999</v>
      </c>
      <c r="BA623">
        <v>3.1799999999999998E-4</v>
      </c>
    </row>
    <row r="624" spans="1:53" x14ac:dyDescent="0.25">
      <c r="A624">
        <v>622</v>
      </c>
      <c r="B624" t="s">
        <v>7625</v>
      </c>
      <c r="C624">
        <v>504043</v>
      </c>
      <c r="D624" t="s">
        <v>444</v>
      </c>
      <c r="E624" t="s">
        <v>7766</v>
      </c>
      <c r="F624">
        <v>9603568</v>
      </c>
      <c r="G624">
        <v>16275.930664</v>
      </c>
      <c r="H624">
        <v>572</v>
      </c>
      <c r="I624">
        <v>768</v>
      </c>
      <c r="J624">
        <v>26147</v>
      </c>
      <c r="K624" t="s">
        <v>444</v>
      </c>
      <c r="L624">
        <v>7</v>
      </c>
      <c r="M624">
        <v>7</v>
      </c>
      <c r="N624">
        <v>26147</v>
      </c>
      <c r="O624">
        <v>560</v>
      </c>
      <c r="P624" t="s">
        <v>3212</v>
      </c>
      <c r="Q624">
        <v>5.8</v>
      </c>
      <c r="R624">
        <v>34.79</v>
      </c>
      <c r="S624">
        <v>1.94</v>
      </c>
      <c r="T624">
        <v>12</v>
      </c>
      <c r="U624">
        <v>9603568.1934300009</v>
      </c>
      <c r="V624">
        <v>16275.930998</v>
      </c>
      <c r="W624">
        <v>623</v>
      </c>
      <c r="X624">
        <v>0</v>
      </c>
      <c r="Y624">
        <v>622</v>
      </c>
      <c r="Z624" t="s">
        <v>6966</v>
      </c>
      <c r="AA624" t="s">
        <v>6966</v>
      </c>
      <c r="AB624" t="s">
        <v>6966</v>
      </c>
      <c r="AC624" t="s">
        <v>6966</v>
      </c>
      <c r="AD624" t="s">
        <v>6966</v>
      </c>
      <c r="AE624" t="s">
        <v>6966</v>
      </c>
      <c r="AF624" t="s">
        <v>6966</v>
      </c>
      <c r="AG624" t="s">
        <v>6966</v>
      </c>
      <c r="AH624" t="s">
        <v>6966</v>
      </c>
      <c r="AI624" t="s">
        <v>6966</v>
      </c>
      <c r="AJ624" t="s">
        <v>6966</v>
      </c>
      <c r="AK624" t="s">
        <v>6966</v>
      </c>
      <c r="AL624" t="s">
        <v>6966</v>
      </c>
      <c r="AM624" t="s">
        <v>6966</v>
      </c>
      <c r="AN624" t="s">
        <v>6966</v>
      </c>
      <c r="AO624" t="s">
        <v>6966</v>
      </c>
      <c r="AP624" t="s">
        <v>6966</v>
      </c>
      <c r="AQ624" t="s">
        <v>6966</v>
      </c>
      <c r="AR624" t="s">
        <v>6966</v>
      </c>
      <c r="AS624" t="s">
        <v>6966</v>
      </c>
      <c r="AT624" t="s">
        <v>6966</v>
      </c>
      <c r="AU624" t="s">
        <v>6966</v>
      </c>
      <c r="AV624" t="s">
        <v>6966</v>
      </c>
      <c r="AW624" t="s">
        <v>6966</v>
      </c>
      <c r="AX624" t="s">
        <v>6966</v>
      </c>
      <c r="AY624" t="s">
        <v>6966</v>
      </c>
      <c r="AZ624">
        <v>0.162913</v>
      </c>
      <c r="BA624">
        <v>9.3800000000000003E-4</v>
      </c>
    </row>
    <row r="625" spans="1:53" x14ac:dyDescent="0.25">
      <c r="A625">
        <v>623</v>
      </c>
      <c r="B625" t="s">
        <v>7625</v>
      </c>
      <c r="C625">
        <v>201062</v>
      </c>
      <c r="D625" t="s">
        <v>7789</v>
      </c>
      <c r="E625" t="s">
        <v>1069</v>
      </c>
      <c r="F625">
        <v>0</v>
      </c>
      <c r="G625">
        <v>27090.314452999999</v>
      </c>
      <c r="H625">
        <v>573</v>
      </c>
      <c r="I625">
        <v>769</v>
      </c>
      <c r="J625">
        <v>53155</v>
      </c>
      <c r="K625" t="s">
        <v>7789</v>
      </c>
      <c r="L625">
        <v>17</v>
      </c>
      <c r="M625">
        <v>17</v>
      </c>
      <c r="N625">
        <v>53155</v>
      </c>
      <c r="O625">
        <v>561</v>
      </c>
      <c r="P625" t="s">
        <v>3214</v>
      </c>
      <c r="Q625">
        <v>0.7</v>
      </c>
      <c r="R625">
        <v>19.78</v>
      </c>
      <c r="S625">
        <v>0.17</v>
      </c>
      <c r="T625">
        <v>5</v>
      </c>
      <c r="U625">
        <v>0</v>
      </c>
      <c r="V625">
        <v>27090.315523000001</v>
      </c>
      <c r="W625">
        <v>624</v>
      </c>
      <c r="X625">
        <v>0</v>
      </c>
      <c r="Y625">
        <v>623</v>
      </c>
      <c r="Z625" t="s">
        <v>6966</v>
      </c>
      <c r="AA625" t="s">
        <v>6966</v>
      </c>
      <c r="AB625" t="s">
        <v>6966</v>
      </c>
      <c r="AC625" t="s">
        <v>6966</v>
      </c>
      <c r="AD625" t="s">
        <v>6966</v>
      </c>
      <c r="AE625" t="s">
        <v>6966</v>
      </c>
      <c r="AF625" t="s">
        <v>6966</v>
      </c>
      <c r="AG625" t="s">
        <v>6966</v>
      </c>
      <c r="AH625" t="s">
        <v>6966</v>
      </c>
      <c r="AI625" t="s">
        <v>6966</v>
      </c>
      <c r="AJ625" t="s">
        <v>6966</v>
      </c>
      <c r="AK625" t="s">
        <v>6966</v>
      </c>
      <c r="AL625" t="s">
        <v>6966</v>
      </c>
      <c r="AM625" t="s">
        <v>6966</v>
      </c>
      <c r="AN625" t="s">
        <v>6966</v>
      </c>
      <c r="AO625" t="s">
        <v>6966</v>
      </c>
      <c r="AP625" t="s">
        <v>6966</v>
      </c>
      <c r="AQ625" t="s">
        <v>6966</v>
      </c>
      <c r="AR625" t="s">
        <v>6966</v>
      </c>
      <c r="AS625" t="s">
        <v>6966</v>
      </c>
      <c r="AT625" t="s">
        <v>6966</v>
      </c>
      <c r="AU625" t="s">
        <v>6966</v>
      </c>
      <c r="AV625" t="s">
        <v>6966</v>
      </c>
      <c r="AW625" t="s">
        <v>6966</v>
      </c>
      <c r="AX625" t="s">
        <v>6966</v>
      </c>
      <c r="AY625" t="s">
        <v>6966</v>
      </c>
      <c r="AZ625">
        <v>0.27087</v>
      </c>
      <c r="BA625">
        <v>2.8119999999999998E-3</v>
      </c>
    </row>
    <row r="626" spans="1:53" x14ac:dyDescent="0.25">
      <c r="A626">
        <v>624</v>
      </c>
      <c r="B626" t="s">
        <v>7625</v>
      </c>
      <c r="C626">
        <v>504072</v>
      </c>
      <c r="D626" t="s">
        <v>512</v>
      </c>
      <c r="E626" t="s">
        <v>7766</v>
      </c>
      <c r="F626">
        <v>989756.5625</v>
      </c>
      <c r="G626">
        <v>7310.4184569999998</v>
      </c>
      <c r="H626">
        <v>574</v>
      </c>
      <c r="I626">
        <v>770</v>
      </c>
      <c r="J626">
        <v>26314</v>
      </c>
      <c r="K626" t="s">
        <v>1974</v>
      </c>
      <c r="L626">
        <v>7</v>
      </c>
      <c r="M626">
        <v>7</v>
      </c>
      <c r="N626">
        <v>26314</v>
      </c>
      <c r="O626">
        <v>562</v>
      </c>
      <c r="P626" t="s">
        <v>3212</v>
      </c>
      <c r="Q626">
        <v>0.8</v>
      </c>
      <c r="R626">
        <v>32.39</v>
      </c>
      <c r="S626">
        <v>0.16</v>
      </c>
      <c r="T626">
        <v>7</v>
      </c>
      <c r="U626">
        <v>989756.50325399998</v>
      </c>
      <c r="V626">
        <v>7310.4182769999998</v>
      </c>
      <c r="W626">
        <v>625</v>
      </c>
      <c r="X626">
        <v>0</v>
      </c>
      <c r="Y626">
        <v>624</v>
      </c>
      <c r="Z626" t="s">
        <v>6966</v>
      </c>
      <c r="AA626" t="s">
        <v>6966</v>
      </c>
      <c r="AB626" t="s">
        <v>6966</v>
      </c>
      <c r="AC626" t="s">
        <v>6966</v>
      </c>
      <c r="AD626" t="s">
        <v>6966</v>
      </c>
      <c r="AE626" t="s">
        <v>6966</v>
      </c>
      <c r="AF626" t="s">
        <v>6966</v>
      </c>
      <c r="AG626" t="s">
        <v>6966</v>
      </c>
      <c r="AH626" t="s">
        <v>6966</v>
      </c>
      <c r="AI626" t="s">
        <v>6966</v>
      </c>
      <c r="AJ626" t="s">
        <v>6966</v>
      </c>
      <c r="AK626" t="s">
        <v>6966</v>
      </c>
      <c r="AL626" t="s">
        <v>6966</v>
      </c>
      <c r="AM626" t="s">
        <v>6966</v>
      </c>
      <c r="AN626" t="s">
        <v>6966</v>
      </c>
      <c r="AO626" t="s">
        <v>6966</v>
      </c>
      <c r="AP626" t="s">
        <v>6966</v>
      </c>
      <c r="AQ626" t="s">
        <v>6966</v>
      </c>
      <c r="AR626" t="s">
        <v>6966</v>
      </c>
      <c r="AS626" t="s">
        <v>6966</v>
      </c>
      <c r="AT626" t="s">
        <v>6966</v>
      </c>
      <c r="AU626" t="s">
        <v>6966</v>
      </c>
      <c r="AV626" t="s">
        <v>6966</v>
      </c>
      <c r="AW626" t="s">
        <v>6966</v>
      </c>
      <c r="AX626" t="s">
        <v>6966</v>
      </c>
      <c r="AY626" t="s">
        <v>6966</v>
      </c>
      <c r="AZ626">
        <v>7.2467000000000004E-2</v>
      </c>
      <c r="BA626">
        <v>9.7E-5</v>
      </c>
    </row>
    <row r="627" spans="1:53" x14ac:dyDescent="0.25">
      <c r="A627">
        <v>625</v>
      </c>
      <c r="B627" t="s">
        <v>7625</v>
      </c>
      <c r="C627">
        <v>504099</v>
      </c>
      <c r="D627" t="s">
        <v>476</v>
      </c>
      <c r="E627" t="s">
        <v>7766</v>
      </c>
      <c r="F627">
        <v>3056935.5</v>
      </c>
      <c r="G627">
        <v>9471.5361329999996</v>
      </c>
      <c r="H627">
        <v>575</v>
      </c>
      <c r="I627">
        <v>771</v>
      </c>
      <c r="J627">
        <v>26246</v>
      </c>
      <c r="K627" t="s">
        <v>1945</v>
      </c>
      <c r="L627">
        <v>7</v>
      </c>
      <c r="M627">
        <v>7</v>
      </c>
      <c r="N627">
        <v>26246</v>
      </c>
      <c r="O627">
        <v>563</v>
      </c>
      <c r="P627" t="s">
        <v>3212</v>
      </c>
      <c r="Q627">
        <v>1.8</v>
      </c>
      <c r="R627">
        <v>17.43</v>
      </c>
      <c r="S627">
        <v>0.46</v>
      </c>
      <c r="T627">
        <v>5</v>
      </c>
      <c r="U627">
        <v>3056935.6062599998</v>
      </c>
      <c r="V627">
        <v>9471.5358880000003</v>
      </c>
      <c r="W627">
        <v>626</v>
      </c>
      <c r="X627">
        <v>0</v>
      </c>
      <c r="Y627">
        <v>625</v>
      </c>
      <c r="Z627" t="s">
        <v>6966</v>
      </c>
      <c r="AA627" t="s">
        <v>6966</v>
      </c>
      <c r="AB627" t="s">
        <v>6966</v>
      </c>
      <c r="AC627" t="s">
        <v>6966</v>
      </c>
      <c r="AD627" t="s">
        <v>6966</v>
      </c>
      <c r="AE627" t="s">
        <v>6966</v>
      </c>
      <c r="AF627" t="s">
        <v>6966</v>
      </c>
      <c r="AG627" t="s">
        <v>6966</v>
      </c>
      <c r="AH627" t="s">
        <v>6966</v>
      </c>
      <c r="AI627" t="s">
        <v>6966</v>
      </c>
      <c r="AJ627" t="s">
        <v>6966</v>
      </c>
      <c r="AK627" t="s">
        <v>6966</v>
      </c>
      <c r="AL627" t="s">
        <v>6966</v>
      </c>
      <c r="AM627" t="s">
        <v>6966</v>
      </c>
      <c r="AN627" t="s">
        <v>6966</v>
      </c>
      <c r="AO627" t="s">
        <v>6966</v>
      </c>
      <c r="AP627" t="s">
        <v>6966</v>
      </c>
      <c r="AQ627" t="s">
        <v>6966</v>
      </c>
      <c r="AR627" t="s">
        <v>6966</v>
      </c>
      <c r="AS627" t="s">
        <v>6966</v>
      </c>
      <c r="AT627" t="s">
        <v>6966</v>
      </c>
      <c r="AU627" t="s">
        <v>6966</v>
      </c>
      <c r="AV627" t="s">
        <v>6966</v>
      </c>
      <c r="AW627" t="s">
        <v>6966</v>
      </c>
      <c r="AX627" t="s">
        <v>6966</v>
      </c>
      <c r="AY627" t="s">
        <v>6966</v>
      </c>
      <c r="AZ627">
        <v>9.8612000000000005E-2</v>
      </c>
      <c r="BA627">
        <v>2.99E-4</v>
      </c>
    </row>
    <row r="628" spans="1:53" x14ac:dyDescent="0.25">
      <c r="A628">
        <v>626</v>
      </c>
      <c r="B628" t="s">
        <v>7625</v>
      </c>
      <c r="C628">
        <v>504015</v>
      </c>
      <c r="D628" t="s">
        <v>510</v>
      </c>
      <c r="E628" t="s">
        <v>7766</v>
      </c>
      <c r="F628">
        <v>1002201.9375</v>
      </c>
      <c r="G628">
        <v>5539.8251950000003</v>
      </c>
      <c r="H628">
        <v>576</v>
      </c>
      <c r="I628">
        <v>772</v>
      </c>
      <c r="J628">
        <v>26299</v>
      </c>
      <c r="K628" t="s">
        <v>1972</v>
      </c>
      <c r="L628">
        <v>7</v>
      </c>
      <c r="M628">
        <v>7</v>
      </c>
      <c r="N628">
        <v>26299</v>
      </c>
      <c r="O628">
        <v>564</v>
      </c>
      <c r="P628" t="s">
        <v>3212</v>
      </c>
      <c r="Q628">
        <v>1.5</v>
      </c>
      <c r="R628">
        <v>0</v>
      </c>
      <c r="S628">
        <v>0.3</v>
      </c>
      <c r="T628">
        <v>0</v>
      </c>
      <c r="U628">
        <v>1002201.94075</v>
      </c>
      <c r="V628">
        <v>5539.825296</v>
      </c>
      <c r="W628">
        <v>627</v>
      </c>
      <c r="X628">
        <v>0</v>
      </c>
      <c r="Y628">
        <v>626</v>
      </c>
      <c r="Z628" t="s">
        <v>6966</v>
      </c>
      <c r="AA628" t="s">
        <v>6966</v>
      </c>
      <c r="AB628" t="s">
        <v>6966</v>
      </c>
      <c r="AC628" t="s">
        <v>6966</v>
      </c>
      <c r="AD628" t="s">
        <v>6966</v>
      </c>
      <c r="AE628" t="s">
        <v>6966</v>
      </c>
      <c r="AF628" t="s">
        <v>6966</v>
      </c>
      <c r="AG628" t="s">
        <v>6966</v>
      </c>
      <c r="AH628" t="s">
        <v>6966</v>
      </c>
      <c r="AI628" t="s">
        <v>6966</v>
      </c>
      <c r="AJ628" t="s">
        <v>6966</v>
      </c>
      <c r="AK628" t="s">
        <v>6966</v>
      </c>
      <c r="AL628" t="s">
        <v>6966</v>
      </c>
      <c r="AM628" t="s">
        <v>6966</v>
      </c>
      <c r="AN628" t="s">
        <v>6966</v>
      </c>
      <c r="AO628" t="s">
        <v>6966</v>
      </c>
      <c r="AP628" t="s">
        <v>6966</v>
      </c>
      <c r="AQ628" t="s">
        <v>6966</v>
      </c>
      <c r="AR628" t="s">
        <v>6966</v>
      </c>
      <c r="AS628" t="s">
        <v>6966</v>
      </c>
      <c r="AT628" t="s">
        <v>6966</v>
      </c>
      <c r="AU628" t="s">
        <v>6966</v>
      </c>
      <c r="AV628" t="s">
        <v>6966</v>
      </c>
      <c r="AW628" t="s">
        <v>6966</v>
      </c>
      <c r="AX628" t="s">
        <v>6966</v>
      </c>
      <c r="AY628" t="s">
        <v>6966</v>
      </c>
      <c r="AZ628">
        <v>5.5847000000000001E-2</v>
      </c>
      <c r="BA628">
        <v>9.7999999999999997E-5</v>
      </c>
    </row>
    <row r="629" spans="1:53" x14ac:dyDescent="0.25">
      <c r="A629">
        <v>627</v>
      </c>
      <c r="B629" t="s">
        <v>7625</v>
      </c>
      <c r="C629">
        <v>504094</v>
      </c>
      <c r="D629" t="s">
        <v>460</v>
      </c>
      <c r="E629" t="s">
        <v>7766</v>
      </c>
      <c r="F629">
        <v>767679.0625</v>
      </c>
      <c r="G629">
        <v>6752.8232420000004</v>
      </c>
      <c r="H629">
        <v>577</v>
      </c>
      <c r="I629">
        <v>773</v>
      </c>
      <c r="J629">
        <v>26220</v>
      </c>
      <c r="K629" t="s">
        <v>7790</v>
      </c>
      <c r="L629">
        <v>7</v>
      </c>
      <c r="M629">
        <v>7</v>
      </c>
      <c r="N629">
        <v>26220</v>
      </c>
      <c r="O629">
        <v>565</v>
      </c>
      <c r="P629" t="s">
        <v>3212</v>
      </c>
      <c r="Q629">
        <v>0.5</v>
      </c>
      <c r="R629">
        <v>2.85</v>
      </c>
      <c r="S629">
        <v>0.51</v>
      </c>
      <c r="T629">
        <v>3</v>
      </c>
      <c r="U629">
        <v>767679.12405999994</v>
      </c>
      <c r="V629">
        <v>6752.82366</v>
      </c>
      <c r="W629">
        <v>628</v>
      </c>
      <c r="X629">
        <v>0</v>
      </c>
      <c r="Y629">
        <v>627</v>
      </c>
      <c r="Z629" t="s">
        <v>6966</v>
      </c>
      <c r="AA629" t="s">
        <v>6966</v>
      </c>
      <c r="AB629" t="s">
        <v>6966</v>
      </c>
      <c r="AC629" t="s">
        <v>6966</v>
      </c>
      <c r="AD629" t="s">
        <v>6966</v>
      </c>
      <c r="AE629" t="s">
        <v>6966</v>
      </c>
      <c r="AF629" t="s">
        <v>6966</v>
      </c>
      <c r="AG629" t="s">
        <v>6966</v>
      </c>
      <c r="AH629" t="s">
        <v>6966</v>
      </c>
      <c r="AI629" t="s">
        <v>6966</v>
      </c>
      <c r="AJ629" t="s">
        <v>6966</v>
      </c>
      <c r="AK629" t="s">
        <v>6966</v>
      </c>
      <c r="AL629" t="s">
        <v>6966</v>
      </c>
      <c r="AM629" t="s">
        <v>6966</v>
      </c>
      <c r="AN629" t="s">
        <v>6966</v>
      </c>
      <c r="AO629" t="s">
        <v>6966</v>
      </c>
      <c r="AP629" t="s">
        <v>6966</v>
      </c>
      <c r="AQ629" t="s">
        <v>6966</v>
      </c>
      <c r="AR629" t="s">
        <v>6966</v>
      </c>
      <c r="AS629" t="s">
        <v>6966</v>
      </c>
      <c r="AT629" t="s">
        <v>6966</v>
      </c>
      <c r="AU629" t="s">
        <v>6966</v>
      </c>
      <c r="AV629" t="s">
        <v>6966</v>
      </c>
      <c r="AW629" t="s">
        <v>6966</v>
      </c>
      <c r="AX629" t="s">
        <v>6966</v>
      </c>
      <c r="AY629" t="s">
        <v>6966</v>
      </c>
      <c r="AZ629">
        <v>6.7955000000000002E-2</v>
      </c>
      <c r="BA629">
        <v>7.4999999999999993E-5</v>
      </c>
    </row>
    <row r="630" spans="1:53" x14ac:dyDescent="0.25">
      <c r="A630">
        <v>628</v>
      </c>
      <c r="B630" t="s">
        <v>7625</v>
      </c>
      <c r="C630">
        <v>504104</v>
      </c>
      <c r="D630" t="s">
        <v>87</v>
      </c>
      <c r="E630" t="s">
        <v>7766</v>
      </c>
      <c r="F630">
        <v>60460.1875</v>
      </c>
      <c r="G630">
        <v>1334.691284</v>
      </c>
      <c r="H630">
        <v>578</v>
      </c>
      <c r="I630">
        <v>774</v>
      </c>
      <c r="J630">
        <v>26002</v>
      </c>
      <c r="K630" t="s">
        <v>87</v>
      </c>
      <c r="L630">
        <v>7</v>
      </c>
      <c r="M630">
        <v>7</v>
      </c>
      <c r="N630">
        <v>26002</v>
      </c>
      <c r="O630">
        <v>566</v>
      </c>
      <c r="P630" t="s">
        <v>3212</v>
      </c>
      <c r="Q630">
        <v>0</v>
      </c>
      <c r="R630">
        <v>0</v>
      </c>
      <c r="S630">
        <v>0</v>
      </c>
      <c r="T630">
        <v>0</v>
      </c>
      <c r="U630">
        <v>60460.188957999999</v>
      </c>
      <c r="V630">
        <v>1334.6917089999999</v>
      </c>
      <c r="W630">
        <v>629</v>
      </c>
      <c r="X630">
        <v>0</v>
      </c>
      <c r="Y630">
        <v>628</v>
      </c>
      <c r="Z630" t="s">
        <v>6966</v>
      </c>
      <c r="AA630" t="s">
        <v>6966</v>
      </c>
      <c r="AB630" t="s">
        <v>6966</v>
      </c>
      <c r="AC630" t="s">
        <v>6966</v>
      </c>
      <c r="AD630" t="s">
        <v>6966</v>
      </c>
      <c r="AE630" t="s">
        <v>6966</v>
      </c>
      <c r="AF630" t="s">
        <v>6966</v>
      </c>
      <c r="AG630" t="s">
        <v>6966</v>
      </c>
      <c r="AH630" t="s">
        <v>6966</v>
      </c>
      <c r="AI630" t="s">
        <v>6966</v>
      </c>
      <c r="AJ630" t="s">
        <v>6966</v>
      </c>
      <c r="AK630" t="s">
        <v>6966</v>
      </c>
      <c r="AL630" t="s">
        <v>6966</v>
      </c>
      <c r="AM630" t="s">
        <v>6966</v>
      </c>
      <c r="AN630" t="s">
        <v>6966</v>
      </c>
      <c r="AO630" t="s">
        <v>6966</v>
      </c>
      <c r="AP630" t="s">
        <v>6966</v>
      </c>
      <c r="AQ630" t="s">
        <v>6966</v>
      </c>
      <c r="AR630" t="s">
        <v>6966</v>
      </c>
      <c r="AS630" t="s">
        <v>6966</v>
      </c>
      <c r="AT630" t="s">
        <v>6966</v>
      </c>
      <c r="AU630" t="s">
        <v>6966</v>
      </c>
      <c r="AV630" t="s">
        <v>6966</v>
      </c>
      <c r="AW630" t="s">
        <v>6966</v>
      </c>
      <c r="AX630" t="s">
        <v>6966</v>
      </c>
      <c r="AY630" t="s">
        <v>6966</v>
      </c>
      <c r="AZ630">
        <v>1.3771E-2</v>
      </c>
      <c r="BA630">
        <v>6.0000000000000002E-6</v>
      </c>
    </row>
    <row r="631" spans="1:53" x14ac:dyDescent="0.25">
      <c r="A631">
        <v>629</v>
      </c>
      <c r="B631" t="s">
        <v>7625</v>
      </c>
      <c r="C631">
        <v>201070</v>
      </c>
      <c r="D631" t="s">
        <v>7791</v>
      </c>
      <c r="E631" t="s">
        <v>1069</v>
      </c>
      <c r="F631">
        <v>0</v>
      </c>
      <c r="G631">
        <v>76631.679688000004</v>
      </c>
      <c r="H631">
        <v>579</v>
      </c>
      <c r="I631">
        <v>775</v>
      </c>
      <c r="J631">
        <v>53143</v>
      </c>
      <c r="K631" t="s">
        <v>7792</v>
      </c>
      <c r="L631">
        <v>17</v>
      </c>
      <c r="M631">
        <v>17</v>
      </c>
      <c r="N631">
        <v>53143</v>
      </c>
      <c r="O631">
        <v>567</v>
      </c>
      <c r="P631" t="s">
        <v>3214</v>
      </c>
      <c r="Q631">
        <v>0.2</v>
      </c>
      <c r="R631">
        <v>63.37</v>
      </c>
      <c r="S631">
        <v>0.04</v>
      </c>
      <c r="T631">
        <v>11</v>
      </c>
      <c r="U631">
        <v>0</v>
      </c>
      <c r="V631">
        <v>76631.683008000007</v>
      </c>
      <c r="W631">
        <v>630</v>
      </c>
      <c r="X631">
        <v>1</v>
      </c>
      <c r="Y631">
        <v>629</v>
      </c>
      <c r="Z631">
        <v>58900</v>
      </c>
      <c r="AA631" s="76">
        <v>45734</v>
      </c>
      <c r="AB631">
        <v>2025</v>
      </c>
      <c r="AC631" t="s">
        <v>7104</v>
      </c>
      <c r="AD631">
        <v>18</v>
      </c>
      <c r="AE631" t="s">
        <v>7133</v>
      </c>
      <c r="AF631" t="s">
        <v>3216</v>
      </c>
      <c r="AG631" t="s">
        <v>1069</v>
      </c>
      <c r="AH631" t="s">
        <v>7134</v>
      </c>
      <c r="AI631" t="s">
        <v>7135</v>
      </c>
      <c r="AJ631" t="s">
        <v>6966</v>
      </c>
      <c r="AK631">
        <v>34.042270000000002</v>
      </c>
      <c r="AL631">
        <v>36.25985</v>
      </c>
      <c r="AM631" t="s">
        <v>6995</v>
      </c>
      <c r="AN631" t="s">
        <v>6966</v>
      </c>
      <c r="AO631" t="s">
        <v>6996</v>
      </c>
      <c r="AP631" t="s">
        <v>7136</v>
      </c>
      <c r="AQ631" t="s">
        <v>6998</v>
      </c>
      <c r="AR631" t="s">
        <v>6999</v>
      </c>
      <c r="AS631" t="s">
        <v>7000</v>
      </c>
      <c r="AT631">
        <v>0</v>
      </c>
      <c r="AU631">
        <v>0</v>
      </c>
      <c r="AV631" t="s">
        <v>7137</v>
      </c>
      <c r="AW631" t="s">
        <v>7119</v>
      </c>
      <c r="AX631" t="s">
        <v>6966</v>
      </c>
      <c r="AY631" t="s">
        <v>7003</v>
      </c>
      <c r="AZ631">
        <v>0.78284399999999998</v>
      </c>
      <c r="BA631">
        <v>1.205E-2</v>
      </c>
    </row>
    <row r="632" spans="1:53" x14ac:dyDescent="0.25">
      <c r="A632">
        <v>630</v>
      </c>
      <c r="B632" t="s">
        <v>7625</v>
      </c>
      <c r="C632">
        <v>201016</v>
      </c>
      <c r="D632" t="s">
        <v>1143</v>
      </c>
      <c r="E632" t="s">
        <v>1069</v>
      </c>
      <c r="F632">
        <v>0</v>
      </c>
      <c r="G632">
        <v>35920.628905999998</v>
      </c>
      <c r="H632">
        <v>580</v>
      </c>
      <c r="I632">
        <v>776</v>
      </c>
      <c r="J632">
        <v>53459</v>
      </c>
      <c r="K632" t="s">
        <v>1143</v>
      </c>
      <c r="L632">
        <v>17</v>
      </c>
      <c r="M632">
        <v>17</v>
      </c>
      <c r="N632">
        <v>53459</v>
      </c>
      <c r="O632">
        <v>568</v>
      </c>
      <c r="P632" t="s">
        <v>3214</v>
      </c>
      <c r="Q632">
        <v>1.2</v>
      </c>
      <c r="R632">
        <v>121.8</v>
      </c>
      <c r="S632">
        <v>0.22</v>
      </c>
      <c r="T632">
        <v>24</v>
      </c>
      <c r="U632">
        <v>0</v>
      </c>
      <c r="V632">
        <v>35920.625463999997</v>
      </c>
      <c r="W632">
        <v>631</v>
      </c>
      <c r="X632">
        <v>3</v>
      </c>
      <c r="Y632">
        <v>630</v>
      </c>
      <c r="Z632">
        <v>58743</v>
      </c>
      <c r="AA632" s="76">
        <v>45731</v>
      </c>
      <c r="AB632">
        <v>2025</v>
      </c>
      <c r="AC632" t="s">
        <v>7104</v>
      </c>
      <c r="AD632">
        <v>15</v>
      </c>
      <c r="AE632" t="s">
        <v>7120</v>
      </c>
      <c r="AF632" t="s">
        <v>3216</v>
      </c>
      <c r="AG632" t="s">
        <v>1069</v>
      </c>
      <c r="AH632" t="s">
        <v>1143</v>
      </c>
      <c r="AI632" t="s">
        <v>7121</v>
      </c>
      <c r="AJ632" t="s">
        <v>6966</v>
      </c>
      <c r="AK632">
        <v>34.075740000000003</v>
      </c>
      <c r="AL632">
        <v>36.055280000000003</v>
      </c>
      <c r="AM632" t="s">
        <v>6995</v>
      </c>
      <c r="AN632" t="s">
        <v>6995</v>
      </c>
      <c r="AO632" t="s">
        <v>6996</v>
      </c>
      <c r="AP632" t="s">
        <v>7122</v>
      </c>
      <c r="AQ632" t="s">
        <v>6998</v>
      </c>
      <c r="AR632" t="s">
        <v>6999</v>
      </c>
      <c r="AS632" t="s">
        <v>7036</v>
      </c>
      <c r="AT632">
        <v>0</v>
      </c>
      <c r="AU632">
        <v>0</v>
      </c>
      <c r="AV632" t="s">
        <v>7372</v>
      </c>
      <c r="AW632" t="s">
        <v>7002</v>
      </c>
      <c r="AX632" t="s">
        <v>6966</v>
      </c>
      <c r="AY632" t="s">
        <v>7003</v>
      </c>
      <c r="AZ632">
        <v>0.36202299999999998</v>
      </c>
      <c r="BA632">
        <v>5.8479999999999999E-3</v>
      </c>
    </row>
    <row r="633" spans="1:53" x14ac:dyDescent="0.25">
      <c r="A633">
        <v>631</v>
      </c>
      <c r="B633" t="s">
        <v>7625</v>
      </c>
      <c r="C633">
        <v>504006</v>
      </c>
      <c r="D633" t="s">
        <v>459</v>
      </c>
      <c r="E633" t="s">
        <v>7766</v>
      </c>
      <c r="F633">
        <v>717116.0625</v>
      </c>
      <c r="G633">
        <v>4783.9697269999997</v>
      </c>
      <c r="H633">
        <v>581</v>
      </c>
      <c r="I633">
        <v>777</v>
      </c>
      <c r="J633">
        <v>26219</v>
      </c>
      <c r="K633" t="s">
        <v>1931</v>
      </c>
      <c r="L633">
        <v>7</v>
      </c>
      <c r="M633">
        <v>7</v>
      </c>
      <c r="N633">
        <v>26219</v>
      </c>
      <c r="O633">
        <v>569</v>
      </c>
      <c r="P633" t="s">
        <v>3212</v>
      </c>
      <c r="Q633">
        <v>0.1</v>
      </c>
      <c r="R633">
        <v>0</v>
      </c>
      <c r="S633">
        <v>0.04</v>
      </c>
      <c r="T633">
        <v>0</v>
      </c>
      <c r="U633">
        <v>717116.01195399999</v>
      </c>
      <c r="V633">
        <v>4783.9696739999999</v>
      </c>
      <c r="W633">
        <v>632</v>
      </c>
      <c r="X633">
        <v>0</v>
      </c>
      <c r="Y633">
        <v>631</v>
      </c>
      <c r="Z633" t="s">
        <v>6966</v>
      </c>
      <c r="AA633" t="s">
        <v>6966</v>
      </c>
      <c r="AB633" t="s">
        <v>6966</v>
      </c>
      <c r="AC633" t="s">
        <v>6966</v>
      </c>
      <c r="AD633" t="s">
        <v>6966</v>
      </c>
      <c r="AE633" t="s">
        <v>6966</v>
      </c>
      <c r="AF633" t="s">
        <v>6966</v>
      </c>
      <c r="AG633" t="s">
        <v>6966</v>
      </c>
      <c r="AH633" t="s">
        <v>6966</v>
      </c>
      <c r="AI633" t="s">
        <v>6966</v>
      </c>
      <c r="AJ633" t="s">
        <v>6966</v>
      </c>
      <c r="AK633" t="s">
        <v>6966</v>
      </c>
      <c r="AL633" t="s">
        <v>6966</v>
      </c>
      <c r="AM633" t="s">
        <v>6966</v>
      </c>
      <c r="AN633" t="s">
        <v>6966</v>
      </c>
      <c r="AO633" t="s">
        <v>6966</v>
      </c>
      <c r="AP633" t="s">
        <v>6966</v>
      </c>
      <c r="AQ633" t="s">
        <v>6966</v>
      </c>
      <c r="AR633" t="s">
        <v>6966</v>
      </c>
      <c r="AS633" t="s">
        <v>6966</v>
      </c>
      <c r="AT633" t="s">
        <v>6966</v>
      </c>
      <c r="AU633" t="s">
        <v>6966</v>
      </c>
      <c r="AV633" t="s">
        <v>6966</v>
      </c>
      <c r="AW633" t="s">
        <v>6966</v>
      </c>
      <c r="AX633" t="s">
        <v>6966</v>
      </c>
      <c r="AY633" t="s">
        <v>6966</v>
      </c>
      <c r="AZ633">
        <v>4.8931000000000002E-2</v>
      </c>
      <c r="BA633">
        <v>6.9999999999999994E-5</v>
      </c>
    </row>
    <row r="634" spans="1:53" x14ac:dyDescent="0.25">
      <c r="A634">
        <v>632</v>
      </c>
      <c r="B634" t="s">
        <v>7625</v>
      </c>
      <c r="C634">
        <v>504002</v>
      </c>
      <c r="D634" t="s">
        <v>7793</v>
      </c>
      <c r="E634" t="s">
        <v>7766</v>
      </c>
      <c r="F634">
        <v>986984.75</v>
      </c>
      <c r="G634">
        <v>6325.4682620000003</v>
      </c>
      <c r="H634">
        <v>582</v>
      </c>
      <c r="I634">
        <v>778</v>
      </c>
      <c r="J634">
        <v>26221</v>
      </c>
      <c r="K634" t="s">
        <v>7794</v>
      </c>
      <c r="L634">
        <v>7</v>
      </c>
      <c r="M634">
        <v>7</v>
      </c>
      <c r="N634">
        <v>26221</v>
      </c>
      <c r="O634">
        <v>570</v>
      </c>
      <c r="P634" t="s">
        <v>3212</v>
      </c>
      <c r="Q634">
        <v>2.2000000000000002</v>
      </c>
      <c r="R634">
        <v>3059.82</v>
      </c>
      <c r="S634">
        <v>0.46</v>
      </c>
      <c r="T634">
        <v>623</v>
      </c>
      <c r="U634">
        <v>986984.70926999999</v>
      </c>
      <c r="V634">
        <v>6325.4681030000002</v>
      </c>
      <c r="W634">
        <v>633</v>
      </c>
      <c r="X634">
        <v>0</v>
      </c>
      <c r="Y634">
        <v>632</v>
      </c>
      <c r="Z634" t="s">
        <v>6966</v>
      </c>
      <c r="AA634" t="s">
        <v>6966</v>
      </c>
      <c r="AB634" t="s">
        <v>6966</v>
      </c>
      <c r="AC634" t="s">
        <v>6966</v>
      </c>
      <c r="AD634" t="s">
        <v>6966</v>
      </c>
      <c r="AE634" t="s">
        <v>6966</v>
      </c>
      <c r="AF634" t="s">
        <v>6966</v>
      </c>
      <c r="AG634" t="s">
        <v>6966</v>
      </c>
      <c r="AH634" t="s">
        <v>6966</v>
      </c>
      <c r="AI634" t="s">
        <v>6966</v>
      </c>
      <c r="AJ634" t="s">
        <v>6966</v>
      </c>
      <c r="AK634" t="s">
        <v>6966</v>
      </c>
      <c r="AL634" t="s">
        <v>6966</v>
      </c>
      <c r="AM634" t="s">
        <v>6966</v>
      </c>
      <c r="AN634" t="s">
        <v>6966</v>
      </c>
      <c r="AO634" t="s">
        <v>6966</v>
      </c>
      <c r="AP634" t="s">
        <v>6966</v>
      </c>
      <c r="AQ634" t="s">
        <v>6966</v>
      </c>
      <c r="AR634" t="s">
        <v>6966</v>
      </c>
      <c r="AS634" t="s">
        <v>6966</v>
      </c>
      <c r="AT634" t="s">
        <v>6966</v>
      </c>
      <c r="AU634" t="s">
        <v>6966</v>
      </c>
      <c r="AV634" t="s">
        <v>6966</v>
      </c>
      <c r="AW634" t="s">
        <v>6966</v>
      </c>
      <c r="AX634" t="s">
        <v>6966</v>
      </c>
      <c r="AY634" t="s">
        <v>6966</v>
      </c>
      <c r="AZ634">
        <v>6.4766000000000004E-2</v>
      </c>
      <c r="BA634">
        <v>9.6000000000000002E-5</v>
      </c>
    </row>
    <row r="635" spans="1:53" x14ac:dyDescent="0.25">
      <c r="A635">
        <v>633</v>
      </c>
      <c r="B635" t="s">
        <v>7625</v>
      </c>
      <c r="C635">
        <v>504048</v>
      </c>
      <c r="D635" t="s">
        <v>515</v>
      </c>
      <c r="E635" t="s">
        <v>7766</v>
      </c>
      <c r="F635">
        <v>1145588.25</v>
      </c>
      <c r="G635">
        <v>5633.6245120000003</v>
      </c>
      <c r="H635">
        <v>583</v>
      </c>
      <c r="I635">
        <v>779</v>
      </c>
      <c r="J635">
        <v>26324</v>
      </c>
      <c r="K635" t="s">
        <v>7795</v>
      </c>
      <c r="L635">
        <v>7</v>
      </c>
      <c r="M635">
        <v>7</v>
      </c>
      <c r="N635">
        <v>26324</v>
      </c>
      <c r="O635">
        <v>571</v>
      </c>
      <c r="P635" t="s">
        <v>3212</v>
      </c>
      <c r="Q635">
        <v>0.7</v>
      </c>
      <c r="R635">
        <v>37.479999999999997</v>
      </c>
      <c r="S635">
        <v>0.43</v>
      </c>
      <c r="T635">
        <v>24</v>
      </c>
      <c r="U635">
        <v>1145588.1916</v>
      </c>
      <c r="V635">
        <v>5633.6243780000004</v>
      </c>
      <c r="W635">
        <v>634</v>
      </c>
      <c r="X635">
        <v>0</v>
      </c>
      <c r="Y635">
        <v>633</v>
      </c>
      <c r="Z635" t="s">
        <v>6966</v>
      </c>
      <c r="AA635" t="s">
        <v>6966</v>
      </c>
      <c r="AB635" t="s">
        <v>6966</v>
      </c>
      <c r="AC635" t="s">
        <v>6966</v>
      </c>
      <c r="AD635" t="s">
        <v>6966</v>
      </c>
      <c r="AE635" t="s">
        <v>6966</v>
      </c>
      <c r="AF635" t="s">
        <v>6966</v>
      </c>
      <c r="AG635" t="s">
        <v>6966</v>
      </c>
      <c r="AH635" t="s">
        <v>6966</v>
      </c>
      <c r="AI635" t="s">
        <v>6966</v>
      </c>
      <c r="AJ635" t="s">
        <v>6966</v>
      </c>
      <c r="AK635" t="s">
        <v>6966</v>
      </c>
      <c r="AL635" t="s">
        <v>6966</v>
      </c>
      <c r="AM635" t="s">
        <v>6966</v>
      </c>
      <c r="AN635" t="s">
        <v>6966</v>
      </c>
      <c r="AO635" t="s">
        <v>6966</v>
      </c>
      <c r="AP635" t="s">
        <v>6966</v>
      </c>
      <c r="AQ635" t="s">
        <v>6966</v>
      </c>
      <c r="AR635" t="s">
        <v>6966</v>
      </c>
      <c r="AS635" t="s">
        <v>6966</v>
      </c>
      <c r="AT635" t="s">
        <v>6966</v>
      </c>
      <c r="AU635" t="s">
        <v>6966</v>
      </c>
      <c r="AV635" t="s">
        <v>6966</v>
      </c>
      <c r="AW635" t="s">
        <v>6966</v>
      </c>
      <c r="AX635" t="s">
        <v>6966</v>
      </c>
      <c r="AY635" t="s">
        <v>6966</v>
      </c>
      <c r="AZ635">
        <v>5.8347999999999997E-2</v>
      </c>
      <c r="BA635">
        <v>1.12E-4</v>
      </c>
    </row>
    <row r="636" spans="1:53" x14ac:dyDescent="0.25">
      <c r="A636">
        <v>634</v>
      </c>
      <c r="B636" t="s">
        <v>7625</v>
      </c>
      <c r="C636">
        <v>504037</v>
      </c>
      <c r="D636" t="s">
        <v>462</v>
      </c>
      <c r="E636" t="s">
        <v>7766</v>
      </c>
      <c r="F636">
        <v>2960979</v>
      </c>
      <c r="G636">
        <v>8939.6582030000009</v>
      </c>
      <c r="H636">
        <v>584</v>
      </c>
      <c r="I636">
        <v>780</v>
      </c>
      <c r="J636">
        <v>26223</v>
      </c>
      <c r="K636" t="s">
        <v>462</v>
      </c>
      <c r="L636">
        <v>7</v>
      </c>
      <c r="M636">
        <v>7</v>
      </c>
      <c r="N636">
        <v>26223</v>
      </c>
      <c r="O636">
        <v>572</v>
      </c>
      <c r="P636" t="s">
        <v>3212</v>
      </c>
      <c r="Q636">
        <v>0</v>
      </c>
      <c r="R636">
        <v>1.67</v>
      </c>
      <c r="S636">
        <v>0.01</v>
      </c>
      <c r="T636">
        <v>1</v>
      </c>
      <c r="U636">
        <v>2960978.7821399998</v>
      </c>
      <c r="V636">
        <v>8939.6583929999997</v>
      </c>
      <c r="W636">
        <v>635</v>
      </c>
      <c r="X636">
        <v>0</v>
      </c>
      <c r="Y636">
        <v>634</v>
      </c>
      <c r="Z636" t="s">
        <v>6966</v>
      </c>
      <c r="AA636" t="s">
        <v>6966</v>
      </c>
      <c r="AB636" t="s">
        <v>6966</v>
      </c>
      <c r="AC636" t="s">
        <v>6966</v>
      </c>
      <c r="AD636" t="s">
        <v>6966</v>
      </c>
      <c r="AE636" t="s">
        <v>6966</v>
      </c>
      <c r="AF636" t="s">
        <v>6966</v>
      </c>
      <c r="AG636" t="s">
        <v>6966</v>
      </c>
      <c r="AH636" t="s">
        <v>6966</v>
      </c>
      <c r="AI636" t="s">
        <v>6966</v>
      </c>
      <c r="AJ636" t="s">
        <v>6966</v>
      </c>
      <c r="AK636" t="s">
        <v>6966</v>
      </c>
      <c r="AL636" t="s">
        <v>6966</v>
      </c>
      <c r="AM636" t="s">
        <v>6966</v>
      </c>
      <c r="AN636" t="s">
        <v>6966</v>
      </c>
      <c r="AO636" t="s">
        <v>6966</v>
      </c>
      <c r="AP636" t="s">
        <v>6966</v>
      </c>
      <c r="AQ636" t="s">
        <v>6966</v>
      </c>
      <c r="AR636" t="s">
        <v>6966</v>
      </c>
      <c r="AS636" t="s">
        <v>6966</v>
      </c>
      <c r="AT636" t="s">
        <v>6966</v>
      </c>
      <c r="AU636" t="s">
        <v>6966</v>
      </c>
      <c r="AV636" t="s">
        <v>6966</v>
      </c>
      <c r="AW636" t="s">
        <v>6966</v>
      </c>
      <c r="AX636" t="s">
        <v>6966</v>
      </c>
      <c r="AY636" t="s">
        <v>6966</v>
      </c>
      <c r="AZ636">
        <v>9.0505000000000002E-2</v>
      </c>
      <c r="BA636">
        <v>2.8899999999999998E-4</v>
      </c>
    </row>
    <row r="637" spans="1:53" x14ac:dyDescent="0.25">
      <c r="A637">
        <v>635</v>
      </c>
      <c r="B637" t="s">
        <v>7625</v>
      </c>
      <c r="C637">
        <v>504034</v>
      </c>
      <c r="D637" t="s">
        <v>488</v>
      </c>
      <c r="E637" t="s">
        <v>7766</v>
      </c>
      <c r="F637">
        <v>2936425.5</v>
      </c>
      <c r="G637">
        <v>11380.547852</v>
      </c>
      <c r="H637">
        <v>585</v>
      </c>
      <c r="I637">
        <v>782</v>
      </c>
      <c r="J637">
        <v>26266</v>
      </c>
      <c r="K637" t="s">
        <v>7796</v>
      </c>
      <c r="L637">
        <v>7</v>
      </c>
      <c r="M637">
        <v>7</v>
      </c>
      <c r="N637">
        <v>26266</v>
      </c>
      <c r="O637">
        <v>573</v>
      </c>
      <c r="P637" t="s">
        <v>3212</v>
      </c>
      <c r="Q637">
        <v>1.9</v>
      </c>
      <c r="R637">
        <v>13.85</v>
      </c>
      <c r="S637">
        <v>0.42</v>
      </c>
      <c r="T637">
        <v>3</v>
      </c>
      <c r="U637">
        <v>2936425.6521100001</v>
      </c>
      <c r="V637">
        <v>11380.547368</v>
      </c>
      <c r="W637">
        <v>636</v>
      </c>
      <c r="X637">
        <v>0</v>
      </c>
      <c r="Y637">
        <v>635</v>
      </c>
      <c r="Z637" t="s">
        <v>6966</v>
      </c>
      <c r="AA637" t="s">
        <v>6966</v>
      </c>
      <c r="AB637" t="s">
        <v>6966</v>
      </c>
      <c r="AC637" t="s">
        <v>6966</v>
      </c>
      <c r="AD637" t="s">
        <v>6966</v>
      </c>
      <c r="AE637" t="s">
        <v>6966</v>
      </c>
      <c r="AF637" t="s">
        <v>6966</v>
      </c>
      <c r="AG637" t="s">
        <v>6966</v>
      </c>
      <c r="AH637" t="s">
        <v>6966</v>
      </c>
      <c r="AI637" t="s">
        <v>6966</v>
      </c>
      <c r="AJ637" t="s">
        <v>6966</v>
      </c>
      <c r="AK637" t="s">
        <v>6966</v>
      </c>
      <c r="AL637" t="s">
        <v>6966</v>
      </c>
      <c r="AM637" t="s">
        <v>6966</v>
      </c>
      <c r="AN637" t="s">
        <v>6966</v>
      </c>
      <c r="AO637" t="s">
        <v>6966</v>
      </c>
      <c r="AP637" t="s">
        <v>6966</v>
      </c>
      <c r="AQ637" t="s">
        <v>6966</v>
      </c>
      <c r="AR637" t="s">
        <v>6966</v>
      </c>
      <c r="AS637" t="s">
        <v>6966</v>
      </c>
      <c r="AT637" t="s">
        <v>6966</v>
      </c>
      <c r="AU637" t="s">
        <v>6966</v>
      </c>
      <c r="AV637" t="s">
        <v>6966</v>
      </c>
      <c r="AW637" t="s">
        <v>6966</v>
      </c>
      <c r="AX637" t="s">
        <v>6966</v>
      </c>
      <c r="AY637" t="s">
        <v>6966</v>
      </c>
      <c r="AZ637">
        <v>0.118687</v>
      </c>
      <c r="BA637">
        <v>2.8699999999999998E-4</v>
      </c>
    </row>
    <row r="638" spans="1:53" x14ac:dyDescent="0.25">
      <c r="A638">
        <v>636</v>
      </c>
      <c r="B638" t="s">
        <v>7625</v>
      </c>
      <c r="C638">
        <v>504004</v>
      </c>
      <c r="D638" t="s">
        <v>465</v>
      </c>
      <c r="E638" t="s">
        <v>7766</v>
      </c>
      <c r="F638">
        <v>1967392.625</v>
      </c>
      <c r="G638">
        <v>6519.1440430000002</v>
      </c>
      <c r="H638">
        <v>586</v>
      </c>
      <c r="I638">
        <v>783</v>
      </c>
      <c r="J638">
        <v>26227</v>
      </c>
      <c r="K638" t="s">
        <v>7797</v>
      </c>
      <c r="L638">
        <v>7</v>
      </c>
      <c r="M638">
        <v>7</v>
      </c>
      <c r="N638">
        <v>26227</v>
      </c>
      <c r="O638">
        <v>574</v>
      </c>
      <c r="P638" t="s">
        <v>3212</v>
      </c>
      <c r="Q638">
        <v>0.8</v>
      </c>
      <c r="R638">
        <v>165.07</v>
      </c>
      <c r="S638">
        <v>0.19</v>
      </c>
      <c r="T638">
        <v>39</v>
      </c>
      <c r="U638">
        <v>1967392.56449</v>
      </c>
      <c r="V638">
        <v>6519.1434509999999</v>
      </c>
      <c r="W638">
        <v>637</v>
      </c>
      <c r="X638">
        <v>0</v>
      </c>
      <c r="Y638">
        <v>636</v>
      </c>
      <c r="Z638" t="s">
        <v>6966</v>
      </c>
      <c r="AA638" t="s">
        <v>6966</v>
      </c>
      <c r="AB638" t="s">
        <v>6966</v>
      </c>
      <c r="AC638" t="s">
        <v>6966</v>
      </c>
      <c r="AD638" t="s">
        <v>6966</v>
      </c>
      <c r="AE638" t="s">
        <v>6966</v>
      </c>
      <c r="AF638" t="s">
        <v>6966</v>
      </c>
      <c r="AG638" t="s">
        <v>6966</v>
      </c>
      <c r="AH638" t="s">
        <v>6966</v>
      </c>
      <c r="AI638" t="s">
        <v>6966</v>
      </c>
      <c r="AJ638" t="s">
        <v>6966</v>
      </c>
      <c r="AK638" t="s">
        <v>6966</v>
      </c>
      <c r="AL638" t="s">
        <v>6966</v>
      </c>
      <c r="AM638" t="s">
        <v>6966</v>
      </c>
      <c r="AN638" t="s">
        <v>6966</v>
      </c>
      <c r="AO638" t="s">
        <v>6966</v>
      </c>
      <c r="AP638" t="s">
        <v>6966</v>
      </c>
      <c r="AQ638" t="s">
        <v>6966</v>
      </c>
      <c r="AR638" t="s">
        <v>6966</v>
      </c>
      <c r="AS638" t="s">
        <v>6966</v>
      </c>
      <c r="AT638" t="s">
        <v>6966</v>
      </c>
      <c r="AU638" t="s">
        <v>6966</v>
      </c>
      <c r="AV638" t="s">
        <v>6966</v>
      </c>
      <c r="AW638" t="s">
        <v>6966</v>
      </c>
      <c r="AX638" t="s">
        <v>6966</v>
      </c>
      <c r="AY638" t="s">
        <v>6966</v>
      </c>
      <c r="AZ638">
        <v>6.5994999999999998E-2</v>
      </c>
      <c r="BA638">
        <v>1.92E-4</v>
      </c>
    </row>
    <row r="639" spans="1:53" x14ac:dyDescent="0.25">
      <c r="A639">
        <v>637</v>
      </c>
      <c r="B639" t="s">
        <v>7625</v>
      </c>
      <c r="C639">
        <v>504012</v>
      </c>
      <c r="D639" t="s">
        <v>536</v>
      </c>
      <c r="E639" t="s">
        <v>7766</v>
      </c>
      <c r="F639">
        <v>766727.875</v>
      </c>
      <c r="G639">
        <v>5573.6630859999996</v>
      </c>
      <c r="H639">
        <v>587</v>
      </c>
      <c r="I639">
        <v>784</v>
      </c>
      <c r="J639">
        <v>26392</v>
      </c>
      <c r="K639" t="s">
        <v>1835</v>
      </c>
      <c r="L639">
        <v>7</v>
      </c>
      <c r="M639">
        <v>7</v>
      </c>
      <c r="N639">
        <v>26392</v>
      </c>
      <c r="O639">
        <v>575</v>
      </c>
      <c r="P639" t="s">
        <v>3212</v>
      </c>
      <c r="Q639">
        <v>0.8</v>
      </c>
      <c r="R639">
        <v>82.93</v>
      </c>
      <c r="S639">
        <v>0.17</v>
      </c>
      <c r="T639">
        <v>18</v>
      </c>
      <c r="U639">
        <v>766727.91457999998</v>
      </c>
      <c r="V639">
        <v>5573.6624080000001</v>
      </c>
      <c r="W639">
        <v>638</v>
      </c>
      <c r="X639">
        <v>0</v>
      </c>
      <c r="Y639">
        <v>637</v>
      </c>
      <c r="Z639" t="s">
        <v>6966</v>
      </c>
      <c r="AA639" t="s">
        <v>6966</v>
      </c>
      <c r="AB639" t="s">
        <v>6966</v>
      </c>
      <c r="AC639" t="s">
        <v>6966</v>
      </c>
      <c r="AD639" t="s">
        <v>6966</v>
      </c>
      <c r="AE639" t="s">
        <v>6966</v>
      </c>
      <c r="AF639" t="s">
        <v>6966</v>
      </c>
      <c r="AG639" t="s">
        <v>6966</v>
      </c>
      <c r="AH639" t="s">
        <v>6966</v>
      </c>
      <c r="AI639" t="s">
        <v>6966</v>
      </c>
      <c r="AJ639" t="s">
        <v>6966</v>
      </c>
      <c r="AK639" t="s">
        <v>6966</v>
      </c>
      <c r="AL639" t="s">
        <v>6966</v>
      </c>
      <c r="AM639" t="s">
        <v>6966</v>
      </c>
      <c r="AN639" t="s">
        <v>6966</v>
      </c>
      <c r="AO639" t="s">
        <v>6966</v>
      </c>
      <c r="AP639" t="s">
        <v>6966</v>
      </c>
      <c r="AQ639" t="s">
        <v>6966</v>
      </c>
      <c r="AR639" t="s">
        <v>6966</v>
      </c>
      <c r="AS639" t="s">
        <v>6966</v>
      </c>
      <c r="AT639" t="s">
        <v>6966</v>
      </c>
      <c r="AU639" t="s">
        <v>6966</v>
      </c>
      <c r="AV639" t="s">
        <v>6966</v>
      </c>
      <c r="AW639" t="s">
        <v>6966</v>
      </c>
      <c r="AX639" t="s">
        <v>6966</v>
      </c>
      <c r="AY639" t="s">
        <v>6966</v>
      </c>
      <c r="AZ639">
        <v>5.4975000000000003E-2</v>
      </c>
      <c r="BA639">
        <v>7.4999999999999993E-5</v>
      </c>
    </row>
    <row r="640" spans="1:53" x14ac:dyDescent="0.25">
      <c r="A640">
        <v>638</v>
      </c>
      <c r="B640" t="s">
        <v>7625</v>
      </c>
      <c r="C640">
        <v>504013</v>
      </c>
      <c r="D640" t="s">
        <v>472</v>
      </c>
      <c r="E640" t="s">
        <v>7766</v>
      </c>
      <c r="F640">
        <v>2061384.375</v>
      </c>
      <c r="G640">
        <v>10088.690430000001</v>
      </c>
      <c r="H640">
        <v>588</v>
      </c>
      <c r="I640">
        <v>785</v>
      </c>
      <c r="J640">
        <v>26239</v>
      </c>
      <c r="K640" t="s">
        <v>1941</v>
      </c>
      <c r="L640">
        <v>7</v>
      </c>
      <c r="M640">
        <v>7</v>
      </c>
      <c r="N640">
        <v>26239</v>
      </c>
      <c r="O640">
        <v>576</v>
      </c>
      <c r="P640" t="s">
        <v>3212</v>
      </c>
      <c r="Q640">
        <v>2.6</v>
      </c>
      <c r="R640">
        <v>59.33</v>
      </c>
      <c r="S640">
        <v>0.56000000000000005</v>
      </c>
      <c r="T640">
        <v>13</v>
      </c>
      <c r="U640">
        <v>2061384.3016900001</v>
      </c>
      <c r="V640">
        <v>10088.689668000001</v>
      </c>
      <c r="W640">
        <v>639</v>
      </c>
      <c r="X640">
        <v>0</v>
      </c>
      <c r="Y640">
        <v>638</v>
      </c>
      <c r="Z640" t="s">
        <v>6966</v>
      </c>
      <c r="AA640" t="s">
        <v>6966</v>
      </c>
      <c r="AB640" t="s">
        <v>6966</v>
      </c>
      <c r="AC640" t="s">
        <v>6966</v>
      </c>
      <c r="AD640" t="s">
        <v>6966</v>
      </c>
      <c r="AE640" t="s">
        <v>6966</v>
      </c>
      <c r="AF640" t="s">
        <v>6966</v>
      </c>
      <c r="AG640" t="s">
        <v>6966</v>
      </c>
      <c r="AH640" t="s">
        <v>6966</v>
      </c>
      <c r="AI640" t="s">
        <v>6966</v>
      </c>
      <c r="AJ640" t="s">
        <v>6966</v>
      </c>
      <c r="AK640" t="s">
        <v>6966</v>
      </c>
      <c r="AL640" t="s">
        <v>6966</v>
      </c>
      <c r="AM640" t="s">
        <v>6966</v>
      </c>
      <c r="AN640" t="s">
        <v>6966</v>
      </c>
      <c r="AO640" t="s">
        <v>6966</v>
      </c>
      <c r="AP640" t="s">
        <v>6966</v>
      </c>
      <c r="AQ640" t="s">
        <v>6966</v>
      </c>
      <c r="AR640" t="s">
        <v>6966</v>
      </c>
      <c r="AS640" t="s">
        <v>6966</v>
      </c>
      <c r="AT640" t="s">
        <v>6966</v>
      </c>
      <c r="AU640" t="s">
        <v>6966</v>
      </c>
      <c r="AV640" t="s">
        <v>6966</v>
      </c>
      <c r="AW640" t="s">
        <v>6966</v>
      </c>
      <c r="AX640" t="s">
        <v>6966</v>
      </c>
      <c r="AY640" t="s">
        <v>6966</v>
      </c>
      <c r="AZ640">
        <v>0.104807</v>
      </c>
      <c r="BA640">
        <v>2.0100000000000001E-4</v>
      </c>
    </row>
    <row r="641" spans="1:53" x14ac:dyDescent="0.25">
      <c r="A641">
        <v>639</v>
      </c>
      <c r="B641" t="s">
        <v>7625</v>
      </c>
      <c r="C641">
        <v>201063</v>
      </c>
      <c r="D641" t="s">
        <v>1142</v>
      </c>
      <c r="E641" t="s">
        <v>1069</v>
      </c>
      <c r="F641">
        <v>0</v>
      </c>
      <c r="G641">
        <v>18364.447265999999</v>
      </c>
      <c r="H641">
        <v>589</v>
      </c>
      <c r="I641">
        <v>786</v>
      </c>
      <c r="J641">
        <v>53457</v>
      </c>
      <c r="K641" t="s">
        <v>2473</v>
      </c>
      <c r="L641">
        <v>17</v>
      </c>
      <c r="M641">
        <v>17</v>
      </c>
      <c r="N641">
        <v>53457</v>
      </c>
      <c r="O641">
        <v>577</v>
      </c>
      <c r="P641" t="s">
        <v>3214</v>
      </c>
      <c r="Q641">
        <v>0</v>
      </c>
      <c r="R641">
        <v>0</v>
      </c>
      <c r="S641">
        <v>0.01</v>
      </c>
      <c r="T641">
        <v>0</v>
      </c>
      <c r="U641">
        <v>0</v>
      </c>
      <c r="V641">
        <v>18364.446483</v>
      </c>
      <c r="W641">
        <v>640</v>
      </c>
      <c r="X641">
        <v>0</v>
      </c>
      <c r="Y641">
        <v>639</v>
      </c>
      <c r="Z641" t="s">
        <v>6966</v>
      </c>
      <c r="AA641" t="s">
        <v>6966</v>
      </c>
      <c r="AB641" t="s">
        <v>6966</v>
      </c>
      <c r="AC641" t="s">
        <v>6966</v>
      </c>
      <c r="AD641" t="s">
        <v>6966</v>
      </c>
      <c r="AE641" t="s">
        <v>6966</v>
      </c>
      <c r="AF641" t="s">
        <v>6966</v>
      </c>
      <c r="AG641" t="s">
        <v>6966</v>
      </c>
      <c r="AH641" t="s">
        <v>6966</v>
      </c>
      <c r="AI641" t="s">
        <v>6966</v>
      </c>
      <c r="AJ641" t="s">
        <v>6966</v>
      </c>
      <c r="AK641" t="s">
        <v>6966</v>
      </c>
      <c r="AL641" t="s">
        <v>6966</v>
      </c>
      <c r="AM641" t="s">
        <v>6966</v>
      </c>
      <c r="AN641" t="s">
        <v>6966</v>
      </c>
      <c r="AO641" t="s">
        <v>6966</v>
      </c>
      <c r="AP641" t="s">
        <v>6966</v>
      </c>
      <c r="AQ641" t="s">
        <v>6966</v>
      </c>
      <c r="AR641" t="s">
        <v>6966</v>
      </c>
      <c r="AS641" t="s">
        <v>6966</v>
      </c>
      <c r="AT641" t="s">
        <v>6966</v>
      </c>
      <c r="AU641" t="s">
        <v>6966</v>
      </c>
      <c r="AV641" t="s">
        <v>6966</v>
      </c>
      <c r="AW641" t="s">
        <v>6966</v>
      </c>
      <c r="AX641" t="s">
        <v>6966</v>
      </c>
      <c r="AY641" t="s">
        <v>6966</v>
      </c>
      <c r="AZ641">
        <v>0.17651</v>
      </c>
      <c r="BA641">
        <v>1.2669999999999999E-3</v>
      </c>
    </row>
    <row r="642" spans="1:53" x14ac:dyDescent="0.25">
      <c r="A642">
        <v>640</v>
      </c>
      <c r="B642" t="s">
        <v>7625</v>
      </c>
      <c r="C642">
        <v>504093</v>
      </c>
      <c r="D642" t="s">
        <v>518</v>
      </c>
      <c r="E642" t="s">
        <v>7766</v>
      </c>
      <c r="F642">
        <v>1108592.875</v>
      </c>
      <c r="G642">
        <v>5657.4282229999999</v>
      </c>
      <c r="H642">
        <v>590</v>
      </c>
      <c r="I642">
        <v>787</v>
      </c>
      <c r="J642">
        <v>26334</v>
      </c>
      <c r="K642" t="s">
        <v>1978</v>
      </c>
      <c r="L642">
        <v>7</v>
      </c>
      <c r="M642">
        <v>7</v>
      </c>
      <c r="N642">
        <v>26334</v>
      </c>
      <c r="O642">
        <v>578</v>
      </c>
      <c r="P642" t="s">
        <v>3212</v>
      </c>
      <c r="Q642">
        <v>0</v>
      </c>
      <c r="R642">
        <v>0</v>
      </c>
      <c r="S642">
        <v>0.21</v>
      </c>
      <c r="T642">
        <v>11</v>
      </c>
      <c r="U642">
        <v>1108593.00976</v>
      </c>
      <c r="V642">
        <v>5657.4281680000004</v>
      </c>
      <c r="W642">
        <v>641</v>
      </c>
      <c r="X642">
        <v>0</v>
      </c>
      <c r="Y642">
        <v>640</v>
      </c>
      <c r="Z642" t="s">
        <v>6966</v>
      </c>
      <c r="AA642" t="s">
        <v>6966</v>
      </c>
      <c r="AB642" t="s">
        <v>6966</v>
      </c>
      <c r="AC642" t="s">
        <v>6966</v>
      </c>
      <c r="AD642" t="s">
        <v>6966</v>
      </c>
      <c r="AE642" t="s">
        <v>6966</v>
      </c>
      <c r="AF642" t="s">
        <v>6966</v>
      </c>
      <c r="AG642" t="s">
        <v>6966</v>
      </c>
      <c r="AH642" t="s">
        <v>6966</v>
      </c>
      <c r="AI642" t="s">
        <v>6966</v>
      </c>
      <c r="AJ642" t="s">
        <v>6966</v>
      </c>
      <c r="AK642" t="s">
        <v>6966</v>
      </c>
      <c r="AL642" t="s">
        <v>6966</v>
      </c>
      <c r="AM642" t="s">
        <v>6966</v>
      </c>
      <c r="AN642" t="s">
        <v>6966</v>
      </c>
      <c r="AO642" t="s">
        <v>6966</v>
      </c>
      <c r="AP642" t="s">
        <v>6966</v>
      </c>
      <c r="AQ642" t="s">
        <v>6966</v>
      </c>
      <c r="AR642" t="s">
        <v>6966</v>
      </c>
      <c r="AS642" t="s">
        <v>6966</v>
      </c>
      <c r="AT642" t="s">
        <v>6966</v>
      </c>
      <c r="AU642" t="s">
        <v>6966</v>
      </c>
      <c r="AV642" t="s">
        <v>6966</v>
      </c>
      <c r="AW642" t="s">
        <v>6966</v>
      </c>
      <c r="AX642" t="s">
        <v>6966</v>
      </c>
      <c r="AY642" t="s">
        <v>6966</v>
      </c>
      <c r="AZ642">
        <v>5.7548000000000002E-2</v>
      </c>
      <c r="BA642">
        <v>1.08E-4</v>
      </c>
    </row>
    <row r="643" spans="1:53" x14ac:dyDescent="0.25">
      <c r="A643">
        <v>641</v>
      </c>
      <c r="B643" t="s">
        <v>7625</v>
      </c>
      <c r="C643">
        <v>504077</v>
      </c>
      <c r="D643" t="s">
        <v>7798</v>
      </c>
      <c r="E643" t="s">
        <v>7766</v>
      </c>
      <c r="F643">
        <v>2076188.25</v>
      </c>
      <c r="G643">
        <v>7614.7875979999999</v>
      </c>
      <c r="H643">
        <v>591</v>
      </c>
      <c r="I643">
        <v>788</v>
      </c>
      <c r="J643">
        <v>26231</v>
      </c>
      <c r="K643" t="s">
        <v>1938</v>
      </c>
      <c r="L643">
        <v>7</v>
      </c>
      <c r="M643">
        <v>7</v>
      </c>
      <c r="N643">
        <v>26231</v>
      </c>
      <c r="O643">
        <v>579</v>
      </c>
      <c r="P643" t="s">
        <v>3212</v>
      </c>
      <c r="Q643">
        <v>3.2</v>
      </c>
      <c r="R643">
        <v>37.26</v>
      </c>
      <c r="S643">
        <v>0.7</v>
      </c>
      <c r="T643">
        <v>8</v>
      </c>
      <c r="U643">
        <v>2076188.2379300001</v>
      </c>
      <c r="V643">
        <v>7614.7865039999997</v>
      </c>
      <c r="W643">
        <v>642</v>
      </c>
      <c r="X643">
        <v>0</v>
      </c>
      <c r="Y643">
        <v>641</v>
      </c>
      <c r="Z643" t="s">
        <v>6966</v>
      </c>
      <c r="AA643" t="s">
        <v>6966</v>
      </c>
      <c r="AB643" t="s">
        <v>6966</v>
      </c>
      <c r="AC643" t="s">
        <v>6966</v>
      </c>
      <c r="AD643" t="s">
        <v>6966</v>
      </c>
      <c r="AE643" t="s">
        <v>6966</v>
      </c>
      <c r="AF643" t="s">
        <v>6966</v>
      </c>
      <c r="AG643" t="s">
        <v>6966</v>
      </c>
      <c r="AH643" t="s">
        <v>6966</v>
      </c>
      <c r="AI643" t="s">
        <v>6966</v>
      </c>
      <c r="AJ643" t="s">
        <v>6966</v>
      </c>
      <c r="AK643" t="s">
        <v>6966</v>
      </c>
      <c r="AL643" t="s">
        <v>6966</v>
      </c>
      <c r="AM643" t="s">
        <v>6966</v>
      </c>
      <c r="AN643" t="s">
        <v>6966</v>
      </c>
      <c r="AO643" t="s">
        <v>6966</v>
      </c>
      <c r="AP643" t="s">
        <v>6966</v>
      </c>
      <c r="AQ643" t="s">
        <v>6966</v>
      </c>
      <c r="AR643" t="s">
        <v>6966</v>
      </c>
      <c r="AS643" t="s">
        <v>6966</v>
      </c>
      <c r="AT643" t="s">
        <v>6966</v>
      </c>
      <c r="AU643" t="s">
        <v>6966</v>
      </c>
      <c r="AV643" t="s">
        <v>6966</v>
      </c>
      <c r="AW643" t="s">
        <v>6966</v>
      </c>
      <c r="AX643" t="s">
        <v>6966</v>
      </c>
      <c r="AY643" t="s">
        <v>6966</v>
      </c>
      <c r="AZ643">
        <v>7.8659000000000007E-2</v>
      </c>
      <c r="BA643">
        <v>2.03E-4</v>
      </c>
    </row>
    <row r="644" spans="1:53" x14ac:dyDescent="0.25">
      <c r="A644">
        <v>642</v>
      </c>
      <c r="B644" t="s">
        <v>7625</v>
      </c>
      <c r="C644">
        <v>504003</v>
      </c>
      <c r="D644" t="s">
        <v>7799</v>
      </c>
      <c r="E644" t="s">
        <v>7766</v>
      </c>
      <c r="F644">
        <v>637120.1875</v>
      </c>
      <c r="G644">
        <v>3470.1713869999999</v>
      </c>
      <c r="H644">
        <v>592</v>
      </c>
      <c r="I644">
        <v>789</v>
      </c>
      <c r="J644">
        <v>26317</v>
      </c>
      <c r="K644" t="s">
        <v>7800</v>
      </c>
      <c r="L644">
        <v>7</v>
      </c>
      <c r="M644">
        <v>7</v>
      </c>
      <c r="N644">
        <v>26317</v>
      </c>
      <c r="O644">
        <v>580</v>
      </c>
      <c r="P644" t="s">
        <v>3212</v>
      </c>
      <c r="Q644">
        <v>0.1</v>
      </c>
      <c r="R644">
        <v>1.26</v>
      </c>
      <c r="S644">
        <v>0.69</v>
      </c>
      <c r="T644">
        <v>6</v>
      </c>
      <c r="U644">
        <v>637120.13876799995</v>
      </c>
      <c r="V644">
        <v>3470.1711660000001</v>
      </c>
      <c r="W644">
        <v>643</v>
      </c>
      <c r="X644">
        <v>0</v>
      </c>
      <c r="Y644">
        <v>642</v>
      </c>
      <c r="Z644" t="s">
        <v>6966</v>
      </c>
      <c r="AA644" t="s">
        <v>6966</v>
      </c>
      <c r="AB644" t="s">
        <v>6966</v>
      </c>
      <c r="AC644" t="s">
        <v>6966</v>
      </c>
      <c r="AD644" t="s">
        <v>6966</v>
      </c>
      <c r="AE644" t="s">
        <v>6966</v>
      </c>
      <c r="AF644" t="s">
        <v>6966</v>
      </c>
      <c r="AG644" t="s">
        <v>6966</v>
      </c>
      <c r="AH644" t="s">
        <v>6966</v>
      </c>
      <c r="AI644" t="s">
        <v>6966</v>
      </c>
      <c r="AJ644" t="s">
        <v>6966</v>
      </c>
      <c r="AK644" t="s">
        <v>6966</v>
      </c>
      <c r="AL644" t="s">
        <v>6966</v>
      </c>
      <c r="AM644" t="s">
        <v>6966</v>
      </c>
      <c r="AN644" t="s">
        <v>6966</v>
      </c>
      <c r="AO644" t="s">
        <v>6966</v>
      </c>
      <c r="AP644" t="s">
        <v>6966</v>
      </c>
      <c r="AQ644" t="s">
        <v>6966</v>
      </c>
      <c r="AR644" t="s">
        <v>6966</v>
      </c>
      <c r="AS644" t="s">
        <v>6966</v>
      </c>
      <c r="AT644" t="s">
        <v>6966</v>
      </c>
      <c r="AU644" t="s">
        <v>6966</v>
      </c>
      <c r="AV644" t="s">
        <v>6966</v>
      </c>
      <c r="AW644" t="s">
        <v>6966</v>
      </c>
      <c r="AX644" t="s">
        <v>6966</v>
      </c>
      <c r="AY644" t="s">
        <v>6966</v>
      </c>
      <c r="AZ644">
        <v>3.4194000000000002E-2</v>
      </c>
      <c r="BA644">
        <v>6.2000000000000003E-5</v>
      </c>
    </row>
    <row r="645" spans="1:53" x14ac:dyDescent="0.25">
      <c r="A645">
        <v>643</v>
      </c>
      <c r="B645" t="s">
        <v>7625</v>
      </c>
      <c r="C645">
        <v>504085</v>
      </c>
      <c r="D645" t="s">
        <v>523</v>
      </c>
      <c r="E645" t="s">
        <v>7766</v>
      </c>
      <c r="F645">
        <v>3271071.25</v>
      </c>
      <c r="G645">
        <v>9949.3183590000008</v>
      </c>
      <c r="H645">
        <v>593</v>
      </c>
      <c r="I645">
        <v>790</v>
      </c>
      <c r="J645">
        <v>26351</v>
      </c>
      <c r="K645" t="s">
        <v>1983</v>
      </c>
      <c r="L645">
        <v>7</v>
      </c>
      <c r="M645">
        <v>7</v>
      </c>
      <c r="N645">
        <v>26351</v>
      </c>
      <c r="O645">
        <v>581</v>
      </c>
      <c r="P645" t="s">
        <v>3212</v>
      </c>
      <c r="Q645">
        <v>0.3</v>
      </c>
      <c r="R645">
        <v>0</v>
      </c>
      <c r="S645">
        <v>7.0000000000000007E-2</v>
      </c>
      <c r="T645">
        <v>0</v>
      </c>
      <c r="U645">
        <v>3271071.3294199998</v>
      </c>
      <c r="V645">
        <v>9949.319039</v>
      </c>
      <c r="W645">
        <v>644</v>
      </c>
      <c r="X645">
        <v>0</v>
      </c>
      <c r="Y645">
        <v>643</v>
      </c>
      <c r="Z645" t="s">
        <v>6966</v>
      </c>
      <c r="AA645" t="s">
        <v>6966</v>
      </c>
      <c r="AB645" t="s">
        <v>6966</v>
      </c>
      <c r="AC645" t="s">
        <v>6966</v>
      </c>
      <c r="AD645" t="s">
        <v>6966</v>
      </c>
      <c r="AE645" t="s">
        <v>6966</v>
      </c>
      <c r="AF645" t="s">
        <v>6966</v>
      </c>
      <c r="AG645" t="s">
        <v>6966</v>
      </c>
      <c r="AH645" t="s">
        <v>6966</v>
      </c>
      <c r="AI645" t="s">
        <v>6966</v>
      </c>
      <c r="AJ645" t="s">
        <v>6966</v>
      </c>
      <c r="AK645" t="s">
        <v>6966</v>
      </c>
      <c r="AL645" t="s">
        <v>6966</v>
      </c>
      <c r="AM645" t="s">
        <v>6966</v>
      </c>
      <c r="AN645" t="s">
        <v>6966</v>
      </c>
      <c r="AO645" t="s">
        <v>6966</v>
      </c>
      <c r="AP645" t="s">
        <v>6966</v>
      </c>
      <c r="AQ645" t="s">
        <v>6966</v>
      </c>
      <c r="AR645" t="s">
        <v>6966</v>
      </c>
      <c r="AS645" t="s">
        <v>6966</v>
      </c>
      <c r="AT645" t="s">
        <v>6966</v>
      </c>
      <c r="AU645" t="s">
        <v>6966</v>
      </c>
      <c r="AV645" t="s">
        <v>6966</v>
      </c>
      <c r="AW645" t="s">
        <v>6966</v>
      </c>
      <c r="AX645" t="s">
        <v>6966</v>
      </c>
      <c r="AY645" t="s">
        <v>6966</v>
      </c>
      <c r="AZ645">
        <v>0.100423</v>
      </c>
      <c r="BA645">
        <v>3.19E-4</v>
      </c>
    </row>
    <row r="646" spans="1:53" x14ac:dyDescent="0.25">
      <c r="A646">
        <v>644</v>
      </c>
      <c r="B646" t="s">
        <v>7625</v>
      </c>
      <c r="C646">
        <v>504055</v>
      </c>
      <c r="D646" t="s">
        <v>7801</v>
      </c>
      <c r="E646" t="s">
        <v>7766</v>
      </c>
      <c r="F646">
        <v>612606.6875</v>
      </c>
      <c r="G646">
        <v>7414.2700199999999</v>
      </c>
      <c r="H646">
        <v>594</v>
      </c>
      <c r="I646">
        <v>791</v>
      </c>
      <c r="J646">
        <v>26327</v>
      </c>
      <c r="K646" t="s">
        <v>7801</v>
      </c>
      <c r="L646">
        <v>7</v>
      </c>
      <c r="M646">
        <v>7</v>
      </c>
      <c r="N646">
        <v>26327</v>
      </c>
      <c r="O646">
        <v>582</v>
      </c>
      <c r="P646" t="s">
        <v>3212</v>
      </c>
      <c r="Q646">
        <v>1</v>
      </c>
      <c r="R646">
        <v>37.799999999999997</v>
      </c>
      <c r="S646">
        <v>0.21</v>
      </c>
      <c r="T646">
        <v>8</v>
      </c>
      <c r="U646">
        <v>612606.68958999997</v>
      </c>
      <c r="V646">
        <v>7414.2699720000001</v>
      </c>
      <c r="W646">
        <v>645</v>
      </c>
      <c r="X646">
        <v>0</v>
      </c>
      <c r="Y646">
        <v>644</v>
      </c>
      <c r="Z646" t="s">
        <v>6966</v>
      </c>
      <c r="AA646" t="s">
        <v>6966</v>
      </c>
      <c r="AB646" t="s">
        <v>6966</v>
      </c>
      <c r="AC646" t="s">
        <v>6966</v>
      </c>
      <c r="AD646" t="s">
        <v>6966</v>
      </c>
      <c r="AE646" t="s">
        <v>6966</v>
      </c>
      <c r="AF646" t="s">
        <v>6966</v>
      </c>
      <c r="AG646" t="s">
        <v>6966</v>
      </c>
      <c r="AH646" t="s">
        <v>6966</v>
      </c>
      <c r="AI646" t="s">
        <v>6966</v>
      </c>
      <c r="AJ646" t="s">
        <v>6966</v>
      </c>
      <c r="AK646" t="s">
        <v>6966</v>
      </c>
      <c r="AL646" t="s">
        <v>6966</v>
      </c>
      <c r="AM646" t="s">
        <v>6966</v>
      </c>
      <c r="AN646" t="s">
        <v>6966</v>
      </c>
      <c r="AO646" t="s">
        <v>6966</v>
      </c>
      <c r="AP646" t="s">
        <v>6966</v>
      </c>
      <c r="AQ646" t="s">
        <v>6966</v>
      </c>
      <c r="AR646" t="s">
        <v>6966</v>
      </c>
      <c r="AS646" t="s">
        <v>6966</v>
      </c>
      <c r="AT646" t="s">
        <v>6966</v>
      </c>
      <c r="AU646" t="s">
        <v>6966</v>
      </c>
      <c r="AV646" t="s">
        <v>6966</v>
      </c>
      <c r="AW646" t="s">
        <v>6966</v>
      </c>
      <c r="AX646" t="s">
        <v>6966</v>
      </c>
      <c r="AY646" t="s">
        <v>6966</v>
      </c>
      <c r="AZ646">
        <v>7.5295000000000001E-2</v>
      </c>
      <c r="BA646">
        <v>6.0000000000000002E-5</v>
      </c>
    </row>
    <row r="647" spans="1:53" x14ac:dyDescent="0.25">
      <c r="A647">
        <v>645</v>
      </c>
      <c r="B647" t="s">
        <v>7625</v>
      </c>
      <c r="C647">
        <v>505014</v>
      </c>
      <c r="D647" t="s">
        <v>412</v>
      </c>
      <c r="E647" t="s">
        <v>7719</v>
      </c>
      <c r="F647">
        <v>2637837.25</v>
      </c>
      <c r="G647">
        <v>10885.211914</v>
      </c>
      <c r="H647">
        <v>595</v>
      </c>
      <c r="I647">
        <v>792</v>
      </c>
      <c r="J647">
        <v>25369</v>
      </c>
      <c r="K647" t="s">
        <v>1893</v>
      </c>
      <c r="L647">
        <v>6</v>
      </c>
      <c r="M647">
        <v>6</v>
      </c>
      <c r="N647">
        <v>25369</v>
      </c>
      <c r="O647">
        <v>583</v>
      </c>
      <c r="P647" t="s">
        <v>3212</v>
      </c>
      <c r="Q647">
        <v>1.2</v>
      </c>
      <c r="R647">
        <v>15.6</v>
      </c>
      <c r="S647">
        <v>0.46</v>
      </c>
      <c r="T647">
        <v>6</v>
      </c>
      <c r="U647">
        <v>2637837.3848299999</v>
      </c>
      <c r="V647">
        <v>10885.212421</v>
      </c>
      <c r="W647">
        <v>646</v>
      </c>
      <c r="X647">
        <v>0</v>
      </c>
      <c r="Y647">
        <v>645</v>
      </c>
      <c r="Z647" t="s">
        <v>6966</v>
      </c>
      <c r="AA647" t="s">
        <v>6966</v>
      </c>
      <c r="AB647" t="s">
        <v>6966</v>
      </c>
      <c r="AC647" t="s">
        <v>6966</v>
      </c>
      <c r="AD647" t="s">
        <v>6966</v>
      </c>
      <c r="AE647" t="s">
        <v>6966</v>
      </c>
      <c r="AF647" t="s">
        <v>6966</v>
      </c>
      <c r="AG647" t="s">
        <v>6966</v>
      </c>
      <c r="AH647" t="s">
        <v>6966</v>
      </c>
      <c r="AI647" t="s">
        <v>6966</v>
      </c>
      <c r="AJ647" t="s">
        <v>6966</v>
      </c>
      <c r="AK647" t="s">
        <v>6966</v>
      </c>
      <c r="AL647" t="s">
        <v>6966</v>
      </c>
      <c r="AM647" t="s">
        <v>6966</v>
      </c>
      <c r="AN647" t="s">
        <v>6966</v>
      </c>
      <c r="AO647" t="s">
        <v>6966</v>
      </c>
      <c r="AP647" t="s">
        <v>6966</v>
      </c>
      <c r="AQ647" t="s">
        <v>6966</v>
      </c>
      <c r="AR647" t="s">
        <v>6966</v>
      </c>
      <c r="AS647" t="s">
        <v>6966</v>
      </c>
      <c r="AT647" t="s">
        <v>6966</v>
      </c>
      <c r="AU647" t="s">
        <v>6966</v>
      </c>
      <c r="AV647" t="s">
        <v>6966</v>
      </c>
      <c r="AW647" t="s">
        <v>6966</v>
      </c>
      <c r="AX647" t="s">
        <v>6966</v>
      </c>
      <c r="AY647" t="s">
        <v>6966</v>
      </c>
      <c r="AZ647">
        <v>0.11219</v>
      </c>
      <c r="BA647">
        <v>2.5799999999999998E-4</v>
      </c>
    </row>
    <row r="648" spans="1:53" x14ac:dyDescent="0.25">
      <c r="A648">
        <v>646</v>
      </c>
      <c r="B648" t="s">
        <v>7625</v>
      </c>
      <c r="C648">
        <v>504068</v>
      </c>
      <c r="D648" t="s">
        <v>517</v>
      </c>
      <c r="E648" t="s">
        <v>7766</v>
      </c>
      <c r="F648">
        <v>7309540</v>
      </c>
      <c r="G648">
        <v>14107.379883</v>
      </c>
      <c r="H648">
        <v>596</v>
      </c>
      <c r="I648">
        <v>793</v>
      </c>
      <c r="J648">
        <v>26331</v>
      </c>
      <c r="K648" t="s">
        <v>517</v>
      </c>
      <c r="L648">
        <v>7</v>
      </c>
      <c r="M648">
        <v>7</v>
      </c>
      <c r="N648">
        <v>26331</v>
      </c>
      <c r="O648">
        <v>584</v>
      </c>
      <c r="P648" t="s">
        <v>3212</v>
      </c>
      <c r="Q648">
        <v>0.2</v>
      </c>
      <c r="R648">
        <v>10.88</v>
      </c>
      <c r="S648">
        <v>0.26</v>
      </c>
      <c r="T648">
        <v>13</v>
      </c>
      <c r="U648">
        <v>7309539.9670599997</v>
      </c>
      <c r="V648">
        <v>14107.379611</v>
      </c>
      <c r="W648">
        <v>647</v>
      </c>
      <c r="X648">
        <v>0</v>
      </c>
      <c r="Y648">
        <v>646</v>
      </c>
      <c r="Z648" t="s">
        <v>6966</v>
      </c>
      <c r="AA648" t="s">
        <v>6966</v>
      </c>
      <c r="AB648" t="s">
        <v>6966</v>
      </c>
      <c r="AC648" t="s">
        <v>6966</v>
      </c>
      <c r="AD648" t="s">
        <v>6966</v>
      </c>
      <c r="AE648" t="s">
        <v>6966</v>
      </c>
      <c r="AF648" t="s">
        <v>6966</v>
      </c>
      <c r="AG648" t="s">
        <v>6966</v>
      </c>
      <c r="AH648" t="s">
        <v>6966</v>
      </c>
      <c r="AI648" t="s">
        <v>6966</v>
      </c>
      <c r="AJ648" t="s">
        <v>6966</v>
      </c>
      <c r="AK648" t="s">
        <v>6966</v>
      </c>
      <c r="AL648" t="s">
        <v>6966</v>
      </c>
      <c r="AM648" t="s">
        <v>6966</v>
      </c>
      <c r="AN648" t="s">
        <v>6966</v>
      </c>
      <c r="AO648" t="s">
        <v>6966</v>
      </c>
      <c r="AP648" t="s">
        <v>6966</v>
      </c>
      <c r="AQ648" t="s">
        <v>6966</v>
      </c>
      <c r="AR648" t="s">
        <v>6966</v>
      </c>
      <c r="AS648" t="s">
        <v>6966</v>
      </c>
      <c r="AT648" t="s">
        <v>6966</v>
      </c>
      <c r="AU648" t="s">
        <v>6966</v>
      </c>
      <c r="AV648" t="s">
        <v>6966</v>
      </c>
      <c r="AW648" t="s">
        <v>6966</v>
      </c>
      <c r="AX648" t="s">
        <v>6966</v>
      </c>
      <c r="AY648" t="s">
        <v>6966</v>
      </c>
      <c r="AZ648">
        <v>0.14113600000000001</v>
      </c>
      <c r="BA648">
        <v>7.1400000000000001E-4</v>
      </c>
    </row>
    <row r="649" spans="1:53" x14ac:dyDescent="0.25">
      <c r="A649">
        <v>647</v>
      </c>
      <c r="B649" t="s">
        <v>7625</v>
      </c>
      <c r="C649">
        <v>505076</v>
      </c>
      <c r="D649" t="s">
        <v>3129</v>
      </c>
      <c r="E649" t="s">
        <v>7719</v>
      </c>
      <c r="F649">
        <v>6362248</v>
      </c>
      <c r="G649">
        <v>14188.086914</v>
      </c>
      <c r="H649">
        <v>597</v>
      </c>
      <c r="I649">
        <v>794</v>
      </c>
      <c r="J649">
        <v>25373</v>
      </c>
      <c r="K649" t="s">
        <v>1895</v>
      </c>
      <c r="L649">
        <v>6</v>
      </c>
      <c r="M649">
        <v>6</v>
      </c>
      <c r="N649">
        <v>25373</v>
      </c>
      <c r="O649">
        <v>585</v>
      </c>
      <c r="P649" t="s">
        <v>3212</v>
      </c>
      <c r="Q649">
        <v>2</v>
      </c>
      <c r="R649">
        <v>23.49</v>
      </c>
      <c r="S649">
        <v>0.73</v>
      </c>
      <c r="T649">
        <v>9</v>
      </c>
      <c r="U649">
        <v>6362247.9677799996</v>
      </c>
      <c r="V649">
        <v>14188.087701</v>
      </c>
      <c r="W649">
        <v>648</v>
      </c>
      <c r="X649">
        <v>0</v>
      </c>
      <c r="Y649">
        <v>647</v>
      </c>
      <c r="Z649" t="s">
        <v>6966</v>
      </c>
      <c r="AA649" t="s">
        <v>6966</v>
      </c>
      <c r="AB649" t="s">
        <v>6966</v>
      </c>
      <c r="AC649" t="s">
        <v>6966</v>
      </c>
      <c r="AD649" t="s">
        <v>6966</v>
      </c>
      <c r="AE649" t="s">
        <v>6966</v>
      </c>
      <c r="AF649" t="s">
        <v>6966</v>
      </c>
      <c r="AG649" t="s">
        <v>6966</v>
      </c>
      <c r="AH649" t="s">
        <v>6966</v>
      </c>
      <c r="AI649" t="s">
        <v>6966</v>
      </c>
      <c r="AJ649" t="s">
        <v>6966</v>
      </c>
      <c r="AK649" t="s">
        <v>6966</v>
      </c>
      <c r="AL649" t="s">
        <v>6966</v>
      </c>
      <c r="AM649" t="s">
        <v>6966</v>
      </c>
      <c r="AN649" t="s">
        <v>6966</v>
      </c>
      <c r="AO649" t="s">
        <v>6966</v>
      </c>
      <c r="AP649" t="s">
        <v>6966</v>
      </c>
      <c r="AQ649" t="s">
        <v>6966</v>
      </c>
      <c r="AR649" t="s">
        <v>6966</v>
      </c>
      <c r="AS649" t="s">
        <v>6966</v>
      </c>
      <c r="AT649" t="s">
        <v>6966</v>
      </c>
      <c r="AU649" t="s">
        <v>6966</v>
      </c>
      <c r="AV649" t="s">
        <v>6966</v>
      </c>
      <c r="AW649" t="s">
        <v>6966</v>
      </c>
      <c r="AX649" t="s">
        <v>6966</v>
      </c>
      <c r="AY649" t="s">
        <v>6966</v>
      </c>
      <c r="AZ649">
        <v>0.14437900000000001</v>
      </c>
      <c r="BA649">
        <v>6.2100000000000002E-4</v>
      </c>
    </row>
    <row r="650" spans="1:53" x14ac:dyDescent="0.25">
      <c r="A650">
        <v>648</v>
      </c>
      <c r="B650" t="s">
        <v>7625</v>
      </c>
      <c r="C650">
        <v>201050</v>
      </c>
      <c r="D650" t="s">
        <v>1072</v>
      </c>
      <c r="E650" t="s">
        <v>1069</v>
      </c>
      <c r="F650">
        <v>0</v>
      </c>
      <c r="G650">
        <v>25473.779297000001</v>
      </c>
      <c r="H650">
        <v>598</v>
      </c>
      <c r="I650">
        <v>795</v>
      </c>
      <c r="J650">
        <v>53123</v>
      </c>
      <c r="K650" t="s">
        <v>7802</v>
      </c>
      <c r="L650">
        <v>17</v>
      </c>
      <c r="M650">
        <v>17</v>
      </c>
      <c r="N650">
        <v>53123</v>
      </c>
      <c r="O650">
        <v>586</v>
      </c>
      <c r="P650" t="s">
        <v>3214</v>
      </c>
      <c r="Q650">
        <v>1.1000000000000001</v>
      </c>
      <c r="R650">
        <v>49.47</v>
      </c>
      <c r="S650">
        <v>0.19</v>
      </c>
      <c r="T650">
        <v>9</v>
      </c>
      <c r="U650">
        <v>0</v>
      </c>
      <c r="V650">
        <v>25473.780114000001</v>
      </c>
      <c r="W650">
        <v>649</v>
      </c>
      <c r="X650">
        <v>0</v>
      </c>
      <c r="Y650">
        <v>648</v>
      </c>
      <c r="Z650" t="s">
        <v>6966</v>
      </c>
      <c r="AA650" t="s">
        <v>6966</v>
      </c>
      <c r="AB650" t="s">
        <v>6966</v>
      </c>
      <c r="AC650" t="s">
        <v>6966</v>
      </c>
      <c r="AD650" t="s">
        <v>6966</v>
      </c>
      <c r="AE650" t="s">
        <v>6966</v>
      </c>
      <c r="AF650" t="s">
        <v>6966</v>
      </c>
      <c r="AG650" t="s">
        <v>6966</v>
      </c>
      <c r="AH650" t="s">
        <v>6966</v>
      </c>
      <c r="AI650" t="s">
        <v>6966</v>
      </c>
      <c r="AJ650" t="s">
        <v>6966</v>
      </c>
      <c r="AK650" t="s">
        <v>6966</v>
      </c>
      <c r="AL650" t="s">
        <v>6966</v>
      </c>
      <c r="AM650" t="s">
        <v>6966</v>
      </c>
      <c r="AN650" t="s">
        <v>6966</v>
      </c>
      <c r="AO650" t="s">
        <v>6966</v>
      </c>
      <c r="AP650" t="s">
        <v>6966</v>
      </c>
      <c r="AQ650" t="s">
        <v>6966</v>
      </c>
      <c r="AR650" t="s">
        <v>6966</v>
      </c>
      <c r="AS650" t="s">
        <v>6966</v>
      </c>
      <c r="AT650" t="s">
        <v>6966</v>
      </c>
      <c r="AU650" t="s">
        <v>6966</v>
      </c>
      <c r="AV650" t="s">
        <v>6966</v>
      </c>
      <c r="AW650" t="s">
        <v>6966</v>
      </c>
      <c r="AX650" t="s">
        <v>6966</v>
      </c>
      <c r="AY650" t="s">
        <v>6966</v>
      </c>
      <c r="AZ650">
        <v>0.25098100000000001</v>
      </c>
      <c r="BA650">
        <v>2.7789999999999998E-3</v>
      </c>
    </row>
    <row r="651" spans="1:53" x14ac:dyDescent="0.25">
      <c r="A651">
        <v>649</v>
      </c>
      <c r="B651" t="s">
        <v>7625</v>
      </c>
      <c r="C651">
        <v>504038</v>
      </c>
      <c r="D651" t="s">
        <v>519</v>
      </c>
      <c r="E651" t="s">
        <v>7766</v>
      </c>
      <c r="F651">
        <v>617037.4375</v>
      </c>
      <c r="G651">
        <v>3588.7739259999998</v>
      </c>
      <c r="H651">
        <v>599</v>
      </c>
      <c r="I651">
        <v>796</v>
      </c>
      <c r="J651">
        <v>26337</v>
      </c>
      <c r="K651" t="s">
        <v>1979</v>
      </c>
      <c r="L651">
        <v>7</v>
      </c>
      <c r="M651">
        <v>7</v>
      </c>
      <c r="N651">
        <v>26337</v>
      </c>
      <c r="O651">
        <v>587</v>
      </c>
      <c r="P651" t="s">
        <v>3212</v>
      </c>
      <c r="Q651">
        <v>1.8</v>
      </c>
      <c r="R651">
        <v>35.340000000000003</v>
      </c>
      <c r="S651">
        <v>0.91</v>
      </c>
      <c r="T651">
        <v>18</v>
      </c>
      <c r="U651">
        <v>617037.401541</v>
      </c>
      <c r="V651">
        <v>3588.7734700000001</v>
      </c>
      <c r="W651">
        <v>650</v>
      </c>
      <c r="X651">
        <v>0</v>
      </c>
      <c r="Y651">
        <v>649</v>
      </c>
      <c r="Z651" t="s">
        <v>6966</v>
      </c>
      <c r="AA651" t="s">
        <v>6966</v>
      </c>
      <c r="AB651" t="s">
        <v>6966</v>
      </c>
      <c r="AC651" t="s">
        <v>6966</v>
      </c>
      <c r="AD651" t="s">
        <v>6966</v>
      </c>
      <c r="AE651" t="s">
        <v>6966</v>
      </c>
      <c r="AF651" t="s">
        <v>6966</v>
      </c>
      <c r="AG651" t="s">
        <v>6966</v>
      </c>
      <c r="AH651" t="s">
        <v>6966</v>
      </c>
      <c r="AI651" t="s">
        <v>6966</v>
      </c>
      <c r="AJ651" t="s">
        <v>6966</v>
      </c>
      <c r="AK651" t="s">
        <v>6966</v>
      </c>
      <c r="AL651" t="s">
        <v>6966</v>
      </c>
      <c r="AM651" t="s">
        <v>6966</v>
      </c>
      <c r="AN651" t="s">
        <v>6966</v>
      </c>
      <c r="AO651" t="s">
        <v>6966</v>
      </c>
      <c r="AP651" t="s">
        <v>6966</v>
      </c>
      <c r="AQ651" t="s">
        <v>6966</v>
      </c>
      <c r="AR651" t="s">
        <v>6966</v>
      </c>
      <c r="AS651" t="s">
        <v>6966</v>
      </c>
      <c r="AT651" t="s">
        <v>6966</v>
      </c>
      <c r="AU651" t="s">
        <v>6966</v>
      </c>
      <c r="AV651" t="s">
        <v>6966</v>
      </c>
      <c r="AW651" t="s">
        <v>6966</v>
      </c>
      <c r="AX651" t="s">
        <v>6966</v>
      </c>
      <c r="AY651" t="s">
        <v>6966</v>
      </c>
      <c r="AZ651">
        <v>3.5882999999999998E-2</v>
      </c>
      <c r="BA651">
        <v>6.0000000000000002E-5</v>
      </c>
    </row>
    <row r="652" spans="1:53" x14ac:dyDescent="0.25">
      <c r="A652">
        <v>650</v>
      </c>
      <c r="B652" t="s">
        <v>7625</v>
      </c>
      <c r="C652">
        <v>505022</v>
      </c>
      <c r="D652" t="s">
        <v>434</v>
      </c>
      <c r="E652" t="s">
        <v>7719</v>
      </c>
      <c r="F652">
        <v>4122029.25</v>
      </c>
      <c r="G652">
        <v>8884.8564449999994</v>
      </c>
      <c r="H652">
        <v>600</v>
      </c>
      <c r="I652">
        <v>797</v>
      </c>
      <c r="J652">
        <v>25479</v>
      </c>
      <c r="K652" t="s">
        <v>1910</v>
      </c>
      <c r="L652">
        <v>6</v>
      </c>
      <c r="M652">
        <v>6</v>
      </c>
      <c r="N652">
        <v>25479</v>
      </c>
      <c r="O652">
        <v>588</v>
      </c>
      <c r="P652" t="s">
        <v>3212</v>
      </c>
      <c r="Q652">
        <v>0.4</v>
      </c>
      <c r="R652">
        <v>81.45</v>
      </c>
      <c r="S652">
        <v>0.13</v>
      </c>
      <c r="T652">
        <v>26</v>
      </c>
      <c r="U652">
        <v>4122029.3793000001</v>
      </c>
      <c r="V652">
        <v>8884.8558759999996</v>
      </c>
      <c r="W652">
        <v>651</v>
      </c>
      <c r="X652">
        <v>0</v>
      </c>
      <c r="Y652">
        <v>650</v>
      </c>
      <c r="Z652" t="s">
        <v>6966</v>
      </c>
      <c r="AA652" t="s">
        <v>6966</v>
      </c>
      <c r="AB652" t="s">
        <v>6966</v>
      </c>
      <c r="AC652" t="s">
        <v>6966</v>
      </c>
      <c r="AD652" t="s">
        <v>6966</v>
      </c>
      <c r="AE652" t="s">
        <v>6966</v>
      </c>
      <c r="AF652" t="s">
        <v>6966</v>
      </c>
      <c r="AG652" t="s">
        <v>6966</v>
      </c>
      <c r="AH652" t="s">
        <v>6966</v>
      </c>
      <c r="AI652" t="s">
        <v>6966</v>
      </c>
      <c r="AJ652" t="s">
        <v>6966</v>
      </c>
      <c r="AK652" t="s">
        <v>6966</v>
      </c>
      <c r="AL652" t="s">
        <v>6966</v>
      </c>
      <c r="AM652" t="s">
        <v>6966</v>
      </c>
      <c r="AN652" t="s">
        <v>6966</v>
      </c>
      <c r="AO652" t="s">
        <v>6966</v>
      </c>
      <c r="AP652" t="s">
        <v>6966</v>
      </c>
      <c r="AQ652" t="s">
        <v>6966</v>
      </c>
      <c r="AR652" t="s">
        <v>6966</v>
      </c>
      <c r="AS652" t="s">
        <v>6966</v>
      </c>
      <c r="AT652" t="s">
        <v>6966</v>
      </c>
      <c r="AU652" t="s">
        <v>6966</v>
      </c>
      <c r="AV652" t="s">
        <v>6966</v>
      </c>
      <c r="AW652" t="s">
        <v>6966</v>
      </c>
      <c r="AX652" t="s">
        <v>6966</v>
      </c>
      <c r="AY652" t="s">
        <v>6966</v>
      </c>
      <c r="AZ652">
        <v>9.0018000000000001E-2</v>
      </c>
      <c r="BA652">
        <v>4.0200000000000001E-4</v>
      </c>
    </row>
    <row r="653" spans="1:53" x14ac:dyDescent="0.25">
      <c r="A653">
        <v>651</v>
      </c>
      <c r="B653" t="s">
        <v>7625</v>
      </c>
      <c r="C653">
        <v>504103</v>
      </c>
      <c r="D653" t="s">
        <v>87</v>
      </c>
      <c r="E653" t="s">
        <v>7766</v>
      </c>
      <c r="F653">
        <v>13087.007813</v>
      </c>
      <c r="G653">
        <v>678.167236</v>
      </c>
      <c r="H653">
        <v>601</v>
      </c>
      <c r="I653">
        <v>798</v>
      </c>
      <c r="J653">
        <v>26003</v>
      </c>
      <c r="K653" t="s">
        <v>87</v>
      </c>
      <c r="L653">
        <v>7</v>
      </c>
      <c r="M653">
        <v>7</v>
      </c>
      <c r="N653">
        <v>26003</v>
      </c>
      <c r="O653">
        <v>589</v>
      </c>
      <c r="P653" t="s">
        <v>3212</v>
      </c>
      <c r="Q653">
        <v>0</v>
      </c>
      <c r="R653">
        <v>0</v>
      </c>
      <c r="S653">
        <v>0</v>
      </c>
      <c r="T653">
        <v>0</v>
      </c>
      <c r="U653">
        <v>13086.996133000001</v>
      </c>
      <c r="V653">
        <v>678.16736400000002</v>
      </c>
      <c r="W653">
        <v>652</v>
      </c>
      <c r="X653">
        <v>0</v>
      </c>
      <c r="Y653">
        <v>651</v>
      </c>
      <c r="Z653" t="s">
        <v>6966</v>
      </c>
      <c r="AA653" t="s">
        <v>6966</v>
      </c>
      <c r="AB653" t="s">
        <v>6966</v>
      </c>
      <c r="AC653" t="s">
        <v>6966</v>
      </c>
      <c r="AD653" t="s">
        <v>6966</v>
      </c>
      <c r="AE653" t="s">
        <v>6966</v>
      </c>
      <c r="AF653" t="s">
        <v>6966</v>
      </c>
      <c r="AG653" t="s">
        <v>6966</v>
      </c>
      <c r="AH653" t="s">
        <v>6966</v>
      </c>
      <c r="AI653" t="s">
        <v>6966</v>
      </c>
      <c r="AJ653" t="s">
        <v>6966</v>
      </c>
      <c r="AK653" t="s">
        <v>6966</v>
      </c>
      <c r="AL653" t="s">
        <v>6966</v>
      </c>
      <c r="AM653" t="s">
        <v>6966</v>
      </c>
      <c r="AN653" t="s">
        <v>6966</v>
      </c>
      <c r="AO653" t="s">
        <v>6966</v>
      </c>
      <c r="AP653" t="s">
        <v>6966</v>
      </c>
      <c r="AQ653" t="s">
        <v>6966</v>
      </c>
      <c r="AR653" t="s">
        <v>6966</v>
      </c>
      <c r="AS653" t="s">
        <v>6966</v>
      </c>
      <c r="AT653" t="s">
        <v>6966</v>
      </c>
      <c r="AU653" t="s">
        <v>6966</v>
      </c>
      <c r="AV653" t="s">
        <v>6966</v>
      </c>
      <c r="AW653" t="s">
        <v>6966</v>
      </c>
      <c r="AX653" t="s">
        <v>6966</v>
      </c>
      <c r="AY653" t="s">
        <v>6966</v>
      </c>
      <c r="AZ653">
        <v>6.9610000000000002E-3</v>
      </c>
      <c r="BA653">
        <v>9.9999999999999995E-7</v>
      </c>
    </row>
    <row r="654" spans="1:53" x14ac:dyDescent="0.25">
      <c r="A654">
        <v>652</v>
      </c>
      <c r="B654" t="s">
        <v>7625</v>
      </c>
      <c r="C654">
        <v>504105</v>
      </c>
      <c r="D654" t="s">
        <v>87</v>
      </c>
      <c r="E654" t="s">
        <v>7766</v>
      </c>
      <c r="F654">
        <v>544121</v>
      </c>
      <c r="G654">
        <v>3866.6179200000001</v>
      </c>
      <c r="H654">
        <v>602</v>
      </c>
      <c r="I654">
        <v>799</v>
      </c>
      <c r="J654">
        <v>26005</v>
      </c>
      <c r="K654" t="s">
        <v>87</v>
      </c>
      <c r="L654">
        <v>7</v>
      </c>
      <c r="M654">
        <v>7</v>
      </c>
      <c r="N654">
        <v>26005</v>
      </c>
      <c r="O654">
        <v>590</v>
      </c>
      <c r="P654" t="s">
        <v>3212</v>
      </c>
      <c r="Q654">
        <v>0</v>
      </c>
      <c r="R654">
        <v>0</v>
      </c>
      <c r="S654">
        <v>0</v>
      </c>
      <c r="T654">
        <v>0</v>
      </c>
      <c r="U654">
        <v>544120.96482400002</v>
      </c>
      <c r="V654">
        <v>3866.6177750000002</v>
      </c>
      <c r="W654">
        <v>653</v>
      </c>
      <c r="X654">
        <v>0</v>
      </c>
      <c r="Y654">
        <v>652</v>
      </c>
      <c r="Z654" t="s">
        <v>6966</v>
      </c>
      <c r="AA654" t="s">
        <v>6966</v>
      </c>
      <c r="AB654" t="s">
        <v>6966</v>
      </c>
      <c r="AC654" t="s">
        <v>6966</v>
      </c>
      <c r="AD654" t="s">
        <v>6966</v>
      </c>
      <c r="AE654" t="s">
        <v>6966</v>
      </c>
      <c r="AF654" t="s">
        <v>6966</v>
      </c>
      <c r="AG654" t="s">
        <v>6966</v>
      </c>
      <c r="AH654" t="s">
        <v>6966</v>
      </c>
      <c r="AI654" t="s">
        <v>6966</v>
      </c>
      <c r="AJ654" t="s">
        <v>6966</v>
      </c>
      <c r="AK654" t="s">
        <v>6966</v>
      </c>
      <c r="AL654" t="s">
        <v>6966</v>
      </c>
      <c r="AM654" t="s">
        <v>6966</v>
      </c>
      <c r="AN654" t="s">
        <v>6966</v>
      </c>
      <c r="AO654" t="s">
        <v>6966</v>
      </c>
      <c r="AP654" t="s">
        <v>6966</v>
      </c>
      <c r="AQ654" t="s">
        <v>6966</v>
      </c>
      <c r="AR654" t="s">
        <v>6966</v>
      </c>
      <c r="AS654" t="s">
        <v>6966</v>
      </c>
      <c r="AT654" t="s">
        <v>6966</v>
      </c>
      <c r="AU654" t="s">
        <v>6966</v>
      </c>
      <c r="AV654" t="s">
        <v>6966</v>
      </c>
      <c r="AW654" t="s">
        <v>6966</v>
      </c>
      <c r="AX654" t="s">
        <v>6966</v>
      </c>
      <c r="AY654" t="s">
        <v>6966</v>
      </c>
      <c r="AZ654">
        <v>3.8387999999999999E-2</v>
      </c>
      <c r="BA654">
        <v>5.3000000000000001E-5</v>
      </c>
    </row>
    <row r="655" spans="1:53" x14ac:dyDescent="0.25">
      <c r="A655">
        <v>653</v>
      </c>
      <c r="B655" t="s">
        <v>7625</v>
      </c>
      <c r="C655">
        <v>504106</v>
      </c>
      <c r="D655" t="s">
        <v>87</v>
      </c>
      <c r="E655" t="s">
        <v>7766</v>
      </c>
      <c r="F655">
        <v>106075.835938</v>
      </c>
      <c r="G655">
        <v>2152.9741210000002</v>
      </c>
      <c r="H655">
        <v>603</v>
      </c>
      <c r="I655">
        <v>800</v>
      </c>
      <c r="J655">
        <v>26004</v>
      </c>
      <c r="K655" t="s">
        <v>87</v>
      </c>
      <c r="L655">
        <v>7</v>
      </c>
      <c r="M655">
        <v>7</v>
      </c>
      <c r="N655">
        <v>26004</v>
      </c>
      <c r="O655">
        <v>591</v>
      </c>
      <c r="P655" t="s">
        <v>3212</v>
      </c>
      <c r="Q655">
        <v>0</v>
      </c>
      <c r="R655">
        <v>0</v>
      </c>
      <c r="S655">
        <v>0</v>
      </c>
      <c r="T655">
        <v>0</v>
      </c>
      <c r="U655">
        <v>106075.869597</v>
      </c>
      <c r="V655">
        <v>2152.9739610000001</v>
      </c>
      <c r="W655">
        <v>654</v>
      </c>
      <c r="X655">
        <v>0</v>
      </c>
      <c r="Y655">
        <v>653</v>
      </c>
      <c r="Z655" t="s">
        <v>6966</v>
      </c>
      <c r="AA655" t="s">
        <v>6966</v>
      </c>
      <c r="AB655" t="s">
        <v>6966</v>
      </c>
      <c r="AC655" t="s">
        <v>6966</v>
      </c>
      <c r="AD655" t="s">
        <v>6966</v>
      </c>
      <c r="AE655" t="s">
        <v>6966</v>
      </c>
      <c r="AF655" t="s">
        <v>6966</v>
      </c>
      <c r="AG655" t="s">
        <v>6966</v>
      </c>
      <c r="AH655" t="s">
        <v>6966</v>
      </c>
      <c r="AI655" t="s">
        <v>6966</v>
      </c>
      <c r="AJ655" t="s">
        <v>6966</v>
      </c>
      <c r="AK655" t="s">
        <v>6966</v>
      </c>
      <c r="AL655" t="s">
        <v>6966</v>
      </c>
      <c r="AM655" t="s">
        <v>6966</v>
      </c>
      <c r="AN655" t="s">
        <v>6966</v>
      </c>
      <c r="AO655" t="s">
        <v>6966</v>
      </c>
      <c r="AP655" t="s">
        <v>6966</v>
      </c>
      <c r="AQ655" t="s">
        <v>6966</v>
      </c>
      <c r="AR655" t="s">
        <v>6966</v>
      </c>
      <c r="AS655" t="s">
        <v>6966</v>
      </c>
      <c r="AT655" t="s">
        <v>6966</v>
      </c>
      <c r="AU655" t="s">
        <v>6966</v>
      </c>
      <c r="AV655" t="s">
        <v>6966</v>
      </c>
      <c r="AW655" t="s">
        <v>6966</v>
      </c>
      <c r="AX655" t="s">
        <v>6966</v>
      </c>
      <c r="AY655" t="s">
        <v>6966</v>
      </c>
      <c r="AZ655">
        <v>2.1232999999999998E-2</v>
      </c>
      <c r="BA655">
        <v>1.0000000000000001E-5</v>
      </c>
    </row>
    <row r="656" spans="1:53" x14ac:dyDescent="0.25">
      <c r="A656">
        <v>654</v>
      </c>
      <c r="B656" t="s">
        <v>7625</v>
      </c>
      <c r="C656">
        <v>504107</v>
      </c>
      <c r="D656" t="s">
        <v>87</v>
      </c>
      <c r="E656" t="s">
        <v>7766</v>
      </c>
      <c r="F656">
        <v>48485.175780999998</v>
      </c>
      <c r="G656">
        <v>1137.4986570000001</v>
      </c>
      <c r="H656">
        <v>604</v>
      </c>
      <c r="I656">
        <v>801</v>
      </c>
      <c r="J656">
        <v>26006</v>
      </c>
      <c r="K656" t="s">
        <v>87</v>
      </c>
      <c r="L656">
        <v>7</v>
      </c>
      <c r="M656">
        <v>7</v>
      </c>
      <c r="N656">
        <v>26006</v>
      </c>
      <c r="O656">
        <v>592</v>
      </c>
      <c r="P656" t="s">
        <v>3212</v>
      </c>
      <c r="Q656">
        <v>0</v>
      </c>
      <c r="R656">
        <v>0</v>
      </c>
      <c r="S656">
        <v>0</v>
      </c>
      <c r="T656">
        <v>0</v>
      </c>
      <c r="U656">
        <v>48485.152373999998</v>
      </c>
      <c r="V656">
        <v>1137.498636</v>
      </c>
      <c r="W656">
        <v>655</v>
      </c>
      <c r="X656">
        <v>0</v>
      </c>
      <c r="Y656">
        <v>654</v>
      </c>
      <c r="Z656" t="s">
        <v>6966</v>
      </c>
      <c r="AA656" t="s">
        <v>6966</v>
      </c>
      <c r="AB656" t="s">
        <v>6966</v>
      </c>
      <c r="AC656" t="s">
        <v>6966</v>
      </c>
      <c r="AD656" t="s">
        <v>6966</v>
      </c>
      <c r="AE656" t="s">
        <v>6966</v>
      </c>
      <c r="AF656" t="s">
        <v>6966</v>
      </c>
      <c r="AG656" t="s">
        <v>6966</v>
      </c>
      <c r="AH656" t="s">
        <v>6966</v>
      </c>
      <c r="AI656" t="s">
        <v>6966</v>
      </c>
      <c r="AJ656" t="s">
        <v>6966</v>
      </c>
      <c r="AK656" t="s">
        <v>6966</v>
      </c>
      <c r="AL656" t="s">
        <v>6966</v>
      </c>
      <c r="AM656" t="s">
        <v>6966</v>
      </c>
      <c r="AN656" t="s">
        <v>6966</v>
      </c>
      <c r="AO656" t="s">
        <v>6966</v>
      </c>
      <c r="AP656" t="s">
        <v>6966</v>
      </c>
      <c r="AQ656" t="s">
        <v>6966</v>
      </c>
      <c r="AR656" t="s">
        <v>6966</v>
      </c>
      <c r="AS656" t="s">
        <v>6966</v>
      </c>
      <c r="AT656" t="s">
        <v>6966</v>
      </c>
      <c r="AU656" t="s">
        <v>6966</v>
      </c>
      <c r="AV656" t="s">
        <v>6966</v>
      </c>
      <c r="AW656" t="s">
        <v>6966</v>
      </c>
      <c r="AX656" t="s">
        <v>6966</v>
      </c>
      <c r="AY656" t="s">
        <v>6966</v>
      </c>
      <c r="AZ656">
        <v>1.0685E-2</v>
      </c>
      <c r="BA656">
        <v>5.0000000000000004E-6</v>
      </c>
    </row>
    <row r="657" spans="1:53" x14ac:dyDescent="0.25">
      <c r="A657">
        <v>655</v>
      </c>
      <c r="B657" t="s">
        <v>7625</v>
      </c>
      <c r="C657">
        <v>505054</v>
      </c>
      <c r="D657" t="s">
        <v>374</v>
      </c>
      <c r="E657" t="s">
        <v>7719</v>
      </c>
      <c r="F657">
        <v>345064.1875</v>
      </c>
      <c r="G657">
        <v>7189.4160160000001</v>
      </c>
      <c r="H657">
        <v>605</v>
      </c>
      <c r="I657">
        <v>802</v>
      </c>
      <c r="J657">
        <v>25181</v>
      </c>
      <c r="K657" t="s">
        <v>374</v>
      </c>
      <c r="L657">
        <v>6</v>
      </c>
      <c r="M657">
        <v>6</v>
      </c>
      <c r="N657">
        <v>25181</v>
      </c>
      <c r="O657">
        <v>593</v>
      </c>
      <c r="P657" t="s">
        <v>3212</v>
      </c>
      <c r="Q657">
        <v>4.5</v>
      </c>
      <c r="R657">
        <v>15.38</v>
      </c>
      <c r="S657">
        <v>1.31</v>
      </c>
      <c r="T657">
        <v>4</v>
      </c>
      <c r="U657">
        <v>345064.19857900002</v>
      </c>
      <c r="V657">
        <v>7189.4163040000003</v>
      </c>
      <c r="W657">
        <v>656</v>
      </c>
      <c r="X657">
        <v>0</v>
      </c>
      <c r="Y657">
        <v>655</v>
      </c>
      <c r="Z657" t="s">
        <v>6966</v>
      </c>
      <c r="AA657" t="s">
        <v>6966</v>
      </c>
      <c r="AB657" t="s">
        <v>6966</v>
      </c>
      <c r="AC657" t="s">
        <v>6966</v>
      </c>
      <c r="AD657" t="s">
        <v>6966</v>
      </c>
      <c r="AE657" t="s">
        <v>6966</v>
      </c>
      <c r="AF657" t="s">
        <v>6966</v>
      </c>
      <c r="AG657" t="s">
        <v>6966</v>
      </c>
      <c r="AH657" t="s">
        <v>6966</v>
      </c>
      <c r="AI657" t="s">
        <v>6966</v>
      </c>
      <c r="AJ657" t="s">
        <v>6966</v>
      </c>
      <c r="AK657" t="s">
        <v>6966</v>
      </c>
      <c r="AL657" t="s">
        <v>6966</v>
      </c>
      <c r="AM657" t="s">
        <v>6966</v>
      </c>
      <c r="AN657" t="s">
        <v>6966</v>
      </c>
      <c r="AO657" t="s">
        <v>6966</v>
      </c>
      <c r="AP657" t="s">
        <v>6966</v>
      </c>
      <c r="AQ657" t="s">
        <v>6966</v>
      </c>
      <c r="AR657" t="s">
        <v>6966</v>
      </c>
      <c r="AS657" t="s">
        <v>6966</v>
      </c>
      <c r="AT657" t="s">
        <v>6966</v>
      </c>
      <c r="AU657" t="s">
        <v>6966</v>
      </c>
      <c r="AV657" t="s">
        <v>6966</v>
      </c>
      <c r="AW657" t="s">
        <v>6966</v>
      </c>
      <c r="AX657" t="s">
        <v>6966</v>
      </c>
      <c r="AY657" t="s">
        <v>6966</v>
      </c>
      <c r="AZ657">
        <v>7.1679999999999994E-2</v>
      </c>
      <c r="BA657">
        <v>3.4E-5</v>
      </c>
    </row>
    <row r="658" spans="1:53" x14ac:dyDescent="0.25">
      <c r="A658">
        <v>656</v>
      </c>
      <c r="B658" t="s">
        <v>7625</v>
      </c>
      <c r="C658">
        <v>505056</v>
      </c>
      <c r="D658" t="s">
        <v>406</v>
      </c>
      <c r="E658" t="s">
        <v>7719</v>
      </c>
      <c r="F658">
        <v>4113169</v>
      </c>
      <c r="G658">
        <v>9496.7529300000006</v>
      </c>
      <c r="H658">
        <v>606</v>
      </c>
      <c r="I658">
        <v>803</v>
      </c>
      <c r="J658">
        <v>25357</v>
      </c>
      <c r="K658" t="s">
        <v>7803</v>
      </c>
      <c r="L658">
        <v>6</v>
      </c>
      <c r="M658">
        <v>6</v>
      </c>
      <c r="N658">
        <v>25357</v>
      </c>
      <c r="O658">
        <v>594</v>
      </c>
      <c r="P658" t="s">
        <v>3212</v>
      </c>
      <c r="Q658">
        <v>0.9</v>
      </c>
      <c r="R658">
        <v>12.46</v>
      </c>
      <c r="S658">
        <v>0.3</v>
      </c>
      <c r="T658">
        <v>4</v>
      </c>
      <c r="U658">
        <v>4113169.1105200001</v>
      </c>
      <c r="V658">
        <v>9496.7530330000009</v>
      </c>
      <c r="W658">
        <v>657</v>
      </c>
      <c r="X658">
        <v>0</v>
      </c>
      <c r="Y658">
        <v>656</v>
      </c>
      <c r="Z658" t="s">
        <v>6966</v>
      </c>
      <c r="AA658" t="s">
        <v>6966</v>
      </c>
      <c r="AB658" t="s">
        <v>6966</v>
      </c>
      <c r="AC658" t="s">
        <v>6966</v>
      </c>
      <c r="AD658" t="s">
        <v>6966</v>
      </c>
      <c r="AE658" t="s">
        <v>6966</v>
      </c>
      <c r="AF658" t="s">
        <v>6966</v>
      </c>
      <c r="AG658" t="s">
        <v>6966</v>
      </c>
      <c r="AH658" t="s">
        <v>6966</v>
      </c>
      <c r="AI658" t="s">
        <v>6966</v>
      </c>
      <c r="AJ658" t="s">
        <v>6966</v>
      </c>
      <c r="AK658" t="s">
        <v>6966</v>
      </c>
      <c r="AL658" t="s">
        <v>6966</v>
      </c>
      <c r="AM658" t="s">
        <v>6966</v>
      </c>
      <c r="AN658" t="s">
        <v>6966</v>
      </c>
      <c r="AO658" t="s">
        <v>6966</v>
      </c>
      <c r="AP658" t="s">
        <v>6966</v>
      </c>
      <c r="AQ658" t="s">
        <v>6966</v>
      </c>
      <c r="AR658" t="s">
        <v>6966</v>
      </c>
      <c r="AS658" t="s">
        <v>6966</v>
      </c>
      <c r="AT658" t="s">
        <v>6966</v>
      </c>
      <c r="AU658" t="s">
        <v>6966</v>
      </c>
      <c r="AV658" t="s">
        <v>6966</v>
      </c>
      <c r="AW658" t="s">
        <v>6966</v>
      </c>
      <c r="AX658" t="s">
        <v>6966</v>
      </c>
      <c r="AY658" t="s">
        <v>6966</v>
      </c>
      <c r="AZ658">
        <v>9.7182000000000004E-2</v>
      </c>
      <c r="BA658">
        <v>4.0200000000000001E-4</v>
      </c>
    </row>
    <row r="659" spans="1:53" x14ac:dyDescent="0.25">
      <c r="A659">
        <v>657</v>
      </c>
      <c r="B659" t="s">
        <v>7625</v>
      </c>
      <c r="C659">
        <v>505064</v>
      </c>
      <c r="D659" t="s">
        <v>7804</v>
      </c>
      <c r="E659" t="s">
        <v>7719</v>
      </c>
      <c r="F659">
        <v>1042611.25</v>
      </c>
      <c r="G659">
        <v>6226.3232420000004</v>
      </c>
      <c r="H659">
        <v>607</v>
      </c>
      <c r="I659">
        <v>804</v>
      </c>
      <c r="J659">
        <v>25367</v>
      </c>
      <c r="K659" t="s">
        <v>1892</v>
      </c>
      <c r="L659">
        <v>6</v>
      </c>
      <c r="M659">
        <v>6</v>
      </c>
      <c r="N659">
        <v>25367</v>
      </c>
      <c r="O659">
        <v>595</v>
      </c>
      <c r="P659" t="s">
        <v>3212</v>
      </c>
      <c r="Q659">
        <v>2</v>
      </c>
      <c r="R659">
        <v>9.18</v>
      </c>
      <c r="S659">
        <v>0.7</v>
      </c>
      <c r="T659">
        <v>3</v>
      </c>
      <c r="U659">
        <v>1042611.28597</v>
      </c>
      <c r="V659">
        <v>6226.3239409999996</v>
      </c>
      <c r="W659">
        <v>658</v>
      </c>
      <c r="X659">
        <v>0</v>
      </c>
      <c r="Y659">
        <v>657</v>
      </c>
      <c r="Z659" t="s">
        <v>6966</v>
      </c>
      <c r="AA659" t="s">
        <v>6966</v>
      </c>
      <c r="AB659" t="s">
        <v>6966</v>
      </c>
      <c r="AC659" t="s">
        <v>6966</v>
      </c>
      <c r="AD659" t="s">
        <v>6966</v>
      </c>
      <c r="AE659" t="s">
        <v>6966</v>
      </c>
      <c r="AF659" t="s">
        <v>6966</v>
      </c>
      <c r="AG659" t="s">
        <v>6966</v>
      </c>
      <c r="AH659" t="s">
        <v>6966</v>
      </c>
      <c r="AI659" t="s">
        <v>6966</v>
      </c>
      <c r="AJ659" t="s">
        <v>6966</v>
      </c>
      <c r="AK659" t="s">
        <v>6966</v>
      </c>
      <c r="AL659" t="s">
        <v>6966</v>
      </c>
      <c r="AM659" t="s">
        <v>6966</v>
      </c>
      <c r="AN659" t="s">
        <v>6966</v>
      </c>
      <c r="AO659" t="s">
        <v>6966</v>
      </c>
      <c r="AP659" t="s">
        <v>6966</v>
      </c>
      <c r="AQ659" t="s">
        <v>6966</v>
      </c>
      <c r="AR659" t="s">
        <v>6966</v>
      </c>
      <c r="AS659" t="s">
        <v>6966</v>
      </c>
      <c r="AT659" t="s">
        <v>6966</v>
      </c>
      <c r="AU659" t="s">
        <v>6966</v>
      </c>
      <c r="AV659" t="s">
        <v>6966</v>
      </c>
      <c r="AW659" t="s">
        <v>6966</v>
      </c>
      <c r="AX659" t="s">
        <v>6966</v>
      </c>
      <c r="AY659" t="s">
        <v>6966</v>
      </c>
      <c r="AZ659">
        <v>6.2781000000000003E-2</v>
      </c>
      <c r="BA659">
        <v>1.02E-4</v>
      </c>
    </row>
    <row r="660" spans="1:53" x14ac:dyDescent="0.25">
      <c r="A660">
        <v>658</v>
      </c>
      <c r="B660" t="s">
        <v>7625</v>
      </c>
      <c r="C660">
        <v>504082</v>
      </c>
      <c r="D660" t="s">
        <v>528</v>
      </c>
      <c r="E660" t="s">
        <v>7766</v>
      </c>
      <c r="F660">
        <v>0</v>
      </c>
      <c r="G660">
        <v>20638.976563</v>
      </c>
      <c r="H660">
        <v>608</v>
      </c>
      <c r="I660">
        <v>805</v>
      </c>
      <c r="J660">
        <v>26367</v>
      </c>
      <c r="K660" t="s">
        <v>1988</v>
      </c>
      <c r="L660">
        <v>7</v>
      </c>
      <c r="M660">
        <v>7</v>
      </c>
      <c r="N660">
        <v>26367</v>
      </c>
      <c r="O660">
        <v>596</v>
      </c>
      <c r="P660" t="s">
        <v>3212</v>
      </c>
      <c r="Q660">
        <v>0.8</v>
      </c>
      <c r="R660">
        <v>78.3</v>
      </c>
      <c r="S660">
        <v>0.15</v>
      </c>
      <c r="T660">
        <v>16</v>
      </c>
      <c r="U660">
        <v>0</v>
      </c>
      <c r="V660">
        <v>20638.975869000002</v>
      </c>
      <c r="W660">
        <v>659</v>
      </c>
      <c r="X660">
        <v>0</v>
      </c>
      <c r="Y660">
        <v>658</v>
      </c>
      <c r="Z660" t="s">
        <v>6966</v>
      </c>
      <c r="AA660" t="s">
        <v>6966</v>
      </c>
      <c r="AB660" t="s">
        <v>6966</v>
      </c>
      <c r="AC660" t="s">
        <v>6966</v>
      </c>
      <c r="AD660" t="s">
        <v>6966</v>
      </c>
      <c r="AE660" t="s">
        <v>6966</v>
      </c>
      <c r="AF660" t="s">
        <v>6966</v>
      </c>
      <c r="AG660" t="s">
        <v>6966</v>
      </c>
      <c r="AH660" t="s">
        <v>6966</v>
      </c>
      <c r="AI660" t="s">
        <v>6966</v>
      </c>
      <c r="AJ660" t="s">
        <v>6966</v>
      </c>
      <c r="AK660" t="s">
        <v>6966</v>
      </c>
      <c r="AL660" t="s">
        <v>6966</v>
      </c>
      <c r="AM660" t="s">
        <v>6966</v>
      </c>
      <c r="AN660" t="s">
        <v>6966</v>
      </c>
      <c r="AO660" t="s">
        <v>6966</v>
      </c>
      <c r="AP660" t="s">
        <v>6966</v>
      </c>
      <c r="AQ660" t="s">
        <v>6966</v>
      </c>
      <c r="AR660" t="s">
        <v>6966</v>
      </c>
      <c r="AS660" t="s">
        <v>6966</v>
      </c>
      <c r="AT660" t="s">
        <v>6966</v>
      </c>
      <c r="AU660" t="s">
        <v>6966</v>
      </c>
      <c r="AV660" t="s">
        <v>6966</v>
      </c>
      <c r="AW660" t="s">
        <v>6966</v>
      </c>
      <c r="AX660" t="s">
        <v>6966</v>
      </c>
      <c r="AY660" t="s">
        <v>6966</v>
      </c>
      <c r="AZ660">
        <v>0.209317</v>
      </c>
      <c r="BA660">
        <v>1.2130000000000001E-3</v>
      </c>
    </row>
    <row r="661" spans="1:53" x14ac:dyDescent="0.25">
      <c r="A661">
        <v>659</v>
      </c>
      <c r="B661" t="s">
        <v>7625</v>
      </c>
      <c r="C661">
        <v>505077</v>
      </c>
      <c r="D661" t="s">
        <v>7805</v>
      </c>
      <c r="E661" t="s">
        <v>7719</v>
      </c>
      <c r="F661">
        <v>1339372.375</v>
      </c>
      <c r="G661">
        <v>6991.1572269999997</v>
      </c>
      <c r="H661">
        <v>609</v>
      </c>
      <c r="I661">
        <v>806</v>
      </c>
      <c r="J661">
        <v>25353</v>
      </c>
      <c r="K661" t="s">
        <v>7805</v>
      </c>
      <c r="L661">
        <v>6</v>
      </c>
      <c r="M661">
        <v>6</v>
      </c>
      <c r="N661">
        <v>25353</v>
      </c>
      <c r="O661">
        <v>597</v>
      </c>
      <c r="P661" t="s">
        <v>3212</v>
      </c>
      <c r="Q661">
        <v>4.9000000000000004</v>
      </c>
      <c r="R661">
        <v>13.8</v>
      </c>
      <c r="S661">
        <v>1.67</v>
      </c>
      <c r="T661">
        <v>5</v>
      </c>
      <c r="U661">
        <v>1339372.3152399999</v>
      </c>
      <c r="V661">
        <v>6991.1562299999996</v>
      </c>
      <c r="W661">
        <v>660</v>
      </c>
      <c r="X661">
        <v>0</v>
      </c>
      <c r="Y661">
        <v>659</v>
      </c>
      <c r="Z661" t="s">
        <v>6966</v>
      </c>
      <c r="AA661" t="s">
        <v>6966</v>
      </c>
      <c r="AB661" t="s">
        <v>6966</v>
      </c>
      <c r="AC661" t="s">
        <v>6966</v>
      </c>
      <c r="AD661" t="s">
        <v>6966</v>
      </c>
      <c r="AE661" t="s">
        <v>6966</v>
      </c>
      <c r="AF661" t="s">
        <v>6966</v>
      </c>
      <c r="AG661" t="s">
        <v>6966</v>
      </c>
      <c r="AH661" t="s">
        <v>6966</v>
      </c>
      <c r="AI661" t="s">
        <v>6966</v>
      </c>
      <c r="AJ661" t="s">
        <v>6966</v>
      </c>
      <c r="AK661" t="s">
        <v>6966</v>
      </c>
      <c r="AL661" t="s">
        <v>6966</v>
      </c>
      <c r="AM661" t="s">
        <v>6966</v>
      </c>
      <c r="AN661" t="s">
        <v>6966</v>
      </c>
      <c r="AO661" t="s">
        <v>6966</v>
      </c>
      <c r="AP661" t="s">
        <v>6966</v>
      </c>
      <c r="AQ661" t="s">
        <v>6966</v>
      </c>
      <c r="AR661" t="s">
        <v>6966</v>
      </c>
      <c r="AS661" t="s">
        <v>6966</v>
      </c>
      <c r="AT661" t="s">
        <v>6966</v>
      </c>
      <c r="AU661" t="s">
        <v>6966</v>
      </c>
      <c r="AV661" t="s">
        <v>6966</v>
      </c>
      <c r="AW661" t="s">
        <v>6966</v>
      </c>
      <c r="AX661" t="s">
        <v>6966</v>
      </c>
      <c r="AY661" t="s">
        <v>6966</v>
      </c>
      <c r="AZ661">
        <v>7.1340000000000001E-2</v>
      </c>
      <c r="BA661">
        <v>1.3100000000000001E-4</v>
      </c>
    </row>
    <row r="662" spans="1:53" x14ac:dyDescent="0.25">
      <c r="A662">
        <v>660</v>
      </c>
      <c r="B662" t="s">
        <v>7625</v>
      </c>
      <c r="C662">
        <v>504081</v>
      </c>
      <c r="D662" t="s">
        <v>448</v>
      </c>
      <c r="E662" t="s">
        <v>7766</v>
      </c>
      <c r="F662">
        <v>1461779.375</v>
      </c>
      <c r="G662">
        <v>5449.2065430000002</v>
      </c>
      <c r="H662">
        <v>610</v>
      </c>
      <c r="I662">
        <v>807</v>
      </c>
      <c r="J662">
        <v>26171</v>
      </c>
      <c r="K662" t="s">
        <v>1921</v>
      </c>
      <c r="L662">
        <v>7</v>
      </c>
      <c r="M662">
        <v>7</v>
      </c>
      <c r="N662">
        <v>26171</v>
      </c>
      <c r="O662">
        <v>598</v>
      </c>
      <c r="P662" t="s">
        <v>3212</v>
      </c>
      <c r="Q662">
        <v>17.100000000000001</v>
      </c>
      <c r="R662">
        <v>37.97</v>
      </c>
      <c r="S662">
        <v>4.41</v>
      </c>
      <c r="T662">
        <v>10</v>
      </c>
      <c r="U662">
        <v>1461779.3799000001</v>
      </c>
      <c r="V662">
        <v>5449.2063449999996</v>
      </c>
      <c r="W662">
        <v>661</v>
      </c>
      <c r="X662">
        <v>0</v>
      </c>
      <c r="Y662">
        <v>660</v>
      </c>
      <c r="Z662" t="s">
        <v>6966</v>
      </c>
      <c r="AA662" t="s">
        <v>6966</v>
      </c>
      <c r="AB662" t="s">
        <v>6966</v>
      </c>
      <c r="AC662" t="s">
        <v>6966</v>
      </c>
      <c r="AD662" t="s">
        <v>6966</v>
      </c>
      <c r="AE662" t="s">
        <v>6966</v>
      </c>
      <c r="AF662" t="s">
        <v>6966</v>
      </c>
      <c r="AG662" t="s">
        <v>6966</v>
      </c>
      <c r="AH662" t="s">
        <v>6966</v>
      </c>
      <c r="AI662" t="s">
        <v>6966</v>
      </c>
      <c r="AJ662" t="s">
        <v>6966</v>
      </c>
      <c r="AK662" t="s">
        <v>6966</v>
      </c>
      <c r="AL662" t="s">
        <v>6966</v>
      </c>
      <c r="AM662" t="s">
        <v>6966</v>
      </c>
      <c r="AN662" t="s">
        <v>6966</v>
      </c>
      <c r="AO662" t="s">
        <v>6966</v>
      </c>
      <c r="AP662" t="s">
        <v>6966</v>
      </c>
      <c r="AQ662" t="s">
        <v>6966</v>
      </c>
      <c r="AR662" t="s">
        <v>6966</v>
      </c>
      <c r="AS662" t="s">
        <v>6966</v>
      </c>
      <c r="AT662" t="s">
        <v>6966</v>
      </c>
      <c r="AU662" t="s">
        <v>6966</v>
      </c>
      <c r="AV662" t="s">
        <v>6966</v>
      </c>
      <c r="AW662" t="s">
        <v>6966</v>
      </c>
      <c r="AX662" t="s">
        <v>6966</v>
      </c>
      <c r="AY662" t="s">
        <v>6966</v>
      </c>
      <c r="AZ662">
        <v>5.3710000000000001E-2</v>
      </c>
      <c r="BA662">
        <v>1.4300000000000001E-4</v>
      </c>
    </row>
    <row r="663" spans="1:53" x14ac:dyDescent="0.25">
      <c r="A663">
        <v>661</v>
      </c>
      <c r="B663" t="s">
        <v>7625</v>
      </c>
      <c r="C663">
        <v>504100</v>
      </c>
      <c r="D663" t="s">
        <v>87</v>
      </c>
      <c r="E663" t="s">
        <v>7766</v>
      </c>
      <c r="F663">
        <v>2845657.25</v>
      </c>
      <c r="G663">
        <v>7020.4892579999996</v>
      </c>
      <c r="H663">
        <v>611</v>
      </c>
      <c r="I663">
        <v>808</v>
      </c>
      <c r="J663">
        <v>26007</v>
      </c>
      <c r="K663" t="s">
        <v>87</v>
      </c>
      <c r="L663">
        <v>7</v>
      </c>
      <c r="M663">
        <v>7</v>
      </c>
      <c r="N663">
        <v>26007</v>
      </c>
      <c r="O663">
        <v>599</v>
      </c>
      <c r="P663" t="s">
        <v>3212</v>
      </c>
      <c r="Q663">
        <v>0</v>
      </c>
      <c r="R663">
        <v>0</v>
      </c>
      <c r="S663">
        <v>0</v>
      </c>
      <c r="T663">
        <v>0</v>
      </c>
      <c r="U663">
        <v>2845657.3223700002</v>
      </c>
      <c r="V663">
        <v>7020.4892829999999</v>
      </c>
      <c r="W663">
        <v>662</v>
      </c>
      <c r="X663">
        <v>0</v>
      </c>
      <c r="Y663">
        <v>661</v>
      </c>
      <c r="Z663" t="s">
        <v>6966</v>
      </c>
      <c r="AA663" t="s">
        <v>6966</v>
      </c>
      <c r="AB663" t="s">
        <v>6966</v>
      </c>
      <c r="AC663" t="s">
        <v>6966</v>
      </c>
      <c r="AD663" t="s">
        <v>6966</v>
      </c>
      <c r="AE663" t="s">
        <v>6966</v>
      </c>
      <c r="AF663" t="s">
        <v>6966</v>
      </c>
      <c r="AG663" t="s">
        <v>6966</v>
      </c>
      <c r="AH663" t="s">
        <v>6966</v>
      </c>
      <c r="AI663" t="s">
        <v>6966</v>
      </c>
      <c r="AJ663" t="s">
        <v>6966</v>
      </c>
      <c r="AK663" t="s">
        <v>6966</v>
      </c>
      <c r="AL663" t="s">
        <v>6966</v>
      </c>
      <c r="AM663" t="s">
        <v>6966</v>
      </c>
      <c r="AN663" t="s">
        <v>6966</v>
      </c>
      <c r="AO663" t="s">
        <v>6966</v>
      </c>
      <c r="AP663" t="s">
        <v>6966</v>
      </c>
      <c r="AQ663" t="s">
        <v>6966</v>
      </c>
      <c r="AR663" t="s">
        <v>6966</v>
      </c>
      <c r="AS663" t="s">
        <v>6966</v>
      </c>
      <c r="AT663" t="s">
        <v>6966</v>
      </c>
      <c r="AU663" t="s">
        <v>6966</v>
      </c>
      <c r="AV663" t="s">
        <v>6966</v>
      </c>
      <c r="AW663" t="s">
        <v>6966</v>
      </c>
      <c r="AX663" t="s">
        <v>6966</v>
      </c>
      <c r="AY663" t="s">
        <v>6966</v>
      </c>
      <c r="AZ663">
        <v>7.0069999999999993E-2</v>
      </c>
      <c r="BA663">
        <v>2.7799999999999998E-4</v>
      </c>
    </row>
    <row r="664" spans="1:53" x14ac:dyDescent="0.25">
      <c r="A664">
        <v>662</v>
      </c>
      <c r="B664" t="s">
        <v>7625</v>
      </c>
      <c r="C664">
        <v>504014</v>
      </c>
      <c r="D664" t="s">
        <v>527</v>
      </c>
      <c r="E664" t="s">
        <v>7766</v>
      </c>
      <c r="F664">
        <v>5950997</v>
      </c>
      <c r="G664">
        <v>15325.78125</v>
      </c>
      <c r="H664">
        <v>612</v>
      </c>
      <c r="I664">
        <v>809</v>
      </c>
      <c r="J664">
        <v>26364</v>
      </c>
      <c r="K664" t="s">
        <v>1987</v>
      </c>
      <c r="L664">
        <v>7</v>
      </c>
      <c r="M664">
        <v>7</v>
      </c>
      <c r="N664">
        <v>26364</v>
      </c>
      <c r="O664">
        <v>600</v>
      </c>
      <c r="P664" t="s">
        <v>3212</v>
      </c>
      <c r="Q664">
        <v>0</v>
      </c>
      <c r="R664">
        <v>7.07</v>
      </c>
      <c r="S664">
        <v>0.13</v>
      </c>
      <c r="T664">
        <v>19</v>
      </c>
      <c r="U664">
        <v>5950996.6723800004</v>
      </c>
      <c r="V664">
        <v>15325.780925999999</v>
      </c>
      <c r="W664">
        <v>663</v>
      </c>
      <c r="X664">
        <v>0</v>
      </c>
      <c r="Y664">
        <v>662</v>
      </c>
      <c r="Z664" t="s">
        <v>6966</v>
      </c>
      <c r="AA664" t="s">
        <v>6966</v>
      </c>
      <c r="AB664" t="s">
        <v>6966</v>
      </c>
      <c r="AC664" t="s">
        <v>6966</v>
      </c>
      <c r="AD664" t="s">
        <v>6966</v>
      </c>
      <c r="AE664" t="s">
        <v>6966</v>
      </c>
      <c r="AF664" t="s">
        <v>6966</v>
      </c>
      <c r="AG664" t="s">
        <v>6966</v>
      </c>
      <c r="AH664" t="s">
        <v>6966</v>
      </c>
      <c r="AI664" t="s">
        <v>6966</v>
      </c>
      <c r="AJ664" t="s">
        <v>6966</v>
      </c>
      <c r="AK664" t="s">
        <v>6966</v>
      </c>
      <c r="AL664" t="s">
        <v>6966</v>
      </c>
      <c r="AM664" t="s">
        <v>6966</v>
      </c>
      <c r="AN664" t="s">
        <v>6966</v>
      </c>
      <c r="AO664" t="s">
        <v>6966</v>
      </c>
      <c r="AP664" t="s">
        <v>6966</v>
      </c>
      <c r="AQ664" t="s">
        <v>6966</v>
      </c>
      <c r="AR664" t="s">
        <v>6966</v>
      </c>
      <c r="AS664" t="s">
        <v>6966</v>
      </c>
      <c r="AT664" t="s">
        <v>6966</v>
      </c>
      <c r="AU664" t="s">
        <v>6966</v>
      </c>
      <c r="AV664" t="s">
        <v>6966</v>
      </c>
      <c r="AW664" t="s">
        <v>6966</v>
      </c>
      <c r="AX664" t="s">
        <v>6966</v>
      </c>
      <c r="AY664" t="s">
        <v>6966</v>
      </c>
      <c r="AZ664">
        <v>0.155361</v>
      </c>
      <c r="BA664">
        <v>5.8100000000000003E-4</v>
      </c>
    </row>
    <row r="665" spans="1:53" x14ac:dyDescent="0.25">
      <c r="A665">
        <v>663</v>
      </c>
      <c r="B665" t="s">
        <v>7625</v>
      </c>
      <c r="C665">
        <v>505083</v>
      </c>
      <c r="D665" t="s">
        <v>87</v>
      </c>
      <c r="E665" t="s">
        <v>7719</v>
      </c>
      <c r="F665">
        <v>362492.25</v>
      </c>
      <c r="G665">
        <v>3048.7741700000001</v>
      </c>
      <c r="H665">
        <v>613</v>
      </c>
      <c r="I665">
        <v>810</v>
      </c>
      <c r="J665">
        <v>26008</v>
      </c>
      <c r="K665" t="s">
        <v>87</v>
      </c>
      <c r="L665">
        <v>6</v>
      </c>
      <c r="M665">
        <v>6</v>
      </c>
      <c r="N665">
        <v>26008</v>
      </c>
      <c r="O665">
        <v>601</v>
      </c>
      <c r="P665" t="s">
        <v>3212</v>
      </c>
      <c r="Q665">
        <v>0</v>
      </c>
      <c r="R665">
        <v>0</v>
      </c>
      <c r="S665">
        <v>0</v>
      </c>
      <c r="T665">
        <v>0</v>
      </c>
      <c r="U665">
        <v>362492.27486399998</v>
      </c>
      <c r="V665">
        <v>3048.774281</v>
      </c>
      <c r="W665">
        <v>664</v>
      </c>
      <c r="X665">
        <v>0</v>
      </c>
      <c r="Y665">
        <v>663</v>
      </c>
      <c r="Z665" t="s">
        <v>6966</v>
      </c>
      <c r="AA665" t="s">
        <v>6966</v>
      </c>
      <c r="AB665" t="s">
        <v>6966</v>
      </c>
      <c r="AC665" t="s">
        <v>6966</v>
      </c>
      <c r="AD665" t="s">
        <v>6966</v>
      </c>
      <c r="AE665" t="s">
        <v>6966</v>
      </c>
      <c r="AF665" t="s">
        <v>6966</v>
      </c>
      <c r="AG665" t="s">
        <v>6966</v>
      </c>
      <c r="AH665" t="s">
        <v>6966</v>
      </c>
      <c r="AI665" t="s">
        <v>6966</v>
      </c>
      <c r="AJ665" t="s">
        <v>6966</v>
      </c>
      <c r="AK665" t="s">
        <v>6966</v>
      </c>
      <c r="AL665" t="s">
        <v>6966</v>
      </c>
      <c r="AM665" t="s">
        <v>6966</v>
      </c>
      <c r="AN665" t="s">
        <v>6966</v>
      </c>
      <c r="AO665" t="s">
        <v>6966</v>
      </c>
      <c r="AP665" t="s">
        <v>6966</v>
      </c>
      <c r="AQ665" t="s">
        <v>6966</v>
      </c>
      <c r="AR665" t="s">
        <v>6966</v>
      </c>
      <c r="AS665" t="s">
        <v>6966</v>
      </c>
      <c r="AT665" t="s">
        <v>6966</v>
      </c>
      <c r="AU665" t="s">
        <v>6966</v>
      </c>
      <c r="AV665" t="s">
        <v>6966</v>
      </c>
      <c r="AW665" t="s">
        <v>6966</v>
      </c>
      <c r="AX665" t="s">
        <v>6966</v>
      </c>
      <c r="AY665" t="s">
        <v>6966</v>
      </c>
      <c r="AZ665">
        <v>2.9919000000000001E-2</v>
      </c>
      <c r="BA665">
        <v>3.4999999999999997E-5</v>
      </c>
    </row>
    <row r="666" spans="1:53" x14ac:dyDescent="0.25">
      <c r="A666">
        <v>664</v>
      </c>
      <c r="B666" t="s">
        <v>7625</v>
      </c>
      <c r="C666">
        <v>505046</v>
      </c>
      <c r="D666" t="s">
        <v>410</v>
      </c>
      <c r="E666" t="s">
        <v>7719</v>
      </c>
      <c r="F666">
        <v>1203324.625</v>
      </c>
      <c r="G666">
        <v>7202.6708980000003</v>
      </c>
      <c r="H666">
        <v>614</v>
      </c>
      <c r="I666">
        <v>811</v>
      </c>
      <c r="J666">
        <v>25365</v>
      </c>
      <c r="K666" t="s">
        <v>410</v>
      </c>
      <c r="L666">
        <v>6</v>
      </c>
      <c r="M666">
        <v>6</v>
      </c>
      <c r="N666">
        <v>25365</v>
      </c>
      <c r="O666">
        <v>602</v>
      </c>
      <c r="P666" t="s">
        <v>3212</v>
      </c>
      <c r="Q666">
        <v>5.2</v>
      </c>
      <c r="R666">
        <v>12.81</v>
      </c>
      <c r="S666">
        <v>1.62</v>
      </c>
      <c r="T666">
        <v>4</v>
      </c>
      <c r="U666">
        <v>1203324.5507799999</v>
      </c>
      <c r="V666">
        <v>7202.6711070000001</v>
      </c>
      <c r="W666">
        <v>665</v>
      </c>
      <c r="X666">
        <v>0</v>
      </c>
      <c r="Y666">
        <v>664</v>
      </c>
      <c r="Z666" t="s">
        <v>6966</v>
      </c>
      <c r="AA666" t="s">
        <v>6966</v>
      </c>
      <c r="AB666" t="s">
        <v>6966</v>
      </c>
      <c r="AC666" t="s">
        <v>6966</v>
      </c>
      <c r="AD666" t="s">
        <v>6966</v>
      </c>
      <c r="AE666" t="s">
        <v>6966</v>
      </c>
      <c r="AF666" t="s">
        <v>6966</v>
      </c>
      <c r="AG666" t="s">
        <v>6966</v>
      </c>
      <c r="AH666" t="s">
        <v>6966</v>
      </c>
      <c r="AI666" t="s">
        <v>6966</v>
      </c>
      <c r="AJ666" t="s">
        <v>6966</v>
      </c>
      <c r="AK666" t="s">
        <v>6966</v>
      </c>
      <c r="AL666" t="s">
        <v>6966</v>
      </c>
      <c r="AM666" t="s">
        <v>6966</v>
      </c>
      <c r="AN666" t="s">
        <v>6966</v>
      </c>
      <c r="AO666" t="s">
        <v>6966</v>
      </c>
      <c r="AP666" t="s">
        <v>6966</v>
      </c>
      <c r="AQ666" t="s">
        <v>6966</v>
      </c>
      <c r="AR666" t="s">
        <v>6966</v>
      </c>
      <c r="AS666" t="s">
        <v>6966</v>
      </c>
      <c r="AT666" t="s">
        <v>6966</v>
      </c>
      <c r="AU666" t="s">
        <v>6966</v>
      </c>
      <c r="AV666" t="s">
        <v>6966</v>
      </c>
      <c r="AW666" t="s">
        <v>6966</v>
      </c>
      <c r="AX666" t="s">
        <v>6966</v>
      </c>
      <c r="AY666" t="s">
        <v>6966</v>
      </c>
      <c r="AZ666">
        <v>7.2438000000000002E-2</v>
      </c>
      <c r="BA666">
        <v>1.17E-4</v>
      </c>
    </row>
    <row r="667" spans="1:53" x14ac:dyDescent="0.25">
      <c r="A667">
        <v>665</v>
      </c>
      <c r="B667" t="s">
        <v>7625</v>
      </c>
      <c r="C667">
        <v>505007</v>
      </c>
      <c r="D667" t="s">
        <v>408</v>
      </c>
      <c r="E667" t="s">
        <v>7719</v>
      </c>
      <c r="F667">
        <v>1126147.125</v>
      </c>
      <c r="G667">
        <v>8081.6660160000001</v>
      </c>
      <c r="H667">
        <v>615</v>
      </c>
      <c r="I667">
        <v>812</v>
      </c>
      <c r="J667">
        <v>25361</v>
      </c>
      <c r="K667" t="s">
        <v>1890</v>
      </c>
      <c r="L667">
        <v>6</v>
      </c>
      <c r="M667">
        <v>6</v>
      </c>
      <c r="N667">
        <v>25361</v>
      </c>
      <c r="O667">
        <v>603</v>
      </c>
      <c r="P667" t="s">
        <v>3212</v>
      </c>
      <c r="Q667">
        <v>4.0999999999999996</v>
      </c>
      <c r="R667">
        <v>8.06</v>
      </c>
      <c r="S667">
        <v>1.85</v>
      </c>
      <c r="T667">
        <v>4</v>
      </c>
      <c r="U667">
        <v>1126147.0792700001</v>
      </c>
      <c r="V667">
        <v>8081.6653319999996</v>
      </c>
      <c r="W667">
        <v>666</v>
      </c>
      <c r="X667">
        <v>0</v>
      </c>
      <c r="Y667">
        <v>665</v>
      </c>
      <c r="Z667" t="s">
        <v>6966</v>
      </c>
      <c r="AA667" t="s">
        <v>6966</v>
      </c>
      <c r="AB667" t="s">
        <v>6966</v>
      </c>
      <c r="AC667" t="s">
        <v>6966</v>
      </c>
      <c r="AD667" t="s">
        <v>6966</v>
      </c>
      <c r="AE667" t="s">
        <v>6966</v>
      </c>
      <c r="AF667" t="s">
        <v>6966</v>
      </c>
      <c r="AG667" t="s">
        <v>6966</v>
      </c>
      <c r="AH667" t="s">
        <v>6966</v>
      </c>
      <c r="AI667" t="s">
        <v>6966</v>
      </c>
      <c r="AJ667" t="s">
        <v>6966</v>
      </c>
      <c r="AK667" t="s">
        <v>6966</v>
      </c>
      <c r="AL667" t="s">
        <v>6966</v>
      </c>
      <c r="AM667" t="s">
        <v>6966</v>
      </c>
      <c r="AN667" t="s">
        <v>6966</v>
      </c>
      <c r="AO667" t="s">
        <v>6966</v>
      </c>
      <c r="AP667" t="s">
        <v>6966</v>
      </c>
      <c r="AQ667" t="s">
        <v>6966</v>
      </c>
      <c r="AR667" t="s">
        <v>6966</v>
      </c>
      <c r="AS667" t="s">
        <v>6966</v>
      </c>
      <c r="AT667" t="s">
        <v>6966</v>
      </c>
      <c r="AU667" t="s">
        <v>6966</v>
      </c>
      <c r="AV667" t="s">
        <v>6966</v>
      </c>
      <c r="AW667" t="s">
        <v>6966</v>
      </c>
      <c r="AX667" t="s">
        <v>6966</v>
      </c>
      <c r="AY667" t="s">
        <v>6966</v>
      </c>
      <c r="AZ667">
        <v>8.2686999999999997E-2</v>
      </c>
      <c r="BA667">
        <v>1.1E-4</v>
      </c>
    </row>
    <row r="668" spans="1:53" x14ac:dyDescent="0.25">
      <c r="A668">
        <v>666</v>
      </c>
      <c r="B668" t="s">
        <v>7625</v>
      </c>
      <c r="C668">
        <v>505065</v>
      </c>
      <c r="D668" t="s">
        <v>413</v>
      </c>
      <c r="E668" t="s">
        <v>7719</v>
      </c>
      <c r="F668">
        <v>7899530.5</v>
      </c>
      <c r="G668">
        <v>17604.683593999998</v>
      </c>
      <c r="H668">
        <v>616</v>
      </c>
      <c r="I668">
        <v>813</v>
      </c>
      <c r="J668">
        <v>25371</v>
      </c>
      <c r="K668" t="s">
        <v>1894</v>
      </c>
      <c r="L668">
        <v>6</v>
      </c>
      <c r="M668">
        <v>6</v>
      </c>
      <c r="N668">
        <v>25371</v>
      </c>
      <c r="O668">
        <v>604</v>
      </c>
      <c r="P668" t="s">
        <v>3212</v>
      </c>
      <c r="Q668">
        <v>0.4</v>
      </c>
      <c r="R668">
        <v>51.71</v>
      </c>
      <c r="S668">
        <v>0.1</v>
      </c>
      <c r="T668">
        <v>12</v>
      </c>
      <c r="U668">
        <v>7899530.39879</v>
      </c>
      <c r="V668">
        <v>17604.683262999999</v>
      </c>
      <c r="W668">
        <v>667</v>
      </c>
      <c r="X668">
        <v>0</v>
      </c>
      <c r="Y668">
        <v>666</v>
      </c>
      <c r="Z668" t="s">
        <v>6966</v>
      </c>
      <c r="AA668" t="s">
        <v>6966</v>
      </c>
      <c r="AB668" t="s">
        <v>6966</v>
      </c>
      <c r="AC668" t="s">
        <v>6966</v>
      </c>
      <c r="AD668" t="s">
        <v>6966</v>
      </c>
      <c r="AE668" t="s">
        <v>6966</v>
      </c>
      <c r="AF668" t="s">
        <v>6966</v>
      </c>
      <c r="AG668" t="s">
        <v>6966</v>
      </c>
      <c r="AH668" t="s">
        <v>6966</v>
      </c>
      <c r="AI668" t="s">
        <v>6966</v>
      </c>
      <c r="AJ668" t="s">
        <v>6966</v>
      </c>
      <c r="AK668" t="s">
        <v>6966</v>
      </c>
      <c r="AL668" t="s">
        <v>6966</v>
      </c>
      <c r="AM668" t="s">
        <v>6966</v>
      </c>
      <c r="AN668" t="s">
        <v>6966</v>
      </c>
      <c r="AO668" t="s">
        <v>6966</v>
      </c>
      <c r="AP668" t="s">
        <v>6966</v>
      </c>
      <c r="AQ668" t="s">
        <v>6966</v>
      </c>
      <c r="AR668" t="s">
        <v>6966</v>
      </c>
      <c r="AS668" t="s">
        <v>6966</v>
      </c>
      <c r="AT668" t="s">
        <v>6966</v>
      </c>
      <c r="AU668" t="s">
        <v>6966</v>
      </c>
      <c r="AV668" t="s">
        <v>6966</v>
      </c>
      <c r="AW668" t="s">
        <v>6966</v>
      </c>
      <c r="AX668" t="s">
        <v>6966</v>
      </c>
      <c r="AY668" t="s">
        <v>6966</v>
      </c>
      <c r="AZ668">
        <v>0.17802100000000001</v>
      </c>
      <c r="BA668">
        <v>7.7099999999999998E-4</v>
      </c>
    </row>
    <row r="669" spans="1:53" x14ac:dyDescent="0.25">
      <c r="A669">
        <v>667</v>
      </c>
      <c r="B669" t="s">
        <v>7625</v>
      </c>
      <c r="C669">
        <v>504101</v>
      </c>
      <c r="D669" t="s">
        <v>87</v>
      </c>
      <c r="E669" t="s">
        <v>7766</v>
      </c>
      <c r="F669">
        <v>78852.257813000004</v>
      </c>
      <c r="G669">
        <v>1428.144409</v>
      </c>
      <c r="H669">
        <v>617</v>
      </c>
      <c r="I669">
        <v>814</v>
      </c>
      <c r="J669">
        <v>26009</v>
      </c>
      <c r="K669" t="s">
        <v>87</v>
      </c>
      <c r="L669">
        <v>7</v>
      </c>
      <c r="M669">
        <v>7</v>
      </c>
      <c r="N669">
        <v>26009</v>
      </c>
      <c r="O669">
        <v>605</v>
      </c>
      <c r="P669" t="s">
        <v>3212</v>
      </c>
      <c r="Q669">
        <v>0</v>
      </c>
      <c r="R669">
        <v>0</v>
      </c>
      <c r="S669">
        <v>0</v>
      </c>
      <c r="T669">
        <v>0</v>
      </c>
      <c r="U669">
        <v>78852.240672</v>
      </c>
      <c r="V669">
        <v>1428.1445220000001</v>
      </c>
      <c r="W669">
        <v>668</v>
      </c>
      <c r="X669">
        <v>0</v>
      </c>
      <c r="Y669">
        <v>667</v>
      </c>
      <c r="Z669" t="s">
        <v>6966</v>
      </c>
      <c r="AA669" t="s">
        <v>6966</v>
      </c>
      <c r="AB669" t="s">
        <v>6966</v>
      </c>
      <c r="AC669" t="s">
        <v>6966</v>
      </c>
      <c r="AD669" t="s">
        <v>6966</v>
      </c>
      <c r="AE669" t="s">
        <v>6966</v>
      </c>
      <c r="AF669" t="s">
        <v>6966</v>
      </c>
      <c r="AG669" t="s">
        <v>6966</v>
      </c>
      <c r="AH669" t="s">
        <v>6966</v>
      </c>
      <c r="AI669" t="s">
        <v>6966</v>
      </c>
      <c r="AJ669" t="s">
        <v>6966</v>
      </c>
      <c r="AK669" t="s">
        <v>6966</v>
      </c>
      <c r="AL669" t="s">
        <v>6966</v>
      </c>
      <c r="AM669" t="s">
        <v>6966</v>
      </c>
      <c r="AN669" t="s">
        <v>6966</v>
      </c>
      <c r="AO669" t="s">
        <v>6966</v>
      </c>
      <c r="AP669" t="s">
        <v>6966</v>
      </c>
      <c r="AQ669" t="s">
        <v>6966</v>
      </c>
      <c r="AR669" t="s">
        <v>6966</v>
      </c>
      <c r="AS669" t="s">
        <v>6966</v>
      </c>
      <c r="AT669" t="s">
        <v>6966</v>
      </c>
      <c r="AU669" t="s">
        <v>6966</v>
      </c>
      <c r="AV669" t="s">
        <v>6966</v>
      </c>
      <c r="AW669" t="s">
        <v>6966</v>
      </c>
      <c r="AX669" t="s">
        <v>6966</v>
      </c>
      <c r="AY669" t="s">
        <v>6966</v>
      </c>
      <c r="AZ669">
        <v>1.3880999999999999E-2</v>
      </c>
      <c r="BA669">
        <v>7.9999999999999996E-6</v>
      </c>
    </row>
    <row r="670" spans="1:53" x14ac:dyDescent="0.25">
      <c r="A670">
        <v>668</v>
      </c>
      <c r="B670" t="s">
        <v>7625</v>
      </c>
      <c r="C670">
        <v>505081</v>
      </c>
      <c r="D670" t="s">
        <v>87</v>
      </c>
      <c r="E670" t="s">
        <v>7719</v>
      </c>
      <c r="F670">
        <v>6816104.5</v>
      </c>
      <c r="G670">
        <v>14520.786133</v>
      </c>
      <c r="H670">
        <v>618</v>
      </c>
      <c r="I670">
        <v>815</v>
      </c>
      <c r="J670">
        <v>25001</v>
      </c>
      <c r="K670" t="s">
        <v>87</v>
      </c>
      <c r="L670">
        <v>6</v>
      </c>
      <c r="M670">
        <v>6</v>
      </c>
      <c r="N670">
        <v>25001</v>
      </c>
      <c r="O670">
        <v>606</v>
      </c>
      <c r="P670" t="s">
        <v>3212</v>
      </c>
      <c r="Q670">
        <v>0</v>
      </c>
      <c r="R670">
        <v>0</v>
      </c>
      <c r="S670">
        <v>0</v>
      </c>
      <c r="T670">
        <v>0</v>
      </c>
      <c r="U670">
        <v>6816104.3977600001</v>
      </c>
      <c r="V670">
        <v>14520.786735</v>
      </c>
      <c r="W670">
        <v>669</v>
      </c>
      <c r="X670">
        <v>0</v>
      </c>
      <c r="Y670">
        <v>668</v>
      </c>
      <c r="Z670" t="s">
        <v>6966</v>
      </c>
      <c r="AA670" t="s">
        <v>6966</v>
      </c>
      <c r="AB670" t="s">
        <v>6966</v>
      </c>
      <c r="AC670" t="s">
        <v>6966</v>
      </c>
      <c r="AD670" t="s">
        <v>6966</v>
      </c>
      <c r="AE670" t="s">
        <v>6966</v>
      </c>
      <c r="AF670" t="s">
        <v>6966</v>
      </c>
      <c r="AG670" t="s">
        <v>6966</v>
      </c>
      <c r="AH670" t="s">
        <v>6966</v>
      </c>
      <c r="AI670" t="s">
        <v>6966</v>
      </c>
      <c r="AJ670" t="s">
        <v>6966</v>
      </c>
      <c r="AK670" t="s">
        <v>6966</v>
      </c>
      <c r="AL670" t="s">
        <v>6966</v>
      </c>
      <c r="AM670" t="s">
        <v>6966</v>
      </c>
      <c r="AN670" t="s">
        <v>6966</v>
      </c>
      <c r="AO670" t="s">
        <v>6966</v>
      </c>
      <c r="AP670" t="s">
        <v>6966</v>
      </c>
      <c r="AQ670" t="s">
        <v>6966</v>
      </c>
      <c r="AR670" t="s">
        <v>6966</v>
      </c>
      <c r="AS670" t="s">
        <v>6966</v>
      </c>
      <c r="AT670" t="s">
        <v>6966</v>
      </c>
      <c r="AU670" t="s">
        <v>6966</v>
      </c>
      <c r="AV670" t="s">
        <v>6966</v>
      </c>
      <c r="AW670" t="s">
        <v>6966</v>
      </c>
      <c r="AX670" t="s">
        <v>6966</v>
      </c>
      <c r="AY670" t="s">
        <v>6966</v>
      </c>
      <c r="AZ670">
        <v>0.143451</v>
      </c>
      <c r="BA670">
        <v>6.6500000000000001E-4</v>
      </c>
    </row>
    <row r="671" spans="1:53" x14ac:dyDescent="0.25">
      <c r="A671">
        <v>669</v>
      </c>
      <c r="B671" t="s">
        <v>7625</v>
      </c>
      <c r="C671">
        <v>505060</v>
      </c>
      <c r="D671" t="s">
        <v>437</v>
      </c>
      <c r="E671" t="s">
        <v>7719</v>
      </c>
      <c r="F671">
        <v>0</v>
      </c>
      <c r="G671">
        <v>43822.375</v>
      </c>
      <c r="H671">
        <v>619</v>
      </c>
      <c r="I671">
        <v>816</v>
      </c>
      <c r="J671">
        <v>25488</v>
      </c>
      <c r="K671" t="s">
        <v>1835</v>
      </c>
      <c r="L671">
        <v>6</v>
      </c>
      <c r="M671">
        <v>6</v>
      </c>
      <c r="N671">
        <v>25488</v>
      </c>
      <c r="O671">
        <v>607</v>
      </c>
      <c r="P671" t="s">
        <v>3212</v>
      </c>
      <c r="Q671">
        <v>0</v>
      </c>
      <c r="R671">
        <v>0</v>
      </c>
      <c r="S671">
        <v>0</v>
      </c>
      <c r="T671">
        <v>0</v>
      </c>
      <c r="U671">
        <v>0</v>
      </c>
      <c r="V671">
        <v>43822.377800000002</v>
      </c>
      <c r="W671">
        <v>670</v>
      </c>
      <c r="X671">
        <v>0</v>
      </c>
      <c r="Y671">
        <v>669</v>
      </c>
      <c r="Z671" t="s">
        <v>6966</v>
      </c>
      <c r="AA671" t="s">
        <v>6966</v>
      </c>
      <c r="AB671" t="s">
        <v>6966</v>
      </c>
      <c r="AC671" t="s">
        <v>6966</v>
      </c>
      <c r="AD671" t="s">
        <v>6966</v>
      </c>
      <c r="AE671" t="s">
        <v>6966</v>
      </c>
      <c r="AF671" t="s">
        <v>6966</v>
      </c>
      <c r="AG671" t="s">
        <v>6966</v>
      </c>
      <c r="AH671" t="s">
        <v>6966</v>
      </c>
      <c r="AI671" t="s">
        <v>6966</v>
      </c>
      <c r="AJ671" t="s">
        <v>6966</v>
      </c>
      <c r="AK671" t="s">
        <v>6966</v>
      </c>
      <c r="AL671" t="s">
        <v>6966</v>
      </c>
      <c r="AM671" t="s">
        <v>6966</v>
      </c>
      <c r="AN671" t="s">
        <v>6966</v>
      </c>
      <c r="AO671" t="s">
        <v>6966</v>
      </c>
      <c r="AP671" t="s">
        <v>6966</v>
      </c>
      <c r="AQ671" t="s">
        <v>6966</v>
      </c>
      <c r="AR671" t="s">
        <v>6966</v>
      </c>
      <c r="AS671" t="s">
        <v>6966</v>
      </c>
      <c r="AT671" t="s">
        <v>6966</v>
      </c>
      <c r="AU671" t="s">
        <v>6966</v>
      </c>
      <c r="AV671" t="s">
        <v>6966</v>
      </c>
      <c r="AW671" t="s">
        <v>6966</v>
      </c>
      <c r="AX671" t="s">
        <v>6966</v>
      </c>
      <c r="AY671" t="s">
        <v>6966</v>
      </c>
      <c r="AZ671">
        <v>0.44034400000000001</v>
      </c>
      <c r="BA671">
        <v>3.16E-3</v>
      </c>
    </row>
    <row r="672" spans="1:53" x14ac:dyDescent="0.25">
      <c r="A672">
        <v>670</v>
      </c>
      <c r="B672" t="s">
        <v>7625</v>
      </c>
      <c r="C672">
        <v>505078</v>
      </c>
      <c r="D672" t="s">
        <v>415</v>
      </c>
      <c r="E672" t="s">
        <v>7719</v>
      </c>
      <c r="F672">
        <v>2390664.25</v>
      </c>
      <c r="G672">
        <v>10401.055664</v>
      </c>
      <c r="H672">
        <v>620</v>
      </c>
      <c r="I672">
        <v>817</v>
      </c>
      <c r="J672">
        <v>25375</v>
      </c>
      <c r="K672" t="s">
        <v>1896</v>
      </c>
      <c r="L672">
        <v>6</v>
      </c>
      <c r="M672">
        <v>6</v>
      </c>
      <c r="N672">
        <v>25375</v>
      </c>
      <c r="O672">
        <v>608</v>
      </c>
      <c r="P672" t="s">
        <v>3212</v>
      </c>
      <c r="Q672">
        <v>1.5</v>
      </c>
      <c r="R672">
        <v>9.26</v>
      </c>
      <c r="S672">
        <v>0.5</v>
      </c>
      <c r="T672">
        <v>3</v>
      </c>
      <c r="U672">
        <v>2390664.3696300001</v>
      </c>
      <c r="V672">
        <v>10401.055458999999</v>
      </c>
      <c r="W672">
        <v>671</v>
      </c>
      <c r="X672">
        <v>0</v>
      </c>
      <c r="Y672">
        <v>670</v>
      </c>
      <c r="Z672" t="s">
        <v>6966</v>
      </c>
      <c r="AA672" t="s">
        <v>6966</v>
      </c>
      <c r="AB672" t="s">
        <v>6966</v>
      </c>
      <c r="AC672" t="s">
        <v>6966</v>
      </c>
      <c r="AD672" t="s">
        <v>6966</v>
      </c>
      <c r="AE672" t="s">
        <v>6966</v>
      </c>
      <c r="AF672" t="s">
        <v>6966</v>
      </c>
      <c r="AG672" t="s">
        <v>6966</v>
      </c>
      <c r="AH672" t="s">
        <v>6966</v>
      </c>
      <c r="AI672" t="s">
        <v>6966</v>
      </c>
      <c r="AJ672" t="s">
        <v>6966</v>
      </c>
      <c r="AK672" t="s">
        <v>6966</v>
      </c>
      <c r="AL672" t="s">
        <v>6966</v>
      </c>
      <c r="AM672" t="s">
        <v>6966</v>
      </c>
      <c r="AN672" t="s">
        <v>6966</v>
      </c>
      <c r="AO672" t="s">
        <v>6966</v>
      </c>
      <c r="AP672" t="s">
        <v>6966</v>
      </c>
      <c r="AQ672" t="s">
        <v>6966</v>
      </c>
      <c r="AR672" t="s">
        <v>6966</v>
      </c>
      <c r="AS672" t="s">
        <v>6966</v>
      </c>
      <c r="AT672" t="s">
        <v>6966</v>
      </c>
      <c r="AU672" t="s">
        <v>6966</v>
      </c>
      <c r="AV672" t="s">
        <v>6966</v>
      </c>
      <c r="AW672" t="s">
        <v>6966</v>
      </c>
      <c r="AX672" t="s">
        <v>6966</v>
      </c>
      <c r="AY672" t="s">
        <v>6966</v>
      </c>
      <c r="AZ672">
        <v>0.10842499999999999</v>
      </c>
      <c r="BA672">
        <v>2.33E-4</v>
      </c>
    </row>
    <row r="673" spans="1:53" x14ac:dyDescent="0.25">
      <c r="A673">
        <v>671</v>
      </c>
      <c r="B673" t="s">
        <v>7625</v>
      </c>
      <c r="C673">
        <v>505018</v>
      </c>
      <c r="D673" t="s">
        <v>373</v>
      </c>
      <c r="E673" t="s">
        <v>7719</v>
      </c>
      <c r="F673">
        <v>1001134.8125</v>
      </c>
      <c r="G673">
        <v>5472.2875979999999</v>
      </c>
      <c r="H673">
        <v>621</v>
      </c>
      <c r="I673">
        <v>818</v>
      </c>
      <c r="J673">
        <v>25176</v>
      </c>
      <c r="K673" t="s">
        <v>1867</v>
      </c>
      <c r="L673">
        <v>6</v>
      </c>
      <c r="M673">
        <v>6</v>
      </c>
      <c r="N673">
        <v>25176</v>
      </c>
      <c r="O673">
        <v>609</v>
      </c>
      <c r="P673" t="s">
        <v>3212</v>
      </c>
      <c r="Q673">
        <v>23.5</v>
      </c>
      <c r="R673">
        <v>36.32</v>
      </c>
      <c r="S673">
        <v>6.18</v>
      </c>
      <c r="T673">
        <v>10</v>
      </c>
      <c r="U673">
        <v>1001134.83066</v>
      </c>
      <c r="V673">
        <v>5472.2876329999999</v>
      </c>
      <c r="W673">
        <v>672</v>
      </c>
      <c r="X673">
        <v>0</v>
      </c>
      <c r="Y673">
        <v>671</v>
      </c>
      <c r="Z673" t="s">
        <v>6966</v>
      </c>
      <c r="AA673" t="s">
        <v>6966</v>
      </c>
      <c r="AB673" t="s">
        <v>6966</v>
      </c>
      <c r="AC673" t="s">
        <v>6966</v>
      </c>
      <c r="AD673" t="s">
        <v>6966</v>
      </c>
      <c r="AE673" t="s">
        <v>6966</v>
      </c>
      <c r="AF673" t="s">
        <v>6966</v>
      </c>
      <c r="AG673" t="s">
        <v>6966</v>
      </c>
      <c r="AH673" t="s">
        <v>6966</v>
      </c>
      <c r="AI673" t="s">
        <v>6966</v>
      </c>
      <c r="AJ673" t="s">
        <v>6966</v>
      </c>
      <c r="AK673" t="s">
        <v>6966</v>
      </c>
      <c r="AL673" t="s">
        <v>6966</v>
      </c>
      <c r="AM673" t="s">
        <v>6966</v>
      </c>
      <c r="AN673" t="s">
        <v>6966</v>
      </c>
      <c r="AO673" t="s">
        <v>6966</v>
      </c>
      <c r="AP673" t="s">
        <v>6966</v>
      </c>
      <c r="AQ673" t="s">
        <v>6966</v>
      </c>
      <c r="AR673" t="s">
        <v>6966</v>
      </c>
      <c r="AS673" t="s">
        <v>6966</v>
      </c>
      <c r="AT673" t="s">
        <v>6966</v>
      </c>
      <c r="AU673" t="s">
        <v>6966</v>
      </c>
      <c r="AV673" t="s">
        <v>6966</v>
      </c>
      <c r="AW673" t="s">
        <v>6966</v>
      </c>
      <c r="AX673" t="s">
        <v>6966</v>
      </c>
      <c r="AY673" t="s">
        <v>6966</v>
      </c>
      <c r="AZ673">
        <v>5.4923E-2</v>
      </c>
      <c r="BA673">
        <v>9.7999999999999997E-5</v>
      </c>
    </row>
    <row r="674" spans="1:53" x14ac:dyDescent="0.25">
      <c r="A674">
        <v>672</v>
      </c>
      <c r="B674" t="s">
        <v>7625</v>
      </c>
      <c r="C674">
        <v>505030</v>
      </c>
      <c r="D674" t="s">
        <v>7806</v>
      </c>
      <c r="E674" t="s">
        <v>7719</v>
      </c>
      <c r="F674">
        <v>2710768.25</v>
      </c>
      <c r="G674">
        <v>8997.8417969999991</v>
      </c>
      <c r="H674">
        <v>622</v>
      </c>
      <c r="I674">
        <v>819</v>
      </c>
      <c r="J674">
        <v>25363</v>
      </c>
      <c r="K674" t="s">
        <v>7807</v>
      </c>
      <c r="L674">
        <v>6</v>
      </c>
      <c r="M674">
        <v>6</v>
      </c>
      <c r="N674">
        <v>25363</v>
      </c>
      <c r="O674">
        <v>610</v>
      </c>
      <c r="P674" t="s">
        <v>3212</v>
      </c>
      <c r="Q674">
        <v>3.8</v>
      </c>
      <c r="R674">
        <v>12.57</v>
      </c>
      <c r="S674">
        <v>1.64</v>
      </c>
      <c r="T674">
        <v>5</v>
      </c>
      <c r="U674">
        <v>2710768.2246099999</v>
      </c>
      <c r="V674">
        <v>8997.8409680000004</v>
      </c>
      <c r="W674">
        <v>673</v>
      </c>
      <c r="X674">
        <v>2</v>
      </c>
      <c r="Y674">
        <v>672</v>
      </c>
      <c r="Z674">
        <v>66008</v>
      </c>
      <c r="AA674" s="76">
        <v>45853</v>
      </c>
      <c r="AB674">
        <v>2025</v>
      </c>
      <c r="AC674" t="s">
        <v>7313</v>
      </c>
      <c r="AD674">
        <v>15</v>
      </c>
      <c r="AE674" t="s">
        <v>7346</v>
      </c>
      <c r="AF674" t="s">
        <v>3212</v>
      </c>
      <c r="AG674" t="s">
        <v>3229</v>
      </c>
      <c r="AH674" t="s">
        <v>7347</v>
      </c>
      <c r="AI674" t="s">
        <v>7348</v>
      </c>
      <c r="AJ674" t="s">
        <v>6966</v>
      </c>
      <c r="AK674">
        <v>34.053449999999998</v>
      </c>
      <c r="AL674">
        <v>35.722549999999998</v>
      </c>
      <c r="AM674" t="s">
        <v>7014</v>
      </c>
      <c r="AN674" t="s">
        <v>7046</v>
      </c>
      <c r="AO674" t="s">
        <v>7198</v>
      </c>
      <c r="AP674" t="s">
        <v>7349</v>
      </c>
      <c r="AQ674" t="s">
        <v>6998</v>
      </c>
      <c r="AR674" t="s">
        <v>6999</v>
      </c>
      <c r="AS674" t="s">
        <v>7071</v>
      </c>
      <c r="AT674">
        <v>0</v>
      </c>
      <c r="AU674">
        <v>0</v>
      </c>
      <c r="AV674" t="s">
        <v>7417</v>
      </c>
      <c r="AW674" t="s">
        <v>7119</v>
      </c>
      <c r="AX674" t="s">
        <v>6966</v>
      </c>
      <c r="AY674" t="s">
        <v>7044</v>
      </c>
      <c r="AZ674">
        <v>9.0256000000000003E-2</v>
      </c>
      <c r="BA674">
        <v>2.6499999999999999E-4</v>
      </c>
    </row>
    <row r="675" spans="1:53" x14ac:dyDescent="0.25">
      <c r="A675">
        <v>673</v>
      </c>
      <c r="B675" t="s">
        <v>7625</v>
      </c>
      <c r="C675">
        <v>505066</v>
      </c>
      <c r="D675" t="s">
        <v>398</v>
      </c>
      <c r="E675" t="s">
        <v>7719</v>
      </c>
      <c r="F675">
        <v>2913974</v>
      </c>
      <c r="G675">
        <v>13400.770508</v>
      </c>
      <c r="H675">
        <v>623</v>
      </c>
      <c r="I675">
        <v>820</v>
      </c>
      <c r="J675">
        <v>25341</v>
      </c>
      <c r="K675" t="s">
        <v>1884</v>
      </c>
      <c r="L675">
        <v>6</v>
      </c>
      <c r="M675">
        <v>6</v>
      </c>
      <c r="N675">
        <v>25341</v>
      </c>
      <c r="O675">
        <v>611</v>
      </c>
      <c r="P675" t="s">
        <v>3212</v>
      </c>
      <c r="Q675">
        <v>1.8</v>
      </c>
      <c r="R675">
        <v>13.73</v>
      </c>
      <c r="S675">
        <v>0.49</v>
      </c>
      <c r="T675">
        <v>4</v>
      </c>
      <c r="U675">
        <v>2913974.0759399999</v>
      </c>
      <c r="V675">
        <v>13400.771697</v>
      </c>
      <c r="W675">
        <v>674</v>
      </c>
      <c r="X675">
        <v>0</v>
      </c>
      <c r="Y675">
        <v>673</v>
      </c>
      <c r="Z675" t="s">
        <v>6966</v>
      </c>
      <c r="AA675" t="s">
        <v>6966</v>
      </c>
      <c r="AB675" t="s">
        <v>6966</v>
      </c>
      <c r="AC675" t="s">
        <v>6966</v>
      </c>
      <c r="AD675" t="s">
        <v>6966</v>
      </c>
      <c r="AE675" t="s">
        <v>6966</v>
      </c>
      <c r="AF675" t="s">
        <v>6966</v>
      </c>
      <c r="AG675" t="s">
        <v>6966</v>
      </c>
      <c r="AH675" t="s">
        <v>6966</v>
      </c>
      <c r="AI675" t="s">
        <v>6966</v>
      </c>
      <c r="AJ675" t="s">
        <v>6966</v>
      </c>
      <c r="AK675" t="s">
        <v>6966</v>
      </c>
      <c r="AL675" t="s">
        <v>6966</v>
      </c>
      <c r="AM675" t="s">
        <v>6966</v>
      </c>
      <c r="AN675" t="s">
        <v>6966</v>
      </c>
      <c r="AO675" t="s">
        <v>6966</v>
      </c>
      <c r="AP675" t="s">
        <v>6966</v>
      </c>
      <c r="AQ675" t="s">
        <v>6966</v>
      </c>
      <c r="AR675" t="s">
        <v>6966</v>
      </c>
      <c r="AS675" t="s">
        <v>6966</v>
      </c>
      <c r="AT675" t="s">
        <v>6966</v>
      </c>
      <c r="AU675" t="s">
        <v>6966</v>
      </c>
      <c r="AV675" t="s">
        <v>6966</v>
      </c>
      <c r="AW675" t="s">
        <v>6966</v>
      </c>
      <c r="AX675" t="s">
        <v>6966</v>
      </c>
      <c r="AY675" t="s">
        <v>6966</v>
      </c>
      <c r="AZ675">
        <v>0.13800799999999999</v>
      </c>
      <c r="BA675">
        <v>2.8400000000000002E-4</v>
      </c>
    </row>
    <row r="676" spans="1:53" x14ac:dyDescent="0.25">
      <c r="A676">
        <v>674</v>
      </c>
      <c r="B676" t="s">
        <v>7625</v>
      </c>
      <c r="C676">
        <v>505032</v>
      </c>
      <c r="D676" t="s">
        <v>393</v>
      </c>
      <c r="E676" t="s">
        <v>7719</v>
      </c>
      <c r="F676">
        <v>584498.5</v>
      </c>
      <c r="G676">
        <v>4538.0903319999998</v>
      </c>
      <c r="H676">
        <v>624</v>
      </c>
      <c r="I676">
        <v>821</v>
      </c>
      <c r="J676">
        <v>25331</v>
      </c>
      <c r="K676" t="s">
        <v>1879</v>
      </c>
      <c r="L676">
        <v>6</v>
      </c>
      <c r="M676">
        <v>6</v>
      </c>
      <c r="N676">
        <v>25331</v>
      </c>
      <c r="O676">
        <v>612</v>
      </c>
      <c r="P676" t="s">
        <v>3212</v>
      </c>
      <c r="Q676">
        <v>8.4</v>
      </c>
      <c r="R676">
        <v>629.29999999999995</v>
      </c>
      <c r="S676">
        <v>2.59</v>
      </c>
      <c r="T676">
        <v>2</v>
      </c>
      <c r="U676">
        <v>584498.59151199996</v>
      </c>
      <c r="V676">
        <v>4538.0904289999999</v>
      </c>
      <c r="W676">
        <v>675</v>
      </c>
      <c r="X676">
        <v>0</v>
      </c>
      <c r="Y676">
        <v>674</v>
      </c>
      <c r="Z676" t="s">
        <v>6966</v>
      </c>
      <c r="AA676" t="s">
        <v>6966</v>
      </c>
      <c r="AB676" t="s">
        <v>6966</v>
      </c>
      <c r="AC676" t="s">
        <v>6966</v>
      </c>
      <c r="AD676" t="s">
        <v>6966</v>
      </c>
      <c r="AE676" t="s">
        <v>6966</v>
      </c>
      <c r="AF676" t="s">
        <v>6966</v>
      </c>
      <c r="AG676" t="s">
        <v>6966</v>
      </c>
      <c r="AH676" t="s">
        <v>6966</v>
      </c>
      <c r="AI676" t="s">
        <v>6966</v>
      </c>
      <c r="AJ676" t="s">
        <v>6966</v>
      </c>
      <c r="AK676" t="s">
        <v>6966</v>
      </c>
      <c r="AL676" t="s">
        <v>6966</v>
      </c>
      <c r="AM676" t="s">
        <v>6966</v>
      </c>
      <c r="AN676" t="s">
        <v>6966</v>
      </c>
      <c r="AO676" t="s">
        <v>6966</v>
      </c>
      <c r="AP676" t="s">
        <v>6966</v>
      </c>
      <c r="AQ676" t="s">
        <v>6966</v>
      </c>
      <c r="AR676" t="s">
        <v>6966</v>
      </c>
      <c r="AS676" t="s">
        <v>6966</v>
      </c>
      <c r="AT676" t="s">
        <v>6966</v>
      </c>
      <c r="AU676" t="s">
        <v>6966</v>
      </c>
      <c r="AV676" t="s">
        <v>6966</v>
      </c>
      <c r="AW676" t="s">
        <v>6966</v>
      </c>
      <c r="AX676" t="s">
        <v>6966</v>
      </c>
      <c r="AY676" t="s">
        <v>6966</v>
      </c>
      <c r="AZ676">
        <v>4.6677999999999997E-2</v>
      </c>
      <c r="BA676">
        <v>5.7000000000000003E-5</v>
      </c>
    </row>
    <row r="677" spans="1:53" x14ac:dyDescent="0.25">
      <c r="A677">
        <v>675</v>
      </c>
      <c r="B677" t="s">
        <v>7625</v>
      </c>
      <c r="C677">
        <v>505005</v>
      </c>
      <c r="D677" t="s">
        <v>7808</v>
      </c>
      <c r="E677" t="s">
        <v>7719</v>
      </c>
      <c r="F677">
        <v>1518933.75</v>
      </c>
      <c r="G677">
        <v>8906.2041019999997</v>
      </c>
      <c r="H677">
        <v>625</v>
      </c>
      <c r="I677">
        <v>822</v>
      </c>
      <c r="J677">
        <v>25171</v>
      </c>
      <c r="K677" t="s">
        <v>7809</v>
      </c>
      <c r="L677">
        <v>6</v>
      </c>
      <c r="M677">
        <v>6</v>
      </c>
      <c r="N677">
        <v>25171</v>
      </c>
      <c r="O677">
        <v>613</v>
      </c>
      <c r="P677" t="s">
        <v>3212</v>
      </c>
      <c r="Q677">
        <v>5.2</v>
      </c>
      <c r="R677">
        <v>21.02</v>
      </c>
      <c r="S677">
        <v>2.34</v>
      </c>
      <c r="T677">
        <v>10</v>
      </c>
      <c r="U677">
        <v>1518933.7029800001</v>
      </c>
      <c r="V677">
        <v>8906.2048510000004</v>
      </c>
      <c r="W677">
        <v>676</v>
      </c>
      <c r="X677">
        <v>0</v>
      </c>
      <c r="Y677">
        <v>675</v>
      </c>
      <c r="Z677" t="s">
        <v>6966</v>
      </c>
      <c r="AA677" t="s">
        <v>6966</v>
      </c>
      <c r="AB677" t="s">
        <v>6966</v>
      </c>
      <c r="AC677" t="s">
        <v>6966</v>
      </c>
      <c r="AD677" t="s">
        <v>6966</v>
      </c>
      <c r="AE677" t="s">
        <v>6966</v>
      </c>
      <c r="AF677" t="s">
        <v>6966</v>
      </c>
      <c r="AG677" t="s">
        <v>6966</v>
      </c>
      <c r="AH677" t="s">
        <v>6966</v>
      </c>
      <c r="AI677" t="s">
        <v>6966</v>
      </c>
      <c r="AJ677" t="s">
        <v>6966</v>
      </c>
      <c r="AK677" t="s">
        <v>6966</v>
      </c>
      <c r="AL677" t="s">
        <v>6966</v>
      </c>
      <c r="AM677" t="s">
        <v>6966</v>
      </c>
      <c r="AN677" t="s">
        <v>6966</v>
      </c>
      <c r="AO677" t="s">
        <v>6966</v>
      </c>
      <c r="AP677" t="s">
        <v>6966</v>
      </c>
      <c r="AQ677" t="s">
        <v>6966</v>
      </c>
      <c r="AR677" t="s">
        <v>6966</v>
      </c>
      <c r="AS677" t="s">
        <v>6966</v>
      </c>
      <c r="AT677" t="s">
        <v>6966</v>
      </c>
      <c r="AU677" t="s">
        <v>6966</v>
      </c>
      <c r="AV677" t="s">
        <v>6966</v>
      </c>
      <c r="AW677" t="s">
        <v>6966</v>
      </c>
      <c r="AX677" t="s">
        <v>6966</v>
      </c>
      <c r="AY677" t="s">
        <v>6966</v>
      </c>
      <c r="AZ677">
        <v>9.0597999999999998E-2</v>
      </c>
      <c r="BA677">
        <v>1.4799999999999999E-4</v>
      </c>
    </row>
    <row r="678" spans="1:53" x14ac:dyDescent="0.25">
      <c r="A678">
        <v>676</v>
      </c>
      <c r="B678" t="s">
        <v>7625</v>
      </c>
      <c r="C678">
        <v>505031</v>
      </c>
      <c r="D678" t="s">
        <v>393</v>
      </c>
      <c r="E678" t="s">
        <v>7719</v>
      </c>
      <c r="F678">
        <v>2454700</v>
      </c>
      <c r="G678">
        <v>9734.1523440000001</v>
      </c>
      <c r="H678">
        <v>626</v>
      </c>
      <c r="I678">
        <v>823</v>
      </c>
      <c r="J678">
        <v>25331</v>
      </c>
      <c r="K678" t="s">
        <v>1879</v>
      </c>
      <c r="L678">
        <v>6</v>
      </c>
      <c r="M678">
        <v>6</v>
      </c>
      <c r="N678">
        <v>25331</v>
      </c>
      <c r="O678">
        <v>614</v>
      </c>
      <c r="P678" t="s">
        <v>3212</v>
      </c>
      <c r="Q678">
        <v>2</v>
      </c>
      <c r="R678">
        <v>7.13</v>
      </c>
      <c r="S678">
        <v>0.62</v>
      </c>
      <c r="T678">
        <v>2</v>
      </c>
      <c r="U678">
        <v>2454700.07914</v>
      </c>
      <c r="V678">
        <v>9734.1524339999996</v>
      </c>
      <c r="W678">
        <v>677</v>
      </c>
      <c r="X678">
        <v>0</v>
      </c>
      <c r="Y678">
        <v>676</v>
      </c>
      <c r="Z678" t="s">
        <v>6966</v>
      </c>
      <c r="AA678" t="s">
        <v>6966</v>
      </c>
      <c r="AB678" t="s">
        <v>6966</v>
      </c>
      <c r="AC678" t="s">
        <v>6966</v>
      </c>
      <c r="AD678" t="s">
        <v>6966</v>
      </c>
      <c r="AE678" t="s">
        <v>6966</v>
      </c>
      <c r="AF678" t="s">
        <v>6966</v>
      </c>
      <c r="AG678" t="s">
        <v>6966</v>
      </c>
      <c r="AH678" t="s">
        <v>6966</v>
      </c>
      <c r="AI678" t="s">
        <v>6966</v>
      </c>
      <c r="AJ678" t="s">
        <v>6966</v>
      </c>
      <c r="AK678" t="s">
        <v>6966</v>
      </c>
      <c r="AL678" t="s">
        <v>6966</v>
      </c>
      <c r="AM678" t="s">
        <v>6966</v>
      </c>
      <c r="AN678" t="s">
        <v>6966</v>
      </c>
      <c r="AO678" t="s">
        <v>6966</v>
      </c>
      <c r="AP678" t="s">
        <v>6966</v>
      </c>
      <c r="AQ678" t="s">
        <v>6966</v>
      </c>
      <c r="AR678" t="s">
        <v>6966</v>
      </c>
      <c r="AS678" t="s">
        <v>6966</v>
      </c>
      <c r="AT678" t="s">
        <v>6966</v>
      </c>
      <c r="AU678" t="s">
        <v>6966</v>
      </c>
      <c r="AV678" t="s">
        <v>6966</v>
      </c>
      <c r="AW678" t="s">
        <v>6966</v>
      </c>
      <c r="AX678" t="s">
        <v>6966</v>
      </c>
      <c r="AY678" t="s">
        <v>6966</v>
      </c>
      <c r="AZ678">
        <v>9.9307000000000006E-2</v>
      </c>
      <c r="BA678">
        <v>2.4000000000000001E-4</v>
      </c>
    </row>
    <row r="679" spans="1:53" x14ac:dyDescent="0.25">
      <c r="A679">
        <v>677</v>
      </c>
      <c r="B679" t="s">
        <v>7625</v>
      </c>
      <c r="C679">
        <v>505039</v>
      </c>
      <c r="D679" t="s">
        <v>400</v>
      </c>
      <c r="E679" t="s">
        <v>7719</v>
      </c>
      <c r="F679">
        <v>1366931.625</v>
      </c>
      <c r="G679">
        <v>7417.095703</v>
      </c>
      <c r="H679">
        <v>627</v>
      </c>
      <c r="I679">
        <v>824</v>
      </c>
      <c r="J679">
        <v>25345</v>
      </c>
      <c r="K679" t="s">
        <v>1886</v>
      </c>
      <c r="L679">
        <v>6</v>
      </c>
      <c r="M679">
        <v>6</v>
      </c>
      <c r="N679">
        <v>25345</v>
      </c>
      <c r="O679">
        <v>615</v>
      </c>
      <c r="P679" t="s">
        <v>3212</v>
      </c>
      <c r="Q679">
        <v>1.5</v>
      </c>
      <c r="R679">
        <v>26.57</v>
      </c>
      <c r="S679">
        <v>0.4</v>
      </c>
      <c r="T679">
        <v>7</v>
      </c>
      <c r="U679">
        <v>1366931.6241599999</v>
      </c>
      <c r="V679">
        <v>7417.0955299999996</v>
      </c>
      <c r="W679">
        <v>678</v>
      </c>
      <c r="X679">
        <v>0</v>
      </c>
      <c r="Y679">
        <v>677</v>
      </c>
      <c r="Z679" t="s">
        <v>6966</v>
      </c>
      <c r="AA679" t="s">
        <v>6966</v>
      </c>
      <c r="AB679" t="s">
        <v>6966</v>
      </c>
      <c r="AC679" t="s">
        <v>6966</v>
      </c>
      <c r="AD679" t="s">
        <v>6966</v>
      </c>
      <c r="AE679" t="s">
        <v>6966</v>
      </c>
      <c r="AF679" t="s">
        <v>6966</v>
      </c>
      <c r="AG679" t="s">
        <v>6966</v>
      </c>
      <c r="AH679" t="s">
        <v>6966</v>
      </c>
      <c r="AI679" t="s">
        <v>6966</v>
      </c>
      <c r="AJ679" t="s">
        <v>6966</v>
      </c>
      <c r="AK679" t="s">
        <v>6966</v>
      </c>
      <c r="AL679" t="s">
        <v>6966</v>
      </c>
      <c r="AM679" t="s">
        <v>6966</v>
      </c>
      <c r="AN679" t="s">
        <v>6966</v>
      </c>
      <c r="AO679" t="s">
        <v>6966</v>
      </c>
      <c r="AP679" t="s">
        <v>6966</v>
      </c>
      <c r="AQ679" t="s">
        <v>6966</v>
      </c>
      <c r="AR679" t="s">
        <v>6966</v>
      </c>
      <c r="AS679" t="s">
        <v>6966</v>
      </c>
      <c r="AT679" t="s">
        <v>6966</v>
      </c>
      <c r="AU679" t="s">
        <v>6966</v>
      </c>
      <c r="AV679" t="s">
        <v>6966</v>
      </c>
      <c r="AW679" t="s">
        <v>6966</v>
      </c>
      <c r="AX679" t="s">
        <v>6966</v>
      </c>
      <c r="AY679" t="s">
        <v>6966</v>
      </c>
      <c r="AZ679">
        <v>7.6230000000000006E-2</v>
      </c>
      <c r="BA679">
        <v>1.3300000000000001E-4</v>
      </c>
    </row>
    <row r="680" spans="1:53" x14ac:dyDescent="0.25">
      <c r="A680">
        <v>678</v>
      </c>
      <c r="B680" t="s">
        <v>7625</v>
      </c>
      <c r="C680">
        <v>505057</v>
      </c>
      <c r="D680" t="s">
        <v>429</v>
      </c>
      <c r="E680" t="s">
        <v>7719</v>
      </c>
      <c r="F680">
        <v>8229647</v>
      </c>
      <c r="G680">
        <v>19900.224609000001</v>
      </c>
      <c r="H680">
        <v>628</v>
      </c>
      <c r="I680">
        <v>825</v>
      </c>
      <c r="J680">
        <v>25459</v>
      </c>
      <c r="K680" t="s">
        <v>429</v>
      </c>
      <c r="L680">
        <v>6</v>
      </c>
      <c r="M680">
        <v>6</v>
      </c>
      <c r="N680">
        <v>25459</v>
      </c>
      <c r="O680">
        <v>616</v>
      </c>
      <c r="P680" t="s">
        <v>3212</v>
      </c>
      <c r="Q680">
        <v>1.3</v>
      </c>
      <c r="R680">
        <v>19.899999999999999</v>
      </c>
      <c r="S680">
        <v>0.68</v>
      </c>
      <c r="T680">
        <v>11</v>
      </c>
      <c r="U680">
        <v>8229647.0976400003</v>
      </c>
      <c r="V680">
        <v>19900.223223000001</v>
      </c>
      <c r="W680">
        <v>679</v>
      </c>
      <c r="X680">
        <v>0</v>
      </c>
      <c r="Y680">
        <v>678</v>
      </c>
      <c r="Z680" t="s">
        <v>6966</v>
      </c>
      <c r="AA680" t="s">
        <v>6966</v>
      </c>
      <c r="AB680" t="s">
        <v>6966</v>
      </c>
      <c r="AC680" t="s">
        <v>6966</v>
      </c>
      <c r="AD680" t="s">
        <v>6966</v>
      </c>
      <c r="AE680" t="s">
        <v>6966</v>
      </c>
      <c r="AF680" t="s">
        <v>6966</v>
      </c>
      <c r="AG680" t="s">
        <v>6966</v>
      </c>
      <c r="AH680" t="s">
        <v>6966</v>
      </c>
      <c r="AI680" t="s">
        <v>6966</v>
      </c>
      <c r="AJ680" t="s">
        <v>6966</v>
      </c>
      <c r="AK680" t="s">
        <v>6966</v>
      </c>
      <c r="AL680" t="s">
        <v>6966</v>
      </c>
      <c r="AM680" t="s">
        <v>6966</v>
      </c>
      <c r="AN680" t="s">
        <v>6966</v>
      </c>
      <c r="AO680" t="s">
        <v>6966</v>
      </c>
      <c r="AP680" t="s">
        <v>6966</v>
      </c>
      <c r="AQ680" t="s">
        <v>6966</v>
      </c>
      <c r="AR680" t="s">
        <v>6966</v>
      </c>
      <c r="AS680" t="s">
        <v>6966</v>
      </c>
      <c r="AT680" t="s">
        <v>6966</v>
      </c>
      <c r="AU680" t="s">
        <v>6966</v>
      </c>
      <c r="AV680" t="s">
        <v>6966</v>
      </c>
      <c r="AW680" t="s">
        <v>6966</v>
      </c>
      <c r="AX680" t="s">
        <v>6966</v>
      </c>
      <c r="AY680" t="s">
        <v>6966</v>
      </c>
      <c r="AZ680">
        <v>0.19724800000000001</v>
      </c>
      <c r="BA680">
        <v>8.03E-4</v>
      </c>
    </row>
    <row r="681" spans="1:53" x14ac:dyDescent="0.25">
      <c r="A681">
        <v>679</v>
      </c>
      <c r="B681" t="s">
        <v>7625</v>
      </c>
      <c r="C681">
        <v>505061</v>
      </c>
      <c r="D681" t="s">
        <v>436</v>
      </c>
      <c r="E681" t="s">
        <v>7719</v>
      </c>
      <c r="F681">
        <v>8195422.5</v>
      </c>
      <c r="G681">
        <v>23783.982422000001</v>
      </c>
      <c r="H681">
        <v>629</v>
      </c>
      <c r="I681">
        <v>826</v>
      </c>
      <c r="J681">
        <v>25485</v>
      </c>
      <c r="K681" t="s">
        <v>1912</v>
      </c>
      <c r="L681">
        <v>6</v>
      </c>
      <c r="M681">
        <v>6</v>
      </c>
      <c r="N681">
        <v>25485</v>
      </c>
      <c r="O681">
        <v>617</v>
      </c>
      <c r="P681" t="s">
        <v>3212</v>
      </c>
      <c r="Q681">
        <v>0</v>
      </c>
      <c r="R681">
        <v>0</v>
      </c>
      <c r="S681">
        <v>0</v>
      </c>
      <c r="T681">
        <v>0</v>
      </c>
      <c r="U681">
        <v>8195422.2051600004</v>
      </c>
      <c r="V681">
        <v>23783.981969</v>
      </c>
      <c r="W681">
        <v>680</v>
      </c>
      <c r="X681">
        <v>0</v>
      </c>
      <c r="Y681">
        <v>679</v>
      </c>
      <c r="Z681" t="s">
        <v>6966</v>
      </c>
      <c r="AA681" t="s">
        <v>6966</v>
      </c>
      <c r="AB681" t="s">
        <v>6966</v>
      </c>
      <c r="AC681" t="s">
        <v>6966</v>
      </c>
      <c r="AD681" t="s">
        <v>6966</v>
      </c>
      <c r="AE681" t="s">
        <v>6966</v>
      </c>
      <c r="AF681" t="s">
        <v>6966</v>
      </c>
      <c r="AG681" t="s">
        <v>6966</v>
      </c>
      <c r="AH681" t="s">
        <v>6966</v>
      </c>
      <c r="AI681" t="s">
        <v>6966</v>
      </c>
      <c r="AJ681" t="s">
        <v>6966</v>
      </c>
      <c r="AK681" t="s">
        <v>6966</v>
      </c>
      <c r="AL681" t="s">
        <v>6966</v>
      </c>
      <c r="AM681" t="s">
        <v>6966</v>
      </c>
      <c r="AN681" t="s">
        <v>6966</v>
      </c>
      <c r="AO681" t="s">
        <v>6966</v>
      </c>
      <c r="AP681" t="s">
        <v>6966</v>
      </c>
      <c r="AQ681" t="s">
        <v>6966</v>
      </c>
      <c r="AR681" t="s">
        <v>6966</v>
      </c>
      <c r="AS681" t="s">
        <v>6966</v>
      </c>
      <c r="AT681" t="s">
        <v>6966</v>
      </c>
      <c r="AU681" t="s">
        <v>6966</v>
      </c>
      <c r="AV681" t="s">
        <v>6966</v>
      </c>
      <c r="AW681" t="s">
        <v>6966</v>
      </c>
      <c r="AX681" t="s">
        <v>6966</v>
      </c>
      <c r="AY681" t="s">
        <v>6966</v>
      </c>
      <c r="AZ681">
        <v>0.23646600000000001</v>
      </c>
      <c r="BA681">
        <v>8.0000000000000004E-4</v>
      </c>
    </row>
    <row r="682" spans="1:53" x14ac:dyDescent="0.25">
      <c r="A682">
        <v>680</v>
      </c>
      <c r="B682" t="s">
        <v>7625</v>
      </c>
      <c r="C682">
        <v>505015</v>
      </c>
      <c r="D682" t="s">
        <v>371</v>
      </c>
      <c r="E682" t="s">
        <v>7719</v>
      </c>
      <c r="F682">
        <v>2020153</v>
      </c>
      <c r="G682">
        <v>9771.7822269999997</v>
      </c>
      <c r="H682">
        <v>630</v>
      </c>
      <c r="I682">
        <v>828</v>
      </c>
      <c r="J682">
        <v>25166</v>
      </c>
      <c r="K682" t="s">
        <v>1865</v>
      </c>
      <c r="L682">
        <v>6</v>
      </c>
      <c r="M682">
        <v>6</v>
      </c>
      <c r="N682">
        <v>25166</v>
      </c>
      <c r="O682">
        <v>618</v>
      </c>
      <c r="P682" t="s">
        <v>3212</v>
      </c>
      <c r="Q682">
        <v>12.3</v>
      </c>
      <c r="R682">
        <v>38.19</v>
      </c>
      <c r="S682">
        <v>4.3</v>
      </c>
      <c r="T682">
        <v>13</v>
      </c>
      <c r="U682">
        <v>2020152.9946000001</v>
      </c>
      <c r="V682">
        <v>9771.7828399999999</v>
      </c>
      <c r="W682">
        <v>681</v>
      </c>
      <c r="X682">
        <v>1</v>
      </c>
      <c r="Y682">
        <v>680</v>
      </c>
      <c r="Z682">
        <v>56424</v>
      </c>
      <c r="AA682" s="76">
        <v>45686</v>
      </c>
      <c r="AB682">
        <v>2025</v>
      </c>
      <c r="AC682" t="s">
        <v>6992</v>
      </c>
      <c r="AD682">
        <v>29</v>
      </c>
      <c r="AE682" t="s">
        <v>7075</v>
      </c>
      <c r="AF682" t="s">
        <v>3212</v>
      </c>
      <c r="AG682" t="s">
        <v>3229</v>
      </c>
      <c r="AH682" t="s">
        <v>371</v>
      </c>
      <c r="AI682" t="s">
        <v>371</v>
      </c>
      <c r="AJ682" t="s">
        <v>6966</v>
      </c>
      <c r="AK682">
        <v>34.045720000000003</v>
      </c>
      <c r="AL682">
        <v>35.631239999999998</v>
      </c>
      <c r="AM682" t="s">
        <v>7014</v>
      </c>
      <c r="AN682" t="s">
        <v>6995</v>
      </c>
      <c r="AO682" t="s">
        <v>7042</v>
      </c>
      <c r="AP682" t="s">
        <v>7076</v>
      </c>
      <c r="AQ682" t="s">
        <v>6998</v>
      </c>
      <c r="AR682" t="s">
        <v>6999</v>
      </c>
      <c r="AS682" t="s">
        <v>7036</v>
      </c>
      <c r="AT682">
        <v>0</v>
      </c>
      <c r="AU682">
        <v>0</v>
      </c>
      <c r="AV682" t="s">
        <v>6966</v>
      </c>
      <c r="AW682" t="s">
        <v>7043</v>
      </c>
      <c r="AX682" t="s">
        <v>6966</v>
      </c>
      <c r="AY682" t="s">
        <v>7044</v>
      </c>
      <c r="AZ682">
        <v>9.8788000000000001E-2</v>
      </c>
      <c r="BA682">
        <v>1.9699999999999999E-4</v>
      </c>
    </row>
    <row r="683" spans="1:53" x14ac:dyDescent="0.25">
      <c r="A683">
        <v>681</v>
      </c>
      <c r="B683" t="s">
        <v>7625</v>
      </c>
      <c r="C683">
        <v>505002</v>
      </c>
      <c r="D683" t="s">
        <v>7810</v>
      </c>
      <c r="E683" t="s">
        <v>7719</v>
      </c>
      <c r="F683">
        <v>1438616.875</v>
      </c>
      <c r="G683">
        <v>9239.2958980000003</v>
      </c>
      <c r="H683">
        <v>631</v>
      </c>
      <c r="I683">
        <v>829</v>
      </c>
      <c r="J683">
        <v>25463</v>
      </c>
      <c r="K683" t="s">
        <v>7811</v>
      </c>
      <c r="L683">
        <v>6</v>
      </c>
      <c r="M683">
        <v>6</v>
      </c>
      <c r="N683">
        <v>25463</v>
      </c>
      <c r="O683">
        <v>619</v>
      </c>
      <c r="P683" t="s">
        <v>3212</v>
      </c>
      <c r="Q683">
        <v>2.6</v>
      </c>
      <c r="R683">
        <v>46.8</v>
      </c>
      <c r="S683">
        <v>0.71</v>
      </c>
      <c r="T683">
        <v>13</v>
      </c>
      <c r="U683">
        <v>1438616.93668</v>
      </c>
      <c r="V683">
        <v>9239.2959879999999</v>
      </c>
      <c r="W683">
        <v>682</v>
      </c>
      <c r="X683">
        <v>0</v>
      </c>
      <c r="Y683">
        <v>681</v>
      </c>
      <c r="Z683" t="s">
        <v>6966</v>
      </c>
      <c r="AA683" t="s">
        <v>6966</v>
      </c>
      <c r="AB683" t="s">
        <v>6966</v>
      </c>
      <c r="AC683" t="s">
        <v>6966</v>
      </c>
      <c r="AD683" t="s">
        <v>6966</v>
      </c>
      <c r="AE683" t="s">
        <v>6966</v>
      </c>
      <c r="AF683" t="s">
        <v>6966</v>
      </c>
      <c r="AG683" t="s">
        <v>6966</v>
      </c>
      <c r="AH683" t="s">
        <v>6966</v>
      </c>
      <c r="AI683" t="s">
        <v>6966</v>
      </c>
      <c r="AJ683" t="s">
        <v>6966</v>
      </c>
      <c r="AK683" t="s">
        <v>6966</v>
      </c>
      <c r="AL683" t="s">
        <v>6966</v>
      </c>
      <c r="AM683" t="s">
        <v>6966</v>
      </c>
      <c r="AN683" t="s">
        <v>6966</v>
      </c>
      <c r="AO683" t="s">
        <v>6966</v>
      </c>
      <c r="AP683" t="s">
        <v>6966</v>
      </c>
      <c r="AQ683" t="s">
        <v>6966</v>
      </c>
      <c r="AR683" t="s">
        <v>6966</v>
      </c>
      <c r="AS683" t="s">
        <v>6966</v>
      </c>
      <c r="AT683" t="s">
        <v>6966</v>
      </c>
      <c r="AU683" t="s">
        <v>6966</v>
      </c>
      <c r="AV683" t="s">
        <v>6966</v>
      </c>
      <c r="AW683" t="s">
        <v>6966</v>
      </c>
      <c r="AX683" t="s">
        <v>6966</v>
      </c>
      <c r="AY683" t="s">
        <v>6966</v>
      </c>
      <c r="AZ683">
        <v>9.0054999999999996E-2</v>
      </c>
      <c r="BA683">
        <v>1.3999999999999999E-4</v>
      </c>
    </row>
    <row r="684" spans="1:53" x14ac:dyDescent="0.25">
      <c r="A684">
        <v>682</v>
      </c>
      <c r="B684" t="s">
        <v>7625</v>
      </c>
      <c r="C684">
        <v>505047</v>
      </c>
      <c r="D684" t="s">
        <v>405</v>
      </c>
      <c r="E684" t="s">
        <v>7719</v>
      </c>
      <c r="F684">
        <v>1222030.625</v>
      </c>
      <c r="G684">
        <v>9673.6142579999996</v>
      </c>
      <c r="H684">
        <v>632</v>
      </c>
      <c r="I684">
        <v>830</v>
      </c>
      <c r="J684">
        <v>25355</v>
      </c>
      <c r="K684" t="s">
        <v>1888</v>
      </c>
      <c r="L684">
        <v>6</v>
      </c>
      <c r="M684">
        <v>6</v>
      </c>
      <c r="N684">
        <v>25355</v>
      </c>
      <c r="O684">
        <v>620</v>
      </c>
      <c r="P684" t="s">
        <v>3212</v>
      </c>
      <c r="Q684">
        <v>4.0999999999999996</v>
      </c>
      <c r="R684">
        <v>24.34</v>
      </c>
      <c r="S684">
        <v>1.83</v>
      </c>
      <c r="T684">
        <v>11</v>
      </c>
      <c r="U684">
        <v>1222030.5690599999</v>
      </c>
      <c r="V684">
        <v>9673.6120769999998</v>
      </c>
      <c r="W684">
        <v>683</v>
      </c>
      <c r="X684">
        <v>0</v>
      </c>
      <c r="Y684">
        <v>682</v>
      </c>
      <c r="Z684" t="s">
        <v>6966</v>
      </c>
      <c r="AA684" t="s">
        <v>6966</v>
      </c>
      <c r="AB684" t="s">
        <v>6966</v>
      </c>
      <c r="AC684" t="s">
        <v>6966</v>
      </c>
      <c r="AD684" t="s">
        <v>6966</v>
      </c>
      <c r="AE684" t="s">
        <v>6966</v>
      </c>
      <c r="AF684" t="s">
        <v>6966</v>
      </c>
      <c r="AG684" t="s">
        <v>6966</v>
      </c>
      <c r="AH684" t="s">
        <v>6966</v>
      </c>
      <c r="AI684" t="s">
        <v>6966</v>
      </c>
      <c r="AJ684" t="s">
        <v>6966</v>
      </c>
      <c r="AK684" t="s">
        <v>6966</v>
      </c>
      <c r="AL684" t="s">
        <v>6966</v>
      </c>
      <c r="AM684" t="s">
        <v>6966</v>
      </c>
      <c r="AN684" t="s">
        <v>6966</v>
      </c>
      <c r="AO684" t="s">
        <v>6966</v>
      </c>
      <c r="AP684" t="s">
        <v>6966</v>
      </c>
      <c r="AQ684" t="s">
        <v>6966</v>
      </c>
      <c r="AR684" t="s">
        <v>6966</v>
      </c>
      <c r="AS684" t="s">
        <v>6966</v>
      </c>
      <c r="AT684" t="s">
        <v>6966</v>
      </c>
      <c r="AU684" t="s">
        <v>6966</v>
      </c>
      <c r="AV684" t="s">
        <v>6966</v>
      </c>
      <c r="AW684" t="s">
        <v>6966</v>
      </c>
      <c r="AX684" t="s">
        <v>6966</v>
      </c>
      <c r="AY684" t="s">
        <v>6966</v>
      </c>
      <c r="AZ684">
        <v>9.7435999999999995E-2</v>
      </c>
      <c r="BA684">
        <v>1.1900000000000001E-4</v>
      </c>
    </row>
    <row r="685" spans="1:53" x14ac:dyDescent="0.25">
      <c r="A685">
        <v>683</v>
      </c>
      <c r="B685" t="s">
        <v>7625</v>
      </c>
      <c r="C685">
        <v>201041</v>
      </c>
      <c r="D685" t="s">
        <v>7812</v>
      </c>
      <c r="E685" t="s">
        <v>1069</v>
      </c>
      <c r="F685">
        <v>4875510.5</v>
      </c>
      <c r="G685">
        <v>10253.695313</v>
      </c>
      <c r="H685">
        <v>633</v>
      </c>
      <c r="I685">
        <v>831</v>
      </c>
      <c r="J685">
        <v>53159</v>
      </c>
      <c r="K685" t="s">
        <v>2422</v>
      </c>
      <c r="L685">
        <v>17</v>
      </c>
      <c r="M685">
        <v>17</v>
      </c>
      <c r="N685">
        <v>53159</v>
      </c>
      <c r="O685">
        <v>621</v>
      </c>
      <c r="P685" t="s">
        <v>3214</v>
      </c>
      <c r="Q685">
        <v>0</v>
      </c>
      <c r="R685">
        <v>0</v>
      </c>
      <c r="S685">
        <v>0.01</v>
      </c>
      <c r="T685">
        <v>0</v>
      </c>
      <c r="U685">
        <v>4875510.7040499998</v>
      </c>
      <c r="V685">
        <v>10253.695234000001</v>
      </c>
      <c r="W685">
        <v>684</v>
      </c>
      <c r="X685">
        <v>0</v>
      </c>
      <c r="Y685">
        <v>683</v>
      </c>
      <c r="Z685" t="s">
        <v>6966</v>
      </c>
      <c r="AA685" t="s">
        <v>6966</v>
      </c>
      <c r="AB685" t="s">
        <v>6966</v>
      </c>
      <c r="AC685" t="s">
        <v>6966</v>
      </c>
      <c r="AD685" t="s">
        <v>6966</v>
      </c>
      <c r="AE685" t="s">
        <v>6966</v>
      </c>
      <c r="AF685" t="s">
        <v>6966</v>
      </c>
      <c r="AG685" t="s">
        <v>6966</v>
      </c>
      <c r="AH685" t="s">
        <v>6966</v>
      </c>
      <c r="AI685" t="s">
        <v>6966</v>
      </c>
      <c r="AJ685" t="s">
        <v>6966</v>
      </c>
      <c r="AK685" t="s">
        <v>6966</v>
      </c>
      <c r="AL685" t="s">
        <v>6966</v>
      </c>
      <c r="AM685" t="s">
        <v>6966</v>
      </c>
      <c r="AN685" t="s">
        <v>6966</v>
      </c>
      <c r="AO685" t="s">
        <v>6966</v>
      </c>
      <c r="AP685" t="s">
        <v>6966</v>
      </c>
      <c r="AQ685" t="s">
        <v>6966</v>
      </c>
      <c r="AR685" t="s">
        <v>6966</v>
      </c>
      <c r="AS685" t="s">
        <v>6966</v>
      </c>
      <c r="AT685" t="s">
        <v>6966</v>
      </c>
      <c r="AU685" t="s">
        <v>6966</v>
      </c>
      <c r="AV685" t="s">
        <v>6966</v>
      </c>
      <c r="AW685" t="s">
        <v>6966</v>
      </c>
      <c r="AX685" t="s">
        <v>6966</v>
      </c>
      <c r="AY685" t="s">
        <v>6966</v>
      </c>
      <c r="AZ685">
        <v>9.7213999999999995E-2</v>
      </c>
      <c r="BA685">
        <v>4.7600000000000002E-4</v>
      </c>
    </row>
    <row r="686" spans="1:53" x14ac:dyDescent="0.25">
      <c r="A686">
        <v>684</v>
      </c>
      <c r="B686" t="s">
        <v>7625</v>
      </c>
      <c r="C686">
        <v>505067</v>
      </c>
      <c r="D686" t="s">
        <v>428</v>
      </c>
      <c r="E686" t="s">
        <v>7719</v>
      </c>
      <c r="F686">
        <v>7432414</v>
      </c>
      <c r="G686">
        <v>16657.884765999999</v>
      </c>
      <c r="H686">
        <v>634</v>
      </c>
      <c r="I686">
        <v>832</v>
      </c>
      <c r="J686">
        <v>25455</v>
      </c>
      <c r="K686" t="s">
        <v>1907</v>
      </c>
      <c r="L686">
        <v>6</v>
      </c>
      <c r="M686">
        <v>6</v>
      </c>
      <c r="N686">
        <v>25455</v>
      </c>
      <c r="O686">
        <v>622</v>
      </c>
      <c r="P686" t="s">
        <v>3212</v>
      </c>
      <c r="Q686">
        <v>0.8</v>
      </c>
      <c r="R686">
        <v>22.34</v>
      </c>
      <c r="S686">
        <v>0.35</v>
      </c>
      <c r="T686">
        <v>10</v>
      </c>
      <c r="U686">
        <v>7432414.0464000003</v>
      </c>
      <c r="V686">
        <v>16657.886459000001</v>
      </c>
      <c r="W686">
        <v>685</v>
      </c>
      <c r="X686">
        <v>1</v>
      </c>
      <c r="Y686">
        <v>684</v>
      </c>
      <c r="Z686">
        <v>66025</v>
      </c>
      <c r="AA686" s="76">
        <v>45845</v>
      </c>
      <c r="AB686">
        <v>2025</v>
      </c>
      <c r="AC686" t="s">
        <v>7313</v>
      </c>
      <c r="AD686">
        <v>7</v>
      </c>
      <c r="AE686" t="s">
        <v>7350</v>
      </c>
      <c r="AF686" t="s">
        <v>3212</v>
      </c>
      <c r="AG686" t="s">
        <v>3229</v>
      </c>
      <c r="AH686" t="s">
        <v>428</v>
      </c>
      <c r="AI686" t="s">
        <v>7351</v>
      </c>
      <c r="AJ686" t="s">
        <v>6966</v>
      </c>
      <c r="AK686">
        <v>34.026820000000001</v>
      </c>
      <c r="AL686">
        <v>35.757869999999997</v>
      </c>
      <c r="AM686" t="s">
        <v>6995</v>
      </c>
      <c r="AN686" t="s">
        <v>6995</v>
      </c>
      <c r="AO686" t="s">
        <v>7086</v>
      </c>
      <c r="AP686" t="s">
        <v>7352</v>
      </c>
      <c r="AQ686" t="s">
        <v>6998</v>
      </c>
      <c r="AR686" t="s">
        <v>6999</v>
      </c>
      <c r="AS686" t="s">
        <v>7036</v>
      </c>
      <c r="AT686">
        <v>0</v>
      </c>
      <c r="AU686">
        <v>0</v>
      </c>
      <c r="AV686" t="s">
        <v>6966</v>
      </c>
      <c r="AW686" t="s">
        <v>7119</v>
      </c>
      <c r="AX686" t="s">
        <v>6966</v>
      </c>
      <c r="AY686" t="s">
        <v>7044</v>
      </c>
      <c r="AZ686">
        <v>0.16447800000000001</v>
      </c>
      <c r="BA686">
        <v>7.2499999999999995E-4</v>
      </c>
    </row>
    <row r="687" spans="1:53" x14ac:dyDescent="0.25">
      <c r="A687">
        <v>685</v>
      </c>
      <c r="B687" t="s">
        <v>7625</v>
      </c>
      <c r="C687">
        <v>505053</v>
      </c>
      <c r="D687" t="s">
        <v>392</v>
      </c>
      <c r="E687" t="s">
        <v>7719</v>
      </c>
      <c r="F687">
        <v>4257404</v>
      </c>
      <c r="G687">
        <v>12281.025390999999</v>
      </c>
      <c r="H687">
        <v>635</v>
      </c>
      <c r="I687">
        <v>833</v>
      </c>
      <c r="J687">
        <v>25329</v>
      </c>
      <c r="K687" t="s">
        <v>1878</v>
      </c>
      <c r="L687">
        <v>6</v>
      </c>
      <c r="M687">
        <v>6</v>
      </c>
      <c r="N687">
        <v>25329</v>
      </c>
      <c r="O687">
        <v>623</v>
      </c>
      <c r="P687" t="s">
        <v>3212</v>
      </c>
      <c r="Q687">
        <v>3.6</v>
      </c>
      <c r="R687">
        <v>13.22</v>
      </c>
      <c r="S687">
        <v>1.25</v>
      </c>
      <c r="T687">
        <v>5</v>
      </c>
      <c r="U687">
        <v>4257404.1885399995</v>
      </c>
      <c r="V687">
        <v>12281.024015000001</v>
      </c>
      <c r="W687">
        <v>686</v>
      </c>
      <c r="X687">
        <v>0</v>
      </c>
      <c r="Y687">
        <v>685</v>
      </c>
      <c r="Z687" t="s">
        <v>6966</v>
      </c>
      <c r="AA687" t="s">
        <v>6966</v>
      </c>
      <c r="AB687" t="s">
        <v>6966</v>
      </c>
      <c r="AC687" t="s">
        <v>6966</v>
      </c>
      <c r="AD687" t="s">
        <v>6966</v>
      </c>
      <c r="AE687" t="s">
        <v>6966</v>
      </c>
      <c r="AF687" t="s">
        <v>6966</v>
      </c>
      <c r="AG687" t="s">
        <v>6966</v>
      </c>
      <c r="AH687" t="s">
        <v>6966</v>
      </c>
      <c r="AI687" t="s">
        <v>6966</v>
      </c>
      <c r="AJ687" t="s">
        <v>6966</v>
      </c>
      <c r="AK687" t="s">
        <v>6966</v>
      </c>
      <c r="AL687" t="s">
        <v>6966</v>
      </c>
      <c r="AM687" t="s">
        <v>6966</v>
      </c>
      <c r="AN687" t="s">
        <v>6966</v>
      </c>
      <c r="AO687" t="s">
        <v>6966</v>
      </c>
      <c r="AP687" t="s">
        <v>6966</v>
      </c>
      <c r="AQ687" t="s">
        <v>6966</v>
      </c>
      <c r="AR687" t="s">
        <v>6966</v>
      </c>
      <c r="AS687" t="s">
        <v>6966</v>
      </c>
      <c r="AT687" t="s">
        <v>6966</v>
      </c>
      <c r="AU687" t="s">
        <v>6966</v>
      </c>
      <c r="AV687" t="s">
        <v>6966</v>
      </c>
      <c r="AW687" t="s">
        <v>6966</v>
      </c>
      <c r="AX687" t="s">
        <v>6966</v>
      </c>
      <c r="AY687" t="s">
        <v>6966</v>
      </c>
      <c r="AZ687">
        <v>0.12271799999999999</v>
      </c>
      <c r="BA687">
        <v>4.15E-4</v>
      </c>
    </row>
    <row r="688" spans="1:53" x14ac:dyDescent="0.25">
      <c r="A688">
        <v>686</v>
      </c>
      <c r="B688" t="s">
        <v>7625</v>
      </c>
      <c r="C688">
        <v>505033</v>
      </c>
      <c r="D688" t="s">
        <v>7813</v>
      </c>
      <c r="E688" t="s">
        <v>7719</v>
      </c>
      <c r="F688">
        <v>1985631.75</v>
      </c>
      <c r="G688">
        <v>9954.9179690000001</v>
      </c>
      <c r="H688">
        <v>636</v>
      </c>
      <c r="I688">
        <v>834</v>
      </c>
      <c r="J688">
        <v>25343</v>
      </c>
      <c r="K688" t="s">
        <v>7814</v>
      </c>
      <c r="L688">
        <v>6</v>
      </c>
      <c r="M688">
        <v>6</v>
      </c>
      <c r="N688">
        <v>25343</v>
      </c>
      <c r="O688">
        <v>624</v>
      </c>
      <c r="P688" t="s">
        <v>3212</v>
      </c>
      <c r="Q688">
        <v>9</v>
      </c>
      <c r="R688">
        <v>32.51</v>
      </c>
      <c r="S688">
        <v>2.1800000000000002</v>
      </c>
      <c r="T688">
        <v>8</v>
      </c>
      <c r="U688">
        <v>1985631.68591</v>
      </c>
      <c r="V688">
        <v>9954.9146529999998</v>
      </c>
      <c r="W688">
        <v>687</v>
      </c>
      <c r="X688">
        <v>0</v>
      </c>
      <c r="Y688">
        <v>686</v>
      </c>
      <c r="Z688" t="s">
        <v>6966</v>
      </c>
      <c r="AA688" t="s">
        <v>6966</v>
      </c>
      <c r="AB688" t="s">
        <v>6966</v>
      </c>
      <c r="AC688" t="s">
        <v>6966</v>
      </c>
      <c r="AD688" t="s">
        <v>6966</v>
      </c>
      <c r="AE688" t="s">
        <v>6966</v>
      </c>
      <c r="AF688" t="s">
        <v>6966</v>
      </c>
      <c r="AG688" t="s">
        <v>6966</v>
      </c>
      <c r="AH688" t="s">
        <v>6966</v>
      </c>
      <c r="AI688" t="s">
        <v>6966</v>
      </c>
      <c r="AJ688" t="s">
        <v>6966</v>
      </c>
      <c r="AK688" t="s">
        <v>6966</v>
      </c>
      <c r="AL688" t="s">
        <v>6966</v>
      </c>
      <c r="AM688" t="s">
        <v>6966</v>
      </c>
      <c r="AN688" t="s">
        <v>6966</v>
      </c>
      <c r="AO688" t="s">
        <v>6966</v>
      </c>
      <c r="AP688" t="s">
        <v>6966</v>
      </c>
      <c r="AQ688" t="s">
        <v>6966</v>
      </c>
      <c r="AR688" t="s">
        <v>6966</v>
      </c>
      <c r="AS688" t="s">
        <v>6966</v>
      </c>
      <c r="AT688" t="s">
        <v>6966</v>
      </c>
      <c r="AU688" t="s">
        <v>6966</v>
      </c>
      <c r="AV688" t="s">
        <v>6966</v>
      </c>
      <c r="AW688" t="s">
        <v>6966</v>
      </c>
      <c r="AX688" t="s">
        <v>6966</v>
      </c>
      <c r="AY688" t="s">
        <v>6966</v>
      </c>
      <c r="AZ688">
        <v>9.9154000000000006E-2</v>
      </c>
      <c r="BA688">
        <v>1.94E-4</v>
      </c>
    </row>
    <row r="689" spans="1:53" x14ac:dyDescent="0.25">
      <c r="A689">
        <v>687</v>
      </c>
      <c r="B689" t="s">
        <v>7625</v>
      </c>
      <c r="C689">
        <v>505038</v>
      </c>
      <c r="D689" t="s">
        <v>432</v>
      </c>
      <c r="E689" t="s">
        <v>7719</v>
      </c>
      <c r="F689">
        <v>0</v>
      </c>
      <c r="G689">
        <v>16729.3125</v>
      </c>
      <c r="H689">
        <v>637</v>
      </c>
      <c r="I689">
        <v>835</v>
      </c>
      <c r="J689">
        <v>25471</v>
      </c>
      <c r="K689" t="s">
        <v>432</v>
      </c>
      <c r="L689">
        <v>6</v>
      </c>
      <c r="M689">
        <v>6</v>
      </c>
      <c r="N689">
        <v>25471</v>
      </c>
      <c r="O689">
        <v>625</v>
      </c>
      <c r="P689" t="s">
        <v>3212</v>
      </c>
      <c r="Q689">
        <v>2.2999999999999998</v>
      </c>
      <c r="R689">
        <v>33.409999999999997</v>
      </c>
      <c r="S689">
        <v>1.07</v>
      </c>
      <c r="T689">
        <v>15</v>
      </c>
      <c r="U689">
        <v>0</v>
      </c>
      <c r="V689">
        <v>16729.312895999999</v>
      </c>
      <c r="W689">
        <v>688</v>
      </c>
      <c r="X689">
        <v>0</v>
      </c>
      <c r="Y689">
        <v>687</v>
      </c>
      <c r="Z689" t="s">
        <v>6966</v>
      </c>
      <c r="AA689" t="s">
        <v>6966</v>
      </c>
      <c r="AB689" t="s">
        <v>6966</v>
      </c>
      <c r="AC689" t="s">
        <v>6966</v>
      </c>
      <c r="AD689" t="s">
        <v>6966</v>
      </c>
      <c r="AE689" t="s">
        <v>6966</v>
      </c>
      <c r="AF689" t="s">
        <v>6966</v>
      </c>
      <c r="AG689" t="s">
        <v>6966</v>
      </c>
      <c r="AH689" t="s">
        <v>6966</v>
      </c>
      <c r="AI689" t="s">
        <v>6966</v>
      </c>
      <c r="AJ689" t="s">
        <v>6966</v>
      </c>
      <c r="AK689" t="s">
        <v>6966</v>
      </c>
      <c r="AL689" t="s">
        <v>6966</v>
      </c>
      <c r="AM689" t="s">
        <v>6966</v>
      </c>
      <c r="AN689" t="s">
        <v>6966</v>
      </c>
      <c r="AO689" t="s">
        <v>6966</v>
      </c>
      <c r="AP689" t="s">
        <v>6966</v>
      </c>
      <c r="AQ689" t="s">
        <v>6966</v>
      </c>
      <c r="AR689" t="s">
        <v>6966</v>
      </c>
      <c r="AS689" t="s">
        <v>6966</v>
      </c>
      <c r="AT689" t="s">
        <v>6966</v>
      </c>
      <c r="AU689" t="s">
        <v>6966</v>
      </c>
      <c r="AV689" t="s">
        <v>6966</v>
      </c>
      <c r="AW689" t="s">
        <v>6966</v>
      </c>
      <c r="AX689" t="s">
        <v>6966</v>
      </c>
      <c r="AY689" t="s">
        <v>6966</v>
      </c>
      <c r="AZ689">
        <v>0.16653299999999999</v>
      </c>
      <c r="BA689">
        <v>1.1999999999999999E-3</v>
      </c>
    </row>
    <row r="690" spans="1:53" x14ac:dyDescent="0.25">
      <c r="A690">
        <v>688</v>
      </c>
      <c r="B690" t="s">
        <v>7625</v>
      </c>
      <c r="C690">
        <v>201032</v>
      </c>
      <c r="D690" t="s">
        <v>1563</v>
      </c>
      <c r="E690" t="s">
        <v>1069</v>
      </c>
      <c r="F690">
        <v>593801.8125</v>
      </c>
      <c r="G690">
        <v>5882.8911129999997</v>
      </c>
      <c r="H690">
        <v>638</v>
      </c>
      <c r="I690">
        <v>836</v>
      </c>
      <c r="J690">
        <v>0</v>
      </c>
      <c r="K690" t="s">
        <v>1563</v>
      </c>
      <c r="L690">
        <v>17</v>
      </c>
      <c r="M690">
        <v>17</v>
      </c>
      <c r="N690">
        <v>0</v>
      </c>
      <c r="O690">
        <v>1628</v>
      </c>
      <c r="P690" t="s">
        <v>3214</v>
      </c>
      <c r="Q690">
        <v>0</v>
      </c>
      <c r="R690">
        <v>0</v>
      </c>
      <c r="S690">
        <v>0</v>
      </c>
      <c r="T690">
        <v>0</v>
      </c>
      <c r="U690">
        <v>593801.77723600005</v>
      </c>
      <c r="V690">
        <v>5882.8911410000001</v>
      </c>
      <c r="W690">
        <v>689</v>
      </c>
      <c r="X690">
        <v>0</v>
      </c>
      <c r="Y690">
        <v>688</v>
      </c>
      <c r="Z690" t="s">
        <v>6966</v>
      </c>
      <c r="AA690" t="s">
        <v>6966</v>
      </c>
      <c r="AB690" t="s">
        <v>6966</v>
      </c>
      <c r="AC690" t="s">
        <v>6966</v>
      </c>
      <c r="AD690" t="s">
        <v>6966</v>
      </c>
      <c r="AE690" t="s">
        <v>6966</v>
      </c>
      <c r="AF690" t="s">
        <v>6966</v>
      </c>
      <c r="AG690" t="s">
        <v>6966</v>
      </c>
      <c r="AH690" t="s">
        <v>6966</v>
      </c>
      <c r="AI690" t="s">
        <v>6966</v>
      </c>
      <c r="AJ690" t="s">
        <v>6966</v>
      </c>
      <c r="AK690" t="s">
        <v>6966</v>
      </c>
      <c r="AL690" t="s">
        <v>6966</v>
      </c>
      <c r="AM690" t="s">
        <v>6966</v>
      </c>
      <c r="AN690" t="s">
        <v>6966</v>
      </c>
      <c r="AO690" t="s">
        <v>6966</v>
      </c>
      <c r="AP690" t="s">
        <v>6966</v>
      </c>
      <c r="AQ690" t="s">
        <v>6966</v>
      </c>
      <c r="AR690" t="s">
        <v>6966</v>
      </c>
      <c r="AS690" t="s">
        <v>6966</v>
      </c>
      <c r="AT690" t="s">
        <v>6966</v>
      </c>
      <c r="AU690" t="s">
        <v>6966</v>
      </c>
      <c r="AV690" t="s">
        <v>6966</v>
      </c>
      <c r="AW690" t="s">
        <v>6966</v>
      </c>
      <c r="AX690" t="s">
        <v>6966</v>
      </c>
      <c r="AY690" t="s">
        <v>6966</v>
      </c>
      <c r="AZ690">
        <v>6.1405000000000001E-2</v>
      </c>
      <c r="BA690">
        <v>5.8E-5</v>
      </c>
    </row>
    <row r="691" spans="1:53" x14ac:dyDescent="0.25">
      <c r="A691">
        <v>689</v>
      </c>
      <c r="B691" t="s">
        <v>7625</v>
      </c>
      <c r="C691">
        <v>505072</v>
      </c>
      <c r="D691" t="s">
        <v>370</v>
      </c>
      <c r="E691" t="s">
        <v>7719</v>
      </c>
      <c r="F691">
        <v>3040211.25</v>
      </c>
      <c r="G691">
        <v>9251.9814449999994</v>
      </c>
      <c r="H691">
        <v>639</v>
      </c>
      <c r="I691">
        <v>837</v>
      </c>
      <c r="J691">
        <v>25161</v>
      </c>
      <c r="K691" t="s">
        <v>1864</v>
      </c>
      <c r="L691">
        <v>6</v>
      </c>
      <c r="M691">
        <v>6</v>
      </c>
      <c r="N691">
        <v>25161</v>
      </c>
      <c r="O691">
        <v>626</v>
      </c>
      <c r="P691" t="s">
        <v>3212</v>
      </c>
      <c r="Q691">
        <v>9.5</v>
      </c>
      <c r="R691">
        <v>26.65</v>
      </c>
      <c r="S691">
        <v>6.12</v>
      </c>
      <c r="T691">
        <v>18</v>
      </c>
      <c r="U691">
        <v>3040211.2419099999</v>
      </c>
      <c r="V691">
        <v>9251.9812070000007</v>
      </c>
      <c r="W691">
        <v>690</v>
      </c>
      <c r="X691">
        <v>0</v>
      </c>
      <c r="Y691">
        <v>689</v>
      </c>
      <c r="Z691" t="s">
        <v>6966</v>
      </c>
      <c r="AA691" t="s">
        <v>6966</v>
      </c>
      <c r="AB691" t="s">
        <v>6966</v>
      </c>
      <c r="AC691" t="s">
        <v>6966</v>
      </c>
      <c r="AD691" t="s">
        <v>6966</v>
      </c>
      <c r="AE691" t="s">
        <v>6966</v>
      </c>
      <c r="AF691" t="s">
        <v>6966</v>
      </c>
      <c r="AG691" t="s">
        <v>6966</v>
      </c>
      <c r="AH691" t="s">
        <v>6966</v>
      </c>
      <c r="AI691" t="s">
        <v>6966</v>
      </c>
      <c r="AJ691" t="s">
        <v>6966</v>
      </c>
      <c r="AK691" t="s">
        <v>6966</v>
      </c>
      <c r="AL691" t="s">
        <v>6966</v>
      </c>
      <c r="AM691" t="s">
        <v>6966</v>
      </c>
      <c r="AN691" t="s">
        <v>6966</v>
      </c>
      <c r="AO691" t="s">
        <v>6966</v>
      </c>
      <c r="AP691" t="s">
        <v>6966</v>
      </c>
      <c r="AQ691" t="s">
        <v>6966</v>
      </c>
      <c r="AR691" t="s">
        <v>6966</v>
      </c>
      <c r="AS691" t="s">
        <v>6966</v>
      </c>
      <c r="AT691" t="s">
        <v>6966</v>
      </c>
      <c r="AU691" t="s">
        <v>6966</v>
      </c>
      <c r="AV691" t="s">
        <v>6966</v>
      </c>
      <c r="AW691" t="s">
        <v>6966</v>
      </c>
      <c r="AX691" t="s">
        <v>6966</v>
      </c>
      <c r="AY691" t="s">
        <v>6966</v>
      </c>
      <c r="AZ691">
        <v>9.2837000000000003E-2</v>
      </c>
      <c r="BA691">
        <v>2.9700000000000001E-4</v>
      </c>
    </row>
    <row r="692" spans="1:53" x14ac:dyDescent="0.25">
      <c r="A692">
        <v>690</v>
      </c>
      <c r="B692" t="s">
        <v>7625</v>
      </c>
      <c r="C692">
        <v>201038</v>
      </c>
      <c r="D692" t="s">
        <v>1086</v>
      </c>
      <c r="E692" t="s">
        <v>1069</v>
      </c>
      <c r="F692">
        <v>0</v>
      </c>
      <c r="G692">
        <v>43056.707030999998</v>
      </c>
      <c r="H692">
        <v>640</v>
      </c>
      <c r="I692">
        <v>838</v>
      </c>
      <c r="J692">
        <v>53183</v>
      </c>
      <c r="K692" t="s">
        <v>2427</v>
      </c>
      <c r="L692">
        <v>17</v>
      </c>
      <c r="M692">
        <v>17</v>
      </c>
      <c r="N692">
        <v>53183</v>
      </c>
      <c r="O692">
        <v>627</v>
      </c>
      <c r="P692" t="s">
        <v>3214</v>
      </c>
      <c r="Q692">
        <v>0.9</v>
      </c>
      <c r="R692">
        <v>61.39</v>
      </c>
      <c r="S692">
        <v>0.23</v>
      </c>
      <c r="T692">
        <v>16</v>
      </c>
      <c r="U692">
        <v>0</v>
      </c>
      <c r="V692">
        <v>43056.705550999999</v>
      </c>
      <c r="W692">
        <v>691</v>
      </c>
      <c r="X692">
        <v>0</v>
      </c>
      <c r="Y692">
        <v>690</v>
      </c>
      <c r="Z692" t="s">
        <v>6966</v>
      </c>
      <c r="AA692" t="s">
        <v>6966</v>
      </c>
      <c r="AB692" t="s">
        <v>6966</v>
      </c>
      <c r="AC692" t="s">
        <v>6966</v>
      </c>
      <c r="AD692" t="s">
        <v>6966</v>
      </c>
      <c r="AE692" t="s">
        <v>6966</v>
      </c>
      <c r="AF692" t="s">
        <v>6966</v>
      </c>
      <c r="AG692" t="s">
        <v>6966</v>
      </c>
      <c r="AH692" t="s">
        <v>6966</v>
      </c>
      <c r="AI692" t="s">
        <v>6966</v>
      </c>
      <c r="AJ692" t="s">
        <v>6966</v>
      </c>
      <c r="AK692" t="s">
        <v>6966</v>
      </c>
      <c r="AL692" t="s">
        <v>6966</v>
      </c>
      <c r="AM692" t="s">
        <v>6966</v>
      </c>
      <c r="AN692" t="s">
        <v>6966</v>
      </c>
      <c r="AO692" t="s">
        <v>6966</v>
      </c>
      <c r="AP692" t="s">
        <v>6966</v>
      </c>
      <c r="AQ692" t="s">
        <v>6966</v>
      </c>
      <c r="AR692" t="s">
        <v>6966</v>
      </c>
      <c r="AS692" t="s">
        <v>6966</v>
      </c>
      <c r="AT692" t="s">
        <v>6966</v>
      </c>
      <c r="AU692" t="s">
        <v>6966</v>
      </c>
      <c r="AV692" t="s">
        <v>6966</v>
      </c>
      <c r="AW692" t="s">
        <v>6966</v>
      </c>
      <c r="AX692" t="s">
        <v>6966</v>
      </c>
      <c r="AY692" t="s">
        <v>6966</v>
      </c>
      <c r="AZ692">
        <v>0.43348900000000001</v>
      </c>
      <c r="BA692">
        <v>3.0209999999999998E-3</v>
      </c>
    </row>
    <row r="693" spans="1:53" x14ac:dyDescent="0.25">
      <c r="A693">
        <v>691</v>
      </c>
      <c r="B693" t="s">
        <v>7625</v>
      </c>
      <c r="C693">
        <v>505063</v>
      </c>
      <c r="D693" t="s">
        <v>431</v>
      </c>
      <c r="E693" t="s">
        <v>7719</v>
      </c>
      <c r="F693">
        <v>946279.9375</v>
      </c>
      <c r="G693">
        <v>5189.4135740000002</v>
      </c>
      <c r="H693">
        <v>641</v>
      </c>
      <c r="I693">
        <v>839</v>
      </c>
      <c r="J693">
        <v>25467</v>
      </c>
      <c r="K693" t="s">
        <v>1909</v>
      </c>
      <c r="L693">
        <v>6</v>
      </c>
      <c r="M693">
        <v>6</v>
      </c>
      <c r="N693">
        <v>25467</v>
      </c>
      <c r="O693">
        <v>628</v>
      </c>
      <c r="P693" t="s">
        <v>3212</v>
      </c>
      <c r="Q693">
        <v>0</v>
      </c>
      <c r="R693">
        <v>0</v>
      </c>
      <c r="S693">
        <v>0</v>
      </c>
      <c r="T693">
        <v>0</v>
      </c>
      <c r="U693">
        <v>946279.92896799999</v>
      </c>
      <c r="V693">
        <v>5189.413098</v>
      </c>
      <c r="W693">
        <v>692</v>
      </c>
      <c r="X693">
        <v>0</v>
      </c>
      <c r="Y693">
        <v>691</v>
      </c>
      <c r="Z693" t="s">
        <v>6966</v>
      </c>
      <c r="AA693" t="s">
        <v>6966</v>
      </c>
      <c r="AB693" t="s">
        <v>6966</v>
      </c>
      <c r="AC693" t="s">
        <v>6966</v>
      </c>
      <c r="AD693" t="s">
        <v>6966</v>
      </c>
      <c r="AE693" t="s">
        <v>6966</v>
      </c>
      <c r="AF693" t="s">
        <v>6966</v>
      </c>
      <c r="AG693" t="s">
        <v>6966</v>
      </c>
      <c r="AH693" t="s">
        <v>6966</v>
      </c>
      <c r="AI693" t="s">
        <v>6966</v>
      </c>
      <c r="AJ693" t="s">
        <v>6966</v>
      </c>
      <c r="AK693" t="s">
        <v>6966</v>
      </c>
      <c r="AL693" t="s">
        <v>6966</v>
      </c>
      <c r="AM693" t="s">
        <v>6966</v>
      </c>
      <c r="AN693" t="s">
        <v>6966</v>
      </c>
      <c r="AO693" t="s">
        <v>6966</v>
      </c>
      <c r="AP693" t="s">
        <v>6966</v>
      </c>
      <c r="AQ693" t="s">
        <v>6966</v>
      </c>
      <c r="AR693" t="s">
        <v>6966</v>
      </c>
      <c r="AS693" t="s">
        <v>6966</v>
      </c>
      <c r="AT693" t="s">
        <v>6966</v>
      </c>
      <c r="AU693" t="s">
        <v>6966</v>
      </c>
      <c r="AV693" t="s">
        <v>6966</v>
      </c>
      <c r="AW693" t="s">
        <v>6966</v>
      </c>
      <c r="AX693" t="s">
        <v>6966</v>
      </c>
      <c r="AY693" t="s">
        <v>6966</v>
      </c>
      <c r="AZ693">
        <v>5.0626999999999998E-2</v>
      </c>
      <c r="BA693">
        <v>9.2E-5</v>
      </c>
    </row>
    <row r="694" spans="1:53" x14ac:dyDescent="0.25">
      <c r="A694">
        <v>692</v>
      </c>
      <c r="B694" t="s">
        <v>7625</v>
      </c>
      <c r="C694">
        <v>505016</v>
      </c>
      <c r="D694" t="s">
        <v>384</v>
      </c>
      <c r="E694" t="s">
        <v>7719</v>
      </c>
      <c r="F694">
        <v>4136358.5</v>
      </c>
      <c r="G694">
        <v>12161.492188</v>
      </c>
      <c r="H694">
        <v>642</v>
      </c>
      <c r="I694">
        <v>840</v>
      </c>
      <c r="J694">
        <v>25313</v>
      </c>
      <c r="K694" t="s">
        <v>1875</v>
      </c>
      <c r="L694">
        <v>6</v>
      </c>
      <c r="M694">
        <v>6</v>
      </c>
      <c r="N694">
        <v>25313</v>
      </c>
      <c r="O694">
        <v>629</v>
      </c>
      <c r="P694" t="s">
        <v>3212</v>
      </c>
      <c r="Q694">
        <v>3</v>
      </c>
      <c r="R694">
        <v>19.440000000000001</v>
      </c>
      <c r="S694">
        <v>1</v>
      </c>
      <c r="T694">
        <v>7</v>
      </c>
      <c r="U694">
        <v>4136358.4983000001</v>
      </c>
      <c r="V694">
        <v>12161.492174000001</v>
      </c>
      <c r="W694">
        <v>693</v>
      </c>
      <c r="X694">
        <v>0</v>
      </c>
      <c r="Y694">
        <v>692</v>
      </c>
      <c r="Z694" t="s">
        <v>6966</v>
      </c>
      <c r="AA694" t="s">
        <v>6966</v>
      </c>
      <c r="AB694" t="s">
        <v>6966</v>
      </c>
      <c r="AC694" t="s">
        <v>6966</v>
      </c>
      <c r="AD694" t="s">
        <v>6966</v>
      </c>
      <c r="AE694" t="s">
        <v>6966</v>
      </c>
      <c r="AF694" t="s">
        <v>6966</v>
      </c>
      <c r="AG694" t="s">
        <v>6966</v>
      </c>
      <c r="AH694" t="s">
        <v>6966</v>
      </c>
      <c r="AI694" t="s">
        <v>6966</v>
      </c>
      <c r="AJ694" t="s">
        <v>6966</v>
      </c>
      <c r="AK694" t="s">
        <v>6966</v>
      </c>
      <c r="AL694" t="s">
        <v>6966</v>
      </c>
      <c r="AM694" t="s">
        <v>6966</v>
      </c>
      <c r="AN694" t="s">
        <v>6966</v>
      </c>
      <c r="AO694" t="s">
        <v>6966</v>
      </c>
      <c r="AP694" t="s">
        <v>6966</v>
      </c>
      <c r="AQ694" t="s">
        <v>6966</v>
      </c>
      <c r="AR694" t="s">
        <v>6966</v>
      </c>
      <c r="AS694" t="s">
        <v>6966</v>
      </c>
      <c r="AT694" t="s">
        <v>6966</v>
      </c>
      <c r="AU694" t="s">
        <v>6966</v>
      </c>
      <c r="AV694" t="s">
        <v>6966</v>
      </c>
      <c r="AW694" t="s">
        <v>6966</v>
      </c>
      <c r="AX694" t="s">
        <v>6966</v>
      </c>
      <c r="AY694" t="s">
        <v>6966</v>
      </c>
      <c r="AZ694">
        <v>0.122503</v>
      </c>
      <c r="BA694">
        <v>4.0400000000000001E-4</v>
      </c>
    </row>
    <row r="695" spans="1:53" x14ac:dyDescent="0.25">
      <c r="A695">
        <v>693</v>
      </c>
      <c r="B695" t="s">
        <v>7625</v>
      </c>
      <c r="C695">
        <v>505048</v>
      </c>
      <c r="D695" t="s">
        <v>407</v>
      </c>
      <c r="E695" t="s">
        <v>7719</v>
      </c>
      <c r="F695">
        <v>1118412.875</v>
      </c>
      <c r="G695">
        <v>5998.0698240000002</v>
      </c>
      <c r="H695">
        <v>643</v>
      </c>
      <c r="I695">
        <v>841</v>
      </c>
      <c r="J695">
        <v>25359</v>
      </c>
      <c r="K695" t="s">
        <v>407</v>
      </c>
      <c r="L695">
        <v>6</v>
      </c>
      <c r="M695">
        <v>6</v>
      </c>
      <c r="N695">
        <v>25359</v>
      </c>
      <c r="O695">
        <v>630</v>
      </c>
      <c r="P695" t="s">
        <v>3212</v>
      </c>
      <c r="Q695">
        <v>0.2</v>
      </c>
      <c r="R695">
        <v>12.38</v>
      </c>
      <c r="S695">
        <v>0.17</v>
      </c>
      <c r="T695">
        <v>9</v>
      </c>
      <c r="U695">
        <v>1118412.9395900001</v>
      </c>
      <c r="V695">
        <v>5998.0704569999998</v>
      </c>
      <c r="W695">
        <v>694</v>
      </c>
      <c r="X695">
        <v>0</v>
      </c>
      <c r="Y695">
        <v>693</v>
      </c>
      <c r="Z695" t="s">
        <v>6966</v>
      </c>
      <c r="AA695" t="s">
        <v>6966</v>
      </c>
      <c r="AB695" t="s">
        <v>6966</v>
      </c>
      <c r="AC695" t="s">
        <v>6966</v>
      </c>
      <c r="AD695" t="s">
        <v>6966</v>
      </c>
      <c r="AE695" t="s">
        <v>6966</v>
      </c>
      <c r="AF695" t="s">
        <v>6966</v>
      </c>
      <c r="AG695" t="s">
        <v>6966</v>
      </c>
      <c r="AH695" t="s">
        <v>6966</v>
      </c>
      <c r="AI695" t="s">
        <v>6966</v>
      </c>
      <c r="AJ695" t="s">
        <v>6966</v>
      </c>
      <c r="AK695" t="s">
        <v>6966</v>
      </c>
      <c r="AL695" t="s">
        <v>6966</v>
      </c>
      <c r="AM695" t="s">
        <v>6966</v>
      </c>
      <c r="AN695" t="s">
        <v>6966</v>
      </c>
      <c r="AO695" t="s">
        <v>6966</v>
      </c>
      <c r="AP695" t="s">
        <v>6966</v>
      </c>
      <c r="AQ695" t="s">
        <v>6966</v>
      </c>
      <c r="AR695" t="s">
        <v>6966</v>
      </c>
      <c r="AS695" t="s">
        <v>6966</v>
      </c>
      <c r="AT695" t="s">
        <v>6966</v>
      </c>
      <c r="AU695" t="s">
        <v>6966</v>
      </c>
      <c r="AV695" t="s">
        <v>6966</v>
      </c>
      <c r="AW695" t="s">
        <v>6966</v>
      </c>
      <c r="AX695" t="s">
        <v>6966</v>
      </c>
      <c r="AY695" t="s">
        <v>6966</v>
      </c>
      <c r="AZ695">
        <v>5.9974E-2</v>
      </c>
      <c r="BA695">
        <v>1.0900000000000001E-4</v>
      </c>
    </row>
    <row r="696" spans="1:53" ht="300" x14ac:dyDescent="0.25">
      <c r="A696">
        <v>694</v>
      </c>
      <c r="B696" t="s">
        <v>7625</v>
      </c>
      <c r="C696">
        <v>201010</v>
      </c>
      <c r="D696" t="s">
        <v>1069</v>
      </c>
      <c r="E696" t="s">
        <v>1069</v>
      </c>
      <c r="F696">
        <v>0</v>
      </c>
      <c r="G696">
        <v>34494.195312999997</v>
      </c>
      <c r="H696">
        <v>644</v>
      </c>
      <c r="I696">
        <v>842</v>
      </c>
      <c r="J696">
        <v>53111</v>
      </c>
      <c r="K696" t="s">
        <v>1069</v>
      </c>
      <c r="L696">
        <v>17</v>
      </c>
      <c r="M696">
        <v>17</v>
      </c>
      <c r="N696">
        <v>53111</v>
      </c>
      <c r="O696">
        <v>631</v>
      </c>
      <c r="P696" t="s">
        <v>3214</v>
      </c>
      <c r="Q696">
        <v>13</v>
      </c>
      <c r="R696">
        <v>95.87</v>
      </c>
      <c r="S696">
        <v>2.6</v>
      </c>
      <c r="T696">
        <v>20</v>
      </c>
      <c r="U696">
        <v>0</v>
      </c>
      <c r="V696">
        <v>34494.196367999997</v>
      </c>
      <c r="W696">
        <v>695</v>
      </c>
      <c r="X696">
        <v>7</v>
      </c>
      <c r="Y696">
        <v>694</v>
      </c>
      <c r="Z696">
        <v>55377</v>
      </c>
      <c r="AA696" s="76">
        <v>45671</v>
      </c>
      <c r="AB696">
        <v>2025</v>
      </c>
      <c r="AC696" t="s">
        <v>6992</v>
      </c>
      <c r="AD696">
        <v>14</v>
      </c>
      <c r="AE696" t="s">
        <v>7045</v>
      </c>
      <c r="AF696" t="s">
        <v>3216</v>
      </c>
      <c r="AG696" t="s">
        <v>1069</v>
      </c>
      <c r="AH696" t="s">
        <v>1069</v>
      </c>
      <c r="AI696" t="s">
        <v>1069</v>
      </c>
      <c r="AJ696" t="s">
        <v>6966</v>
      </c>
      <c r="AK696">
        <v>34.005189999999999</v>
      </c>
      <c r="AL696">
        <v>36.20796</v>
      </c>
      <c r="AM696" t="s">
        <v>7046</v>
      </c>
      <c r="AN696" t="s">
        <v>7046</v>
      </c>
      <c r="AO696" t="s">
        <v>7008</v>
      </c>
      <c r="AP696" s="77" t="s">
        <v>7047</v>
      </c>
      <c r="AQ696" t="s">
        <v>6998</v>
      </c>
      <c r="AR696" t="s">
        <v>7048</v>
      </c>
      <c r="AS696" t="s">
        <v>7000</v>
      </c>
      <c r="AT696">
        <v>0</v>
      </c>
      <c r="AU696">
        <v>0</v>
      </c>
      <c r="AV696" t="s">
        <v>7049</v>
      </c>
      <c r="AW696" t="s">
        <v>7041</v>
      </c>
      <c r="AX696" t="s">
        <v>6966</v>
      </c>
      <c r="AY696" t="s">
        <v>7003</v>
      </c>
      <c r="AZ696">
        <v>0.34587899999999999</v>
      </c>
      <c r="BA696">
        <v>3.653E-3</v>
      </c>
    </row>
    <row r="697" spans="1:53" x14ac:dyDescent="0.25">
      <c r="A697">
        <v>695</v>
      </c>
      <c r="B697" t="s">
        <v>7625</v>
      </c>
      <c r="C697">
        <v>505027</v>
      </c>
      <c r="D697" t="s">
        <v>433</v>
      </c>
      <c r="E697" t="s">
        <v>7719</v>
      </c>
      <c r="F697">
        <v>8701032</v>
      </c>
      <c r="G697">
        <v>18915.859375</v>
      </c>
      <c r="H697">
        <v>645</v>
      </c>
      <c r="I697">
        <v>843</v>
      </c>
      <c r="J697">
        <v>25475</v>
      </c>
      <c r="K697" t="s">
        <v>433</v>
      </c>
      <c r="L697">
        <v>6</v>
      </c>
      <c r="M697">
        <v>6</v>
      </c>
      <c r="N697">
        <v>25475</v>
      </c>
      <c r="O697">
        <v>632</v>
      </c>
      <c r="P697" t="s">
        <v>3212</v>
      </c>
      <c r="Q697">
        <v>2.8</v>
      </c>
      <c r="R697">
        <v>33.06</v>
      </c>
      <c r="S697">
        <v>1.7</v>
      </c>
      <c r="T697">
        <v>20</v>
      </c>
      <c r="U697">
        <v>8701032.0446799994</v>
      </c>
      <c r="V697">
        <v>18915.859558</v>
      </c>
      <c r="W697">
        <v>696</v>
      </c>
      <c r="X697">
        <v>0</v>
      </c>
      <c r="Y697">
        <v>695</v>
      </c>
      <c r="Z697" t="s">
        <v>6966</v>
      </c>
      <c r="AA697" t="s">
        <v>6966</v>
      </c>
      <c r="AB697" t="s">
        <v>6966</v>
      </c>
      <c r="AC697" t="s">
        <v>6966</v>
      </c>
      <c r="AD697" t="s">
        <v>6966</v>
      </c>
      <c r="AE697" t="s">
        <v>6966</v>
      </c>
      <c r="AF697" t="s">
        <v>6966</v>
      </c>
      <c r="AG697" t="s">
        <v>6966</v>
      </c>
      <c r="AH697" t="s">
        <v>6966</v>
      </c>
      <c r="AI697" t="s">
        <v>6966</v>
      </c>
      <c r="AJ697" t="s">
        <v>6966</v>
      </c>
      <c r="AK697" t="s">
        <v>6966</v>
      </c>
      <c r="AL697" t="s">
        <v>6966</v>
      </c>
      <c r="AM697" t="s">
        <v>6966</v>
      </c>
      <c r="AN697" t="s">
        <v>6966</v>
      </c>
      <c r="AO697" t="s">
        <v>6966</v>
      </c>
      <c r="AP697" t="s">
        <v>6966</v>
      </c>
      <c r="AQ697" t="s">
        <v>6966</v>
      </c>
      <c r="AR697" t="s">
        <v>6966</v>
      </c>
      <c r="AS697" t="s">
        <v>6966</v>
      </c>
      <c r="AT697" t="s">
        <v>6966</v>
      </c>
      <c r="AU697" t="s">
        <v>6966</v>
      </c>
      <c r="AV697" t="s">
        <v>6966</v>
      </c>
      <c r="AW697" t="s">
        <v>6966</v>
      </c>
      <c r="AX697" t="s">
        <v>6966</v>
      </c>
      <c r="AY697" t="s">
        <v>6966</v>
      </c>
      <c r="AZ697">
        <v>0.18861600000000001</v>
      </c>
      <c r="BA697">
        <v>8.4900000000000004E-4</v>
      </c>
    </row>
    <row r="698" spans="1:53" x14ac:dyDescent="0.25">
      <c r="A698">
        <v>696</v>
      </c>
      <c r="B698" t="s">
        <v>7625</v>
      </c>
      <c r="C698">
        <v>505020</v>
      </c>
      <c r="D698" t="s">
        <v>403</v>
      </c>
      <c r="E698" t="s">
        <v>7719</v>
      </c>
      <c r="F698">
        <v>2898783</v>
      </c>
      <c r="G698">
        <v>7864.5302730000003</v>
      </c>
      <c r="H698">
        <v>646</v>
      </c>
      <c r="I698">
        <v>844</v>
      </c>
      <c r="J698">
        <v>25351</v>
      </c>
      <c r="K698" t="s">
        <v>403</v>
      </c>
      <c r="L698">
        <v>6</v>
      </c>
      <c r="M698">
        <v>6</v>
      </c>
      <c r="N698">
        <v>25351</v>
      </c>
      <c r="O698">
        <v>633</v>
      </c>
      <c r="P698" t="s">
        <v>3212</v>
      </c>
      <c r="Q698">
        <v>1.9</v>
      </c>
      <c r="R698">
        <v>21.86</v>
      </c>
      <c r="S698">
        <v>0.84</v>
      </c>
      <c r="T698">
        <v>10</v>
      </c>
      <c r="U698">
        <v>2898782.80687</v>
      </c>
      <c r="V698">
        <v>7864.5305060000001</v>
      </c>
      <c r="W698">
        <v>697</v>
      </c>
      <c r="X698">
        <v>0</v>
      </c>
      <c r="Y698">
        <v>696</v>
      </c>
      <c r="Z698" t="s">
        <v>6966</v>
      </c>
      <c r="AA698" t="s">
        <v>6966</v>
      </c>
      <c r="AB698" t="s">
        <v>6966</v>
      </c>
      <c r="AC698" t="s">
        <v>6966</v>
      </c>
      <c r="AD698" t="s">
        <v>6966</v>
      </c>
      <c r="AE698" t="s">
        <v>6966</v>
      </c>
      <c r="AF698" t="s">
        <v>6966</v>
      </c>
      <c r="AG698" t="s">
        <v>6966</v>
      </c>
      <c r="AH698" t="s">
        <v>6966</v>
      </c>
      <c r="AI698" t="s">
        <v>6966</v>
      </c>
      <c r="AJ698" t="s">
        <v>6966</v>
      </c>
      <c r="AK698" t="s">
        <v>6966</v>
      </c>
      <c r="AL698" t="s">
        <v>6966</v>
      </c>
      <c r="AM698" t="s">
        <v>6966</v>
      </c>
      <c r="AN698" t="s">
        <v>6966</v>
      </c>
      <c r="AO698" t="s">
        <v>6966</v>
      </c>
      <c r="AP698" t="s">
        <v>6966</v>
      </c>
      <c r="AQ698" t="s">
        <v>6966</v>
      </c>
      <c r="AR698" t="s">
        <v>6966</v>
      </c>
      <c r="AS698" t="s">
        <v>6966</v>
      </c>
      <c r="AT698" t="s">
        <v>6966</v>
      </c>
      <c r="AU698" t="s">
        <v>6966</v>
      </c>
      <c r="AV698" t="s">
        <v>6966</v>
      </c>
      <c r="AW698" t="s">
        <v>6966</v>
      </c>
      <c r="AX698" t="s">
        <v>6966</v>
      </c>
      <c r="AY698" t="s">
        <v>6966</v>
      </c>
      <c r="AZ698">
        <v>7.8623999999999999E-2</v>
      </c>
      <c r="BA698">
        <v>2.8299999999999999E-4</v>
      </c>
    </row>
    <row r="699" spans="1:53" x14ac:dyDescent="0.25">
      <c r="A699">
        <v>697</v>
      </c>
      <c r="B699" t="s">
        <v>7625</v>
      </c>
      <c r="C699">
        <v>201031</v>
      </c>
      <c r="D699" t="s">
        <v>1563</v>
      </c>
      <c r="E699" t="s">
        <v>1069</v>
      </c>
      <c r="F699">
        <v>175578.640625</v>
      </c>
      <c r="G699">
        <v>5405.4345700000003</v>
      </c>
      <c r="H699">
        <v>647</v>
      </c>
      <c r="I699">
        <v>846</v>
      </c>
      <c r="J699">
        <v>0</v>
      </c>
      <c r="K699" t="s">
        <v>1563</v>
      </c>
      <c r="L699">
        <v>17</v>
      </c>
      <c r="M699">
        <v>17</v>
      </c>
      <c r="N699">
        <v>0</v>
      </c>
      <c r="O699">
        <v>1629</v>
      </c>
      <c r="P699" t="s">
        <v>3214</v>
      </c>
      <c r="Q699">
        <v>0</v>
      </c>
      <c r="R699">
        <v>0</v>
      </c>
      <c r="S699">
        <v>0</v>
      </c>
      <c r="T699">
        <v>0</v>
      </c>
      <c r="U699">
        <v>175578.67122799999</v>
      </c>
      <c r="V699">
        <v>5405.4340629999997</v>
      </c>
      <c r="W699">
        <v>698</v>
      </c>
      <c r="X699">
        <v>0</v>
      </c>
      <c r="Y699">
        <v>697</v>
      </c>
      <c r="Z699" t="s">
        <v>6966</v>
      </c>
      <c r="AA699" t="s">
        <v>6966</v>
      </c>
      <c r="AB699" t="s">
        <v>6966</v>
      </c>
      <c r="AC699" t="s">
        <v>6966</v>
      </c>
      <c r="AD699" t="s">
        <v>6966</v>
      </c>
      <c r="AE699" t="s">
        <v>6966</v>
      </c>
      <c r="AF699" t="s">
        <v>6966</v>
      </c>
      <c r="AG699" t="s">
        <v>6966</v>
      </c>
      <c r="AH699" t="s">
        <v>6966</v>
      </c>
      <c r="AI699" t="s">
        <v>6966</v>
      </c>
      <c r="AJ699" t="s">
        <v>6966</v>
      </c>
      <c r="AK699" t="s">
        <v>6966</v>
      </c>
      <c r="AL699" t="s">
        <v>6966</v>
      </c>
      <c r="AM699" t="s">
        <v>6966</v>
      </c>
      <c r="AN699" t="s">
        <v>6966</v>
      </c>
      <c r="AO699" t="s">
        <v>6966</v>
      </c>
      <c r="AP699" t="s">
        <v>6966</v>
      </c>
      <c r="AQ699" t="s">
        <v>6966</v>
      </c>
      <c r="AR699" t="s">
        <v>6966</v>
      </c>
      <c r="AS699" t="s">
        <v>6966</v>
      </c>
      <c r="AT699" t="s">
        <v>6966</v>
      </c>
      <c r="AU699" t="s">
        <v>6966</v>
      </c>
      <c r="AV699" t="s">
        <v>6966</v>
      </c>
      <c r="AW699" t="s">
        <v>6966</v>
      </c>
      <c r="AX699" t="s">
        <v>6966</v>
      </c>
      <c r="AY699" t="s">
        <v>6966</v>
      </c>
      <c r="AZ699">
        <v>5.5173E-2</v>
      </c>
      <c r="BA699">
        <v>1.7E-5</v>
      </c>
    </row>
    <row r="700" spans="1:53" x14ac:dyDescent="0.25">
      <c r="A700">
        <v>698</v>
      </c>
      <c r="B700" t="s">
        <v>7625</v>
      </c>
      <c r="C700">
        <v>201088</v>
      </c>
      <c r="D700" t="s">
        <v>1131</v>
      </c>
      <c r="E700" t="s">
        <v>1069</v>
      </c>
      <c r="F700">
        <v>0</v>
      </c>
      <c r="G700">
        <v>51774.023437999997</v>
      </c>
      <c r="H700">
        <v>648</v>
      </c>
      <c r="I700">
        <v>847</v>
      </c>
      <c r="J700">
        <v>53435</v>
      </c>
      <c r="K700" t="s">
        <v>2467</v>
      </c>
      <c r="L700">
        <v>17</v>
      </c>
      <c r="M700">
        <v>17</v>
      </c>
      <c r="N700">
        <v>53435</v>
      </c>
      <c r="O700">
        <v>634</v>
      </c>
      <c r="P700" t="s">
        <v>3214</v>
      </c>
      <c r="Q700">
        <v>0.8</v>
      </c>
      <c r="R700">
        <v>121.21</v>
      </c>
      <c r="S700">
        <v>0.17</v>
      </c>
      <c r="T700">
        <v>27</v>
      </c>
      <c r="U700">
        <v>0</v>
      </c>
      <c r="V700">
        <v>51774.022340000003</v>
      </c>
      <c r="W700">
        <v>699</v>
      </c>
      <c r="X700">
        <v>0</v>
      </c>
      <c r="Y700">
        <v>698</v>
      </c>
      <c r="Z700" t="s">
        <v>6966</v>
      </c>
      <c r="AA700" t="s">
        <v>6966</v>
      </c>
      <c r="AB700" t="s">
        <v>6966</v>
      </c>
      <c r="AC700" t="s">
        <v>6966</v>
      </c>
      <c r="AD700" t="s">
        <v>6966</v>
      </c>
      <c r="AE700" t="s">
        <v>6966</v>
      </c>
      <c r="AF700" t="s">
        <v>6966</v>
      </c>
      <c r="AG700" t="s">
        <v>6966</v>
      </c>
      <c r="AH700" t="s">
        <v>6966</v>
      </c>
      <c r="AI700" t="s">
        <v>6966</v>
      </c>
      <c r="AJ700" t="s">
        <v>6966</v>
      </c>
      <c r="AK700" t="s">
        <v>6966</v>
      </c>
      <c r="AL700" t="s">
        <v>6966</v>
      </c>
      <c r="AM700" t="s">
        <v>6966</v>
      </c>
      <c r="AN700" t="s">
        <v>6966</v>
      </c>
      <c r="AO700" t="s">
        <v>6966</v>
      </c>
      <c r="AP700" t="s">
        <v>6966</v>
      </c>
      <c r="AQ700" t="s">
        <v>6966</v>
      </c>
      <c r="AR700" t="s">
        <v>6966</v>
      </c>
      <c r="AS700" t="s">
        <v>6966</v>
      </c>
      <c r="AT700" t="s">
        <v>6966</v>
      </c>
      <c r="AU700" t="s">
        <v>6966</v>
      </c>
      <c r="AV700" t="s">
        <v>6966</v>
      </c>
      <c r="AW700" t="s">
        <v>6966</v>
      </c>
      <c r="AX700" t="s">
        <v>6966</v>
      </c>
      <c r="AY700" t="s">
        <v>6966</v>
      </c>
      <c r="AZ700">
        <v>0.51897599999999999</v>
      </c>
      <c r="BA700">
        <v>4.9909999999999998E-3</v>
      </c>
    </row>
    <row r="701" spans="1:53" x14ac:dyDescent="0.25">
      <c r="A701">
        <v>699</v>
      </c>
      <c r="B701" t="s">
        <v>7625</v>
      </c>
      <c r="C701">
        <v>505084</v>
      </c>
      <c r="D701" t="s">
        <v>87</v>
      </c>
      <c r="E701" t="s">
        <v>7719</v>
      </c>
      <c r="F701">
        <v>0</v>
      </c>
      <c r="G701">
        <v>19327.478515999999</v>
      </c>
      <c r="H701">
        <v>649</v>
      </c>
      <c r="I701">
        <v>848</v>
      </c>
      <c r="J701">
        <v>25002</v>
      </c>
      <c r="K701" t="s">
        <v>87</v>
      </c>
      <c r="L701">
        <v>6</v>
      </c>
      <c r="M701">
        <v>6</v>
      </c>
      <c r="N701">
        <v>25002</v>
      </c>
      <c r="O701">
        <v>635</v>
      </c>
      <c r="P701" t="s">
        <v>3212</v>
      </c>
      <c r="Q701">
        <v>0</v>
      </c>
      <c r="R701">
        <v>0</v>
      </c>
      <c r="S701">
        <v>0</v>
      </c>
      <c r="T701">
        <v>0</v>
      </c>
      <c r="U701">
        <v>0</v>
      </c>
      <c r="V701">
        <v>19327.478545999998</v>
      </c>
      <c r="W701">
        <v>700</v>
      </c>
      <c r="X701">
        <v>0</v>
      </c>
      <c r="Y701">
        <v>699</v>
      </c>
      <c r="Z701" t="s">
        <v>6966</v>
      </c>
      <c r="AA701" t="s">
        <v>6966</v>
      </c>
      <c r="AB701" t="s">
        <v>6966</v>
      </c>
      <c r="AC701" t="s">
        <v>6966</v>
      </c>
      <c r="AD701" t="s">
        <v>6966</v>
      </c>
      <c r="AE701" t="s">
        <v>6966</v>
      </c>
      <c r="AF701" t="s">
        <v>6966</v>
      </c>
      <c r="AG701" t="s">
        <v>6966</v>
      </c>
      <c r="AH701" t="s">
        <v>6966</v>
      </c>
      <c r="AI701" t="s">
        <v>6966</v>
      </c>
      <c r="AJ701" t="s">
        <v>6966</v>
      </c>
      <c r="AK701" t="s">
        <v>6966</v>
      </c>
      <c r="AL701" t="s">
        <v>6966</v>
      </c>
      <c r="AM701" t="s">
        <v>6966</v>
      </c>
      <c r="AN701" t="s">
        <v>6966</v>
      </c>
      <c r="AO701" t="s">
        <v>6966</v>
      </c>
      <c r="AP701" t="s">
        <v>6966</v>
      </c>
      <c r="AQ701" t="s">
        <v>6966</v>
      </c>
      <c r="AR701" t="s">
        <v>6966</v>
      </c>
      <c r="AS701" t="s">
        <v>6966</v>
      </c>
      <c r="AT701" t="s">
        <v>6966</v>
      </c>
      <c r="AU701" t="s">
        <v>6966</v>
      </c>
      <c r="AV701" t="s">
        <v>6966</v>
      </c>
      <c r="AW701" t="s">
        <v>6966</v>
      </c>
      <c r="AX701" t="s">
        <v>6966</v>
      </c>
      <c r="AY701" t="s">
        <v>6966</v>
      </c>
      <c r="AZ701">
        <v>0.19608100000000001</v>
      </c>
      <c r="BA701">
        <v>1.6639999999999999E-3</v>
      </c>
    </row>
    <row r="702" spans="1:53" x14ac:dyDescent="0.25">
      <c r="A702">
        <v>700</v>
      </c>
      <c r="B702" t="s">
        <v>7625</v>
      </c>
      <c r="C702">
        <v>201051</v>
      </c>
      <c r="D702" t="s">
        <v>1084</v>
      </c>
      <c r="E702" t="s">
        <v>1069</v>
      </c>
      <c r="F702">
        <v>6648720.5</v>
      </c>
      <c r="G702">
        <v>12238.938477</v>
      </c>
      <c r="H702">
        <v>650</v>
      </c>
      <c r="I702">
        <v>849</v>
      </c>
      <c r="J702">
        <v>53171</v>
      </c>
      <c r="K702" t="s">
        <v>2425</v>
      </c>
      <c r="L702">
        <v>17</v>
      </c>
      <c r="M702">
        <v>17</v>
      </c>
      <c r="N702">
        <v>53171</v>
      </c>
      <c r="O702">
        <v>636</v>
      </c>
      <c r="P702" t="s">
        <v>3214</v>
      </c>
      <c r="Q702">
        <v>0.1</v>
      </c>
      <c r="R702">
        <v>18.670000000000002</v>
      </c>
      <c r="S702">
        <v>0.08</v>
      </c>
      <c r="T702">
        <v>13</v>
      </c>
      <c r="U702">
        <v>6648720.4544500001</v>
      </c>
      <c r="V702">
        <v>12238.938486999999</v>
      </c>
      <c r="W702">
        <v>701</v>
      </c>
      <c r="X702">
        <v>0</v>
      </c>
      <c r="Y702">
        <v>700</v>
      </c>
      <c r="Z702" t="s">
        <v>6966</v>
      </c>
      <c r="AA702" t="s">
        <v>6966</v>
      </c>
      <c r="AB702" t="s">
        <v>6966</v>
      </c>
      <c r="AC702" t="s">
        <v>6966</v>
      </c>
      <c r="AD702" t="s">
        <v>6966</v>
      </c>
      <c r="AE702" t="s">
        <v>6966</v>
      </c>
      <c r="AF702" t="s">
        <v>6966</v>
      </c>
      <c r="AG702" t="s">
        <v>6966</v>
      </c>
      <c r="AH702" t="s">
        <v>6966</v>
      </c>
      <c r="AI702" t="s">
        <v>6966</v>
      </c>
      <c r="AJ702" t="s">
        <v>6966</v>
      </c>
      <c r="AK702" t="s">
        <v>6966</v>
      </c>
      <c r="AL702" t="s">
        <v>6966</v>
      </c>
      <c r="AM702" t="s">
        <v>6966</v>
      </c>
      <c r="AN702" t="s">
        <v>6966</v>
      </c>
      <c r="AO702" t="s">
        <v>6966</v>
      </c>
      <c r="AP702" t="s">
        <v>6966</v>
      </c>
      <c r="AQ702" t="s">
        <v>6966</v>
      </c>
      <c r="AR702" t="s">
        <v>6966</v>
      </c>
      <c r="AS702" t="s">
        <v>6966</v>
      </c>
      <c r="AT702" t="s">
        <v>6966</v>
      </c>
      <c r="AU702" t="s">
        <v>6966</v>
      </c>
      <c r="AV702" t="s">
        <v>6966</v>
      </c>
      <c r="AW702" t="s">
        <v>6966</v>
      </c>
      <c r="AX702" t="s">
        <v>6966</v>
      </c>
      <c r="AY702" t="s">
        <v>6966</v>
      </c>
      <c r="AZ702">
        <v>0.120658</v>
      </c>
      <c r="BA702">
        <v>6.4899999999999995E-4</v>
      </c>
    </row>
    <row r="703" spans="1:53" x14ac:dyDescent="0.25">
      <c r="A703">
        <v>701</v>
      </c>
      <c r="B703" t="s">
        <v>7625</v>
      </c>
      <c r="C703">
        <v>505012</v>
      </c>
      <c r="D703" t="s">
        <v>422</v>
      </c>
      <c r="E703" t="s">
        <v>7719</v>
      </c>
      <c r="F703">
        <v>2734235</v>
      </c>
      <c r="G703">
        <v>9079.7802730000003</v>
      </c>
      <c r="H703">
        <v>668</v>
      </c>
      <c r="I703">
        <v>870</v>
      </c>
      <c r="J703">
        <v>25431</v>
      </c>
      <c r="K703" t="s">
        <v>1902</v>
      </c>
      <c r="L703">
        <v>6</v>
      </c>
      <c r="M703">
        <v>6</v>
      </c>
      <c r="N703">
        <v>25431</v>
      </c>
      <c r="O703">
        <v>654</v>
      </c>
      <c r="P703" t="s">
        <v>3212</v>
      </c>
      <c r="Q703">
        <v>2.2999999999999998</v>
      </c>
      <c r="R703">
        <v>14.94</v>
      </c>
      <c r="S703">
        <v>1.72</v>
      </c>
      <c r="T703">
        <v>11</v>
      </c>
      <c r="U703">
        <v>2734235.1104000001</v>
      </c>
      <c r="V703">
        <v>9079.7804840000008</v>
      </c>
      <c r="W703">
        <v>702</v>
      </c>
      <c r="X703">
        <v>0</v>
      </c>
      <c r="Y703">
        <v>701</v>
      </c>
      <c r="Z703" t="s">
        <v>6966</v>
      </c>
      <c r="AA703" t="s">
        <v>6966</v>
      </c>
      <c r="AB703" t="s">
        <v>6966</v>
      </c>
      <c r="AC703" t="s">
        <v>6966</v>
      </c>
      <c r="AD703" t="s">
        <v>6966</v>
      </c>
      <c r="AE703" t="s">
        <v>6966</v>
      </c>
      <c r="AF703" t="s">
        <v>6966</v>
      </c>
      <c r="AG703" t="s">
        <v>6966</v>
      </c>
      <c r="AH703" t="s">
        <v>6966</v>
      </c>
      <c r="AI703" t="s">
        <v>6966</v>
      </c>
      <c r="AJ703" t="s">
        <v>6966</v>
      </c>
      <c r="AK703" t="s">
        <v>6966</v>
      </c>
      <c r="AL703" t="s">
        <v>6966</v>
      </c>
      <c r="AM703" t="s">
        <v>6966</v>
      </c>
      <c r="AN703" t="s">
        <v>6966</v>
      </c>
      <c r="AO703" t="s">
        <v>6966</v>
      </c>
      <c r="AP703" t="s">
        <v>6966</v>
      </c>
      <c r="AQ703" t="s">
        <v>6966</v>
      </c>
      <c r="AR703" t="s">
        <v>6966</v>
      </c>
      <c r="AS703" t="s">
        <v>6966</v>
      </c>
      <c r="AT703" t="s">
        <v>6966</v>
      </c>
      <c r="AU703" t="s">
        <v>6966</v>
      </c>
      <c r="AV703" t="s">
        <v>6966</v>
      </c>
      <c r="AW703" t="s">
        <v>6966</v>
      </c>
      <c r="AX703" t="s">
        <v>6966</v>
      </c>
      <c r="AY703" t="s">
        <v>6966</v>
      </c>
      <c r="AZ703">
        <v>9.1593999999999995E-2</v>
      </c>
      <c r="BA703">
        <v>2.6699999999999998E-4</v>
      </c>
    </row>
    <row r="704" spans="1:53" x14ac:dyDescent="0.25">
      <c r="A704">
        <v>702</v>
      </c>
      <c r="B704" t="s">
        <v>7625</v>
      </c>
      <c r="C704">
        <v>201007</v>
      </c>
      <c r="D704" t="s">
        <v>1074</v>
      </c>
      <c r="E704" t="s">
        <v>1069</v>
      </c>
      <c r="F704">
        <v>0</v>
      </c>
      <c r="G704">
        <v>38204.769530999998</v>
      </c>
      <c r="H704">
        <v>669</v>
      </c>
      <c r="I704">
        <v>871</v>
      </c>
      <c r="J704">
        <v>53131</v>
      </c>
      <c r="K704" t="s">
        <v>2417</v>
      </c>
      <c r="L704">
        <v>17</v>
      </c>
      <c r="M704">
        <v>17</v>
      </c>
      <c r="N704">
        <v>53131</v>
      </c>
      <c r="O704">
        <v>655</v>
      </c>
      <c r="P704" t="s">
        <v>3214</v>
      </c>
      <c r="Q704">
        <v>0</v>
      </c>
      <c r="R704">
        <v>0</v>
      </c>
      <c r="S704">
        <v>0</v>
      </c>
      <c r="T704">
        <v>0</v>
      </c>
      <c r="U704">
        <v>0</v>
      </c>
      <c r="V704">
        <v>38204.766799999998</v>
      </c>
      <c r="W704">
        <v>703</v>
      </c>
      <c r="X704">
        <v>0</v>
      </c>
      <c r="Y704">
        <v>702</v>
      </c>
      <c r="Z704" t="s">
        <v>6966</v>
      </c>
      <c r="AA704" t="s">
        <v>6966</v>
      </c>
      <c r="AB704" t="s">
        <v>6966</v>
      </c>
      <c r="AC704" t="s">
        <v>6966</v>
      </c>
      <c r="AD704" t="s">
        <v>6966</v>
      </c>
      <c r="AE704" t="s">
        <v>6966</v>
      </c>
      <c r="AF704" t="s">
        <v>6966</v>
      </c>
      <c r="AG704" t="s">
        <v>6966</v>
      </c>
      <c r="AH704" t="s">
        <v>6966</v>
      </c>
      <c r="AI704" t="s">
        <v>6966</v>
      </c>
      <c r="AJ704" t="s">
        <v>6966</v>
      </c>
      <c r="AK704" t="s">
        <v>6966</v>
      </c>
      <c r="AL704" t="s">
        <v>6966</v>
      </c>
      <c r="AM704" t="s">
        <v>6966</v>
      </c>
      <c r="AN704" t="s">
        <v>6966</v>
      </c>
      <c r="AO704" t="s">
        <v>6966</v>
      </c>
      <c r="AP704" t="s">
        <v>6966</v>
      </c>
      <c r="AQ704" t="s">
        <v>6966</v>
      </c>
      <c r="AR704" t="s">
        <v>6966</v>
      </c>
      <c r="AS704" t="s">
        <v>6966</v>
      </c>
      <c r="AT704" t="s">
        <v>6966</v>
      </c>
      <c r="AU704" t="s">
        <v>6966</v>
      </c>
      <c r="AV704" t="s">
        <v>6966</v>
      </c>
      <c r="AW704" t="s">
        <v>6966</v>
      </c>
      <c r="AX704" t="s">
        <v>6966</v>
      </c>
      <c r="AY704" t="s">
        <v>6966</v>
      </c>
      <c r="AZ704">
        <v>0.39021600000000001</v>
      </c>
      <c r="BA704">
        <v>5.4130000000000003E-3</v>
      </c>
    </row>
    <row r="705" spans="1:53" x14ac:dyDescent="0.25">
      <c r="A705">
        <v>703</v>
      </c>
      <c r="B705" t="s">
        <v>7625</v>
      </c>
      <c r="C705">
        <v>505028</v>
      </c>
      <c r="D705" t="s">
        <v>421</v>
      </c>
      <c r="E705" t="s">
        <v>7719</v>
      </c>
      <c r="F705">
        <v>7433653.5</v>
      </c>
      <c r="G705">
        <v>15588.041992</v>
      </c>
      <c r="H705">
        <v>670</v>
      </c>
      <c r="I705">
        <v>872</v>
      </c>
      <c r="J705">
        <v>25427</v>
      </c>
      <c r="K705" t="s">
        <v>7815</v>
      </c>
      <c r="L705">
        <v>6</v>
      </c>
      <c r="M705">
        <v>6</v>
      </c>
      <c r="N705">
        <v>25427</v>
      </c>
      <c r="O705">
        <v>656</v>
      </c>
      <c r="P705" t="s">
        <v>3212</v>
      </c>
      <c r="Q705">
        <v>1.6</v>
      </c>
      <c r="R705">
        <v>12.16</v>
      </c>
      <c r="S705">
        <v>2.73</v>
      </c>
      <c r="T705">
        <v>24</v>
      </c>
      <c r="U705">
        <v>7433653.5713099996</v>
      </c>
      <c r="V705">
        <v>15588.043539</v>
      </c>
      <c r="W705">
        <v>704</v>
      </c>
      <c r="X705">
        <v>0</v>
      </c>
      <c r="Y705">
        <v>703</v>
      </c>
      <c r="Z705" t="s">
        <v>6966</v>
      </c>
      <c r="AA705" t="s">
        <v>6966</v>
      </c>
      <c r="AB705" t="s">
        <v>6966</v>
      </c>
      <c r="AC705" t="s">
        <v>6966</v>
      </c>
      <c r="AD705" t="s">
        <v>6966</v>
      </c>
      <c r="AE705" t="s">
        <v>6966</v>
      </c>
      <c r="AF705" t="s">
        <v>6966</v>
      </c>
      <c r="AG705" t="s">
        <v>6966</v>
      </c>
      <c r="AH705" t="s">
        <v>6966</v>
      </c>
      <c r="AI705" t="s">
        <v>6966</v>
      </c>
      <c r="AJ705" t="s">
        <v>6966</v>
      </c>
      <c r="AK705" t="s">
        <v>6966</v>
      </c>
      <c r="AL705" t="s">
        <v>6966</v>
      </c>
      <c r="AM705" t="s">
        <v>6966</v>
      </c>
      <c r="AN705" t="s">
        <v>6966</v>
      </c>
      <c r="AO705" t="s">
        <v>6966</v>
      </c>
      <c r="AP705" t="s">
        <v>6966</v>
      </c>
      <c r="AQ705" t="s">
        <v>6966</v>
      </c>
      <c r="AR705" t="s">
        <v>6966</v>
      </c>
      <c r="AS705" t="s">
        <v>6966</v>
      </c>
      <c r="AT705" t="s">
        <v>6966</v>
      </c>
      <c r="AU705" t="s">
        <v>6966</v>
      </c>
      <c r="AV705" t="s">
        <v>6966</v>
      </c>
      <c r="AW705" t="s">
        <v>6966</v>
      </c>
      <c r="AX705" t="s">
        <v>6966</v>
      </c>
      <c r="AY705" t="s">
        <v>6966</v>
      </c>
      <c r="AZ705">
        <v>0.155832</v>
      </c>
      <c r="BA705">
        <v>7.2499999999999995E-4</v>
      </c>
    </row>
    <row r="706" spans="1:53" x14ac:dyDescent="0.25">
      <c r="A706">
        <v>704</v>
      </c>
      <c r="B706" t="s">
        <v>7625</v>
      </c>
      <c r="C706">
        <v>505021</v>
      </c>
      <c r="D706" t="s">
        <v>385</v>
      </c>
      <c r="E706" t="s">
        <v>7719</v>
      </c>
      <c r="F706">
        <v>2288451.75</v>
      </c>
      <c r="G706">
        <v>8379.1689449999994</v>
      </c>
      <c r="H706">
        <v>671</v>
      </c>
      <c r="I706">
        <v>873</v>
      </c>
      <c r="J706">
        <v>25315</v>
      </c>
      <c r="K706" t="s">
        <v>1876</v>
      </c>
      <c r="L706">
        <v>6</v>
      </c>
      <c r="M706">
        <v>6</v>
      </c>
      <c r="N706">
        <v>25315</v>
      </c>
      <c r="O706">
        <v>657</v>
      </c>
      <c r="P706" t="s">
        <v>3212</v>
      </c>
      <c r="Q706">
        <v>2.2000000000000002</v>
      </c>
      <c r="R706">
        <v>18.8</v>
      </c>
      <c r="S706">
        <v>0.54</v>
      </c>
      <c r="T706">
        <v>5</v>
      </c>
      <c r="U706">
        <v>2288451.9075000002</v>
      </c>
      <c r="V706">
        <v>8379.1689239999996</v>
      </c>
      <c r="W706">
        <v>705</v>
      </c>
      <c r="X706">
        <v>0</v>
      </c>
      <c r="Y706">
        <v>704</v>
      </c>
      <c r="Z706" t="s">
        <v>6966</v>
      </c>
      <c r="AA706" t="s">
        <v>6966</v>
      </c>
      <c r="AB706" t="s">
        <v>6966</v>
      </c>
      <c r="AC706" t="s">
        <v>6966</v>
      </c>
      <c r="AD706" t="s">
        <v>6966</v>
      </c>
      <c r="AE706" t="s">
        <v>6966</v>
      </c>
      <c r="AF706" t="s">
        <v>6966</v>
      </c>
      <c r="AG706" t="s">
        <v>6966</v>
      </c>
      <c r="AH706" t="s">
        <v>6966</v>
      </c>
      <c r="AI706" t="s">
        <v>6966</v>
      </c>
      <c r="AJ706" t="s">
        <v>6966</v>
      </c>
      <c r="AK706" t="s">
        <v>6966</v>
      </c>
      <c r="AL706" t="s">
        <v>6966</v>
      </c>
      <c r="AM706" t="s">
        <v>6966</v>
      </c>
      <c r="AN706" t="s">
        <v>6966</v>
      </c>
      <c r="AO706" t="s">
        <v>6966</v>
      </c>
      <c r="AP706" t="s">
        <v>6966</v>
      </c>
      <c r="AQ706" t="s">
        <v>6966</v>
      </c>
      <c r="AR706" t="s">
        <v>6966</v>
      </c>
      <c r="AS706" t="s">
        <v>6966</v>
      </c>
      <c r="AT706" t="s">
        <v>6966</v>
      </c>
      <c r="AU706" t="s">
        <v>6966</v>
      </c>
      <c r="AV706" t="s">
        <v>6966</v>
      </c>
      <c r="AW706" t="s">
        <v>6966</v>
      </c>
      <c r="AX706" t="s">
        <v>6966</v>
      </c>
      <c r="AY706" t="s">
        <v>6966</v>
      </c>
      <c r="AZ706">
        <v>8.7114999999999998E-2</v>
      </c>
      <c r="BA706">
        <v>2.23E-4</v>
      </c>
    </row>
    <row r="707" spans="1:53" x14ac:dyDescent="0.25">
      <c r="A707">
        <v>705</v>
      </c>
      <c r="B707" t="s">
        <v>7625</v>
      </c>
      <c r="C707">
        <v>505049</v>
      </c>
      <c r="D707" t="s">
        <v>424</v>
      </c>
      <c r="E707" t="s">
        <v>7719</v>
      </c>
      <c r="F707">
        <v>0</v>
      </c>
      <c r="G707">
        <v>41204.34375</v>
      </c>
      <c r="H707">
        <v>672</v>
      </c>
      <c r="I707">
        <v>874</v>
      </c>
      <c r="J707">
        <v>25439</v>
      </c>
      <c r="K707" t="s">
        <v>1903</v>
      </c>
      <c r="L707">
        <v>6</v>
      </c>
      <c r="M707">
        <v>6</v>
      </c>
      <c r="N707">
        <v>25439</v>
      </c>
      <c r="O707">
        <v>658</v>
      </c>
      <c r="P707" t="s">
        <v>3212</v>
      </c>
      <c r="Q707">
        <v>2.6</v>
      </c>
      <c r="R707">
        <v>33.22</v>
      </c>
      <c r="S707">
        <v>0.63</v>
      </c>
      <c r="T707">
        <v>9</v>
      </c>
      <c r="U707">
        <v>0</v>
      </c>
      <c r="V707">
        <v>41204.342263999999</v>
      </c>
      <c r="W707">
        <v>706</v>
      </c>
      <c r="X707">
        <v>1</v>
      </c>
      <c r="Y707">
        <v>705</v>
      </c>
      <c r="Z707">
        <v>69372</v>
      </c>
      <c r="AA707" s="76">
        <v>45894</v>
      </c>
      <c r="AB707">
        <v>2025</v>
      </c>
      <c r="AC707" t="s">
        <v>7379</v>
      </c>
      <c r="AD707">
        <v>25</v>
      </c>
      <c r="AE707" t="s">
        <v>7428</v>
      </c>
      <c r="AF707" t="s">
        <v>3212</v>
      </c>
      <c r="AG707" t="s">
        <v>3229</v>
      </c>
      <c r="AH707" t="s">
        <v>424</v>
      </c>
      <c r="AI707" t="s">
        <v>7429</v>
      </c>
      <c r="AJ707" t="s">
        <v>6966</v>
      </c>
      <c r="AK707">
        <v>33.982759999999999</v>
      </c>
      <c r="AL707">
        <v>35.7622</v>
      </c>
      <c r="AM707" t="s">
        <v>7014</v>
      </c>
      <c r="AN707" t="s">
        <v>7014</v>
      </c>
      <c r="AO707" t="s">
        <v>7086</v>
      </c>
      <c r="AP707" t="s">
        <v>7430</v>
      </c>
      <c r="AQ707" t="s">
        <v>6998</v>
      </c>
      <c r="AR707" t="s">
        <v>6999</v>
      </c>
      <c r="AS707" t="s">
        <v>7071</v>
      </c>
      <c r="AT707">
        <v>0</v>
      </c>
      <c r="AU707">
        <v>0</v>
      </c>
      <c r="AV707" t="s">
        <v>6966</v>
      </c>
      <c r="AW707" t="s">
        <v>7119</v>
      </c>
      <c r="AX707" t="s">
        <v>6966</v>
      </c>
      <c r="AY707" t="s">
        <v>7044</v>
      </c>
      <c r="AZ707">
        <v>0.416024</v>
      </c>
      <c r="BA707">
        <v>2.8869999999999998E-3</v>
      </c>
    </row>
    <row r="708" spans="1:53" x14ac:dyDescent="0.25">
      <c r="A708">
        <v>706</v>
      </c>
      <c r="B708" t="s">
        <v>7625</v>
      </c>
      <c r="C708">
        <v>201036</v>
      </c>
      <c r="D708" t="s">
        <v>1071</v>
      </c>
      <c r="E708" t="s">
        <v>1069</v>
      </c>
      <c r="F708">
        <v>0</v>
      </c>
      <c r="G708">
        <v>23712.890625</v>
      </c>
      <c r="H708">
        <v>673</v>
      </c>
      <c r="I708">
        <v>875</v>
      </c>
      <c r="J708">
        <v>53119</v>
      </c>
      <c r="K708" t="s">
        <v>2414</v>
      </c>
      <c r="L708">
        <v>17</v>
      </c>
      <c r="M708">
        <v>17</v>
      </c>
      <c r="N708">
        <v>53119</v>
      </c>
      <c r="O708">
        <v>659</v>
      </c>
      <c r="P708" t="s">
        <v>3214</v>
      </c>
      <c r="Q708">
        <v>3.2</v>
      </c>
      <c r="R708">
        <v>52.57</v>
      </c>
      <c r="S708">
        <v>0.66</v>
      </c>
      <c r="T708">
        <v>11</v>
      </c>
      <c r="U708">
        <v>0</v>
      </c>
      <c r="V708">
        <v>23712.890998999999</v>
      </c>
      <c r="W708">
        <v>707</v>
      </c>
      <c r="X708">
        <v>0</v>
      </c>
      <c r="Y708">
        <v>706</v>
      </c>
      <c r="Z708" t="s">
        <v>6966</v>
      </c>
      <c r="AA708" t="s">
        <v>6966</v>
      </c>
      <c r="AB708" t="s">
        <v>6966</v>
      </c>
      <c r="AC708" t="s">
        <v>6966</v>
      </c>
      <c r="AD708" t="s">
        <v>6966</v>
      </c>
      <c r="AE708" t="s">
        <v>6966</v>
      </c>
      <c r="AF708" t="s">
        <v>6966</v>
      </c>
      <c r="AG708" t="s">
        <v>6966</v>
      </c>
      <c r="AH708" t="s">
        <v>6966</v>
      </c>
      <c r="AI708" t="s">
        <v>6966</v>
      </c>
      <c r="AJ708" t="s">
        <v>6966</v>
      </c>
      <c r="AK708" t="s">
        <v>6966</v>
      </c>
      <c r="AL708" t="s">
        <v>6966</v>
      </c>
      <c r="AM708" t="s">
        <v>6966</v>
      </c>
      <c r="AN708" t="s">
        <v>6966</v>
      </c>
      <c r="AO708" t="s">
        <v>6966</v>
      </c>
      <c r="AP708" t="s">
        <v>6966</v>
      </c>
      <c r="AQ708" t="s">
        <v>6966</v>
      </c>
      <c r="AR708" t="s">
        <v>6966</v>
      </c>
      <c r="AS708" t="s">
        <v>6966</v>
      </c>
      <c r="AT708" t="s">
        <v>6966</v>
      </c>
      <c r="AU708" t="s">
        <v>6966</v>
      </c>
      <c r="AV708" t="s">
        <v>6966</v>
      </c>
      <c r="AW708" t="s">
        <v>6966</v>
      </c>
      <c r="AX708" t="s">
        <v>6966</v>
      </c>
      <c r="AY708" t="s">
        <v>6966</v>
      </c>
      <c r="AZ708">
        <v>0.239341</v>
      </c>
      <c r="BA708">
        <v>1.8810000000000001E-3</v>
      </c>
    </row>
    <row r="709" spans="1:53" x14ac:dyDescent="0.25">
      <c r="A709">
        <v>707</v>
      </c>
      <c r="B709" t="s">
        <v>7625</v>
      </c>
      <c r="C709">
        <v>505062</v>
      </c>
      <c r="D709" t="s">
        <v>435</v>
      </c>
      <c r="E709" t="s">
        <v>7719</v>
      </c>
      <c r="F709">
        <v>0</v>
      </c>
      <c r="G709">
        <v>30819.755859000001</v>
      </c>
      <c r="H709">
        <v>674</v>
      </c>
      <c r="I709">
        <v>876</v>
      </c>
      <c r="J709">
        <v>25482</v>
      </c>
      <c r="K709" t="s">
        <v>1911</v>
      </c>
      <c r="L709">
        <v>6</v>
      </c>
      <c r="M709">
        <v>6</v>
      </c>
      <c r="N709">
        <v>25482</v>
      </c>
      <c r="O709">
        <v>660</v>
      </c>
      <c r="P709" t="s">
        <v>3212</v>
      </c>
      <c r="Q709">
        <v>0</v>
      </c>
      <c r="R709">
        <v>0</v>
      </c>
      <c r="S709">
        <v>0</v>
      </c>
      <c r="T709">
        <v>0</v>
      </c>
      <c r="U709">
        <v>0</v>
      </c>
      <c r="V709">
        <v>30819.755785000001</v>
      </c>
      <c r="W709">
        <v>708</v>
      </c>
      <c r="X709">
        <v>0</v>
      </c>
      <c r="Y709">
        <v>707</v>
      </c>
      <c r="Z709" t="s">
        <v>6966</v>
      </c>
      <c r="AA709" t="s">
        <v>6966</v>
      </c>
      <c r="AB709" t="s">
        <v>6966</v>
      </c>
      <c r="AC709" t="s">
        <v>6966</v>
      </c>
      <c r="AD709" t="s">
        <v>6966</v>
      </c>
      <c r="AE709" t="s">
        <v>6966</v>
      </c>
      <c r="AF709" t="s">
        <v>6966</v>
      </c>
      <c r="AG709" t="s">
        <v>6966</v>
      </c>
      <c r="AH709" t="s">
        <v>6966</v>
      </c>
      <c r="AI709" t="s">
        <v>6966</v>
      </c>
      <c r="AJ709" t="s">
        <v>6966</v>
      </c>
      <c r="AK709" t="s">
        <v>6966</v>
      </c>
      <c r="AL709" t="s">
        <v>6966</v>
      </c>
      <c r="AM709" t="s">
        <v>6966</v>
      </c>
      <c r="AN709" t="s">
        <v>6966</v>
      </c>
      <c r="AO709" t="s">
        <v>6966</v>
      </c>
      <c r="AP709" t="s">
        <v>6966</v>
      </c>
      <c r="AQ709" t="s">
        <v>6966</v>
      </c>
      <c r="AR709" t="s">
        <v>6966</v>
      </c>
      <c r="AS709" t="s">
        <v>6966</v>
      </c>
      <c r="AT709" t="s">
        <v>6966</v>
      </c>
      <c r="AU709" t="s">
        <v>6966</v>
      </c>
      <c r="AV709" t="s">
        <v>6966</v>
      </c>
      <c r="AW709" t="s">
        <v>6966</v>
      </c>
      <c r="AX709" t="s">
        <v>6966</v>
      </c>
      <c r="AY709" t="s">
        <v>6966</v>
      </c>
      <c r="AZ709">
        <v>0.310062</v>
      </c>
      <c r="BA709">
        <v>3.2009999999999999E-3</v>
      </c>
    </row>
    <row r="710" spans="1:53" x14ac:dyDescent="0.25">
      <c r="A710">
        <v>708</v>
      </c>
      <c r="B710" t="s">
        <v>7625</v>
      </c>
      <c r="C710">
        <v>201085</v>
      </c>
      <c r="D710" t="s">
        <v>1125</v>
      </c>
      <c r="E710" t="s">
        <v>1069</v>
      </c>
      <c r="F710">
        <v>0</v>
      </c>
      <c r="G710">
        <v>33528.761719000002</v>
      </c>
      <c r="H710">
        <v>675</v>
      </c>
      <c r="I710">
        <v>877</v>
      </c>
      <c r="J710">
        <v>53423</v>
      </c>
      <c r="K710" t="s">
        <v>2461</v>
      </c>
      <c r="L710">
        <v>17</v>
      </c>
      <c r="M710">
        <v>17</v>
      </c>
      <c r="N710">
        <v>53423</v>
      </c>
      <c r="O710">
        <v>661</v>
      </c>
      <c r="P710" t="s">
        <v>3214</v>
      </c>
      <c r="Q710">
        <v>0</v>
      </c>
      <c r="R710">
        <v>0</v>
      </c>
      <c r="S710">
        <v>0.01</v>
      </c>
      <c r="T710">
        <v>0</v>
      </c>
      <c r="U710">
        <v>0</v>
      </c>
      <c r="V710">
        <v>33528.762505999999</v>
      </c>
      <c r="W710">
        <v>709</v>
      </c>
      <c r="X710">
        <v>0</v>
      </c>
      <c r="Y710">
        <v>708</v>
      </c>
      <c r="Z710" t="s">
        <v>6966</v>
      </c>
      <c r="AA710" t="s">
        <v>6966</v>
      </c>
      <c r="AB710" t="s">
        <v>6966</v>
      </c>
      <c r="AC710" t="s">
        <v>6966</v>
      </c>
      <c r="AD710" t="s">
        <v>6966</v>
      </c>
      <c r="AE710" t="s">
        <v>6966</v>
      </c>
      <c r="AF710" t="s">
        <v>6966</v>
      </c>
      <c r="AG710" t="s">
        <v>6966</v>
      </c>
      <c r="AH710" t="s">
        <v>6966</v>
      </c>
      <c r="AI710" t="s">
        <v>6966</v>
      </c>
      <c r="AJ710" t="s">
        <v>6966</v>
      </c>
      <c r="AK710" t="s">
        <v>6966</v>
      </c>
      <c r="AL710" t="s">
        <v>6966</v>
      </c>
      <c r="AM710" t="s">
        <v>6966</v>
      </c>
      <c r="AN710" t="s">
        <v>6966</v>
      </c>
      <c r="AO710" t="s">
        <v>6966</v>
      </c>
      <c r="AP710" t="s">
        <v>6966</v>
      </c>
      <c r="AQ710" t="s">
        <v>6966</v>
      </c>
      <c r="AR710" t="s">
        <v>6966</v>
      </c>
      <c r="AS710" t="s">
        <v>6966</v>
      </c>
      <c r="AT710" t="s">
        <v>6966</v>
      </c>
      <c r="AU710" t="s">
        <v>6966</v>
      </c>
      <c r="AV710" t="s">
        <v>6966</v>
      </c>
      <c r="AW710" t="s">
        <v>6966</v>
      </c>
      <c r="AX710" t="s">
        <v>6966</v>
      </c>
      <c r="AY710" t="s">
        <v>6966</v>
      </c>
      <c r="AZ710">
        <v>0.33790900000000001</v>
      </c>
      <c r="BA710">
        <v>1.6149999999999999E-3</v>
      </c>
    </row>
    <row r="711" spans="1:53" x14ac:dyDescent="0.25">
      <c r="A711">
        <v>709</v>
      </c>
      <c r="B711" t="s">
        <v>7625</v>
      </c>
      <c r="C711">
        <v>505073</v>
      </c>
      <c r="D711" t="s">
        <v>365</v>
      </c>
      <c r="E711" t="s">
        <v>7719</v>
      </c>
      <c r="F711">
        <v>2095233.75</v>
      </c>
      <c r="G711">
        <v>9976.1435550000006</v>
      </c>
      <c r="H711">
        <v>676</v>
      </c>
      <c r="I711">
        <v>878</v>
      </c>
      <c r="J711">
        <v>25136</v>
      </c>
      <c r="K711" t="s">
        <v>7816</v>
      </c>
      <c r="L711">
        <v>6</v>
      </c>
      <c r="M711">
        <v>6</v>
      </c>
      <c r="N711">
        <v>25136</v>
      </c>
      <c r="O711">
        <v>662</v>
      </c>
      <c r="P711" t="s">
        <v>3212</v>
      </c>
      <c r="Q711">
        <v>23.7</v>
      </c>
      <c r="R711">
        <v>47.05</v>
      </c>
      <c r="S711">
        <v>8.7100000000000009</v>
      </c>
      <c r="T711">
        <v>18</v>
      </c>
      <c r="U711">
        <v>2095233.62066</v>
      </c>
      <c r="V711">
        <v>9976.1433010000001</v>
      </c>
      <c r="W711">
        <v>710</v>
      </c>
      <c r="X711">
        <v>0</v>
      </c>
      <c r="Y711">
        <v>709</v>
      </c>
      <c r="Z711" t="s">
        <v>6966</v>
      </c>
      <c r="AA711" t="s">
        <v>6966</v>
      </c>
      <c r="AB711" t="s">
        <v>6966</v>
      </c>
      <c r="AC711" t="s">
        <v>6966</v>
      </c>
      <c r="AD711" t="s">
        <v>6966</v>
      </c>
      <c r="AE711" t="s">
        <v>6966</v>
      </c>
      <c r="AF711" t="s">
        <v>6966</v>
      </c>
      <c r="AG711" t="s">
        <v>6966</v>
      </c>
      <c r="AH711" t="s">
        <v>6966</v>
      </c>
      <c r="AI711" t="s">
        <v>6966</v>
      </c>
      <c r="AJ711" t="s">
        <v>6966</v>
      </c>
      <c r="AK711" t="s">
        <v>6966</v>
      </c>
      <c r="AL711" t="s">
        <v>6966</v>
      </c>
      <c r="AM711" t="s">
        <v>6966</v>
      </c>
      <c r="AN711" t="s">
        <v>6966</v>
      </c>
      <c r="AO711" t="s">
        <v>6966</v>
      </c>
      <c r="AP711" t="s">
        <v>6966</v>
      </c>
      <c r="AQ711" t="s">
        <v>6966</v>
      </c>
      <c r="AR711" t="s">
        <v>6966</v>
      </c>
      <c r="AS711" t="s">
        <v>6966</v>
      </c>
      <c r="AT711" t="s">
        <v>6966</v>
      </c>
      <c r="AU711" t="s">
        <v>6966</v>
      </c>
      <c r="AV711" t="s">
        <v>6966</v>
      </c>
      <c r="AW711" t="s">
        <v>6966</v>
      </c>
      <c r="AX711" t="s">
        <v>6966</v>
      </c>
      <c r="AY711" t="s">
        <v>6966</v>
      </c>
      <c r="AZ711">
        <v>0.100374</v>
      </c>
      <c r="BA711">
        <v>2.04E-4</v>
      </c>
    </row>
    <row r="712" spans="1:53" x14ac:dyDescent="0.25">
      <c r="A712">
        <v>710</v>
      </c>
      <c r="B712" t="s">
        <v>7625</v>
      </c>
      <c r="C712">
        <v>505055</v>
      </c>
      <c r="D712" t="s">
        <v>388</v>
      </c>
      <c r="E712" t="s">
        <v>7719</v>
      </c>
      <c r="F712">
        <v>1112130.375</v>
      </c>
      <c r="G712">
        <v>6756.2856449999999</v>
      </c>
      <c r="H712">
        <v>677</v>
      </c>
      <c r="I712">
        <v>879</v>
      </c>
      <c r="J712">
        <v>25321</v>
      </c>
      <c r="K712" t="s">
        <v>388</v>
      </c>
      <c r="L712">
        <v>6</v>
      </c>
      <c r="M712">
        <v>6</v>
      </c>
      <c r="N712">
        <v>25321</v>
      </c>
      <c r="O712">
        <v>663</v>
      </c>
      <c r="P712" t="s">
        <v>3212</v>
      </c>
      <c r="Q712">
        <v>1.4</v>
      </c>
      <c r="R712">
        <v>8.57</v>
      </c>
      <c r="S712">
        <v>0.66</v>
      </c>
      <c r="T712">
        <v>4</v>
      </c>
      <c r="U712">
        <v>1112130.2890699999</v>
      </c>
      <c r="V712">
        <v>6756.285363</v>
      </c>
      <c r="W712">
        <v>711</v>
      </c>
      <c r="X712">
        <v>0</v>
      </c>
      <c r="Y712">
        <v>710</v>
      </c>
      <c r="Z712" t="s">
        <v>6966</v>
      </c>
      <c r="AA712" t="s">
        <v>6966</v>
      </c>
      <c r="AB712" t="s">
        <v>6966</v>
      </c>
      <c r="AC712" t="s">
        <v>6966</v>
      </c>
      <c r="AD712" t="s">
        <v>6966</v>
      </c>
      <c r="AE712" t="s">
        <v>6966</v>
      </c>
      <c r="AF712" t="s">
        <v>6966</v>
      </c>
      <c r="AG712" t="s">
        <v>6966</v>
      </c>
      <c r="AH712" t="s">
        <v>6966</v>
      </c>
      <c r="AI712" t="s">
        <v>6966</v>
      </c>
      <c r="AJ712" t="s">
        <v>6966</v>
      </c>
      <c r="AK712" t="s">
        <v>6966</v>
      </c>
      <c r="AL712" t="s">
        <v>6966</v>
      </c>
      <c r="AM712" t="s">
        <v>6966</v>
      </c>
      <c r="AN712" t="s">
        <v>6966</v>
      </c>
      <c r="AO712" t="s">
        <v>6966</v>
      </c>
      <c r="AP712" t="s">
        <v>6966</v>
      </c>
      <c r="AQ712" t="s">
        <v>6966</v>
      </c>
      <c r="AR712" t="s">
        <v>6966</v>
      </c>
      <c r="AS712" t="s">
        <v>6966</v>
      </c>
      <c r="AT712" t="s">
        <v>6966</v>
      </c>
      <c r="AU712" t="s">
        <v>6966</v>
      </c>
      <c r="AV712" t="s">
        <v>6966</v>
      </c>
      <c r="AW712" t="s">
        <v>6966</v>
      </c>
      <c r="AX712" t="s">
        <v>6966</v>
      </c>
      <c r="AY712" t="s">
        <v>6966</v>
      </c>
      <c r="AZ712">
        <v>6.8255999999999997E-2</v>
      </c>
      <c r="BA712">
        <v>1.08E-4</v>
      </c>
    </row>
    <row r="713" spans="1:53" x14ac:dyDescent="0.25">
      <c r="A713">
        <v>711</v>
      </c>
      <c r="B713" t="s">
        <v>7625</v>
      </c>
      <c r="C713">
        <v>201061</v>
      </c>
      <c r="D713" t="s">
        <v>1078</v>
      </c>
      <c r="E713" t="s">
        <v>1069</v>
      </c>
      <c r="F713">
        <v>0</v>
      </c>
      <c r="G713">
        <v>13842.055664</v>
      </c>
      <c r="H713">
        <v>678</v>
      </c>
      <c r="I713">
        <v>880</v>
      </c>
      <c r="J713">
        <v>53147</v>
      </c>
      <c r="K713" t="s">
        <v>2421</v>
      </c>
      <c r="L713">
        <v>17</v>
      </c>
      <c r="M713">
        <v>17</v>
      </c>
      <c r="N713">
        <v>53147</v>
      </c>
      <c r="O713">
        <v>664</v>
      </c>
      <c r="P713" t="s">
        <v>3214</v>
      </c>
      <c r="Q713">
        <v>0.8</v>
      </c>
      <c r="R713">
        <v>87.33</v>
      </c>
      <c r="S713">
        <v>0.17</v>
      </c>
      <c r="T713">
        <v>18</v>
      </c>
      <c r="U713">
        <v>0</v>
      </c>
      <c r="V713">
        <v>13842.055331</v>
      </c>
      <c r="W713">
        <v>712</v>
      </c>
      <c r="X713">
        <v>0</v>
      </c>
      <c r="Y713">
        <v>711</v>
      </c>
      <c r="Z713" t="s">
        <v>6966</v>
      </c>
      <c r="AA713" t="s">
        <v>6966</v>
      </c>
      <c r="AB713" t="s">
        <v>6966</v>
      </c>
      <c r="AC713" t="s">
        <v>6966</v>
      </c>
      <c r="AD713" t="s">
        <v>6966</v>
      </c>
      <c r="AE713" t="s">
        <v>6966</v>
      </c>
      <c r="AF713" t="s">
        <v>6966</v>
      </c>
      <c r="AG713" t="s">
        <v>6966</v>
      </c>
      <c r="AH713" t="s">
        <v>6966</v>
      </c>
      <c r="AI713" t="s">
        <v>6966</v>
      </c>
      <c r="AJ713" t="s">
        <v>6966</v>
      </c>
      <c r="AK713" t="s">
        <v>6966</v>
      </c>
      <c r="AL713" t="s">
        <v>6966</v>
      </c>
      <c r="AM713" t="s">
        <v>6966</v>
      </c>
      <c r="AN713" t="s">
        <v>6966</v>
      </c>
      <c r="AO713" t="s">
        <v>6966</v>
      </c>
      <c r="AP713" t="s">
        <v>6966</v>
      </c>
      <c r="AQ713" t="s">
        <v>6966</v>
      </c>
      <c r="AR713" t="s">
        <v>6966</v>
      </c>
      <c r="AS713" t="s">
        <v>6966</v>
      </c>
      <c r="AT713" t="s">
        <v>6966</v>
      </c>
      <c r="AU713" t="s">
        <v>6966</v>
      </c>
      <c r="AV713" t="s">
        <v>6966</v>
      </c>
      <c r="AW713" t="s">
        <v>6966</v>
      </c>
      <c r="AX713" t="s">
        <v>6966</v>
      </c>
      <c r="AY713" t="s">
        <v>6966</v>
      </c>
      <c r="AZ713">
        <v>0.14083899999999999</v>
      </c>
      <c r="BA713">
        <v>1.013E-3</v>
      </c>
    </row>
    <row r="714" spans="1:53" x14ac:dyDescent="0.25">
      <c r="A714">
        <v>712</v>
      </c>
      <c r="B714" t="s">
        <v>7625</v>
      </c>
      <c r="C714">
        <v>505001</v>
      </c>
      <c r="D714" t="s">
        <v>420</v>
      </c>
      <c r="E714" t="s">
        <v>7719</v>
      </c>
      <c r="F714">
        <v>5882413.5</v>
      </c>
      <c r="G714">
        <v>14763.986328000001</v>
      </c>
      <c r="H714">
        <v>679</v>
      </c>
      <c r="I714">
        <v>881</v>
      </c>
      <c r="J714">
        <v>25423</v>
      </c>
      <c r="K714" t="s">
        <v>1900</v>
      </c>
      <c r="L714">
        <v>6</v>
      </c>
      <c r="M714">
        <v>6</v>
      </c>
      <c r="N714">
        <v>25423</v>
      </c>
      <c r="O714">
        <v>665</v>
      </c>
      <c r="P714" t="s">
        <v>3212</v>
      </c>
      <c r="Q714">
        <v>6.5</v>
      </c>
      <c r="R714">
        <v>24.03</v>
      </c>
      <c r="S714">
        <v>3.67</v>
      </c>
      <c r="T714">
        <v>14</v>
      </c>
      <c r="U714">
        <v>5882413.7340399995</v>
      </c>
      <c r="V714">
        <v>14763.986645999999</v>
      </c>
      <c r="W714">
        <v>713</v>
      </c>
      <c r="X714">
        <v>1</v>
      </c>
      <c r="Y714">
        <v>712</v>
      </c>
      <c r="Z714">
        <v>69181</v>
      </c>
      <c r="AA714" s="76">
        <v>45890</v>
      </c>
      <c r="AB714">
        <v>2025</v>
      </c>
      <c r="AC714" t="s">
        <v>7379</v>
      </c>
      <c r="AD714">
        <v>21</v>
      </c>
      <c r="AE714" t="s">
        <v>7420</v>
      </c>
      <c r="AF714" t="s">
        <v>3212</v>
      </c>
      <c r="AG714" t="s">
        <v>3229</v>
      </c>
      <c r="AH714" t="s">
        <v>420</v>
      </c>
      <c r="AI714" t="s">
        <v>420</v>
      </c>
      <c r="AJ714" t="s">
        <v>6966</v>
      </c>
      <c r="AK714">
        <v>33.989539999999998</v>
      </c>
      <c r="AL714">
        <v>35.704709999999999</v>
      </c>
      <c r="AM714" t="s">
        <v>7013</v>
      </c>
      <c r="AN714" t="s">
        <v>6966</v>
      </c>
      <c r="AO714" t="s">
        <v>7008</v>
      </c>
      <c r="AP714" t="s">
        <v>7421</v>
      </c>
      <c r="AQ714" t="s">
        <v>6998</v>
      </c>
      <c r="AR714" t="s">
        <v>6999</v>
      </c>
      <c r="AS714" t="s">
        <v>7000</v>
      </c>
      <c r="AT714">
        <v>0</v>
      </c>
      <c r="AU714">
        <v>0</v>
      </c>
      <c r="AV714" t="s">
        <v>7422</v>
      </c>
      <c r="AW714" t="s">
        <v>7043</v>
      </c>
      <c r="AX714" t="s">
        <v>6966</v>
      </c>
      <c r="AY714" t="s">
        <v>7003</v>
      </c>
      <c r="AZ714">
        <v>0.14888299999999999</v>
      </c>
      <c r="BA714">
        <v>5.7399999999999997E-4</v>
      </c>
    </row>
    <row r="715" spans="1:53" x14ac:dyDescent="0.25">
      <c r="A715">
        <v>713</v>
      </c>
      <c r="B715" t="s">
        <v>7625</v>
      </c>
      <c r="C715">
        <v>505044</v>
      </c>
      <c r="D715" t="s">
        <v>364</v>
      </c>
      <c r="E715" t="s">
        <v>7719</v>
      </c>
      <c r="F715">
        <v>1707886</v>
      </c>
      <c r="G715">
        <v>8364.4765630000002</v>
      </c>
      <c r="H715">
        <v>680</v>
      </c>
      <c r="I715">
        <v>882</v>
      </c>
      <c r="J715">
        <v>25131</v>
      </c>
      <c r="K715" t="s">
        <v>7817</v>
      </c>
      <c r="L715">
        <v>6</v>
      </c>
      <c r="M715">
        <v>6</v>
      </c>
      <c r="N715">
        <v>25131</v>
      </c>
      <c r="O715">
        <v>666</v>
      </c>
      <c r="P715" t="s">
        <v>3212</v>
      </c>
      <c r="Q715">
        <v>62.7</v>
      </c>
      <c r="R715">
        <v>92.22</v>
      </c>
      <c r="S715">
        <v>19.440000000000001</v>
      </c>
      <c r="T715">
        <v>33</v>
      </c>
      <c r="U715">
        <v>1707885.91616</v>
      </c>
      <c r="V715">
        <v>8364.4755299999997</v>
      </c>
      <c r="W715">
        <v>714</v>
      </c>
      <c r="X715">
        <v>0</v>
      </c>
      <c r="Y715">
        <v>713</v>
      </c>
      <c r="Z715" t="s">
        <v>6966</v>
      </c>
      <c r="AA715" t="s">
        <v>6966</v>
      </c>
      <c r="AB715" t="s">
        <v>6966</v>
      </c>
      <c r="AC715" t="s">
        <v>6966</v>
      </c>
      <c r="AD715" t="s">
        <v>6966</v>
      </c>
      <c r="AE715" t="s">
        <v>6966</v>
      </c>
      <c r="AF715" t="s">
        <v>6966</v>
      </c>
      <c r="AG715" t="s">
        <v>6966</v>
      </c>
      <c r="AH715" t="s">
        <v>6966</v>
      </c>
      <c r="AI715" t="s">
        <v>6966</v>
      </c>
      <c r="AJ715" t="s">
        <v>6966</v>
      </c>
      <c r="AK715" t="s">
        <v>6966</v>
      </c>
      <c r="AL715" t="s">
        <v>6966</v>
      </c>
      <c r="AM715" t="s">
        <v>6966</v>
      </c>
      <c r="AN715" t="s">
        <v>6966</v>
      </c>
      <c r="AO715" t="s">
        <v>6966</v>
      </c>
      <c r="AP715" t="s">
        <v>6966</v>
      </c>
      <c r="AQ715" t="s">
        <v>6966</v>
      </c>
      <c r="AR715" t="s">
        <v>6966</v>
      </c>
      <c r="AS715" t="s">
        <v>6966</v>
      </c>
      <c r="AT715" t="s">
        <v>6966</v>
      </c>
      <c r="AU715" t="s">
        <v>6966</v>
      </c>
      <c r="AV715" t="s">
        <v>6966</v>
      </c>
      <c r="AW715" t="s">
        <v>6966</v>
      </c>
      <c r="AX715" t="s">
        <v>6966</v>
      </c>
      <c r="AY715" t="s">
        <v>6966</v>
      </c>
      <c r="AZ715">
        <v>8.3061999999999997E-2</v>
      </c>
      <c r="BA715">
        <v>1.6699999999999999E-4</v>
      </c>
    </row>
    <row r="716" spans="1:53" x14ac:dyDescent="0.25">
      <c r="A716">
        <v>714</v>
      </c>
      <c r="B716" t="s">
        <v>7625</v>
      </c>
      <c r="C716">
        <v>505034</v>
      </c>
      <c r="D716" t="s">
        <v>387</v>
      </c>
      <c r="E716" t="s">
        <v>7719</v>
      </c>
      <c r="F716">
        <v>4606174</v>
      </c>
      <c r="G716">
        <v>17818.208984000001</v>
      </c>
      <c r="H716">
        <v>681</v>
      </c>
      <c r="I716">
        <v>883</v>
      </c>
      <c r="J716">
        <v>25319</v>
      </c>
      <c r="K716" t="s">
        <v>387</v>
      </c>
      <c r="L716">
        <v>6</v>
      </c>
      <c r="M716">
        <v>6</v>
      </c>
      <c r="N716">
        <v>25319</v>
      </c>
      <c r="O716">
        <v>667</v>
      </c>
      <c r="P716" t="s">
        <v>3212</v>
      </c>
      <c r="Q716">
        <v>4.5999999999999996</v>
      </c>
      <c r="R716">
        <v>23.36</v>
      </c>
      <c r="S716">
        <v>2.0299999999999998</v>
      </c>
      <c r="T716">
        <v>11</v>
      </c>
      <c r="U716">
        <v>4606174.0906100003</v>
      </c>
      <c r="V716">
        <v>17818.207847999998</v>
      </c>
      <c r="W716">
        <v>715</v>
      </c>
      <c r="X716">
        <v>0</v>
      </c>
      <c r="Y716">
        <v>714</v>
      </c>
      <c r="Z716" t="s">
        <v>6966</v>
      </c>
      <c r="AA716" t="s">
        <v>6966</v>
      </c>
      <c r="AB716" t="s">
        <v>6966</v>
      </c>
      <c r="AC716" t="s">
        <v>6966</v>
      </c>
      <c r="AD716" t="s">
        <v>6966</v>
      </c>
      <c r="AE716" t="s">
        <v>6966</v>
      </c>
      <c r="AF716" t="s">
        <v>6966</v>
      </c>
      <c r="AG716" t="s">
        <v>6966</v>
      </c>
      <c r="AH716" t="s">
        <v>6966</v>
      </c>
      <c r="AI716" t="s">
        <v>6966</v>
      </c>
      <c r="AJ716" t="s">
        <v>6966</v>
      </c>
      <c r="AK716" t="s">
        <v>6966</v>
      </c>
      <c r="AL716" t="s">
        <v>6966</v>
      </c>
      <c r="AM716" t="s">
        <v>6966</v>
      </c>
      <c r="AN716" t="s">
        <v>6966</v>
      </c>
      <c r="AO716" t="s">
        <v>6966</v>
      </c>
      <c r="AP716" t="s">
        <v>6966</v>
      </c>
      <c r="AQ716" t="s">
        <v>6966</v>
      </c>
      <c r="AR716" t="s">
        <v>6966</v>
      </c>
      <c r="AS716" t="s">
        <v>6966</v>
      </c>
      <c r="AT716" t="s">
        <v>6966</v>
      </c>
      <c r="AU716" t="s">
        <v>6966</v>
      </c>
      <c r="AV716" t="s">
        <v>6966</v>
      </c>
      <c r="AW716" t="s">
        <v>6966</v>
      </c>
      <c r="AX716" t="s">
        <v>6966</v>
      </c>
      <c r="AY716" t="s">
        <v>6966</v>
      </c>
      <c r="AZ716">
        <v>0.17974599999999999</v>
      </c>
      <c r="BA716">
        <v>4.4900000000000002E-4</v>
      </c>
    </row>
    <row r="717" spans="1:53" x14ac:dyDescent="0.25">
      <c r="A717">
        <v>715</v>
      </c>
      <c r="B717" t="s">
        <v>7625</v>
      </c>
      <c r="C717">
        <v>505011</v>
      </c>
      <c r="D717" t="s">
        <v>390</v>
      </c>
      <c r="E717" t="s">
        <v>7719</v>
      </c>
      <c r="F717">
        <v>631168.9375</v>
      </c>
      <c r="G717">
        <v>5077.1464839999999</v>
      </c>
      <c r="H717">
        <v>682</v>
      </c>
      <c r="I717">
        <v>884</v>
      </c>
      <c r="J717">
        <v>25325</v>
      </c>
      <c r="K717" t="s">
        <v>390</v>
      </c>
      <c r="L717">
        <v>6</v>
      </c>
      <c r="M717">
        <v>6</v>
      </c>
      <c r="N717">
        <v>25325</v>
      </c>
      <c r="O717">
        <v>668</v>
      </c>
      <c r="P717" t="s">
        <v>3212</v>
      </c>
      <c r="Q717">
        <v>10.7</v>
      </c>
      <c r="R717">
        <v>29.86</v>
      </c>
      <c r="S717">
        <v>4.0599999999999996</v>
      </c>
      <c r="T717">
        <v>11</v>
      </c>
      <c r="U717">
        <v>631168.95010899997</v>
      </c>
      <c r="V717">
        <v>5077.1471890000003</v>
      </c>
      <c r="W717">
        <v>716</v>
      </c>
      <c r="X717">
        <v>0</v>
      </c>
      <c r="Y717">
        <v>715</v>
      </c>
      <c r="Z717" t="s">
        <v>6966</v>
      </c>
      <c r="AA717" t="s">
        <v>6966</v>
      </c>
      <c r="AB717" t="s">
        <v>6966</v>
      </c>
      <c r="AC717" t="s">
        <v>6966</v>
      </c>
      <c r="AD717" t="s">
        <v>6966</v>
      </c>
      <c r="AE717" t="s">
        <v>6966</v>
      </c>
      <c r="AF717" t="s">
        <v>6966</v>
      </c>
      <c r="AG717" t="s">
        <v>6966</v>
      </c>
      <c r="AH717" t="s">
        <v>6966</v>
      </c>
      <c r="AI717" t="s">
        <v>6966</v>
      </c>
      <c r="AJ717" t="s">
        <v>6966</v>
      </c>
      <c r="AK717" t="s">
        <v>6966</v>
      </c>
      <c r="AL717" t="s">
        <v>6966</v>
      </c>
      <c r="AM717" t="s">
        <v>6966</v>
      </c>
      <c r="AN717" t="s">
        <v>6966</v>
      </c>
      <c r="AO717" t="s">
        <v>6966</v>
      </c>
      <c r="AP717" t="s">
        <v>6966</v>
      </c>
      <c r="AQ717" t="s">
        <v>6966</v>
      </c>
      <c r="AR717" t="s">
        <v>6966</v>
      </c>
      <c r="AS717" t="s">
        <v>6966</v>
      </c>
      <c r="AT717" t="s">
        <v>6966</v>
      </c>
      <c r="AU717" t="s">
        <v>6966</v>
      </c>
      <c r="AV717" t="s">
        <v>6966</v>
      </c>
      <c r="AW717" t="s">
        <v>6966</v>
      </c>
      <c r="AX717" t="s">
        <v>6966</v>
      </c>
      <c r="AY717" t="s">
        <v>6966</v>
      </c>
      <c r="AZ717">
        <v>5.1175999999999999E-2</v>
      </c>
      <c r="BA717">
        <v>6.2000000000000003E-5</v>
      </c>
    </row>
    <row r="718" spans="1:53" x14ac:dyDescent="0.25">
      <c r="A718">
        <v>716</v>
      </c>
      <c r="B718" t="s">
        <v>7625</v>
      </c>
      <c r="C718">
        <v>505025</v>
      </c>
      <c r="D718" t="s">
        <v>395</v>
      </c>
      <c r="E718" t="s">
        <v>7719</v>
      </c>
      <c r="F718">
        <v>293843.4375</v>
      </c>
      <c r="G718">
        <v>2780.2294919999999</v>
      </c>
      <c r="H718">
        <v>683</v>
      </c>
      <c r="I718">
        <v>885</v>
      </c>
      <c r="J718">
        <v>25335</v>
      </c>
      <c r="K718" t="s">
        <v>1881</v>
      </c>
      <c r="L718">
        <v>6</v>
      </c>
      <c r="M718">
        <v>6</v>
      </c>
      <c r="N718">
        <v>25335</v>
      </c>
      <c r="O718">
        <v>669</v>
      </c>
      <c r="P718" t="s">
        <v>3212</v>
      </c>
      <c r="Q718">
        <v>0</v>
      </c>
      <c r="R718">
        <v>0</v>
      </c>
      <c r="S718">
        <v>0</v>
      </c>
      <c r="T718">
        <v>0</v>
      </c>
      <c r="U718">
        <v>293843.47762299998</v>
      </c>
      <c r="V718">
        <v>2780.2298820000001</v>
      </c>
      <c r="W718">
        <v>717</v>
      </c>
      <c r="X718">
        <v>0</v>
      </c>
      <c r="Y718">
        <v>716</v>
      </c>
      <c r="Z718" t="s">
        <v>6966</v>
      </c>
      <c r="AA718" t="s">
        <v>6966</v>
      </c>
      <c r="AB718" t="s">
        <v>6966</v>
      </c>
      <c r="AC718" t="s">
        <v>6966</v>
      </c>
      <c r="AD718" t="s">
        <v>6966</v>
      </c>
      <c r="AE718" t="s">
        <v>6966</v>
      </c>
      <c r="AF718" t="s">
        <v>6966</v>
      </c>
      <c r="AG718" t="s">
        <v>6966</v>
      </c>
      <c r="AH718" t="s">
        <v>6966</v>
      </c>
      <c r="AI718" t="s">
        <v>6966</v>
      </c>
      <c r="AJ718" t="s">
        <v>6966</v>
      </c>
      <c r="AK718" t="s">
        <v>6966</v>
      </c>
      <c r="AL718" t="s">
        <v>6966</v>
      </c>
      <c r="AM718" t="s">
        <v>6966</v>
      </c>
      <c r="AN718" t="s">
        <v>6966</v>
      </c>
      <c r="AO718" t="s">
        <v>6966</v>
      </c>
      <c r="AP718" t="s">
        <v>6966</v>
      </c>
      <c r="AQ718" t="s">
        <v>6966</v>
      </c>
      <c r="AR718" t="s">
        <v>6966</v>
      </c>
      <c r="AS718" t="s">
        <v>6966</v>
      </c>
      <c r="AT718" t="s">
        <v>6966</v>
      </c>
      <c r="AU718" t="s">
        <v>6966</v>
      </c>
      <c r="AV718" t="s">
        <v>6966</v>
      </c>
      <c r="AW718" t="s">
        <v>6966</v>
      </c>
      <c r="AX718" t="s">
        <v>6966</v>
      </c>
      <c r="AY718" t="s">
        <v>6966</v>
      </c>
      <c r="AZ718">
        <v>2.8006E-2</v>
      </c>
      <c r="BA718">
        <v>2.9E-5</v>
      </c>
    </row>
    <row r="719" spans="1:53" x14ac:dyDescent="0.25">
      <c r="A719">
        <v>717</v>
      </c>
      <c r="B719" t="s">
        <v>7625</v>
      </c>
      <c r="C719">
        <v>201003</v>
      </c>
      <c r="D719" t="s">
        <v>1070</v>
      </c>
      <c r="E719" t="s">
        <v>1069</v>
      </c>
      <c r="F719">
        <v>0</v>
      </c>
      <c r="G719">
        <v>21411.248047000001</v>
      </c>
      <c r="H719">
        <v>684</v>
      </c>
      <c r="I719">
        <v>886</v>
      </c>
      <c r="J719">
        <v>53115</v>
      </c>
      <c r="K719" t="s">
        <v>7818</v>
      </c>
      <c r="L719">
        <v>17</v>
      </c>
      <c r="M719">
        <v>17</v>
      </c>
      <c r="N719">
        <v>53115</v>
      </c>
      <c r="O719">
        <v>670</v>
      </c>
      <c r="P719" t="s">
        <v>3214</v>
      </c>
      <c r="Q719">
        <v>0.3</v>
      </c>
      <c r="R719">
        <v>13.74</v>
      </c>
      <c r="S719">
        <v>0.06</v>
      </c>
      <c r="T719">
        <v>6</v>
      </c>
      <c r="U719">
        <v>0</v>
      </c>
      <c r="V719">
        <v>21411.247867999999</v>
      </c>
      <c r="W719">
        <v>718</v>
      </c>
      <c r="X719">
        <v>0</v>
      </c>
      <c r="Y719">
        <v>717</v>
      </c>
      <c r="Z719" t="s">
        <v>6966</v>
      </c>
      <c r="AA719" t="s">
        <v>6966</v>
      </c>
      <c r="AB719" t="s">
        <v>6966</v>
      </c>
      <c r="AC719" t="s">
        <v>6966</v>
      </c>
      <c r="AD719" t="s">
        <v>6966</v>
      </c>
      <c r="AE719" t="s">
        <v>6966</v>
      </c>
      <c r="AF719" t="s">
        <v>6966</v>
      </c>
      <c r="AG719" t="s">
        <v>6966</v>
      </c>
      <c r="AH719" t="s">
        <v>6966</v>
      </c>
      <c r="AI719" t="s">
        <v>6966</v>
      </c>
      <c r="AJ719" t="s">
        <v>6966</v>
      </c>
      <c r="AK719" t="s">
        <v>6966</v>
      </c>
      <c r="AL719" t="s">
        <v>6966</v>
      </c>
      <c r="AM719" t="s">
        <v>6966</v>
      </c>
      <c r="AN719" t="s">
        <v>6966</v>
      </c>
      <c r="AO719" t="s">
        <v>6966</v>
      </c>
      <c r="AP719" t="s">
        <v>6966</v>
      </c>
      <c r="AQ719" t="s">
        <v>6966</v>
      </c>
      <c r="AR719" t="s">
        <v>6966</v>
      </c>
      <c r="AS719" t="s">
        <v>6966</v>
      </c>
      <c r="AT719" t="s">
        <v>6966</v>
      </c>
      <c r="AU719" t="s">
        <v>6966</v>
      </c>
      <c r="AV719" t="s">
        <v>6966</v>
      </c>
      <c r="AW719" t="s">
        <v>6966</v>
      </c>
      <c r="AX719" t="s">
        <v>6966</v>
      </c>
      <c r="AY719" t="s">
        <v>6966</v>
      </c>
      <c r="AZ719">
        <v>0.21587500000000001</v>
      </c>
      <c r="BA719">
        <v>1.8519999999999999E-3</v>
      </c>
    </row>
    <row r="720" spans="1:53" x14ac:dyDescent="0.25">
      <c r="A720">
        <v>718</v>
      </c>
      <c r="B720" t="s">
        <v>7625</v>
      </c>
      <c r="C720">
        <v>505019</v>
      </c>
      <c r="D720" t="s">
        <v>396</v>
      </c>
      <c r="E720" t="s">
        <v>7719</v>
      </c>
      <c r="F720">
        <v>940680.125</v>
      </c>
      <c r="G720">
        <v>5765.2895509999998</v>
      </c>
      <c r="H720">
        <v>685</v>
      </c>
      <c r="I720">
        <v>887</v>
      </c>
      <c r="J720">
        <v>25337</v>
      </c>
      <c r="K720" t="s">
        <v>1882</v>
      </c>
      <c r="L720">
        <v>6</v>
      </c>
      <c r="M720">
        <v>6</v>
      </c>
      <c r="N720">
        <v>25337</v>
      </c>
      <c r="O720">
        <v>671</v>
      </c>
      <c r="P720" t="s">
        <v>3212</v>
      </c>
      <c r="Q720">
        <v>4.8</v>
      </c>
      <c r="R720">
        <v>21.07</v>
      </c>
      <c r="S720">
        <v>1.76</v>
      </c>
      <c r="T720">
        <v>8</v>
      </c>
      <c r="U720">
        <v>940680.14666800003</v>
      </c>
      <c r="V720">
        <v>5765.2888970000004</v>
      </c>
      <c r="W720">
        <v>719</v>
      </c>
      <c r="X720">
        <v>0</v>
      </c>
      <c r="Y720">
        <v>718</v>
      </c>
      <c r="Z720" t="s">
        <v>6966</v>
      </c>
      <c r="AA720" t="s">
        <v>6966</v>
      </c>
      <c r="AB720" t="s">
        <v>6966</v>
      </c>
      <c r="AC720" t="s">
        <v>6966</v>
      </c>
      <c r="AD720" t="s">
        <v>6966</v>
      </c>
      <c r="AE720" t="s">
        <v>6966</v>
      </c>
      <c r="AF720" t="s">
        <v>6966</v>
      </c>
      <c r="AG720" t="s">
        <v>6966</v>
      </c>
      <c r="AH720" t="s">
        <v>6966</v>
      </c>
      <c r="AI720" t="s">
        <v>6966</v>
      </c>
      <c r="AJ720" t="s">
        <v>6966</v>
      </c>
      <c r="AK720" t="s">
        <v>6966</v>
      </c>
      <c r="AL720" t="s">
        <v>6966</v>
      </c>
      <c r="AM720" t="s">
        <v>6966</v>
      </c>
      <c r="AN720" t="s">
        <v>6966</v>
      </c>
      <c r="AO720" t="s">
        <v>6966</v>
      </c>
      <c r="AP720" t="s">
        <v>6966</v>
      </c>
      <c r="AQ720" t="s">
        <v>6966</v>
      </c>
      <c r="AR720" t="s">
        <v>6966</v>
      </c>
      <c r="AS720" t="s">
        <v>6966</v>
      </c>
      <c r="AT720" t="s">
        <v>6966</v>
      </c>
      <c r="AU720" t="s">
        <v>6966</v>
      </c>
      <c r="AV720" t="s">
        <v>6966</v>
      </c>
      <c r="AW720" t="s">
        <v>6966</v>
      </c>
      <c r="AX720" t="s">
        <v>6966</v>
      </c>
      <c r="AY720" t="s">
        <v>6966</v>
      </c>
      <c r="AZ720">
        <v>5.7363999999999998E-2</v>
      </c>
      <c r="BA720">
        <v>9.2E-5</v>
      </c>
    </row>
    <row r="721" spans="1:53" x14ac:dyDescent="0.25">
      <c r="A721">
        <v>719</v>
      </c>
      <c r="B721" t="s">
        <v>7625</v>
      </c>
      <c r="C721">
        <v>505045</v>
      </c>
      <c r="D721" t="s">
        <v>7819</v>
      </c>
      <c r="E721" t="s">
        <v>7719</v>
      </c>
      <c r="F721">
        <v>1937022.125</v>
      </c>
      <c r="G721">
        <v>9933.2490230000003</v>
      </c>
      <c r="H721">
        <v>686</v>
      </c>
      <c r="I721">
        <v>888</v>
      </c>
      <c r="J721">
        <v>25111</v>
      </c>
      <c r="K721" t="s">
        <v>7820</v>
      </c>
      <c r="L721">
        <v>6</v>
      </c>
      <c r="M721">
        <v>6</v>
      </c>
      <c r="N721">
        <v>25111</v>
      </c>
      <c r="O721">
        <v>672</v>
      </c>
      <c r="P721" t="s">
        <v>3212</v>
      </c>
      <c r="Q721">
        <v>76.099999999999994</v>
      </c>
      <c r="R721">
        <v>106.7</v>
      </c>
      <c r="S721">
        <v>23.24</v>
      </c>
      <c r="T721">
        <v>39</v>
      </c>
      <c r="U721">
        <v>1937022.1484300001</v>
      </c>
      <c r="V721">
        <v>9933.2494600000009</v>
      </c>
      <c r="W721">
        <v>720</v>
      </c>
      <c r="X721">
        <v>1</v>
      </c>
      <c r="Y721">
        <v>719</v>
      </c>
      <c r="Z721">
        <v>58699</v>
      </c>
      <c r="AA721" s="76">
        <v>45731</v>
      </c>
      <c r="AB721">
        <v>2025</v>
      </c>
      <c r="AC721" t="s">
        <v>7104</v>
      </c>
      <c r="AD721">
        <v>15</v>
      </c>
      <c r="AE721" t="s">
        <v>7115</v>
      </c>
      <c r="AF721" t="s">
        <v>3212</v>
      </c>
      <c r="AG721" t="s">
        <v>3229</v>
      </c>
      <c r="AH721" t="s">
        <v>7116</v>
      </c>
      <c r="AI721" t="s">
        <v>7117</v>
      </c>
      <c r="AJ721" t="s">
        <v>6966</v>
      </c>
      <c r="AK721">
        <v>33.983460000000001</v>
      </c>
      <c r="AL721">
        <v>35.620669999999997</v>
      </c>
      <c r="AM721" t="s">
        <v>6995</v>
      </c>
      <c r="AN721" t="s">
        <v>6966</v>
      </c>
      <c r="AO721" t="s">
        <v>6996</v>
      </c>
      <c r="AP721" t="s">
        <v>7118</v>
      </c>
      <c r="AQ721" t="s">
        <v>6998</v>
      </c>
      <c r="AR721" t="s">
        <v>6999</v>
      </c>
      <c r="AS721" t="s">
        <v>7071</v>
      </c>
      <c r="AT721">
        <v>0</v>
      </c>
      <c r="AU721">
        <v>0</v>
      </c>
      <c r="AV721" t="s">
        <v>6966</v>
      </c>
      <c r="AW721" t="s">
        <v>7119</v>
      </c>
      <c r="AX721" t="s">
        <v>6966</v>
      </c>
      <c r="AY721" t="s">
        <v>7003</v>
      </c>
      <c r="AZ721">
        <v>9.9394999999999997E-2</v>
      </c>
      <c r="BA721">
        <v>1.8900000000000001E-4</v>
      </c>
    </row>
    <row r="722" spans="1:53" x14ac:dyDescent="0.25">
      <c r="A722">
        <v>720</v>
      </c>
      <c r="B722" t="s">
        <v>7625</v>
      </c>
      <c r="C722">
        <v>505036</v>
      </c>
      <c r="D722" t="s">
        <v>397</v>
      </c>
      <c r="E722" t="s">
        <v>7719</v>
      </c>
      <c r="F722">
        <v>526812.3125</v>
      </c>
      <c r="G722">
        <v>4249.7211909999996</v>
      </c>
      <c r="H722">
        <v>687</v>
      </c>
      <c r="I722">
        <v>889</v>
      </c>
      <c r="J722">
        <v>25339</v>
      </c>
      <c r="K722" t="s">
        <v>1883</v>
      </c>
      <c r="L722">
        <v>6</v>
      </c>
      <c r="M722">
        <v>6</v>
      </c>
      <c r="N722">
        <v>25339</v>
      </c>
      <c r="O722">
        <v>673</v>
      </c>
      <c r="P722" t="s">
        <v>3212</v>
      </c>
      <c r="Q722">
        <v>8.3000000000000007</v>
      </c>
      <c r="R722">
        <v>26.9</v>
      </c>
      <c r="S722">
        <v>2.2599999999999998</v>
      </c>
      <c r="T722">
        <v>10</v>
      </c>
      <c r="U722">
        <v>526812.27320699999</v>
      </c>
      <c r="V722">
        <v>4249.721125</v>
      </c>
      <c r="W722">
        <v>721</v>
      </c>
      <c r="X722">
        <v>0</v>
      </c>
      <c r="Y722">
        <v>720</v>
      </c>
      <c r="Z722" t="s">
        <v>6966</v>
      </c>
      <c r="AA722" t="s">
        <v>6966</v>
      </c>
      <c r="AB722" t="s">
        <v>6966</v>
      </c>
      <c r="AC722" t="s">
        <v>6966</v>
      </c>
      <c r="AD722" t="s">
        <v>6966</v>
      </c>
      <c r="AE722" t="s">
        <v>6966</v>
      </c>
      <c r="AF722" t="s">
        <v>6966</v>
      </c>
      <c r="AG722" t="s">
        <v>6966</v>
      </c>
      <c r="AH722" t="s">
        <v>6966</v>
      </c>
      <c r="AI722" t="s">
        <v>6966</v>
      </c>
      <c r="AJ722" t="s">
        <v>6966</v>
      </c>
      <c r="AK722" t="s">
        <v>6966</v>
      </c>
      <c r="AL722" t="s">
        <v>6966</v>
      </c>
      <c r="AM722" t="s">
        <v>6966</v>
      </c>
      <c r="AN722" t="s">
        <v>6966</v>
      </c>
      <c r="AO722" t="s">
        <v>6966</v>
      </c>
      <c r="AP722" t="s">
        <v>6966</v>
      </c>
      <c r="AQ722" t="s">
        <v>6966</v>
      </c>
      <c r="AR722" t="s">
        <v>6966</v>
      </c>
      <c r="AS722" t="s">
        <v>6966</v>
      </c>
      <c r="AT722" t="s">
        <v>6966</v>
      </c>
      <c r="AU722" t="s">
        <v>6966</v>
      </c>
      <c r="AV722" t="s">
        <v>6966</v>
      </c>
      <c r="AW722" t="s">
        <v>6966</v>
      </c>
      <c r="AX722" t="s">
        <v>6966</v>
      </c>
      <c r="AY722" t="s">
        <v>6966</v>
      </c>
      <c r="AZ722">
        <v>4.249E-2</v>
      </c>
      <c r="BA722">
        <v>5.1E-5</v>
      </c>
    </row>
    <row r="723" spans="1:53" x14ac:dyDescent="0.25">
      <c r="A723">
        <v>721</v>
      </c>
      <c r="B723" t="s">
        <v>7625</v>
      </c>
      <c r="C723">
        <v>505043</v>
      </c>
      <c r="D723" t="s">
        <v>362</v>
      </c>
      <c r="E723" t="s">
        <v>7719</v>
      </c>
      <c r="F723">
        <v>2137520.5</v>
      </c>
      <c r="G723">
        <v>8090.4619140000004</v>
      </c>
      <c r="H723">
        <v>688</v>
      </c>
      <c r="I723">
        <v>890</v>
      </c>
      <c r="J723">
        <v>25121</v>
      </c>
      <c r="K723" t="s">
        <v>7821</v>
      </c>
      <c r="L723">
        <v>6</v>
      </c>
      <c r="M723">
        <v>6</v>
      </c>
      <c r="N723">
        <v>25121</v>
      </c>
      <c r="O723">
        <v>674</v>
      </c>
      <c r="P723" t="s">
        <v>3212</v>
      </c>
      <c r="Q723">
        <v>41.5</v>
      </c>
      <c r="R723">
        <v>98.1</v>
      </c>
      <c r="S723">
        <v>12.54</v>
      </c>
      <c r="T723">
        <v>35</v>
      </c>
      <c r="U723">
        <v>2137520.49425</v>
      </c>
      <c r="V723">
        <v>8090.4615050000002</v>
      </c>
      <c r="W723">
        <v>722</v>
      </c>
      <c r="X723">
        <v>0</v>
      </c>
      <c r="Y723">
        <v>721</v>
      </c>
      <c r="Z723" t="s">
        <v>6966</v>
      </c>
      <c r="AA723" t="s">
        <v>6966</v>
      </c>
      <c r="AB723" t="s">
        <v>6966</v>
      </c>
      <c r="AC723" t="s">
        <v>6966</v>
      </c>
      <c r="AD723" t="s">
        <v>6966</v>
      </c>
      <c r="AE723" t="s">
        <v>6966</v>
      </c>
      <c r="AF723" t="s">
        <v>6966</v>
      </c>
      <c r="AG723" t="s">
        <v>6966</v>
      </c>
      <c r="AH723" t="s">
        <v>6966</v>
      </c>
      <c r="AI723" t="s">
        <v>6966</v>
      </c>
      <c r="AJ723" t="s">
        <v>6966</v>
      </c>
      <c r="AK723" t="s">
        <v>6966</v>
      </c>
      <c r="AL723" t="s">
        <v>6966</v>
      </c>
      <c r="AM723" t="s">
        <v>6966</v>
      </c>
      <c r="AN723" t="s">
        <v>6966</v>
      </c>
      <c r="AO723" t="s">
        <v>6966</v>
      </c>
      <c r="AP723" t="s">
        <v>6966</v>
      </c>
      <c r="AQ723" t="s">
        <v>6966</v>
      </c>
      <c r="AR723" t="s">
        <v>6966</v>
      </c>
      <c r="AS723" t="s">
        <v>6966</v>
      </c>
      <c r="AT723" t="s">
        <v>6966</v>
      </c>
      <c r="AU723" t="s">
        <v>6966</v>
      </c>
      <c r="AV723" t="s">
        <v>6966</v>
      </c>
      <c r="AW723" t="s">
        <v>6966</v>
      </c>
      <c r="AX723" t="s">
        <v>6966</v>
      </c>
      <c r="AY723" t="s">
        <v>6966</v>
      </c>
      <c r="AZ723">
        <v>7.9193E-2</v>
      </c>
      <c r="BA723">
        <v>2.0799999999999999E-4</v>
      </c>
    </row>
    <row r="724" spans="1:53" x14ac:dyDescent="0.25">
      <c r="A724">
        <v>722</v>
      </c>
      <c r="B724" t="s">
        <v>7625</v>
      </c>
      <c r="C724">
        <v>505023</v>
      </c>
      <c r="D724" t="s">
        <v>401</v>
      </c>
      <c r="E724" t="s">
        <v>7719</v>
      </c>
      <c r="F724">
        <v>3815059.75</v>
      </c>
      <c r="G724">
        <v>12823.319336</v>
      </c>
      <c r="H724">
        <v>689</v>
      </c>
      <c r="I724">
        <v>891</v>
      </c>
      <c r="J724">
        <v>25347</v>
      </c>
      <c r="K724" t="s">
        <v>1887</v>
      </c>
      <c r="L724">
        <v>6</v>
      </c>
      <c r="M724">
        <v>6</v>
      </c>
      <c r="N724">
        <v>25347</v>
      </c>
      <c r="O724">
        <v>675</v>
      </c>
      <c r="P724" t="s">
        <v>3212</v>
      </c>
      <c r="Q724">
        <v>5</v>
      </c>
      <c r="R724">
        <v>28.89</v>
      </c>
      <c r="S724">
        <v>1.21</v>
      </c>
      <c r="T724">
        <v>8</v>
      </c>
      <c r="U724">
        <v>3815059.8155499999</v>
      </c>
      <c r="V724">
        <v>12823.320405</v>
      </c>
      <c r="W724">
        <v>723</v>
      </c>
      <c r="X724">
        <v>0</v>
      </c>
      <c r="Y724">
        <v>722</v>
      </c>
      <c r="Z724" t="s">
        <v>6966</v>
      </c>
      <c r="AA724" t="s">
        <v>6966</v>
      </c>
      <c r="AB724" t="s">
        <v>6966</v>
      </c>
      <c r="AC724" t="s">
        <v>6966</v>
      </c>
      <c r="AD724" t="s">
        <v>6966</v>
      </c>
      <c r="AE724" t="s">
        <v>6966</v>
      </c>
      <c r="AF724" t="s">
        <v>6966</v>
      </c>
      <c r="AG724" t="s">
        <v>6966</v>
      </c>
      <c r="AH724" t="s">
        <v>6966</v>
      </c>
      <c r="AI724" t="s">
        <v>6966</v>
      </c>
      <c r="AJ724" t="s">
        <v>6966</v>
      </c>
      <c r="AK724" t="s">
        <v>6966</v>
      </c>
      <c r="AL724" t="s">
        <v>6966</v>
      </c>
      <c r="AM724" t="s">
        <v>6966</v>
      </c>
      <c r="AN724" t="s">
        <v>6966</v>
      </c>
      <c r="AO724" t="s">
        <v>6966</v>
      </c>
      <c r="AP724" t="s">
        <v>6966</v>
      </c>
      <c r="AQ724" t="s">
        <v>6966</v>
      </c>
      <c r="AR724" t="s">
        <v>6966</v>
      </c>
      <c r="AS724" t="s">
        <v>6966</v>
      </c>
      <c r="AT724" t="s">
        <v>6966</v>
      </c>
      <c r="AU724" t="s">
        <v>6966</v>
      </c>
      <c r="AV724" t="s">
        <v>6966</v>
      </c>
      <c r="AW724" t="s">
        <v>6966</v>
      </c>
      <c r="AX724" t="s">
        <v>6966</v>
      </c>
      <c r="AY724" t="s">
        <v>6966</v>
      </c>
      <c r="AZ724">
        <v>0.129631</v>
      </c>
      <c r="BA724">
        <v>3.7199999999999999E-4</v>
      </c>
    </row>
    <row r="725" spans="1:53" x14ac:dyDescent="0.25">
      <c r="A725">
        <v>723</v>
      </c>
      <c r="B725" t="s">
        <v>7625</v>
      </c>
      <c r="C725">
        <v>505069</v>
      </c>
      <c r="D725" t="s">
        <v>418</v>
      </c>
      <c r="E725" t="s">
        <v>7719</v>
      </c>
      <c r="F725">
        <v>6462522.5</v>
      </c>
      <c r="G725">
        <v>16627.212890999999</v>
      </c>
      <c r="H725">
        <v>690</v>
      </c>
      <c r="I725">
        <v>892</v>
      </c>
      <c r="J725">
        <v>25415</v>
      </c>
      <c r="K725" t="s">
        <v>1898</v>
      </c>
      <c r="L725">
        <v>6</v>
      </c>
      <c r="M725">
        <v>6</v>
      </c>
      <c r="N725">
        <v>25415</v>
      </c>
      <c r="O725">
        <v>676</v>
      </c>
      <c r="P725" t="s">
        <v>3212</v>
      </c>
      <c r="Q725">
        <v>4.3</v>
      </c>
      <c r="R725">
        <v>34.83</v>
      </c>
      <c r="S725">
        <v>2.65</v>
      </c>
      <c r="T725">
        <v>21</v>
      </c>
      <c r="U725">
        <v>6462522.5637800004</v>
      </c>
      <c r="V725">
        <v>16627.213323</v>
      </c>
      <c r="W725">
        <v>724</v>
      </c>
      <c r="X725">
        <v>0</v>
      </c>
      <c r="Y725">
        <v>723</v>
      </c>
      <c r="Z725" t="s">
        <v>6966</v>
      </c>
      <c r="AA725" t="s">
        <v>6966</v>
      </c>
      <c r="AB725" t="s">
        <v>6966</v>
      </c>
      <c r="AC725" t="s">
        <v>6966</v>
      </c>
      <c r="AD725" t="s">
        <v>6966</v>
      </c>
      <c r="AE725" t="s">
        <v>6966</v>
      </c>
      <c r="AF725" t="s">
        <v>6966</v>
      </c>
      <c r="AG725" t="s">
        <v>6966</v>
      </c>
      <c r="AH725" t="s">
        <v>6966</v>
      </c>
      <c r="AI725" t="s">
        <v>6966</v>
      </c>
      <c r="AJ725" t="s">
        <v>6966</v>
      </c>
      <c r="AK725" t="s">
        <v>6966</v>
      </c>
      <c r="AL725" t="s">
        <v>6966</v>
      </c>
      <c r="AM725" t="s">
        <v>6966</v>
      </c>
      <c r="AN725" t="s">
        <v>6966</v>
      </c>
      <c r="AO725" t="s">
        <v>6966</v>
      </c>
      <c r="AP725" t="s">
        <v>6966</v>
      </c>
      <c r="AQ725" t="s">
        <v>6966</v>
      </c>
      <c r="AR725" t="s">
        <v>6966</v>
      </c>
      <c r="AS725" t="s">
        <v>6966</v>
      </c>
      <c r="AT725" t="s">
        <v>6966</v>
      </c>
      <c r="AU725" t="s">
        <v>6966</v>
      </c>
      <c r="AV725" t="s">
        <v>6966</v>
      </c>
      <c r="AW725" t="s">
        <v>6966</v>
      </c>
      <c r="AX725" t="s">
        <v>6966</v>
      </c>
      <c r="AY725" t="s">
        <v>6966</v>
      </c>
      <c r="AZ725">
        <v>0.165518</v>
      </c>
      <c r="BA725">
        <v>6.3000000000000003E-4</v>
      </c>
    </row>
    <row r="726" spans="1:53" x14ac:dyDescent="0.25">
      <c r="A726">
        <v>724</v>
      </c>
      <c r="B726" t="s">
        <v>7625</v>
      </c>
      <c r="C726">
        <v>505071</v>
      </c>
      <c r="D726" t="s">
        <v>417</v>
      </c>
      <c r="E726" t="s">
        <v>7719</v>
      </c>
      <c r="F726">
        <v>1893716.375</v>
      </c>
      <c r="G726">
        <v>8326.4277340000008</v>
      </c>
      <c r="H726">
        <v>691</v>
      </c>
      <c r="I726">
        <v>893</v>
      </c>
      <c r="J726">
        <v>25411</v>
      </c>
      <c r="K726" t="s">
        <v>417</v>
      </c>
      <c r="L726">
        <v>6</v>
      </c>
      <c r="M726">
        <v>6</v>
      </c>
      <c r="N726">
        <v>25411</v>
      </c>
      <c r="O726">
        <v>677</v>
      </c>
      <c r="P726" t="s">
        <v>3212</v>
      </c>
      <c r="Q726">
        <v>5.2</v>
      </c>
      <c r="R726">
        <v>13.19</v>
      </c>
      <c r="S726">
        <v>3.36</v>
      </c>
      <c r="T726">
        <v>9</v>
      </c>
      <c r="U726">
        <v>1893716.39992</v>
      </c>
      <c r="V726">
        <v>8326.4293990000006</v>
      </c>
      <c r="W726">
        <v>725</v>
      </c>
      <c r="X726">
        <v>0</v>
      </c>
      <c r="Y726">
        <v>724</v>
      </c>
      <c r="Z726" t="s">
        <v>6966</v>
      </c>
      <c r="AA726" t="s">
        <v>6966</v>
      </c>
      <c r="AB726" t="s">
        <v>6966</v>
      </c>
      <c r="AC726" t="s">
        <v>6966</v>
      </c>
      <c r="AD726" t="s">
        <v>6966</v>
      </c>
      <c r="AE726" t="s">
        <v>6966</v>
      </c>
      <c r="AF726" t="s">
        <v>6966</v>
      </c>
      <c r="AG726" t="s">
        <v>6966</v>
      </c>
      <c r="AH726" t="s">
        <v>6966</v>
      </c>
      <c r="AI726" t="s">
        <v>6966</v>
      </c>
      <c r="AJ726" t="s">
        <v>6966</v>
      </c>
      <c r="AK726" t="s">
        <v>6966</v>
      </c>
      <c r="AL726" t="s">
        <v>6966</v>
      </c>
      <c r="AM726" t="s">
        <v>6966</v>
      </c>
      <c r="AN726" t="s">
        <v>6966</v>
      </c>
      <c r="AO726" t="s">
        <v>6966</v>
      </c>
      <c r="AP726" t="s">
        <v>6966</v>
      </c>
      <c r="AQ726" t="s">
        <v>6966</v>
      </c>
      <c r="AR726" t="s">
        <v>6966</v>
      </c>
      <c r="AS726" t="s">
        <v>6966</v>
      </c>
      <c r="AT726" t="s">
        <v>6966</v>
      </c>
      <c r="AU726" t="s">
        <v>6966</v>
      </c>
      <c r="AV726" t="s">
        <v>6966</v>
      </c>
      <c r="AW726" t="s">
        <v>6966</v>
      </c>
      <c r="AX726" t="s">
        <v>6966</v>
      </c>
      <c r="AY726" t="s">
        <v>6966</v>
      </c>
      <c r="AZ726">
        <v>8.3752999999999994E-2</v>
      </c>
      <c r="BA726">
        <v>1.85E-4</v>
      </c>
    </row>
    <row r="727" spans="1:53" x14ac:dyDescent="0.25">
      <c r="A727">
        <v>725</v>
      </c>
      <c r="B727" t="s">
        <v>7625</v>
      </c>
      <c r="C727">
        <v>505082</v>
      </c>
      <c r="D727" t="s">
        <v>87</v>
      </c>
      <c r="E727" t="s">
        <v>7719</v>
      </c>
      <c r="F727">
        <v>357950.6875</v>
      </c>
      <c r="G727">
        <v>2767.0920409999999</v>
      </c>
      <c r="H727">
        <v>692</v>
      </c>
      <c r="I727">
        <v>894</v>
      </c>
      <c r="J727">
        <v>25003</v>
      </c>
      <c r="K727" t="s">
        <v>87</v>
      </c>
      <c r="L727">
        <v>6</v>
      </c>
      <c r="M727">
        <v>6</v>
      </c>
      <c r="N727">
        <v>25003</v>
      </c>
      <c r="O727">
        <v>678</v>
      </c>
      <c r="P727" t="s">
        <v>3212</v>
      </c>
      <c r="Q727">
        <v>0</v>
      </c>
      <c r="R727">
        <v>0</v>
      </c>
      <c r="S727">
        <v>0</v>
      </c>
      <c r="T727">
        <v>0</v>
      </c>
      <c r="U727">
        <v>357950.66975</v>
      </c>
      <c r="V727">
        <v>2767.0920209999999</v>
      </c>
      <c r="W727">
        <v>726</v>
      </c>
      <c r="X727">
        <v>0</v>
      </c>
      <c r="Y727">
        <v>725</v>
      </c>
      <c r="Z727" t="s">
        <v>6966</v>
      </c>
      <c r="AA727" t="s">
        <v>6966</v>
      </c>
      <c r="AB727" t="s">
        <v>6966</v>
      </c>
      <c r="AC727" t="s">
        <v>6966</v>
      </c>
      <c r="AD727" t="s">
        <v>6966</v>
      </c>
      <c r="AE727" t="s">
        <v>6966</v>
      </c>
      <c r="AF727" t="s">
        <v>6966</v>
      </c>
      <c r="AG727" t="s">
        <v>6966</v>
      </c>
      <c r="AH727" t="s">
        <v>6966</v>
      </c>
      <c r="AI727" t="s">
        <v>6966</v>
      </c>
      <c r="AJ727" t="s">
        <v>6966</v>
      </c>
      <c r="AK727" t="s">
        <v>6966</v>
      </c>
      <c r="AL727" t="s">
        <v>6966</v>
      </c>
      <c r="AM727" t="s">
        <v>6966</v>
      </c>
      <c r="AN727" t="s">
        <v>6966</v>
      </c>
      <c r="AO727" t="s">
        <v>6966</v>
      </c>
      <c r="AP727" t="s">
        <v>6966</v>
      </c>
      <c r="AQ727" t="s">
        <v>6966</v>
      </c>
      <c r="AR727" t="s">
        <v>6966</v>
      </c>
      <c r="AS727" t="s">
        <v>6966</v>
      </c>
      <c r="AT727" t="s">
        <v>6966</v>
      </c>
      <c r="AU727" t="s">
        <v>6966</v>
      </c>
      <c r="AV727" t="s">
        <v>6966</v>
      </c>
      <c r="AW727" t="s">
        <v>6966</v>
      </c>
      <c r="AX727" t="s">
        <v>6966</v>
      </c>
      <c r="AY727" t="s">
        <v>6966</v>
      </c>
      <c r="AZ727">
        <v>2.7102000000000001E-2</v>
      </c>
      <c r="BA727">
        <v>3.4999999999999997E-5</v>
      </c>
    </row>
    <row r="728" spans="1:53" x14ac:dyDescent="0.25">
      <c r="A728">
        <v>726</v>
      </c>
      <c r="B728" t="s">
        <v>7625</v>
      </c>
      <c r="C728">
        <v>505017</v>
      </c>
      <c r="D728" t="s">
        <v>427</v>
      </c>
      <c r="E728" t="s">
        <v>7719</v>
      </c>
      <c r="F728">
        <v>5155186</v>
      </c>
      <c r="G728">
        <v>12947.485352</v>
      </c>
      <c r="H728">
        <v>693</v>
      </c>
      <c r="I728">
        <v>895</v>
      </c>
      <c r="J728">
        <v>25451</v>
      </c>
      <c r="K728" t="s">
        <v>1906</v>
      </c>
      <c r="L728">
        <v>6</v>
      </c>
      <c r="M728">
        <v>6</v>
      </c>
      <c r="N728">
        <v>25451</v>
      </c>
      <c r="O728">
        <v>679</v>
      </c>
      <c r="P728" t="s">
        <v>3212</v>
      </c>
      <c r="Q728">
        <v>1.2</v>
      </c>
      <c r="R728">
        <v>25.32</v>
      </c>
      <c r="S728">
        <v>0.48</v>
      </c>
      <c r="T728">
        <v>10</v>
      </c>
      <c r="U728">
        <v>5155185.7925800001</v>
      </c>
      <c r="V728">
        <v>12947.484627</v>
      </c>
      <c r="W728">
        <v>727</v>
      </c>
      <c r="X728">
        <v>0</v>
      </c>
      <c r="Y728">
        <v>726</v>
      </c>
      <c r="Z728" t="s">
        <v>6966</v>
      </c>
      <c r="AA728" t="s">
        <v>6966</v>
      </c>
      <c r="AB728" t="s">
        <v>6966</v>
      </c>
      <c r="AC728" t="s">
        <v>6966</v>
      </c>
      <c r="AD728" t="s">
        <v>6966</v>
      </c>
      <c r="AE728" t="s">
        <v>6966</v>
      </c>
      <c r="AF728" t="s">
        <v>6966</v>
      </c>
      <c r="AG728" t="s">
        <v>6966</v>
      </c>
      <c r="AH728" t="s">
        <v>6966</v>
      </c>
      <c r="AI728" t="s">
        <v>6966</v>
      </c>
      <c r="AJ728" t="s">
        <v>6966</v>
      </c>
      <c r="AK728" t="s">
        <v>6966</v>
      </c>
      <c r="AL728" t="s">
        <v>6966</v>
      </c>
      <c r="AM728" t="s">
        <v>6966</v>
      </c>
      <c r="AN728" t="s">
        <v>6966</v>
      </c>
      <c r="AO728" t="s">
        <v>6966</v>
      </c>
      <c r="AP728" t="s">
        <v>6966</v>
      </c>
      <c r="AQ728" t="s">
        <v>6966</v>
      </c>
      <c r="AR728" t="s">
        <v>6966</v>
      </c>
      <c r="AS728" t="s">
        <v>6966</v>
      </c>
      <c r="AT728" t="s">
        <v>6966</v>
      </c>
      <c r="AU728" t="s">
        <v>6966</v>
      </c>
      <c r="AV728" t="s">
        <v>6966</v>
      </c>
      <c r="AW728" t="s">
        <v>6966</v>
      </c>
      <c r="AX728" t="s">
        <v>6966</v>
      </c>
      <c r="AY728" t="s">
        <v>6966</v>
      </c>
      <c r="AZ728">
        <v>0.13147300000000001</v>
      </c>
      <c r="BA728">
        <v>5.0299999999999997E-4</v>
      </c>
    </row>
    <row r="729" spans="1:53" x14ac:dyDescent="0.25">
      <c r="A729">
        <v>727</v>
      </c>
      <c r="B729" t="s">
        <v>7625</v>
      </c>
      <c r="C729">
        <v>505079</v>
      </c>
      <c r="D729" t="s">
        <v>361</v>
      </c>
      <c r="E729" t="s">
        <v>7719</v>
      </c>
      <c r="F729">
        <v>3235199.75</v>
      </c>
      <c r="G729">
        <v>13046.481444999999</v>
      </c>
      <c r="H729">
        <v>694</v>
      </c>
      <c r="I729">
        <v>896</v>
      </c>
      <c r="J729">
        <v>25116</v>
      </c>
      <c r="K729" t="s">
        <v>7822</v>
      </c>
      <c r="L729">
        <v>6</v>
      </c>
      <c r="M729">
        <v>6</v>
      </c>
      <c r="N729">
        <v>25116</v>
      </c>
      <c r="O729">
        <v>680</v>
      </c>
      <c r="P729" t="s">
        <v>3212</v>
      </c>
      <c r="Q729">
        <v>58.4</v>
      </c>
      <c r="R729">
        <v>114.24</v>
      </c>
      <c r="S729">
        <v>17.55</v>
      </c>
      <c r="T729">
        <v>38</v>
      </c>
      <c r="U729">
        <v>3235199.81231</v>
      </c>
      <c r="V729">
        <v>13046.480353999999</v>
      </c>
      <c r="W729">
        <v>728</v>
      </c>
      <c r="X729">
        <v>0</v>
      </c>
      <c r="Y729">
        <v>727</v>
      </c>
      <c r="Z729" t="s">
        <v>6966</v>
      </c>
      <c r="AA729" t="s">
        <v>6966</v>
      </c>
      <c r="AB729" t="s">
        <v>6966</v>
      </c>
      <c r="AC729" t="s">
        <v>6966</v>
      </c>
      <c r="AD729" t="s">
        <v>6966</v>
      </c>
      <c r="AE729" t="s">
        <v>6966</v>
      </c>
      <c r="AF729" t="s">
        <v>6966</v>
      </c>
      <c r="AG729" t="s">
        <v>6966</v>
      </c>
      <c r="AH729" t="s">
        <v>6966</v>
      </c>
      <c r="AI729" t="s">
        <v>6966</v>
      </c>
      <c r="AJ729" t="s">
        <v>6966</v>
      </c>
      <c r="AK729" t="s">
        <v>6966</v>
      </c>
      <c r="AL729" t="s">
        <v>6966</v>
      </c>
      <c r="AM729" t="s">
        <v>6966</v>
      </c>
      <c r="AN729" t="s">
        <v>6966</v>
      </c>
      <c r="AO729" t="s">
        <v>6966</v>
      </c>
      <c r="AP729" t="s">
        <v>6966</v>
      </c>
      <c r="AQ729" t="s">
        <v>6966</v>
      </c>
      <c r="AR729" t="s">
        <v>6966</v>
      </c>
      <c r="AS729" t="s">
        <v>6966</v>
      </c>
      <c r="AT729" t="s">
        <v>6966</v>
      </c>
      <c r="AU729" t="s">
        <v>6966</v>
      </c>
      <c r="AV729" t="s">
        <v>6966</v>
      </c>
      <c r="AW729" t="s">
        <v>6966</v>
      </c>
      <c r="AX729" t="s">
        <v>6966</v>
      </c>
      <c r="AY729" t="s">
        <v>6966</v>
      </c>
      <c r="AZ729">
        <v>0.13025100000000001</v>
      </c>
      <c r="BA729">
        <v>3.1500000000000001E-4</v>
      </c>
    </row>
    <row r="730" spans="1:53" x14ac:dyDescent="0.25">
      <c r="A730">
        <v>728</v>
      </c>
      <c r="B730" t="s">
        <v>7625</v>
      </c>
      <c r="C730">
        <v>201022</v>
      </c>
      <c r="D730" t="s">
        <v>1128</v>
      </c>
      <c r="E730" t="s">
        <v>1069</v>
      </c>
      <c r="F730">
        <v>0</v>
      </c>
      <c r="G730">
        <v>33734.367187999997</v>
      </c>
      <c r="H730">
        <v>695</v>
      </c>
      <c r="I730">
        <v>897</v>
      </c>
      <c r="J730">
        <v>53429</v>
      </c>
      <c r="K730" t="s">
        <v>2464</v>
      </c>
      <c r="L730">
        <v>17</v>
      </c>
      <c r="M730">
        <v>17</v>
      </c>
      <c r="N730">
        <v>53429</v>
      </c>
      <c r="O730">
        <v>681</v>
      </c>
      <c r="P730" t="s">
        <v>3214</v>
      </c>
      <c r="Q730">
        <v>2.8</v>
      </c>
      <c r="R730">
        <v>73.53</v>
      </c>
      <c r="S730">
        <v>0.63</v>
      </c>
      <c r="T730">
        <v>16</v>
      </c>
      <c r="U730">
        <v>0</v>
      </c>
      <c r="V730">
        <v>33734.367256999998</v>
      </c>
      <c r="W730">
        <v>729</v>
      </c>
      <c r="X730">
        <v>0</v>
      </c>
      <c r="Y730">
        <v>728</v>
      </c>
      <c r="Z730" t="s">
        <v>6966</v>
      </c>
      <c r="AA730" t="s">
        <v>6966</v>
      </c>
      <c r="AB730" t="s">
        <v>6966</v>
      </c>
      <c r="AC730" t="s">
        <v>6966</v>
      </c>
      <c r="AD730" t="s">
        <v>6966</v>
      </c>
      <c r="AE730" t="s">
        <v>6966</v>
      </c>
      <c r="AF730" t="s">
        <v>6966</v>
      </c>
      <c r="AG730" t="s">
        <v>6966</v>
      </c>
      <c r="AH730" t="s">
        <v>6966</v>
      </c>
      <c r="AI730" t="s">
        <v>6966</v>
      </c>
      <c r="AJ730" t="s">
        <v>6966</v>
      </c>
      <c r="AK730" t="s">
        <v>6966</v>
      </c>
      <c r="AL730" t="s">
        <v>6966</v>
      </c>
      <c r="AM730" t="s">
        <v>6966</v>
      </c>
      <c r="AN730" t="s">
        <v>6966</v>
      </c>
      <c r="AO730" t="s">
        <v>6966</v>
      </c>
      <c r="AP730" t="s">
        <v>6966</v>
      </c>
      <c r="AQ730" t="s">
        <v>6966</v>
      </c>
      <c r="AR730" t="s">
        <v>6966</v>
      </c>
      <c r="AS730" t="s">
        <v>6966</v>
      </c>
      <c r="AT730" t="s">
        <v>6966</v>
      </c>
      <c r="AU730" t="s">
        <v>6966</v>
      </c>
      <c r="AV730" t="s">
        <v>6966</v>
      </c>
      <c r="AW730" t="s">
        <v>6966</v>
      </c>
      <c r="AX730" t="s">
        <v>6966</v>
      </c>
      <c r="AY730" t="s">
        <v>6966</v>
      </c>
      <c r="AZ730">
        <v>0.34551999999999999</v>
      </c>
      <c r="BA730">
        <v>2.3679999999999999E-3</v>
      </c>
    </row>
    <row r="731" spans="1:53" x14ac:dyDescent="0.25">
      <c r="A731">
        <v>729</v>
      </c>
      <c r="B731" t="s">
        <v>7625</v>
      </c>
      <c r="C731">
        <v>505004</v>
      </c>
      <c r="D731" t="s">
        <v>375</v>
      </c>
      <c r="E731" t="s">
        <v>7719</v>
      </c>
      <c r="F731">
        <v>6414300.5</v>
      </c>
      <c r="G731">
        <v>16578.716797000001</v>
      </c>
      <c r="H731">
        <v>696</v>
      </c>
      <c r="I731">
        <v>898</v>
      </c>
      <c r="J731">
        <v>25211</v>
      </c>
      <c r="K731" t="s">
        <v>1868</v>
      </c>
      <c r="L731">
        <v>6</v>
      </c>
      <c r="M731">
        <v>6</v>
      </c>
      <c r="N731">
        <v>25211</v>
      </c>
      <c r="O731">
        <v>682</v>
      </c>
      <c r="P731" t="s">
        <v>3212</v>
      </c>
      <c r="Q731">
        <v>6.5</v>
      </c>
      <c r="R731">
        <v>23.04</v>
      </c>
      <c r="S731">
        <v>2.72</v>
      </c>
      <c r="T731">
        <v>10</v>
      </c>
      <c r="U731">
        <v>6414300.5227600001</v>
      </c>
      <c r="V731">
        <v>16578.717263999999</v>
      </c>
      <c r="W731">
        <v>730</v>
      </c>
      <c r="X731">
        <v>0</v>
      </c>
      <c r="Y731">
        <v>729</v>
      </c>
      <c r="Z731" t="s">
        <v>6966</v>
      </c>
      <c r="AA731" t="s">
        <v>6966</v>
      </c>
      <c r="AB731" t="s">
        <v>6966</v>
      </c>
      <c r="AC731" t="s">
        <v>6966</v>
      </c>
      <c r="AD731" t="s">
        <v>6966</v>
      </c>
      <c r="AE731" t="s">
        <v>6966</v>
      </c>
      <c r="AF731" t="s">
        <v>6966</v>
      </c>
      <c r="AG731" t="s">
        <v>6966</v>
      </c>
      <c r="AH731" t="s">
        <v>6966</v>
      </c>
      <c r="AI731" t="s">
        <v>6966</v>
      </c>
      <c r="AJ731" t="s">
        <v>6966</v>
      </c>
      <c r="AK731" t="s">
        <v>6966</v>
      </c>
      <c r="AL731" t="s">
        <v>6966</v>
      </c>
      <c r="AM731" t="s">
        <v>6966</v>
      </c>
      <c r="AN731" t="s">
        <v>6966</v>
      </c>
      <c r="AO731" t="s">
        <v>6966</v>
      </c>
      <c r="AP731" t="s">
        <v>6966</v>
      </c>
      <c r="AQ731" t="s">
        <v>6966</v>
      </c>
      <c r="AR731" t="s">
        <v>6966</v>
      </c>
      <c r="AS731" t="s">
        <v>6966</v>
      </c>
      <c r="AT731" t="s">
        <v>6966</v>
      </c>
      <c r="AU731" t="s">
        <v>6966</v>
      </c>
      <c r="AV731" t="s">
        <v>6966</v>
      </c>
      <c r="AW731" t="s">
        <v>6966</v>
      </c>
      <c r="AX731" t="s">
        <v>6966</v>
      </c>
      <c r="AY731" t="s">
        <v>6966</v>
      </c>
      <c r="AZ731">
        <v>0.16488800000000001</v>
      </c>
      <c r="BA731">
        <v>6.2500000000000001E-4</v>
      </c>
    </row>
    <row r="732" spans="1:53" x14ac:dyDescent="0.25">
      <c r="A732">
        <v>730</v>
      </c>
      <c r="B732" t="s">
        <v>7625</v>
      </c>
      <c r="C732">
        <v>506059</v>
      </c>
      <c r="D732" t="s">
        <v>187</v>
      </c>
      <c r="E732" t="s">
        <v>7823</v>
      </c>
      <c r="F732">
        <v>790948.6875</v>
      </c>
      <c r="G732">
        <v>4123.4565430000002</v>
      </c>
      <c r="H732">
        <v>697</v>
      </c>
      <c r="I732">
        <v>899</v>
      </c>
      <c r="J732">
        <v>22799</v>
      </c>
      <c r="K732" t="s">
        <v>7824</v>
      </c>
      <c r="L732">
        <v>3</v>
      </c>
      <c r="M732">
        <v>3</v>
      </c>
      <c r="N732">
        <v>22799</v>
      </c>
      <c r="O732">
        <v>683</v>
      </c>
      <c r="P732" t="s">
        <v>3212</v>
      </c>
      <c r="Q732">
        <v>3.7</v>
      </c>
      <c r="R732">
        <v>29.35</v>
      </c>
      <c r="S732">
        <v>0.92</v>
      </c>
      <c r="T732">
        <v>6</v>
      </c>
      <c r="U732">
        <v>790948.71344800002</v>
      </c>
      <c r="V732">
        <v>4123.4567809999999</v>
      </c>
      <c r="W732">
        <v>731</v>
      </c>
      <c r="X732">
        <v>0</v>
      </c>
      <c r="Y732">
        <v>730</v>
      </c>
      <c r="Z732" t="s">
        <v>6966</v>
      </c>
      <c r="AA732" t="s">
        <v>6966</v>
      </c>
      <c r="AB732" t="s">
        <v>6966</v>
      </c>
      <c r="AC732" t="s">
        <v>6966</v>
      </c>
      <c r="AD732" t="s">
        <v>6966</v>
      </c>
      <c r="AE732" t="s">
        <v>6966</v>
      </c>
      <c r="AF732" t="s">
        <v>6966</v>
      </c>
      <c r="AG732" t="s">
        <v>6966</v>
      </c>
      <c r="AH732" t="s">
        <v>6966</v>
      </c>
      <c r="AI732" t="s">
        <v>6966</v>
      </c>
      <c r="AJ732" t="s">
        <v>6966</v>
      </c>
      <c r="AK732" t="s">
        <v>6966</v>
      </c>
      <c r="AL732" t="s">
        <v>6966</v>
      </c>
      <c r="AM732" t="s">
        <v>6966</v>
      </c>
      <c r="AN732" t="s">
        <v>6966</v>
      </c>
      <c r="AO732" t="s">
        <v>6966</v>
      </c>
      <c r="AP732" t="s">
        <v>6966</v>
      </c>
      <c r="AQ732" t="s">
        <v>6966</v>
      </c>
      <c r="AR732" t="s">
        <v>6966</v>
      </c>
      <c r="AS732" t="s">
        <v>6966</v>
      </c>
      <c r="AT732" t="s">
        <v>6966</v>
      </c>
      <c r="AU732" t="s">
        <v>6966</v>
      </c>
      <c r="AV732" t="s">
        <v>6966</v>
      </c>
      <c r="AW732" t="s">
        <v>6966</v>
      </c>
      <c r="AX732" t="s">
        <v>6966</v>
      </c>
      <c r="AY732" t="s">
        <v>6966</v>
      </c>
      <c r="AZ732">
        <v>4.2168999999999998E-2</v>
      </c>
      <c r="BA732">
        <v>7.7000000000000001E-5</v>
      </c>
    </row>
    <row r="733" spans="1:53" x14ac:dyDescent="0.25">
      <c r="A733">
        <v>731</v>
      </c>
      <c r="B733" t="s">
        <v>7625</v>
      </c>
      <c r="C733">
        <v>201049</v>
      </c>
      <c r="D733" t="s">
        <v>1134</v>
      </c>
      <c r="E733" t="s">
        <v>1069</v>
      </c>
      <c r="F733">
        <v>4477081.5</v>
      </c>
      <c r="G733">
        <v>11476.452148</v>
      </c>
      <c r="H733">
        <v>698</v>
      </c>
      <c r="I733">
        <v>900</v>
      </c>
      <c r="J733">
        <v>53441</v>
      </c>
      <c r="K733" t="s">
        <v>1134</v>
      </c>
      <c r="L733">
        <v>17</v>
      </c>
      <c r="M733">
        <v>17</v>
      </c>
      <c r="N733">
        <v>53441</v>
      </c>
      <c r="O733">
        <v>684</v>
      </c>
      <c r="P733" t="s">
        <v>3214</v>
      </c>
      <c r="Q733">
        <v>3</v>
      </c>
      <c r="R733">
        <v>335.24</v>
      </c>
      <c r="S733">
        <v>0.51</v>
      </c>
      <c r="T733">
        <v>58</v>
      </c>
      <c r="U733">
        <v>4477081.4759</v>
      </c>
      <c r="V733">
        <v>11476.452558000001</v>
      </c>
      <c r="W733">
        <v>732</v>
      </c>
      <c r="X733">
        <v>0</v>
      </c>
      <c r="Y733">
        <v>731</v>
      </c>
      <c r="Z733" t="s">
        <v>6966</v>
      </c>
      <c r="AA733" t="s">
        <v>6966</v>
      </c>
      <c r="AB733" t="s">
        <v>6966</v>
      </c>
      <c r="AC733" t="s">
        <v>6966</v>
      </c>
      <c r="AD733" t="s">
        <v>6966</v>
      </c>
      <c r="AE733" t="s">
        <v>6966</v>
      </c>
      <c r="AF733" t="s">
        <v>6966</v>
      </c>
      <c r="AG733" t="s">
        <v>6966</v>
      </c>
      <c r="AH733" t="s">
        <v>6966</v>
      </c>
      <c r="AI733" t="s">
        <v>6966</v>
      </c>
      <c r="AJ733" t="s">
        <v>6966</v>
      </c>
      <c r="AK733" t="s">
        <v>6966</v>
      </c>
      <c r="AL733" t="s">
        <v>6966</v>
      </c>
      <c r="AM733" t="s">
        <v>6966</v>
      </c>
      <c r="AN733" t="s">
        <v>6966</v>
      </c>
      <c r="AO733" t="s">
        <v>6966</v>
      </c>
      <c r="AP733" t="s">
        <v>6966</v>
      </c>
      <c r="AQ733" t="s">
        <v>6966</v>
      </c>
      <c r="AR733" t="s">
        <v>6966</v>
      </c>
      <c r="AS733" t="s">
        <v>6966</v>
      </c>
      <c r="AT733" t="s">
        <v>6966</v>
      </c>
      <c r="AU733" t="s">
        <v>6966</v>
      </c>
      <c r="AV733" t="s">
        <v>6966</v>
      </c>
      <c r="AW733" t="s">
        <v>6966</v>
      </c>
      <c r="AX733" t="s">
        <v>6966</v>
      </c>
      <c r="AY733" t="s">
        <v>6966</v>
      </c>
      <c r="AZ733">
        <v>0.11397500000000001</v>
      </c>
      <c r="BA733">
        <v>4.37E-4</v>
      </c>
    </row>
    <row r="734" spans="1:53" x14ac:dyDescent="0.25">
      <c r="A734">
        <v>732</v>
      </c>
      <c r="B734" t="s">
        <v>7625</v>
      </c>
      <c r="C734">
        <v>201030</v>
      </c>
      <c r="D734" t="s">
        <v>1563</v>
      </c>
      <c r="E734" t="s">
        <v>1069</v>
      </c>
      <c r="F734">
        <v>717547.375</v>
      </c>
      <c r="G734">
        <v>4099.5385740000002</v>
      </c>
      <c r="H734">
        <v>699</v>
      </c>
      <c r="I734">
        <v>901</v>
      </c>
      <c r="J734">
        <v>0</v>
      </c>
      <c r="K734" t="s">
        <v>1563</v>
      </c>
      <c r="L734">
        <v>17</v>
      </c>
      <c r="M734">
        <v>17</v>
      </c>
      <c r="N734">
        <v>0</v>
      </c>
      <c r="O734">
        <v>1630</v>
      </c>
      <c r="P734" t="s">
        <v>3214</v>
      </c>
      <c r="Q734">
        <v>0</v>
      </c>
      <c r="R734">
        <v>0</v>
      </c>
      <c r="S734">
        <v>0</v>
      </c>
      <c r="T734">
        <v>0</v>
      </c>
      <c r="U734">
        <v>717547.39201199997</v>
      </c>
      <c r="V734">
        <v>4099.5386870000002</v>
      </c>
      <c r="W734">
        <v>733</v>
      </c>
      <c r="X734">
        <v>0</v>
      </c>
      <c r="Y734">
        <v>732</v>
      </c>
      <c r="Z734" t="s">
        <v>6966</v>
      </c>
      <c r="AA734" t="s">
        <v>6966</v>
      </c>
      <c r="AB734" t="s">
        <v>6966</v>
      </c>
      <c r="AC734" t="s">
        <v>6966</v>
      </c>
      <c r="AD734" t="s">
        <v>6966</v>
      </c>
      <c r="AE734" t="s">
        <v>6966</v>
      </c>
      <c r="AF734" t="s">
        <v>6966</v>
      </c>
      <c r="AG734" t="s">
        <v>6966</v>
      </c>
      <c r="AH734" t="s">
        <v>6966</v>
      </c>
      <c r="AI734" t="s">
        <v>6966</v>
      </c>
      <c r="AJ734" t="s">
        <v>6966</v>
      </c>
      <c r="AK734" t="s">
        <v>6966</v>
      </c>
      <c r="AL734" t="s">
        <v>6966</v>
      </c>
      <c r="AM734" t="s">
        <v>6966</v>
      </c>
      <c r="AN734" t="s">
        <v>6966</v>
      </c>
      <c r="AO734" t="s">
        <v>6966</v>
      </c>
      <c r="AP734" t="s">
        <v>6966</v>
      </c>
      <c r="AQ734" t="s">
        <v>6966</v>
      </c>
      <c r="AR734" t="s">
        <v>6966</v>
      </c>
      <c r="AS734" t="s">
        <v>6966</v>
      </c>
      <c r="AT734" t="s">
        <v>6966</v>
      </c>
      <c r="AU734" t="s">
        <v>6966</v>
      </c>
      <c r="AV734" t="s">
        <v>6966</v>
      </c>
      <c r="AW734" t="s">
        <v>6966</v>
      </c>
      <c r="AX734" t="s">
        <v>6966</v>
      </c>
      <c r="AY734" t="s">
        <v>6966</v>
      </c>
      <c r="AZ734">
        <v>4.2354000000000003E-2</v>
      </c>
      <c r="BA734">
        <v>6.9999999999999994E-5</v>
      </c>
    </row>
    <row r="735" spans="1:53" x14ac:dyDescent="0.25">
      <c r="A735">
        <v>733</v>
      </c>
      <c r="B735" t="s">
        <v>7625</v>
      </c>
      <c r="C735">
        <v>201086</v>
      </c>
      <c r="D735" t="s">
        <v>1076</v>
      </c>
      <c r="E735" t="s">
        <v>1069</v>
      </c>
      <c r="F735">
        <v>0</v>
      </c>
      <c r="G735">
        <v>24624.386718999998</v>
      </c>
      <c r="H735">
        <v>700</v>
      </c>
      <c r="I735">
        <v>902</v>
      </c>
      <c r="J735">
        <v>53139</v>
      </c>
      <c r="K735" t="s">
        <v>2419</v>
      </c>
      <c r="L735">
        <v>17</v>
      </c>
      <c r="M735">
        <v>17</v>
      </c>
      <c r="N735">
        <v>53139</v>
      </c>
      <c r="O735">
        <v>685</v>
      </c>
      <c r="P735" t="s">
        <v>3214</v>
      </c>
      <c r="Q735">
        <v>0.4</v>
      </c>
      <c r="R735">
        <v>27.35</v>
      </c>
      <c r="S735">
        <v>0.12</v>
      </c>
      <c r="T735">
        <v>9</v>
      </c>
      <c r="U735">
        <v>0</v>
      </c>
      <c r="V735">
        <v>24624.387521000001</v>
      </c>
      <c r="W735">
        <v>734</v>
      </c>
      <c r="X735">
        <v>0</v>
      </c>
      <c r="Y735">
        <v>733</v>
      </c>
      <c r="Z735" t="s">
        <v>6966</v>
      </c>
      <c r="AA735" t="s">
        <v>6966</v>
      </c>
      <c r="AB735" t="s">
        <v>6966</v>
      </c>
      <c r="AC735" t="s">
        <v>6966</v>
      </c>
      <c r="AD735" t="s">
        <v>6966</v>
      </c>
      <c r="AE735" t="s">
        <v>6966</v>
      </c>
      <c r="AF735" t="s">
        <v>6966</v>
      </c>
      <c r="AG735" t="s">
        <v>6966</v>
      </c>
      <c r="AH735" t="s">
        <v>6966</v>
      </c>
      <c r="AI735" t="s">
        <v>6966</v>
      </c>
      <c r="AJ735" t="s">
        <v>6966</v>
      </c>
      <c r="AK735" t="s">
        <v>6966</v>
      </c>
      <c r="AL735" t="s">
        <v>6966</v>
      </c>
      <c r="AM735" t="s">
        <v>6966</v>
      </c>
      <c r="AN735" t="s">
        <v>6966</v>
      </c>
      <c r="AO735" t="s">
        <v>6966</v>
      </c>
      <c r="AP735" t="s">
        <v>6966</v>
      </c>
      <c r="AQ735" t="s">
        <v>6966</v>
      </c>
      <c r="AR735" t="s">
        <v>6966</v>
      </c>
      <c r="AS735" t="s">
        <v>6966</v>
      </c>
      <c r="AT735" t="s">
        <v>6966</v>
      </c>
      <c r="AU735" t="s">
        <v>6966</v>
      </c>
      <c r="AV735" t="s">
        <v>6966</v>
      </c>
      <c r="AW735" t="s">
        <v>6966</v>
      </c>
      <c r="AX735" t="s">
        <v>6966</v>
      </c>
      <c r="AY735" t="s">
        <v>6966</v>
      </c>
      <c r="AZ735">
        <v>0.25203300000000001</v>
      </c>
      <c r="BA735">
        <v>1.7080000000000001E-3</v>
      </c>
    </row>
    <row r="736" spans="1:53" x14ac:dyDescent="0.25">
      <c r="A736">
        <v>734</v>
      </c>
      <c r="B736" t="s">
        <v>7625</v>
      </c>
      <c r="C736">
        <v>506019</v>
      </c>
      <c r="D736" t="s">
        <v>186</v>
      </c>
      <c r="E736" t="s">
        <v>7823</v>
      </c>
      <c r="F736">
        <v>0</v>
      </c>
      <c r="G736">
        <v>35133.34375</v>
      </c>
      <c r="H736">
        <v>701</v>
      </c>
      <c r="I736">
        <v>903</v>
      </c>
      <c r="J736">
        <v>22797</v>
      </c>
      <c r="K736" t="s">
        <v>186</v>
      </c>
      <c r="L736">
        <v>3</v>
      </c>
      <c r="M736">
        <v>3</v>
      </c>
      <c r="N736">
        <v>22797</v>
      </c>
      <c r="O736">
        <v>686</v>
      </c>
      <c r="P736" t="s">
        <v>3212</v>
      </c>
      <c r="Q736">
        <v>1.2</v>
      </c>
      <c r="R736">
        <v>40.67</v>
      </c>
      <c r="S736">
        <v>0.31</v>
      </c>
      <c r="T736">
        <v>11</v>
      </c>
      <c r="U736">
        <v>0</v>
      </c>
      <c r="V736">
        <v>35133.345481999997</v>
      </c>
      <c r="W736">
        <v>735</v>
      </c>
      <c r="X736">
        <v>0</v>
      </c>
      <c r="Y736">
        <v>734</v>
      </c>
      <c r="Z736" t="s">
        <v>6966</v>
      </c>
      <c r="AA736" t="s">
        <v>6966</v>
      </c>
      <c r="AB736" t="s">
        <v>6966</v>
      </c>
      <c r="AC736" t="s">
        <v>6966</v>
      </c>
      <c r="AD736" t="s">
        <v>6966</v>
      </c>
      <c r="AE736" t="s">
        <v>6966</v>
      </c>
      <c r="AF736" t="s">
        <v>6966</v>
      </c>
      <c r="AG736" t="s">
        <v>6966</v>
      </c>
      <c r="AH736" t="s">
        <v>6966</v>
      </c>
      <c r="AI736" t="s">
        <v>6966</v>
      </c>
      <c r="AJ736" t="s">
        <v>6966</v>
      </c>
      <c r="AK736" t="s">
        <v>6966</v>
      </c>
      <c r="AL736" t="s">
        <v>6966</v>
      </c>
      <c r="AM736" t="s">
        <v>6966</v>
      </c>
      <c r="AN736" t="s">
        <v>6966</v>
      </c>
      <c r="AO736" t="s">
        <v>6966</v>
      </c>
      <c r="AP736" t="s">
        <v>6966</v>
      </c>
      <c r="AQ736" t="s">
        <v>6966</v>
      </c>
      <c r="AR736" t="s">
        <v>6966</v>
      </c>
      <c r="AS736" t="s">
        <v>6966</v>
      </c>
      <c r="AT736" t="s">
        <v>6966</v>
      </c>
      <c r="AU736" t="s">
        <v>6966</v>
      </c>
      <c r="AV736" t="s">
        <v>6966</v>
      </c>
      <c r="AW736" t="s">
        <v>6966</v>
      </c>
      <c r="AX736" t="s">
        <v>6966</v>
      </c>
      <c r="AY736" t="s">
        <v>6966</v>
      </c>
      <c r="AZ736">
        <v>0.35141299999999998</v>
      </c>
      <c r="BA736">
        <v>3.3630000000000001E-3</v>
      </c>
    </row>
    <row r="737" spans="1:53" x14ac:dyDescent="0.25">
      <c r="A737">
        <v>735</v>
      </c>
      <c r="B737" t="s">
        <v>7625</v>
      </c>
      <c r="C737">
        <v>505013</v>
      </c>
      <c r="D737" t="s">
        <v>425</v>
      </c>
      <c r="E737" t="s">
        <v>7719</v>
      </c>
      <c r="F737">
        <v>3106473.5</v>
      </c>
      <c r="G737">
        <v>9532.0996090000008</v>
      </c>
      <c r="H737">
        <v>702</v>
      </c>
      <c r="I737">
        <v>904</v>
      </c>
      <c r="J737">
        <v>25443</v>
      </c>
      <c r="K737" t="s">
        <v>7825</v>
      </c>
      <c r="L737">
        <v>6</v>
      </c>
      <c r="M737">
        <v>6</v>
      </c>
      <c r="N737">
        <v>25443</v>
      </c>
      <c r="O737">
        <v>687</v>
      </c>
      <c r="P737" t="s">
        <v>3212</v>
      </c>
      <c r="Q737">
        <v>1.3</v>
      </c>
      <c r="R737">
        <v>16.59</v>
      </c>
      <c r="S737">
        <v>0.34</v>
      </c>
      <c r="T737">
        <v>5</v>
      </c>
      <c r="U737">
        <v>3106473.57669</v>
      </c>
      <c r="V737">
        <v>9532.0993390000003</v>
      </c>
      <c r="W737">
        <v>736</v>
      </c>
      <c r="X737">
        <v>0</v>
      </c>
      <c r="Y737">
        <v>735</v>
      </c>
      <c r="Z737" t="s">
        <v>6966</v>
      </c>
      <c r="AA737" t="s">
        <v>6966</v>
      </c>
      <c r="AB737" t="s">
        <v>6966</v>
      </c>
      <c r="AC737" t="s">
        <v>6966</v>
      </c>
      <c r="AD737" t="s">
        <v>6966</v>
      </c>
      <c r="AE737" t="s">
        <v>6966</v>
      </c>
      <c r="AF737" t="s">
        <v>6966</v>
      </c>
      <c r="AG737" t="s">
        <v>6966</v>
      </c>
      <c r="AH737" t="s">
        <v>6966</v>
      </c>
      <c r="AI737" t="s">
        <v>6966</v>
      </c>
      <c r="AJ737" t="s">
        <v>6966</v>
      </c>
      <c r="AK737" t="s">
        <v>6966</v>
      </c>
      <c r="AL737" t="s">
        <v>6966</v>
      </c>
      <c r="AM737" t="s">
        <v>6966</v>
      </c>
      <c r="AN737" t="s">
        <v>6966</v>
      </c>
      <c r="AO737" t="s">
        <v>6966</v>
      </c>
      <c r="AP737" t="s">
        <v>6966</v>
      </c>
      <c r="AQ737" t="s">
        <v>6966</v>
      </c>
      <c r="AR737" t="s">
        <v>6966</v>
      </c>
      <c r="AS737" t="s">
        <v>6966</v>
      </c>
      <c r="AT737" t="s">
        <v>6966</v>
      </c>
      <c r="AU737" t="s">
        <v>6966</v>
      </c>
      <c r="AV737" t="s">
        <v>6966</v>
      </c>
      <c r="AW737" t="s">
        <v>6966</v>
      </c>
      <c r="AX737" t="s">
        <v>6966</v>
      </c>
      <c r="AY737" t="s">
        <v>6966</v>
      </c>
      <c r="AZ737">
        <v>9.5572000000000004E-2</v>
      </c>
      <c r="BA737">
        <v>3.0299999999999999E-4</v>
      </c>
    </row>
    <row r="738" spans="1:53" x14ac:dyDescent="0.25">
      <c r="A738">
        <v>736</v>
      </c>
      <c r="B738" t="s">
        <v>7625</v>
      </c>
      <c r="C738">
        <v>505003</v>
      </c>
      <c r="D738" t="s">
        <v>379</v>
      </c>
      <c r="E738" t="s">
        <v>7719</v>
      </c>
      <c r="F738">
        <v>2046826.25</v>
      </c>
      <c r="G738">
        <v>8525.6318360000005</v>
      </c>
      <c r="H738">
        <v>703</v>
      </c>
      <c r="I738">
        <v>905</v>
      </c>
      <c r="J738">
        <v>25251</v>
      </c>
      <c r="K738" t="s">
        <v>7826</v>
      </c>
      <c r="L738">
        <v>6</v>
      </c>
      <c r="M738">
        <v>6</v>
      </c>
      <c r="N738">
        <v>25251</v>
      </c>
      <c r="O738">
        <v>688</v>
      </c>
      <c r="P738" t="s">
        <v>3212</v>
      </c>
      <c r="Q738">
        <v>5.7</v>
      </c>
      <c r="R738">
        <v>67.319999999999993</v>
      </c>
      <c r="S738">
        <v>2.06</v>
      </c>
      <c r="T738">
        <v>25</v>
      </c>
      <c r="U738">
        <v>2046826.3009899999</v>
      </c>
      <c r="V738">
        <v>8525.6323499999999</v>
      </c>
      <c r="W738">
        <v>737</v>
      </c>
      <c r="X738">
        <v>0</v>
      </c>
      <c r="Y738">
        <v>736</v>
      </c>
      <c r="Z738" t="s">
        <v>6966</v>
      </c>
      <c r="AA738" t="s">
        <v>6966</v>
      </c>
      <c r="AB738" t="s">
        <v>6966</v>
      </c>
      <c r="AC738" t="s">
        <v>6966</v>
      </c>
      <c r="AD738" t="s">
        <v>6966</v>
      </c>
      <c r="AE738" t="s">
        <v>6966</v>
      </c>
      <c r="AF738" t="s">
        <v>6966</v>
      </c>
      <c r="AG738" t="s">
        <v>6966</v>
      </c>
      <c r="AH738" t="s">
        <v>6966</v>
      </c>
      <c r="AI738" t="s">
        <v>6966</v>
      </c>
      <c r="AJ738" t="s">
        <v>6966</v>
      </c>
      <c r="AK738" t="s">
        <v>6966</v>
      </c>
      <c r="AL738" t="s">
        <v>6966</v>
      </c>
      <c r="AM738" t="s">
        <v>6966</v>
      </c>
      <c r="AN738" t="s">
        <v>6966</v>
      </c>
      <c r="AO738" t="s">
        <v>6966</v>
      </c>
      <c r="AP738" t="s">
        <v>6966</v>
      </c>
      <c r="AQ738" t="s">
        <v>6966</v>
      </c>
      <c r="AR738" t="s">
        <v>6966</v>
      </c>
      <c r="AS738" t="s">
        <v>6966</v>
      </c>
      <c r="AT738" t="s">
        <v>6966</v>
      </c>
      <c r="AU738" t="s">
        <v>6966</v>
      </c>
      <c r="AV738" t="s">
        <v>6966</v>
      </c>
      <c r="AW738" t="s">
        <v>6966</v>
      </c>
      <c r="AX738" t="s">
        <v>6966</v>
      </c>
      <c r="AY738" t="s">
        <v>6966</v>
      </c>
      <c r="AZ738">
        <v>8.6348999999999995E-2</v>
      </c>
      <c r="BA738">
        <v>2.0000000000000001E-4</v>
      </c>
    </row>
    <row r="739" spans="1:53" x14ac:dyDescent="0.25">
      <c r="A739">
        <v>737</v>
      </c>
      <c r="B739" t="s">
        <v>7625</v>
      </c>
      <c r="C739">
        <v>505074</v>
      </c>
      <c r="D739" t="s">
        <v>7827</v>
      </c>
      <c r="E739" t="s">
        <v>7719</v>
      </c>
      <c r="F739">
        <v>2206768.5</v>
      </c>
      <c r="G739">
        <v>10176.380859000001</v>
      </c>
      <c r="H739">
        <v>704</v>
      </c>
      <c r="I739">
        <v>906</v>
      </c>
      <c r="J739">
        <v>25231</v>
      </c>
      <c r="K739" t="s">
        <v>1870</v>
      </c>
      <c r="L739">
        <v>6</v>
      </c>
      <c r="M739">
        <v>6</v>
      </c>
      <c r="N739">
        <v>25231</v>
      </c>
      <c r="O739">
        <v>689</v>
      </c>
      <c r="P739" t="s">
        <v>3212</v>
      </c>
      <c r="Q739">
        <v>15.8</v>
      </c>
      <c r="R739">
        <v>51.31</v>
      </c>
      <c r="S739">
        <v>5.8</v>
      </c>
      <c r="T739">
        <v>19</v>
      </c>
      <c r="U739">
        <v>2206768.5717000002</v>
      </c>
      <c r="V739">
        <v>10176.381158</v>
      </c>
      <c r="W739">
        <v>738</v>
      </c>
      <c r="X739">
        <v>0</v>
      </c>
      <c r="Y739">
        <v>737</v>
      </c>
      <c r="Z739" t="s">
        <v>6966</v>
      </c>
      <c r="AA739" t="s">
        <v>6966</v>
      </c>
      <c r="AB739" t="s">
        <v>6966</v>
      </c>
      <c r="AC739" t="s">
        <v>6966</v>
      </c>
      <c r="AD739" t="s">
        <v>6966</v>
      </c>
      <c r="AE739" t="s">
        <v>6966</v>
      </c>
      <c r="AF739" t="s">
        <v>6966</v>
      </c>
      <c r="AG739" t="s">
        <v>6966</v>
      </c>
      <c r="AH739" t="s">
        <v>6966</v>
      </c>
      <c r="AI739" t="s">
        <v>6966</v>
      </c>
      <c r="AJ739" t="s">
        <v>6966</v>
      </c>
      <c r="AK739" t="s">
        <v>6966</v>
      </c>
      <c r="AL739" t="s">
        <v>6966</v>
      </c>
      <c r="AM739" t="s">
        <v>6966</v>
      </c>
      <c r="AN739" t="s">
        <v>6966</v>
      </c>
      <c r="AO739" t="s">
        <v>6966</v>
      </c>
      <c r="AP739" t="s">
        <v>6966</v>
      </c>
      <c r="AQ739" t="s">
        <v>6966</v>
      </c>
      <c r="AR739" t="s">
        <v>6966</v>
      </c>
      <c r="AS739" t="s">
        <v>6966</v>
      </c>
      <c r="AT739" t="s">
        <v>6966</v>
      </c>
      <c r="AU739" t="s">
        <v>6966</v>
      </c>
      <c r="AV739" t="s">
        <v>6966</v>
      </c>
      <c r="AW739" t="s">
        <v>6966</v>
      </c>
      <c r="AX739" t="s">
        <v>6966</v>
      </c>
      <c r="AY739" t="s">
        <v>6966</v>
      </c>
      <c r="AZ739">
        <v>0.103464</v>
      </c>
      <c r="BA739">
        <v>2.1499999999999999E-4</v>
      </c>
    </row>
    <row r="740" spans="1:53" x14ac:dyDescent="0.25">
      <c r="A740">
        <v>738</v>
      </c>
      <c r="B740" t="s">
        <v>7625</v>
      </c>
      <c r="C740">
        <v>505080</v>
      </c>
      <c r="D740" t="s">
        <v>363</v>
      </c>
      <c r="E740" t="s">
        <v>7719</v>
      </c>
      <c r="F740">
        <v>4676235</v>
      </c>
      <c r="G740">
        <v>11747.362305000001</v>
      </c>
      <c r="H740">
        <v>705</v>
      </c>
      <c r="I740">
        <v>907</v>
      </c>
      <c r="J740">
        <v>25126</v>
      </c>
      <c r="K740" t="s">
        <v>363</v>
      </c>
      <c r="L740">
        <v>6</v>
      </c>
      <c r="M740">
        <v>6</v>
      </c>
      <c r="N740">
        <v>25126</v>
      </c>
      <c r="O740">
        <v>690</v>
      </c>
      <c r="P740" t="s">
        <v>3212</v>
      </c>
      <c r="Q740">
        <v>35.799999999999997</v>
      </c>
      <c r="R740">
        <v>90.77</v>
      </c>
      <c r="S740">
        <v>10.38</v>
      </c>
      <c r="T740">
        <v>35</v>
      </c>
      <c r="U740">
        <v>4676235.05987</v>
      </c>
      <c r="V740">
        <v>11747.362657</v>
      </c>
      <c r="W740">
        <v>739</v>
      </c>
      <c r="X740">
        <v>3</v>
      </c>
      <c r="Y740">
        <v>738</v>
      </c>
      <c r="Z740">
        <v>60461</v>
      </c>
      <c r="AA740" s="76">
        <v>45759</v>
      </c>
      <c r="AB740">
        <v>2025</v>
      </c>
      <c r="AC740" t="s">
        <v>7183</v>
      </c>
      <c r="AD740">
        <v>12</v>
      </c>
      <c r="AE740" t="s">
        <v>7196</v>
      </c>
      <c r="AF740" t="s">
        <v>3212</v>
      </c>
      <c r="AG740" t="s">
        <v>3229</v>
      </c>
      <c r="AH740" t="s">
        <v>363</v>
      </c>
      <c r="AI740" t="s">
        <v>7197</v>
      </c>
      <c r="AJ740" t="s">
        <v>6966</v>
      </c>
      <c r="AK740">
        <v>33.95729</v>
      </c>
      <c r="AL740">
        <v>35.59883</v>
      </c>
      <c r="AM740" t="s">
        <v>6995</v>
      </c>
      <c r="AN740" t="s">
        <v>6995</v>
      </c>
      <c r="AO740" t="s">
        <v>7198</v>
      </c>
      <c r="AP740" t="s">
        <v>7199</v>
      </c>
      <c r="AQ740" t="s">
        <v>6998</v>
      </c>
      <c r="AR740" t="s">
        <v>7048</v>
      </c>
      <c r="AS740" t="s">
        <v>7071</v>
      </c>
      <c r="AT740">
        <v>0</v>
      </c>
      <c r="AU740">
        <v>0</v>
      </c>
      <c r="AV740" t="s">
        <v>7470</v>
      </c>
      <c r="AW740" t="s">
        <v>7119</v>
      </c>
      <c r="AX740" t="s">
        <v>6966</v>
      </c>
      <c r="AY740" t="s">
        <v>7114</v>
      </c>
      <c r="AZ740">
        <v>0.116521</v>
      </c>
      <c r="BA740">
        <v>4.5600000000000003E-4</v>
      </c>
    </row>
    <row r="741" spans="1:53" x14ac:dyDescent="0.25">
      <c r="A741">
        <v>739</v>
      </c>
      <c r="B741" t="s">
        <v>7625</v>
      </c>
      <c r="C741">
        <v>505059</v>
      </c>
      <c r="D741" t="s">
        <v>419</v>
      </c>
      <c r="E741" t="s">
        <v>7719</v>
      </c>
      <c r="F741">
        <v>970669.9375</v>
      </c>
      <c r="G741">
        <v>5217.4951170000004</v>
      </c>
      <c r="H741">
        <v>706</v>
      </c>
      <c r="I741">
        <v>908</v>
      </c>
      <c r="J741">
        <v>25419</v>
      </c>
      <c r="K741" t="s">
        <v>1899</v>
      </c>
      <c r="L741">
        <v>6</v>
      </c>
      <c r="M741">
        <v>6</v>
      </c>
      <c r="N741">
        <v>25419</v>
      </c>
      <c r="O741">
        <v>691</v>
      </c>
      <c r="P741" t="s">
        <v>3212</v>
      </c>
      <c r="Q741">
        <v>1.3</v>
      </c>
      <c r="R741">
        <v>46.47</v>
      </c>
      <c r="S741">
        <v>0.7</v>
      </c>
      <c r="T741">
        <v>32</v>
      </c>
      <c r="U741">
        <v>970669.96345299995</v>
      </c>
      <c r="V741">
        <v>5217.4940779999997</v>
      </c>
      <c r="W741">
        <v>740</v>
      </c>
      <c r="X741">
        <v>0</v>
      </c>
      <c r="Y741">
        <v>739</v>
      </c>
      <c r="Z741" t="s">
        <v>6966</v>
      </c>
      <c r="AA741" t="s">
        <v>6966</v>
      </c>
      <c r="AB741" t="s">
        <v>6966</v>
      </c>
      <c r="AC741" t="s">
        <v>6966</v>
      </c>
      <c r="AD741" t="s">
        <v>6966</v>
      </c>
      <c r="AE741" t="s">
        <v>6966</v>
      </c>
      <c r="AF741" t="s">
        <v>6966</v>
      </c>
      <c r="AG741" t="s">
        <v>6966</v>
      </c>
      <c r="AH741" t="s">
        <v>6966</v>
      </c>
      <c r="AI741" t="s">
        <v>6966</v>
      </c>
      <c r="AJ741" t="s">
        <v>6966</v>
      </c>
      <c r="AK741" t="s">
        <v>6966</v>
      </c>
      <c r="AL741" t="s">
        <v>6966</v>
      </c>
      <c r="AM741" t="s">
        <v>6966</v>
      </c>
      <c r="AN741" t="s">
        <v>6966</v>
      </c>
      <c r="AO741" t="s">
        <v>6966</v>
      </c>
      <c r="AP741" t="s">
        <v>6966</v>
      </c>
      <c r="AQ741" t="s">
        <v>6966</v>
      </c>
      <c r="AR741" t="s">
        <v>6966</v>
      </c>
      <c r="AS741" t="s">
        <v>6966</v>
      </c>
      <c r="AT741" t="s">
        <v>6966</v>
      </c>
      <c r="AU741" t="s">
        <v>6966</v>
      </c>
      <c r="AV741" t="s">
        <v>6966</v>
      </c>
      <c r="AW741" t="s">
        <v>6966</v>
      </c>
      <c r="AX741" t="s">
        <v>6966</v>
      </c>
      <c r="AY741" t="s">
        <v>6966</v>
      </c>
      <c r="AZ741">
        <v>5.1070999999999998E-2</v>
      </c>
      <c r="BA741">
        <v>9.5000000000000005E-5</v>
      </c>
    </row>
    <row r="742" spans="1:53" x14ac:dyDescent="0.25">
      <c r="A742">
        <v>740</v>
      </c>
      <c r="B742" t="s">
        <v>7625</v>
      </c>
      <c r="C742">
        <v>201006</v>
      </c>
      <c r="D742" t="s">
        <v>1082</v>
      </c>
      <c r="E742" t="s">
        <v>1069</v>
      </c>
      <c r="F742">
        <v>0</v>
      </c>
      <c r="G742">
        <v>26355.302734000001</v>
      </c>
      <c r="H742">
        <v>707</v>
      </c>
      <c r="I742">
        <v>909</v>
      </c>
      <c r="J742">
        <v>53163</v>
      </c>
      <c r="K742" t="s">
        <v>7828</v>
      </c>
      <c r="L742">
        <v>17</v>
      </c>
      <c r="M742">
        <v>17</v>
      </c>
      <c r="N742">
        <v>53163</v>
      </c>
      <c r="O742">
        <v>692</v>
      </c>
      <c r="P742" t="s">
        <v>3214</v>
      </c>
      <c r="Q742">
        <v>0</v>
      </c>
      <c r="R742">
        <v>0</v>
      </c>
      <c r="S742">
        <v>0</v>
      </c>
      <c r="T742">
        <v>0</v>
      </c>
      <c r="U742">
        <v>0</v>
      </c>
      <c r="V742">
        <v>26355.301725000001</v>
      </c>
      <c r="W742">
        <v>741</v>
      </c>
      <c r="X742">
        <v>0</v>
      </c>
      <c r="Y742">
        <v>740</v>
      </c>
      <c r="Z742" t="s">
        <v>6966</v>
      </c>
      <c r="AA742" t="s">
        <v>6966</v>
      </c>
      <c r="AB742" t="s">
        <v>6966</v>
      </c>
      <c r="AC742" t="s">
        <v>6966</v>
      </c>
      <c r="AD742" t="s">
        <v>6966</v>
      </c>
      <c r="AE742" t="s">
        <v>6966</v>
      </c>
      <c r="AF742" t="s">
        <v>6966</v>
      </c>
      <c r="AG742" t="s">
        <v>6966</v>
      </c>
      <c r="AH742" t="s">
        <v>6966</v>
      </c>
      <c r="AI742" t="s">
        <v>6966</v>
      </c>
      <c r="AJ742" t="s">
        <v>6966</v>
      </c>
      <c r="AK742" t="s">
        <v>6966</v>
      </c>
      <c r="AL742" t="s">
        <v>6966</v>
      </c>
      <c r="AM742" t="s">
        <v>6966</v>
      </c>
      <c r="AN742" t="s">
        <v>6966</v>
      </c>
      <c r="AO742" t="s">
        <v>6966</v>
      </c>
      <c r="AP742" t="s">
        <v>6966</v>
      </c>
      <c r="AQ742" t="s">
        <v>6966</v>
      </c>
      <c r="AR742" t="s">
        <v>6966</v>
      </c>
      <c r="AS742" t="s">
        <v>6966</v>
      </c>
      <c r="AT742" t="s">
        <v>6966</v>
      </c>
      <c r="AU742" t="s">
        <v>6966</v>
      </c>
      <c r="AV742" t="s">
        <v>6966</v>
      </c>
      <c r="AW742" t="s">
        <v>6966</v>
      </c>
      <c r="AX742" t="s">
        <v>6966</v>
      </c>
      <c r="AY742" t="s">
        <v>6966</v>
      </c>
      <c r="AZ742">
        <v>0.26738600000000001</v>
      </c>
      <c r="BA742">
        <v>2.3890000000000001E-3</v>
      </c>
    </row>
    <row r="743" spans="1:53" x14ac:dyDescent="0.25">
      <c r="A743">
        <v>741</v>
      </c>
      <c r="B743" t="s">
        <v>7625</v>
      </c>
      <c r="C743">
        <v>201014</v>
      </c>
      <c r="D743" t="s">
        <v>1119</v>
      </c>
      <c r="E743" t="s">
        <v>1069</v>
      </c>
      <c r="F743">
        <v>0</v>
      </c>
      <c r="G743">
        <v>49100.789062999997</v>
      </c>
      <c r="H743">
        <v>708</v>
      </c>
      <c r="I743">
        <v>910</v>
      </c>
      <c r="J743">
        <v>53411</v>
      </c>
      <c r="K743" t="s">
        <v>2029</v>
      </c>
      <c r="L743">
        <v>17</v>
      </c>
      <c r="M743">
        <v>17</v>
      </c>
      <c r="N743">
        <v>53411</v>
      </c>
      <c r="O743">
        <v>693</v>
      </c>
      <c r="P743" t="s">
        <v>3214</v>
      </c>
      <c r="Q743">
        <v>1.2</v>
      </c>
      <c r="R743">
        <v>111.72</v>
      </c>
      <c r="S743">
        <v>0.34</v>
      </c>
      <c r="T743">
        <v>32</v>
      </c>
      <c r="U743">
        <v>0</v>
      </c>
      <c r="V743">
        <v>49100.784279</v>
      </c>
      <c r="W743">
        <v>742</v>
      </c>
      <c r="X743">
        <v>2</v>
      </c>
      <c r="Y743">
        <v>741</v>
      </c>
      <c r="Z743">
        <v>68023</v>
      </c>
      <c r="AA743" s="76">
        <v>45881</v>
      </c>
      <c r="AB743">
        <v>2025</v>
      </c>
      <c r="AC743" t="s">
        <v>7379</v>
      </c>
      <c r="AD743">
        <v>12</v>
      </c>
      <c r="AE743" t="s">
        <v>7401</v>
      </c>
      <c r="AF743" t="s">
        <v>3216</v>
      </c>
      <c r="AG743" t="s">
        <v>1069</v>
      </c>
      <c r="AH743" t="s">
        <v>1119</v>
      </c>
      <c r="AI743" t="s">
        <v>2029</v>
      </c>
      <c r="AJ743" t="s">
        <v>6966</v>
      </c>
      <c r="AK743">
        <v>33.918700000000001</v>
      </c>
      <c r="AL743">
        <v>36.004379999999998</v>
      </c>
      <c r="AM743" t="s">
        <v>6995</v>
      </c>
      <c r="AN743" t="s">
        <v>6995</v>
      </c>
      <c r="AO743" t="s">
        <v>7086</v>
      </c>
      <c r="AP743" t="s">
        <v>7402</v>
      </c>
      <c r="AQ743" t="s">
        <v>6998</v>
      </c>
      <c r="AR743" t="s">
        <v>7048</v>
      </c>
      <c r="AS743" t="s">
        <v>7000</v>
      </c>
      <c r="AT743">
        <v>0</v>
      </c>
      <c r="AU743">
        <v>2</v>
      </c>
      <c r="AV743" t="s">
        <v>7403</v>
      </c>
      <c r="AW743" t="s">
        <v>7041</v>
      </c>
      <c r="AX743" t="s">
        <v>6966</v>
      </c>
      <c r="AY743" t="s">
        <v>7044</v>
      </c>
      <c r="AZ743">
        <v>0.49371599999999999</v>
      </c>
      <c r="BA743">
        <v>4.9030000000000002E-3</v>
      </c>
    </row>
    <row r="744" spans="1:53" x14ac:dyDescent="0.25">
      <c r="A744">
        <v>742</v>
      </c>
      <c r="B744" t="s">
        <v>7625</v>
      </c>
      <c r="C744">
        <v>505009</v>
      </c>
      <c r="D744" t="s">
        <v>381</v>
      </c>
      <c r="E744" t="s">
        <v>7719</v>
      </c>
      <c r="F744">
        <v>711566.125</v>
      </c>
      <c r="G744">
        <v>5560.7534180000002</v>
      </c>
      <c r="H744">
        <v>709</v>
      </c>
      <c r="I744">
        <v>911</v>
      </c>
      <c r="J744">
        <v>25271</v>
      </c>
      <c r="K744" t="s">
        <v>7829</v>
      </c>
      <c r="L744">
        <v>6</v>
      </c>
      <c r="M744">
        <v>6</v>
      </c>
      <c r="N744">
        <v>25271</v>
      </c>
      <c r="O744">
        <v>694</v>
      </c>
      <c r="P744" t="s">
        <v>3212</v>
      </c>
      <c r="Q744">
        <v>25</v>
      </c>
      <c r="R744">
        <v>110.57</v>
      </c>
      <c r="S744">
        <v>7.07</v>
      </c>
      <c r="T744">
        <v>47</v>
      </c>
      <c r="U744">
        <v>711566.18731099996</v>
      </c>
      <c r="V744">
        <v>5560.7536550000004</v>
      </c>
      <c r="W744">
        <v>743</v>
      </c>
      <c r="X744">
        <v>0</v>
      </c>
      <c r="Y744">
        <v>742</v>
      </c>
      <c r="Z744" t="s">
        <v>6966</v>
      </c>
      <c r="AA744" t="s">
        <v>6966</v>
      </c>
      <c r="AB744" t="s">
        <v>6966</v>
      </c>
      <c r="AC744" t="s">
        <v>6966</v>
      </c>
      <c r="AD744" t="s">
        <v>6966</v>
      </c>
      <c r="AE744" t="s">
        <v>6966</v>
      </c>
      <c r="AF744" t="s">
        <v>6966</v>
      </c>
      <c r="AG744" t="s">
        <v>6966</v>
      </c>
      <c r="AH744" t="s">
        <v>6966</v>
      </c>
      <c r="AI744" t="s">
        <v>6966</v>
      </c>
      <c r="AJ744" t="s">
        <v>6966</v>
      </c>
      <c r="AK744" t="s">
        <v>6966</v>
      </c>
      <c r="AL744" t="s">
        <v>6966</v>
      </c>
      <c r="AM744" t="s">
        <v>6966</v>
      </c>
      <c r="AN744" t="s">
        <v>6966</v>
      </c>
      <c r="AO744" t="s">
        <v>6966</v>
      </c>
      <c r="AP744" t="s">
        <v>6966</v>
      </c>
      <c r="AQ744" t="s">
        <v>6966</v>
      </c>
      <c r="AR744" t="s">
        <v>6966</v>
      </c>
      <c r="AS744" t="s">
        <v>6966</v>
      </c>
      <c r="AT744" t="s">
        <v>6966</v>
      </c>
      <c r="AU744" t="s">
        <v>6966</v>
      </c>
      <c r="AV744" t="s">
        <v>6966</v>
      </c>
      <c r="AW744" t="s">
        <v>6966</v>
      </c>
      <c r="AX744" t="s">
        <v>6966</v>
      </c>
      <c r="AY744" t="s">
        <v>6966</v>
      </c>
      <c r="AZ744">
        <v>5.5129999999999998E-2</v>
      </c>
      <c r="BA744">
        <v>6.8999999999999997E-5</v>
      </c>
    </row>
    <row r="745" spans="1:53" x14ac:dyDescent="0.25">
      <c r="A745">
        <v>743</v>
      </c>
      <c r="B745" t="s">
        <v>7625</v>
      </c>
      <c r="C745">
        <v>505051</v>
      </c>
      <c r="D745" t="s">
        <v>426</v>
      </c>
      <c r="E745" t="s">
        <v>7719</v>
      </c>
      <c r="F745">
        <v>512414</v>
      </c>
      <c r="G745">
        <v>4118.4223629999997</v>
      </c>
      <c r="H745">
        <v>710</v>
      </c>
      <c r="I745">
        <v>912</v>
      </c>
      <c r="J745">
        <v>25447</v>
      </c>
      <c r="K745" t="s">
        <v>7830</v>
      </c>
      <c r="L745">
        <v>6</v>
      </c>
      <c r="M745">
        <v>6</v>
      </c>
      <c r="N745">
        <v>22799</v>
      </c>
      <c r="O745">
        <v>695</v>
      </c>
      <c r="P745" t="s">
        <v>3212</v>
      </c>
      <c r="Q745">
        <v>5.7</v>
      </c>
      <c r="R745">
        <v>318.62</v>
      </c>
      <c r="S745">
        <v>1.43</v>
      </c>
      <c r="T745">
        <v>6</v>
      </c>
      <c r="U745">
        <v>512413.98449599999</v>
      </c>
      <c r="V745">
        <v>4118.4229260000002</v>
      </c>
      <c r="W745">
        <v>744</v>
      </c>
      <c r="X745">
        <v>0</v>
      </c>
      <c r="Y745">
        <v>743</v>
      </c>
      <c r="Z745" t="s">
        <v>6966</v>
      </c>
      <c r="AA745" t="s">
        <v>6966</v>
      </c>
      <c r="AB745" t="s">
        <v>6966</v>
      </c>
      <c r="AC745" t="s">
        <v>6966</v>
      </c>
      <c r="AD745" t="s">
        <v>6966</v>
      </c>
      <c r="AE745" t="s">
        <v>6966</v>
      </c>
      <c r="AF745" t="s">
        <v>6966</v>
      </c>
      <c r="AG745" t="s">
        <v>6966</v>
      </c>
      <c r="AH745" t="s">
        <v>6966</v>
      </c>
      <c r="AI745" t="s">
        <v>6966</v>
      </c>
      <c r="AJ745" t="s">
        <v>6966</v>
      </c>
      <c r="AK745" t="s">
        <v>6966</v>
      </c>
      <c r="AL745" t="s">
        <v>6966</v>
      </c>
      <c r="AM745" t="s">
        <v>6966</v>
      </c>
      <c r="AN745" t="s">
        <v>6966</v>
      </c>
      <c r="AO745" t="s">
        <v>6966</v>
      </c>
      <c r="AP745" t="s">
        <v>6966</v>
      </c>
      <c r="AQ745" t="s">
        <v>6966</v>
      </c>
      <c r="AR745" t="s">
        <v>6966</v>
      </c>
      <c r="AS745" t="s">
        <v>6966</v>
      </c>
      <c r="AT745" t="s">
        <v>6966</v>
      </c>
      <c r="AU745" t="s">
        <v>6966</v>
      </c>
      <c r="AV745" t="s">
        <v>6966</v>
      </c>
      <c r="AW745" t="s">
        <v>6966</v>
      </c>
      <c r="AX745" t="s">
        <v>6966</v>
      </c>
      <c r="AY745" t="s">
        <v>6966</v>
      </c>
      <c r="AZ745">
        <v>4.2214000000000002E-2</v>
      </c>
      <c r="BA745">
        <v>5.0000000000000002E-5</v>
      </c>
    </row>
    <row r="746" spans="1:53" x14ac:dyDescent="0.25">
      <c r="A746">
        <v>744</v>
      </c>
      <c r="B746" t="s">
        <v>7625</v>
      </c>
      <c r="C746">
        <v>505010</v>
      </c>
      <c r="D746" t="s">
        <v>376</v>
      </c>
      <c r="E746" t="s">
        <v>7719</v>
      </c>
      <c r="F746">
        <v>3931216</v>
      </c>
      <c r="G746">
        <v>10295.046875</v>
      </c>
      <c r="H746">
        <v>711</v>
      </c>
      <c r="I746">
        <v>914</v>
      </c>
      <c r="J746">
        <v>25221</v>
      </c>
      <c r="K746" t="s">
        <v>7831</v>
      </c>
      <c r="L746">
        <v>6</v>
      </c>
      <c r="M746">
        <v>6</v>
      </c>
      <c r="N746">
        <v>25221</v>
      </c>
      <c r="O746">
        <v>696</v>
      </c>
      <c r="P746" t="s">
        <v>3212</v>
      </c>
      <c r="Q746">
        <v>10.3</v>
      </c>
      <c r="R746">
        <v>39.28</v>
      </c>
      <c r="S746">
        <v>3.92</v>
      </c>
      <c r="T746">
        <v>15</v>
      </c>
      <c r="U746">
        <v>3931215.8464799998</v>
      </c>
      <c r="V746">
        <v>10295.046424</v>
      </c>
      <c r="W746">
        <v>745</v>
      </c>
      <c r="X746">
        <v>0</v>
      </c>
      <c r="Y746">
        <v>744</v>
      </c>
      <c r="Z746" t="s">
        <v>6966</v>
      </c>
      <c r="AA746" t="s">
        <v>6966</v>
      </c>
      <c r="AB746" t="s">
        <v>6966</v>
      </c>
      <c r="AC746" t="s">
        <v>6966</v>
      </c>
      <c r="AD746" t="s">
        <v>6966</v>
      </c>
      <c r="AE746" t="s">
        <v>6966</v>
      </c>
      <c r="AF746" t="s">
        <v>6966</v>
      </c>
      <c r="AG746" t="s">
        <v>6966</v>
      </c>
      <c r="AH746" t="s">
        <v>6966</v>
      </c>
      <c r="AI746" t="s">
        <v>6966</v>
      </c>
      <c r="AJ746" t="s">
        <v>6966</v>
      </c>
      <c r="AK746" t="s">
        <v>6966</v>
      </c>
      <c r="AL746" t="s">
        <v>6966</v>
      </c>
      <c r="AM746" t="s">
        <v>6966</v>
      </c>
      <c r="AN746" t="s">
        <v>6966</v>
      </c>
      <c r="AO746" t="s">
        <v>6966</v>
      </c>
      <c r="AP746" t="s">
        <v>6966</v>
      </c>
      <c r="AQ746" t="s">
        <v>6966</v>
      </c>
      <c r="AR746" t="s">
        <v>6966</v>
      </c>
      <c r="AS746" t="s">
        <v>6966</v>
      </c>
      <c r="AT746" t="s">
        <v>6966</v>
      </c>
      <c r="AU746" t="s">
        <v>6966</v>
      </c>
      <c r="AV746" t="s">
        <v>6966</v>
      </c>
      <c r="AW746" t="s">
        <v>6966</v>
      </c>
      <c r="AX746" t="s">
        <v>6966</v>
      </c>
      <c r="AY746" t="s">
        <v>6966</v>
      </c>
      <c r="AZ746">
        <v>0.10428</v>
      </c>
      <c r="BA746">
        <v>3.8299999999999999E-4</v>
      </c>
    </row>
    <row r="747" spans="1:53" x14ac:dyDescent="0.25">
      <c r="A747">
        <v>745</v>
      </c>
      <c r="B747" t="s">
        <v>7625</v>
      </c>
      <c r="C747">
        <v>505058</v>
      </c>
      <c r="D747" t="s">
        <v>382</v>
      </c>
      <c r="E747" t="s">
        <v>7719</v>
      </c>
      <c r="F747">
        <v>1080156</v>
      </c>
      <c r="G747">
        <v>6276.0615230000003</v>
      </c>
      <c r="H747">
        <v>712</v>
      </c>
      <c r="I747">
        <v>915</v>
      </c>
      <c r="J747">
        <v>25281</v>
      </c>
      <c r="K747" t="s">
        <v>1874</v>
      </c>
      <c r="L747">
        <v>6</v>
      </c>
      <c r="M747">
        <v>6</v>
      </c>
      <c r="N747">
        <v>25281</v>
      </c>
      <c r="O747">
        <v>697</v>
      </c>
      <c r="P747" t="s">
        <v>3212</v>
      </c>
      <c r="Q747">
        <v>5</v>
      </c>
      <c r="R747">
        <v>43.75</v>
      </c>
      <c r="S747">
        <v>1.44</v>
      </c>
      <c r="T747">
        <v>15</v>
      </c>
      <c r="U747">
        <v>1080155.88806</v>
      </c>
      <c r="V747">
        <v>6276.0618370000002</v>
      </c>
      <c r="W747">
        <v>746</v>
      </c>
      <c r="X747">
        <v>0</v>
      </c>
      <c r="Y747">
        <v>745</v>
      </c>
      <c r="Z747" t="s">
        <v>6966</v>
      </c>
      <c r="AA747" t="s">
        <v>6966</v>
      </c>
      <c r="AB747" t="s">
        <v>6966</v>
      </c>
      <c r="AC747" t="s">
        <v>6966</v>
      </c>
      <c r="AD747" t="s">
        <v>6966</v>
      </c>
      <c r="AE747" t="s">
        <v>6966</v>
      </c>
      <c r="AF747" t="s">
        <v>6966</v>
      </c>
      <c r="AG747" t="s">
        <v>6966</v>
      </c>
      <c r="AH747" t="s">
        <v>6966</v>
      </c>
      <c r="AI747" t="s">
        <v>6966</v>
      </c>
      <c r="AJ747" t="s">
        <v>6966</v>
      </c>
      <c r="AK747" t="s">
        <v>6966</v>
      </c>
      <c r="AL747" t="s">
        <v>6966</v>
      </c>
      <c r="AM747" t="s">
        <v>6966</v>
      </c>
      <c r="AN747" t="s">
        <v>6966</v>
      </c>
      <c r="AO747" t="s">
        <v>6966</v>
      </c>
      <c r="AP747" t="s">
        <v>6966</v>
      </c>
      <c r="AQ747" t="s">
        <v>6966</v>
      </c>
      <c r="AR747" t="s">
        <v>6966</v>
      </c>
      <c r="AS747" t="s">
        <v>6966</v>
      </c>
      <c r="AT747" t="s">
        <v>6966</v>
      </c>
      <c r="AU747" t="s">
        <v>6966</v>
      </c>
      <c r="AV747" t="s">
        <v>6966</v>
      </c>
      <c r="AW747" t="s">
        <v>6966</v>
      </c>
      <c r="AX747" t="s">
        <v>6966</v>
      </c>
      <c r="AY747" t="s">
        <v>6966</v>
      </c>
      <c r="AZ747">
        <v>6.1275000000000003E-2</v>
      </c>
      <c r="BA747">
        <v>1.05E-4</v>
      </c>
    </row>
    <row r="748" spans="1:53" x14ac:dyDescent="0.25">
      <c r="A748">
        <v>746</v>
      </c>
      <c r="B748" t="s">
        <v>7625</v>
      </c>
      <c r="C748">
        <v>506079</v>
      </c>
      <c r="D748" t="s">
        <v>159</v>
      </c>
      <c r="E748" t="s">
        <v>7823</v>
      </c>
      <c r="F748">
        <v>0</v>
      </c>
      <c r="G748">
        <v>73474.046875</v>
      </c>
      <c r="H748">
        <v>713</v>
      </c>
      <c r="I748">
        <v>916</v>
      </c>
      <c r="J748">
        <v>22711</v>
      </c>
      <c r="K748" t="s">
        <v>1689</v>
      </c>
      <c r="L748">
        <v>3</v>
      </c>
      <c r="M748">
        <v>3</v>
      </c>
      <c r="N748">
        <v>22711</v>
      </c>
      <c r="O748">
        <v>698</v>
      </c>
      <c r="P748" t="s">
        <v>3212</v>
      </c>
      <c r="Q748">
        <v>0.3</v>
      </c>
      <c r="R748">
        <v>30.57</v>
      </c>
      <c r="S748">
        <v>0.16</v>
      </c>
      <c r="T748">
        <v>17</v>
      </c>
      <c r="U748">
        <v>0</v>
      </c>
      <c r="V748">
        <v>73474.045702000003</v>
      </c>
      <c r="W748">
        <v>747</v>
      </c>
      <c r="X748">
        <v>0</v>
      </c>
      <c r="Y748">
        <v>746</v>
      </c>
      <c r="Z748" t="s">
        <v>6966</v>
      </c>
      <c r="AA748" t="s">
        <v>6966</v>
      </c>
      <c r="AB748" t="s">
        <v>6966</v>
      </c>
      <c r="AC748" t="s">
        <v>6966</v>
      </c>
      <c r="AD748" t="s">
        <v>6966</v>
      </c>
      <c r="AE748" t="s">
        <v>6966</v>
      </c>
      <c r="AF748" t="s">
        <v>6966</v>
      </c>
      <c r="AG748" t="s">
        <v>6966</v>
      </c>
      <c r="AH748" t="s">
        <v>6966</v>
      </c>
      <c r="AI748" t="s">
        <v>6966</v>
      </c>
      <c r="AJ748" t="s">
        <v>6966</v>
      </c>
      <c r="AK748" t="s">
        <v>6966</v>
      </c>
      <c r="AL748" t="s">
        <v>6966</v>
      </c>
      <c r="AM748" t="s">
        <v>6966</v>
      </c>
      <c r="AN748" t="s">
        <v>6966</v>
      </c>
      <c r="AO748" t="s">
        <v>6966</v>
      </c>
      <c r="AP748" t="s">
        <v>6966</v>
      </c>
      <c r="AQ748" t="s">
        <v>6966</v>
      </c>
      <c r="AR748" t="s">
        <v>6966</v>
      </c>
      <c r="AS748" t="s">
        <v>6966</v>
      </c>
      <c r="AT748" t="s">
        <v>6966</v>
      </c>
      <c r="AU748" t="s">
        <v>6966</v>
      </c>
      <c r="AV748" t="s">
        <v>6966</v>
      </c>
      <c r="AW748" t="s">
        <v>6966</v>
      </c>
      <c r="AX748" t="s">
        <v>6966</v>
      </c>
      <c r="AY748" t="s">
        <v>6966</v>
      </c>
      <c r="AZ748">
        <v>0.74145000000000005</v>
      </c>
      <c r="BA748">
        <v>4.9399999999999999E-3</v>
      </c>
    </row>
    <row r="749" spans="1:53" x14ac:dyDescent="0.25">
      <c r="A749">
        <v>747</v>
      </c>
      <c r="B749" t="s">
        <v>7625</v>
      </c>
      <c r="C749">
        <v>506085</v>
      </c>
      <c r="D749" t="s">
        <v>184</v>
      </c>
      <c r="E749" t="s">
        <v>7823</v>
      </c>
      <c r="F749">
        <v>1571082</v>
      </c>
      <c r="G749">
        <v>6557.0410160000001</v>
      </c>
      <c r="H749">
        <v>714</v>
      </c>
      <c r="I749">
        <v>917</v>
      </c>
      <c r="J749">
        <v>22791</v>
      </c>
      <c r="K749" t="s">
        <v>1710</v>
      </c>
      <c r="L749">
        <v>3</v>
      </c>
      <c r="M749">
        <v>3</v>
      </c>
      <c r="N749">
        <v>22791</v>
      </c>
      <c r="O749">
        <v>699</v>
      </c>
      <c r="P749" t="s">
        <v>3212</v>
      </c>
      <c r="Q749">
        <v>1.8</v>
      </c>
      <c r="R749">
        <v>30.75</v>
      </c>
      <c r="S749">
        <v>0.41</v>
      </c>
      <c r="T749">
        <v>8</v>
      </c>
      <c r="U749">
        <v>1571082.0570799999</v>
      </c>
      <c r="V749">
        <v>6557.0398269999996</v>
      </c>
      <c r="W749">
        <v>748</v>
      </c>
      <c r="X749">
        <v>0</v>
      </c>
      <c r="Y749">
        <v>747</v>
      </c>
      <c r="Z749" t="s">
        <v>6966</v>
      </c>
      <c r="AA749" t="s">
        <v>6966</v>
      </c>
      <c r="AB749" t="s">
        <v>6966</v>
      </c>
      <c r="AC749" t="s">
        <v>6966</v>
      </c>
      <c r="AD749" t="s">
        <v>6966</v>
      </c>
      <c r="AE749" t="s">
        <v>6966</v>
      </c>
      <c r="AF749" t="s">
        <v>6966</v>
      </c>
      <c r="AG749" t="s">
        <v>6966</v>
      </c>
      <c r="AH749" t="s">
        <v>6966</v>
      </c>
      <c r="AI749" t="s">
        <v>6966</v>
      </c>
      <c r="AJ749" t="s">
        <v>6966</v>
      </c>
      <c r="AK749" t="s">
        <v>6966</v>
      </c>
      <c r="AL749" t="s">
        <v>6966</v>
      </c>
      <c r="AM749" t="s">
        <v>6966</v>
      </c>
      <c r="AN749" t="s">
        <v>6966</v>
      </c>
      <c r="AO749" t="s">
        <v>6966</v>
      </c>
      <c r="AP749" t="s">
        <v>6966</v>
      </c>
      <c r="AQ749" t="s">
        <v>6966</v>
      </c>
      <c r="AR749" t="s">
        <v>6966</v>
      </c>
      <c r="AS749" t="s">
        <v>6966</v>
      </c>
      <c r="AT749" t="s">
        <v>6966</v>
      </c>
      <c r="AU749" t="s">
        <v>6966</v>
      </c>
      <c r="AV749" t="s">
        <v>6966</v>
      </c>
      <c r="AW749" t="s">
        <v>6966</v>
      </c>
      <c r="AX749" t="s">
        <v>6966</v>
      </c>
      <c r="AY749" t="s">
        <v>6966</v>
      </c>
      <c r="AZ749">
        <v>6.5353999999999995E-2</v>
      </c>
      <c r="BA749">
        <v>1.5300000000000001E-4</v>
      </c>
    </row>
    <row r="750" spans="1:53" x14ac:dyDescent="0.25">
      <c r="A750">
        <v>748</v>
      </c>
      <c r="B750" t="s">
        <v>7625</v>
      </c>
      <c r="C750">
        <v>506095</v>
      </c>
      <c r="D750" t="s">
        <v>185</v>
      </c>
      <c r="E750" t="s">
        <v>7823</v>
      </c>
      <c r="F750">
        <v>2366305.5</v>
      </c>
      <c r="G750">
        <v>8158.8041990000002</v>
      </c>
      <c r="H750">
        <v>715</v>
      </c>
      <c r="I750">
        <v>918</v>
      </c>
      <c r="J750">
        <v>22794</v>
      </c>
      <c r="K750" t="s">
        <v>185</v>
      </c>
      <c r="L750">
        <v>3</v>
      </c>
      <c r="M750">
        <v>3</v>
      </c>
      <c r="N750">
        <v>22794</v>
      </c>
      <c r="O750">
        <v>700</v>
      </c>
      <c r="P750" t="s">
        <v>3212</v>
      </c>
      <c r="Q750">
        <v>1.2</v>
      </c>
      <c r="R750">
        <v>19.5</v>
      </c>
      <c r="S750">
        <v>0.41</v>
      </c>
      <c r="T750">
        <v>6</v>
      </c>
      <c r="U750">
        <v>2366305.5114699998</v>
      </c>
      <c r="V750">
        <v>8158.8037750000003</v>
      </c>
      <c r="W750">
        <v>749</v>
      </c>
      <c r="X750">
        <v>0</v>
      </c>
      <c r="Y750">
        <v>748</v>
      </c>
      <c r="Z750" t="s">
        <v>6966</v>
      </c>
      <c r="AA750" t="s">
        <v>6966</v>
      </c>
      <c r="AB750" t="s">
        <v>6966</v>
      </c>
      <c r="AC750" t="s">
        <v>6966</v>
      </c>
      <c r="AD750" t="s">
        <v>6966</v>
      </c>
      <c r="AE750" t="s">
        <v>6966</v>
      </c>
      <c r="AF750" t="s">
        <v>6966</v>
      </c>
      <c r="AG750" t="s">
        <v>6966</v>
      </c>
      <c r="AH750" t="s">
        <v>6966</v>
      </c>
      <c r="AI750" t="s">
        <v>6966</v>
      </c>
      <c r="AJ750" t="s">
        <v>6966</v>
      </c>
      <c r="AK750" t="s">
        <v>6966</v>
      </c>
      <c r="AL750" t="s">
        <v>6966</v>
      </c>
      <c r="AM750" t="s">
        <v>6966</v>
      </c>
      <c r="AN750" t="s">
        <v>6966</v>
      </c>
      <c r="AO750" t="s">
        <v>6966</v>
      </c>
      <c r="AP750" t="s">
        <v>6966</v>
      </c>
      <c r="AQ750" t="s">
        <v>6966</v>
      </c>
      <c r="AR750" t="s">
        <v>6966</v>
      </c>
      <c r="AS750" t="s">
        <v>6966</v>
      </c>
      <c r="AT750" t="s">
        <v>6966</v>
      </c>
      <c r="AU750" t="s">
        <v>6966</v>
      </c>
      <c r="AV750" t="s">
        <v>6966</v>
      </c>
      <c r="AW750" t="s">
        <v>6966</v>
      </c>
      <c r="AX750" t="s">
        <v>6966</v>
      </c>
      <c r="AY750" t="s">
        <v>6966</v>
      </c>
      <c r="AZ750">
        <v>8.1249000000000002E-2</v>
      </c>
      <c r="BA750">
        <v>2.31E-4</v>
      </c>
    </row>
    <row r="751" spans="1:53" x14ac:dyDescent="0.25">
      <c r="A751">
        <v>749</v>
      </c>
      <c r="B751" t="s">
        <v>7625</v>
      </c>
      <c r="C751">
        <v>506058</v>
      </c>
      <c r="D751" t="s">
        <v>187</v>
      </c>
      <c r="E751" t="s">
        <v>7823</v>
      </c>
      <c r="F751">
        <v>958246.125</v>
      </c>
      <c r="G751">
        <v>6455.7861329999996</v>
      </c>
      <c r="H751">
        <v>716</v>
      </c>
      <c r="I751">
        <v>919</v>
      </c>
      <c r="J751">
        <v>22799</v>
      </c>
      <c r="K751" t="s">
        <v>7824</v>
      </c>
      <c r="L751">
        <v>3</v>
      </c>
      <c r="M751">
        <v>3</v>
      </c>
      <c r="N751">
        <v>22799</v>
      </c>
      <c r="O751">
        <v>701</v>
      </c>
      <c r="P751" t="s">
        <v>3212</v>
      </c>
      <c r="Q751">
        <v>3</v>
      </c>
      <c r="R751">
        <v>157.16</v>
      </c>
      <c r="S751">
        <v>0.76</v>
      </c>
      <c r="T751">
        <v>6</v>
      </c>
      <c r="U751">
        <v>958246.140808</v>
      </c>
      <c r="V751">
        <v>6455.7857830000003</v>
      </c>
      <c r="W751">
        <v>750</v>
      </c>
      <c r="X751">
        <v>0</v>
      </c>
      <c r="Y751">
        <v>749</v>
      </c>
      <c r="Z751" t="s">
        <v>6966</v>
      </c>
      <c r="AA751" t="s">
        <v>6966</v>
      </c>
      <c r="AB751" t="s">
        <v>6966</v>
      </c>
      <c r="AC751" t="s">
        <v>6966</v>
      </c>
      <c r="AD751" t="s">
        <v>6966</v>
      </c>
      <c r="AE751" t="s">
        <v>6966</v>
      </c>
      <c r="AF751" t="s">
        <v>6966</v>
      </c>
      <c r="AG751" t="s">
        <v>6966</v>
      </c>
      <c r="AH751" t="s">
        <v>6966</v>
      </c>
      <c r="AI751" t="s">
        <v>6966</v>
      </c>
      <c r="AJ751" t="s">
        <v>6966</v>
      </c>
      <c r="AK751" t="s">
        <v>6966</v>
      </c>
      <c r="AL751" t="s">
        <v>6966</v>
      </c>
      <c r="AM751" t="s">
        <v>6966</v>
      </c>
      <c r="AN751" t="s">
        <v>6966</v>
      </c>
      <c r="AO751" t="s">
        <v>6966</v>
      </c>
      <c r="AP751" t="s">
        <v>6966</v>
      </c>
      <c r="AQ751" t="s">
        <v>6966</v>
      </c>
      <c r="AR751" t="s">
        <v>6966</v>
      </c>
      <c r="AS751" t="s">
        <v>6966</v>
      </c>
      <c r="AT751" t="s">
        <v>6966</v>
      </c>
      <c r="AU751" t="s">
        <v>6966</v>
      </c>
      <c r="AV751" t="s">
        <v>6966</v>
      </c>
      <c r="AW751" t="s">
        <v>6966</v>
      </c>
      <c r="AX751" t="s">
        <v>6966</v>
      </c>
      <c r="AY751" t="s">
        <v>6966</v>
      </c>
      <c r="AZ751">
        <v>6.3950000000000007E-2</v>
      </c>
      <c r="BA751">
        <v>9.2999999999999997E-5</v>
      </c>
    </row>
    <row r="752" spans="1:53" x14ac:dyDescent="0.25">
      <c r="A752">
        <v>750</v>
      </c>
      <c r="B752" t="s">
        <v>7625</v>
      </c>
      <c r="C752">
        <v>201017</v>
      </c>
      <c r="D752" t="s">
        <v>1140</v>
      </c>
      <c r="E752" t="s">
        <v>1069</v>
      </c>
      <c r="F752">
        <v>0</v>
      </c>
      <c r="G752">
        <v>42870.453125</v>
      </c>
      <c r="H752">
        <v>717</v>
      </c>
      <c r="I752">
        <v>920</v>
      </c>
      <c r="J752">
        <v>53453</v>
      </c>
      <c r="K752" t="s">
        <v>1140</v>
      </c>
      <c r="L752">
        <v>17</v>
      </c>
      <c r="M752">
        <v>17</v>
      </c>
      <c r="N752">
        <v>53453</v>
      </c>
      <c r="O752">
        <v>702</v>
      </c>
      <c r="P752" t="s">
        <v>3214</v>
      </c>
      <c r="Q752">
        <v>2.2999999999999998</v>
      </c>
      <c r="R752">
        <v>132.63999999999999</v>
      </c>
      <c r="S752">
        <v>0.41</v>
      </c>
      <c r="T752">
        <v>24</v>
      </c>
      <c r="U752">
        <v>0</v>
      </c>
      <c r="V752">
        <v>42870.455936999999</v>
      </c>
      <c r="W752">
        <v>751</v>
      </c>
      <c r="X752">
        <v>2</v>
      </c>
      <c r="Y752">
        <v>750</v>
      </c>
      <c r="Z752">
        <v>66687</v>
      </c>
      <c r="AA752" s="76">
        <v>45866</v>
      </c>
      <c r="AB752">
        <v>2025</v>
      </c>
      <c r="AC752" t="s">
        <v>7313</v>
      </c>
      <c r="AD752">
        <v>28</v>
      </c>
      <c r="AE752" t="s">
        <v>7373</v>
      </c>
      <c r="AF752" t="s">
        <v>3216</v>
      </c>
      <c r="AG752" t="s">
        <v>1069</v>
      </c>
      <c r="AH752" t="s">
        <v>1140</v>
      </c>
      <c r="AI752" t="s">
        <v>7374</v>
      </c>
      <c r="AJ752" t="s">
        <v>6966</v>
      </c>
      <c r="AK752">
        <v>33.934719999999999</v>
      </c>
      <c r="AL752">
        <v>36.151150000000001</v>
      </c>
      <c r="AM752" t="s">
        <v>6995</v>
      </c>
      <c r="AN752" t="s">
        <v>6966</v>
      </c>
      <c r="AO752" t="s">
        <v>6996</v>
      </c>
      <c r="AP752" t="s">
        <v>7375</v>
      </c>
      <c r="AQ752" t="s">
        <v>6998</v>
      </c>
      <c r="AR752" t="s">
        <v>6999</v>
      </c>
      <c r="AS752" t="s">
        <v>7000</v>
      </c>
      <c r="AT752">
        <v>0</v>
      </c>
      <c r="AU752">
        <v>0</v>
      </c>
      <c r="AV752" t="s">
        <v>7376</v>
      </c>
      <c r="AW752" t="s">
        <v>7119</v>
      </c>
      <c r="AX752" t="s">
        <v>6966</v>
      </c>
      <c r="AY752" t="s">
        <v>7003</v>
      </c>
      <c r="AZ752">
        <v>0.43432700000000002</v>
      </c>
      <c r="BA752">
        <v>4.1910000000000003E-3</v>
      </c>
    </row>
    <row r="753" spans="1:53" x14ac:dyDescent="0.25">
      <c r="A753">
        <v>751</v>
      </c>
      <c r="B753" t="s">
        <v>7625</v>
      </c>
      <c r="C753">
        <v>201087</v>
      </c>
      <c r="D753" t="s">
        <v>1133</v>
      </c>
      <c r="E753" t="s">
        <v>1069</v>
      </c>
      <c r="F753">
        <v>7690782.5</v>
      </c>
      <c r="G753">
        <v>16925.435547000001</v>
      </c>
      <c r="H753">
        <v>718</v>
      </c>
      <c r="I753">
        <v>921</v>
      </c>
      <c r="J753">
        <v>53439</v>
      </c>
      <c r="K753" t="s">
        <v>1133</v>
      </c>
      <c r="L753">
        <v>17</v>
      </c>
      <c r="M753">
        <v>17</v>
      </c>
      <c r="N753">
        <v>53439</v>
      </c>
      <c r="O753">
        <v>703</v>
      </c>
      <c r="P753" t="s">
        <v>3214</v>
      </c>
      <c r="Q753">
        <v>2</v>
      </c>
      <c r="R753">
        <v>132.52000000000001</v>
      </c>
      <c r="S753">
        <v>0.41</v>
      </c>
      <c r="T753">
        <v>27</v>
      </c>
      <c r="U753">
        <v>7690782.3734200001</v>
      </c>
      <c r="V753">
        <v>16925.435399000002</v>
      </c>
      <c r="W753">
        <v>752</v>
      </c>
      <c r="X753">
        <v>0</v>
      </c>
      <c r="Y753">
        <v>751</v>
      </c>
      <c r="Z753" t="s">
        <v>6966</v>
      </c>
      <c r="AA753" t="s">
        <v>6966</v>
      </c>
      <c r="AB753" t="s">
        <v>6966</v>
      </c>
      <c r="AC753" t="s">
        <v>6966</v>
      </c>
      <c r="AD753" t="s">
        <v>6966</v>
      </c>
      <c r="AE753" t="s">
        <v>6966</v>
      </c>
      <c r="AF753" t="s">
        <v>6966</v>
      </c>
      <c r="AG753" t="s">
        <v>6966</v>
      </c>
      <c r="AH753" t="s">
        <v>6966</v>
      </c>
      <c r="AI753" t="s">
        <v>6966</v>
      </c>
      <c r="AJ753" t="s">
        <v>6966</v>
      </c>
      <c r="AK753" t="s">
        <v>6966</v>
      </c>
      <c r="AL753" t="s">
        <v>6966</v>
      </c>
      <c r="AM753" t="s">
        <v>6966</v>
      </c>
      <c r="AN753" t="s">
        <v>6966</v>
      </c>
      <c r="AO753" t="s">
        <v>6966</v>
      </c>
      <c r="AP753" t="s">
        <v>6966</v>
      </c>
      <c r="AQ753" t="s">
        <v>6966</v>
      </c>
      <c r="AR753" t="s">
        <v>6966</v>
      </c>
      <c r="AS753" t="s">
        <v>6966</v>
      </c>
      <c r="AT753" t="s">
        <v>6966</v>
      </c>
      <c r="AU753" t="s">
        <v>6966</v>
      </c>
      <c r="AV753" t="s">
        <v>6966</v>
      </c>
      <c r="AW753" t="s">
        <v>6966</v>
      </c>
      <c r="AX753" t="s">
        <v>6966</v>
      </c>
      <c r="AY753" t="s">
        <v>6966</v>
      </c>
      <c r="AZ753">
        <v>0.16961999999999999</v>
      </c>
      <c r="BA753">
        <v>7.5000000000000002E-4</v>
      </c>
    </row>
    <row r="754" spans="1:53" x14ac:dyDescent="0.25">
      <c r="A754">
        <v>752</v>
      </c>
      <c r="B754" t="s">
        <v>7625</v>
      </c>
      <c r="C754">
        <v>505050</v>
      </c>
      <c r="D754" t="s">
        <v>426</v>
      </c>
      <c r="E754" t="s">
        <v>7719</v>
      </c>
      <c r="F754">
        <v>197075.34375</v>
      </c>
      <c r="G754">
        <v>2367.8168949999999</v>
      </c>
      <c r="H754">
        <v>719</v>
      </c>
      <c r="I754">
        <v>922</v>
      </c>
      <c r="J754">
        <v>25447</v>
      </c>
      <c r="K754" t="s">
        <v>7830</v>
      </c>
      <c r="L754">
        <v>6</v>
      </c>
      <c r="M754">
        <v>6</v>
      </c>
      <c r="N754">
        <v>22799</v>
      </c>
      <c r="O754">
        <v>704</v>
      </c>
      <c r="P754" t="s">
        <v>3212</v>
      </c>
      <c r="Q754">
        <v>14.8</v>
      </c>
      <c r="R754">
        <v>177.72</v>
      </c>
      <c r="S754">
        <v>3.71</v>
      </c>
      <c r="T754">
        <v>6</v>
      </c>
      <c r="U754">
        <v>197075.24271399999</v>
      </c>
      <c r="V754">
        <v>2367.8166150000002</v>
      </c>
      <c r="W754">
        <v>753</v>
      </c>
      <c r="X754">
        <v>0</v>
      </c>
      <c r="Y754">
        <v>752</v>
      </c>
      <c r="Z754" t="s">
        <v>6966</v>
      </c>
      <c r="AA754" t="s">
        <v>6966</v>
      </c>
      <c r="AB754" t="s">
        <v>6966</v>
      </c>
      <c r="AC754" t="s">
        <v>6966</v>
      </c>
      <c r="AD754" t="s">
        <v>6966</v>
      </c>
      <c r="AE754" t="s">
        <v>6966</v>
      </c>
      <c r="AF754" t="s">
        <v>6966</v>
      </c>
      <c r="AG754" t="s">
        <v>6966</v>
      </c>
      <c r="AH754" t="s">
        <v>6966</v>
      </c>
      <c r="AI754" t="s">
        <v>6966</v>
      </c>
      <c r="AJ754" t="s">
        <v>6966</v>
      </c>
      <c r="AK754" t="s">
        <v>6966</v>
      </c>
      <c r="AL754" t="s">
        <v>6966</v>
      </c>
      <c r="AM754" t="s">
        <v>6966</v>
      </c>
      <c r="AN754" t="s">
        <v>6966</v>
      </c>
      <c r="AO754" t="s">
        <v>6966</v>
      </c>
      <c r="AP754" t="s">
        <v>6966</v>
      </c>
      <c r="AQ754" t="s">
        <v>6966</v>
      </c>
      <c r="AR754" t="s">
        <v>6966</v>
      </c>
      <c r="AS754" t="s">
        <v>6966</v>
      </c>
      <c r="AT754" t="s">
        <v>6966</v>
      </c>
      <c r="AU754" t="s">
        <v>6966</v>
      </c>
      <c r="AV754" t="s">
        <v>6966</v>
      </c>
      <c r="AW754" t="s">
        <v>6966</v>
      </c>
      <c r="AX754" t="s">
        <v>6966</v>
      </c>
      <c r="AY754" t="s">
        <v>6966</v>
      </c>
      <c r="AZ754">
        <v>2.4E-2</v>
      </c>
      <c r="BA754">
        <v>1.9000000000000001E-5</v>
      </c>
    </row>
    <row r="755" spans="1:53" x14ac:dyDescent="0.25">
      <c r="A755">
        <v>753</v>
      </c>
      <c r="B755" t="s">
        <v>7625</v>
      </c>
      <c r="C755">
        <v>506100</v>
      </c>
      <c r="D755" t="s">
        <v>120</v>
      </c>
      <c r="E755" t="s">
        <v>7823</v>
      </c>
      <c r="F755">
        <v>2525706</v>
      </c>
      <c r="G755">
        <v>9278.1884769999997</v>
      </c>
      <c r="H755">
        <v>720</v>
      </c>
      <c r="I755">
        <v>924</v>
      </c>
      <c r="J755">
        <v>22467</v>
      </c>
      <c r="K755" t="s">
        <v>1653</v>
      </c>
      <c r="L755">
        <v>3</v>
      </c>
      <c r="M755">
        <v>3</v>
      </c>
      <c r="N755">
        <v>22467</v>
      </c>
      <c r="O755">
        <v>706</v>
      </c>
      <c r="P755" t="s">
        <v>3212</v>
      </c>
      <c r="Q755">
        <v>28.3</v>
      </c>
      <c r="R755">
        <v>158.22999999999999</v>
      </c>
      <c r="S755">
        <v>6.99</v>
      </c>
      <c r="T755">
        <v>42</v>
      </c>
      <c r="U755">
        <v>2525705.9298800002</v>
      </c>
      <c r="V755">
        <v>9278.1882189999997</v>
      </c>
      <c r="W755">
        <v>754</v>
      </c>
      <c r="X755">
        <v>0</v>
      </c>
      <c r="Y755">
        <v>753</v>
      </c>
      <c r="Z755" t="s">
        <v>6966</v>
      </c>
      <c r="AA755" t="s">
        <v>6966</v>
      </c>
      <c r="AB755" t="s">
        <v>6966</v>
      </c>
      <c r="AC755" t="s">
        <v>6966</v>
      </c>
      <c r="AD755" t="s">
        <v>6966</v>
      </c>
      <c r="AE755" t="s">
        <v>6966</v>
      </c>
      <c r="AF755" t="s">
        <v>6966</v>
      </c>
      <c r="AG755" t="s">
        <v>6966</v>
      </c>
      <c r="AH755" t="s">
        <v>6966</v>
      </c>
      <c r="AI755" t="s">
        <v>6966</v>
      </c>
      <c r="AJ755" t="s">
        <v>6966</v>
      </c>
      <c r="AK755" t="s">
        <v>6966</v>
      </c>
      <c r="AL755" t="s">
        <v>6966</v>
      </c>
      <c r="AM755" t="s">
        <v>6966</v>
      </c>
      <c r="AN755" t="s">
        <v>6966</v>
      </c>
      <c r="AO755" t="s">
        <v>6966</v>
      </c>
      <c r="AP755" t="s">
        <v>6966</v>
      </c>
      <c r="AQ755" t="s">
        <v>6966</v>
      </c>
      <c r="AR755" t="s">
        <v>6966</v>
      </c>
      <c r="AS755" t="s">
        <v>6966</v>
      </c>
      <c r="AT755" t="s">
        <v>6966</v>
      </c>
      <c r="AU755" t="s">
        <v>6966</v>
      </c>
      <c r="AV755" t="s">
        <v>6966</v>
      </c>
      <c r="AW755" t="s">
        <v>6966</v>
      </c>
      <c r="AX755" t="s">
        <v>6966</v>
      </c>
      <c r="AY755" t="s">
        <v>6966</v>
      </c>
      <c r="AZ755">
        <v>9.3049000000000007E-2</v>
      </c>
      <c r="BA755">
        <v>2.4600000000000002E-4</v>
      </c>
    </row>
    <row r="756" spans="1:53" x14ac:dyDescent="0.25">
      <c r="A756">
        <v>754</v>
      </c>
      <c r="B756" t="s">
        <v>7625</v>
      </c>
      <c r="C756">
        <v>505024</v>
      </c>
      <c r="D756" t="s">
        <v>378</v>
      </c>
      <c r="E756" t="s">
        <v>7719</v>
      </c>
      <c r="F756">
        <v>905843.75</v>
      </c>
      <c r="G756">
        <v>4602.3540039999998</v>
      </c>
      <c r="H756">
        <v>721</v>
      </c>
      <c r="I756">
        <v>923</v>
      </c>
      <c r="J756">
        <v>25241</v>
      </c>
      <c r="K756" t="s">
        <v>1718</v>
      </c>
      <c r="L756">
        <v>6</v>
      </c>
      <c r="M756">
        <v>6</v>
      </c>
      <c r="N756">
        <v>25241</v>
      </c>
      <c r="O756">
        <v>705</v>
      </c>
      <c r="P756" t="s">
        <v>3212</v>
      </c>
      <c r="Q756">
        <v>6</v>
      </c>
      <c r="R756">
        <v>21.3</v>
      </c>
      <c r="S756">
        <v>2.13</v>
      </c>
      <c r="T756">
        <v>8</v>
      </c>
      <c r="U756">
        <v>905843.73142900004</v>
      </c>
      <c r="V756">
        <v>4602.3539899999996</v>
      </c>
      <c r="W756">
        <v>755</v>
      </c>
      <c r="X756">
        <v>0</v>
      </c>
      <c r="Y756">
        <v>754</v>
      </c>
      <c r="Z756" t="s">
        <v>6966</v>
      </c>
      <c r="AA756" t="s">
        <v>6966</v>
      </c>
      <c r="AB756" t="s">
        <v>6966</v>
      </c>
      <c r="AC756" t="s">
        <v>6966</v>
      </c>
      <c r="AD756" t="s">
        <v>6966</v>
      </c>
      <c r="AE756" t="s">
        <v>6966</v>
      </c>
      <c r="AF756" t="s">
        <v>6966</v>
      </c>
      <c r="AG756" t="s">
        <v>6966</v>
      </c>
      <c r="AH756" t="s">
        <v>6966</v>
      </c>
      <c r="AI756" t="s">
        <v>6966</v>
      </c>
      <c r="AJ756" t="s">
        <v>6966</v>
      </c>
      <c r="AK756" t="s">
        <v>6966</v>
      </c>
      <c r="AL756" t="s">
        <v>6966</v>
      </c>
      <c r="AM756" t="s">
        <v>6966</v>
      </c>
      <c r="AN756" t="s">
        <v>6966</v>
      </c>
      <c r="AO756" t="s">
        <v>6966</v>
      </c>
      <c r="AP756" t="s">
        <v>6966</v>
      </c>
      <c r="AQ756" t="s">
        <v>6966</v>
      </c>
      <c r="AR756" t="s">
        <v>6966</v>
      </c>
      <c r="AS756" t="s">
        <v>6966</v>
      </c>
      <c r="AT756" t="s">
        <v>6966</v>
      </c>
      <c r="AU756" t="s">
        <v>6966</v>
      </c>
      <c r="AV756" t="s">
        <v>6966</v>
      </c>
      <c r="AW756" t="s">
        <v>6966</v>
      </c>
      <c r="AX756" t="s">
        <v>6966</v>
      </c>
      <c r="AY756" t="s">
        <v>6966</v>
      </c>
      <c r="AZ756">
        <v>4.6026999999999998E-2</v>
      </c>
      <c r="BA756">
        <v>8.7999999999999998E-5</v>
      </c>
    </row>
    <row r="757" spans="1:53" x14ac:dyDescent="0.25">
      <c r="A757">
        <v>755</v>
      </c>
      <c r="B757" t="s">
        <v>7625</v>
      </c>
      <c r="C757">
        <v>505041</v>
      </c>
      <c r="D757" t="s">
        <v>380</v>
      </c>
      <c r="E757" t="s">
        <v>7719</v>
      </c>
      <c r="F757">
        <v>2905825.25</v>
      </c>
      <c r="G757">
        <v>10294.517578000001</v>
      </c>
      <c r="H757">
        <v>722</v>
      </c>
      <c r="I757">
        <v>925</v>
      </c>
      <c r="J757">
        <v>25261</v>
      </c>
      <c r="K757" t="s">
        <v>1872</v>
      </c>
      <c r="L757">
        <v>6</v>
      </c>
      <c r="M757">
        <v>6</v>
      </c>
      <c r="N757">
        <v>25261</v>
      </c>
      <c r="O757">
        <v>707</v>
      </c>
      <c r="P757" t="s">
        <v>3212</v>
      </c>
      <c r="Q757">
        <v>6.7</v>
      </c>
      <c r="R757">
        <v>38.42</v>
      </c>
      <c r="S757">
        <v>2.71</v>
      </c>
      <c r="T757">
        <v>16</v>
      </c>
      <c r="U757">
        <v>2905825.0903500002</v>
      </c>
      <c r="V757">
        <v>10294.518737</v>
      </c>
      <c r="W757">
        <v>756</v>
      </c>
      <c r="X757">
        <v>0</v>
      </c>
      <c r="Y757">
        <v>755</v>
      </c>
      <c r="Z757" t="s">
        <v>6966</v>
      </c>
      <c r="AA757" t="s">
        <v>6966</v>
      </c>
      <c r="AB757" t="s">
        <v>6966</v>
      </c>
      <c r="AC757" t="s">
        <v>6966</v>
      </c>
      <c r="AD757" t="s">
        <v>6966</v>
      </c>
      <c r="AE757" t="s">
        <v>6966</v>
      </c>
      <c r="AF757" t="s">
        <v>6966</v>
      </c>
      <c r="AG757" t="s">
        <v>6966</v>
      </c>
      <c r="AH757" t="s">
        <v>6966</v>
      </c>
      <c r="AI757" t="s">
        <v>6966</v>
      </c>
      <c r="AJ757" t="s">
        <v>6966</v>
      </c>
      <c r="AK757" t="s">
        <v>6966</v>
      </c>
      <c r="AL757" t="s">
        <v>6966</v>
      </c>
      <c r="AM757" t="s">
        <v>6966</v>
      </c>
      <c r="AN757" t="s">
        <v>6966</v>
      </c>
      <c r="AO757" t="s">
        <v>6966</v>
      </c>
      <c r="AP757" t="s">
        <v>6966</v>
      </c>
      <c r="AQ757" t="s">
        <v>6966</v>
      </c>
      <c r="AR757" t="s">
        <v>6966</v>
      </c>
      <c r="AS757" t="s">
        <v>6966</v>
      </c>
      <c r="AT757" t="s">
        <v>6966</v>
      </c>
      <c r="AU757" t="s">
        <v>6966</v>
      </c>
      <c r="AV757" t="s">
        <v>6966</v>
      </c>
      <c r="AW757" t="s">
        <v>6966</v>
      </c>
      <c r="AX757" t="s">
        <v>6966</v>
      </c>
      <c r="AY757" t="s">
        <v>6966</v>
      </c>
      <c r="AZ757">
        <v>0.105546</v>
      </c>
      <c r="BA757">
        <v>2.8299999999999999E-4</v>
      </c>
    </row>
    <row r="758" spans="1:53" x14ac:dyDescent="0.25">
      <c r="A758">
        <v>756</v>
      </c>
      <c r="B758" t="s">
        <v>7625</v>
      </c>
      <c r="C758">
        <v>506041</v>
      </c>
      <c r="D758" t="s">
        <v>143</v>
      </c>
      <c r="E758" t="s">
        <v>7823</v>
      </c>
      <c r="F758">
        <v>1958942.375</v>
      </c>
      <c r="G758">
        <v>6077.3471680000002</v>
      </c>
      <c r="H758">
        <v>723</v>
      </c>
      <c r="I758">
        <v>926</v>
      </c>
      <c r="J758">
        <v>22579</v>
      </c>
      <c r="K758" t="s">
        <v>143</v>
      </c>
      <c r="L758">
        <v>3</v>
      </c>
      <c r="M758">
        <v>3</v>
      </c>
      <c r="N758">
        <v>22579</v>
      </c>
      <c r="O758">
        <v>708</v>
      </c>
      <c r="P758" t="s">
        <v>3212</v>
      </c>
      <c r="Q758">
        <v>0.6</v>
      </c>
      <c r="R758">
        <v>12.49</v>
      </c>
      <c r="S758">
        <v>0.15</v>
      </c>
      <c r="T758">
        <v>3</v>
      </c>
      <c r="U758">
        <v>1958942.31103</v>
      </c>
      <c r="V758">
        <v>6077.3470500000003</v>
      </c>
      <c r="W758">
        <v>757</v>
      </c>
      <c r="X758">
        <v>0</v>
      </c>
      <c r="Y758">
        <v>756</v>
      </c>
      <c r="Z758" t="s">
        <v>6966</v>
      </c>
      <c r="AA758" t="s">
        <v>6966</v>
      </c>
      <c r="AB758" t="s">
        <v>6966</v>
      </c>
      <c r="AC758" t="s">
        <v>6966</v>
      </c>
      <c r="AD758" t="s">
        <v>6966</v>
      </c>
      <c r="AE758" t="s">
        <v>6966</v>
      </c>
      <c r="AF758" t="s">
        <v>6966</v>
      </c>
      <c r="AG758" t="s">
        <v>6966</v>
      </c>
      <c r="AH758" t="s">
        <v>6966</v>
      </c>
      <c r="AI758" t="s">
        <v>6966</v>
      </c>
      <c r="AJ758" t="s">
        <v>6966</v>
      </c>
      <c r="AK758" t="s">
        <v>6966</v>
      </c>
      <c r="AL758" t="s">
        <v>6966</v>
      </c>
      <c r="AM758" t="s">
        <v>6966</v>
      </c>
      <c r="AN758" t="s">
        <v>6966</v>
      </c>
      <c r="AO758" t="s">
        <v>6966</v>
      </c>
      <c r="AP758" t="s">
        <v>6966</v>
      </c>
      <c r="AQ758" t="s">
        <v>6966</v>
      </c>
      <c r="AR758" t="s">
        <v>6966</v>
      </c>
      <c r="AS758" t="s">
        <v>6966</v>
      </c>
      <c r="AT758" t="s">
        <v>6966</v>
      </c>
      <c r="AU758" t="s">
        <v>6966</v>
      </c>
      <c r="AV758" t="s">
        <v>6966</v>
      </c>
      <c r="AW758" t="s">
        <v>6966</v>
      </c>
      <c r="AX758" t="s">
        <v>6966</v>
      </c>
      <c r="AY758" t="s">
        <v>6966</v>
      </c>
      <c r="AZ758">
        <v>6.1883000000000001E-2</v>
      </c>
      <c r="BA758">
        <v>1.9100000000000001E-4</v>
      </c>
    </row>
    <row r="759" spans="1:53" x14ac:dyDescent="0.25">
      <c r="A759">
        <v>757</v>
      </c>
      <c r="B759" t="s">
        <v>7625</v>
      </c>
      <c r="C759">
        <v>506040</v>
      </c>
      <c r="D759" t="s">
        <v>7832</v>
      </c>
      <c r="E759" t="s">
        <v>7823</v>
      </c>
      <c r="F759">
        <v>1792703.125</v>
      </c>
      <c r="G759">
        <v>9821.7255860000005</v>
      </c>
      <c r="H759">
        <v>724</v>
      </c>
      <c r="I759">
        <v>927</v>
      </c>
      <c r="J759">
        <v>22375</v>
      </c>
      <c r="K759" t="s">
        <v>7832</v>
      </c>
      <c r="L759">
        <v>3</v>
      </c>
      <c r="M759">
        <v>3</v>
      </c>
      <c r="N759">
        <v>22375</v>
      </c>
      <c r="O759">
        <v>709</v>
      </c>
      <c r="P759" t="s">
        <v>3212</v>
      </c>
      <c r="Q759">
        <v>13.9</v>
      </c>
      <c r="R759">
        <v>74.540000000000006</v>
      </c>
      <c r="S759">
        <v>3.8</v>
      </c>
      <c r="T759">
        <v>36</v>
      </c>
      <c r="U759">
        <v>1792703.13002</v>
      </c>
      <c r="V759">
        <v>9821.7245029999995</v>
      </c>
      <c r="W759">
        <v>758</v>
      </c>
      <c r="X759">
        <v>1</v>
      </c>
      <c r="Y759">
        <v>757</v>
      </c>
      <c r="Z759">
        <v>67831</v>
      </c>
      <c r="AA759" s="76">
        <v>45879</v>
      </c>
      <c r="AB759">
        <v>2025</v>
      </c>
      <c r="AC759" t="s">
        <v>7379</v>
      </c>
      <c r="AD759">
        <v>10</v>
      </c>
      <c r="AE759" t="s">
        <v>7386</v>
      </c>
      <c r="AF759" t="s">
        <v>3212</v>
      </c>
      <c r="AG759" t="s">
        <v>3224</v>
      </c>
      <c r="AH759" t="s">
        <v>7387</v>
      </c>
      <c r="AI759" t="s">
        <v>7388</v>
      </c>
      <c r="AJ759" t="s">
        <v>6966</v>
      </c>
      <c r="AK759">
        <v>33.943300000000001</v>
      </c>
      <c r="AL759">
        <v>35.59028</v>
      </c>
      <c r="AM759" t="s">
        <v>6995</v>
      </c>
      <c r="AN759" t="s">
        <v>6966</v>
      </c>
      <c r="AO759" t="s">
        <v>6996</v>
      </c>
      <c r="AP759" t="s">
        <v>7389</v>
      </c>
      <c r="AQ759" t="s">
        <v>6998</v>
      </c>
      <c r="AR759" t="s">
        <v>6999</v>
      </c>
      <c r="AS759" t="s">
        <v>7000</v>
      </c>
      <c r="AT759">
        <v>0</v>
      </c>
      <c r="AU759">
        <v>0</v>
      </c>
      <c r="AV759" t="s">
        <v>7390</v>
      </c>
      <c r="AW759" t="s">
        <v>7391</v>
      </c>
      <c r="AX759" t="s">
        <v>6966</v>
      </c>
      <c r="AY759" t="s">
        <v>7003</v>
      </c>
      <c r="AZ759">
        <v>9.4678999999999999E-2</v>
      </c>
      <c r="BA759">
        <v>1.75E-4</v>
      </c>
    </row>
    <row r="760" spans="1:53" x14ac:dyDescent="0.25">
      <c r="A760">
        <v>758</v>
      </c>
      <c r="B760" t="s">
        <v>7625</v>
      </c>
      <c r="C760">
        <v>506057</v>
      </c>
      <c r="D760" t="s">
        <v>181</v>
      </c>
      <c r="E760" t="s">
        <v>7823</v>
      </c>
      <c r="F760">
        <v>2320686</v>
      </c>
      <c r="G760">
        <v>7767.6743159999996</v>
      </c>
      <c r="H760">
        <v>725</v>
      </c>
      <c r="I760">
        <v>928</v>
      </c>
      <c r="J760">
        <v>22781</v>
      </c>
      <c r="K760" t="s">
        <v>1707</v>
      </c>
      <c r="L760">
        <v>3</v>
      </c>
      <c r="M760">
        <v>3</v>
      </c>
      <c r="N760">
        <v>22781</v>
      </c>
      <c r="O760">
        <v>710</v>
      </c>
      <c r="P760" t="s">
        <v>3212</v>
      </c>
      <c r="Q760">
        <v>2.1</v>
      </c>
      <c r="R760">
        <v>16.5</v>
      </c>
      <c r="S760">
        <v>0.5</v>
      </c>
      <c r="T760">
        <v>4</v>
      </c>
      <c r="U760">
        <v>2320686.0480399998</v>
      </c>
      <c r="V760">
        <v>7767.6738429999996</v>
      </c>
      <c r="W760">
        <v>759</v>
      </c>
      <c r="X760">
        <v>0</v>
      </c>
      <c r="Y760">
        <v>758</v>
      </c>
      <c r="Z760" t="s">
        <v>6966</v>
      </c>
      <c r="AA760" t="s">
        <v>6966</v>
      </c>
      <c r="AB760" t="s">
        <v>6966</v>
      </c>
      <c r="AC760" t="s">
        <v>6966</v>
      </c>
      <c r="AD760" t="s">
        <v>6966</v>
      </c>
      <c r="AE760" t="s">
        <v>6966</v>
      </c>
      <c r="AF760" t="s">
        <v>6966</v>
      </c>
      <c r="AG760" t="s">
        <v>6966</v>
      </c>
      <c r="AH760" t="s">
        <v>6966</v>
      </c>
      <c r="AI760" t="s">
        <v>6966</v>
      </c>
      <c r="AJ760" t="s">
        <v>6966</v>
      </c>
      <c r="AK760" t="s">
        <v>6966</v>
      </c>
      <c r="AL760" t="s">
        <v>6966</v>
      </c>
      <c r="AM760" t="s">
        <v>6966</v>
      </c>
      <c r="AN760" t="s">
        <v>6966</v>
      </c>
      <c r="AO760" t="s">
        <v>6966</v>
      </c>
      <c r="AP760" t="s">
        <v>6966</v>
      </c>
      <c r="AQ760" t="s">
        <v>6966</v>
      </c>
      <c r="AR760" t="s">
        <v>6966</v>
      </c>
      <c r="AS760" t="s">
        <v>6966</v>
      </c>
      <c r="AT760" t="s">
        <v>6966</v>
      </c>
      <c r="AU760" t="s">
        <v>6966</v>
      </c>
      <c r="AV760" t="s">
        <v>6966</v>
      </c>
      <c r="AW760" t="s">
        <v>6966</v>
      </c>
      <c r="AX760" t="s">
        <v>6966</v>
      </c>
      <c r="AY760" t="s">
        <v>6966</v>
      </c>
      <c r="AZ760">
        <v>7.7910999999999994E-2</v>
      </c>
      <c r="BA760">
        <v>2.2599999999999999E-4</v>
      </c>
    </row>
    <row r="761" spans="1:53" x14ac:dyDescent="0.25">
      <c r="A761">
        <v>759</v>
      </c>
      <c r="B761" t="s">
        <v>7625</v>
      </c>
      <c r="C761">
        <v>201053</v>
      </c>
      <c r="D761" t="s">
        <v>1127</v>
      </c>
      <c r="E761" t="s">
        <v>1069</v>
      </c>
      <c r="F761">
        <v>5115742.5</v>
      </c>
      <c r="G761">
        <v>10805.126953000001</v>
      </c>
      <c r="H761">
        <v>726</v>
      </c>
      <c r="I761">
        <v>929</v>
      </c>
      <c r="J761">
        <v>53427</v>
      </c>
      <c r="K761" t="s">
        <v>2463</v>
      </c>
      <c r="L761">
        <v>17</v>
      </c>
      <c r="M761">
        <v>17</v>
      </c>
      <c r="N761">
        <v>53427</v>
      </c>
      <c r="O761">
        <v>711</v>
      </c>
      <c r="P761" t="s">
        <v>3214</v>
      </c>
      <c r="Q761">
        <v>1</v>
      </c>
      <c r="R761">
        <v>79.52</v>
      </c>
      <c r="S761">
        <v>0.25</v>
      </c>
      <c r="T761">
        <v>19</v>
      </c>
      <c r="U761">
        <v>5115742.6863099998</v>
      </c>
      <c r="V761">
        <v>10805.127187</v>
      </c>
      <c r="W761">
        <v>760</v>
      </c>
      <c r="X761">
        <v>1</v>
      </c>
      <c r="Y761">
        <v>759</v>
      </c>
      <c r="Z761">
        <v>65087</v>
      </c>
      <c r="AA761" s="76">
        <v>45841</v>
      </c>
      <c r="AB761">
        <v>2025</v>
      </c>
      <c r="AC761" t="s">
        <v>7313</v>
      </c>
      <c r="AD761">
        <v>3</v>
      </c>
      <c r="AE761" t="s">
        <v>7325</v>
      </c>
      <c r="AF761" t="s">
        <v>3216</v>
      </c>
      <c r="AG761" t="s">
        <v>1069</v>
      </c>
      <c r="AH761" t="s">
        <v>1127</v>
      </c>
      <c r="AI761" t="s">
        <v>1127</v>
      </c>
      <c r="AJ761" t="s">
        <v>6966</v>
      </c>
      <c r="AK761">
        <v>33.945340000000002</v>
      </c>
      <c r="AL761">
        <v>36.033610000000003</v>
      </c>
      <c r="AM761" t="s">
        <v>6995</v>
      </c>
      <c r="AN761" t="s">
        <v>6995</v>
      </c>
      <c r="AO761" t="s">
        <v>7086</v>
      </c>
      <c r="AP761" t="s">
        <v>7326</v>
      </c>
      <c r="AQ761" t="s">
        <v>6998</v>
      </c>
      <c r="AR761" t="s">
        <v>7048</v>
      </c>
      <c r="AS761" t="s">
        <v>7000</v>
      </c>
      <c r="AT761">
        <v>2</v>
      </c>
      <c r="AU761">
        <v>0</v>
      </c>
      <c r="AV761" t="s">
        <v>7327</v>
      </c>
      <c r="AW761" t="s">
        <v>7119</v>
      </c>
      <c r="AX761" t="s">
        <v>6966</v>
      </c>
      <c r="AY761" t="s">
        <v>7044</v>
      </c>
      <c r="AZ761">
        <v>0.107401</v>
      </c>
      <c r="BA761">
        <v>4.9899999999999999E-4</v>
      </c>
    </row>
    <row r="762" spans="1:53" x14ac:dyDescent="0.25">
      <c r="A762">
        <v>760</v>
      </c>
      <c r="B762" t="s">
        <v>7625</v>
      </c>
      <c r="C762">
        <v>506093</v>
      </c>
      <c r="D762" t="s">
        <v>140</v>
      </c>
      <c r="E762" t="s">
        <v>7823</v>
      </c>
      <c r="F762">
        <v>700182.125</v>
      </c>
      <c r="G762">
        <v>4578.5615230000003</v>
      </c>
      <c r="H762">
        <v>727</v>
      </c>
      <c r="I762">
        <v>930</v>
      </c>
      <c r="J762">
        <v>22567</v>
      </c>
      <c r="K762" t="s">
        <v>7833</v>
      </c>
      <c r="L762">
        <v>3</v>
      </c>
      <c r="M762">
        <v>3</v>
      </c>
      <c r="N762">
        <v>22567</v>
      </c>
      <c r="O762">
        <v>712</v>
      </c>
      <c r="P762" t="s">
        <v>3212</v>
      </c>
      <c r="Q762">
        <v>7.5</v>
      </c>
      <c r="R762">
        <v>47.31</v>
      </c>
      <c r="S762">
        <v>1.99</v>
      </c>
      <c r="T762">
        <v>13</v>
      </c>
      <c r="U762">
        <v>700182.10657399998</v>
      </c>
      <c r="V762">
        <v>4578.5613919999996</v>
      </c>
      <c r="W762">
        <v>761</v>
      </c>
      <c r="X762">
        <v>0</v>
      </c>
      <c r="Y762">
        <v>760</v>
      </c>
      <c r="Z762" t="s">
        <v>6966</v>
      </c>
      <c r="AA762" t="s">
        <v>6966</v>
      </c>
      <c r="AB762" t="s">
        <v>6966</v>
      </c>
      <c r="AC762" t="s">
        <v>6966</v>
      </c>
      <c r="AD762" t="s">
        <v>6966</v>
      </c>
      <c r="AE762" t="s">
        <v>6966</v>
      </c>
      <c r="AF762" t="s">
        <v>6966</v>
      </c>
      <c r="AG762" t="s">
        <v>6966</v>
      </c>
      <c r="AH762" t="s">
        <v>6966</v>
      </c>
      <c r="AI762" t="s">
        <v>6966</v>
      </c>
      <c r="AJ762" t="s">
        <v>6966</v>
      </c>
      <c r="AK762" t="s">
        <v>6966</v>
      </c>
      <c r="AL762" t="s">
        <v>6966</v>
      </c>
      <c r="AM762" t="s">
        <v>6966</v>
      </c>
      <c r="AN762" t="s">
        <v>6966</v>
      </c>
      <c r="AO762" t="s">
        <v>6966</v>
      </c>
      <c r="AP762" t="s">
        <v>6966</v>
      </c>
      <c r="AQ762" t="s">
        <v>6966</v>
      </c>
      <c r="AR762" t="s">
        <v>6966</v>
      </c>
      <c r="AS762" t="s">
        <v>6966</v>
      </c>
      <c r="AT762" t="s">
        <v>6966</v>
      </c>
      <c r="AU762" t="s">
        <v>6966</v>
      </c>
      <c r="AV762" t="s">
        <v>6966</v>
      </c>
      <c r="AW762" t="s">
        <v>6966</v>
      </c>
      <c r="AX762" t="s">
        <v>6966</v>
      </c>
      <c r="AY762" t="s">
        <v>6966</v>
      </c>
      <c r="AZ762">
        <v>4.6010000000000002E-2</v>
      </c>
      <c r="BA762">
        <v>6.7999999999999999E-5</v>
      </c>
    </row>
    <row r="763" spans="1:53" x14ac:dyDescent="0.25">
      <c r="A763">
        <v>761</v>
      </c>
      <c r="B763" t="s">
        <v>7625</v>
      </c>
      <c r="C763">
        <v>506052</v>
      </c>
      <c r="D763" t="s">
        <v>135</v>
      </c>
      <c r="E763" t="s">
        <v>7823</v>
      </c>
      <c r="F763">
        <v>1426985.25</v>
      </c>
      <c r="G763">
        <v>6743.1953130000002</v>
      </c>
      <c r="H763">
        <v>728</v>
      </c>
      <c r="I763">
        <v>931</v>
      </c>
      <c r="J763">
        <v>22547</v>
      </c>
      <c r="K763" t="s">
        <v>1667</v>
      </c>
      <c r="L763">
        <v>3</v>
      </c>
      <c r="M763">
        <v>3</v>
      </c>
      <c r="N763">
        <v>22547</v>
      </c>
      <c r="O763">
        <v>713</v>
      </c>
      <c r="P763" t="s">
        <v>3212</v>
      </c>
      <c r="Q763">
        <v>8.6999999999999993</v>
      </c>
      <c r="R763">
        <v>50.49</v>
      </c>
      <c r="S763">
        <v>2.41</v>
      </c>
      <c r="T763">
        <v>14</v>
      </c>
      <c r="U763">
        <v>1426985.24495</v>
      </c>
      <c r="V763">
        <v>6743.1961650000003</v>
      </c>
      <c r="W763">
        <v>762</v>
      </c>
      <c r="X763">
        <v>0</v>
      </c>
      <c r="Y763">
        <v>761</v>
      </c>
      <c r="Z763" t="s">
        <v>6966</v>
      </c>
      <c r="AA763" t="s">
        <v>6966</v>
      </c>
      <c r="AB763" t="s">
        <v>6966</v>
      </c>
      <c r="AC763" t="s">
        <v>6966</v>
      </c>
      <c r="AD763" t="s">
        <v>6966</v>
      </c>
      <c r="AE763" t="s">
        <v>6966</v>
      </c>
      <c r="AF763" t="s">
        <v>6966</v>
      </c>
      <c r="AG763" t="s">
        <v>6966</v>
      </c>
      <c r="AH763" t="s">
        <v>6966</v>
      </c>
      <c r="AI763" t="s">
        <v>6966</v>
      </c>
      <c r="AJ763" t="s">
        <v>6966</v>
      </c>
      <c r="AK763" t="s">
        <v>6966</v>
      </c>
      <c r="AL763" t="s">
        <v>6966</v>
      </c>
      <c r="AM763" t="s">
        <v>6966</v>
      </c>
      <c r="AN763" t="s">
        <v>6966</v>
      </c>
      <c r="AO763" t="s">
        <v>6966</v>
      </c>
      <c r="AP763" t="s">
        <v>6966</v>
      </c>
      <c r="AQ763" t="s">
        <v>6966</v>
      </c>
      <c r="AR763" t="s">
        <v>6966</v>
      </c>
      <c r="AS763" t="s">
        <v>6966</v>
      </c>
      <c r="AT763" t="s">
        <v>6966</v>
      </c>
      <c r="AU763" t="s">
        <v>6966</v>
      </c>
      <c r="AV763" t="s">
        <v>6966</v>
      </c>
      <c r="AW763" t="s">
        <v>6966</v>
      </c>
      <c r="AX763" t="s">
        <v>6966</v>
      </c>
      <c r="AY763" t="s">
        <v>6966</v>
      </c>
      <c r="AZ763">
        <v>6.7778000000000005E-2</v>
      </c>
      <c r="BA763">
        <v>1.3899999999999999E-4</v>
      </c>
    </row>
    <row r="764" spans="1:53" x14ac:dyDescent="0.25">
      <c r="A764">
        <v>762</v>
      </c>
      <c r="B764" t="s">
        <v>7625</v>
      </c>
      <c r="C764">
        <v>506042</v>
      </c>
      <c r="D764" t="s">
        <v>125</v>
      </c>
      <c r="E764" t="s">
        <v>7823</v>
      </c>
      <c r="F764">
        <v>421554.78125</v>
      </c>
      <c r="G764">
        <v>3441.9135740000002</v>
      </c>
      <c r="H764">
        <v>729</v>
      </c>
      <c r="I764">
        <v>932</v>
      </c>
      <c r="J764">
        <v>22487</v>
      </c>
      <c r="K764" t="s">
        <v>1658</v>
      </c>
      <c r="L764">
        <v>3</v>
      </c>
      <c r="M764">
        <v>3</v>
      </c>
      <c r="N764">
        <v>22487</v>
      </c>
      <c r="O764">
        <v>714</v>
      </c>
      <c r="P764" t="s">
        <v>3212</v>
      </c>
      <c r="Q764">
        <v>0</v>
      </c>
      <c r="R764">
        <v>0</v>
      </c>
      <c r="S764">
        <v>0</v>
      </c>
      <c r="T764">
        <v>0</v>
      </c>
      <c r="U764">
        <v>421554.78486000001</v>
      </c>
      <c r="V764">
        <v>3441.9130799999998</v>
      </c>
      <c r="W764">
        <v>763</v>
      </c>
      <c r="X764">
        <v>0</v>
      </c>
      <c r="Y764">
        <v>762</v>
      </c>
      <c r="Z764" t="s">
        <v>6966</v>
      </c>
      <c r="AA764" t="s">
        <v>6966</v>
      </c>
      <c r="AB764" t="s">
        <v>6966</v>
      </c>
      <c r="AC764" t="s">
        <v>6966</v>
      </c>
      <c r="AD764" t="s">
        <v>6966</v>
      </c>
      <c r="AE764" t="s">
        <v>6966</v>
      </c>
      <c r="AF764" t="s">
        <v>6966</v>
      </c>
      <c r="AG764" t="s">
        <v>6966</v>
      </c>
      <c r="AH764" t="s">
        <v>6966</v>
      </c>
      <c r="AI764" t="s">
        <v>6966</v>
      </c>
      <c r="AJ764" t="s">
        <v>6966</v>
      </c>
      <c r="AK764" t="s">
        <v>6966</v>
      </c>
      <c r="AL764" t="s">
        <v>6966</v>
      </c>
      <c r="AM764" t="s">
        <v>6966</v>
      </c>
      <c r="AN764" t="s">
        <v>6966</v>
      </c>
      <c r="AO764" t="s">
        <v>6966</v>
      </c>
      <c r="AP764" t="s">
        <v>6966</v>
      </c>
      <c r="AQ764" t="s">
        <v>6966</v>
      </c>
      <c r="AR764" t="s">
        <v>6966</v>
      </c>
      <c r="AS764" t="s">
        <v>6966</v>
      </c>
      <c r="AT764" t="s">
        <v>6966</v>
      </c>
      <c r="AU764" t="s">
        <v>6966</v>
      </c>
      <c r="AV764" t="s">
        <v>6966</v>
      </c>
      <c r="AW764" t="s">
        <v>6966</v>
      </c>
      <c r="AX764" t="s">
        <v>6966</v>
      </c>
      <c r="AY764" t="s">
        <v>6966</v>
      </c>
      <c r="AZ764">
        <v>3.5385E-2</v>
      </c>
      <c r="BA764">
        <v>4.1E-5</v>
      </c>
    </row>
    <row r="765" spans="1:53" x14ac:dyDescent="0.25">
      <c r="A765">
        <v>763</v>
      </c>
      <c r="B765" t="s">
        <v>7625</v>
      </c>
      <c r="C765">
        <v>506062</v>
      </c>
      <c r="D765" t="s">
        <v>183</v>
      </c>
      <c r="E765" t="s">
        <v>7823</v>
      </c>
      <c r="F765">
        <v>637983.4375</v>
      </c>
      <c r="G765">
        <v>4096.2353519999997</v>
      </c>
      <c r="H765">
        <v>730</v>
      </c>
      <c r="I765">
        <v>933</v>
      </c>
      <c r="J765">
        <v>22787</v>
      </c>
      <c r="K765" t="s">
        <v>1709</v>
      </c>
      <c r="L765">
        <v>3</v>
      </c>
      <c r="M765">
        <v>3</v>
      </c>
      <c r="N765">
        <v>22787</v>
      </c>
      <c r="O765">
        <v>715</v>
      </c>
      <c r="P765" t="s">
        <v>3212</v>
      </c>
      <c r="Q765">
        <v>1.2</v>
      </c>
      <c r="R765">
        <v>30.62</v>
      </c>
      <c r="S765">
        <v>0.49</v>
      </c>
      <c r="T765">
        <v>13</v>
      </c>
      <c r="U765">
        <v>637983.50291499996</v>
      </c>
      <c r="V765">
        <v>4096.2355109999999</v>
      </c>
      <c r="W765">
        <v>764</v>
      </c>
      <c r="X765">
        <v>0</v>
      </c>
      <c r="Y765">
        <v>763</v>
      </c>
      <c r="Z765" t="s">
        <v>6966</v>
      </c>
      <c r="AA765" t="s">
        <v>6966</v>
      </c>
      <c r="AB765" t="s">
        <v>6966</v>
      </c>
      <c r="AC765" t="s">
        <v>6966</v>
      </c>
      <c r="AD765" t="s">
        <v>6966</v>
      </c>
      <c r="AE765" t="s">
        <v>6966</v>
      </c>
      <c r="AF765" t="s">
        <v>6966</v>
      </c>
      <c r="AG765" t="s">
        <v>6966</v>
      </c>
      <c r="AH765" t="s">
        <v>6966</v>
      </c>
      <c r="AI765" t="s">
        <v>6966</v>
      </c>
      <c r="AJ765" t="s">
        <v>6966</v>
      </c>
      <c r="AK765" t="s">
        <v>6966</v>
      </c>
      <c r="AL765" t="s">
        <v>6966</v>
      </c>
      <c r="AM765" t="s">
        <v>6966</v>
      </c>
      <c r="AN765" t="s">
        <v>6966</v>
      </c>
      <c r="AO765" t="s">
        <v>6966</v>
      </c>
      <c r="AP765" t="s">
        <v>6966</v>
      </c>
      <c r="AQ765" t="s">
        <v>6966</v>
      </c>
      <c r="AR765" t="s">
        <v>6966</v>
      </c>
      <c r="AS765" t="s">
        <v>6966</v>
      </c>
      <c r="AT765" t="s">
        <v>6966</v>
      </c>
      <c r="AU765" t="s">
        <v>6966</v>
      </c>
      <c r="AV765" t="s">
        <v>6966</v>
      </c>
      <c r="AW765" t="s">
        <v>6966</v>
      </c>
      <c r="AX765" t="s">
        <v>6966</v>
      </c>
      <c r="AY765" t="s">
        <v>6966</v>
      </c>
      <c r="AZ765">
        <v>4.1106999999999998E-2</v>
      </c>
      <c r="BA765">
        <v>6.2000000000000003E-5</v>
      </c>
    </row>
    <row r="766" spans="1:53" x14ac:dyDescent="0.25">
      <c r="A766">
        <v>764</v>
      </c>
      <c r="B766" t="s">
        <v>7625</v>
      </c>
      <c r="C766">
        <v>506043</v>
      </c>
      <c r="D766" t="s">
        <v>123</v>
      </c>
      <c r="E766" t="s">
        <v>7823</v>
      </c>
      <c r="F766">
        <v>835801.0625</v>
      </c>
      <c r="G766">
        <v>4743.3793949999999</v>
      </c>
      <c r="H766">
        <v>731</v>
      </c>
      <c r="I766">
        <v>934</v>
      </c>
      <c r="J766">
        <v>22479</v>
      </c>
      <c r="K766" t="s">
        <v>1656</v>
      </c>
      <c r="L766">
        <v>3</v>
      </c>
      <c r="M766">
        <v>3</v>
      </c>
      <c r="N766">
        <v>22479</v>
      </c>
      <c r="O766">
        <v>716</v>
      </c>
      <c r="P766" t="s">
        <v>3212</v>
      </c>
      <c r="Q766">
        <v>12.5</v>
      </c>
      <c r="R766">
        <v>79.8</v>
      </c>
      <c r="S766">
        <v>3.59</v>
      </c>
      <c r="T766">
        <v>30</v>
      </c>
      <c r="U766">
        <v>835800.994313</v>
      </c>
      <c r="V766">
        <v>4743.379492</v>
      </c>
      <c r="W766">
        <v>765</v>
      </c>
      <c r="X766">
        <v>0</v>
      </c>
      <c r="Y766">
        <v>764</v>
      </c>
      <c r="Z766" t="s">
        <v>6966</v>
      </c>
      <c r="AA766" t="s">
        <v>6966</v>
      </c>
      <c r="AB766" t="s">
        <v>6966</v>
      </c>
      <c r="AC766" t="s">
        <v>6966</v>
      </c>
      <c r="AD766" t="s">
        <v>6966</v>
      </c>
      <c r="AE766" t="s">
        <v>6966</v>
      </c>
      <c r="AF766" t="s">
        <v>6966</v>
      </c>
      <c r="AG766" t="s">
        <v>6966</v>
      </c>
      <c r="AH766" t="s">
        <v>6966</v>
      </c>
      <c r="AI766" t="s">
        <v>6966</v>
      </c>
      <c r="AJ766" t="s">
        <v>6966</v>
      </c>
      <c r="AK766" t="s">
        <v>6966</v>
      </c>
      <c r="AL766" t="s">
        <v>6966</v>
      </c>
      <c r="AM766" t="s">
        <v>6966</v>
      </c>
      <c r="AN766" t="s">
        <v>6966</v>
      </c>
      <c r="AO766" t="s">
        <v>6966</v>
      </c>
      <c r="AP766" t="s">
        <v>6966</v>
      </c>
      <c r="AQ766" t="s">
        <v>6966</v>
      </c>
      <c r="AR766" t="s">
        <v>6966</v>
      </c>
      <c r="AS766" t="s">
        <v>6966</v>
      </c>
      <c r="AT766" t="s">
        <v>6966</v>
      </c>
      <c r="AU766" t="s">
        <v>6966</v>
      </c>
      <c r="AV766" t="s">
        <v>6966</v>
      </c>
      <c r="AW766" t="s">
        <v>6966</v>
      </c>
      <c r="AX766" t="s">
        <v>6966</v>
      </c>
      <c r="AY766" t="s">
        <v>6966</v>
      </c>
      <c r="AZ766">
        <v>4.7312E-2</v>
      </c>
      <c r="BA766">
        <v>8.1000000000000004E-5</v>
      </c>
    </row>
    <row r="767" spans="1:53" x14ac:dyDescent="0.25">
      <c r="A767">
        <v>765</v>
      </c>
      <c r="B767" t="s">
        <v>7625</v>
      </c>
      <c r="C767">
        <v>506070</v>
      </c>
      <c r="D767" t="s">
        <v>7834</v>
      </c>
      <c r="E767" t="s">
        <v>7823</v>
      </c>
      <c r="F767">
        <v>731510.875</v>
      </c>
      <c r="G767">
        <v>4216.8955079999996</v>
      </c>
      <c r="H767">
        <v>732</v>
      </c>
      <c r="I767">
        <v>935</v>
      </c>
      <c r="J767">
        <v>22539</v>
      </c>
      <c r="K767" t="s">
        <v>7835</v>
      </c>
      <c r="L767">
        <v>3</v>
      </c>
      <c r="M767">
        <v>3</v>
      </c>
      <c r="N767">
        <v>22539</v>
      </c>
      <c r="O767">
        <v>717</v>
      </c>
      <c r="P767" t="s">
        <v>3212</v>
      </c>
      <c r="Q767">
        <v>8.1</v>
      </c>
      <c r="R767">
        <v>25.42</v>
      </c>
      <c r="S767">
        <v>2.2599999999999998</v>
      </c>
      <c r="T767">
        <v>7</v>
      </c>
      <c r="U767">
        <v>731510.90807799995</v>
      </c>
      <c r="V767">
        <v>4216.8957950000004</v>
      </c>
      <c r="W767">
        <v>766</v>
      </c>
      <c r="X767">
        <v>0</v>
      </c>
      <c r="Y767">
        <v>765</v>
      </c>
      <c r="Z767" t="s">
        <v>6966</v>
      </c>
      <c r="AA767" t="s">
        <v>6966</v>
      </c>
      <c r="AB767" t="s">
        <v>6966</v>
      </c>
      <c r="AC767" t="s">
        <v>6966</v>
      </c>
      <c r="AD767" t="s">
        <v>6966</v>
      </c>
      <c r="AE767" t="s">
        <v>6966</v>
      </c>
      <c r="AF767" t="s">
        <v>6966</v>
      </c>
      <c r="AG767" t="s">
        <v>6966</v>
      </c>
      <c r="AH767" t="s">
        <v>6966</v>
      </c>
      <c r="AI767" t="s">
        <v>6966</v>
      </c>
      <c r="AJ767" t="s">
        <v>6966</v>
      </c>
      <c r="AK767" t="s">
        <v>6966</v>
      </c>
      <c r="AL767" t="s">
        <v>6966</v>
      </c>
      <c r="AM767" t="s">
        <v>6966</v>
      </c>
      <c r="AN767" t="s">
        <v>6966</v>
      </c>
      <c r="AO767" t="s">
        <v>6966</v>
      </c>
      <c r="AP767" t="s">
        <v>6966</v>
      </c>
      <c r="AQ767" t="s">
        <v>6966</v>
      </c>
      <c r="AR767" t="s">
        <v>6966</v>
      </c>
      <c r="AS767" t="s">
        <v>6966</v>
      </c>
      <c r="AT767" t="s">
        <v>6966</v>
      </c>
      <c r="AU767" t="s">
        <v>6966</v>
      </c>
      <c r="AV767" t="s">
        <v>6966</v>
      </c>
      <c r="AW767" t="s">
        <v>6966</v>
      </c>
      <c r="AX767" t="s">
        <v>6966</v>
      </c>
      <c r="AY767" t="s">
        <v>6966</v>
      </c>
      <c r="AZ767">
        <v>4.1746999999999999E-2</v>
      </c>
      <c r="BA767">
        <v>7.1000000000000005E-5</v>
      </c>
    </row>
    <row r="768" spans="1:53" x14ac:dyDescent="0.25">
      <c r="A768">
        <v>766</v>
      </c>
      <c r="B768" t="s">
        <v>7625</v>
      </c>
      <c r="C768">
        <v>201044</v>
      </c>
      <c r="D768" t="s">
        <v>1130</v>
      </c>
      <c r="E768" t="s">
        <v>1069</v>
      </c>
      <c r="F768">
        <v>8848029</v>
      </c>
      <c r="G768">
        <v>19272.833984000001</v>
      </c>
      <c r="H768">
        <v>733</v>
      </c>
      <c r="I768">
        <v>936</v>
      </c>
      <c r="J768">
        <v>53433</v>
      </c>
      <c r="K768" t="s">
        <v>2466</v>
      </c>
      <c r="L768">
        <v>17</v>
      </c>
      <c r="M768">
        <v>17</v>
      </c>
      <c r="N768">
        <v>53433</v>
      </c>
      <c r="O768">
        <v>718</v>
      </c>
      <c r="P768" t="s">
        <v>3214</v>
      </c>
      <c r="Q768">
        <v>0.5</v>
      </c>
      <c r="R768">
        <v>248.22</v>
      </c>
      <c r="S768">
        <v>0.14000000000000001</v>
      </c>
      <c r="T768">
        <v>68</v>
      </c>
      <c r="U768">
        <v>8848028.5769800004</v>
      </c>
      <c r="V768">
        <v>19272.833784999999</v>
      </c>
      <c r="W768">
        <v>767</v>
      </c>
      <c r="X768">
        <v>0</v>
      </c>
      <c r="Y768">
        <v>766</v>
      </c>
      <c r="Z768" t="s">
        <v>6966</v>
      </c>
      <c r="AA768" t="s">
        <v>6966</v>
      </c>
      <c r="AB768" t="s">
        <v>6966</v>
      </c>
      <c r="AC768" t="s">
        <v>6966</v>
      </c>
      <c r="AD768" t="s">
        <v>6966</v>
      </c>
      <c r="AE768" t="s">
        <v>6966</v>
      </c>
      <c r="AF768" t="s">
        <v>6966</v>
      </c>
      <c r="AG768" t="s">
        <v>6966</v>
      </c>
      <c r="AH768" t="s">
        <v>6966</v>
      </c>
      <c r="AI768" t="s">
        <v>6966</v>
      </c>
      <c r="AJ768" t="s">
        <v>6966</v>
      </c>
      <c r="AK768" t="s">
        <v>6966</v>
      </c>
      <c r="AL768" t="s">
        <v>6966</v>
      </c>
      <c r="AM768" t="s">
        <v>6966</v>
      </c>
      <c r="AN768" t="s">
        <v>6966</v>
      </c>
      <c r="AO768" t="s">
        <v>6966</v>
      </c>
      <c r="AP768" t="s">
        <v>6966</v>
      </c>
      <c r="AQ768" t="s">
        <v>6966</v>
      </c>
      <c r="AR768" t="s">
        <v>6966</v>
      </c>
      <c r="AS768" t="s">
        <v>6966</v>
      </c>
      <c r="AT768" t="s">
        <v>6966</v>
      </c>
      <c r="AU768" t="s">
        <v>6966</v>
      </c>
      <c r="AV768" t="s">
        <v>6966</v>
      </c>
      <c r="AW768" t="s">
        <v>6966</v>
      </c>
      <c r="AX768" t="s">
        <v>6966</v>
      </c>
      <c r="AY768" t="s">
        <v>6966</v>
      </c>
      <c r="AZ768">
        <v>0.196608</v>
      </c>
      <c r="BA768">
        <v>8.6300000000000005E-4</v>
      </c>
    </row>
    <row r="769" spans="1:53" x14ac:dyDescent="0.25">
      <c r="A769">
        <v>767</v>
      </c>
      <c r="B769" t="s">
        <v>7625</v>
      </c>
      <c r="C769">
        <v>506091</v>
      </c>
      <c r="D769" t="s">
        <v>147</v>
      </c>
      <c r="E769" t="s">
        <v>7823</v>
      </c>
      <c r="F769">
        <v>2283523.25</v>
      </c>
      <c r="G769">
        <v>9457.75</v>
      </c>
      <c r="H769">
        <v>734</v>
      </c>
      <c r="I769">
        <v>937</v>
      </c>
      <c r="J769">
        <v>22595</v>
      </c>
      <c r="K769" t="s">
        <v>1677</v>
      </c>
      <c r="L769">
        <v>3</v>
      </c>
      <c r="M769">
        <v>3</v>
      </c>
      <c r="N769">
        <v>22595</v>
      </c>
      <c r="O769">
        <v>719</v>
      </c>
      <c r="P769" t="s">
        <v>3212</v>
      </c>
      <c r="Q769">
        <v>10</v>
      </c>
      <c r="R769">
        <v>57.53</v>
      </c>
      <c r="S769">
        <v>3.48</v>
      </c>
      <c r="T769">
        <v>21</v>
      </c>
      <c r="U769">
        <v>2283523.3258799999</v>
      </c>
      <c r="V769">
        <v>9457.750301</v>
      </c>
      <c r="W769">
        <v>768</v>
      </c>
      <c r="X769">
        <v>0</v>
      </c>
      <c r="Y769">
        <v>767</v>
      </c>
      <c r="Z769" t="s">
        <v>6966</v>
      </c>
      <c r="AA769" t="s">
        <v>6966</v>
      </c>
      <c r="AB769" t="s">
        <v>6966</v>
      </c>
      <c r="AC769" t="s">
        <v>6966</v>
      </c>
      <c r="AD769" t="s">
        <v>6966</v>
      </c>
      <c r="AE769" t="s">
        <v>6966</v>
      </c>
      <c r="AF769" t="s">
        <v>6966</v>
      </c>
      <c r="AG769" t="s">
        <v>6966</v>
      </c>
      <c r="AH769" t="s">
        <v>6966</v>
      </c>
      <c r="AI769" t="s">
        <v>6966</v>
      </c>
      <c r="AJ769" t="s">
        <v>6966</v>
      </c>
      <c r="AK769" t="s">
        <v>6966</v>
      </c>
      <c r="AL769" t="s">
        <v>6966</v>
      </c>
      <c r="AM769" t="s">
        <v>6966</v>
      </c>
      <c r="AN769" t="s">
        <v>6966</v>
      </c>
      <c r="AO769" t="s">
        <v>6966</v>
      </c>
      <c r="AP769" t="s">
        <v>6966</v>
      </c>
      <c r="AQ769" t="s">
        <v>6966</v>
      </c>
      <c r="AR769" t="s">
        <v>6966</v>
      </c>
      <c r="AS769" t="s">
        <v>6966</v>
      </c>
      <c r="AT769" t="s">
        <v>6966</v>
      </c>
      <c r="AU769" t="s">
        <v>6966</v>
      </c>
      <c r="AV769" t="s">
        <v>6966</v>
      </c>
      <c r="AW769" t="s">
        <v>6966</v>
      </c>
      <c r="AX769" t="s">
        <v>6966</v>
      </c>
      <c r="AY769" t="s">
        <v>6966</v>
      </c>
      <c r="AZ769">
        <v>9.5768000000000006E-2</v>
      </c>
      <c r="BA769">
        <v>2.23E-4</v>
      </c>
    </row>
    <row r="770" spans="1:53" x14ac:dyDescent="0.25">
      <c r="A770">
        <v>768</v>
      </c>
      <c r="B770" t="s">
        <v>7625</v>
      </c>
      <c r="C770">
        <v>506003</v>
      </c>
      <c r="D770" t="s">
        <v>180</v>
      </c>
      <c r="E770" t="s">
        <v>7823</v>
      </c>
      <c r="F770">
        <v>2182279</v>
      </c>
      <c r="G770">
        <v>7211.1552730000003</v>
      </c>
      <c r="H770">
        <v>735</v>
      </c>
      <c r="I770">
        <v>938</v>
      </c>
      <c r="J770">
        <v>22777</v>
      </c>
      <c r="K770" t="s">
        <v>7836</v>
      </c>
      <c r="L770">
        <v>3</v>
      </c>
      <c r="M770">
        <v>3</v>
      </c>
      <c r="N770">
        <v>22777</v>
      </c>
      <c r="O770">
        <v>720</v>
      </c>
      <c r="P770" t="s">
        <v>3212</v>
      </c>
      <c r="Q770">
        <v>1.3</v>
      </c>
      <c r="R770">
        <v>34.75</v>
      </c>
      <c r="S770">
        <v>0.33</v>
      </c>
      <c r="T770">
        <v>9</v>
      </c>
      <c r="U770">
        <v>2182279.0288999998</v>
      </c>
      <c r="V770">
        <v>7211.1549709999999</v>
      </c>
      <c r="W770">
        <v>769</v>
      </c>
      <c r="X770">
        <v>0</v>
      </c>
      <c r="Y770">
        <v>768</v>
      </c>
      <c r="Z770" t="s">
        <v>6966</v>
      </c>
      <c r="AA770" t="s">
        <v>6966</v>
      </c>
      <c r="AB770" t="s">
        <v>6966</v>
      </c>
      <c r="AC770" t="s">
        <v>6966</v>
      </c>
      <c r="AD770" t="s">
        <v>6966</v>
      </c>
      <c r="AE770" t="s">
        <v>6966</v>
      </c>
      <c r="AF770" t="s">
        <v>6966</v>
      </c>
      <c r="AG770" t="s">
        <v>6966</v>
      </c>
      <c r="AH770" t="s">
        <v>6966</v>
      </c>
      <c r="AI770" t="s">
        <v>6966</v>
      </c>
      <c r="AJ770" t="s">
        <v>6966</v>
      </c>
      <c r="AK770" t="s">
        <v>6966</v>
      </c>
      <c r="AL770" t="s">
        <v>6966</v>
      </c>
      <c r="AM770" t="s">
        <v>6966</v>
      </c>
      <c r="AN770" t="s">
        <v>6966</v>
      </c>
      <c r="AO770" t="s">
        <v>6966</v>
      </c>
      <c r="AP770" t="s">
        <v>6966</v>
      </c>
      <c r="AQ770" t="s">
        <v>6966</v>
      </c>
      <c r="AR770" t="s">
        <v>6966</v>
      </c>
      <c r="AS770" t="s">
        <v>6966</v>
      </c>
      <c r="AT770" t="s">
        <v>6966</v>
      </c>
      <c r="AU770" t="s">
        <v>6966</v>
      </c>
      <c r="AV770" t="s">
        <v>6966</v>
      </c>
      <c r="AW770" t="s">
        <v>6966</v>
      </c>
      <c r="AX770" t="s">
        <v>6966</v>
      </c>
      <c r="AY770" t="s">
        <v>6966</v>
      </c>
      <c r="AZ770">
        <v>7.2641999999999998E-2</v>
      </c>
      <c r="BA770">
        <v>2.13E-4</v>
      </c>
    </row>
    <row r="771" spans="1:53" x14ac:dyDescent="0.25">
      <c r="A771">
        <v>769</v>
      </c>
      <c r="B771" t="s">
        <v>7625</v>
      </c>
      <c r="C771">
        <v>506066</v>
      </c>
      <c r="D771" t="s">
        <v>130</v>
      </c>
      <c r="E771" t="s">
        <v>7823</v>
      </c>
      <c r="F771">
        <v>1367176.5</v>
      </c>
      <c r="G771">
        <v>5757.6909180000002</v>
      </c>
      <c r="H771">
        <v>736</v>
      </c>
      <c r="I771">
        <v>939</v>
      </c>
      <c r="J771">
        <v>22527</v>
      </c>
      <c r="K771" t="s">
        <v>1662</v>
      </c>
      <c r="L771">
        <v>3</v>
      </c>
      <c r="M771">
        <v>3</v>
      </c>
      <c r="N771">
        <v>22527</v>
      </c>
      <c r="O771">
        <v>721</v>
      </c>
      <c r="P771" t="s">
        <v>3212</v>
      </c>
      <c r="Q771">
        <v>4.7</v>
      </c>
      <c r="R771">
        <v>34.67</v>
      </c>
      <c r="S771">
        <v>1.47</v>
      </c>
      <c r="T771">
        <v>12</v>
      </c>
      <c r="U771">
        <v>1367176.5914</v>
      </c>
      <c r="V771">
        <v>5757.6908190000004</v>
      </c>
      <c r="W771">
        <v>770</v>
      </c>
      <c r="X771">
        <v>0</v>
      </c>
      <c r="Y771">
        <v>769</v>
      </c>
      <c r="Z771" t="s">
        <v>6966</v>
      </c>
      <c r="AA771" t="s">
        <v>6966</v>
      </c>
      <c r="AB771" t="s">
        <v>6966</v>
      </c>
      <c r="AC771" t="s">
        <v>6966</v>
      </c>
      <c r="AD771" t="s">
        <v>6966</v>
      </c>
      <c r="AE771" t="s">
        <v>6966</v>
      </c>
      <c r="AF771" t="s">
        <v>6966</v>
      </c>
      <c r="AG771" t="s">
        <v>6966</v>
      </c>
      <c r="AH771" t="s">
        <v>6966</v>
      </c>
      <c r="AI771" t="s">
        <v>6966</v>
      </c>
      <c r="AJ771" t="s">
        <v>6966</v>
      </c>
      <c r="AK771" t="s">
        <v>6966</v>
      </c>
      <c r="AL771" t="s">
        <v>6966</v>
      </c>
      <c r="AM771" t="s">
        <v>6966</v>
      </c>
      <c r="AN771" t="s">
        <v>6966</v>
      </c>
      <c r="AO771" t="s">
        <v>6966</v>
      </c>
      <c r="AP771" t="s">
        <v>6966</v>
      </c>
      <c r="AQ771" t="s">
        <v>6966</v>
      </c>
      <c r="AR771" t="s">
        <v>6966</v>
      </c>
      <c r="AS771" t="s">
        <v>6966</v>
      </c>
      <c r="AT771" t="s">
        <v>6966</v>
      </c>
      <c r="AU771" t="s">
        <v>6966</v>
      </c>
      <c r="AV771" t="s">
        <v>6966</v>
      </c>
      <c r="AW771" t="s">
        <v>6966</v>
      </c>
      <c r="AX771" t="s">
        <v>6966</v>
      </c>
      <c r="AY771" t="s">
        <v>6966</v>
      </c>
      <c r="AZ771">
        <v>5.6515000000000003E-2</v>
      </c>
      <c r="BA771">
        <v>1.3300000000000001E-4</v>
      </c>
    </row>
    <row r="772" spans="1:53" x14ac:dyDescent="0.25">
      <c r="A772">
        <v>770</v>
      </c>
      <c r="B772" t="s">
        <v>7625</v>
      </c>
      <c r="C772">
        <v>506096</v>
      </c>
      <c r="D772" t="s">
        <v>124</v>
      </c>
      <c r="E772" t="s">
        <v>7823</v>
      </c>
      <c r="F772">
        <v>996706.4375</v>
      </c>
      <c r="G772">
        <v>4642.2578130000002</v>
      </c>
      <c r="H772">
        <v>737</v>
      </c>
      <c r="I772">
        <v>940</v>
      </c>
      <c r="J772">
        <v>22483</v>
      </c>
      <c r="K772" t="s">
        <v>1657</v>
      </c>
      <c r="L772">
        <v>3</v>
      </c>
      <c r="M772">
        <v>3</v>
      </c>
      <c r="N772">
        <v>22483</v>
      </c>
      <c r="O772">
        <v>722</v>
      </c>
      <c r="P772" t="s">
        <v>3212</v>
      </c>
      <c r="Q772">
        <v>6.7</v>
      </c>
      <c r="R772">
        <v>35.229999999999997</v>
      </c>
      <c r="S772">
        <v>2.1800000000000002</v>
      </c>
      <c r="T772">
        <v>12</v>
      </c>
      <c r="U772">
        <v>996706.44148000004</v>
      </c>
      <c r="V772">
        <v>4642.2580040000003</v>
      </c>
      <c r="W772">
        <v>771</v>
      </c>
      <c r="X772">
        <v>0</v>
      </c>
      <c r="Y772">
        <v>770</v>
      </c>
      <c r="Z772" t="s">
        <v>6966</v>
      </c>
      <c r="AA772" t="s">
        <v>6966</v>
      </c>
      <c r="AB772" t="s">
        <v>6966</v>
      </c>
      <c r="AC772" t="s">
        <v>6966</v>
      </c>
      <c r="AD772" t="s">
        <v>6966</v>
      </c>
      <c r="AE772" t="s">
        <v>6966</v>
      </c>
      <c r="AF772" t="s">
        <v>6966</v>
      </c>
      <c r="AG772" t="s">
        <v>6966</v>
      </c>
      <c r="AH772" t="s">
        <v>6966</v>
      </c>
      <c r="AI772" t="s">
        <v>6966</v>
      </c>
      <c r="AJ772" t="s">
        <v>6966</v>
      </c>
      <c r="AK772" t="s">
        <v>6966</v>
      </c>
      <c r="AL772" t="s">
        <v>6966</v>
      </c>
      <c r="AM772" t="s">
        <v>6966</v>
      </c>
      <c r="AN772" t="s">
        <v>6966</v>
      </c>
      <c r="AO772" t="s">
        <v>6966</v>
      </c>
      <c r="AP772" t="s">
        <v>6966</v>
      </c>
      <c r="AQ772" t="s">
        <v>6966</v>
      </c>
      <c r="AR772" t="s">
        <v>6966</v>
      </c>
      <c r="AS772" t="s">
        <v>6966</v>
      </c>
      <c r="AT772" t="s">
        <v>6966</v>
      </c>
      <c r="AU772" t="s">
        <v>6966</v>
      </c>
      <c r="AV772" t="s">
        <v>6966</v>
      </c>
      <c r="AW772" t="s">
        <v>6966</v>
      </c>
      <c r="AX772" t="s">
        <v>6966</v>
      </c>
      <c r="AY772" t="s">
        <v>6966</v>
      </c>
      <c r="AZ772">
        <v>4.7291E-2</v>
      </c>
      <c r="BA772">
        <v>9.7E-5</v>
      </c>
    </row>
    <row r="773" spans="1:53" x14ac:dyDescent="0.25">
      <c r="A773">
        <v>771</v>
      </c>
      <c r="B773" t="s">
        <v>7625</v>
      </c>
      <c r="C773">
        <v>506014</v>
      </c>
      <c r="D773" t="s">
        <v>142</v>
      </c>
      <c r="E773" t="s">
        <v>7823</v>
      </c>
      <c r="F773">
        <v>1151558.5</v>
      </c>
      <c r="G773">
        <v>6050.0986329999996</v>
      </c>
      <c r="H773">
        <v>738</v>
      </c>
      <c r="I773">
        <v>941</v>
      </c>
      <c r="J773">
        <v>22575</v>
      </c>
      <c r="K773" t="s">
        <v>1674</v>
      </c>
      <c r="L773">
        <v>3</v>
      </c>
      <c r="M773">
        <v>3</v>
      </c>
      <c r="N773">
        <v>22575</v>
      </c>
      <c r="O773">
        <v>723</v>
      </c>
      <c r="P773" t="s">
        <v>3212</v>
      </c>
      <c r="Q773">
        <v>0.9</v>
      </c>
      <c r="R773">
        <v>0</v>
      </c>
      <c r="S773">
        <v>0.3</v>
      </c>
      <c r="T773">
        <v>0</v>
      </c>
      <c r="U773">
        <v>1151558.47909</v>
      </c>
      <c r="V773">
        <v>6050.099217</v>
      </c>
      <c r="W773">
        <v>772</v>
      </c>
      <c r="X773">
        <v>0</v>
      </c>
      <c r="Y773">
        <v>771</v>
      </c>
      <c r="Z773" t="s">
        <v>6966</v>
      </c>
      <c r="AA773" t="s">
        <v>6966</v>
      </c>
      <c r="AB773" t="s">
        <v>6966</v>
      </c>
      <c r="AC773" t="s">
        <v>6966</v>
      </c>
      <c r="AD773" t="s">
        <v>6966</v>
      </c>
      <c r="AE773" t="s">
        <v>6966</v>
      </c>
      <c r="AF773" t="s">
        <v>6966</v>
      </c>
      <c r="AG773" t="s">
        <v>6966</v>
      </c>
      <c r="AH773" t="s">
        <v>6966</v>
      </c>
      <c r="AI773" t="s">
        <v>6966</v>
      </c>
      <c r="AJ773" t="s">
        <v>6966</v>
      </c>
      <c r="AK773" t="s">
        <v>6966</v>
      </c>
      <c r="AL773" t="s">
        <v>6966</v>
      </c>
      <c r="AM773" t="s">
        <v>6966</v>
      </c>
      <c r="AN773" t="s">
        <v>6966</v>
      </c>
      <c r="AO773" t="s">
        <v>6966</v>
      </c>
      <c r="AP773" t="s">
        <v>6966</v>
      </c>
      <c r="AQ773" t="s">
        <v>6966</v>
      </c>
      <c r="AR773" t="s">
        <v>6966</v>
      </c>
      <c r="AS773" t="s">
        <v>6966</v>
      </c>
      <c r="AT773" t="s">
        <v>6966</v>
      </c>
      <c r="AU773" t="s">
        <v>6966</v>
      </c>
      <c r="AV773" t="s">
        <v>6966</v>
      </c>
      <c r="AW773" t="s">
        <v>6966</v>
      </c>
      <c r="AX773" t="s">
        <v>6966</v>
      </c>
      <c r="AY773" t="s">
        <v>6966</v>
      </c>
      <c r="AZ773">
        <v>6.1808000000000002E-2</v>
      </c>
      <c r="BA773">
        <v>1.12E-4</v>
      </c>
    </row>
    <row r="774" spans="1:53" x14ac:dyDescent="0.25">
      <c r="A774">
        <v>772</v>
      </c>
      <c r="B774" t="s">
        <v>7625</v>
      </c>
      <c r="C774">
        <v>506050</v>
      </c>
      <c r="D774" t="s">
        <v>104</v>
      </c>
      <c r="E774" t="s">
        <v>7823</v>
      </c>
      <c r="F774">
        <v>874626.4375</v>
      </c>
      <c r="G774">
        <v>5421.4589839999999</v>
      </c>
      <c r="H774">
        <v>739</v>
      </c>
      <c r="I774">
        <v>942</v>
      </c>
      <c r="J774">
        <v>22383</v>
      </c>
      <c r="K774" t="s">
        <v>1639</v>
      </c>
      <c r="L774">
        <v>3</v>
      </c>
      <c r="M774">
        <v>3</v>
      </c>
      <c r="N774">
        <v>22383</v>
      </c>
      <c r="O774">
        <v>724</v>
      </c>
      <c r="P774" t="s">
        <v>3212</v>
      </c>
      <c r="Q774">
        <v>38.799999999999997</v>
      </c>
      <c r="R774">
        <v>129.81</v>
      </c>
      <c r="S774">
        <v>10.11</v>
      </c>
      <c r="T774">
        <v>34</v>
      </c>
      <c r="U774">
        <v>874626.45290399995</v>
      </c>
      <c r="V774">
        <v>5421.4589759999999</v>
      </c>
      <c r="W774">
        <v>773</v>
      </c>
      <c r="X774">
        <v>0</v>
      </c>
      <c r="Y774">
        <v>772</v>
      </c>
      <c r="Z774" t="s">
        <v>6966</v>
      </c>
      <c r="AA774" t="s">
        <v>6966</v>
      </c>
      <c r="AB774" t="s">
        <v>6966</v>
      </c>
      <c r="AC774" t="s">
        <v>6966</v>
      </c>
      <c r="AD774" t="s">
        <v>6966</v>
      </c>
      <c r="AE774" t="s">
        <v>6966</v>
      </c>
      <c r="AF774" t="s">
        <v>6966</v>
      </c>
      <c r="AG774" t="s">
        <v>6966</v>
      </c>
      <c r="AH774" t="s">
        <v>6966</v>
      </c>
      <c r="AI774" t="s">
        <v>6966</v>
      </c>
      <c r="AJ774" t="s">
        <v>6966</v>
      </c>
      <c r="AK774" t="s">
        <v>6966</v>
      </c>
      <c r="AL774" t="s">
        <v>6966</v>
      </c>
      <c r="AM774" t="s">
        <v>6966</v>
      </c>
      <c r="AN774" t="s">
        <v>6966</v>
      </c>
      <c r="AO774" t="s">
        <v>6966</v>
      </c>
      <c r="AP774" t="s">
        <v>6966</v>
      </c>
      <c r="AQ774" t="s">
        <v>6966</v>
      </c>
      <c r="AR774" t="s">
        <v>6966</v>
      </c>
      <c r="AS774" t="s">
        <v>6966</v>
      </c>
      <c r="AT774" t="s">
        <v>6966</v>
      </c>
      <c r="AU774" t="s">
        <v>6966</v>
      </c>
      <c r="AV774" t="s">
        <v>6966</v>
      </c>
      <c r="AW774" t="s">
        <v>6966</v>
      </c>
      <c r="AX774" t="s">
        <v>6966</v>
      </c>
      <c r="AY774" t="s">
        <v>6966</v>
      </c>
      <c r="AZ774">
        <v>5.5453000000000002E-2</v>
      </c>
      <c r="BA774">
        <v>8.5000000000000006E-5</v>
      </c>
    </row>
    <row r="775" spans="1:53" x14ac:dyDescent="0.25">
      <c r="A775">
        <v>773</v>
      </c>
      <c r="B775" t="s">
        <v>7625</v>
      </c>
      <c r="C775">
        <v>506020</v>
      </c>
      <c r="D775" t="s">
        <v>131</v>
      </c>
      <c r="E775" t="s">
        <v>7823</v>
      </c>
      <c r="F775">
        <v>3965042</v>
      </c>
      <c r="G775">
        <v>11766.258789</v>
      </c>
      <c r="H775">
        <v>740</v>
      </c>
      <c r="I775">
        <v>943</v>
      </c>
      <c r="J775">
        <v>22531</v>
      </c>
      <c r="K775" t="s">
        <v>1663</v>
      </c>
      <c r="L775">
        <v>3</v>
      </c>
      <c r="M775">
        <v>3</v>
      </c>
      <c r="N775">
        <v>22531</v>
      </c>
      <c r="O775">
        <v>725</v>
      </c>
      <c r="P775" t="s">
        <v>3212</v>
      </c>
      <c r="Q775">
        <v>12</v>
      </c>
      <c r="R775">
        <v>53.35</v>
      </c>
      <c r="S775">
        <v>3.03</v>
      </c>
      <c r="T775">
        <v>14</v>
      </c>
      <c r="U775">
        <v>3965041.9624299998</v>
      </c>
      <c r="V775">
        <v>11766.258035999999</v>
      </c>
      <c r="W775">
        <v>774</v>
      </c>
      <c r="X775">
        <v>0</v>
      </c>
      <c r="Y775">
        <v>773</v>
      </c>
      <c r="Z775" t="s">
        <v>6966</v>
      </c>
      <c r="AA775" t="s">
        <v>6966</v>
      </c>
      <c r="AB775" t="s">
        <v>6966</v>
      </c>
      <c r="AC775" t="s">
        <v>6966</v>
      </c>
      <c r="AD775" t="s">
        <v>6966</v>
      </c>
      <c r="AE775" t="s">
        <v>6966</v>
      </c>
      <c r="AF775" t="s">
        <v>6966</v>
      </c>
      <c r="AG775" t="s">
        <v>6966</v>
      </c>
      <c r="AH775" t="s">
        <v>6966</v>
      </c>
      <c r="AI775" t="s">
        <v>6966</v>
      </c>
      <c r="AJ775" t="s">
        <v>6966</v>
      </c>
      <c r="AK775" t="s">
        <v>6966</v>
      </c>
      <c r="AL775" t="s">
        <v>6966</v>
      </c>
      <c r="AM775" t="s">
        <v>6966</v>
      </c>
      <c r="AN775" t="s">
        <v>6966</v>
      </c>
      <c r="AO775" t="s">
        <v>6966</v>
      </c>
      <c r="AP775" t="s">
        <v>6966</v>
      </c>
      <c r="AQ775" t="s">
        <v>6966</v>
      </c>
      <c r="AR775" t="s">
        <v>6966</v>
      </c>
      <c r="AS775" t="s">
        <v>6966</v>
      </c>
      <c r="AT775" t="s">
        <v>6966</v>
      </c>
      <c r="AU775" t="s">
        <v>6966</v>
      </c>
      <c r="AV775" t="s">
        <v>6966</v>
      </c>
      <c r="AW775" t="s">
        <v>6966</v>
      </c>
      <c r="AX775" t="s">
        <v>6966</v>
      </c>
      <c r="AY775" t="s">
        <v>6966</v>
      </c>
      <c r="AZ775">
        <v>0.116591</v>
      </c>
      <c r="BA775">
        <v>3.86E-4</v>
      </c>
    </row>
    <row r="776" spans="1:53" x14ac:dyDescent="0.25">
      <c r="A776">
        <v>774</v>
      </c>
      <c r="B776" t="s">
        <v>7625</v>
      </c>
      <c r="C776">
        <v>506049</v>
      </c>
      <c r="D776" t="s">
        <v>7837</v>
      </c>
      <c r="E776" t="s">
        <v>7823</v>
      </c>
      <c r="F776">
        <v>813866</v>
      </c>
      <c r="G776">
        <v>4234.2070309999999</v>
      </c>
      <c r="H776">
        <v>741</v>
      </c>
      <c r="I776">
        <v>944</v>
      </c>
      <c r="J776">
        <v>22571</v>
      </c>
      <c r="K776" t="s">
        <v>7838</v>
      </c>
      <c r="L776">
        <v>3</v>
      </c>
      <c r="M776">
        <v>3</v>
      </c>
      <c r="N776">
        <v>22571</v>
      </c>
      <c r="O776">
        <v>726</v>
      </c>
      <c r="P776" t="s">
        <v>3212</v>
      </c>
      <c r="Q776">
        <v>8.1999999999999993</v>
      </c>
      <c r="R776">
        <v>38.299999999999997</v>
      </c>
      <c r="S776">
        <v>2.79</v>
      </c>
      <c r="T776">
        <v>13</v>
      </c>
      <c r="U776">
        <v>813865.97852600005</v>
      </c>
      <c r="V776">
        <v>4234.2074089999996</v>
      </c>
      <c r="W776">
        <v>775</v>
      </c>
      <c r="X776">
        <v>0</v>
      </c>
      <c r="Y776">
        <v>774</v>
      </c>
      <c r="Z776" t="s">
        <v>6966</v>
      </c>
      <c r="AA776" t="s">
        <v>6966</v>
      </c>
      <c r="AB776" t="s">
        <v>6966</v>
      </c>
      <c r="AC776" t="s">
        <v>6966</v>
      </c>
      <c r="AD776" t="s">
        <v>6966</v>
      </c>
      <c r="AE776" t="s">
        <v>6966</v>
      </c>
      <c r="AF776" t="s">
        <v>6966</v>
      </c>
      <c r="AG776" t="s">
        <v>6966</v>
      </c>
      <c r="AH776" t="s">
        <v>6966</v>
      </c>
      <c r="AI776" t="s">
        <v>6966</v>
      </c>
      <c r="AJ776" t="s">
        <v>6966</v>
      </c>
      <c r="AK776" t="s">
        <v>6966</v>
      </c>
      <c r="AL776" t="s">
        <v>6966</v>
      </c>
      <c r="AM776" t="s">
        <v>6966</v>
      </c>
      <c r="AN776" t="s">
        <v>6966</v>
      </c>
      <c r="AO776" t="s">
        <v>6966</v>
      </c>
      <c r="AP776" t="s">
        <v>6966</v>
      </c>
      <c r="AQ776" t="s">
        <v>6966</v>
      </c>
      <c r="AR776" t="s">
        <v>6966</v>
      </c>
      <c r="AS776" t="s">
        <v>6966</v>
      </c>
      <c r="AT776" t="s">
        <v>6966</v>
      </c>
      <c r="AU776" t="s">
        <v>6966</v>
      </c>
      <c r="AV776" t="s">
        <v>6966</v>
      </c>
      <c r="AW776" t="s">
        <v>6966</v>
      </c>
      <c r="AX776" t="s">
        <v>6966</v>
      </c>
      <c r="AY776" t="s">
        <v>6966</v>
      </c>
      <c r="AZ776">
        <v>4.2500000000000003E-2</v>
      </c>
      <c r="BA776">
        <v>7.8999999999999996E-5</v>
      </c>
    </row>
    <row r="777" spans="1:53" x14ac:dyDescent="0.25">
      <c r="A777">
        <v>775</v>
      </c>
      <c r="B777" t="s">
        <v>7625</v>
      </c>
      <c r="C777">
        <v>506037</v>
      </c>
      <c r="D777" t="s">
        <v>146</v>
      </c>
      <c r="E777" t="s">
        <v>7823</v>
      </c>
      <c r="F777">
        <v>839396.6875</v>
      </c>
      <c r="G777">
        <v>5740.4565430000002</v>
      </c>
      <c r="H777">
        <v>742</v>
      </c>
      <c r="I777">
        <v>945</v>
      </c>
      <c r="J777">
        <v>22591</v>
      </c>
      <c r="K777" t="s">
        <v>146</v>
      </c>
      <c r="L777">
        <v>3</v>
      </c>
      <c r="M777">
        <v>3</v>
      </c>
      <c r="N777">
        <v>22591</v>
      </c>
      <c r="O777">
        <v>727</v>
      </c>
      <c r="P777" t="s">
        <v>3212</v>
      </c>
      <c r="Q777">
        <v>5.3</v>
      </c>
      <c r="R777">
        <v>46.52</v>
      </c>
      <c r="S777">
        <v>1.54</v>
      </c>
      <c r="T777">
        <v>13</v>
      </c>
      <c r="U777">
        <v>839396.57526399998</v>
      </c>
      <c r="V777">
        <v>5740.4569030000002</v>
      </c>
      <c r="W777">
        <v>776</v>
      </c>
      <c r="X777">
        <v>0</v>
      </c>
      <c r="Y777">
        <v>775</v>
      </c>
      <c r="Z777" t="s">
        <v>6966</v>
      </c>
      <c r="AA777" t="s">
        <v>6966</v>
      </c>
      <c r="AB777" t="s">
        <v>6966</v>
      </c>
      <c r="AC777" t="s">
        <v>6966</v>
      </c>
      <c r="AD777" t="s">
        <v>6966</v>
      </c>
      <c r="AE777" t="s">
        <v>6966</v>
      </c>
      <c r="AF777" t="s">
        <v>6966</v>
      </c>
      <c r="AG777" t="s">
        <v>6966</v>
      </c>
      <c r="AH777" t="s">
        <v>6966</v>
      </c>
      <c r="AI777" t="s">
        <v>6966</v>
      </c>
      <c r="AJ777" t="s">
        <v>6966</v>
      </c>
      <c r="AK777" t="s">
        <v>6966</v>
      </c>
      <c r="AL777" t="s">
        <v>6966</v>
      </c>
      <c r="AM777" t="s">
        <v>6966</v>
      </c>
      <c r="AN777" t="s">
        <v>6966</v>
      </c>
      <c r="AO777" t="s">
        <v>6966</v>
      </c>
      <c r="AP777" t="s">
        <v>6966</v>
      </c>
      <c r="AQ777" t="s">
        <v>6966</v>
      </c>
      <c r="AR777" t="s">
        <v>6966</v>
      </c>
      <c r="AS777" t="s">
        <v>6966</v>
      </c>
      <c r="AT777" t="s">
        <v>6966</v>
      </c>
      <c r="AU777" t="s">
        <v>6966</v>
      </c>
      <c r="AV777" t="s">
        <v>6966</v>
      </c>
      <c r="AW777" t="s">
        <v>6966</v>
      </c>
      <c r="AX777" t="s">
        <v>6966</v>
      </c>
      <c r="AY777" t="s">
        <v>6966</v>
      </c>
      <c r="AZ777">
        <v>5.7132000000000002E-2</v>
      </c>
      <c r="BA777">
        <v>8.2000000000000001E-5</v>
      </c>
    </row>
    <row r="778" spans="1:53" x14ac:dyDescent="0.25">
      <c r="A778">
        <v>776</v>
      </c>
      <c r="B778" t="s">
        <v>7625</v>
      </c>
      <c r="C778">
        <v>506073</v>
      </c>
      <c r="D778" t="s">
        <v>122</v>
      </c>
      <c r="E778" t="s">
        <v>7823</v>
      </c>
      <c r="F778">
        <v>1731209.25</v>
      </c>
      <c r="G778">
        <v>7941.9252930000002</v>
      </c>
      <c r="H778">
        <v>743</v>
      </c>
      <c r="I778">
        <v>946</v>
      </c>
      <c r="J778">
        <v>22475</v>
      </c>
      <c r="K778" t="s">
        <v>1655</v>
      </c>
      <c r="L778">
        <v>3</v>
      </c>
      <c r="M778">
        <v>3</v>
      </c>
      <c r="N778">
        <v>22475</v>
      </c>
      <c r="O778">
        <v>728</v>
      </c>
      <c r="P778" t="s">
        <v>3212</v>
      </c>
      <c r="Q778">
        <v>30.6</v>
      </c>
      <c r="R778">
        <v>42.79</v>
      </c>
      <c r="S778">
        <v>9.57</v>
      </c>
      <c r="T778">
        <v>13</v>
      </c>
      <c r="U778">
        <v>1731209.25774</v>
      </c>
      <c r="V778">
        <v>7941.9267589999999</v>
      </c>
      <c r="W778">
        <v>777</v>
      </c>
      <c r="X778">
        <v>0</v>
      </c>
      <c r="Y778">
        <v>776</v>
      </c>
      <c r="Z778" t="s">
        <v>6966</v>
      </c>
      <c r="AA778" t="s">
        <v>6966</v>
      </c>
      <c r="AB778" t="s">
        <v>6966</v>
      </c>
      <c r="AC778" t="s">
        <v>6966</v>
      </c>
      <c r="AD778" t="s">
        <v>6966</v>
      </c>
      <c r="AE778" t="s">
        <v>6966</v>
      </c>
      <c r="AF778" t="s">
        <v>6966</v>
      </c>
      <c r="AG778" t="s">
        <v>6966</v>
      </c>
      <c r="AH778" t="s">
        <v>6966</v>
      </c>
      <c r="AI778" t="s">
        <v>6966</v>
      </c>
      <c r="AJ778" t="s">
        <v>6966</v>
      </c>
      <c r="AK778" t="s">
        <v>6966</v>
      </c>
      <c r="AL778" t="s">
        <v>6966</v>
      </c>
      <c r="AM778" t="s">
        <v>6966</v>
      </c>
      <c r="AN778" t="s">
        <v>6966</v>
      </c>
      <c r="AO778" t="s">
        <v>6966</v>
      </c>
      <c r="AP778" t="s">
        <v>6966</v>
      </c>
      <c r="AQ778" t="s">
        <v>6966</v>
      </c>
      <c r="AR778" t="s">
        <v>6966</v>
      </c>
      <c r="AS778" t="s">
        <v>6966</v>
      </c>
      <c r="AT778" t="s">
        <v>6966</v>
      </c>
      <c r="AU778" t="s">
        <v>6966</v>
      </c>
      <c r="AV778" t="s">
        <v>6966</v>
      </c>
      <c r="AW778" t="s">
        <v>6966</v>
      </c>
      <c r="AX778" t="s">
        <v>6966</v>
      </c>
      <c r="AY778" t="s">
        <v>6966</v>
      </c>
      <c r="AZ778">
        <v>7.9105999999999996E-2</v>
      </c>
      <c r="BA778">
        <v>1.6899999999999999E-4</v>
      </c>
    </row>
    <row r="779" spans="1:53" x14ac:dyDescent="0.25">
      <c r="A779">
        <v>777</v>
      </c>
      <c r="B779" t="s">
        <v>7625</v>
      </c>
      <c r="C779">
        <v>506072</v>
      </c>
      <c r="D779" t="s">
        <v>102</v>
      </c>
      <c r="E779" t="s">
        <v>7823</v>
      </c>
      <c r="F779">
        <v>824429.9375</v>
      </c>
      <c r="G779">
        <v>6718.1440430000002</v>
      </c>
      <c r="H779">
        <v>744</v>
      </c>
      <c r="I779">
        <v>947</v>
      </c>
      <c r="J779">
        <v>22367</v>
      </c>
      <c r="K779" t="s">
        <v>1638</v>
      </c>
      <c r="L779">
        <v>3</v>
      </c>
      <c r="M779">
        <v>3</v>
      </c>
      <c r="N779">
        <v>22367</v>
      </c>
      <c r="O779">
        <v>729</v>
      </c>
      <c r="P779" t="s">
        <v>3212</v>
      </c>
      <c r="Q779">
        <v>26.4</v>
      </c>
      <c r="R779">
        <v>54.4</v>
      </c>
      <c r="S779">
        <v>8.86</v>
      </c>
      <c r="T779">
        <v>20</v>
      </c>
      <c r="U779">
        <v>824429.95229399996</v>
      </c>
      <c r="V779">
        <v>6718.1441610000002</v>
      </c>
      <c r="W779">
        <v>778</v>
      </c>
      <c r="X779">
        <v>0</v>
      </c>
      <c r="Y779">
        <v>777</v>
      </c>
      <c r="Z779" t="s">
        <v>6966</v>
      </c>
      <c r="AA779" t="s">
        <v>6966</v>
      </c>
      <c r="AB779" t="s">
        <v>6966</v>
      </c>
      <c r="AC779" t="s">
        <v>6966</v>
      </c>
      <c r="AD779" t="s">
        <v>6966</v>
      </c>
      <c r="AE779" t="s">
        <v>6966</v>
      </c>
      <c r="AF779" t="s">
        <v>6966</v>
      </c>
      <c r="AG779" t="s">
        <v>6966</v>
      </c>
      <c r="AH779" t="s">
        <v>6966</v>
      </c>
      <c r="AI779" t="s">
        <v>6966</v>
      </c>
      <c r="AJ779" t="s">
        <v>6966</v>
      </c>
      <c r="AK779" t="s">
        <v>6966</v>
      </c>
      <c r="AL779" t="s">
        <v>6966</v>
      </c>
      <c r="AM779" t="s">
        <v>6966</v>
      </c>
      <c r="AN779" t="s">
        <v>6966</v>
      </c>
      <c r="AO779" t="s">
        <v>6966</v>
      </c>
      <c r="AP779" t="s">
        <v>6966</v>
      </c>
      <c r="AQ779" t="s">
        <v>6966</v>
      </c>
      <c r="AR779" t="s">
        <v>6966</v>
      </c>
      <c r="AS779" t="s">
        <v>6966</v>
      </c>
      <c r="AT779" t="s">
        <v>6966</v>
      </c>
      <c r="AU779" t="s">
        <v>6966</v>
      </c>
      <c r="AV779" t="s">
        <v>6966</v>
      </c>
      <c r="AW779" t="s">
        <v>6966</v>
      </c>
      <c r="AX779" t="s">
        <v>6966</v>
      </c>
      <c r="AY779" t="s">
        <v>6966</v>
      </c>
      <c r="AZ779">
        <v>6.8263000000000004E-2</v>
      </c>
      <c r="BA779">
        <v>8.0000000000000007E-5</v>
      </c>
    </row>
    <row r="780" spans="1:53" x14ac:dyDescent="0.25">
      <c r="A780">
        <v>778</v>
      </c>
      <c r="B780" t="s">
        <v>7625</v>
      </c>
      <c r="C780">
        <v>506055</v>
      </c>
      <c r="D780" t="s">
        <v>145</v>
      </c>
      <c r="E780" t="s">
        <v>7823</v>
      </c>
      <c r="F780">
        <v>792460.5</v>
      </c>
      <c r="G780">
        <v>7101.015625</v>
      </c>
      <c r="H780">
        <v>745</v>
      </c>
      <c r="I780">
        <v>948</v>
      </c>
      <c r="J780">
        <v>22587</v>
      </c>
      <c r="K780" t="s">
        <v>1676</v>
      </c>
      <c r="L780">
        <v>3</v>
      </c>
      <c r="M780">
        <v>3</v>
      </c>
      <c r="N780">
        <v>22587</v>
      </c>
      <c r="O780">
        <v>730</v>
      </c>
      <c r="P780" t="s">
        <v>3212</v>
      </c>
      <c r="Q780">
        <v>6.7</v>
      </c>
      <c r="R780">
        <v>40.72</v>
      </c>
      <c r="S780">
        <v>1.83</v>
      </c>
      <c r="T780">
        <v>11</v>
      </c>
      <c r="U780">
        <v>792460.47739699995</v>
      </c>
      <c r="V780">
        <v>7101.0165349999997</v>
      </c>
      <c r="W780">
        <v>779</v>
      </c>
      <c r="X780">
        <v>0</v>
      </c>
      <c r="Y780">
        <v>778</v>
      </c>
      <c r="Z780" t="s">
        <v>6966</v>
      </c>
      <c r="AA780" t="s">
        <v>6966</v>
      </c>
      <c r="AB780" t="s">
        <v>6966</v>
      </c>
      <c r="AC780" t="s">
        <v>6966</v>
      </c>
      <c r="AD780" t="s">
        <v>6966</v>
      </c>
      <c r="AE780" t="s">
        <v>6966</v>
      </c>
      <c r="AF780" t="s">
        <v>6966</v>
      </c>
      <c r="AG780" t="s">
        <v>6966</v>
      </c>
      <c r="AH780" t="s">
        <v>6966</v>
      </c>
      <c r="AI780" t="s">
        <v>6966</v>
      </c>
      <c r="AJ780" t="s">
        <v>6966</v>
      </c>
      <c r="AK780" t="s">
        <v>6966</v>
      </c>
      <c r="AL780" t="s">
        <v>6966</v>
      </c>
      <c r="AM780" t="s">
        <v>6966</v>
      </c>
      <c r="AN780" t="s">
        <v>6966</v>
      </c>
      <c r="AO780" t="s">
        <v>6966</v>
      </c>
      <c r="AP780" t="s">
        <v>6966</v>
      </c>
      <c r="AQ780" t="s">
        <v>6966</v>
      </c>
      <c r="AR780" t="s">
        <v>6966</v>
      </c>
      <c r="AS780" t="s">
        <v>6966</v>
      </c>
      <c r="AT780" t="s">
        <v>6966</v>
      </c>
      <c r="AU780" t="s">
        <v>6966</v>
      </c>
      <c r="AV780" t="s">
        <v>6966</v>
      </c>
      <c r="AW780" t="s">
        <v>6966</v>
      </c>
      <c r="AX780" t="s">
        <v>6966</v>
      </c>
      <c r="AY780" t="s">
        <v>6966</v>
      </c>
      <c r="AZ780">
        <v>6.9488999999999995E-2</v>
      </c>
      <c r="BA780">
        <v>7.7000000000000001E-5</v>
      </c>
    </row>
    <row r="781" spans="1:53" x14ac:dyDescent="0.25">
      <c r="A781">
        <v>779</v>
      </c>
      <c r="B781" t="s">
        <v>7625</v>
      </c>
      <c r="C781">
        <v>506002</v>
      </c>
      <c r="D781" t="s">
        <v>7839</v>
      </c>
      <c r="E781" t="s">
        <v>7823</v>
      </c>
      <c r="F781">
        <v>1268755</v>
      </c>
      <c r="G781">
        <v>5863.5400390000004</v>
      </c>
      <c r="H781">
        <v>746</v>
      </c>
      <c r="I781">
        <v>949</v>
      </c>
      <c r="J781">
        <v>22543</v>
      </c>
      <c r="K781" t="s">
        <v>7840</v>
      </c>
      <c r="L781">
        <v>3</v>
      </c>
      <c r="M781">
        <v>3</v>
      </c>
      <c r="N781">
        <v>22543</v>
      </c>
      <c r="O781">
        <v>731</v>
      </c>
      <c r="P781" t="s">
        <v>3212</v>
      </c>
      <c r="Q781">
        <v>7.8</v>
      </c>
      <c r="R781">
        <v>19.72</v>
      </c>
      <c r="S781">
        <v>2.2200000000000002</v>
      </c>
      <c r="T781">
        <v>6</v>
      </c>
      <c r="U781">
        <v>1268755.02522</v>
      </c>
      <c r="V781">
        <v>5863.5407539999997</v>
      </c>
      <c r="W781">
        <v>780</v>
      </c>
      <c r="X781">
        <v>0</v>
      </c>
      <c r="Y781">
        <v>779</v>
      </c>
      <c r="Z781" t="s">
        <v>6966</v>
      </c>
      <c r="AA781" t="s">
        <v>6966</v>
      </c>
      <c r="AB781" t="s">
        <v>6966</v>
      </c>
      <c r="AC781" t="s">
        <v>6966</v>
      </c>
      <c r="AD781" t="s">
        <v>6966</v>
      </c>
      <c r="AE781" t="s">
        <v>6966</v>
      </c>
      <c r="AF781" t="s">
        <v>6966</v>
      </c>
      <c r="AG781" t="s">
        <v>6966</v>
      </c>
      <c r="AH781" t="s">
        <v>6966</v>
      </c>
      <c r="AI781" t="s">
        <v>6966</v>
      </c>
      <c r="AJ781" t="s">
        <v>6966</v>
      </c>
      <c r="AK781" t="s">
        <v>6966</v>
      </c>
      <c r="AL781" t="s">
        <v>6966</v>
      </c>
      <c r="AM781" t="s">
        <v>6966</v>
      </c>
      <c r="AN781" t="s">
        <v>6966</v>
      </c>
      <c r="AO781" t="s">
        <v>6966</v>
      </c>
      <c r="AP781" t="s">
        <v>6966</v>
      </c>
      <c r="AQ781" t="s">
        <v>6966</v>
      </c>
      <c r="AR781" t="s">
        <v>6966</v>
      </c>
      <c r="AS781" t="s">
        <v>6966</v>
      </c>
      <c r="AT781" t="s">
        <v>6966</v>
      </c>
      <c r="AU781" t="s">
        <v>6966</v>
      </c>
      <c r="AV781" t="s">
        <v>6966</v>
      </c>
      <c r="AW781" t="s">
        <v>6966</v>
      </c>
      <c r="AX781" t="s">
        <v>6966</v>
      </c>
      <c r="AY781" t="s">
        <v>6966</v>
      </c>
      <c r="AZ781">
        <v>5.8109000000000001E-2</v>
      </c>
      <c r="BA781">
        <v>1.2400000000000001E-4</v>
      </c>
    </row>
    <row r="782" spans="1:53" x14ac:dyDescent="0.25">
      <c r="A782">
        <v>780</v>
      </c>
      <c r="B782" t="s">
        <v>7625</v>
      </c>
      <c r="C782">
        <v>506071</v>
      </c>
      <c r="D782" t="s">
        <v>105</v>
      </c>
      <c r="E782" t="s">
        <v>7823</v>
      </c>
      <c r="F782">
        <v>632471.5625</v>
      </c>
      <c r="G782">
        <v>3818.638672</v>
      </c>
      <c r="H782">
        <v>747</v>
      </c>
      <c r="I782">
        <v>950</v>
      </c>
      <c r="J782">
        <v>22391</v>
      </c>
      <c r="K782" t="s">
        <v>1640</v>
      </c>
      <c r="L782">
        <v>3</v>
      </c>
      <c r="M782">
        <v>3</v>
      </c>
      <c r="N782">
        <v>22391</v>
      </c>
      <c r="O782">
        <v>732</v>
      </c>
      <c r="P782" t="s">
        <v>3212</v>
      </c>
      <c r="Q782">
        <v>13.1</v>
      </c>
      <c r="R782">
        <v>42.65</v>
      </c>
      <c r="S782">
        <v>3.92</v>
      </c>
      <c r="T782">
        <v>13</v>
      </c>
      <c r="U782">
        <v>632471.53828400001</v>
      </c>
      <c r="V782">
        <v>3818.6388069999998</v>
      </c>
      <c r="W782">
        <v>781</v>
      </c>
      <c r="X782">
        <v>0</v>
      </c>
      <c r="Y782">
        <v>780</v>
      </c>
      <c r="Z782" t="s">
        <v>6966</v>
      </c>
      <c r="AA782" t="s">
        <v>6966</v>
      </c>
      <c r="AB782" t="s">
        <v>6966</v>
      </c>
      <c r="AC782" t="s">
        <v>6966</v>
      </c>
      <c r="AD782" t="s">
        <v>6966</v>
      </c>
      <c r="AE782" t="s">
        <v>6966</v>
      </c>
      <c r="AF782" t="s">
        <v>6966</v>
      </c>
      <c r="AG782" t="s">
        <v>6966</v>
      </c>
      <c r="AH782" t="s">
        <v>6966</v>
      </c>
      <c r="AI782" t="s">
        <v>6966</v>
      </c>
      <c r="AJ782" t="s">
        <v>6966</v>
      </c>
      <c r="AK782" t="s">
        <v>6966</v>
      </c>
      <c r="AL782" t="s">
        <v>6966</v>
      </c>
      <c r="AM782" t="s">
        <v>6966</v>
      </c>
      <c r="AN782" t="s">
        <v>6966</v>
      </c>
      <c r="AO782" t="s">
        <v>6966</v>
      </c>
      <c r="AP782" t="s">
        <v>6966</v>
      </c>
      <c r="AQ782" t="s">
        <v>6966</v>
      </c>
      <c r="AR782" t="s">
        <v>6966</v>
      </c>
      <c r="AS782" t="s">
        <v>6966</v>
      </c>
      <c r="AT782" t="s">
        <v>6966</v>
      </c>
      <c r="AU782" t="s">
        <v>6966</v>
      </c>
      <c r="AV782" t="s">
        <v>6966</v>
      </c>
      <c r="AW782" t="s">
        <v>6966</v>
      </c>
      <c r="AX782" t="s">
        <v>6966</v>
      </c>
      <c r="AY782" t="s">
        <v>6966</v>
      </c>
      <c r="AZ782">
        <v>3.8710000000000001E-2</v>
      </c>
      <c r="BA782">
        <v>6.2000000000000003E-5</v>
      </c>
    </row>
    <row r="783" spans="1:53" x14ac:dyDescent="0.25">
      <c r="A783">
        <v>781</v>
      </c>
      <c r="B783" t="s">
        <v>7625</v>
      </c>
      <c r="C783">
        <v>506046</v>
      </c>
      <c r="D783" t="s">
        <v>119</v>
      </c>
      <c r="E783" t="s">
        <v>7823</v>
      </c>
      <c r="F783">
        <v>726988.625</v>
      </c>
      <c r="G783">
        <v>4841.7094729999999</v>
      </c>
      <c r="H783">
        <v>748</v>
      </c>
      <c r="I783">
        <v>951</v>
      </c>
      <c r="J783">
        <v>22463</v>
      </c>
      <c r="K783" t="s">
        <v>119</v>
      </c>
      <c r="L783">
        <v>3</v>
      </c>
      <c r="M783">
        <v>3</v>
      </c>
      <c r="N783">
        <v>22463</v>
      </c>
      <c r="O783">
        <v>733</v>
      </c>
      <c r="P783" t="s">
        <v>3212</v>
      </c>
      <c r="Q783">
        <v>22.8</v>
      </c>
      <c r="R783">
        <v>29.22</v>
      </c>
      <c r="S783">
        <v>6.86</v>
      </c>
      <c r="T783">
        <v>11</v>
      </c>
      <c r="U783">
        <v>726988.62781400001</v>
      </c>
      <c r="V783">
        <v>4841.709656</v>
      </c>
      <c r="W783">
        <v>782</v>
      </c>
      <c r="X783">
        <v>0</v>
      </c>
      <c r="Y783">
        <v>781</v>
      </c>
      <c r="Z783" t="s">
        <v>6966</v>
      </c>
      <c r="AA783" t="s">
        <v>6966</v>
      </c>
      <c r="AB783" t="s">
        <v>6966</v>
      </c>
      <c r="AC783" t="s">
        <v>6966</v>
      </c>
      <c r="AD783" t="s">
        <v>6966</v>
      </c>
      <c r="AE783" t="s">
        <v>6966</v>
      </c>
      <c r="AF783" t="s">
        <v>6966</v>
      </c>
      <c r="AG783" t="s">
        <v>6966</v>
      </c>
      <c r="AH783" t="s">
        <v>6966</v>
      </c>
      <c r="AI783" t="s">
        <v>6966</v>
      </c>
      <c r="AJ783" t="s">
        <v>6966</v>
      </c>
      <c r="AK783" t="s">
        <v>6966</v>
      </c>
      <c r="AL783" t="s">
        <v>6966</v>
      </c>
      <c r="AM783" t="s">
        <v>6966</v>
      </c>
      <c r="AN783" t="s">
        <v>6966</v>
      </c>
      <c r="AO783" t="s">
        <v>6966</v>
      </c>
      <c r="AP783" t="s">
        <v>6966</v>
      </c>
      <c r="AQ783" t="s">
        <v>6966</v>
      </c>
      <c r="AR783" t="s">
        <v>6966</v>
      </c>
      <c r="AS783" t="s">
        <v>6966</v>
      </c>
      <c r="AT783" t="s">
        <v>6966</v>
      </c>
      <c r="AU783" t="s">
        <v>6966</v>
      </c>
      <c r="AV783" t="s">
        <v>6966</v>
      </c>
      <c r="AW783" t="s">
        <v>6966</v>
      </c>
      <c r="AX783" t="s">
        <v>6966</v>
      </c>
      <c r="AY783" t="s">
        <v>6966</v>
      </c>
      <c r="AZ783">
        <v>4.8201000000000001E-2</v>
      </c>
      <c r="BA783">
        <v>7.1000000000000005E-5</v>
      </c>
    </row>
    <row r="784" spans="1:53" x14ac:dyDescent="0.25">
      <c r="A784">
        <v>782</v>
      </c>
      <c r="B784" t="s">
        <v>7625</v>
      </c>
      <c r="C784">
        <v>201015</v>
      </c>
      <c r="D784" t="s">
        <v>1122</v>
      </c>
      <c r="E784" t="s">
        <v>1069</v>
      </c>
      <c r="F784">
        <v>5722422.5</v>
      </c>
      <c r="G784">
        <v>11980.764648</v>
      </c>
      <c r="H784">
        <v>749</v>
      </c>
      <c r="I784">
        <v>952</v>
      </c>
      <c r="J784">
        <v>53417</v>
      </c>
      <c r="K784" t="s">
        <v>2458</v>
      </c>
      <c r="L784">
        <v>17</v>
      </c>
      <c r="M784">
        <v>17</v>
      </c>
      <c r="N784">
        <v>53417</v>
      </c>
      <c r="O784">
        <v>734</v>
      </c>
      <c r="P784" t="s">
        <v>3214</v>
      </c>
      <c r="Q784">
        <v>3.6</v>
      </c>
      <c r="R784">
        <v>112.12</v>
      </c>
      <c r="S784">
        <v>0.93</v>
      </c>
      <c r="T784">
        <v>29</v>
      </c>
      <c r="U784">
        <v>5722422.4130899999</v>
      </c>
      <c r="V784">
        <v>11980.764272</v>
      </c>
      <c r="W784">
        <v>783</v>
      </c>
      <c r="X784">
        <v>0</v>
      </c>
      <c r="Y784">
        <v>782</v>
      </c>
      <c r="Z784" t="s">
        <v>6966</v>
      </c>
      <c r="AA784" t="s">
        <v>6966</v>
      </c>
      <c r="AB784" t="s">
        <v>6966</v>
      </c>
      <c r="AC784" t="s">
        <v>6966</v>
      </c>
      <c r="AD784" t="s">
        <v>6966</v>
      </c>
      <c r="AE784" t="s">
        <v>6966</v>
      </c>
      <c r="AF784" t="s">
        <v>6966</v>
      </c>
      <c r="AG784" t="s">
        <v>6966</v>
      </c>
      <c r="AH784" t="s">
        <v>6966</v>
      </c>
      <c r="AI784" t="s">
        <v>6966</v>
      </c>
      <c r="AJ784" t="s">
        <v>6966</v>
      </c>
      <c r="AK784" t="s">
        <v>6966</v>
      </c>
      <c r="AL784" t="s">
        <v>6966</v>
      </c>
      <c r="AM784" t="s">
        <v>6966</v>
      </c>
      <c r="AN784" t="s">
        <v>6966</v>
      </c>
      <c r="AO784" t="s">
        <v>6966</v>
      </c>
      <c r="AP784" t="s">
        <v>6966</v>
      </c>
      <c r="AQ784" t="s">
        <v>6966</v>
      </c>
      <c r="AR784" t="s">
        <v>6966</v>
      </c>
      <c r="AS784" t="s">
        <v>6966</v>
      </c>
      <c r="AT784" t="s">
        <v>6966</v>
      </c>
      <c r="AU784" t="s">
        <v>6966</v>
      </c>
      <c r="AV784" t="s">
        <v>6966</v>
      </c>
      <c r="AW784" t="s">
        <v>6966</v>
      </c>
      <c r="AX784" t="s">
        <v>6966</v>
      </c>
      <c r="AY784" t="s">
        <v>6966</v>
      </c>
      <c r="AZ784">
        <v>0.117753</v>
      </c>
      <c r="BA784">
        <v>5.5800000000000001E-4</v>
      </c>
    </row>
    <row r="785" spans="1:53" x14ac:dyDescent="0.25">
      <c r="A785">
        <v>783</v>
      </c>
      <c r="B785" t="s">
        <v>7625</v>
      </c>
      <c r="C785">
        <v>506006</v>
      </c>
      <c r="D785" t="s">
        <v>139</v>
      </c>
      <c r="E785" t="s">
        <v>7823</v>
      </c>
      <c r="F785">
        <v>254925.734375</v>
      </c>
      <c r="G785">
        <v>2799.35376</v>
      </c>
      <c r="H785">
        <v>750</v>
      </c>
      <c r="I785">
        <v>953</v>
      </c>
      <c r="J785">
        <v>22563</v>
      </c>
      <c r="K785" t="s">
        <v>7841</v>
      </c>
      <c r="L785">
        <v>3</v>
      </c>
      <c r="M785">
        <v>3</v>
      </c>
      <c r="N785">
        <v>22563</v>
      </c>
      <c r="O785">
        <v>735</v>
      </c>
      <c r="P785" t="s">
        <v>3212</v>
      </c>
      <c r="Q785">
        <v>15.3</v>
      </c>
      <c r="R785">
        <v>38.25</v>
      </c>
      <c r="S785">
        <v>4.87</v>
      </c>
      <c r="T785">
        <v>12</v>
      </c>
      <c r="U785">
        <v>254925.76879199999</v>
      </c>
      <c r="V785">
        <v>2799.353012</v>
      </c>
      <c r="W785">
        <v>784</v>
      </c>
      <c r="X785">
        <v>0</v>
      </c>
      <c r="Y785">
        <v>783</v>
      </c>
      <c r="Z785" t="s">
        <v>6966</v>
      </c>
      <c r="AA785" t="s">
        <v>6966</v>
      </c>
      <c r="AB785" t="s">
        <v>6966</v>
      </c>
      <c r="AC785" t="s">
        <v>6966</v>
      </c>
      <c r="AD785" t="s">
        <v>6966</v>
      </c>
      <c r="AE785" t="s">
        <v>6966</v>
      </c>
      <c r="AF785" t="s">
        <v>6966</v>
      </c>
      <c r="AG785" t="s">
        <v>6966</v>
      </c>
      <c r="AH785" t="s">
        <v>6966</v>
      </c>
      <c r="AI785" t="s">
        <v>6966</v>
      </c>
      <c r="AJ785" t="s">
        <v>6966</v>
      </c>
      <c r="AK785" t="s">
        <v>6966</v>
      </c>
      <c r="AL785" t="s">
        <v>6966</v>
      </c>
      <c r="AM785" t="s">
        <v>6966</v>
      </c>
      <c r="AN785" t="s">
        <v>6966</v>
      </c>
      <c r="AO785" t="s">
        <v>6966</v>
      </c>
      <c r="AP785" t="s">
        <v>6966</v>
      </c>
      <c r="AQ785" t="s">
        <v>6966</v>
      </c>
      <c r="AR785" t="s">
        <v>6966</v>
      </c>
      <c r="AS785" t="s">
        <v>6966</v>
      </c>
      <c r="AT785" t="s">
        <v>6966</v>
      </c>
      <c r="AU785" t="s">
        <v>6966</v>
      </c>
      <c r="AV785" t="s">
        <v>6966</v>
      </c>
      <c r="AW785" t="s">
        <v>6966</v>
      </c>
      <c r="AX785" t="s">
        <v>6966</v>
      </c>
      <c r="AY785" t="s">
        <v>6966</v>
      </c>
      <c r="AZ785">
        <v>2.7636000000000001E-2</v>
      </c>
      <c r="BA785">
        <v>2.5000000000000001E-5</v>
      </c>
    </row>
    <row r="786" spans="1:53" x14ac:dyDescent="0.25">
      <c r="A786">
        <v>784</v>
      </c>
      <c r="B786" t="s">
        <v>7625</v>
      </c>
      <c r="C786">
        <v>201042</v>
      </c>
      <c r="D786" t="s">
        <v>1129</v>
      </c>
      <c r="E786" t="s">
        <v>1069</v>
      </c>
      <c r="F786">
        <v>1764756.375</v>
      </c>
      <c r="G786">
        <v>6126.0927730000003</v>
      </c>
      <c r="H786">
        <v>751</v>
      </c>
      <c r="I786">
        <v>954</v>
      </c>
      <c r="J786">
        <v>53431</v>
      </c>
      <c r="K786" t="s">
        <v>2465</v>
      </c>
      <c r="L786">
        <v>17</v>
      </c>
      <c r="M786">
        <v>17</v>
      </c>
      <c r="N786">
        <v>53431</v>
      </c>
      <c r="O786">
        <v>736</v>
      </c>
      <c r="P786" t="s">
        <v>3214</v>
      </c>
      <c r="Q786">
        <v>5</v>
      </c>
      <c r="R786">
        <v>170.81</v>
      </c>
      <c r="S786">
        <v>0.88</v>
      </c>
      <c r="T786">
        <v>30</v>
      </c>
      <c r="U786">
        <v>1764756.31547</v>
      </c>
      <c r="V786">
        <v>6126.0927240000001</v>
      </c>
      <c r="W786">
        <v>785</v>
      </c>
      <c r="X786">
        <v>0</v>
      </c>
      <c r="Y786">
        <v>784</v>
      </c>
      <c r="Z786" t="s">
        <v>6966</v>
      </c>
      <c r="AA786" t="s">
        <v>6966</v>
      </c>
      <c r="AB786" t="s">
        <v>6966</v>
      </c>
      <c r="AC786" t="s">
        <v>6966</v>
      </c>
      <c r="AD786" t="s">
        <v>6966</v>
      </c>
      <c r="AE786" t="s">
        <v>6966</v>
      </c>
      <c r="AF786" t="s">
        <v>6966</v>
      </c>
      <c r="AG786" t="s">
        <v>6966</v>
      </c>
      <c r="AH786" t="s">
        <v>6966</v>
      </c>
      <c r="AI786" t="s">
        <v>6966</v>
      </c>
      <c r="AJ786" t="s">
        <v>6966</v>
      </c>
      <c r="AK786" t="s">
        <v>6966</v>
      </c>
      <c r="AL786" t="s">
        <v>6966</v>
      </c>
      <c r="AM786" t="s">
        <v>6966</v>
      </c>
      <c r="AN786" t="s">
        <v>6966</v>
      </c>
      <c r="AO786" t="s">
        <v>6966</v>
      </c>
      <c r="AP786" t="s">
        <v>6966</v>
      </c>
      <c r="AQ786" t="s">
        <v>6966</v>
      </c>
      <c r="AR786" t="s">
        <v>6966</v>
      </c>
      <c r="AS786" t="s">
        <v>6966</v>
      </c>
      <c r="AT786" t="s">
        <v>6966</v>
      </c>
      <c r="AU786" t="s">
        <v>6966</v>
      </c>
      <c r="AV786" t="s">
        <v>6966</v>
      </c>
      <c r="AW786" t="s">
        <v>6966</v>
      </c>
      <c r="AX786" t="s">
        <v>6966</v>
      </c>
      <c r="AY786" t="s">
        <v>6966</v>
      </c>
      <c r="AZ786">
        <v>6.1926000000000002E-2</v>
      </c>
      <c r="BA786">
        <v>1.7200000000000001E-4</v>
      </c>
    </row>
    <row r="787" spans="1:53" x14ac:dyDescent="0.25">
      <c r="A787">
        <v>785</v>
      </c>
      <c r="B787" t="s">
        <v>7625</v>
      </c>
      <c r="C787">
        <v>506032</v>
      </c>
      <c r="D787" t="s">
        <v>174</v>
      </c>
      <c r="E787" t="s">
        <v>7823</v>
      </c>
      <c r="F787">
        <v>4957384.5</v>
      </c>
      <c r="G787">
        <v>13524.523438</v>
      </c>
      <c r="H787">
        <v>752</v>
      </c>
      <c r="I787">
        <v>955</v>
      </c>
      <c r="J787">
        <v>22757</v>
      </c>
      <c r="K787" t="s">
        <v>174</v>
      </c>
      <c r="L787">
        <v>3</v>
      </c>
      <c r="M787">
        <v>3</v>
      </c>
      <c r="N787">
        <v>22757</v>
      </c>
      <c r="O787">
        <v>737</v>
      </c>
      <c r="P787" t="s">
        <v>3212</v>
      </c>
      <c r="Q787">
        <v>5.2</v>
      </c>
      <c r="R787">
        <v>77.849999999999994</v>
      </c>
      <c r="S787">
        <v>1.75</v>
      </c>
      <c r="T787">
        <v>26</v>
      </c>
      <c r="U787">
        <v>4957384.5232499996</v>
      </c>
      <c r="V787">
        <v>13524.523745</v>
      </c>
      <c r="W787">
        <v>786</v>
      </c>
      <c r="X787">
        <v>0</v>
      </c>
      <c r="Y787">
        <v>785</v>
      </c>
      <c r="Z787" t="s">
        <v>6966</v>
      </c>
      <c r="AA787" t="s">
        <v>6966</v>
      </c>
      <c r="AB787" t="s">
        <v>6966</v>
      </c>
      <c r="AC787" t="s">
        <v>6966</v>
      </c>
      <c r="AD787" t="s">
        <v>6966</v>
      </c>
      <c r="AE787" t="s">
        <v>6966</v>
      </c>
      <c r="AF787" t="s">
        <v>6966</v>
      </c>
      <c r="AG787" t="s">
        <v>6966</v>
      </c>
      <c r="AH787" t="s">
        <v>6966</v>
      </c>
      <c r="AI787" t="s">
        <v>6966</v>
      </c>
      <c r="AJ787" t="s">
        <v>6966</v>
      </c>
      <c r="AK787" t="s">
        <v>6966</v>
      </c>
      <c r="AL787" t="s">
        <v>6966</v>
      </c>
      <c r="AM787" t="s">
        <v>6966</v>
      </c>
      <c r="AN787" t="s">
        <v>6966</v>
      </c>
      <c r="AO787" t="s">
        <v>6966</v>
      </c>
      <c r="AP787" t="s">
        <v>6966</v>
      </c>
      <c r="AQ787" t="s">
        <v>6966</v>
      </c>
      <c r="AR787" t="s">
        <v>6966</v>
      </c>
      <c r="AS787" t="s">
        <v>6966</v>
      </c>
      <c r="AT787" t="s">
        <v>6966</v>
      </c>
      <c r="AU787" t="s">
        <v>6966</v>
      </c>
      <c r="AV787" t="s">
        <v>6966</v>
      </c>
      <c r="AW787" t="s">
        <v>6966</v>
      </c>
      <c r="AX787" t="s">
        <v>6966</v>
      </c>
      <c r="AY787" t="s">
        <v>6966</v>
      </c>
      <c r="AZ787">
        <v>0.13780700000000001</v>
      </c>
      <c r="BA787">
        <v>4.8299999999999998E-4</v>
      </c>
    </row>
    <row r="788" spans="1:53" x14ac:dyDescent="0.25">
      <c r="A788">
        <v>786</v>
      </c>
      <c r="B788" t="s">
        <v>7625</v>
      </c>
      <c r="C788">
        <v>506035</v>
      </c>
      <c r="D788" t="s">
        <v>176</v>
      </c>
      <c r="E788" t="s">
        <v>7823</v>
      </c>
      <c r="F788">
        <v>1496204.375</v>
      </c>
      <c r="G788">
        <v>8083.9497069999998</v>
      </c>
      <c r="H788">
        <v>753</v>
      </c>
      <c r="I788">
        <v>956</v>
      </c>
      <c r="J788">
        <v>22764</v>
      </c>
      <c r="K788" t="s">
        <v>1702</v>
      </c>
      <c r="L788">
        <v>3</v>
      </c>
      <c r="M788">
        <v>3</v>
      </c>
      <c r="N788">
        <v>22764</v>
      </c>
      <c r="O788">
        <v>738</v>
      </c>
      <c r="P788" t="s">
        <v>3212</v>
      </c>
      <c r="Q788">
        <v>3.8</v>
      </c>
      <c r="R788">
        <v>28.3</v>
      </c>
      <c r="S788">
        <v>1.29</v>
      </c>
      <c r="T788">
        <v>10</v>
      </c>
      <c r="U788">
        <v>1496204.26923</v>
      </c>
      <c r="V788">
        <v>8083.9495390000002</v>
      </c>
      <c r="W788">
        <v>787</v>
      </c>
      <c r="X788">
        <v>0</v>
      </c>
      <c r="Y788">
        <v>786</v>
      </c>
      <c r="Z788" t="s">
        <v>6966</v>
      </c>
      <c r="AA788" t="s">
        <v>6966</v>
      </c>
      <c r="AB788" t="s">
        <v>6966</v>
      </c>
      <c r="AC788" t="s">
        <v>6966</v>
      </c>
      <c r="AD788" t="s">
        <v>6966</v>
      </c>
      <c r="AE788" t="s">
        <v>6966</v>
      </c>
      <c r="AF788" t="s">
        <v>6966</v>
      </c>
      <c r="AG788" t="s">
        <v>6966</v>
      </c>
      <c r="AH788" t="s">
        <v>6966</v>
      </c>
      <c r="AI788" t="s">
        <v>6966</v>
      </c>
      <c r="AJ788" t="s">
        <v>6966</v>
      </c>
      <c r="AK788" t="s">
        <v>6966</v>
      </c>
      <c r="AL788" t="s">
        <v>6966</v>
      </c>
      <c r="AM788" t="s">
        <v>6966</v>
      </c>
      <c r="AN788" t="s">
        <v>6966</v>
      </c>
      <c r="AO788" t="s">
        <v>6966</v>
      </c>
      <c r="AP788" t="s">
        <v>6966</v>
      </c>
      <c r="AQ788" t="s">
        <v>6966</v>
      </c>
      <c r="AR788" t="s">
        <v>6966</v>
      </c>
      <c r="AS788" t="s">
        <v>6966</v>
      </c>
      <c r="AT788" t="s">
        <v>6966</v>
      </c>
      <c r="AU788" t="s">
        <v>6966</v>
      </c>
      <c r="AV788" t="s">
        <v>6966</v>
      </c>
      <c r="AW788" t="s">
        <v>6966</v>
      </c>
      <c r="AX788" t="s">
        <v>6966</v>
      </c>
      <c r="AY788" t="s">
        <v>6966</v>
      </c>
      <c r="AZ788">
        <v>8.0860000000000001E-2</v>
      </c>
      <c r="BA788">
        <v>1.46E-4</v>
      </c>
    </row>
    <row r="789" spans="1:53" x14ac:dyDescent="0.25">
      <c r="A789">
        <v>787</v>
      </c>
      <c r="B789" t="s">
        <v>7625</v>
      </c>
      <c r="C789">
        <v>506084</v>
      </c>
      <c r="D789" t="s">
        <v>128</v>
      </c>
      <c r="E789" t="s">
        <v>7823</v>
      </c>
      <c r="F789">
        <v>228251.796875</v>
      </c>
      <c r="G789">
        <v>2475.282471</v>
      </c>
      <c r="H789">
        <v>754</v>
      </c>
      <c r="I789">
        <v>957</v>
      </c>
      <c r="J789">
        <v>22519</v>
      </c>
      <c r="K789" t="s">
        <v>1660</v>
      </c>
      <c r="L789">
        <v>3</v>
      </c>
      <c r="M789">
        <v>3</v>
      </c>
      <c r="N789">
        <v>22519</v>
      </c>
      <c r="O789">
        <v>739</v>
      </c>
      <c r="P789" t="s">
        <v>3212</v>
      </c>
      <c r="Q789">
        <v>3.2</v>
      </c>
      <c r="R789">
        <v>18.850000000000001</v>
      </c>
      <c r="S789">
        <v>0.75</v>
      </c>
      <c r="T789">
        <v>4</v>
      </c>
      <c r="U789">
        <v>228251.81085899999</v>
      </c>
      <c r="V789">
        <v>2475.282424</v>
      </c>
      <c r="W789">
        <v>788</v>
      </c>
      <c r="X789">
        <v>0</v>
      </c>
      <c r="Y789">
        <v>787</v>
      </c>
      <c r="Z789" t="s">
        <v>6966</v>
      </c>
      <c r="AA789" t="s">
        <v>6966</v>
      </c>
      <c r="AB789" t="s">
        <v>6966</v>
      </c>
      <c r="AC789" t="s">
        <v>6966</v>
      </c>
      <c r="AD789" t="s">
        <v>6966</v>
      </c>
      <c r="AE789" t="s">
        <v>6966</v>
      </c>
      <c r="AF789" t="s">
        <v>6966</v>
      </c>
      <c r="AG789" t="s">
        <v>6966</v>
      </c>
      <c r="AH789" t="s">
        <v>6966</v>
      </c>
      <c r="AI789" t="s">
        <v>6966</v>
      </c>
      <c r="AJ789" t="s">
        <v>6966</v>
      </c>
      <c r="AK789" t="s">
        <v>6966</v>
      </c>
      <c r="AL789" t="s">
        <v>6966</v>
      </c>
      <c r="AM789" t="s">
        <v>6966</v>
      </c>
      <c r="AN789" t="s">
        <v>6966</v>
      </c>
      <c r="AO789" t="s">
        <v>6966</v>
      </c>
      <c r="AP789" t="s">
        <v>6966</v>
      </c>
      <c r="AQ789" t="s">
        <v>6966</v>
      </c>
      <c r="AR789" t="s">
        <v>6966</v>
      </c>
      <c r="AS789" t="s">
        <v>6966</v>
      </c>
      <c r="AT789" t="s">
        <v>6966</v>
      </c>
      <c r="AU789" t="s">
        <v>6966</v>
      </c>
      <c r="AV789" t="s">
        <v>6966</v>
      </c>
      <c r="AW789" t="s">
        <v>6966</v>
      </c>
      <c r="AX789" t="s">
        <v>6966</v>
      </c>
      <c r="AY789" t="s">
        <v>6966</v>
      </c>
      <c r="AZ789">
        <v>2.3942999999999999E-2</v>
      </c>
      <c r="BA789">
        <v>2.1999999999999999E-5</v>
      </c>
    </row>
    <row r="790" spans="1:53" x14ac:dyDescent="0.25">
      <c r="A790">
        <v>788</v>
      </c>
      <c r="B790" t="s">
        <v>7625</v>
      </c>
      <c r="C790">
        <v>201089</v>
      </c>
      <c r="D790" t="s">
        <v>1121</v>
      </c>
      <c r="E790" t="s">
        <v>1069</v>
      </c>
      <c r="F790">
        <v>0</v>
      </c>
      <c r="G790">
        <v>20588.751952999999</v>
      </c>
      <c r="H790">
        <v>755</v>
      </c>
      <c r="I790">
        <v>958</v>
      </c>
      <c r="J790">
        <v>53415</v>
      </c>
      <c r="K790" t="s">
        <v>2457</v>
      </c>
      <c r="L790">
        <v>17</v>
      </c>
      <c r="M790">
        <v>17</v>
      </c>
      <c r="N790">
        <v>53415</v>
      </c>
      <c r="O790">
        <v>740</v>
      </c>
      <c r="P790" t="s">
        <v>3214</v>
      </c>
      <c r="Q790">
        <v>2.9</v>
      </c>
      <c r="R790">
        <v>193.77</v>
      </c>
      <c r="S790">
        <v>0.69</v>
      </c>
      <c r="T790">
        <v>45</v>
      </c>
      <c r="U790">
        <v>0</v>
      </c>
      <c r="V790">
        <v>20588.751327999998</v>
      </c>
      <c r="W790">
        <v>789</v>
      </c>
      <c r="X790">
        <v>0</v>
      </c>
      <c r="Y790">
        <v>788</v>
      </c>
      <c r="Z790" t="s">
        <v>6966</v>
      </c>
      <c r="AA790" t="s">
        <v>6966</v>
      </c>
      <c r="AB790" t="s">
        <v>6966</v>
      </c>
      <c r="AC790" t="s">
        <v>6966</v>
      </c>
      <c r="AD790" t="s">
        <v>6966</v>
      </c>
      <c r="AE790" t="s">
        <v>6966</v>
      </c>
      <c r="AF790" t="s">
        <v>6966</v>
      </c>
      <c r="AG790" t="s">
        <v>6966</v>
      </c>
      <c r="AH790" t="s">
        <v>6966</v>
      </c>
      <c r="AI790" t="s">
        <v>6966</v>
      </c>
      <c r="AJ790" t="s">
        <v>6966</v>
      </c>
      <c r="AK790" t="s">
        <v>6966</v>
      </c>
      <c r="AL790" t="s">
        <v>6966</v>
      </c>
      <c r="AM790" t="s">
        <v>6966</v>
      </c>
      <c r="AN790" t="s">
        <v>6966</v>
      </c>
      <c r="AO790" t="s">
        <v>6966</v>
      </c>
      <c r="AP790" t="s">
        <v>6966</v>
      </c>
      <c r="AQ790" t="s">
        <v>6966</v>
      </c>
      <c r="AR790" t="s">
        <v>6966</v>
      </c>
      <c r="AS790" t="s">
        <v>6966</v>
      </c>
      <c r="AT790" t="s">
        <v>6966</v>
      </c>
      <c r="AU790" t="s">
        <v>6966</v>
      </c>
      <c r="AV790" t="s">
        <v>6966</v>
      </c>
      <c r="AW790" t="s">
        <v>6966</v>
      </c>
      <c r="AX790" t="s">
        <v>6966</v>
      </c>
      <c r="AY790" t="s">
        <v>6966</v>
      </c>
      <c r="AZ790">
        <v>0.20402300000000001</v>
      </c>
      <c r="BA790">
        <v>1.067E-3</v>
      </c>
    </row>
    <row r="791" spans="1:53" x14ac:dyDescent="0.25">
      <c r="A791">
        <v>789</v>
      </c>
      <c r="B791" t="s">
        <v>7625</v>
      </c>
      <c r="C791">
        <v>201067</v>
      </c>
      <c r="D791" t="s">
        <v>1149</v>
      </c>
      <c r="E791" t="s">
        <v>1069</v>
      </c>
      <c r="F791">
        <v>1018358.3125</v>
      </c>
      <c r="G791">
        <v>5553.9321289999998</v>
      </c>
      <c r="H791">
        <v>756</v>
      </c>
      <c r="I791">
        <v>959</v>
      </c>
      <c r="J791">
        <v>53471</v>
      </c>
      <c r="K791" t="s">
        <v>2476</v>
      </c>
      <c r="L791">
        <v>17</v>
      </c>
      <c r="M791">
        <v>17</v>
      </c>
      <c r="N791">
        <v>53471</v>
      </c>
      <c r="O791">
        <v>741</v>
      </c>
      <c r="P791" t="s">
        <v>3214</v>
      </c>
      <c r="Q791">
        <v>0.1</v>
      </c>
      <c r="R791">
        <v>0</v>
      </c>
      <c r="S791">
        <v>0.11</v>
      </c>
      <c r="T791">
        <v>0</v>
      </c>
      <c r="U791">
        <v>1018358.23133</v>
      </c>
      <c r="V791">
        <v>5553.93217</v>
      </c>
      <c r="W791">
        <v>790</v>
      </c>
      <c r="X791">
        <v>0</v>
      </c>
      <c r="Y791">
        <v>789</v>
      </c>
      <c r="Z791" t="s">
        <v>6966</v>
      </c>
      <c r="AA791" t="s">
        <v>6966</v>
      </c>
      <c r="AB791" t="s">
        <v>6966</v>
      </c>
      <c r="AC791" t="s">
        <v>6966</v>
      </c>
      <c r="AD791" t="s">
        <v>6966</v>
      </c>
      <c r="AE791" t="s">
        <v>6966</v>
      </c>
      <c r="AF791" t="s">
        <v>6966</v>
      </c>
      <c r="AG791" t="s">
        <v>6966</v>
      </c>
      <c r="AH791" t="s">
        <v>6966</v>
      </c>
      <c r="AI791" t="s">
        <v>6966</v>
      </c>
      <c r="AJ791" t="s">
        <v>6966</v>
      </c>
      <c r="AK791" t="s">
        <v>6966</v>
      </c>
      <c r="AL791" t="s">
        <v>6966</v>
      </c>
      <c r="AM791" t="s">
        <v>6966</v>
      </c>
      <c r="AN791" t="s">
        <v>6966</v>
      </c>
      <c r="AO791" t="s">
        <v>6966</v>
      </c>
      <c r="AP791" t="s">
        <v>6966</v>
      </c>
      <c r="AQ791" t="s">
        <v>6966</v>
      </c>
      <c r="AR791" t="s">
        <v>6966</v>
      </c>
      <c r="AS791" t="s">
        <v>6966</v>
      </c>
      <c r="AT791" t="s">
        <v>6966</v>
      </c>
      <c r="AU791" t="s">
        <v>6966</v>
      </c>
      <c r="AV791" t="s">
        <v>6966</v>
      </c>
      <c r="AW791" t="s">
        <v>6966</v>
      </c>
      <c r="AX791" t="s">
        <v>6966</v>
      </c>
      <c r="AY791" t="s">
        <v>6966</v>
      </c>
      <c r="AZ791">
        <v>5.5948999999999999E-2</v>
      </c>
      <c r="BA791">
        <v>9.8999999999999994E-5</v>
      </c>
    </row>
    <row r="792" spans="1:53" x14ac:dyDescent="0.25">
      <c r="A792">
        <v>790</v>
      </c>
      <c r="B792" t="s">
        <v>7625</v>
      </c>
      <c r="C792">
        <v>506034</v>
      </c>
      <c r="D792" t="s">
        <v>7842</v>
      </c>
      <c r="E792" t="s">
        <v>7823</v>
      </c>
      <c r="F792">
        <v>680504.25</v>
      </c>
      <c r="G792">
        <v>4437.5214839999999</v>
      </c>
      <c r="H792">
        <v>757</v>
      </c>
      <c r="I792">
        <v>960</v>
      </c>
      <c r="J792">
        <v>22559</v>
      </c>
      <c r="K792" t="s">
        <v>7843</v>
      </c>
      <c r="L792">
        <v>3</v>
      </c>
      <c r="M792">
        <v>3</v>
      </c>
      <c r="N792">
        <v>22559</v>
      </c>
      <c r="O792">
        <v>742</v>
      </c>
      <c r="P792" t="s">
        <v>3212</v>
      </c>
      <c r="Q792">
        <v>8.1</v>
      </c>
      <c r="R792">
        <v>34.11</v>
      </c>
      <c r="S792">
        <v>2.2599999999999998</v>
      </c>
      <c r="T792">
        <v>11</v>
      </c>
      <c r="U792">
        <v>680504.28488199995</v>
      </c>
      <c r="V792">
        <v>4437.521925</v>
      </c>
      <c r="W792">
        <v>791</v>
      </c>
      <c r="X792">
        <v>0</v>
      </c>
      <c r="Y792">
        <v>790</v>
      </c>
      <c r="Z792" t="s">
        <v>6966</v>
      </c>
      <c r="AA792" t="s">
        <v>6966</v>
      </c>
      <c r="AB792" t="s">
        <v>6966</v>
      </c>
      <c r="AC792" t="s">
        <v>6966</v>
      </c>
      <c r="AD792" t="s">
        <v>6966</v>
      </c>
      <c r="AE792" t="s">
        <v>6966</v>
      </c>
      <c r="AF792" t="s">
        <v>6966</v>
      </c>
      <c r="AG792" t="s">
        <v>6966</v>
      </c>
      <c r="AH792" t="s">
        <v>6966</v>
      </c>
      <c r="AI792" t="s">
        <v>6966</v>
      </c>
      <c r="AJ792" t="s">
        <v>6966</v>
      </c>
      <c r="AK792" t="s">
        <v>6966</v>
      </c>
      <c r="AL792" t="s">
        <v>6966</v>
      </c>
      <c r="AM792" t="s">
        <v>6966</v>
      </c>
      <c r="AN792" t="s">
        <v>6966</v>
      </c>
      <c r="AO792" t="s">
        <v>6966</v>
      </c>
      <c r="AP792" t="s">
        <v>6966</v>
      </c>
      <c r="AQ792" t="s">
        <v>6966</v>
      </c>
      <c r="AR792" t="s">
        <v>6966</v>
      </c>
      <c r="AS792" t="s">
        <v>6966</v>
      </c>
      <c r="AT792" t="s">
        <v>6966</v>
      </c>
      <c r="AU792" t="s">
        <v>6966</v>
      </c>
      <c r="AV792" t="s">
        <v>6966</v>
      </c>
      <c r="AW792" t="s">
        <v>6966</v>
      </c>
      <c r="AX792" t="s">
        <v>6966</v>
      </c>
      <c r="AY792" t="s">
        <v>6966</v>
      </c>
      <c r="AZ792">
        <v>4.4200999999999997E-2</v>
      </c>
      <c r="BA792">
        <v>6.6000000000000005E-5</v>
      </c>
    </row>
    <row r="793" spans="1:53" x14ac:dyDescent="0.25">
      <c r="A793">
        <v>791</v>
      </c>
      <c r="B793" t="s">
        <v>7625</v>
      </c>
      <c r="C793">
        <v>506021</v>
      </c>
      <c r="D793" t="s">
        <v>118</v>
      </c>
      <c r="E793" t="s">
        <v>7823</v>
      </c>
      <c r="F793">
        <v>629641</v>
      </c>
      <c r="G793">
        <v>3607.4726559999999</v>
      </c>
      <c r="H793">
        <v>758</v>
      </c>
      <c r="I793">
        <v>961</v>
      </c>
      <c r="J793">
        <v>22459</v>
      </c>
      <c r="K793" t="s">
        <v>1652</v>
      </c>
      <c r="L793">
        <v>3</v>
      </c>
      <c r="M793">
        <v>3</v>
      </c>
      <c r="N793">
        <v>22459</v>
      </c>
      <c r="O793">
        <v>743</v>
      </c>
      <c r="P793" t="s">
        <v>3212</v>
      </c>
      <c r="Q793">
        <v>57.3</v>
      </c>
      <c r="R793">
        <v>62.03</v>
      </c>
      <c r="S793">
        <v>18.48</v>
      </c>
      <c r="T793">
        <v>20</v>
      </c>
      <c r="U793">
        <v>629641.00544600002</v>
      </c>
      <c r="V793">
        <v>3607.4730970000001</v>
      </c>
      <c r="W793">
        <v>792</v>
      </c>
      <c r="X793">
        <v>0</v>
      </c>
      <c r="Y793">
        <v>791</v>
      </c>
      <c r="Z793" t="s">
        <v>6966</v>
      </c>
      <c r="AA793" t="s">
        <v>6966</v>
      </c>
      <c r="AB793" t="s">
        <v>6966</v>
      </c>
      <c r="AC793" t="s">
        <v>6966</v>
      </c>
      <c r="AD793" t="s">
        <v>6966</v>
      </c>
      <c r="AE793" t="s">
        <v>6966</v>
      </c>
      <c r="AF793" t="s">
        <v>6966</v>
      </c>
      <c r="AG793" t="s">
        <v>6966</v>
      </c>
      <c r="AH793" t="s">
        <v>6966</v>
      </c>
      <c r="AI793" t="s">
        <v>6966</v>
      </c>
      <c r="AJ793" t="s">
        <v>6966</v>
      </c>
      <c r="AK793" t="s">
        <v>6966</v>
      </c>
      <c r="AL793" t="s">
        <v>6966</v>
      </c>
      <c r="AM793" t="s">
        <v>6966</v>
      </c>
      <c r="AN793" t="s">
        <v>6966</v>
      </c>
      <c r="AO793" t="s">
        <v>6966</v>
      </c>
      <c r="AP793" t="s">
        <v>6966</v>
      </c>
      <c r="AQ793" t="s">
        <v>6966</v>
      </c>
      <c r="AR793" t="s">
        <v>6966</v>
      </c>
      <c r="AS793" t="s">
        <v>6966</v>
      </c>
      <c r="AT793" t="s">
        <v>6966</v>
      </c>
      <c r="AU793" t="s">
        <v>6966</v>
      </c>
      <c r="AV793" t="s">
        <v>6966</v>
      </c>
      <c r="AW793" t="s">
        <v>6966</v>
      </c>
      <c r="AX793" t="s">
        <v>6966</v>
      </c>
      <c r="AY793" t="s">
        <v>6966</v>
      </c>
      <c r="AZ793">
        <v>3.6507999999999999E-2</v>
      </c>
      <c r="BA793">
        <v>6.0999999999999999E-5</v>
      </c>
    </row>
    <row r="794" spans="1:53" x14ac:dyDescent="0.25">
      <c r="A794">
        <v>792</v>
      </c>
      <c r="B794" t="s">
        <v>7625</v>
      </c>
      <c r="C794">
        <v>506025</v>
      </c>
      <c r="D794" t="s">
        <v>126</v>
      </c>
      <c r="E794" t="s">
        <v>7823</v>
      </c>
      <c r="F794">
        <v>3976288.75</v>
      </c>
      <c r="G794">
        <v>13252.066406</v>
      </c>
      <c r="H794">
        <v>759</v>
      </c>
      <c r="I794">
        <v>962</v>
      </c>
      <c r="J794">
        <v>22511</v>
      </c>
      <c r="K794" t="s">
        <v>126</v>
      </c>
      <c r="L794">
        <v>3</v>
      </c>
      <c r="M794">
        <v>3</v>
      </c>
      <c r="N794">
        <v>22511</v>
      </c>
      <c r="O794">
        <v>744</v>
      </c>
      <c r="P794" t="s">
        <v>3212</v>
      </c>
      <c r="Q794">
        <v>7.2</v>
      </c>
      <c r="R794">
        <v>37.08</v>
      </c>
      <c r="S794">
        <v>2.35</v>
      </c>
      <c r="T794">
        <v>12</v>
      </c>
      <c r="U794">
        <v>3976288.7584500001</v>
      </c>
      <c r="V794">
        <v>13252.066526000001</v>
      </c>
      <c r="W794">
        <v>793</v>
      </c>
      <c r="X794">
        <v>0</v>
      </c>
      <c r="Y794">
        <v>792</v>
      </c>
      <c r="Z794" t="s">
        <v>6966</v>
      </c>
      <c r="AA794" t="s">
        <v>6966</v>
      </c>
      <c r="AB794" t="s">
        <v>6966</v>
      </c>
      <c r="AC794" t="s">
        <v>6966</v>
      </c>
      <c r="AD794" t="s">
        <v>6966</v>
      </c>
      <c r="AE794" t="s">
        <v>6966</v>
      </c>
      <c r="AF794" t="s">
        <v>6966</v>
      </c>
      <c r="AG794" t="s">
        <v>6966</v>
      </c>
      <c r="AH794" t="s">
        <v>6966</v>
      </c>
      <c r="AI794" t="s">
        <v>6966</v>
      </c>
      <c r="AJ794" t="s">
        <v>6966</v>
      </c>
      <c r="AK794" t="s">
        <v>6966</v>
      </c>
      <c r="AL794" t="s">
        <v>6966</v>
      </c>
      <c r="AM794" t="s">
        <v>6966</v>
      </c>
      <c r="AN794" t="s">
        <v>6966</v>
      </c>
      <c r="AO794" t="s">
        <v>6966</v>
      </c>
      <c r="AP794" t="s">
        <v>6966</v>
      </c>
      <c r="AQ794" t="s">
        <v>6966</v>
      </c>
      <c r="AR794" t="s">
        <v>6966</v>
      </c>
      <c r="AS794" t="s">
        <v>6966</v>
      </c>
      <c r="AT794" t="s">
        <v>6966</v>
      </c>
      <c r="AU794" t="s">
        <v>6966</v>
      </c>
      <c r="AV794" t="s">
        <v>6966</v>
      </c>
      <c r="AW794" t="s">
        <v>6966</v>
      </c>
      <c r="AX794" t="s">
        <v>6966</v>
      </c>
      <c r="AY794" t="s">
        <v>6966</v>
      </c>
      <c r="AZ794">
        <v>0.13326199999999999</v>
      </c>
      <c r="BA794">
        <v>3.88E-4</v>
      </c>
    </row>
    <row r="795" spans="1:53" x14ac:dyDescent="0.25">
      <c r="A795">
        <v>793</v>
      </c>
      <c r="B795" t="s">
        <v>7625</v>
      </c>
      <c r="C795">
        <v>506083</v>
      </c>
      <c r="D795" t="s">
        <v>98</v>
      </c>
      <c r="E795" t="s">
        <v>7823</v>
      </c>
      <c r="F795">
        <v>2512620.75</v>
      </c>
      <c r="G795">
        <v>8402.0898440000001</v>
      </c>
      <c r="H795">
        <v>760</v>
      </c>
      <c r="I795">
        <v>963</v>
      </c>
      <c r="J795">
        <v>22335</v>
      </c>
      <c r="K795" t="s">
        <v>1634</v>
      </c>
      <c r="L795">
        <v>3</v>
      </c>
      <c r="M795">
        <v>3</v>
      </c>
      <c r="N795">
        <v>22335</v>
      </c>
      <c r="O795">
        <v>745</v>
      </c>
      <c r="P795" t="s">
        <v>3212</v>
      </c>
      <c r="Q795">
        <v>41.7</v>
      </c>
      <c r="R795">
        <v>86.55</v>
      </c>
      <c r="S795">
        <v>9.77</v>
      </c>
      <c r="T795">
        <v>21</v>
      </c>
      <c r="U795">
        <v>2512620.8810399999</v>
      </c>
      <c r="V795">
        <v>8402.0896530000009</v>
      </c>
      <c r="W795">
        <v>794</v>
      </c>
      <c r="X795">
        <v>0</v>
      </c>
      <c r="Y795">
        <v>793</v>
      </c>
      <c r="Z795" t="s">
        <v>6966</v>
      </c>
      <c r="AA795" t="s">
        <v>6966</v>
      </c>
      <c r="AB795" t="s">
        <v>6966</v>
      </c>
      <c r="AC795" t="s">
        <v>6966</v>
      </c>
      <c r="AD795" t="s">
        <v>6966</v>
      </c>
      <c r="AE795" t="s">
        <v>6966</v>
      </c>
      <c r="AF795" t="s">
        <v>6966</v>
      </c>
      <c r="AG795" t="s">
        <v>6966</v>
      </c>
      <c r="AH795" t="s">
        <v>6966</v>
      </c>
      <c r="AI795" t="s">
        <v>6966</v>
      </c>
      <c r="AJ795" t="s">
        <v>6966</v>
      </c>
      <c r="AK795" t="s">
        <v>6966</v>
      </c>
      <c r="AL795" t="s">
        <v>6966</v>
      </c>
      <c r="AM795" t="s">
        <v>6966</v>
      </c>
      <c r="AN795" t="s">
        <v>6966</v>
      </c>
      <c r="AO795" t="s">
        <v>6966</v>
      </c>
      <c r="AP795" t="s">
        <v>6966</v>
      </c>
      <c r="AQ795" t="s">
        <v>6966</v>
      </c>
      <c r="AR795" t="s">
        <v>6966</v>
      </c>
      <c r="AS795" t="s">
        <v>6966</v>
      </c>
      <c r="AT795" t="s">
        <v>6966</v>
      </c>
      <c r="AU795" t="s">
        <v>6966</v>
      </c>
      <c r="AV795" t="s">
        <v>6966</v>
      </c>
      <c r="AW795" t="s">
        <v>6966</v>
      </c>
      <c r="AX795" t="s">
        <v>6966</v>
      </c>
      <c r="AY795" t="s">
        <v>6966</v>
      </c>
      <c r="AZ795">
        <v>8.5096000000000005E-2</v>
      </c>
      <c r="BA795">
        <v>2.4499999999999999E-4</v>
      </c>
    </row>
    <row r="796" spans="1:53" x14ac:dyDescent="0.25">
      <c r="A796">
        <v>794</v>
      </c>
      <c r="B796" t="s">
        <v>7625</v>
      </c>
      <c r="C796">
        <v>201019</v>
      </c>
      <c r="D796" t="s">
        <v>7844</v>
      </c>
      <c r="E796" t="s">
        <v>1069</v>
      </c>
      <c r="F796">
        <v>0</v>
      </c>
      <c r="G796">
        <v>20310.757813</v>
      </c>
      <c r="H796">
        <v>761</v>
      </c>
      <c r="I796">
        <v>964</v>
      </c>
      <c r="J796">
        <v>53469</v>
      </c>
      <c r="K796" t="s">
        <v>7845</v>
      </c>
      <c r="L796">
        <v>17</v>
      </c>
      <c r="M796">
        <v>17</v>
      </c>
      <c r="N796">
        <v>53469</v>
      </c>
      <c r="O796">
        <v>746</v>
      </c>
      <c r="P796" t="s">
        <v>3214</v>
      </c>
      <c r="Q796">
        <v>0</v>
      </c>
      <c r="R796">
        <v>0</v>
      </c>
      <c r="S796">
        <v>0</v>
      </c>
      <c r="T796">
        <v>0</v>
      </c>
      <c r="U796">
        <v>0</v>
      </c>
      <c r="V796">
        <v>20310.757621000001</v>
      </c>
      <c r="W796">
        <v>795</v>
      </c>
      <c r="X796">
        <v>0</v>
      </c>
      <c r="Y796">
        <v>794</v>
      </c>
      <c r="Z796" t="s">
        <v>6966</v>
      </c>
      <c r="AA796" t="s">
        <v>6966</v>
      </c>
      <c r="AB796" t="s">
        <v>6966</v>
      </c>
      <c r="AC796" t="s">
        <v>6966</v>
      </c>
      <c r="AD796" t="s">
        <v>6966</v>
      </c>
      <c r="AE796" t="s">
        <v>6966</v>
      </c>
      <c r="AF796" t="s">
        <v>6966</v>
      </c>
      <c r="AG796" t="s">
        <v>6966</v>
      </c>
      <c r="AH796" t="s">
        <v>6966</v>
      </c>
      <c r="AI796" t="s">
        <v>6966</v>
      </c>
      <c r="AJ796" t="s">
        <v>6966</v>
      </c>
      <c r="AK796" t="s">
        <v>6966</v>
      </c>
      <c r="AL796" t="s">
        <v>6966</v>
      </c>
      <c r="AM796" t="s">
        <v>6966</v>
      </c>
      <c r="AN796" t="s">
        <v>6966</v>
      </c>
      <c r="AO796" t="s">
        <v>6966</v>
      </c>
      <c r="AP796" t="s">
        <v>6966</v>
      </c>
      <c r="AQ796" t="s">
        <v>6966</v>
      </c>
      <c r="AR796" t="s">
        <v>6966</v>
      </c>
      <c r="AS796" t="s">
        <v>6966</v>
      </c>
      <c r="AT796" t="s">
        <v>6966</v>
      </c>
      <c r="AU796" t="s">
        <v>6966</v>
      </c>
      <c r="AV796" t="s">
        <v>6966</v>
      </c>
      <c r="AW796" t="s">
        <v>6966</v>
      </c>
      <c r="AX796" t="s">
        <v>6966</v>
      </c>
      <c r="AY796" t="s">
        <v>6966</v>
      </c>
      <c r="AZ796">
        <v>0.20561199999999999</v>
      </c>
      <c r="BA796">
        <v>1.7099999999999999E-3</v>
      </c>
    </row>
    <row r="797" spans="1:53" x14ac:dyDescent="0.25">
      <c r="A797">
        <v>795</v>
      </c>
      <c r="B797" t="s">
        <v>7625</v>
      </c>
      <c r="C797">
        <v>506061</v>
      </c>
      <c r="D797" t="s">
        <v>171</v>
      </c>
      <c r="E797" t="s">
        <v>7823</v>
      </c>
      <c r="F797">
        <v>2844167</v>
      </c>
      <c r="G797">
        <v>8423.6347659999992</v>
      </c>
      <c r="H797">
        <v>762</v>
      </c>
      <c r="I797">
        <v>965</v>
      </c>
      <c r="J797">
        <v>22747</v>
      </c>
      <c r="K797" t="s">
        <v>1699</v>
      </c>
      <c r="L797">
        <v>3</v>
      </c>
      <c r="M797">
        <v>3</v>
      </c>
      <c r="N797">
        <v>22747</v>
      </c>
      <c r="O797">
        <v>747</v>
      </c>
      <c r="P797" t="s">
        <v>3212</v>
      </c>
      <c r="Q797">
        <v>7.3</v>
      </c>
      <c r="R797">
        <v>32.92</v>
      </c>
      <c r="S797">
        <v>2.21</v>
      </c>
      <c r="T797">
        <v>10</v>
      </c>
      <c r="U797">
        <v>2844166.9982599998</v>
      </c>
      <c r="V797">
        <v>8423.6347189999997</v>
      </c>
      <c r="W797">
        <v>796</v>
      </c>
      <c r="X797">
        <v>0</v>
      </c>
      <c r="Y797">
        <v>795</v>
      </c>
      <c r="Z797" t="s">
        <v>6966</v>
      </c>
      <c r="AA797" t="s">
        <v>6966</v>
      </c>
      <c r="AB797" t="s">
        <v>6966</v>
      </c>
      <c r="AC797" t="s">
        <v>6966</v>
      </c>
      <c r="AD797" t="s">
        <v>6966</v>
      </c>
      <c r="AE797" t="s">
        <v>6966</v>
      </c>
      <c r="AF797" t="s">
        <v>6966</v>
      </c>
      <c r="AG797" t="s">
        <v>6966</v>
      </c>
      <c r="AH797" t="s">
        <v>6966</v>
      </c>
      <c r="AI797" t="s">
        <v>6966</v>
      </c>
      <c r="AJ797" t="s">
        <v>6966</v>
      </c>
      <c r="AK797" t="s">
        <v>6966</v>
      </c>
      <c r="AL797" t="s">
        <v>6966</v>
      </c>
      <c r="AM797" t="s">
        <v>6966</v>
      </c>
      <c r="AN797" t="s">
        <v>6966</v>
      </c>
      <c r="AO797" t="s">
        <v>6966</v>
      </c>
      <c r="AP797" t="s">
        <v>6966</v>
      </c>
      <c r="AQ797" t="s">
        <v>6966</v>
      </c>
      <c r="AR797" t="s">
        <v>6966</v>
      </c>
      <c r="AS797" t="s">
        <v>6966</v>
      </c>
      <c r="AT797" t="s">
        <v>6966</v>
      </c>
      <c r="AU797" t="s">
        <v>6966</v>
      </c>
      <c r="AV797" t="s">
        <v>6966</v>
      </c>
      <c r="AW797" t="s">
        <v>6966</v>
      </c>
      <c r="AX797" t="s">
        <v>6966</v>
      </c>
      <c r="AY797" t="s">
        <v>6966</v>
      </c>
      <c r="AZ797">
        <v>8.3169999999999994E-2</v>
      </c>
      <c r="BA797">
        <v>2.7700000000000001E-4</v>
      </c>
    </row>
    <row r="798" spans="1:53" x14ac:dyDescent="0.25">
      <c r="A798">
        <v>796</v>
      </c>
      <c r="B798" t="s">
        <v>7625</v>
      </c>
      <c r="C798">
        <v>506051</v>
      </c>
      <c r="D798" t="s">
        <v>144</v>
      </c>
      <c r="E798" t="s">
        <v>7823</v>
      </c>
      <c r="F798">
        <v>295945.28125</v>
      </c>
      <c r="G798">
        <v>2795.1948240000002</v>
      </c>
      <c r="H798">
        <v>763</v>
      </c>
      <c r="I798">
        <v>966</v>
      </c>
      <c r="J798">
        <v>22583</v>
      </c>
      <c r="K798" t="s">
        <v>1675</v>
      </c>
      <c r="L798">
        <v>3</v>
      </c>
      <c r="M798">
        <v>3</v>
      </c>
      <c r="N798">
        <v>22583</v>
      </c>
      <c r="O798">
        <v>748</v>
      </c>
      <c r="P798" t="s">
        <v>3212</v>
      </c>
      <c r="Q798">
        <v>7.9</v>
      </c>
      <c r="R798">
        <v>20.94</v>
      </c>
      <c r="S798">
        <v>4.13</v>
      </c>
      <c r="T798">
        <v>15</v>
      </c>
      <c r="U798">
        <v>295945.32675200002</v>
      </c>
      <c r="V798">
        <v>2795.1949460000001</v>
      </c>
      <c r="W798">
        <v>797</v>
      </c>
      <c r="X798">
        <v>0</v>
      </c>
      <c r="Y798">
        <v>796</v>
      </c>
      <c r="Z798" t="s">
        <v>6966</v>
      </c>
      <c r="AA798" t="s">
        <v>6966</v>
      </c>
      <c r="AB798" t="s">
        <v>6966</v>
      </c>
      <c r="AC798" t="s">
        <v>6966</v>
      </c>
      <c r="AD798" t="s">
        <v>6966</v>
      </c>
      <c r="AE798" t="s">
        <v>6966</v>
      </c>
      <c r="AF798" t="s">
        <v>6966</v>
      </c>
      <c r="AG798" t="s">
        <v>6966</v>
      </c>
      <c r="AH798" t="s">
        <v>6966</v>
      </c>
      <c r="AI798" t="s">
        <v>6966</v>
      </c>
      <c r="AJ798" t="s">
        <v>6966</v>
      </c>
      <c r="AK798" t="s">
        <v>6966</v>
      </c>
      <c r="AL798" t="s">
        <v>6966</v>
      </c>
      <c r="AM798" t="s">
        <v>6966</v>
      </c>
      <c r="AN798" t="s">
        <v>6966</v>
      </c>
      <c r="AO798" t="s">
        <v>6966</v>
      </c>
      <c r="AP798" t="s">
        <v>6966</v>
      </c>
      <c r="AQ798" t="s">
        <v>6966</v>
      </c>
      <c r="AR798" t="s">
        <v>6966</v>
      </c>
      <c r="AS798" t="s">
        <v>6966</v>
      </c>
      <c r="AT798" t="s">
        <v>6966</v>
      </c>
      <c r="AU798" t="s">
        <v>6966</v>
      </c>
      <c r="AV798" t="s">
        <v>6966</v>
      </c>
      <c r="AW798" t="s">
        <v>6966</v>
      </c>
      <c r="AX798" t="s">
        <v>6966</v>
      </c>
      <c r="AY798" t="s">
        <v>6966</v>
      </c>
      <c r="AZ798">
        <v>2.7822E-2</v>
      </c>
      <c r="BA798">
        <v>2.9E-5</v>
      </c>
    </row>
    <row r="799" spans="1:53" x14ac:dyDescent="0.25">
      <c r="A799">
        <v>797</v>
      </c>
      <c r="B799" t="s">
        <v>7625</v>
      </c>
      <c r="C799">
        <v>403037</v>
      </c>
      <c r="D799" t="s">
        <v>985</v>
      </c>
      <c r="E799" t="s">
        <v>3045</v>
      </c>
      <c r="F799">
        <v>0</v>
      </c>
      <c r="G799">
        <v>27655.640625</v>
      </c>
      <c r="H799">
        <v>764</v>
      </c>
      <c r="I799">
        <v>967</v>
      </c>
      <c r="J799">
        <v>51173</v>
      </c>
      <c r="K799" t="s">
        <v>2342</v>
      </c>
      <c r="L799">
        <v>15</v>
      </c>
      <c r="M799">
        <v>15</v>
      </c>
      <c r="N799">
        <v>51173</v>
      </c>
      <c r="O799">
        <v>749</v>
      </c>
      <c r="P799" t="s">
        <v>3214</v>
      </c>
      <c r="Q799">
        <v>0.6</v>
      </c>
      <c r="R799">
        <v>109.67</v>
      </c>
      <c r="S799">
        <v>0.18</v>
      </c>
      <c r="T799">
        <v>34</v>
      </c>
      <c r="U799">
        <v>0</v>
      </c>
      <c r="V799">
        <v>27655.640038000001</v>
      </c>
      <c r="W799">
        <v>798</v>
      </c>
      <c r="X799">
        <v>0</v>
      </c>
      <c r="Y799">
        <v>797</v>
      </c>
      <c r="Z799" t="s">
        <v>6966</v>
      </c>
      <c r="AA799" t="s">
        <v>6966</v>
      </c>
      <c r="AB799" t="s">
        <v>6966</v>
      </c>
      <c r="AC799" t="s">
        <v>6966</v>
      </c>
      <c r="AD799" t="s">
        <v>6966</v>
      </c>
      <c r="AE799" t="s">
        <v>6966</v>
      </c>
      <c r="AF799" t="s">
        <v>6966</v>
      </c>
      <c r="AG799" t="s">
        <v>6966</v>
      </c>
      <c r="AH799" t="s">
        <v>6966</v>
      </c>
      <c r="AI799" t="s">
        <v>6966</v>
      </c>
      <c r="AJ799" t="s">
        <v>6966</v>
      </c>
      <c r="AK799" t="s">
        <v>6966</v>
      </c>
      <c r="AL799" t="s">
        <v>6966</v>
      </c>
      <c r="AM799" t="s">
        <v>6966</v>
      </c>
      <c r="AN799" t="s">
        <v>6966</v>
      </c>
      <c r="AO799" t="s">
        <v>6966</v>
      </c>
      <c r="AP799" t="s">
        <v>6966</v>
      </c>
      <c r="AQ799" t="s">
        <v>6966</v>
      </c>
      <c r="AR799" t="s">
        <v>6966</v>
      </c>
      <c r="AS799" t="s">
        <v>6966</v>
      </c>
      <c r="AT799" t="s">
        <v>6966</v>
      </c>
      <c r="AU799" t="s">
        <v>6966</v>
      </c>
      <c r="AV799" t="s">
        <v>6966</v>
      </c>
      <c r="AW799" t="s">
        <v>6966</v>
      </c>
      <c r="AX799" t="s">
        <v>6966</v>
      </c>
      <c r="AY799" t="s">
        <v>6966</v>
      </c>
      <c r="AZ799">
        <v>0.275059</v>
      </c>
      <c r="BA799">
        <v>2.9199999999999999E-3</v>
      </c>
    </row>
    <row r="800" spans="1:53" x14ac:dyDescent="0.25">
      <c r="A800">
        <v>798</v>
      </c>
      <c r="B800" t="s">
        <v>7625</v>
      </c>
      <c r="C800">
        <v>506036</v>
      </c>
      <c r="D800" t="s">
        <v>173</v>
      </c>
      <c r="E800" t="s">
        <v>7823</v>
      </c>
      <c r="F800">
        <v>3083777</v>
      </c>
      <c r="G800">
        <v>12023.657227</v>
      </c>
      <c r="H800">
        <v>765</v>
      </c>
      <c r="I800">
        <v>968</v>
      </c>
      <c r="J800">
        <v>22754</v>
      </c>
      <c r="K800" t="s">
        <v>173</v>
      </c>
      <c r="L800">
        <v>3</v>
      </c>
      <c r="M800">
        <v>3</v>
      </c>
      <c r="N800">
        <v>22754</v>
      </c>
      <c r="O800">
        <v>750</v>
      </c>
      <c r="P800" t="s">
        <v>3212</v>
      </c>
      <c r="Q800">
        <v>7.6</v>
      </c>
      <c r="R800">
        <v>30.35</v>
      </c>
      <c r="S800">
        <v>2.81</v>
      </c>
      <c r="T800">
        <v>11</v>
      </c>
      <c r="U800">
        <v>3083777.0073899999</v>
      </c>
      <c r="V800">
        <v>12023.657143</v>
      </c>
      <c r="W800">
        <v>799</v>
      </c>
      <c r="X800">
        <v>0</v>
      </c>
      <c r="Y800">
        <v>798</v>
      </c>
      <c r="Z800" t="s">
        <v>6966</v>
      </c>
      <c r="AA800" t="s">
        <v>6966</v>
      </c>
      <c r="AB800" t="s">
        <v>6966</v>
      </c>
      <c r="AC800" t="s">
        <v>6966</v>
      </c>
      <c r="AD800" t="s">
        <v>6966</v>
      </c>
      <c r="AE800" t="s">
        <v>6966</v>
      </c>
      <c r="AF800" t="s">
        <v>6966</v>
      </c>
      <c r="AG800" t="s">
        <v>6966</v>
      </c>
      <c r="AH800" t="s">
        <v>6966</v>
      </c>
      <c r="AI800" t="s">
        <v>6966</v>
      </c>
      <c r="AJ800" t="s">
        <v>6966</v>
      </c>
      <c r="AK800" t="s">
        <v>6966</v>
      </c>
      <c r="AL800" t="s">
        <v>6966</v>
      </c>
      <c r="AM800" t="s">
        <v>6966</v>
      </c>
      <c r="AN800" t="s">
        <v>6966</v>
      </c>
      <c r="AO800" t="s">
        <v>6966</v>
      </c>
      <c r="AP800" t="s">
        <v>6966</v>
      </c>
      <c r="AQ800" t="s">
        <v>6966</v>
      </c>
      <c r="AR800" t="s">
        <v>6966</v>
      </c>
      <c r="AS800" t="s">
        <v>6966</v>
      </c>
      <c r="AT800" t="s">
        <v>6966</v>
      </c>
      <c r="AU800" t="s">
        <v>6966</v>
      </c>
      <c r="AV800" t="s">
        <v>6966</v>
      </c>
      <c r="AW800" t="s">
        <v>6966</v>
      </c>
      <c r="AX800" t="s">
        <v>6966</v>
      </c>
      <c r="AY800" t="s">
        <v>6966</v>
      </c>
      <c r="AZ800">
        <v>0.119529</v>
      </c>
      <c r="BA800">
        <v>3.01E-4</v>
      </c>
    </row>
    <row r="801" spans="1:53" x14ac:dyDescent="0.25">
      <c r="A801">
        <v>799</v>
      </c>
      <c r="B801" t="s">
        <v>7625</v>
      </c>
      <c r="C801">
        <v>201047</v>
      </c>
      <c r="D801" t="s">
        <v>1139</v>
      </c>
      <c r="E801" t="s">
        <v>1069</v>
      </c>
      <c r="F801">
        <v>0</v>
      </c>
      <c r="G801">
        <v>39177.628905999998</v>
      </c>
      <c r="H801">
        <v>766</v>
      </c>
      <c r="I801">
        <v>969</v>
      </c>
      <c r="J801">
        <v>53451</v>
      </c>
      <c r="K801" t="s">
        <v>2471</v>
      </c>
      <c r="L801">
        <v>17</v>
      </c>
      <c r="M801">
        <v>17</v>
      </c>
      <c r="N801">
        <v>53451</v>
      </c>
      <c r="O801">
        <v>751</v>
      </c>
      <c r="P801" t="s">
        <v>3214</v>
      </c>
      <c r="Q801">
        <v>1.4</v>
      </c>
      <c r="R801">
        <v>169.87</v>
      </c>
      <c r="S801">
        <v>0.24</v>
      </c>
      <c r="T801">
        <v>28</v>
      </c>
      <c r="U801">
        <v>0</v>
      </c>
      <c r="V801">
        <v>39177.632153999999</v>
      </c>
      <c r="W801">
        <v>800</v>
      </c>
      <c r="X801">
        <v>0</v>
      </c>
      <c r="Y801">
        <v>799</v>
      </c>
      <c r="Z801" t="s">
        <v>6966</v>
      </c>
      <c r="AA801" t="s">
        <v>6966</v>
      </c>
      <c r="AB801" t="s">
        <v>6966</v>
      </c>
      <c r="AC801" t="s">
        <v>6966</v>
      </c>
      <c r="AD801" t="s">
        <v>6966</v>
      </c>
      <c r="AE801" t="s">
        <v>6966</v>
      </c>
      <c r="AF801" t="s">
        <v>6966</v>
      </c>
      <c r="AG801" t="s">
        <v>6966</v>
      </c>
      <c r="AH801" t="s">
        <v>6966</v>
      </c>
      <c r="AI801" t="s">
        <v>6966</v>
      </c>
      <c r="AJ801" t="s">
        <v>6966</v>
      </c>
      <c r="AK801" t="s">
        <v>6966</v>
      </c>
      <c r="AL801" t="s">
        <v>6966</v>
      </c>
      <c r="AM801" t="s">
        <v>6966</v>
      </c>
      <c r="AN801" t="s">
        <v>6966</v>
      </c>
      <c r="AO801" t="s">
        <v>6966</v>
      </c>
      <c r="AP801" t="s">
        <v>6966</v>
      </c>
      <c r="AQ801" t="s">
        <v>6966</v>
      </c>
      <c r="AR801" t="s">
        <v>6966</v>
      </c>
      <c r="AS801" t="s">
        <v>6966</v>
      </c>
      <c r="AT801" t="s">
        <v>6966</v>
      </c>
      <c r="AU801" t="s">
        <v>6966</v>
      </c>
      <c r="AV801" t="s">
        <v>6966</v>
      </c>
      <c r="AW801" t="s">
        <v>6966</v>
      </c>
      <c r="AX801" t="s">
        <v>6966</v>
      </c>
      <c r="AY801" t="s">
        <v>6966</v>
      </c>
      <c r="AZ801">
        <v>0.398559</v>
      </c>
      <c r="BA801">
        <v>2.2369999999999998E-3</v>
      </c>
    </row>
    <row r="802" spans="1:53" x14ac:dyDescent="0.25">
      <c r="A802">
        <v>800</v>
      </c>
      <c r="B802" t="s">
        <v>7625</v>
      </c>
      <c r="C802">
        <v>506004</v>
      </c>
      <c r="D802" t="s">
        <v>129</v>
      </c>
      <c r="E802" t="s">
        <v>7823</v>
      </c>
      <c r="F802">
        <v>442436.03125</v>
      </c>
      <c r="G802">
        <v>3582.523193</v>
      </c>
      <c r="H802">
        <v>767</v>
      </c>
      <c r="I802">
        <v>970</v>
      </c>
      <c r="J802">
        <v>22523</v>
      </c>
      <c r="K802" t="s">
        <v>7846</v>
      </c>
      <c r="L802">
        <v>3</v>
      </c>
      <c r="M802">
        <v>3</v>
      </c>
      <c r="N802">
        <v>22523</v>
      </c>
      <c r="O802">
        <v>752</v>
      </c>
      <c r="P802" t="s">
        <v>3212</v>
      </c>
      <c r="Q802">
        <v>2</v>
      </c>
      <c r="R802">
        <v>15.49</v>
      </c>
      <c r="S802">
        <v>0.56999999999999995</v>
      </c>
      <c r="T802">
        <v>5</v>
      </c>
      <c r="U802">
        <v>442436.05090600002</v>
      </c>
      <c r="V802">
        <v>3582.5236960000002</v>
      </c>
      <c r="W802">
        <v>801</v>
      </c>
      <c r="X802">
        <v>0</v>
      </c>
      <c r="Y802">
        <v>800</v>
      </c>
      <c r="Z802" t="s">
        <v>6966</v>
      </c>
      <c r="AA802" t="s">
        <v>6966</v>
      </c>
      <c r="AB802" t="s">
        <v>6966</v>
      </c>
      <c r="AC802" t="s">
        <v>6966</v>
      </c>
      <c r="AD802" t="s">
        <v>6966</v>
      </c>
      <c r="AE802" t="s">
        <v>6966</v>
      </c>
      <c r="AF802" t="s">
        <v>6966</v>
      </c>
      <c r="AG802" t="s">
        <v>6966</v>
      </c>
      <c r="AH802" t="s">
        <v>6966</v>
      </c>
      <c r="AI802" t="s">
        <v>6966</v>
      </c>
      <c r="AJ802" t="s">
        <v>6966</v>
      </c>
      <c r="AK802" t="s">
        <v>6966</v>
      </c>
      <c r="AL802" t="s">
        <v>6966</v>
      </c>
      <c r="AM802" t="s">
        <v>6966</v>
      </c>
      <c r="AN802" t="s">
        <v>6966</v>
      </c>
      <c r="AO802" t="s">
        <v>6966</v>
      </c>
      <c r="AP802" t="s">
        <v>6966</v>
      </c>
      <c r="AQ802" t="s">
        <v>6966</v>
      </c>
      <c r="AR802" t="s">
        <v>6966</v>
      </c>
      <c r="AS802" t="s">
        <v>6966</v>
      </c>
      <c r="AT802" t="s">
        <v>6966</v>
      </c>
      <c r="AU802" t="s">
        <v>6966</v>
      </c>
      <c r="AV802" t="s">
        <v>6966</v>
      </c>
      <c r="AW802" t="s">
        <v>6966</v>
      </c>
      <c r="AX802" t="s">
        <v>6966</v>
      </c>
      <c r="AY802" t="s">
        <v>6966</v>
      </c>
      <c r="AZ802">
        <v>3.5514999999999998E-2</v>
      </c>
      <c r="BA802">
        <v>4.3000000000000002E-5</v>
      </c>
    </row>
    <row r="803" spans="1:53" x14ac:dyDescent="0.25">
      <c r="A803">
        <v>801</v>
      </c>
      <c r="B803" t="s">
        <v>7625</v>
      </c>
      <c r="C803">
        <v>506080</v>
      </c>
      <c r="D803" t="s">
        <v>115</v>
      </c>
      <c r="E803" t="s">
        <v>7823</v>
      </c>
      <c r="F803">
        <v>1392412.375</v>
      </c>
      <c r="G803">
        <v>6157.0434569999998</v>
      </c>
      <c r="H803">
        <v>768</v>
      </c>
      <c r="I803">
        <v>971</v>
      </c>
      <c r="J803">
        <v>22447</v>
      </c>
      <c r="K803" t="s">
        <v>1649</v>
      </c>
      <c r="L803">
        <v>3</v>
      </c>
      <c r="M803">
        <v>3</v>
      </c>
      <c r="N803">
        <v>22447</v>
      </c>
      <c r="O803">
        <v>753</v>
      </c>
      <c r="P803" t="s">
        <v>3212</v>
      </c>
      <c r="Q803">
        <v>27.3</v>
      </c>
      <c r="R803">
        <v>37.770000000000003</v>
      </c>
      <c r="S803">
        <v>8.34</v>
      </c>
      <c r="T803">
        <v>12</v>
      </c>
      <c r="U803">
        <v>1392412.3924100001</v>
      </c>
      <c r="V803">
        <v>6157.0435820000002</v>
      </c>
      <c r="W803">
        <v>802</v>
      </c>
      <c r="X803">
        <v>1</v>
      </c>
      <c r="Y803">
        <v>801</v>
      </c>
      <c r="Z803">
        <v>71681</v>
      </c>
      <c r="AA803" s="76">
        <v>45930</v>
      </c>
      <c r="AB803">
        <v>2025</v>
      </c>
      <c r="AC803" t="s">
        <v>7433</v>
      </c>
      <c r="AD803">
        <v>30</v>
      </c>
      <c r="AE803" t="s">
        <v>7465</v>
      </c>
      <c r="AF803" t="s">
        <v>3212</v>
      </c>
      <c r="AG803" t="s">
        <v>3224</v>
      </c>
      <c r="AH803" t="s">
        <v>115</v>
      </c>
      <c r="AI803" t="s">
        <v>7466</v>
      </c>
      <c r="AJ803" t="s">
        <v>6966</v>
      </c>
      <c r="AK803">
        <v>33.923789999999997</v>
      </c>
      <c r="AL803">
        <v>35.614890000000003</v>
      </c>
      <c r="AM803" t="s">
        <v>6995</v>
      </c>
      <c r="AN803" t="s">
        <v>6966</v>
      </c>
      <c r="AO803" t="s">
        <v>7008</v>
      </c>
      <c r="AP803" t="s">
        <v>7467</v>
      </c>
      <c r="AQ803" t="s">
        <v>6998</v>
      </c>
      <c r="AR803" t="s">
        <v>6999</v>
      </c>
      <c r="AS803" t="s">
        <v>7036</v>
      </c>
      <c r="AT803">
        <v>0</v>
      </c>
      <c r="AU803">
        <v>0</v>
      </c>
      <c r="AV803" t="s">
        <v>6966</v>
      </c>
      <c r="AW803" t="s">
        <v>7002</v>
      </c>
      <c r="AX803" t="s">
        <v>6966</v>
      </c>
      <c r="AY803" t="s">
        <v>7003</v>
      </c>
      <c r="AZ803">
        <v>6.2687000000000007E-2</v>
      </c>
      <c r="BA803">
        <v>1.36E-4</v>
      </c>
    </row>
    <row r="804" spans="1:53" x14ac:dyDescent="0.25">
      <c r="A804">
        <v>802</v>
      </c>
      <c r="B804" t="s">
        <v>7625</v>
      </c>
      <c r="C804">
        <v>506099</v>
      </c>
      <c r="D804" t="s">
        <v>178</v>
      </c>
      <c r="E804" t="s">
        <v>7823</v>
      </c>
      <c r="F804">
        <v>1445434.125</v>
      </c>
      <c r="G804">
        <v>6538.4916990000002</v>
      </c>
      <c r="H804">
        <v>769</v>
      </c>
      <c r="I804">
        <v>972</v>
      </c>
      <c r="J804">
        <v>22771</v>
      </c>
      <c r="K804" t="s">
        <v>1704</v>
      </c>
      <c r="L804">
        <v>3</v>
      </c>
      <c r="M804">
        <v>3</v>
      </c>
      <c r="N804">
        <v>22771</v>
      </c>
      <c r="O804">
        <v>754</v>
      </c>
      <c r="P804" t="s">
        <v>3212</v>
      </c>
      <c r="Q804">
        <v>2.5</v>
      </c>
      <c r="R804">
        <v>20.07</v>
      </c>
      <c r="S804">
        <v>0.88</v>
      </c>
      <c r="T804">
        <v>8</v>
      </c>
      <c r="U804">
        <v>1445434.1366999999</v>
      </c>
      <c r="V804">
        <v>6538.4912029999996</v>
      </c>
      <c r="W804">
        <v>803</v>
      </c>
      <c r="X804">
        <v>0</v>
      </c>
      <c r="Y804">
        <v>802</v>
      </c>
      <c r="Z804" t="s">
        <v>6966</v>
      </c>
      <c r="AA804" t="s">
        <v>6966</v>
      </c>
      <c r="AB804" t="s">
        <v>6966</v>
      </c>
      <c r="AC804" t="s">
        <v>6966</v>
      </c>
      <c r="AD804" t="s">
        <v>6966</v>
      </c>
      <c r="AE804" t="s">
        <v>6966</v>
      </c>
      <c r="AF804" t="s">
        <v>6966</v>
      </c>
      <c r="AG804" t="s">
        <v>6966</v>
      </c>
      <c r="AH804" t="s">
        <v>6966</v>
      </c>
      <c r="AI804" t="s">
        <v>6966</v>
      </c>
      <c r="AJ804" t="s">
        <v>6966</v>
      </c>
      <c r="AK804" t="s">
        <v>6966</v>
      </c>
      <c r="AL804" t="s">
        <v>6966</v>
      </c>
      <c r="AM804" t="s">
        <v>6966</v>
      </c>
      <c r="AN804" t="s">
        <v>6966</v>
      </c>
      <c r="AO804" t="s">
        <v>6966</v>
      </c>
      <c r="AP804" t="s">
        <v>6966</v>
      </c>
      <c r="AQ804" t="s">
        <v>6966</v>
      </c>
      <c r="AR804" t="s">
        <v>6966</v>
      </c>
      <c r="AS804" t="s">
        <v>6966</v>
      </c>
      <c r="AT804" t="s">
        <v>6966</v>
      </c>
      <c r="AU804" t="s">
        <v>6966</v>
      </c>
      <c r="AV804" t="s">
        <v>6966</v>
      </c>
      <c r="AW804" t="s">
        <v>6966</v>
      </c>
      <c r="AX804" t="s">
        <v>6966</v>
      </c>
      <c r="AY804" t="s">
        <v>6966</v>
      </c>
      <c r="AZ804">
        <v>6.5875000000000003E-2</v>
      </c>
      <c r="BA804">
        <v>1.4100000000000001E-4</v>
      </c>
    </row>
    <row r="805" spans="1:53" x14ac:dyDescent="0.25">
      <c r="A805">
        <v>803</v>
      </c>
      <c r="B805" t="s">
        <v>7625</v>
      </c>
      <c r="C805">
        <v>506022</v>
      </c>
      <c r="D805" t="s">
        <v>116</v>
      </c>
      <c r="E805" t="s">
        <v>7823</v>
      </c>
      <c r="F805">
        <v>296099.8125</v>
      </c>
      <c r="G805">
        <v>2520.0114749999998</v>
      </c>
      <c r="H805">
        <v>770</v>
      </c>
      <c r="I805">
        <v>973</v>
      </c>
      <c r="J805">
        <v>22451</v>
      </c>
      <c r="K805" t="s">
        <v>1650</v>
      </c>
      <c r="L805">
        <v>3</v>
      </c>
      <c r="M805">
        <v>3</v>
      </c>
      <c r="N805">
        <v>22451</v>
      </c>
      <c r="O805">
        <v>755</v>
      </c>
      <c r="P805" t="s">
        <v>3212</v>
      </c>
      <c r="Q805">
        <v>40.700000000000003</v>
      </c>
      <c r="R805">
        <v>51.43</v>
      </c>
      <c r="S805">
        <v>11.46</v>
      </c>
      <c r="T805">
        <v>14</v>
      </c>
      <c r="U805">
        <v>296099.82176100003</v>
      </c>
      <c r="V805">
        <v>2520.0124649999998</v>
      </c>
      <c r="W805">
        <v>804</v>
      </c>
      <c r="X805">
        <v>0</v>
      </c>
      <c r="Y805">
        <v>803</v>
      </c>
      <c r="Z805" t="s">
        <v>6966</v>
      </c>
      <c r="AA805" t="s">
        <v>6966</v>
      </c>
      <c r="AB805" t="s">
        <v>6966</v>
      </c>
      <c r="AC805" t="s">
        <v>6966</v>
      </c>
      <c r="AD805" t="s">
        <v>6966</v>
      </c>
      <c r="AE805" t="s">
        <v>6966</v>
      </c>
      <c r="AF805" t="s">
        <v>6966</v>
      </c>
      <c r="AG805" t="s">
        <v>6966</v>
      </c>
      <c r="AH805" t="s">
        <v>6966</v>
      </c>
      <c r="AI805" t="s">
        <v>6966</v>
      </c>
      <c r="AJ805" t="s">
        <v>6966</v>
      </c>
      <c r="AK805" t="s">
        <v>6966</v>
      </c>
      <c r="AL805" t="s">
        <v>6966</v>
      </c>
      <c r="AM805" t="s">
        <v>6966</v>
      </c>
      <c r="AN805" t="s">
        <v>6966</v>
      </c>
      <c r="AO805" t="s">
        <v>6966</v>
      </c>
      <c r="AP805" t="s">
        <v>6966</v>
      </c>
      <c r="AQ805" t="s">
        <v>6966</v>
      </c>
      <c r="AR805" t="s">
        <v>6966</v>
      </c>
      <c r="AS805" t="s">
        <v>6966</v>
      </c>
      <c r="AT805" t="s">
        <v>6966</v>
      </c>
      <c r="AU805" t="s">
        <v>6966</v>
      </c>
      <c r="AV805" t="s">
        <v>6966</v>
      </c>
      <c r="AW805" t="s">
        <v>6966</v>
      </c>
      <c r="AX805" t="s">
        <v>6966</v>
      </c>
      <c r="AY805" t="s">
        <v>6966</v>
      </c>
      <c r="AZ805">
        <v>2.5073000000000002E-2</v>
      </c>
      <c r="BA805">
        <v>2.9E-5</v>
      </c>
    </row>
    <row r="806" spans="1:53" x14ac:dyDescent="0.25">
      <c r="A806">
        <v>804</v>
      </c>
      <c r="B806" t="s">
        <v>7625</v>
      </c>
      <c r="C806">
        <v>506076</v>
      </c>
      <c r="D806" t="s">
        <v>127</v>
      </c>
      <c r="E806" t="s">
        <v>7823</v>
      </c>
      <c r="F806">
        <v>923023.0625</v>
      </c>
      <c r="G806">
        <v>5925.6518550000001</v>
      </c>
      <c r="H806">
        <v>771</v>
      </c>
      <c r="I806">
        <v>974</v>
      </c>
      <c r="J806">
        <v>22515</v>
      </c>
      <c r="K806" t="s">
        <v>7847</v>
      </c>
      <c r="L806">
        <v>3</v>
      </c>
      <c r="M806">
        <v>3</v>
      </c>
      <c r="N806">
        <v>22515</v>
      </c>
      <c r="O806">
        <v>756</v>
      </c>
      <c r="P806" t="s">
        <v>3212</v>
      </c>
      <c r="Q806">
        <v>12.3</v>
      </c>
      <c r="R806">
        <v>43.8</v>
      </c>
      <c r="S806">
        <v>4.04</v>
      </c>
      <c r="T806">
        <v>16</v>
      </c>
      <c r="U806">
        <v>923023.12118100002</v>
      </c>
      <c r="V806">
        <v>5925.6519900000003</v>
      </c>
      <c r="W806">
        <v>805</v>
      </c>
      <c r="X806">
        <v>0</v>
      </c>
      <c r="Y806">
        <v>804</v>
      </c>
      <c r="Z806" t="s">
        <v>6966</v>
      </c>
      <c r="AA806" t="s">
        <v>6966</v>
      </c>
      <c r="AB806" t="s">
        <v>6966</v>
      </c>
      <c r="AC806" t="s">
        <v>6966</v>
      </c>
      <c r="AD806" t="s">
        <v>6966</v>
      </c>
      <c r="AE806" t="s">
        <v>6966</v>
      </c>
      <c r="AF806" t="s">
        <v>6966</v>
      </c>
      <c r="AG806" t="s">
        <v>6966</v>
      </c>
      <c r="AH806" t="s">
        <v>6966</v>
      </c>
      <c r="AI806" t="s">
        <v>6966</v>
      </c>
      <c r="AJ806" t="s">
        <v>6966</v>
      </c>
      <c r="AK806" t="s">
        <v>6966</v>
      </c>
      <c r="AL806" t="s">
        <v>6966</v>
      </c>
      <c r="AM806" t="s">
        <v>6966</v>
      </c>
      <c r="AN806" t="s">
        <v>6966</v>
      </c>
      <c r="AO806" t="s">
        <v>6966</v>
      </c>
      <c r="AP806" t="s">
        <v>6966</v>
      </c>
      <c r="AQ806" t="s">
        <v>6966</v>
      </c>
      <c r="AR806" t="s">
        <v>6966</v>
      </c>
      <c r="AS806" t="s">
        <v>6966</v>
      </c>
      <c r="AT806" t="s">
        <v>6966</v>
      </c>
      <c r="AU806" t="s">
        <v>6966</v>
      </c>
      <c r="AV806" t="s">
        <v>6966</v>
      </c>
      <c r="AW806" t="s">
        <v>6966</v>
      </c>
      <c r="AX806" t="s">
        <v>6966</v>
      </c>
      <c r="AY806" t="s">
        <v>6966</v>
      </c>
      <c r="AZ806">
        <v>5.9333999999999998E-2</v>
      </c>
      <c r="BA806">
        <v>9.0000000000000006E-5</v>
      </c>
    </row>
    <row r="807" spans="1:53" x14ac:dyDescent="0.25">
      <c r="A807">
        <v>805</v>
      </c>
      <c r="B807" t="s">
        <v>7625</v>
      </c>
      <c r="C807">
        <v>506001</v>
      </c>
      <c r="D807" t="s">
        <v>121</v>
      </c>
      <c r="E807" t="s">
        <v>7823</v>
      </c>
      <c r="F807">
        <v>440351.71875</v>
      </c>
      <c r="G807">
        <v>3575.976318</v>
      </c>
      <c r="H807">
        <v>772</v>
      </c>
      <c r="I807">
        <v>975</v>
      </c>
      <c r="J807">
        <v>22471</v>
      </c>
      <c r="K807" t="s">
        <v>7848</v>
      </c>
      <c r="L807">
        <v>3</v>
      </c>
      <c r="M807">
        <v>3</v>
      </c>
      <c r="N807">
        <v>22471</v>
      </c>
      <c r="O807">
        <v>757</v>
      </c>
      <c r="P807" t="s">
        <v>3212</v>
      </c>
      <c r="Q807">
        <v>24.8</v>
      </c>
      <c r="R807">
        <v>53.97</v>
      </c>
      <c r="S807">
        <v>7.14</v>
      </c>
      <c r="T807">
        <v>17</v>
      </c>
      <c r="U807">
        <v>440351.696513</v>
      </c>
      <c r="V807">
        <v>3575.9768410000001</v>
      </c>
      <c r="W807">
        <v>806</v>
      </c>
      <c r="X807">
        <v>0</v>
      </c>
      <c r="Y807">
        <v>805</v>
      </c>
      <c r="Z807" t="s">
        <v>6966</v>
      </c>
      <c r="AA807" t="s">
        <v>6966</v>
      </c>
      <c r="AB807" t="s">
        <v>6966</v>
      </c>
      <c r="AC807" t="s">
        <v>6966</v>
      </c>
      <c r="AD807" t="s">
        <v>6966</v>
      </c>
      <c r="AE807" t="s">
        <v>6966</v>
      </c>
      <c r="AF807" t="s">
        <v>6966</v>
      </c>
      <c r="AG807" t="s">
        <v>6966</v>
      </c>
      <c r="AH807" t="s">
        <v>6966</v>
      </c>
      <c r="AI807" t="s">
        <v>6966</v>
      </c>
      <c r="AJ807" t="s">
        <v>6966</v>
      </c>
      <c r="AK807" t="s">
        <v>6966</v>
      </c>
      <c r="AL807" t="s">
        <v>6966</v>
      </c>
      <c r="AM807" t="s">
        <v>6966</v>
      </c>
      <c r="AN807" t="s">
        <v>6966</v>
      </c>
      <c r="AO807" t="s">
        <v>6966</v>
      </c>
      <c r="AP807" t="s">
        <v>6966</v>
      </c>
      <c r="AQ807" t="s">
        <v>6966</v>
      </c>
      <c r="AR807" t="s">
        <v>6966</v>
      </c>
      <c r="AS807" t="s">
        <v>6966</v>
      </c>
      <c r="AT807" t="s">
        <v>6966</v>
      </c>
      <c r="AU807" t="s">
        <v>6966</v>
      </c>
      <c r="AV807" t="s">
        <v>6966</v>
      </c>
      <c r="AW807" t="s">
        <v>6966</v>
      </c>
      <c r="AX807" t="s">
        <v>6966</v>
      </c>
      <c r="AY807" t="s">
        <v>6966</v>
      </c>
      <c r="AZ807">
        <v>3.5848999999999999E-2</v>
      </c>
      <c r="BA807">
        <v>4.3000000000000002E-5</v>
      </c>
    </row>
    <row r="808" spans="1:53" x14ac:dyDescent="0.25">
      <c r="A808">
        <v>806</v>
      </c>
      <c r="B808" t="s">
        <v>7625</v>
      </c>
      <c r="C808">
        <v>201043</v>
      </c>
      <c r="D808" t="s">
        <v>1123</v>
      </c>
      <c r="E808" t="s">
        <v>1069</v>
      </c>
      <c r="F808">
        <v>5712371.5</v>
      </c>
      <c r="G808">
        <v>24359.595702999999</v>
      </c>
      <c r="H808">
        <v>773</v>
      </c>
      <c r="I808">
        <v>976</v>
      </c>
      <c r="J808">
        <v>53419</v>
      </c>
      <c r="K808" t="s">
        <v>2459</v>
      </c>
      <c r="L808">
        <v>17</v>
      </c>
      <c r="M808">
        <v>17</v>
      </c>
      <c r="N808">
        <v>53419</v>
      </c>
      <c r="O808">
        <v>758</v>
      </c>
      <c r="P808" t="s">
        <v>3214</v>
      </c>
      <c r="Q808">
        <v>5.4</v>
      </c>
      <c r="R808">
        <v>105.9</v>
      </c>
      <c r="S808">
        <v>1.17</v>
      </c>
      <c r="T808">
        <v>23</v>
      </c>
      <c r="U808">
        <v>5712371.2411799999</v>
      </c>
      <c r="V808">
        <v>24359.595981999999</v>
      </c>
      <c r="W808">
        <v>807</v>
      </c>
      <c r="X808">
        <v>0</v>
      </c>
      <c r="Y808">
        <v>806</v>
      </c>
      <c r="Z808" t="s">
        <v>6966</v>
      </c>
      <c r="AA808" t="s">
        <v>6966</v>
      </c>
      <c r="AB808" t="s">
        <v>6966</v>
      </c>
      <c r="AC808" t="s">
        <v>6966</v>
      </c>
      <c r="AD808" t="s">
        <v>6966</v>
      </c>
      <c r="AE808" t="s">
        <v>6966</v>
      </c>
      <c r="AF808" t="s">
        <v>6966</v>
      </c>
      <c r="AG808" t="s">
        <v>6966</v>
      </c>
      <c r="AH808" t="s">
        <v>6966</v>
      </c>
      <c r="AI808" t="s">
        <v>6966</v>
      </c>
      <c r="AJ808" t="s">
        <v>6966</v>
      </c>
      <c r="AK808" t="s">
        <v>6966</v>
      </c>
      <c r="AL808" t="s">
        <v>6966</v>
      </c>
      <c r="AM808" t="s">
        <v>6966</v>
      </c>
      <c r="AN808" t="s">
        <v>6966</v>
      </c>
      <c r="AO808" t="s">
        <v>6966</v>
      </c>
      <c r="AP808" t="s">
        <v>6966</v>
      </c>
      <c r="AQ808" t="s">
        <v>6966</v>
      </c>
      <c r="AR808" t="s">
        <v>6966</v>
      </c>
      <c r="AS808" t="s">
        <v>6966</v>
      </c>
      <c r="AT808" t="s">
        <v>6966</v>
      </c>
      <c r="AU808" t="s">
        <v>6966</v>
      </c>
      <c r="AV808" t="s">
        <v>6966</v>
      </c>
      <c r="AW808" t="s">
        <v>6966</v>
      </c>
      <c r="AX808" t="s">
        <v>6966</v>
      </c>
      <c r="AY808" t="s">
        <v>6966</v>
      </c>
      <c r="AZ808">
        <v>0.24319199999999999</v>
      </c>
      <c r="BA808">
        <v>5.5699999999999999E-4</v>
      </c>
    </row>
    <row r="809" spans="1:53" x14ac:dyDescent="0.25">
      <c r="A809">
        <v>807</v>
      </c>
      <c r="B809" t="s">
        <v>7625</v>
      </c>
      <c r="C809">
        <v>506090</v>
      </c>
      <c r="D809" t="s">
        <v>117</v>
      </c>
      <c r="E809" t="s">
        <v>7823</v>
      </c>
      <c r="F809">
        <v>4633469.5</v>
      </c>
      <c r="G809">
        <v>15083.671875</v>
      </c>
      <c r="H809">
        <v>774</v>
      </c>
      <c r="I809">
        <v>977</v>
      </c>
      <c r="J809">
        <v>22455</v>
      </c>
      <c r="K809" t="s">
        <v>1651</v>
      </c>
      <c r="L809">
        <v>3</v>
      </c>
      <c r="M809">
        <v>3</v>
      </c>
      <c r="N809">
        <v>22455</v>
      </c>
      <c r="O809">
        <v>759</v>
      </c>
      <c r="P809" t="s">
        <v>3212</v>
      </c>
      <c r="Q809">
        <v>16.5</v>
      </c>
      <c r="R809">
        <v>53.37</v>
      </c>
      <c r="S809">
        <v>4.6900000000000004</v>
      </c>
      <c r="T809">
        <v>15</v>
      </c>
      <c r="U809">
        <v>4633469.5396800004</v>
      </c>
      <c r="V809">
        <v>15083.673379</v>
      </c>
      <c r="W809">
        <v>808</v>
      </c>
      <c r="X809">
        <v>1</v>
      </c>
      <c r="Y809">
        <v>807</v>
      </c>
      <c r="Z809">
        <v>71682</v>
      </c>
      <c r="AA809" s="76">
        <v>45930</v>
      </c>
      <c r="AB809">
        <v>2025</v>
      </c>
      <c r="AC809" t="s">
        <v>7433</v>
      </c>
      <c r="AD809">
        <v>30</v>
      </c>
      <c r="AE809" t="s">
        <v>7468</v>
      </c>
      <c r="AF809" t="s">
        <v>3212</v>
      </c>
      <c r="AG809" t="s">
        <v>3224</v>
      </c>
      <c r="AH809" t="s">
        <v>117</v>
      </c>
      <c r="AI809" t="s">
        <v>3134</v>
      </c>
      <c r="AJ809" t="s">
        <v>6966</v>
      </c>
      <c r="AK809">
        <v>33.914479999999998</v>
      </c>
      <c r="AL809">
        <v>35.608980000000003</v>
      </c>
      <c r="AM809" t="s">
        <v>6995</v>
      </c>
      <c r="AN809" t="s">
        <v>6966</v>
      </c>
      <c r="AO809" t="s">
        <v>7008</v>
      </c>
      <c r="AP809" t="s">
        <v>7469</v>
      </c>
      <c r="AQ809" t="s">
        <v>6998</v>
      </c>
      <c r="AR809" t="s">
        <v>6999</v>
      </c>
      <c r="AS809" t="s">
        <v>7036</v>
      </c>
      <c r="AT809">
        <v>0</v>
      </c>
      <c r="AU809">
        <v>0</v>
      </c>
      <c r="AV809" t="s">
        <v>6966</v>
      </c>
      <c r="AW809" t="s">
        <v>7002</v>
      </c>
      <c r="AX809" t="s">
        <v>6966</v>
      </c>
      <c r="AY809" t="s">
        <v>7003</v>
      </c>
      <c r="AZ809">
        <v>0.15320500000000001</v>
      </c>
      <c r="BA809">
        <v>4.5199999999999998E-4</v>
      </c>
    </row>
    <row r="810" spans="1:53" x14ac:dyDescent="0.25">
      <c r="A810">
        <v>808</v>
      </c>
      <c r="B810" t="s">
        <v>7625</v>
      </c>
      <c r="C810">
        <v>506101</v>
      </c>
      <c r="D810" t="s">
        <v>136</v>
      </c>
      <c r="E810" t="s">
        <v>7823</v>
      </c>
      <c r="F810">
        <v>806326.375</v>
      </c>
      <c r="G810">
        <v>5208.6684569999998</v>
      </c>
      <c r="H810">
        <v>775</v>
      </c>
      <c r="I810">
        <v>978</v>
      </c>
      <c r="J810">
        <v>22551</v>
      </c>
      <c r="K810" t="s">
        <v>7849</v>
      </c>
      <c r="L810">
        <v>3</v>
      </c>
      <c r="M810">
        <v>3</v>
      </c>
      <c r="N810">
        <v>22551</v>
      </c>
      <c r="O810">
        <v>760</v>
      </c>
      <c r="P810" t="s">
        <v>3212</v>
      </c>
      <c r="Q810">
        <v>14.3</v>
      </c>
      <c r="R810">
        <v>57.87</v>
      </c>
      <c r="S810">
        <v>5.03</v>
      </c>
      <c r="T810">
        <v>20</v>
      </c>
      <c r="U810">
        <v>806326.33730300004</v>
      </c>
      <c r="V810">
        <v>5208.6683569999996</v>
      </c>
      <c r="W810">
        <v>809</v>
      </c>
      <c r="X810">
        <v>0</v>
      </c>
      <c r="Y810">
        <v>808</v>
      </c>
      <c r="Z810" t="s">
        <v>6966</v>
      </c>
      <c r="AA810" t="s">
        <v>6966</v>
      </c>
      <c r="AB810" t="s">
        <v>6966</v>
      </c>
      <c r="AC810" t="s">
        <v>6966</v>
      </c>
      <c r="AD810" t="s">
        <v>6966</v>
      </c>
      <c r="AE810" t="s">
        <v>6966</v>
      </c>
      <c r="AF810" t="s">
        <v>6966</v>
      </c>
      <c r="AG810" t="s">
        <v>6966</v>
      </c>
      <c r="AH810" t="s">
        <v>6966</v>
      </c>
      <c r="AI810" t="s">
        <v>6966</v>
      </c>
      <c r="AJ810" t="s">
        <v>6966</v>
      </c>
      <c r="AK810" t="s">
        <v>6966</v>
      </c>
      <c r="AL810" t="s">
        <v>6966</v>
      </c>
      <c r="AM810" t="s">
        <v>6966</v>
      </c>
      <c r="AN810" t="s">
        <v>6966</v>
      </c>
      <c r="AO810" t="s">
        <v>6966</v>
      </c>
      <c r="AP810" t="s">
        <v>6966</v>
      </c>
      <c r="AQ810" t="s">
        <v>6966</v>
      </c>
      <c r="AR810" t="s">
        <v>6966</v>
      </c>
      <c r="AS810" t="s">
        <v>6966</v>
      </c>
      <c r="AT810" t="s">
        <v>6966</v>
      </c>
      <c r="AU810" t="s">
        <v>6966</v>
      </c>
      <c r="AV810" t="s">
        <v>6966</v>
      </c>
      <c r="AW810" t="s">
        <v>6966</v>
      </c>
      <c r="AX810" t="s">
        <v>6966</v>
      </c>
      <c r="AY810" t="s">
        <v>6966</v>
      </c>
      <c r="AZ810">
        <v>5.2371000000000001E-2</v>
      </c>
      <c r="BA810">
        <v>7.8999999999999996E-5</v>
      </c>
    </row>
    <row r="811" spans="1:53" x14ac:dyDescent="0.25">
      <c r="A811">
        <v>809</v>
      </c>
      <c r="B811" t="s">
        <v>7625</v>
      </c>
      <c r="C811">
        <v>506024</v>
      </c>
      <c r="D811" t="s">
        <v>132</v>
      </c>
      <c r="E811" t="s">
        <v>7823</v>
      </c>
      <c r="F811">
        <v>3297648</v>
      </c>
      <c r="G811">
        <v>12570.673828000001</v>
      </c>
      <c r="H811">
        <v>776</v>
      </c>
      <c r="I811">
        <v>979</v>
      </c>
      <c r="J811">
        <v>22535</v>
      </c>
      <c r="K811" t="s">
        <v>1664</v>
      </c>
      <c r="L811">
        <v>3</v>
      </c>
      <c r="M811">
        <v>3</v>
      </c>
      <c r="N811">
        <v>22535</v>
      </c>
      <c r="O811">
        <v>761</v>
      </c>
      <c r="P811" t="s">
        <v>3212</v>
      </c>
      <c r="Q811">
        <v>5.4</v>
      </c>
      <c r="R811">
        <v>37.19</v>
      </c>
      <c r="S811">
        <v>1.98</v>
      </c>
      <c r="T811">
        <v>14</v>
      </c>
      <c r="U811">
        <v>3297647.9708799999</v>
      </c>
      <c r="V811">
        <v>12570.673948</v>
      </c>
      <c r="W811">
        <v>810</v>
      </c>
      <c r="X811">
        <v>0</v>
      </c>
      <c r="Y811">
        <v>809</v>
      </c>
      <c r="Z811" t="s">
        <v>6966</v>
      </c>
      <c r="AA811" t="s">
        <v>6966</v>
      </c>
      <c r="AB811" t="s">
        <v>6966</v>
      </c>
      <c r="AC811" t="s">
        <v>6966</v>
      </c>
      <c r="AD811" t="s">
        <v>6966</v>
      </c>
      <c r="AE811" t="s">
        <v>6966</v>
      </c>
      <c r="AF811" t="s">
        <v>6966</v>
      </c>
      <c r="AG811" t="s">
        <v>6966</v>
      </c>
      <c r="AH811" t="s">
        <v>6966</v>
      </c>
      <c r="AI811" t="s">
        <v>6966</v>
      </c>
      <c r="AJ811" t="s">
        <v>6966</v>
      </c>
      <c r="AK811" t="s">
        <v>6966</v>
      </c>
      <c r="AL811" t="s">
        <v>6966</v>
      </c>
      <c r="AM811" t="s">
        <v>6966</v>
      </c>
      <c r="AN811" t="s">
        <v>6966</v>
      </c>
      <c r="AO811" t="s">
        <v>6966</v>
      </c>
      <c r="AP811" t="s">
        <v>6966</v>
      </c>
      <c r="AQ811" t="s">
        <v>6966</v>
      </c>
      <c r="AR811" t="s">
        <v>6966</v>
      </c>
      <c r="AS811" t="s">
        <v>6966</v>
      </c>
      <c r="AT811" t="s">
        <v>6966</v>
      </c>
      <c r="AU811" t="s">
        <v>6966</v>
      </c>
      <c r="AV811" t="s">
        <v>6966</v>
      </c>
      <c r="AW811" t="s">
        <v>6966</v>
      </c>
      <c r="AX811" t="s">
        <v>6966</v>
      </c>
      <c r="AY811" t="s">
        <v>6966</v>
      </c>
      <c r="AZ811">
        <v>0.12540100000000001</v>
      </c>
      <c r="BA811">
        <v>3.21E-4</v>
      </c>
    </row>
    <row r="812" spans="1:53" x14ac:dyDescent="0.25">
      <c r="A812">
        <v>810</v>
      </c>
      <c r="B812" t="s">
        <v>7625</v>
      </c>
      <c r="C812">
        <v>506016</v>
      </c>
      <c r="D812" t="s">
        <v>95</v>
      </c>
      <c r="E812" t="s">
        <v>7823</v>
      </c>
      <c r="F812">
        <v>1993560.5</v>
      </c>
      <c r="G812">
        <v>9097.65625</v>
      </c>
      <c r="H812">
        <v>777</v>
      </c>
      <c r="I812">
        <v>981</v>
      </c>
      <c r="J812">
        <v>22311</v>
      </c>
      <c r="K812" t="s">
        <v>7850</v>
      </c>
      <c r="L812">
        <v>3</v>
      </c>
      <c r="M812">
        <v>3</v>
      </c>
      <c r="N812">
        <v>22311</v>
      </c>
      <c r="O812">
        <v>763</v>
      </c>
      <c r="P812" t="s">
        <v>3212</v>
      </c>
      <c r="Q812">
        <v>66.3</v>
      </c>
      <c r="R812">
        <v>127.69</v>
      </c>
      <c r="S812">
        <v>15.28</v>
      </c>
      <c r="T812">
        <v>29</v>
      </c>
      <c r="U812">
        <v>1993560.4920600001</v>
      </c>
      <c r="V812">
        <v>9097.6563939999996</v>
      </c>
      <c r="W812">
        <v>811</v>
      </c>
      <c r="X812">
        <v>1</v>
      </c>
      <c r="Y812">
        <v>810</v>
      </c>
      <c r="Z812">
        <v>77074</v>
      </c>
      <c r="AA812" s="76">
        <v>46006</v>
      </c>
      <c r="AB812">
        <v>2025</v>
      </c>
      <c r="AC812" t="s">
        <v>7557</v>
      </c>
      <c r="AD812">
        <v>15</v>
      </c>
      <c r="AE812" t="s">
        <v>7575</v>
      </c>
      <c r="AF812" t="s">
        <v>3212</v>
      </c>
      <c r="AG812" t="s">
        <v>3224</v>
      </c>
      <c r="AH812" t="s">
        <v>95</v>
      </c>
      <c r="AI812" t="s">
        <v>95</v>
      </c>
      <c r="AJ812" t="s">
        <v>6966</v>
      </c>
      <c r="AK812">
        <v>33.914839999999998</v>
      </c>
      <c r="AL812">
        <v>35.592089999999999</v>
      </c>
      <c r="AM812" t="s">
        <v>7013</v>
      </c>
      <c r="AN812" t="s">
        <v>7014</v>
      </c>
      <c r="AO812" t="s">
        <v>7008</v>
      </c>
      <c r="AP812" t="s">
        <v>7576</v>
      </c>
      <c r="AQ812" t="s">
        <v>6998</v>
      </c>
      <c r="AR812" t="s">
        <v>6999</v>
      </c>
      <c r="AS812" t="s">
        <v>7000</v>
      </c>
      <c r="AT812">
        <v>0</v>
      </c>
      <c r="AU812">
        <v>0</v>
      </c>
      <c r="AV812" t="s">
        <v>7577</v>
      </c>
      <c r="AW812" t="s">
        <v>7043</v>
      </c>
      <c r="AX812" t="s">
        <v>6966</v>
      </c>
      <c r="AY812" t="s">
        <v>7003</v>
      </c>
      <c r="AZ812">
        <v>9.2854000000000006E-2</v>
      </c>
      <c r="BA812">
        <v>1.94E-4</v>
      </c>
    </row>
    <row r="813" spans="1:53" x14ac:dyDescent="0.25">
      <c r="A813">
        <v>811</v>
      </c>
      <c r="B813" t="s">
        <v>7625</v>
      </c>
      <c r="C813">
        <v>506068</v>
      </c>
      <c r="D813" t="s">
        <v>167</v>
      </c>
      <c r="E813" t="s">
        <v>7823</v>
      </c>
      <c r="F813">
        <v>1670808.125</v>
      </c>
      <c r="G813">
        <v>7411.5346680000002</v>
      </c>
      <c r="H813">
        <v>778</v>
      </c>
      <c r="I813">
        <v>980</v>
      </c>
      <c r="J813">
        <v>22734</v>
      </c>
      <c r="K813" t="s">
        <v>167</v>
      </c>
      <c r="L813">
        <v>3</v>
      </c>
      <c r="M813">
        <v>3</v>
      </c>
      <c r="N813">
        <v>22734</v>
      </c>
      <c r="O813">
        <v>762</v>
      </c>
      <c r="P813" t="s">
        <v>3212</v>
      </c>
      <c r="Q813">
        <v>3.5</v>
      </c>
      <c r="R813">
        <v>58.41</v>
      </c>
      <c r="S813">
        <v>1.1599999999999999</v>
      </c>
      <c r="T813">
        <v>19</v>
      </c>
      <c r="U813">
        <v>1670808.1758099999</v>
      </c>
      <c r="V813">
        <v>7411.534576</v>
      </c>
      <c r="W813">
        <v>812</v>
      </c>
      <c r="X813">
        <v>0</v>
      </c>
      <c r="Y813">
        <v>811</v>
      </c>
      <c r="Z813" t="s">
        <v>6966</v>
      </c>
      <c r="AA813" t="s">
        <v>6966</v>
      </c>
      <c r="AB813" t="s">
        <v>6966</v>
      </c>
      <c r="AC813" t="s">
        <v>6966</v>
      </c>
      <c r="AD813" t="s">
        <v>6966</v>
      </c>
      <c r="AE813" t="s">
        <v>6966</v>
      </c>
      <c r="AF813" t="s">
        <v>6966</v>
      </c>
      <c r="AG813" t="s">
        <v>6966</v>
      </c>
      <c r="AH813" t="s">
        <v>6966</v>
      </c>
      <c r="AI813" t="s">
        <v>6966</v>
      </c>
      <c r="AJ813" t="s">
        <v>6966</v>
      </c>
      <c r="AK813" t="s">
        <v>6966</v>
      </c>
      <c r="AL813" t="s">
        <v>6966</v>
      </c>
      <c r="AM813" t="s">
        <v>6966</v>
      </c>
      <c r="AN813" t="s">
        <v>6966</v>
      </c>
      <c r="AO813" t="s">
        <v>6966</v>
      </c>
      <c r="AP813" t="s">
        <v>6966</v>
      </c>
      <c r="AQ813" t="s">
        <v>6966</v>
      </c>
      <c r="AR813" t="s">
        <v>6966</v>
      </c>
      <c r="AS813" t="s">
        <v>6966</v>
      </c>
      <c r="AT813" t="s">
        <v>6966</v>
      </c>
      <c r="AU813" t="s">
        <v>6966</v>
      </c>
      <c r="AV813" t="s">
        <v>6966</v>
      </c>
      <c r="AW813" t="s">
        <v>6966</v>
      </c>
      <c r="AX813" t="s">
        <v>6966</v>
      </c>
      <c r="AY813" t="s">
        <v>6966</v>
      </c>
      <c r="AZ813">
        <v>7.4428999999999995E-2</v>
      </c>
      <c r="BA813">
        <v>1.63E-4</v>
      </c>
    </row>
    <row r="814" spans="1:53" x14ac:dyDescent="0.25">
      <c r="A814">
        <v>812</v>
      </c>
      <c r="B814" t="s">
        <v>7625</v>
      </c>
      <c r="C814">
        <v>201077</v>
      </c>
      <c r="D814" t="s">
        <v>1120</v>
      </c>
      <c r="E814" t="s">
        <v>1069</v>
      </c>
      <c r="F814">
        <v>6511699.5</v>
      </c>
      <c r="G814">
        <v>12983.726563</v>
      </c>
      <c r="H814">
        <v>779</v>
      </c>
      <c r="I814">
        <v>982</v>
      </c>
      <c r="J814">
        <v>53413</v>
      </c>
      <c r="K814" t="s">
        <v>2456</v>
      </c>
      <c r="L814">
        <v>17</v>
      </c>
      <c r="M814">
        <v>17</v>
      </c>
      <c r="N814">
        <v>53413</v>
      </c>
      <c r="O814">
        <v>764</v>
      </c>
      <c r="P814" t="s">
        <v>3214</v>
      </c>
      <c r="Q814">
        <v>5.0999999999999996</v>
      </c>
      <c r="R814">
        <v>107.82</v>
      </c>
      <c r="S814">
        <v>1.24</v>
      </c>
      <c r="T814">
        <v>26</v>
      </c>
      <c r="U814">
        <v>6511699.5823600003</v>
      </c>
      <c r="V814">
        <v>12983.726280000001</v>
      </c>
      <c r="W814">
        <v>813</v>
      </c>
      <c r="X814">
        <v>0</v>
      </c>
      <c r="Y814">
        <v>812</v>
      </c>
      <c r="Z814" t="s">
        <v>6966</v>
      </c>
      <c r="AA814" t="s">
        <v>6966</v>
      </c>
      <c r="AB814" t="s">
        <v>6966</v>
      </c>
      <c r="AC814" t="s">
        <v>6966</v>
      </c>
      <c r="AD814" t="s">
        <v>6966</v>
      </c>
      <c r="AE814" t="s">
        <v>6966</v>
      </c>
      <c r="AF814" t="s">
        <v>6966</v>
      </c>
      <c r="AG814" t="s">
        <v>6966</v>
      </c>
      <c r="AH814" t="s">
        <v>6966</v>
      </c>
      <c r="AI814" t="s">
        <v>6966</v>
      </c>
      <c r="AJ814" t="s">
        <v>6966</v>
      </c>
      <c r="AK814" t="s">
        <v>6966</v>
      </c>
      <c r="AL814" t="s">
        <v>6966</v>
      </c>
      <c r="AM814" t="s">
        <v>6966</v>
      </c>
      <c r="AN814" t="s">
        <v>6966</v>
      </c>
      <c r="AO814" t="s">
        <v>6966</v>
      </c>
      <c r="AP814" t="s">
        <v>6966</v>
      </c>
      <c r="AQ814" t="s">
        <v>6966</v>
      </c>
      <c r="AR814" t="s">
        <v>6966</v>
      </c>
      <c r="AS814" t="s">
        <v>6966</v>
      </c>
      <c r="AT814" t="s">
        <v>6966</v>
      </c>
      <c r="AU814" t="s">
        <v>6966</v>
      </c>
      <c r="AV814" t="s">
        <v>6966</v>
      </c>
      <c r="AW814" t="s">
        <v>6966</v>
      </c>
      <c r="AX814" t="s">
        <v>6966</v>
      </c>
      <c r="AY814" t="s">
        <v>6966</v>
      </c>
      <c r="AZ814">
        <v>0.128555</v>
      </c>
      <c r="BA814">
        <v>6.3500000000000004E-4</v>
      </c>
    </row>
    <row r="815" spans="1:53" x14ac:dyDescent="0.25">
      <c r="A815">
        <v>813</v>
      </c>
      <c r="B815" t="s">
        <v>7625</v>
      </c>
      <c r="C815">
        <v>201056</v>
      </c>
      <c r="D815" t="s">
        <v>1135</v>
      </c>
      <c r="E815" t="s">
        <v>1069</v>
      </c>
      <c r="F815">
        <v>7007887.5</v>
      </c>
      <c r="G815">
        <v>15936.325194999999</v>
      </c>
      <c r="H815">
        <v>780</v>
      </c>
      <c r="I815">
        <v>983</v>
      </c>
      <c r="J815">
        <v>53443</v>
      </c>
      <c r="K815" t="s">
        <v>7851</v>
      </c>
      <c r="L815">
        <v>17</v>
      </c>
      <c r="M815">
        <v>17</v>
      </c>
      <c r="N815">
        <v>53443</v>
      </c>
      <c r="O815">
        <v>765</v>
      </c>
      <c r="P815" t="s">
        <v>3214</v>
      </c>
      <c r="Q815">
        <v>3.9</v>
      </c>
      <c r="R815">
        <v>241.53</v>
      </c>
      <c r="S815">
        <v>0.87</v>
      </c>
      <c r="T815">
        <v>53</v>
      </c>
      <c r="U815">
        <v>7007887.4403299997</v>
      </c>
      <c r="V815">
        <v>15936.325376000001</v>
      </c>
      <c r="W815">
        <v>814</v>
      </c>
      <c r="X815">
        <v>0</v>
      </c>
      <c r="Y815">
        <v>813</v>
      </c>
      <c r="Z815" t="s">
        <v>6966</v>
      </c>
      <c r="AA815" t="s">
        <v>6966</v>
      </c>
      <c r="AB815" t="s">
        <v>6966</v>
      </c>
      <c r="AC815" t="s">
        <v>6966</v>
      </c>
      <c r="AD815" t="s">
        <v>6966</v>
      </c>
      <c r="AE815" t="s">
        <v>6966</v>
      </c>
      <c r="AF815" t="s">
        <v>6966</v>
      </c>
      <c r="AG815" t="s">
        <v>6966</v>
      </c>
      <c r="AH815" t="s">
        <v>6966</v>
      </c>
      <c r="AI815" t="s">
        <v>6966</v>
      </c>
      <c r="AJ815" t="s">
        <v>6966</v>
      </c>
      <c r="AK815" t="s">
        <v>6966</v>
      </c>
      <c r="AL815" t="s">
        <v>6966</v>
      </c>
      <c r="AM815" t="s">
        <v>6966</v>
      </c>
      <c r="AN815" t="s">
        <v>6966</v>
      </c>
      <c r="AO815" t="s">
        <v>6966</v>
      </c>
      <c r="AP815" t="s">
        <v>6966</v>
      </c>
      <c r="AQ815" t="s">
        <v>6966</v>
      </c>
      <c r="AR815" t="s">
        <v>6966</v>
      </c>
      <c r="AS815" t="s">
        <v>6966</v>
      </c>
      <c r="AT815" t="s">
        <v>6966</v>
      </c>
      <c r="AU815" t="s">
        <v>6966</v>
      </c>
      <c r="AV815" t="s">
        <v>6966</v>
      </c>
      <c r="AW815" t="s">
        <v>6966</v>
      </c>
      <c r="AX815" t="s">
        <v>6966</v>
      </c>
      <c r="AY815" t="s">
        <v>6966</v>
      </c>
      <c r="AZ815">
        <v>0.16345699999999999</v>
      </c>
      <c r="BA815">
        <v>6.8300000000000001E-4</v>
      </c>
    </row>
    <row r="816" spans="1:53" x14ac:dyDescent="0.25">
      <c r="A816">
        <v>814</v>
      </c>
      <c r="B816" t="s">
        <v>7625</v>
      </c>
      <c r="C816">
        <v>301004</v>
      </c>
      <c r="D816" t="s">
        <v>29</v>
      </c>
      <c r="E816" t="s">
        <v>3177</v>
      </c>
      <c r="F816">
        <v>618976.75</v>
      </c>
      <c r="G816">
        <v>9181.1103519999997</v>
      </c>
      <c r="H816">
        <v>781</v>
      </c>
      <c r="I816">
        <v>1941</v>
      </c>
      <c r="J816">
        <v>10999</v>
      </c>
      <c r="K816" t="s">
        <v>29</v>
      </c>
      <c r="L816">
        <v>1</v>
      </c>
      <c r="M816">
        <v>1</v>
      </c>
      <c r="N816">
        <v>0</v>
      </c>
      <c r="O816">
        <v>1631</v>
      </c>
      <c r="P816" t="s">
        <v>3177</v>
      </c>
      <c r="Q816">
        <v>0</v>
      </c>
      <c r="R816">
        <v>0</v>
      </c>
      <c r="S816">
        <v>0</v>
      </c>
      <c r="T816">
        <v>0</v>
      </c>
      <c r="U816">
        <v>618976.76123099995</v>
      </c>
      <c r="V816">
        <v>9181.1111830000009</v>
      </c>
      <c r="W816">
        <v>815</v>
      </c>
      <c r="X816">
        <v>1</v>
      </c>
      <c r="Y816">
        <v>814</v>
      </c>
      <c r="Z816">
        <v>67627</v>
      </c>
      <c r="AA816" s="76">
        <v>45877</v>
      </c>
      <c r="AB816">
        <v>2025</v>
      </c>
      <c r="AC816" t="s">
        <v>7379</v>
      </c>
      <c r="AD816">
        <v>8</v>
      </c>
      <c r="AE816" t="s">
        <v>7384</v>
      </c>
      <c r="AF816" t="s">
        <v>3212</v>
      </c>
      <c r="AG816" t="s">
        <v>3229</v>
      </c>
      <c r="AH816" t="s">
        <v>414</v>
      </c>
      <c r="AI816" t="s">
        <v>3129</v>
      </c>
      <c r="AJ816" t="s">
        <v>6966</v>
      </c>
      <c r="AK816">
        <v>33.905200000000001</v>
      </c>
      <c r="AL816">
        <v>35.506300000000003</v>
      </c>
      <c r="AM816" t="s">
        <v>7014</v>
      </c>
      <c r="AN816" t="s">
        <v>6966</v>
      </c>
      <c r="AO816" t="s">
        <v>7342</v>
      </c>
      <c r="AP816" t="s">
        <v>7385</v>
      </c>
      <c r="AQ816" t="s">
        <v>6998</v>
      </c>
      <c r="AR816" t="s">
        <v>6999</v>
      </c>
      <c r="AS816" t="s">
        <v>7036</v>
      </c>
      <c r="AT816">
        <v>0</v>
      </c>
      <c r="AU816">
        <v>0</v>
      </c>
      <c r="AV816" t="s">
        <v>6966</v>
      </c>
      <c r="AW816" t="s">
        <v>7119</v>
      </c>
      <c r="AX816" t="s">
        <v>6966</v>
      </c>
      <c r="AY816" t="s">
        <v>7003</v>
      </c>
      <c r="AZ816">
        <v>9.4353000000000006E-2</v>
      </c>
      <c r="BA816">
        <v>6.0000000000000002E-5</v>
      </c>
    </row>
    <row r="817" spans="1:53" x14ac:dyDescent="0.25">
      <c r="A817">
        <v>815</v>
      </c>
      <c r="B817" t="s">
        <v>7625</v>
      </c>
      <c r="C817">
        <v>201065</v>
      </c>
      <c r="D817" t="s">
        <v>7852</v>
      </c>
      <c r="E817" t="s">
        <v>1069</v>
      </c>
      <c r="F817">
        <v>2611802.75</v>
      </c>
      <c r="G817">
        <v>12661.303711</v>
      </c>
      <c r="H817">
        <v>782</v>
      </c>
      <c r="I817">
        <v>984</v>
      </c>
      <c r="J817">
        <v>53421</v>
      </c>
      <c r="K817" t="s">
        <v>2460</v>
      </c>
      <c r="L817">
        <v>17</v>
      </c>
      <c r="M817">
        <v>17</v>
      </c>
      <c r="N817">
        <v>53421</v>
      </c>
      <c r="O817">
        <v>766</v>
      </c>
      <c r="P817" t="s">
        <v>3214</v>
      </c>
      <c r="Q817">
        <v>1</v>
      </c>
      <c r="R817">
        <v>66.02</v>
      </c>
      <c r="S817">
        <v>0.25</v>
      </c>
      <c r="T817">
        <v>17</v>
      </c>
      <c r="U817">
        <v>2611802.73172</v>
      </c>
      <c r="V817">
        <v>12661.303647999999</v>
      </c>
      <c r="W817">
        <v>816</v>
      </c>
      <c r="X817">
        <v>0</v>
      </c>
      <c r="Y817">
        <v>815</v>
      </c>
      <c r="Z817" t="s">
        <v>6966</v>
      </c>
      <c r="AA817" t="s">
        <v>6966</v>
      </c>
      <c r="AB817" t="s">
        <v>6966</v>
      </c>
      <c r="AC817" t="s">
        <v>6966</v>
      </c>
      <c r="AD817" t="s">
        <v>6966</v>
      </c>
      <c r="AE817" t="s">
        <v>6966</v>
      </c>
      <c r="AF817" t="s">
        <v>6966</v>
      </c>
      <c r="AG817" t="s">
        <v>6966</v>
      </c>
      <c r="AH817" t="s">
        <v>6966</v>
      </c>
      <c r="AI817" t="s">
        <v>6966</v>
      </c>
      <c r="AJ817" t="s">
        <v>6966</v>
      </c>
      <c r="AK817" t="s">
        <v>6966</v>
      </c>
      <c r="AL817" t="s">
        <v>6966</v>
      </c>
      <c r="AM817" t="s">
        <v>6966</v>
      </c>
      <c r="AN817" t="s">
        <v>6966</v>
      </c>
      <c r="AO817" t="s">
        <v>6966</v>
      </c>
      <c r="AP817" t="s">
        <v>6966</v>
      </c>
      <c r="AQ817" t="s">
        <v>6966</v>
      </c>
      <c r="AR817" t="s">
        <v>6966</v>
      </c>
      <c r="AS817" t="s">
        <v>6966</v>
      </c>
      <c r="AT817" t="s">
        <v>6966</v>
      </c>
      <c r="AU817" t="s">
        <v>6966</v>
      </c>
      <c r="AV817" t="s">
        <v>6966</v>
      </c>
      <c r="AW817" t="s">
        <v>6966</v>
      </c>
      <c r="AX817" t="s">
        <v>6966</v>
      </c>
      <c r="AY817" t="s">
        <v>6966</v>
      </c>
      <c r="AZ817">
        <v>0.128027</v>
      </c>
      <c r="BA817">
        <v>2.5500000000000002E-4</v>
      </c>
    </row>
    <row r="818" spans="1:53" x14ac:dyDescent="0.25">
      <c r="A818">
        <v>816</v>
      </c>
      <c r="B818" t="s">
        <v>7625</v>
      </c>
      <c r="C818">
        <v>506011</v>
      </c>
      <c r="D818" t="s">
        <v>7853</v>
      </c>
      <c r="E818" t="s">
        <v>7823</v>
      </c>
      <c r="F818">
        <v>1041447.875</v>
      </c>
      <c r="G818">
        <v>6486.0190430000002</v>
      </c>
      <c r="H818">
        <v>783</v>
      </c>
      <c r="I818">
        <v>985</v>
      </c>
      <c r="J818">
        <v>22555</v>
      </c>
      <c r="K818" t="s">
        <v>7854</v>
      </c>
      <c r="L818">
        <v>3</v>
      </c>
      <c r="M818">
        <v>3</v>
      </c>
      <c r="N818">
        <v>22555</v>
      </c>
      <c r="O818">
        <v>767</v>
      </c>
      <c r="P818" t="s">
        <v>3212</v>
      </c>
      <c r="Q818">
        <v>8.6</v>
      </c>
      <c r="R818">
        <v>219.53</v>
      </c>
      <c r="S818">
        <v>2.57</v>
      </c>
      <c r="T818">
        <v>65</v>
      </c>
      <c r="U818">
        <v>1041447.8292</v>
      </c>
      <c r="V818">
        <v>6486.019695</v>
      </c>
      <c r="W818">
        <v>817</v>
      </c>
      <c r="X818">
        <v>0</v>
      </c>
      <c r="Y818">
        <v>816</v>
      </c>
      <c r="Z818" t="s">
        <v>6966</v>
      </c>
      <c r="AA818" t="s">
        <v>6966</v>
      </c>
      <c r="AB818" t="s">
        <v>6966</v>
      </c>
      <c r="AC818" t="s">
        <v>6966</v>
      </c>
      <c r="AD818" t="s">
        <v>6966</v>
      </c>
      <c r="AE818" t="s">
        <v>6966</v>
      </c>
      <c r="AF818" t="s">
        <v>6966</v>
      </c>
      <c r="AG818" t="s">
        <v>6966</v>
      </c>
      <c r="AH818" t="s">
        <v>6966</v>
      </c>
      <c r="AI818" t="s">
        <v>6966</v>
      </c>
      <c r="AJ818" t="s">
        <v>6966</v>
      </c>
      <c r="AK818" t="s">
        <v>6966</v>
      </c>
      <c r="AL818" t="s">
        <v>6966</v>
      </c>
      <c r="AM818" t="s">
        <v>6966</v>
      </c>
      <c r="AN818" t="s">
        <v>6966</v>
      </c>
      <c r="AO818" t="s">
        <v>6966</v>
      </c>
      <c r="AP818" t="s">
        <v>6966</v>
      </c>
      <c r="AQ818" t="s">
        <v>6966</v>
      </c>
      <c r="AR818" t="s">
        <v>6966</v>
      </c>
      <c r="AS818" t="s">
        <v>6966</v>
      </c>
      <c r="AT818" t="s">
        <v>6966</v>
      </c>
      <c r="AU818" t="s">
        <v>6966</v>
      </c>
      <c r="AV818" t="s">
        <v>6966</v>
      </c>
      <c r="AW818" t="s">
        <v>6966</v>
      </c>
      <c r="AX818" t="s">
        <v>6966</v>
      </c>
      <c r="AY818" t="s">
        <v>6966</v>
      </c>
      <c r="AZ818">
        <v>6.4667000000000002E-2</v>
      </c>
      <c r="BA818">
        <v>1.01E-4</v>
      </c>
    </row>
    <row r="819" spans="1:53" x14ac:dyDescent="0.25">
      <c r="A819">
        <v>817</v>
      </c>
      <c r="B819" t="s">
        <v>7625</v>
      </c>
      <c r="C819">
        <v>506009</v>
      </c>
      <c r="D819" t="s">
        <v>164</v>
      </c>
      <c r="E819" t="s">
        <v>7823</v>
      </c>
      <c r="F819">
        <v>830100.0625</v>
      </c>
      <c r="G819">
        <v>4715.4487300000001</v>
      </c>
      <c r="H819">
        <v>784</v>
      </c>
      <c r="I819">
        <v>986</v>
      </c>
      <c r="J819">
        <v>22727</v>
      </c>
      <c r="K819" t="s">
        <v>7855</v>
      </c>
      <c r="L819">
        <v>3</v>
      </c>
      <c r="M819">
        <v>3</v>
      </c>
      <c r="N819">
        <v>22727</v>
      </c>
      <c r="O819">
        <v>768</v>
      </c>
      <c r="P819" t="s">
        <v>3212</v>
      </c>
      <c r="Q819">
        <v>6.6</v>
      </c>
      <c r="R819">
        <v>90.2</v>
      </c>
      <c r="S819">
        <v>2.27</v>
      </c>
      <c r="T819">
        <v>31</v>
      </c>
      <c r="U819">
        <v>830100.110399</v>
      </c>
      <c r="V819">
        <v>4715.4480659999999</v>
      </c>
      <c r="W819">
        <v>818</v>
      </c>
      <c r="X819">
        <v>0</v>
      </c>
      <c r="Y819">
        <v>817</v>
      </c>
      <c r="Z819" t="s">
        <v>6966</v>
      </c>
      <c r="AA819" t="s">
        <v>6966</v>
      </c>
      <c r="AB819" t="s">
        <v>6966</v>
      </c>
      <c r="AC819" t="s">
        <v>6966</v>
      </c>
      <c r="AD819" t="s">
        <v>6966</v>
      </c>
      <c r="AE819" t="s">
        <v>6966</v>
      </c>
      <c r="AF819" t="s">
        <v>6966</v>
      </c>
      <c r="AG819" t="s">
        <v>6966</v>
      </c>
      <c r="AH819" t="s">
        <v>6966</v>
      </c>
      <c r="AI819" t="s">
        <v>6966</v>
      </c>
      <c r="AJ819" t="s">
        <v>6966</v>
      </c>
      <c r="AK819" t="s">
        <v>6966</v>
      </c>
      <c r="AL819" t="s">
        <v>6966</v>
      </c>
      <c r="AM819" t="s">
        <v>6966</v>
      </c>
      <c r="AN819" t="s">
        <v>6966</v>
      </c>
      <c r="AO819" t="s">
        <v>6966</v>
      </c>
      <c r="AP819" t="s">
        <v>6966</v>
      </c>
      <c r="AQ819" t="s">
        <v>6966</v>
      </c>
      <c r="AR819" t="s">
        <v>6966</v>
      </c>
      <c r="AS819" t="s">
        <v>6966</v>
      </c>
      <c r="AT819" t="s">
        <v>6966</v>
      </c>
      <c r="AU819" t="s">
        <v>6966</v>
      </c>
      <c r="AV819" t="s">
        <v>6966</v>
      </c>
      <c r="AW819" t="s">
        <v>6966</v>
      </c>
      <c r="AX819" t="s">
        <v>6966</v>
      </c>
      <c r="AY819" t="s">
        <v>6966</v>
      </c>
      <c r="AZ819">
        <v>4.7181000000000001E-2</v>
      </c>
      <c r="BA819">
        <v>8.1000000000000004E-5</v>
      </c>
    </row>
    <row r="820" spans="1:53" x14ac:dyDescent="0.25">
      <c r="A820">
        <v>818</v>
      </c>
      <c r="B820" t="s">
        <v>7625</v>
      </c>
      <c r="C820">
        <v>201068</v>
      </c>
      <c r="D820" t="s">
        <v>1136</v>
      </c>
      <c r="E820" t="s">
        <v>1069</v>
      </c>
      <c r="F820">
        <v>0</v>
      </c>
      <c r="G820">
        <v>25758.912109000001</v>
      </c>
      <c r="H820">
        <v>785</v>
      </c>
      <c r="I820">
        <v>987</v>
      </c>
      <c r="J820">
        <v>53445</v>
      </c>
      <c r="K820" t="s">
        <v>2470</v>
      </c>
      <c r="L820">
        <v>17</v>
      </c>
      <c r="M820">
        <v>17</v>
      </c>
      <c r="N820">
        <v>53445</v>
      </c>
      <c r="O820">
        <v>769</v>
      </c>
      <c r="P820" t="s">
        <v>3214</v>
      </c>
      <c r="Q820">
        <v>3.7</v>
      </c>
      <c r="R820">
        <v>71.98</v>
      </c>
      <c r="S820">
        <v>1.06</v>
      </c>
      <c r="T820">
        <v>21</v>
      </c>
      <c r="U820">
        <v>0</v>
      </c>
      <c r="V820">
        <v>25758.913078000001</v>
      </c>
      <c r="W820">
        <v>819</v>
      </c>
      <c r="X820">
        <v>0</v>
      </c>
      <c r="Y820">
        <v>818</v>
      </c>
      <c r="Z820" t="s">
        <v>6966</v>
      </c>
      <c r="AA820" t="s">
        <v>6966</v>
      </c>
      <c r="AB820" t="s">
        <v>6966</v>
      </c>
      <c r="AC820" t="s">
        <v>6966</v>
      </c>
      <c r="AD820" t="s">
        <v>6966</v>
      </c>
      <c r="AE820" t="s">
        <v>6966</v>
      </c>
      <c r="AF820" t="s">
        <v>6966</v>
      </c>
      <c r="AG820" t="s">
        <v>6966</v>
      </c>
      <c r="AH820" t="s">
        <v>6966</v>
      </c>
      <c r="AI820" t="s">
        <v>6966</v>
      </c>
      <c r="AJ820" t="s">
        <v>6966</v>
      </c>
      <c r="AK820" t="s">
        <v>6966</v>
      </c>
      <c r="AL820" t="s">
        <v>6966</v>
      </c>
      <c r="AM820" t="s">
        <v>6966</v>
      </c>
      <c r="AN820" t="s">
        <v>6966</v>
      </c>
      <c r="AO820" t="s">
        <v>6966</v>
      </c>
      <c r="AP820" t="s">
        <v>6966</v>
      </c>
      <c r="AQ820" t="s">
        <v>6966</v>
      </c>
      <c r="AR820" t="s">
        <v>6966</v>
      </c>
      <c r="AS820" t="s">
        <v>6966</v>
      </c>
      <c r="AT820" t="s">
        <v>6966</v>
      </c>
      <c r="AU820" t="s">
        <v>6966</v>
      </c>
      <c r="AV820" t="s">
        <v>6966</v>
      </c>
      <c r="AW820" t="s">
        <v>6966</v>
      </c>
      <c r="AX820" t="s">
        <v>6966</v>
      </c>
      <c r="AY820" t="s">
        <v>6966</v>
      </c>
      <c r="AZ820">
        <v>0.25791500000000001</v>
      </c>
      <c r="BA820">
        <v>1.727E-3</v>
      </c>
    </row>
    <row r="821" spans="1:53" x14ac:dyDescent="0.25">
      <c r="A821">
        <v>819</v>
      </c>
      <c r="B821" t="s">
        <v>7625</v>
      </c>
      <c r="C821">
        <v>506078</v>
      </c>
      <c r="D821" t="s">
        <v>166</v>
      </c>
      <c r="E821" t="s">
        <v>7823</v>
      </c>
      <c r="F821">
        <v>1304144.5</v>
      </c>
      <c r="G821">
        <v>6106.921875</v>
      </c>
      <c r="H821">
        <v>786</v>
      </c>
      <c r="I821">
        <v>988</v>
      </c>
      <c r="J821">
        <v>22733</v>
      </c>
      <c r="K821" t="s">
        <v>1695</v>
      </c>
      <c r="L821">
        <v>3</v>
      </c>
      <c r="M821">
        <v>3</v>
      </c>
      <c r="N821">
        <v>22733</v>
      </c>
      <c r="O821">
        <v>770</v>
      </c>
      <c r="P821" t="s">
        <v>3212</v>
      </c>
      <c r="Q821">
        <v>9.6999999999999993</v>
      </c>
      <c r="R821">
        <v>44.16</v>
      </c>
      <c r="S821">
        <v>3.58</v>
      </c>
      <c r="T821">
        <v>16</v>
      </c>
      <c r="U821">
        <v>1304144.52183</v>
      </c>
      <c r="V821">
        <v>6106.9226319999998</v>
      </c>
      <c r="W821">
        <v>820</v>
      </c>
      <c r="X821">
        <v>0</v>
      </c>
      <c r="Y821">
        <v>819</v>
      </c>
      <c r="Z821" t="s">
        <v>6966</v>
      </c>
      <c r="AA821" t="s">
        <v>6966</v>
      </c>
      <c r="AB821" t="s">
        <v>6966</v>
      </c>
      <c r="AC821" t="s">
        <v>6966</v>
      </c>
      <c r="AD821" t="s">
        <v>6966</v>
      </c>
      <c r="AE821" t="s">
        <v>6966</v>
      </c>
      <c r="AF821" t="s">
        <v>6966</v>
      </c>
      <c r="AG821" t="s">
        <v>6966</v>
      </c>
      <c r="AH821" t="s">
        <v>6966</v>
      </c>
      <c r="AI821" t="s">
        <v>6966</v>
      </c>
      <c r="AJ821" t="s">
        <v>6966</v>
      </c>
      <c r="AK821" t="s">
        <v>6966</v>
      </c>
      <c r="AL821" t="s">
        <v>6966</v>
      </c>
      <c r="AM821" t="s">
        <v>6966</v>
      </c>
      <c r="AN821" t="s">
        <v>6966</v>
      </c>
      <c r="AO821" t="s">
        <v>6966</v>
      </c>
      <c r="AP821" t="s">
        <v>6966</v>
      </c>
      <c r="AQ821" t="s">
        <v>6966</v>
      </c>
      <c r="AR821" t="s">
        <v>6966</v>
      </c>
      <c r="AS821" t="s">
        <v>6966</v>
      </c>
      <c r="AT821" t="s">
        <v>6966</v>
      </c>
      <c r="AU821" t="s">
        <v>6966</v>
      </c>
      <c r="AV821" t="s">
        <v>6966</v>
      </c>
      <c r="AW821" t="s">
        <v>6966</v>
      </c>
      <c r="AX821" t="s">
        <v>6966</v>
      </c>
      <c r="AY821" t="s">
        <v>6966</v>
      </c>
      <c r="AZ821">
        <v>6.1739000000000002E-2</v>
      </c>
      <c r="BA821">
        <v>1.27E-4</v>
      </c>
    </row>
    <row r="822" spans="1:53" x14ac:dyDescent="0.25">
      <c r="A822">
        <v>820</v>
      </c>
      <c r="B822" t="s">
        <v>7625</v>
      </c>
      <c r="C822">
        <v>506075</v>
      </c>
      <c r="D822" t="s">
        <v>96</v>
      </c>
      <c r="E822" t="s">
        <v>7823</v>
      </c>
      <c r="F822">
        <v>697014.6875</v>
      </c>
      <c r="G822">
        <v>4841.6860349999997</v>
      </c>
      <c r="H822">
        <v>787</v>
      </c>
      <c r="I822">
        <v>989</v>
      </c>
      <c r="J822">
        <v>22319</v>
      </c>
      <c r="K822" t="s">
        <v>1632</v>
      </c>
      <c r="L822">
        <v>3</v>
      </c>
      <c r="M822">
        <v>3</v>
      </c>
      <c r="N822">
        <v>22319</v>
      </c>
      <c r="O822">
        <v>771</v>
      </c>
      <c r="P822" t="s">
        <v>3212</v>
      </c>
      <c r="Q822">
        <v>27.6</v>
      </c>
      <c r="R822">
        <v>95.96</v>
      </c>
      <c r="S822">
        <v>11.76</v>
      </c>
      <c r="T822">
        <v>41</v>
      </c>
      <c r="U822">
        <v>697014.70226599998</v>
      </c>
      <c r="V822">
        <v>4841.6856250000001</v>
      </c>
      <c r="W822">
        <v>821</v>
      </c>
      <c r="X822">
        <v>0</v>
      </c>
      <c r="Y822">
        <v>820</v>
      </c>
      <c r="Z822" t="s">
        <v>6966</v>
      </c>
      <c r="AA822" t="s">
        <v>6966</v>
      </c>
      <c r="AB822" t="s">
        <v>6966</v>
      </c>
      <c r="AC822" t="s">
        <v>6966</v>
      </c>
      <c r="AD822" t="s">
        <v>6966</v>
      </c>
      <c r="AE822" t="s">
        <v>6966</v>
      </c>
      <c r="AF822" t="s">
        <v>6966</v>
      </c>
      <c r="AG822" t="s">
        <v>6966</v>
      </c>
      <c r="AH822" t="s">
        <v>6966</v>
      </c>
      <c r="AI822" t="s">
        <v>6966</v>
      </c>
      <c r="AJ822" t="s">
        <v>6966</v>
      </c>
      <c r="AK822" t="s">
        <v>6966</v>
      </c>
      <c r="AL822" t="s">
        <v>6966</v>
      </c>
      <c r="AM822" t="s">
        <v>6966</v>
      </c>
      <c r="AN822" t="s">
        <v>6966</v>
      </c>
      <c r="AO822" t="s">
        <v>6966</v>
      </c>
      <c r="AP822" t="s">
        <v>6966</v>
      </c>
      <c r="AQ822" t="s">
        <v>6966</v>
      </c>
      <c r="AR822" t="s">
        <v>6966</v>
      </c>
      <c r="AS822" t="s">
        <v>6966</v>
      </c>
      <c r="AT822" t="s">
        <v>6966</v>
      </c>
      <c r="AU822" t="s">
        <v>6966</v>
      </c>
      <c r="AV822" t="s">
        <v>6966</v>
      </c>
      <c r="AW822" t="s">
        <v>6966</v>
      </c>
      <c r="AX822" t="s">
        <v>6966</v>
      </c>
      <c r="AY822" t="s">
        <v>6966</v>
      </c>
      <c r="AZ822">
        <v>4.9172E-2</v>
      </c>
      <c r="BA822">
        <v>6.7999999999999999E-5</v>
      </c>
    </row>
    <row r="823" spans="1:53" x14ac:dyDescent="0.25">
      <c r="A823">
        <v>821</v>
      </c>
      <c r="B823" t="s">
        <v>7625</v>
      </c>
      <c r="C823">
        <v>506082</v>
      </c>
      <c r="D823" t="s">
        <v>114</v>
      </c>
      <c r="E823" t="s">
        <v>7823</v>
      </c>
      <c r="F823">
        <v>3877221.25</v>
      </c>
      <c r="G823">
        <v>12387.727539</v>
      </c>
      <c r="H823">
        <v>788</v>
      </c>
      <c r="I823">
        <v>990</v>
      </c>
      <c r="J823">
        <v>22443</v>
      </c>
      <c r="K823" t="s">
        <v>1648</v>
      </c>
      <c r="L823">
        <v>3</v>
      </c>
      <c r="M823">
        <v>3</v>
      </c>
      <c r="N823">
        <v>22443</v>
      </c>
      <c r="O823">
        <v>772</v>
      </c>
      <c r="P823" t="s">
        <v>3212</v>
      </c>
      <c r="Q823">
        <v>5.8</v>
      </c>
      <c r="R823">
        <v>85.18</v>
      </c>
      <c r="S823">
        <v>1.6</v>
      </c>
      <c r="T823">
        <v>24</v>
      </c>
      <c r="U823">
        <v>3877221.2258199998</v>
      </c>
      <c r="V823">
        <v>12387.726771</v>
      </c>
      <c r="W823">
        <v>822</v>
      </c>
      <c r="X823">
        <v>0</v>
      </c>
      <c r="Y823">
        <v>821</v>
      </c>
      <c r="Z823" t="s">
        <v>6966</v>
      </c>
      <c r="AA823" t="s">
        <v>6966</v>
      </c>
      <c r="AB823" t="s">
        <v>6966</v>
      </c>
      <c r="AC823" t="s">
        <v>6966</v>
      </c>
      <c r="AD823" t="s">
        <v>6966</v>
      </c>
      <c r="AE823" t="s">
        <v>6966</v>
      </c>
      <c r="AF823" t="s">
        <v>6966</v>
      </c>
      <c r="AG823" t="s">
        <v>6966</v>
      </c>
      <c r="AH823" t="s">
        <v>6966</v>
      </c>
      <c r="AI823" t="s">
        <v>6966</v>
      </c>
      <c r="AJ823" t="s">
        <v>6966</v>
      </c>
      <c r="AK823" t="s">
        <v>6966</v>
      </c>
      <c r="AL823" t="s">
        <v>6966</v>
      </c>
      <c r="AM823" t="s">
        <v>6966</v>
      </c>
      <c r="AN823" t="s">
        <v>6966</v>
      </c>
      <c r="AO823" t="s">
        <v>6966</v>
      </c>
      <c r="AP823" t="s">
        <v>6966</v>
      </c>
      <c r="AQ823" t="s">
        <v>6966</v>
      </c>
      <c r="AR823" t="s">
        <v>6966</v>
      </c>
      <c r="AS823" t="s">
        <v>6966</v>
      </c>
      <c r="AT823" t="s">
        <v>6966</v>
      </c>
      <c r="AU823" t="s">
        <v>6966</v>
      </c>
      <c r="AV823" t="s">
        <v>6966</v>
      </c>
      <c r="AW823" t="s">
        <v>6966</v>
      </c>
      <c r="AX823" t="s">
        <v>6966</v>
      </c>
      <c r="AY823" t="s">
        <v>6966</v>
      </c>
      <c r="AZ823">
        <v>0.12590100000000001</v>
      </c>
      <c r="BA823">
        <v>3.7800000000000003E-4</v>
      </c>
    </row>
    <row r="824" spans="1:53" x14ac:dyDescent="0.25">
      <c r="A824">
        <v>822</v>
      </c>
      <c r="B824" t="s">
        <v>7625</v>
      </c>
      <c r="C824">
        <v>506053</v>
      </c>
      <c r="D824" t="s">
        <v>97</v>
      </c>
      <c r="E824" t="s">
        <v>7823</v>
      </c>
      <c r="F824">
        <v>854796.1875</v>
      </c>
      <c r="G824">
        <v>4786.8110349999997</v>
      </c>
      <c r="H824">
        <v>789</v>
      </c>
      <c r="I824">
        <v>991</v>
      </c>
      <c r="J824">
        <v>22327</v>
      </c>
      <c r="K824" t="s">
        <v>1633</v>
      </c>
      <c r="L824">
        <v>3</v>
      </c>
      <c r="M824">
        <v>3</v>
      </c>
      <c r="N824">
        <v>22327</v>
      </c>
      <c r="O824">
        <v>773</v>
      </c>
      <c r="P824" t="s">
        <v>3212</v>
      </c>
      <c r="Q824">
        <v>109.1</v>
      </c>
      <c r="R824">
        <v>162.9</v>
      </c>
      <c r="S824">
        <v>25.14</v>
      </c>
      <c r="T824">
        <v>38</v>
      </c>
      <c r="U824">
        <v>854796.10795700003</v>
      </c>
      <c r="V824">
        <v>4786.8105509999996</v>
      </c>
      <c r="W824">
        <v>823</v>
      </c>
      <c r="X824">
        <v>0</v>
      </c>
      <c r="Y824">
        <v>822</v>
      </c>
      <c r="Z824" t="s">
        <v>6966</v>
      </c>
      <c r="AA824" t="s">
        <v>6966</v>
      </c>
      <c r="AB824" t="s">
        <v>6966</v>
      </c>
      <c r="AC824" t="s">
        <v>6966</v>
      </c>
      <c r="AD824" t="s">
        <v>6966</v>
      </c>
      <c r="AE824" t="s">
        <v>6966</v>
      </c>
      <c r="AF824" t="s">
        <v>6966</v>
      </c>
      <c r="AG824" t="s">
        <v>6966</v>
      </c>
      <c r="AH824" t="s">
        <v>6966</v>
      </c>
      <c r="AI824" t="s">
        <v>6966</v>
      </c>
      <c r="AJ824" t="s">
        <v>6966</v>
      </c>
      <c r="AK824" t="s">
        <v>6966</v>
      </c>
      <c r="AL824" t="s">
        <v>6966</v>
      </c>
      <c r="AM824" t="s">
        <v>6966</v>
      </c>
      <c r="AN824" t="s">
        <v>6966</v>
      </c>
      <c r="AO824" t="s">
        <v>6966</v>
      </c>
      <c r="AP824" t="s">
        <v>6966</v>
      </c>
      <c r="AQ824" t="s">
        <v>6966</v>
      </c>
      <c r="AR824" t="s">
        <v>6966</v>
      </c>
      <c r="AS824" t="s">
        <v>6966</v>
      </c>
      <c r="AT824" t="s">
        <v>6966</v>
      </c>
      <c r="AU824" t="s">
        <v>6966</v>
      </c>
      <c r="AV824" t="s">
        <v>6966</v>
      </c>
      <c r="AW824" t="s">
        <v>6966</v>
      </c>
      <c r="AX824" t="s">
        <v>6966</v>
      </c>
      <c r="AY824" t="s">
        <v>6966</v>
      </c>
      <c r="AZ824">
        <v>4.7895E-2</v>
      </c>
      <c r="BA824">
        <v>8.2999999999999998E-5</v>
      </c>
    </row>
    <row r="825" spans="1:53" x14ac:dyDescent="0.25">
      <c r="A825">
        <v>823</v>
      </c>
      <c r="B825" t="s">
        <v>7625</v>
      </c>
      <c r="C825">
        <v>403034</v>
      </c>
      <c r="D825" t="s">
        <v>7856</v>
      </c>
      <c r="E825" t="s">
        <v>3045</v>
      </c>
      <c r="F825">
        <v>9706905</v>
      </c>
      <c r="G825">
        <v>15230.730469</v>
      </c>
      <c r="H825">
        <v>790</v>
      </c>
      <c r="I825">
        <v>992</v>
      </c>
      <c r="J825">
        <v>51177</v>
      </c>
      <c r="K825" t="s">
        <v>1783</v>
      </c>
      <c r="L825">
        <v>15</v>
      </c>
      <c r="M825">
        <v>15</v>
      </c>
      <c r="N825">
        <v>51177</v>
      </c>
      <c r="O825">
        <v>774</v>
      </c>
      <c r="P825" t="s">
        <v>3214</v>
      </c>
      <c r="Q825">
        <v>1.1000000000000001</v>
      </c>
      <c r="R825">
        <v>71.739999999999995</v>
      </c>
      <c r="S825">
        <v>0.33</v>
      </c>
      <c r="T825">
        <v>22</v>
      </c>
      <c r="U825">
        <v>9706905.2634900007</v>
      </c>
      <c r="V825">
        <v>15230.729456999999</v>
      </c>
      <c r="W825">
        <v>824</v>
      </c>
      <c r="X825">
        <v>0</v>
      </c>
      <c r="Y825">
        <v>823</v>
      </c>
      <c r="Z825" t="s">
        <v>6966</v>
      </c>
      <c r="AA825" t="s">
        <v>6966</v>
      </c>
      <c r="AB825" t="s">
        <v>6966</v>
      </c>
      <c r="AC825" t="s">
        <v>6966</v>
      </c>
      <c r="AD825" t="s">
        <v>6966</v>
      </c>
      <c r="AE825" t="s">
        <v>6966</v>
      </c>
      <c r="AF825" t="s">
        <v>6966</v>
      </c>
      <c r="AG825" t="s">
        <v>6966</v>
      </c>
      <c r="AH825" t="s">
        <v>6966</v>
      </c>
      <c r="AI825" t="s">
        <v>6966</v>
      </c>
      <c r="AJ825" t="s">
        <v>6966</v>
      </c>
      <c r="AK825" t="s">
        <v>6966</v>
      </c>
      <c r="AL825" t="s">
        <v>6966</v>
      </c>
      <c r="AM825" t="s">
        <v>6966</v>
      </c>
      <c r="AN825" t="s">
        <v>6966</v>
      </c>
      <c r="AO825" t="s">
        <v>6966</v>
      </c>
      <c r="AP825" t="s">
        <v>6966</v>
      </c>
      <c r="AQ825" t="s">
        <v>6966</v>
      </c>
      <c r="AR825" t="s">
        <v>6966</v>
      </c>
      <c r="AS825" t="s">
        <v>6966</v>
      </c>
      <c r="AT825" t="s">
        <v>6966</v>
      </c>
      <c r="AU825" t="s">
        <v>6966</v>
      </c>
      <c r="AV825" t="s">
        <v>6966</v>
      </c>
      <c r="AW825" t="s">
        <v>6966</v>
      </c>
      <c r="AX825" t="s">
        <v>6966</v>
      </c>
      <c r="AY825" t="s">
        <v>6966</v>
      </c>
      <c r="AZ825">
        <v>0.15124499999999999</v>
      </c>
      <c r="BA825">
        <v>9.4600000000000001E-4</v>
      </c>
    </row>
    <row r="826" spans="1:53" x14ac:dyDescent="0.25">
      <c r="A826">
        <v>824</v>
      </c>
      <c r="B826" t="s">
        <v>7625</v>
      </c>
      <c r="C826">
        <v>201005</v>
      </c>
      <c r="D826" t="s">
        <v>1146</v>
      </c>
      <c r="E826" t="s">
        <v>1069</v>
      </c>
      <c r="F826">
        <v>0</v>
      </c>
      <c r="G826">
        <v>31332.630859000001</v>
      </c>
      <c r="H826">
        <v>791</v>
      </c>
      <c r="I826">
        <v>993</v>
      </c>
      <c r="J826">
        <v>53465</v>
      </c>
      <c r="K826" t="s">
        <v>7857</v>
      </c>
      <c r="L826">
        <v>17</v>
      </c>
      <c r="M826">
        <v>17</v>
      </c>
      <c r="N826">
        <v>53465</v>
      </c>
      <c r="O826">
        <v>775</v>
      </c>
      <c r="P826" t="s">
        <v>3214</v>
      </c>
      <c r="Q826">
        <v>0</v>
      </c>
      <c r="R826">
        <v>0</v>
      </c>
      <c r="S826">
        <v>0.02</v>
      </c>
      <c r="T826">
        <v>0</v>
      </c>
      <c r="U826">
        <v>0</v>
      </c>
      <c r="V826">
        <v>31332.632024999999</v>
      </c>
      <c r="W826">
        <v>825</v>
      </c>
      <c r="X826">
        <v>0</v>
      </c>
      <c r="Y826">
        <v>824</v>
      </c>
      <c r="Z826" t="s">
        <v>6966</v>
      </c>
      <c r="AA826" t="s">
        <v>6966</v>
      </c>
      <c r="AB826" t="s">
        <v>6966</v>
      </c>
      <c r="AC826" t="s">
        <v>6966</v>
      </c>
      <c r="AD826" t="s">
        <v>6966</v>
      </c>
      <c r="AE826" t="s">
        <v>6966</v>
      </c>
      <c r="AF826" t="s">
        <v>6966</v>
      </c>
      <c r="AG826" t="s">
        <v>6966</v>
      </c>
      <c r="AH826" t="s">
        <v>6966</v>
      </c>
      <c r="AI826" t="s">
        <v>6966</v>
      </c>
      <c r="AJ826" t="s">
        <v>6966</v>
      </c>
      <c r="AK826" t="s">
        <v>6966</v>
      </c>
      <c r="AL826" t="s">
        <v>6966</v>
      </c>
      <c r="AM826" t="s">
        <v>6966</v>
      </c>
      <c r="AN826" t="s">
        <v>6966</v>
      </c>
      <c r="AO826" t="s">
        <v>6966</v>
      </c>
      <c r="AP826" t="s">
        <v>6966</v>
      </c>
      <c r="AQ826" t="s">
        <v>6966</v>
      </c>
      <c r="AR826" t="s">
        <v>6966</v>
      </c>
      <c r="AS826" t="s">
        <v>6966</v>
      </c>
      <c r="AT826" t="s">
        <v>6966</v>
      </c>
      <c r="AU826" t="s">
        <v>6966</v>
      </c>
      <c r="AV826" t="s">
        <v>6966</v>
      </c>
      <c r="AW826" t="s">
        <v>6966</v>
      </c>
      <c r="AX826" t="s">
        <v>6966</v>
      </c>
      <c r="AY826" t="s">
        <v>6966</v>
      </c>
      <c r="AZ826">
        <v>0.31117899999999998</v>
      </c>
      <c r="BA826">
        <v>1.7160000000000001E-3</v>
      </c>
    </row>
    <row r="827" spans="1:53" x14ac:dyDescent="0.25">
      <c r="A827">
        <v>825</v>
      </c>
      <c r="B827" t="s">
        <v>7625</v>
      </c>
      <c r="C827">
        <v>506064</v>
      </c>
      <c r="D827" t="s">
        <v>112</v>
      </c>
      <c r="E827" t="s">
        <v>7823</v>
      </c>
      <c r="F827">
        <v>1269776.25</v>
      </c>
      <c r="G827">
        <v>6359.1967770000001</v>
      </c>
      <c r="H827">
        <v>792</v>
      </c>
      <c r="I827">
        <v>994</v>
      </c>
      <c r="J827">
        <v>22435</v>
      </c>
      <c r="K827" t="s">
        <v>1646</v>
      </c>
      <c r="L827">
        <v>3</v>
      </c>
      <c r="M827">
        <v>3</v>
      </c>
      <c r="N827">
        <v>22435</v>
      </c>
      <c r="O827">
        <v>776</v>
      </c>
      <c r="P827" t="s">
        <v>3212</v>
      </c>
      <c r="Q827">
        <v>10.6</v>
      </c>
      <c r="R827">
        <v>46.57</v>
      </c>
      <c r="S827">
        <v>3.5</v>
      </c>
      <c r="T827">
        <v>16</v>
      </c>
      <c r="U827">
        <v>1269776.3184100001</v>
      </c>
      <c r="V827">
        <v>6359.1977230000002</v>
      </c>
      <c r="W827">
        <v>826</v>
      </c>
      <c r="X827">
        <v>0</v>
      </c>
      <c r="Y827">
        <v>825</v>
      </c>
      <c r="Z827" t="s">
        <v>6966</v>
      </c>
      <c r="AA827" t="s">
        <v>6966</v>
      </c>
      <c r="AB827" t="s">
        <v>6966</v>
      </c>
      <c r="AC827" t="s">
        <v>6966</v>
      </c>
      <c r="AD827" t="s">
        <v>6966</v>
      </c>
      <c r="AE827" t="s">
        <v>6966</v>
      </c>
      <c r="AF827" t="s">
        <v>6966</v>
      </c>
      <c r="AG827" t="s">
        <v>6966</v>
      </c>
      <c r="AH827" t="s">
        <v>6966</v>
      </c>
      <c r="AI827" t="s">
        <v>6966</v>
      </c>
      <c r="AJ827" t="s">
        <v>6966</v>
      </c>
      <c r="AK827" t="s">
        <v>6966</v>
      </c>
      <c r="AL827" t="s">
        <v>6966</v>
      </c>
      <c r="AM827" t="s">
        <v>6966</v>
      </c>
      <c r="AN827" t="s">
        <v>6966</v>
      </c>
      <c r="AO827" t="s">
        <v>6966</v>
      </c>
      <c r="AP827" t="s">
        <v>6966</v>
      </c>
      <c r="AQ827" t="s">
        <v>6966</v>
      </c>
      <c r="AR827" t="s">
        <v>6966</v>
      </c>
      <c r="AS827" t="s">
        <v>6966</v>
      </c>
      <c r="AT827" t="s">
        <v>6966</v>
      </c>
      <c r="AU827" t="s">
        <v>6966</v>
      </c>
      <c r="AV827" t="s">
        <v>6966</v>
      </c>
      <c r="AW827" t="s">
        <v>6966</v>
      </c>
      <c r="AX827" t="s">
        <v>6966</v>
      </c>
      <c r="AY827" t="s">
        <v>6966</v>
      </c>
      <c r="AZ827">
        <v>6.2433000000000002E-2</v>
      </c>
      <c r="BA827">
        <v>1.2400000000000001E-4</v>
      </c>
    </row>
    <row r="828" spans="1:53" x14ac:dyDescent="0.25">
      <c r="A828">
        <v>826</v>
      </c>
      <c r="B828" t="s">
        <v>7625</v>
      </c>
      <c r="C828">
        <v>506086</v>
      </c>
      <c r="D828" t="s">
        <v>165</v>
      </c>
      <c r="E828" t="s">
        <v>7823</v>
      </c>
      <c r="F828">
        <v>798963.75</v>
      </c>
      <c r="G828">
        <v>5838.986328</v>
      </c>
      <c r="H828">
        <v>793</v>
      </c>
      <c r="I828">
        <v>995</v>
      </c>
      <c r="J828">
        <v>22731</v>
      </c>
      <c r="K828" t="s">
        <v>1694</v>
      </c>
      <c r="L828">
        <v>3</v>
      </c>
      <c r="M828">
        <v>3</v>
      </c>
      <c r="N828">
        <v>22731</v>
      </c>
      <c r="O828">
        <v>777</v>
      </c>
      <c r="P828" t="s">
        <v>3212</v>
      </c>
      <c r="Q828">
        <v>14.1</v>
      </c>
      <c r="R828">
        <v>48.08</v>
      </c>
      <c r="S828">
        <v>5.39</v>
      </c>
      <c r="T828">
        <v>18</v>
      </c>
      <c r="U828">
        <v>798963.77907199995</v>
      </c>
      <c r="V828">
        <v>5838.9867610000001</v>
      </c>
      <c r="W828">
        <v>827</v>
      </c>
      <c r="X828">
        <v>0</v>
      </c>
      <c r="Y828">
        <v>826</v>
      </c>
      <c r="Z828" t="s">
        <v>6966</v>
      </c>
      <c r="AA828" t="s">
        <v>6966</v>
      </c>
      <c r="AB828" t="s">
        <v>6966</v>
      </c>
      <c r="AC828" t="s">
        <v>6966</v>
      </c>
      <c r="AD828" t="s">
        <v>6966</v>
      </c>
      <c r="AE828" t="s">
        <v>6966</v>
      </c>
      <c r="AF828" t="s">
        <v>6966</v>
      </c>
      <c r="AG828" t="s">
        <v>6966</v>
      </c>
      <c r="AH828" t="s">
        <v>6966</v>
      </c>
      <c r="AI828" t="s">
        <v>6966</v>
      </c>
      <c r="AJ828" t="s">
        <v>6966</v>
      </c>
      <c r="AK828" t="s">
        <v>6966</v>
      </c>
      <c r="AL828" t="s">
        <v>6966</v>
      </c>
      <c r="AM828" t="s">
        <v>6966</v>
      </c>
      <c r="AN828" t="s">
        <v>6966</v>
      </c>
      <c r="AO828" t="s">
        <v>6966</v>
      </c>
      <c r="AP828" t="s">
        <v>6966</v>
      </c>
      <c r="AQ828" t="s">
        <v>6966</v>
      </c>
      <c r="AR828" t="s">
        <v>6966</v>
      </c>
      <c r="AS828" t="s">
        <v>6966</v>
      </c>
      <c r="AT828" t="s">
        <v>6966</v>
      </c>
      <c r="AU828" t="s">
        <v>6966</v>
      </c>
      <c r="AV828" t="s">
        <v>6966</v>
      </c>
      <c r="AW828" t="s">
        <v>6966</v>
      </c>
      <c r="AX828" t="s">
        <v>6966</v>
      </c>
      <c r="AY828" t="s">
        <v>6966</v>
      </c>
      <c r="AZ828">
        <v>5.9076999999999998E-2</v>
      </c>
      <c r="BA828">
        <v>7.7999999999999999E-5</v>
      </c>
    </row>
    <row r="829" spans="1:53" x14ac:dyDescent="0.25">
      <c r="A829">
        <v>827</v>
      </c>
      <c r="B829" t="s">
        <v>7625</v>
      </c>
      <c r="C829">
        <v>301007</v>
      </c>
      <c r="D829" t="s">
        <v>7858</v>
      </c>
      <c r="E829" t="s">
        <v>3177</v>
      </c>
      <c r="F829">
        <v>2040664.125</v>
      </c>
      <c r="G829">
        <v>9092.4628909999992</v>
      </c>
      <c r="H829">
        <v>794</v>
      </c>
      <c r="I829">
        <v>1002</v>
      </c>
      <c r="J829">
        <v>10610</v>
      </c>
      <c r="K829" t="s">
        <v>1575</v>
      </c>
      <c r="L829">
        <v>1</v>
      </c>
      <c r="M829">
        <v>1</v>
      </c>
      <c r="N829">
        <v>10610</v>
      </c>
      <c r="O829">
        <v>784</v>
      </c>
      <c r="P829" t="s">
        <v>3177</v>
      </c>
      <c r="Q829">
        <v>31.9</v>
      </c>
      <c r="R829">
        <v>134.88999999999999</v>
      </c>
      <c r="S829">
        <v>9.86</v>
      </c>
      <c r="T829">
        <v>42</v>
      </c>
      <c r="U829">
        <v>2040664.2521800001</v>
      </c>
      <c r="V829">
        <v>9092.4623229999997</v>
      </c>
      <c r="W829">
        <v>828</v>
      </c>
      <c r="X829">
        <v>0</v>
      </c>
      <c r="Y829">
        <v>827</v>
      </c>
      <c r="Z829" t="s">
        <v>6966</v>
      </c>
      <c r="AA829" t="s">
        <v>6966</v>
      </c>
      <c r="AB829" t="s">
        <v>6966</v>
      </c>
      <c r="AC829" t="s">
        <v>6966</v>
      </c>
      <c r="AD829" t="s">
        <v>6966</v>
      </c>
      <c r="AE829" t="s">
        <v>6966</v>
      </c>
      <c r="AF829" t="s">
        <v>6966</v>
      </c>
      <c r="AG829" t="s">
        <v>6966</v>
      </c>
      <c r="AH829" t="s">
        <v>6966</v>
      </c>
      <c r="AI829" t="s">
        <v>6966</v>
      </c>
      <c r="AJ829" t="s">
        <v>6966</v>
      </c>
      <c r="AK829" t="s">
        <v>6966</v>
      </c>
      <c r="AL829" t="s">
        <v>6966</v>
      </c>
      <c r="AM829" t="s">
        <v>6966</v>
      </c>
      <c r="AN829" t="s">
        <v>6966</v>
      </c>
      <c r="AO829" t="s">
        <v>6966</v>
      </c>
      <c r="AP829" t="s">
        <v>6966</v>
      </c>
      <c r="AQ829" t="s">
        <v>6966</v>
      </c>
      <c r="AR829" t="s">
        <v>6966</v>
      </c>
      <c r="AS829" t="s">
        <v>6966</v>
      </c>
      <c r="AT829" t="s">
        <v>6966</v>
      </c>
      <c r="AU829" t="s">
        <v>6966</v>
      </c>
      <c r="AV829" t="s">
        <v>6966</v>
      </c>
      <c r="AW829" t="s">
        <v>6966</v>
      </c>
      <c r="AX829" t="s">
        <v>6966</v>
      </c>
      <c r="AY829" t="s">
        <v>6966</v>
      </c>
      <c r="AZ829">
        <v>9.2017000000000002E-2</v>
      </c>
      <c r="BA829">
        <v>1.9900000000000001E-4</v>
      </c>
    </row>
    <row r="830" spans="1:53" x14ac:dyDescent="0.25">
      <c r="A830">
        <v>828</v>
      </c>
      <c r="B830" t="s">
        <v>7625</v>
      </c>
      <c r="C830">
        <v>201084</v>
      </c>
      <c r="D830" t="s">
        <v>1132</v>
      </c>
      <c r="E830" t="s">
        <v>1069</v>
      </c>
      <c r="F830">
        <v>0</v>
      </c>
      <c r="G830">
        <v>25979.832031000002</v>
      </c>
      <c r="H830">
        <v>795</v>
      </c>
      <c r="I830">
        <v>996</v>
      </c>
      <c r="J830">
        <v>53437</v>
      </c>
      <c r="K830" t="s">
        <v>7859</v>
      </c>
      <c r="L830">
        <v>17</v>
      </c>
      <c r="M830">
        <v>17</v>
      </c>
      <c r="N830">
        <v>53437</v>
      </c>
      <c r="O830">
        <v>778</v>
      </c>
      <c r="P830" t="s">
        <v>3214</v>
      </c>
      <c r="Q830">
        <v>2.6</v>
      </c>
      <c r="R830">
        <v>97.22</v>
      </c>
      <c r="S830">
        <v>0.5</v>
      </c>
      <c r="T830">
        <v>18</v>
      </c>
      <c r="U830">
        <v>0</v>
      </c>
      <c r="V830">
        <v>25979.831958999999</v>
      </c>
      <c r="W830">
        <v>829</v>
      </c>
      <c r="X830">
        <v>1</v>
      </c>
      <c r="Y830">
        <v>828</v>
      </c>
      <c r="Z830">
        <v>54790</v>
      </c>
      <c r="AA830" s="76">
        <v>45660</v>
      </c>
      <c r="AB830">
        <v>2025</v>
      </c>
      <c r="AC830" t="s">
        <v>6992</v>
      </c>
      <c r="AD830">
        <v>3</v>
      </c>
      <c r="AE830" t="s">
        <v>6993</v>
      </c>
      <c r="AF830" t="s">
        <v>3216</v>
      </c>
      <c r="AG830" t="s">
        <v>1069</v>
      </c>
      <c r="AH830" t="s">
        <v>1132</v>
      </c>
      <c r="AI830" t="s">
        <v>6994</v>
      </c>
      <c r="AJ830" t="s">
        <v>6966</v>
      </c>
      <c r="AK830">
        <v>33.878729999999997</v>
      </c>
      <c r="AL830">
        <v>36.091859999999997</v>
      </c>
      <c r="AM830" t="s">
        <v>6995</v>
      </c>
      <c r="AN830" t="s">
        <v>6966</v>
      </c>
      <c r="AO830" t="s">
        <v>6996</v>
      </c>
      <c r="AP830" t="s">
        <v>6997</v>
      </c>
      <c r="AQ830" t="s">
        <v>6998</v>
      </c>
      <c r="AR830" t="s">
        <v>6999</v>
      </c>
      <c r="AS830" t="s">
        <v>7000</v>
      </c>
      <c r="AT830">
        <v>0</v>
      </c>
      <c r="AU830">
        <v>0</v>
      </c>
      <c r="AV830" t="s">
        <v>7001</v>
      </c>
      <c r="AW830" t="s">
        <v>7002</v>
      </c>
      <c r="AX830" t="s">
        <v>6966</v>
      </c>
      <c r="AY830" t="s">
        <v>7003</v>
      </c>
      <c r="AZ830">
        <v>0.25874000000000003</v>
      </c>
      <c r="BA830">
        <v>2.2950000000000002E-3</v>
      </c>
    </row>
    <row r="831" spans="1:53" x14ac:dyDescent="0.25">
      <c r="A831">
        <v>829</v>
      </c>
      <c r="B831" t="s">
        <v>7625</v>
      </c>
      <c r="C831">
        <v>506047</v>
      </c>
      <c r="D831" t="s">
        <v>175</v>
      </c>
      <c r="E831" t="s">
        <v>7823</v>
      </c>
      <c r="F831">
        <v>1317004</v>
      </c>
      <c r="G831">
        <v>7885.8725590000004</v>
      </c>
      <c r="H831">
        <v>796</v>
      </c>
      <c r="I831">
        <v>997</v>
      </c>
      <c r="J831">
        <v>22761</v>
      </c>
      <c r="K831" t="s">
        <v>1701</v>
      </c>
      <c r="L831">
        <v>3</v>
      </c>
      <c r="M831">
        <v>3</v>
      </c>
      <c r="N831">
        <v>22761</v>
      </c>
      <c r="O831">
        <v>779</v>
      </c>
      <c r="P831" t="s">
        <v>3212</v>
      </c>
      <c r="Q831">
        <v>8.5</v>
      </c>
      <c r="R831">
        <v>48.8</v>
      </c>
      <c r="S831">
        <v>1.95</v>
      </c>
      <c r="T831">
        <v>11</v>
      </c>
      <c r="U831">
        <v>1317004.06097</v>
      </c>
      <c r="V831">
        <v>7885.8734459999996</v>
      </c>
      <c r="W831">
        <v>830</v>
      </c>
      <c r="X831">
        <v>0</v>
      </c>
      <c r="Y831">
        <v>829</v>
      </c>
      <c r="Z831" t="s">
        <v>6966</v>
      </c>
      <c r="AA831" t="s">
        <v>6966</v>
      </c>
      <c r="AB831" t="s">
        <v>6966</v>
      </c>
      <c r="AC831" t="s">
        <v>6966</v>
      </c>
      <c r="AD831" t="s">
        <v>6966</v>
      </c>
      <c r="AE831" t="s">
        <v>6966</v>
      </c>
      <c r="AF831" t="s">
        <v>6966</v>
      </c>
      <c r="AG831" t="s">
        <v>6966</v>
      </c>
      <c r="AH831" t="s">
        <v>6966</v>
      </c>
      <c r="AI831" t="s">
        <v>6966</v>
      </c>
      <c r="AJ831" t="s">
        <v>6966</v>
      </c>
      <c r="AK831" t="s">
        <v>6966</v>
      </c>
      <c r="AL831" t="s">
        <v>6966</v>
      </c>
      <c r="AM831" t="s">
        <v>6966</v>
      </c>
      <c r="AN831" t="s">
        <v>6966</v>
      </c>
      <c r="AO831" t="s">
        <v>6966</v>
      </c>
      <c r="AP831" t="s">
        <v>6966</v>
      </c>
      <c r="AQ831" t="s">
        <v>6966</v>
      </c>
      <c r="AR831" t="s">
        <v>6966</v>
      </c>
      <c r="AS831" t="s">
        <v>6966</v>
      </c>
      <c r="AT831" t="s">
        <v>6966</v>
      </c>
      <c r="AU831" t="s">
        <v>6966</v>
      </c>
      <c r="AV831" t="s">
        <v>6966</v>
      </c>
      <c r="AW831" t="s">
        <v>6966</v>
      </c>
      <c r="AX831" t="s">
        <v>6966</v>
      </c>
      <c r="AY831" t="s">
        <v>6966</v>
      </c>
      <c r="AZ831">
        <v>7.7995999999999996E-2</v>
      </c>
      <c r="BA831">
        <v>1.2799999999999999E-4</v>
      </c>
    </row>
    <row r="832" spans="1:53" x14ac:dyDescent="0.25">
      <c r="A832">
        <v>830</v>
      </c>
      <c r="B832" t="s">
        <v>7625</v>
      </c>
      <c r="C832">
        <v>506015</v>
      </c>
      <c r="D832" t="s">
        <v>172</v>
      </c>
      <c r="E832" t="s">
        <v>7823</v>
      </c>
      <c r="F832">
        <v>7749311</v>
      </c>
      <c r="G832">
        <v>17123.5</v>
      </c>
      <c r="H832">
        <v>797</v>
      </c>
      <c r="I832">
        <v>998</v>
      </c>
      <c r="J832">
        <v>22751</v>
      </c>
      <c r="K832" t="s">
        <v>1700</v>
      </c>
      <c r="L832">
        <v>3</v>
      </c>
      <c r="M832">
        <v>3</v>
      </c>
      <c r="N832">
        <v>22751</v>
      </c>
      <c r="O832">
        <v>780</v>
      </c>
      <c r="P832" t="s">
        <v>3212</v>
      </c>
      <c r="Q832">
        <v>2.2999999999999998</v>
      </c>
      <c r="R832">
        <v>98.96</v>
      </c>
      <c r="S832">
        <v>0.94</v>
      </c>
      <c r="T832">
        <v>41</v>
      </c>
      <c r="U832">
        <v>7749310.9050200004</v>
      </c>
      <c r="V832">
        <v>17123.501201999999</v>
      </c>
      <c r="W832">
        <v>831</v>
      </c>
      <c r="X832">
        <v>0</v>
      </c>
      <c r="Y832">
        <v>830</v>
      </c>
      <c r="Z832" t="s">
        <v>6966</v>
      </c>
      <c r="AA832" t="s">
        <v>6966</v>
      </c>
      <c r="AB832" t="s">
        <v>6966</v>
      </c>
      <c r="AC832" t="s">
        <v>6966</v>
      </c>
      <c r="AD832" t="s">
        <v>6966</v>
      </c>
      <c r="AE832" t="s">
        <v>6966</v>
      </c>
      <c r="AF832" t="s">
        <v>6966</v>
      </c>
      <c r="AG832" t="s">
        <v>6966</v>
      </c>
      <c r="AH832" t="s">
        <v>6966</v>
      </c>
      <c r="AI832" t="s">
        <v>6966</v>
      </c>
      <c r="AJ832" t="s">
        <v>6966</v>
      </c>
      <c r="AK832" t="s">
        <v>6966</v>
      </c>
      <c r="AL832" t="s">
        <v>6966</v>
      </c>
      <c r="AM832" t="s">
        <v>6966</v>
      </c>
      <c r="AN832" t="s">
        <v>6966</v>
      </c>
      <c r="AO832" t="s">
        <v>6966</v>
      </c>
      <c r="AP832" t="s">
        <v>6966</v>
      </c>
      <c r="AQ832" t="s">
        <v>6966</v>
      </c>
      <c r="AR832" t="s">
        <v>6966</v>
      </c>
      <c r="AS832" t="s">
        <v>6966</v>
      </c>
      <c r="AT832" t="s">
        <v>6966</v>
      </c>
      <c r="AU832" t="s">
        <v>6966</v>
      </c>
      <c r="AV832" t="s">
        <v>6966</v>
      </c>
      <c r="AW832" t="s">
        <v>6966</v>
      </c>
      <c r="AX832" t="s">
        <v>6966</v>
      </c>
      <c r="AY832" t="s">
        <v>6966</v>
      </c>
      <c r="AZ832">
        <v>0.173707</v>
      </c>
      <c r="BA832">
        <v>7.5500000000000003E-4</v>
      </c>
    </row>
    <row r="833" spans="1:53" x14ac:dyDescent="0.25">
      <c r="A833">
        <v>831</v>
      </c>
      <c r="B833" t="s">
        <v>7625</v>
      </c>
      <c r="C833">
        <v>506030</v>
      </c>
      <c r="D833" t="s">
        <v>113</v>
      </c>
      <c r="E833" t="s">
        <v>7823</v>
      </c>
      <c r="F833">
        <v>1365594.375</v>
      </c>
      <c r="G833">
        <v>6821.4570309999999</v>
      </c>
      <c r="H833">
        <v>798</v>
      </c>
      <c r="I833">
        <v>999</v>
      </c>
      <c r="J833">
        <v>22439</v>
      </c>
      <c r="K833" t="s">
        <v>1647</v>
      </c>
      <c r="L833">
        <v>3</v>
      </c>
      <c r="M833">
        <v>3</v>
      </c>
      <c r="N833">
        <v>22439</v>
      </c>
      <c r="O833">
        <v>781</v>
      </c>
      <c r="P833" t="s">
        <v>3212</v>
      </c>
      <c r="Q833">
        <v>14.3</v>
      </c>
      <c r="R833">
        <v>66.83</v>
      </c>
      <c r="S833">
        <v>4.63</v>
      </c>
      <c r="T833">
        <v>22</v>
      </c>
      <c r="U833">
        <v>1365594.4421900001</v>
      </c>
      <c r="V833">
        <v>6821.4568689999996</v>
      </c>
      <c r="W833">
        <v>832</v>
      </c>
      <c r="X833">
        <v>0</v>
      </c>
      <c r="Y833">
        <v>831</v>
      </c>
      <c r="Z833" t="s">
        <v>6966</v>
      </c>
      <c r="AA833" t="s">
        <v>6966</v>
      </c>
      <c r="AB833" t="s">
        <v>6966</v>
      </c>
      <c r="AC833" t="s">
        <v>6966</v>
      </c>
      <c r="AD833" t="s">
        <v>6966</v>
      </c>
      <c r="AE833" t="s">
        <v>6966</v>
      </c>
      <c r="AF833" t="s">
        <v>6966</v>
      </c>
      <c r="AG833" t="s">
        <v>6966</v>
      </c>
      <c r="AH833" t="s">
        <v>6966</v>
      </c>
      <c r="AI833" t="s">
        <v>6966</v>
      </c>
      <c r="AJ833" t="s">
        <v>6966</v>
      </c>
      <c r="AK833" t="s">
        <v>6966</v>
      </c>
      <c r="AL833" t="s">
        <v>6966</v>
      </c>
      <c r="AM833" t="s">
        <v>6966</v>
      </c>
      <c r="AN833" t="s">
        <v>6966</v>
      </c>
      <c r="AO833" t="s">
        <v>6966</v>
      </c>
      <c r="AP833" t="s">
        <v>6966</v>
      </c>
      <c r="AQ833" t="s">
        <v>6966</v>
      </c>
      <c r="AR833" t="s">
        <v>6966</v>
      </c>
      <c r="AS833" t="s">
        <v>6966</v>
      </c>
      <c r="AT833" t="s">
        <v>6966</v>
      </c>
      <c r="AU833" t="s">
        <v>6966</v>
      </c>
      <c r="AV833" t="s">
        <v>6966</v>
      </c>
      <c r="AW833" t="s">
        <v>6966</v>
      </c>
      <c r="AX833" t="s">
        <v>6966</v>
      </c>
      <c r="AY833" t="s">
        <v>6966</v>
      </c>
      <c r="AZ833">
        <v>6.7944000000000004E-2</v>
      </c>
      <c r="BA833">
        <v>1.3300000000000001E-4</v>
      </c>
    </row>
    <row r="834" spans="1:53" x14ac:dyDescent="0.25">
      <c r="A834">
        <v>832</v>
      </c>
      <c r="B834" t="s">
        <v>7625</v>
      </c>
      <c r="C834">
        <v>506067</v>
      </c>
      <c r="D834" t="s">
        <v>182</v>
      </c>
      <c r="E834" t="s">
        <v>7823</v>
      </c>
      <c r="F834">
        <v>2098080.5</v>
      </c>
      <c r="G834">
        <v>8136.90625</v>
      </c>
      <c r="H834">
        <v>799</v>
      </c>
      <c r="I834">
        <v>1000</v>
      </c>
      <c r="J834">
        <v>22784</v>
      </c>
      <c r="K834" t="s">
        <v>1708</v>
      </c>
      <c r="L834">
        <v>3</v>
      </c>
      <c r="M834">
        <v>3</v>
      </c>
      <c r="N834">
        <v>22784</v>
      </c>
      <c r="O834">
        <v>782</v>
      </c>
      <c r="P834" t="s">
        <v>3212</v>
      </c>
      <c r="Q834">
        <v>1.8</v>
      </c>
      <c r="R834">
        <v>70.64</v>
      </c>
      <c r="S834">
        <v>0.69</v>
      </c>
      <c r="T834">
        <v>41</v>
      </c>
      <c r="U834">
        <v>2098080.6190599999</v>
      </c>
      <c r="V834">
        <v>8136.9059740000002</v>
      </c>
      <c r="W834">
        <v>833</v>
      </c>
      <c r="X834">
        <v>0</v>
      </c>
      <c r="Y834">
        <v>832</v>
      </c>
      <c r="Z834" t="s">
        <v>6966</v>
      </c>
      <c r="AA834" t="s">
        <v>6966</v>
      </c>
      <c r="AB834" t="s">
        <v>6966</v>
      </c>
      <c r="AC834" t="s">
        <v>6966</v>
      </c>
      <c r="AD834" t="s">
        <v>6966</v>
      </c>
      <c r="AE834" t="s">
        <v>6966</v>
      </c>
      <c r="AF834" t="s">
        <v>6966</v>
      </c>
      <c r="AG834" t="s">
        <v>6966</v>
      </c>
      <c r="AH834" t="s">
        <v>6966</v>
      </c>
      <c r="AI834" t="s">
        <v>6966</v>
      </c>
      <c r="AJ834" t="s">
        <v>6966</v>
      </c>
      <c r="AK834" t="s">
        <v>6966</v>
      </c>
      <c r="AL834" t="s">
        <v>6966</v>
      </c>
      <c r="AM834" t="s">
        <v>6966</v>
      </c>
      <c r="AN834" t="s">
        <v>6966</v>
      </c>
      <c r="AO834" t="s">
        <v>6966</v>
      </c>
      <c r="AP834" t="s">
        <v>6966</v>
      </c>
      <c r="AQ834" t="s">
        <v>6966</v>
      </c>
      <c r="AR834" t="s">
        <v>6966</v>
      </c>
      <c r="AS834" t="s">
        <v>6966</v>
      </c>
      <c r="AT834" t="s">
        <v>6966</v>
      </c>
      <c r="AU834" t="s">
        <v>6966</v>
      </c>
      <c r="AV834" t="s">
        <v>6966</v>
      </c>
      <c r="AW834" t="s">
        <v>6966</v>
      </c>
      <c r="AX834" t="s">
        <v>6966</v>
      </c>
      <c r="AY834" t="s">
        <v>6966</v>
      </c>
      <c r="AZ834">
        <v>8.0130000000000007E-2</v>
      </c>
      <c r="BA834">
        <v>2.04E-4</v>
      </c>
    </row>
    <row r="835" spans="1:53" x14ac:dyDescent="0.25">
      <c r="A835">
        <v>833</v>
      </c>
      <c r="B835" t="s">
        <v>7625</v>
      </c>
      <c r="C835">
        <v>506013</v>
      </c>
      <c r="D835" t="s">
        <v>177</v>
      </c>
      <c r="E835" t="s">
        <v>7823</v>
      </c>
      <c r="F835">
        <v>502089.71875</v>
      </c>
      <c r="G835">
        <v>4318.5141599999997</v>
      </c>
      <c r="H835">
        <v>800</v>
      </c>
      <c r="I835">
        <v>1001</v>
      </c>
      <c r="J835">
        <v>22767</v>
      </c>
      <c r="K835" t="s">
        <v>7860</v>
      </c>
      <c r="L835">
        <v>3</v>
      </c>
      <c r="M835">
        <v>3</v>
      </c>
      <c r="N835">
        <v>22767</v>
      </c>
      <c r="O835">
        <v>783</v>
      </c>
      <c r="P835" t="s">
        <v>3212</v>
      </c>
      <c r="Q835">
        <v>7.8</v>
      </c>
      <c r="R835">
        <v>42.43</v>
      </c>
      <c r="S835">
        <v>1.79</v>
      </c>
      <c r="T835">
        <v>10</v>
      </c>
      <c r="U835">
        <v>502089.70900600002</v>
      </c>
      <c r="V835">
        <v>4318.5145739999998</v>
      </c>
      <c r="W835">
        <v>834</v>
      </c>
      <c r="X835">
        <v>0</v>
      </c>
      <c r="Y835">
        <v>833</v>
      </c>
      <c r="Z835" t="s">
        <v>6966</v>
      </c>
      <c r="AA835" t="s">
        <v>6966</v>
      </c>
      <c r="AB835" t="s">
        <v>6966</v>
      </c>
      <c r="AC835" t="s">
        <v>6966</v>
      </c>
      <c r="AD835" t="s">
        <v>6966</v>
      </c>
      <c r="AE835" t="s">
        <v>6966</v>
      </c>
      <c r="AF835" t="s">
        <v>6966</v>
      </c>
      <c r="AG835" t="s">
        <v>6966</v>
      </c>
      <c r="AH835" t="s">
        <v>6966</v>
      </c>
      <c r="AI835" t="s">
        <v>6966</v>
      </c>
      <c r="AJ835" t="s">
        <v>6966</v>
      </c>
      <c r="AK835" t="s">
        <v>6966</v>
      </c>
      <c r="AL835" t="s">
        <v>6966</v>
      </c>
      <c r="AM835" t="s">
        <v>6966</v>
      </c>
      <c r="AN835" t="s">
        <v>6966</v>
      </c>
      <c r="AO835" t="s">
        <v>6966</v>
      </c>
      <c r="AP835" t="s">
        <v>6966</v>
      </c>
      <c r="AQ835" t="s">
        <v>6966</v>
      </c>
      <c r="AR835" t="s">
        <v>6966</v>
      </c>
      <c r="AS835" t="s">
        <v>6966</v>
      </c>
      <c r="AT835" t="s">
        <v>6966</v>
      </c>
      <c r="AU835" t="s">
        <v>6966</v>
      </c>
      <c r="AV835" t="s">
        <v>6966</v>
      </c>
      <c r="AW835" t="s">
        <v>6966</v>
      </c>
      <c r="AX835" t="s">
        <v>6966</v>
      </c>
      <c r="AY835" t="s">
        <v>6966</v>
      </c>
      <c r="AZ835">
        <v>4.3076000000000003E-2</v>
      </c>
      <c r="BA835">
        <v>4.8999999999999998E-5</v>
      </c>
    </row>
    <row r="836" spans="1:53" x14ac:dyDescent="0.25">
      <c r="A836">
        <v>834</v>
      </c>
      <c r="B836" t="s">
        <v>7625</v>
      </c>
      <c r="C836">
        <v>506010</v>
      </c>
      <c r="D836" t="s">
        <v>99</v>
      </c>
      <c r="E836" t="s">
        <v>7823</v>
      </c>
      <c r="F836">
        <v>640349</v>
      </c>
      <c r="G836">
        <v>4886.7939450000003</v>
      </c>
      <c r="H836">
        <v>801</v>
      </c>
      <c r="I836">
        <v>1013</v>
      </c>
      <c r="J836">
        <v>22343</v>
      </c>
      <c r="K836" t="s">
        <v>1635</v>
      </c>
      <c r="L836">
        <v>3</v>
      </c>
      <c r="M836">
        <v>3</v>
      </c>
      <c r="N836">
        <v>22343</v>
      </c>
      <c r="O836">
        <v>795</v>
      </c>
      <c r="P836" t="s">
        <v>3212</v>
      </c>
      <c r="Q836">
        <v>51.1</v>
      </c>
      <c r="R836">
        <v>176.93</v>
      </c>
      <c r="S836">
        <v>11.91</v>
      </c>
      <c r="T836">
        <v>41</v>
      </c>
      <c r="U836">
        <v>640349.00566400005</v>
      </c>
      <c r="V836">
        <v>4886.7929979999999</v>
      </c>
      <c r="W836">
        <v>835</v>
      </c>
      <c r="X836">
        <v>0</v>
      </c>
      <c r="Y836">
        <v>834</v>
      </c>
      <c r="Z836" t="s">
        <v>6966</v>
      </c>
      <c r="AA836" t="s">
        <v>6966</v>
      </c>
      <c r="AB836" t="s">
        <v>6966</v>
      </c>
      <c r="AC836" t="s">
        <v>6966</v>
      </c>
      <c r="AD836" t="s">
        <v>6966</v>
      </c>
      <c r="AE836" t="s">
        <v>6966</v>
      </c>
      <c r="AF836" t="s">
        <v>6966</v>
      </c>
      <c r="AG836" t="s">
        <v>6966</v>
      </c>
      <c r="AH836" t="s">
        <v>6966</v>
      </c>
      <c r="AI836" t="s">
        <v>6966</v>
      </c>
      <c r="AJ836" t="s">
        <v>6966</v>
      </c>
      <c r="AK836" t="s">
        <v>6966</v>
      </c>
      <c r="AL836" t="s">
        <v>6966</v>
      </c>
      <c r="AM836" t="s">
        <v>6966</v>
      </c>
      <c r="AN836" t="s">
        <v>6966</v>
      </c>
      <c r="AO836" t="s">
        <v>6966</v>
      </c>
      <c r="AP836" t="s">
        <v>6966</v>
      </c>
      <c r="AQ836" t="s">
        <v>6966</v>
      </c>
      <c r="AR836" t="s">
        <v>6966</v>
      </c>
      <c r="AS836" t="s">
        <v>6966</v>
      </c>
      <c r="AT836" t="s">
        <v>6966</v>
      </c>
      <c r="AU836" t="s">
        <v>6966</v>
      </c>
      <c r="AV836" t="s">
        <v>6966</v>
      </c>
      <c r="AW836" t="s">
        <v>6966</v>
      </c>
      <c r="AX836" t="s">
        <v>6966</v>
      </c>
      <c r="AY836" t="s">
        <v>6966</v>
      </c>
      <c r="AZ836">
        <v>4.8738999999999998E-2</v>
      </c>
      <c r="BA836">
        <v>6.2000000000000003E-5</v>
      </c>
    </row>
    <row r="837" spans="1:53" x14ac:dyDescent="0.25">
      <c r="A837">
        <v>835</v>
      </c>
      <c r="B837" t="s">
        <v>7625</v>
      </c>
      <c r="C837">
        <v>506038</v>
      </c>
      <c r="D837" t="s">
        <v>156</v>
      </c>
      <c r="E837" t="s">
        <v>7823</v>
      </c>
      <c r="F837">
        <v>3305987.75</v>
      </c>
      <c r="G837">
        <v>9242.6220699999994</v>
      </c>
      <c r="H837">
        <v>802</v>
      </c>
      <c r="I837">
        <v>1003</v>
      </c>
      <c r="J837">
        <v>22675</v>
      </c>
      <c r="K837" t="s">
        <v>1686</v>
      </c>
      <c r="L837">
        <v>3</v>
      </c>
      <c r="M837">
        <v>3</v>
      </c>
      <c r="N837">
        <v>22675</v>
      </c>
      <c r="O837">
        <v>785</v>
      </c>
      <c r="P837" t="s">
        <v>3212</v>
      </c>
      <c r="Q837">
        <v>6.8</v>
      </c>
      <c r="R837">
        <v>62.37</v>
      </c>
      <c r="S837">
        <v>2.17</v>
      </c>
      <c r="T837">
        <v>29</v>
      </c>
      <c r="U837">
        <v>3305987.7732600002</v>
      </c>
      <c r="V837">
        <v>9242.6213009999992</v>
      </c>
      <c r="W837">
        <v>836</v>
      </c>
      <c r="X837">
        <v>0</v>
      </c>
      <c r="Y837">
        <v>835</v>
      </c>
      <c r="Z837" t="s">
        <v>6966</v>
      </c>
      <c r="AA837" t="s">
        <v>6966</v>
      </c>
      <c r="AB837" t="s">
        <v>6966</v>
      </c>
      <c r="AC837" t="s">
        <v>6966</v>
      </c>
      <c r="AD837" t="s">
        <v>6966</v>
      </c>
      <c r="AE837" t="s">
        <v>6966</v>
      </c>
      <c r="AF837" t="s">
        <v>6966</v>
      </c>
      <c r="AG837" t="s">
        <v>6966</v>
      </c>
      <c r="AH837" t="s">
        <v>6966</v>
      </c>
      <c r="AI837" t="s">
        <v>6966</v>
      </c>
      <c r="AJ837" t="s">
        <v>6966</v>
      </c>
      <c r="AK837" t="s">
        <v>6966</v>
      </c>
      <c r="AL837" t="s">
        <v>6966</v>
      </c>
      <c r="AM837" t="s">
        <v>6966</v>
      </c>
      <c r="AN837" t="s">
        <v>6966</v>
      </c>
      <c r="AO837" t="s">
        <v>6966</v>
      </c>
      <c r="AP837" t="s">
        <v>6966</v>
      </c>
      <c r="AQ837" t="s">
        <v>6966</v>
      </c>
      <c r="AR837" t="s">
        <v>6966</v>
      </c>
      <c r="AS837" t="s">
        <v>6966</v>
      </c>
      <c r="AT837" t="s">
        <v>6966</v>
      </c>
      <c r="AU837" t="s">
        <v>6966</v>
      </c>
      <c r="AV837" t="s">
        <v>6966</v>
      </c>
      <c r="AW837" t="s">
        <v>6966</v>
      </c>
      <c r="AX837" t="s">
        <v>6966</v>
      </c>
      <c r="AY837" t="s">
        <v>6966</v>
      </c>
      <c r="AZ837">
        <v>9.3296000000000004E-2</v>
      </c>
      <c r="BA837">
        <v>3.2200000000000002E-4</v>
      </c>
    </row>
    <row r="838" spans="1:53" x14ac:dyDescent="0.25">
      <c r="A838">
        <v>836</v>
      </c>
      <c r="B838" t="s">
        <v>7625</v>
      </c>
      <c r="C838">
        <v>301008</v>
      </c>
      <c r="D838" t="s">
        <v>7861</v>
      </c>
      <c r="E838" t="s">
        <v>3177</v>
      </c>
      <c r="F838">
        <v>597455</v>
      </c>
      <c r="G838">
        <v>4800.1201170000004</v>
      </c>
      <c r="H838">
        <v>803</v>
      </c>
      <c r="I838">
        <v>1011</v>
      </c>
      <c r="J838">
        <v>10250</v>
      </c>
      <c r="K838" t="s">
        <v>1568</v>
      </c>
      <c r="L838">
        <v>1</v>
      </c>
      <c r="M838">
        <v>1</v>
      </c>
      <c r="N838">
        <v>10250</v>
      </c>
      <c r="O838">
        <v>793</v>
      </c>
      <c r="P838" t="s">
        <v>3177</v>
      </c>
      <c r="Q838">
        <v>25.4</v>
      </c>
      <c r="R838">
        <v>80.83</v>
      </c>
      <c r="S838">
        <v>11.14</v>
      </c>
      <c r="T838">
        <v>36</v>
      </c>
      <c r="U838">
        <v>597455.02448400005</v>
      </c>
      <c r="V838">
        <v>4800.1205760000003</v>
      </c>
      <c r="W838">
        <v>837</v>
      </c>
      <c r="X838">
        <v>0</v>
      </c>
      <c r="Y838">
        <v>836</v>
      </c>
      <c r="Z838" t="s">
        <v>6966</v>
      </c>
      <c r="AA838" t="s">
        <v>6966</v>
      </c>
      <c r="AB838" t="s">
        <v>6966</v>
      </c>
      <c r="AC838" t="s">
        <v>6966</v>
      </c>
      <c r="AD838" t="s">
        <v>6966</v>
      </c>
      <c r="AE838" t="s">
        <v>6966</v>
      </c>
      <c r="AF838" t="s">
        <v>6966</v>
      </c>
      <c r="AG838" t="s">
        <v>6966</v>
      </c>
      <c r="AH838" t="s">
        <v>6966</v>
      </c>
      <c r="AI838" t="s">
        <v>6966</v>
      </c>
      <c r="AJ838" t="s">
        <v>6966</v>
      </c>
      <c r="AK838" t="s">
        <v>6966</v>
      </c>
      <c r="AL838" t="s">
        <v>6966</v>
      </c>
      <c r="AM838" t="s">
        <v>6966</v>
      </c>
      <c r="AN838" t="s">
        <v>6966</v>
      </c>
      <c r="AO838" t="s">
        <v>6966</v>
      </c>
      <c r="AP838" t="s">
        <v>6966</v>
      </c>
      <c r="AQ838" t="s">
        <v>6966</v>
      </c>
      <c r="AR838" t="s">
        <v>6966</v>
      </c>
      <c r="AS838" t="s">
        <v>6966</v>
      </c>
      <c r="AT838" t="s">
        <v>6966</v>
      </c>
      <c r="AU838" t="s">
        <v>6966</v>
      </c>
      <c r="AV838" t="s">
        <v>6966</v>
      </c>
      <c r="AW838" t="s">
        <v>6966</v>
      </c>
      <c r="AX838" t="s">
        <v>6966</v>
      </c>
      <c r="AY838" t="s">
        <v>6966</v>
      </c>
      <c r="AZ838">
        <v>4.7849000000000003E-2</v>
      </c>
      <c r="BA838">
        <v>5.8E-5</v>
      </c>
    </row>
    <row r="839" spans="1:53" x14ac:dyDescent="0.25">
      <c r="A839">
        <v>837</v>
      </c>
      <c r="B839" t="s">
        <v>7625</v>
      </c>
      <c r="C839">
        <v>506028</v>
      </c>
      <c r="D839" t="s">
        <v>111</v>
      </c>
      <c r="E839" t="s">
        <v>7823</v>
      </c>
      <c r="F839">
        <v>665260.75</v>
      </c>
      <c r="G839">
        <v>3818.6372070000002</v>
      </c>
      <c r="H839">
        <v>804</v>
      </c>
      <c r="I839">
        <v>1004</v>
      </c>
      <c r="J839">
        <v>22431</v>
      </c>
      <c r="K839" t="s">
        <v>1645</v>
      </c>
      <c r="L839">
        <v>3</v>
      </c>
      <c r="M839">
        <v>3</v>
      </c>
      <c r="N839">
        <v>22431</v>
      </c>
      <c r="O839">
        <v>786</v>
      </c>
      <c r="P839" t="s">
        <v>3212</v>
      </c>
      <c r="Q839">
        <v>39.1</v>
      </c>
      <c r="R839">
        <v>63.09</v>
      </c>
      <c r="S839">
        <v>10.76</v>
      </c>
      <c r="T839">
        <v>19</v>
      </c>
      <c r="U839">
        <v>665260.76502799999</v>
      </c>
      <c r="V839">
        <v>3818.6380199999999</v>
      </c>
      <c r="W839">
        <v>838</v>
      </c>
      <c r="X839">
        <v>0</v>
      </c>
      <c r="Y839">
        <v>837</v>
      </c>
      <c r="Z839" t="s">
        <v>6966</v>
      </c>
      <c r="AA839" t="s">
        <v>6966</v>
      </c>
      <c r="AB839" t="s">
        <v>6966</v>
      </c>
      <c r="AC839" t="s">
        <v>6966</v>
      </c>
      <c r="AD839" t="s">
        <v>6966</v>
      </c>
      <c r="AE839" t="s">
        <v>6966</v>
      </c>
      <c r="AF839" t="s">
        <v>6966</v>
      </c>
      <c r="AG839" t="s">
        <v>6966</v>
      </c>
      <c r="AH839" t="s">
        <v>6966</v>
      </c>
      <c r="AI839" t="s">
        <v>6966</v>
      </c>
      <c r="AJ839" t="s">
        <v>6966</v>
      </c>
      <c r="AK839" t="s">
        <v>6966</v>
      </c>
      <c r="AL839" t="s">
        <v>6966</v>
      </c>
      <c r="AM839" t="s">
        <v>6966</v>
      </c>
      <c r="AN839" t="s">
        <v>6966</v>
      </c>
      <c r="AO839" t="s">
        <v>6966</v>
      </c>
      <c r="AP839" t="s">
        <v>6966</v>
      </c>
      <c r="AQ839" t="s">
        <v>6966</v>
      </c>
      <c r="AR839" t="s">
        <v>6966</v>
      </c>
      <c r="AS839" t="s">
        <v>6966</v>
      </c>
      <c r="AT839" t="s">
        <v>6966</v>
      </c>
      <c r="AU839" t="s">
        <v>6966</v>
      </c>
      <c r="AV839" t="s">
        <v>6966</v>
      </c>
      <c r="AW839" t="s">
        <v>6966</v>
      </c>
      <c r="AX839" t="s">
        <v>6966</v>
      </c>
      <c r="AY839" t="s">
        <v>6966</v>
      </c>
      <c r="AZ839">
        <v>3.7936999999999999E-2</v>
      </c>
      <c r="BA839">
        <v>6.4999999999999994E-5</v>
      </c>
    </row>
    <row r="840" spans="1:53" x14ac:dyDescent="0.25">
      <c r="A840">
        <v>838</v>
      </c>
      <c r="B840" t="s">
        <v>7625</v>
      </c>
      <c r="C840">
        <v>506017</v>
      </c>
      <c r="D840" t="s">
        <v>154</v>
      </c>
      <c r="E840" t="s">
        <v>7823</v>
      </c>
      <c r="F840">
        <v>5141632.5</v>
      </c>
      <c r="G840">
        <v>16510.710938</v>
      </c>
      <c r="H840">
        <v>805</v>
      </c>
      <c r="I840">
        <v>1005</v>
      </c>
      <c r="J840">
        <v>22659</v>
      </c>
      <c r="K840" t="s">
        <v>7862</v>
      </c>
      <c r="L840">
        <v>3</v>
      </c>
      <c r="M840">
        <v>3</v>
      </c>
      <c r="N840">
        <v>22659</v>
      </c>
      <c r="O840">
        <v>787</v>
      </c>
      <c r="P840" t="s">
        <v>3212</v>
      </c>
      <c r="Q840">
        <v>10.3</v>
      </c>
      <c r="R840">
        <v>68.03</v>
      </c>
      <c r="S840">
        <v>3.05</v>
      </c>
      <c r="T840">
        <v>20</v>
      </c>
      <c r="U840">
        <v>5141632.7154799998</v>
      </c>
      <c r="V840">
        <v>16510.710515999999</v>
      </c>
      <c r="W840">
        <v>839</v>
      </c>
      <c r="X840">
        <v>0</v>
      </c>
      <c r="Y840">
        <v>838</v>
      </c>
      <c r="Z840" t="s">
        <v>6966</v>
      </c>
      <c r="AA840" t="s">
        <v>6966</v>
      </c>
      <c r="AB840" t="s">
        <v>6966</v>
      </c>
      <c r="AC840" t="s">
        <v>6966</v>
      </c>
      <c r="AD840" t="s">
        <v>6966</v>
      </c>
      <c r="AE840" t="s">
        <v>6966</v>
      </c>
      <c r="AF840" t="s">
        <v>6966</v>
      </c>
      <c r="AG840" t="s">
        <v>6966</v>
      </c>
      <c r="AH840" t="s">
        <v>6966</v>
      </c>
      <c r="AI840" t="s">
        <v>6966</v>
      </c>
      <c r="AJ840" t="s">
        <v>6966</v>
      </c>
      <c r="AK840" t="s">
        <v>6966</v>
      </c>
      <c r="AL840" t="s">
        <v>6966</v>
      </c>
      <c r="AM840" t="s">
        <v>6966</v>
      </c>
      <c r="AN840" t="s">
        <v>6966</v>
      </c>
      <c r="AO840" t="s">
        <v>6966</v>
      </c>
      <c r="AP840" t="s">
        <v>6966</v>
      </c>
      <c r="AQ840" t="s">
        <v>6966</v>
      </c>
      <c r="AR840" t="s">
        <v>6966</v>
      </c>
      <c r="AS840" t="s">
        <v>6966</v>
      </c>
      <c r="AT840" t="s">
        <v>6966</v>
      </c>
      <c r="AU840" t="s">
        <v>6966</v>
      </c>
      <c r="AV840" t="s">
        <v>6966</v>
      </c>
      <c r="AW840" t="s">
        <v>6966</v>
      </c>
      <c r="AX840" t="s">
        <v>6966</v>
      </c>
      <c r="AY840" t="s">
        <v>6966</v>
      </c>
      <c r="AZ840">
        <v>0.16425200000000001</v>
      </c>
      <c r="BA840">
        <v>5.0100000000000003E-4</v>
      </c>
    </row>
    <row r="841" spans="1:53" x14ac:dyDescent="0.25">
      <c r="A841">
        <v>839</v>
      </c>
      <c r="B841" t="s">
        <v>7625</v>
      </c>
      <c r="C841">
        <v>506007</v>
      </c>
      <c r="D841" t="s">
        <v>7863</v>
      </c>
      <c r="E841" t="s">
        <v>7823</v>
      </c>
      <c r="F841">
        <v>356338.15625</v>
      </c>
      <c r="G841">
        <v>3260.3085940000001</v>
      </c>
      <c r="H841">
        <v>806</v>
      </c>
      <c r="I841">
        <v>1006</v>
      </c>
      <c r="J841">
        <v>22714</v>
      </c>
      <c r="K841" t="s">
        <v>7864</v>
      </c>
      <c r="L841">
        <v>3</v>
      </c>
      <c r="M841">
        <v>3</v>
      </c>
      <c r="N841">
        <v>22714</v>
      </c>
      <c r="O841">
        <v>788</v>
      </c>
      <c r="P841" t="s">
        <v>3212</v>
      </c>
      <c r="Q841">
        <v>2.6</v>
      </c>
      <c r="R841">
        <v>21.04</v>
      </c>
      <c r="S841">
        <v>0.76</v>
      </c>
      <c r="T841">
        <v>6</v>
      </c>
      <c r="U841">
        <v>356338.15999700001</v>
      </c>
      <c r="V841">
        <v>3260.3089150000001</v>
      </c>
      <c r="W841">
        <v>840</v>
      </c>
      <c r="X841">
        <v>0</v>
      </c>
      <c r="Y841">
        <v>839</v>
      </c>
      <c r="Z841" t="s">
        <v>6966</v>
      </c>
      <c r="AA841" t="s">
        <v>6966</v>
      </c>
      <c r="AB841" t="s">
        <v>6966</v>
      </c>
      <c r="AC841" t="s">
        <v>6966</v>
      </c>
      <c r="AD841" t="s">
        <v>6966</v>
      </c>
      <c r="AE841" t="s">
        <v>6966</v>
      </c>
      <c r="AF841" t="s">
        <v>6966</v>
      </c>
      <c r="AG841" t="s">
        <v>6966</v>
      </c>
      <c r="AH841" t="s">
        <v>6966</v>
      </c>
      <c r="AI841" t="s">
        <v>6966</v>
      </c>
      <c r="AJ841" t="s">
        <v>6966</v>
      </c>
      <c r="AK841" t="s">
        <v>6966</v>
      </c>
      <c r="AL841" t="s">
        <v>6966</v>
      </c>
      <c r="AM841" t="s">
        <v>6966</v>
      </c>
      <c r="AN841" t="s">
        <v>6966</v>
      </c>
      <c r="AO841" t="s">
        <v>6966</v>
      </c>
      <c r="AP841" t="s">
        <v>6966</v>
      </c>
      <c r="AQ841" t="s">
        <v>6966</v>
      </c>
      <c r="AR841" t="s">
        <v>6966</v>
      </c>
      <c r="AS841" t="s">
        <v>6966</v>
      </c>
      <c r="AT841" t="s">
        <v>6966</v>
      </c>
      <c r="AU841" t="s">
        <v>6966</v>
      </c>
      <c r="AV841" t="s">
        <v>6966</v>
      </c>
      <c r="AW841" t="s">
        <v>6966</v>
      </c>
      <c r="AX841" t="s">
        <v>6966</v>
      </c>
      <c r="AY841" t="s">
        <v>6966</v>
      </c>
      <c r="AZ841">
        <v>3.1857000000000003E-2</v>
      </c>
      <c r="BA841">
        <v>3.4999999999999997E-5</v>
      </c>
    </row>
    <row r="842" spans="1:53" x14ac:dyDescent="0.25">
      <c r="A842">
        <v>840</v>
      </c>
      <c r="B842" t="s">
        <v>7625</v>
      </c>
      <c r="C842">
        <v>506097</v>
      </c>
      <c r="D842" t="s">
        <v>100</v>
      </c>
      <c r="E842" t="s">
        <v>7823</v>
      </c>
      <c r="F842">
        <v>896420.75</v>
      </c>
      <c r="G842">
        <v>5460.9916990000002</v>
      </c>
      <c r="H842">
        <v>807</v>
      </c>
      <c r="I842">
        <v>1007</v>
      </c>
      <c r="J842">
        <v>22351</v>
      </c>
      <c r="K842" t="s">
        <v>1636</v>
      </c>
      <c r="L842">
        <v>3</v>
      </c>
      <c r="M842">
        <v>3</v>
      </c>
      <c r="N842">
        <v>22351</v>
      </c>
      <c r="O842">
        <v>789</v>
      </c>
      <c r="P842" t="s">
        <v>3212</v>
      </c>
      <c r="Q842">
        <v>147.80000000000001</v>
      </c>
      <c r="R842">
        <v>217.07</v>
      </c>
      <c r="S842">
        <v>34.049999999999997</v>
      </c>
      <c r="T842">
        <v>50</v>
      </c>
      <c r="U842">
        <v>896420.77186500002</v>
      </c>
      <c r="V842">
        <v>5460.99107</v>
      </c>
      <c r="W842">
        <v>841</v>
      </c>
      <c r="X842">
        <v>0</v>
      </c>
      <c r="Y842">
        <v>840</v>
      </c>
      <c r="Z842" t="s">
        <v>6966</v>
      </c>
      <c r="AA842" t="s">
        <v>6966</v>
      </c>
      <c r="AB842" t="s">
        <v>6966</v>
      </c>
      <c r="AC842" t="s">
        <v>6966</v>
      </c>
      <c r="AD842" t="s">
        <v>6966</v>
      </c>
      <c r="AE842" t="s">
        <v>6966</v>
      </c>
      <c r="AF842" t="s">
        <v>6966</v>
      </c>
      <c r="AG842" t="s">
        <v>6966</v>
      </c>
      <c r="AH842" t="s">
        <v>6966</v>
      </c>
      <c r="AI842" t="s">
        <v>6966</v>
      </c>
      <c r="AJ842" t="s">
        <v>6966</v>
      </c>
      <c r="AK842" t="s">
        <v>6966</v>
      </c>
      <c r="AL842" t="s">
        <v>6966</v>
      </c>
      <c r="AM842" t="s">
        <v>6966</v>
      </c>
      <c r="AN842" t="s">
        <v>6966</v>
      </c>
      <c r="AO842" t="s">
        <v>6966</v>
      </c>
      <c r="AP842" t="s">
        <v>6966</v>
      </c>
      <c r="AQ842" t="s">
        <v>6966</v>
      </c>
      <c r="AR842" t="s">
        <v>6966</v>
      </c>
      <c r="AS842" t="s">
        <v>6966</v>
      </c>
      <c r="AT842" t="s">
        <v>6966</v>
      </c>
      <c r="AU842" t="s">
        <v>6966</v>
      </c>
      <c r="AV842" t="s">
        <v>6966</v>
      </c>
      <c r="AW842" t="s">
        <v>6966</v>
      </c>
      <c r="AX842" t="s">
        <v>6966</v>
      </c>
      <c r="AY842" t="s">
        <v>6966</v>
      </c>
      <c r="AZ842">
        <v>5.4668000000000001E-2</v>
      </c>
      <c r="BA842">
        <v>8.7000000000000001E-5</v>
      </c>
    </row>
    <row r="843" spans="1:53" x14ac:dyDescent="0.25">
      <c r="A843">
        <v>841</v>
      </c>
      <c r="B843" t="s">
        <v>7625</v>
      </c>
      <c r="C843">
        <v>301005</v>
      </c>
      <c r="D843" t="s">
        <v>7865</v>
      </c>
      <c r="E843" t="s">
        <v>3177</v>
      </c>
      <c r="F843">
        <v>982332.875</v>
      </c>
      <c r="G843">
        <v>6271.2548829999996</v>
      </c>
      <c r="H843">
        <v>808</v>
      </c>
      <c r="I843">
        <v>1009</v>
      </c>
      <c r="J843">
        <v>10450</v>
      </c>
      <c r="K843" t="s">
        <v>1572</v>
      </c>
      <c r="L843">
        <v>1</v>
      </c>
      <c r="M843">
        <v>1</v>
      </c>
      <c r="N843">
        <v>10450</v>
      </c>
      <c r="O843">
        <v>791</v>
      </c>
      <c r="P843" t="s">
        <v>3177</v>
      </c>
      <c r="Q843">
        <v>0</v>
      </c>
      <c r="R843">
        <v>0.23</v>
      </c>
      <c r="S843">
        <v>0.21</v>
      </c>
      <c r="T843">
        <v>2</v>
      </c>
      <c r="U843">
        <v>982332.96970200003</v>
      </c>
      <c r="V843">
        <v>6271.255322</v>
      </c>
      <c r="W843">
        <v>842</v>
      </c>
      <c r="X843">
        <v>0</v>
      </c>
      <c r="Y843">
        <v>841</v>
      </c>
      <c r="Z843" t="s">
        <v>6966</v>
      </c>
      <c r="AA843" t="s">
        <v>6966</v>
      </c>
      <c r="AB843" t="s">
        <v>6966</v>
      </c>
      <c r="AC843" t="s">
        <v>6966</v>
      </c>
      <c r="AD843" t="s">
        <v>6966</v>
      </c>
      <c r="AE843" t="s">
        <v>6966</v>
      </c>
      <c r="AF843" t="s">
        <v>6966</v>
      </c>
      <c r="AG843" t="s">
        <v>6966</v>
      </c>
      <c r="AH843" t="s">
        <v>6966</v>
      </c>
      <c r="AI843" t="s">
        <v>6966</v>
      </c>
      <c r="AJ843" t="s">
        <v>6966</v>
      </c>
      <c r="AK843" t="s">
        <v>6966</v>
      </c>
      <c r="AL843" t="s">
        <v>6966</v>
      </c>
      <c r="AM843" t="s">
        <v>6966</v>
      </c>
      <c r="AN843" t="s">
        <v>6966</v>
      </c>
      <c r="AO843" t="s">
        <v>6966</v>
      </c>
      <c r="AP843" t="s">
        <v>6966</v>
      </c>
      <c r="AQ843" t="s">
        <v>6966</v>
      </c>
      <c r="AR843" t="s">
        <v>6966</v>
      </c>
      <c r="AS843" t="s">
        <v>6966</v>
      </c>
      <c r="AT843" t="s">
        <v>6966</v>
      </c>
      <c r="AU843" t="s">
        <v>6966</v>
      </c>
      <c r="AV843" t="s">
        <v>6966</v>
      </c>
      <c r="AW843" t="s">
        <v>6966</v>
      </c>
      <c r="AX843" t="s">
        <v>6966</v>
      </c>
      <c r="AY843" t="s">
        <v>6966</v>
      </c>
      <c r="AZ843">
        <v>6.2536999999999995E-2</v>
      </c>
      <c r="BA843">
        <v>9.6000000000000002E-5</v>
      </c>
    </row>
    <row r="844" spans="1:53" x14ac:dyDescent="0.25">
      <c r="A844">
        <v>842</v>
      </c>
      <c r="B844" t="s">
        <v>7625</v>
      </c>
      <c r="C844">
        <v>301001</v>
      </c>
      <c r="D844" t="s">
        <v>7866</v>
      </c>
      <c r="E844" t="s">
        <v>3177</v>
      </c>
      <c r="F844">
        <v>998592.0625</v>
      </c>
      <c r="G844">
        <v>7527.044922</v>
      </c>
      <c r="H844">
        <v>809</v>
      </c>
      <c r="I844">
        <v>1008</v>
      </c>
      <c r="J844">
        <v>10110</v>
      </c>
      <c r="K844" t="s">
        <v>7867</v>
      </c>
      <c r="L844">
        <v>1</v>
      </c>
      <c r="M844">
        <v>1</v>
      </c>
      <c r="N844">
        <v>10110</v>
      </c>
      <c r="O844">
        <v>790</v>
      </c>
      <c r="P844" t="s">
        <v>3177</v>
      </c>
      <c r="Q844">
        <v>67.7</v>
      </c>
      <c r="R844">
        <v>74.2</v>
      </c>
      <c r="S844">
        <v>23.07</v>
      </c>
      <c r="T844">
        <v>39</v>
      </c>
      <c r="U844">
        <v>998592.07156399998</v>
      </c>
      <c r="V844">
        <v>7527.0449189999999</v>
      </c>
      <c r="W844">
        <v>843</v>
      </c>
      <c r="X844">
        <v>0</v>
      </c>
      <c r="Y844">
        <v>842</v>
      </c>
      <c r="Z844" t="s">
        <v>6966</v>
      </c>
      <c r="AA844" t="s">
        <v>6966</v>
      </c>
      <c r="AB844" t="s">
        <v>6966</v>
      </c>
      <c r="AC844" t="s">
        <v>6966</v>
      </c>
      <c r="AD844" t="s">
        <v>6966</v>
      </c>
      <c r="AE844" t="s">
        <v>6966</v>
      </c>
      <c r="AF844" t="s">
        <v>6966</v>
      </c>
      <c r="AG844" t="s">
        <v>6966</v>
      </c>
      <c r="AH844" t="s">
        <v>6966</v>
      </c>
      <c r="AI844" t="s">
        <v>6966</v>
      </c>
      <c r="AJ844" t="s">
        <v>6966</v>
      </c>
      <c r="AK844" t="s">
        <v>6966</v>
      </c>
      <c r="AL844" t="s">
        <v>6966</v>
      </c>
      <c r="AM844" t="s">
        <v>6966</v>
      </c>
      <c r="AN844" t="s">
        <v>6966</v>
      </c>
      <c r="AO844" t="s">
        <v>6966</v>
      </c>
      <c r="AP844" t="s">
        <v>6966</v>
      </c>
      <c r="AQ844" t="s">
        <v>6966</v>
      </c>
      <c r="AR844" t="s">
        <v>6966</v>
      </c>
      <c r="AS844" t="s">
        <v>6966</v>
      </c>
      <c r="AT844" t="s">
        <v>6966</v>
      </c>
      <c r="AU844" t="s">
        <v>6966</v>
      </c>
      <c r="AV844" t="s">
        <v>6966</v>
      </c>
      <c r="AW844" t="s">
        <v>6966</v>
      </c>
      <c r="AX844" t="s">
        <v>6966</v>
      </c>
      <c r="AY844" t="s">
        <v>6966</v>
      </c>
      <c r="AZ844">
        <v>7.7251E-2</v>
      </c>
      <c r="BA844">
        <v>9.7E-5</v>
      </c>
    </row>
    <row r="845" spans="1:53" x14ac:dyDescent="0.25">
      <c r="A845">
        <v>843</v>
      </c>
      <c r="B845" t="s">
        <v>7625</v>
      </c>
      <c r="C845">
        <v>506027</v>
      </c>
      <c r="D845" t="s">
        <v>88</v>
      </c>
      <c r="E845" t="s">
        <v>7823</v>
      </c>
      <c r="F845">
        <v>2644252.25</v>
      </c>
      <c r="G845">
        <v>7932.2841799999997</v>
      </c>
      <c r="H845">
        <v>810</v>
      </c>
      <c r="I845">
        <v>1014</v>
      </c>
      <c r="J845">
        <v>22111</v>
      </c>
      <c r="K845" t="s">
        <v>1624</v>
      </c>
      <c r="L845">
        <v>3</v>
      </c>
      <c r="M845">
        <v>3</v>
      </c>
      <c r="N845">
        <v>22111</v>
      </c>
      <c r="O845">
        <v>796</v>
      </c>
      <c r="P845" t="s">
        <v>3212</v>
      </c>
      <c r="Q845">
        <v>287.10000000000002</v>
      </c>
      <c r="R845">
        <v>575.34</v>
      </c>
      <c r="S845">
        <v>66.16</v>
      </c>
      <c r="T845">
        <v>133</v>
      </c>
      <c r="U845">
        <v>2644252.1764799999</v>
      </c>
      <c r="V845">
        <v>7932.2839919999997</v>
      </c>
      <c r="W845">
        <v>844</v>
      </c>
      <c r="X845">
        <v>3</v>
      </c>
      <c r="Y845">
        <v>843</v>
      </c>
      <c r="Z845">
        <v>58895</v>
      </c>
      <c r="AA845" s="76">
        <v>45734</v>
      </c>
      <c r="AB845">
        <v>2025</v>
      </c>
      <c r="AC845" t="s">
        <v>7104</v>
      </c>
      <c r="AD845">
        <v>18</v>
      </c>
      <c r="AE845" t="s">
        <v>7130</v>
      </c>
      <c r="AF845" t="s">
        <v>3212</v>
      </c>
      <c r="AG845" t="s">
        <v>3224</v>
      </c>
      <c r="AH845" t="s">
        <v>88</v>
      </c>
      <c r="AI845" t="s">
        <v>7131</v>
      </c>
      <c r="AJ845" t="s">
        <v>6966</v>
      </c>
      <c r="AK845">
        <v>33.884520000000002</v>
      </c>
      <c r="AL845">
        <v>35.539709999999999</v>
      </c>
      <c r="AM845" t="s">
        <v>6995</v>
      </c>
      <c r="AN845" t="s">
        <v>7028</v>
      </c>
      <c r="AO845" t="s">
        <v>7042</v>
      </c>
      <c r="AP845" t="s">
        <v>7132</v>
      </c>
      <c r="AQ845" t="s">
        <v>6998</v>
      </c>
      <c r="AR845" t="s">
        <v>6999</v>
      </c>
      <c r="AS845" t="s">
        <v>7071</v>
      </c>
      <c r="AT845">
        <v>0</v>
      </c>
      <c r="AU845">
        <v>0</v>
      </c>
      <c r="AV845" t="s">
        <v>6966</v>
      </c>
      <c r="AW845" t="s">
        <v>7018</v>
      </c>
      <c r="AX845" t="s">
        <v>6966</v>
      </c>
      <c r="AY845" t="s">
        <v>7114</v>
      </c>
      <c r="AZ845">
        <v>7.7163999999999996E-2</v>
      </c>
      <c r="BA845">
        <v>2.5799999999999998E-4</v>
      </c>
    </row>
    <row r="846" spans="1:53" x14ac:dyDescent="0.25">
      <c r="A846">
        <v>844</v>
      </c>
      <c r="B846" t="s">
        <v>7625</v>
      </c>
      <c r="C846">
        <v>506005</v>
      </c>
      <c r="D846" t="s">
        <v>168</v>
      </c>
      <c r="E846" t="s">
        <v>7823</v>
      </c>
      <c r="F846">
        <v>641060.0625</v>
      </c>
      <c r="G846">
        <v>3986.0598140000002</v>
      </c>
      <c r="H846">
        <v>811</v>
      </c>
      <c r="I846">
        <v>1010</v>
      </c>
      <c r="J846">
        <v>22737</v>
      </c>
      <c r="K846" t="s">
        <v>7868</v>
      </c>
      <c r="L846">
        <v>3</v>
      </c>
      <c r="M846">
        <v>3</v>
      </c>
      <c r="N846">
        <v>22737</v>
      </c>
      <c r="O846">
        <v>792</v>
      </c>
      <c r="P846" t="s">
        <v>3212</v>
      </c>
      <c r="Q846">
        <v>4.5</v>
      </c>
      <c r="R846">
        <v>17.600000000000001</v>
      </c>
      <c r="S846">
        <v>1.45</v>
      </c>
      <c r="T846">
        <v>6</v>
      </c>
      <c r="U846">
        <v>641060.02902400005</v>
      </c>
      <c r="V846">
        <v>3986.0598519999999</v>
      </c>
      <c r="W846">
        <v>845</v>
      </c>
      <c r="X846">
        <v>0</v>
      </c>
      <c r="Y846">
        <v>844</v>
      </c>
      <c r="Z846" t="s">
        <v>6966</v>
      </c>
      <c r="AA846" t="s">
        <v>6966</v>
      </c>
      <c r="AB846" t="s">
        <v>6966</v>
      </c>
      <c r="AC846" t="s">
        <v>6966</v>
      </c>
      <c r="AD846" t="s">
        <v>6966</v>
      </c>
      <c r="AE846" t="s">
        <v>6966</v>
      </c>
      <c r="AF846" t="s">
        <v>6966</v>
      </c>
      <c r="AG846" t="s">
        <v>6966</v>
      </c>
      <c r="AH846" t="s">
        <v>6966</v>
      </c>
      <c r="AI846" t="s">
        <v>6966</v>
      </c>
      <c r="AJ846" t="s">
        <v>6966</v>
      </c>
      <c r="AK846" t="s">
        <v>6966</v>
      </c>
      <c r="AL846" t="s">
        <v>6966</v>
      </c>
      <c r="AM846" t="s">
        <v>6966</v>
      </c>
      <c r="AN846" t="s">
        <v>6966</v>
      </c>
      <c r="AO846" t="s">
        <v>6966</v>
      </c>
      <c r="AP846" t="s">
        <v>6966</v>
      </c>
      <c r="AQ846" t="s">
        <v>6966</v>
      </c>
      <c r="AR846" t="s">
        <v>6966</v>
      </c>
      <c r="AS846" t="s">
        <v>6966</v>
      </c>
      <c r="AT846" t="s">
        <v>6966</v>
      </c>
      <c r="AU846" t="s">
        <v>6966</v>
      </c>
      <c r="AV846" t="s">
        <v>6966</v>
      </c>
      <c r="AW846" t="s">
        <v>6966</v>
      </c>
      <c r="AX846" t="s">
        <v>6966</v>
      </c>
      <c r="AY846" t="s">
        <v>6966</v>
      </c>
      <c r="AZ846">
        <v>4.0233999999999999E-2</v>
      </c>
      <c r="BA846">
        <v>6.2000000000000003E-5</v>
      </c>
    </row>
    <row r="847" spans="1:53" x14ac:dyDescent="0.25">
      <c r="A847">
        <v>845</v>
      </c>
      <c r="B847" t="s">
        <v>7625</v>
      </c>
      <c r="C847">
        <v>506026</v>
      </c>
      <c r="D847" t="s">
        <v>163</v>
      </c>
      <c r="E847" t="s">
        <v>7823</v>
      </c>
      <c r="F847">
        <v>938360.875</v>
      </c>
      <c r="G847">
        <v>5018.2836909999996</v>
      </c>
      <c r="H847">
        <v>812</v>
      </c>
      <c r="I847">
        <v>1012</v>
      </c>
      <c r="J847">
        <v>22724</v>
      </c>
      <c r="K847" t="s">
        <v>1692</v>
      </c>
      <c r="L847">
        <v>3</v>
      </c>
      <c r="M847">
        <v>3</v>
      </c>
      <c r="N847">
        <v>22724</v>
      </c>
      <c r="O847">
        <v>794</v>
      </c>
      <c r="P847" t="s">
        <v>3212</v>
      </c>
      <c r="Q847">
        <v>1.7</v>
      </c>
      <c r="R847">
        <v>39.119999999999997</v>
      </c>
      <c r="S847">
        <v>0.5</v>
      </c>
      <c r="T847">
        <v>13</v>
      </c>
      <c r="U847">
        <v>938360.88018800004</v>
      </c>
      <c r="V847">
        <v>5018.2837460000001</v>
      </c>
      <c r="W847">
        <v>846</v>
      </c>
      <c r="X847">
        <v>0</v>
      </c>
      <c r="Y847">
        <v>845</v>
      </c>
      <c r="Z847" t="s">
        <v>6966</v>
      </c>
      <c r="AA847" t="s">
        <v>6966</v>
      </c>
      <c r="AB847" t="s">
        <v>6966</v>
      </c>
      <c r="AC847" t="s">
        <v>6966</v>
      </c>
      <c r="AD847" t="s">
        <v>6966</v>
      </c>
      <c r="AE847" t="s">
        <v>6966</v>
      </c>
      <c r="AF847" t="s">
        <v>6966</v>
      </c>
      <c r="AG847" t="s">
        <v>6966</v>
      </c>
      <c r="AH847" t="s">
        <v>6966</v>
      </c>
      <c r="AI847" t="s">
        <v>6966</v>
      </c>
      <c r="AJ847" t="s">
        <v>6966</v>
      </c>
      <c r="AK847" t="s">
        <v>6966</v>
      </c>
      <c r="AL847" t="s">
        <v>6966</v>
      </c>
      <c r="AM847" t="s">
        <v>6966</v>
      </c>
      <c r="AN847" t="s">
        <v>6966</v>
      </c>
      <c r="AO847" t="s">
        <v>6966</v>
      </c>
      <c r="AP847" t="s">
        <v>6966</v>
      </c>
      <c r="AQ847" t="s">
        <v>6966</v>
      </c>
      <c r="AR847" t="s">
        <v>6966</v>
      </c>
      <c r="AS847" t="s">
        <v>6966</v>
      </c>
      <c r="AT847" t="s">
        <v>6966</v>
      </c>
      <c r="AU847" t="s">
        <v>6966</v>
      </c>
      <c r="AV847" t="s">
        <v>6966</v>
      </c>
      <c r="AW847" t="s">
        <v>6966</v>
      </c>
      <c r="AX847" t="s">
        <v>6966</v>
      </c>
      <c r="AY847" t="s">
        <v>6966</v>
      </c>
      <c r="AZ847">
        <v>4.9270000000000001E-2</v>
      </c>
      <c r="BA847">
        <v>9.1000000000000003E-5</v>
      </c>
    </row>
    <row r="848" spans="1:53" x14ac:dyDescent="0.25">
      <c r="A848">
        <v>846</v>
      </c>
      <c r="B848" t="s">
        <v>7625</v>
      </c>
      <c r="C848">
        <v>506081</v>
      </c>
      <c r="D848" t="s">
        <v>7869</v>
      </c>
      <c r="E848" t="s">
        <v>7823</v>
      </c>
      <c r="F848">
        <v>2172385.75</v>
      </c>
      <c r="G848">
        <v>8277.1689449999994</v>
      </c>
      <c r="H848">
        <v>813</v>
      </c>
      <c r="I848">
        <v>1015</v>
      </c>
      <c r="J848">
        <v>22651</v>
      </c>
      <c r="K848" t="s">
        <v>1683</v>
      </c>
      <c r="L848">
        <v>3</v>
      </c>
      <c r="M848">
        <v>3</v>
      </c>
      <c r="N848">
        <v>22651</v>
      </c>
      <c r="O848">
        <v>797</v>
      </c>
      <c r="P848" t="s">
        <v>3212</v>
      </c>
      <c r="Q848">
        <v>7.3</v>
      </c>
      <c r="R848">
        <v>54.92</v>
      </c>
      <c r="S848">
        <v>1.88</v>
      </c>
      <c r="T848">
        <v>17</v>
      </c>
      <c r="U848">
        <v>2172385.6879599998</v>
      </c>
      <c r="V848">
        <v>8277.1696510000002</v>
      </c>
      <c r="W848">
        <v>847</v>
      </c>
      <c r="X848">
        <v>0</v>
      </c>
      <c r="Y848">
        <v>846</v>
      </c>
      <c r="Z848" t="s">
        <v>6966</v>
      </c>
      <c r="AA848" t="s">
        <v>6966</v>
      </c>
      <c r="AB848" t="s">
        <v>6966</v>
      </c>
      <c r="AC848" t="s">
        <v>6966</v>
      </c>
      <c r="AD848" t="s">
        <v>6966</v>
      </c>
      <c r="AE848" t="s">
        <v>6966</v>
      </c>
      <c r="AF848" t="s">
        <v>6966</v>
      </c>
      <c r="AG848" t="s">
        <v>6966</v>
      </c>
      <c r="AH848" t="s">
        <v>6966</v>
      </c>
      <c r="AI848" t="s">
        <v>6966</v>
      </c>
      <c r="AJ848" t="s">
        <v>6966</v>
      </c>
      <c r="AK848" t="s">
        <v>6966</v>
      </c>
      <c r="AL848" t="s">
        <v>6966</v>
      </c>
      <c r="AM848" t="s">
        <v>6966</v>
      </c>
      <c r="AN848" t="s">
        <v>6966</v>
      </c>
      <c r="AO848" t="s">
        <v>6966</v>
      </c>
      <c r="AP848" t="s">
        <v>6966</v>
      </c>
      <c r="AQ848" t="s">
        <v>6966</v>
      </c>
      <c r="AR848" t="s">
        <v>6966</v>
      </c>
      <c r="AS848" t="s">
        <v>6966</v>
      </c>
      <c r="AT848" t="s">
        <v>6966</v>
      </c>
      <c r="AU848" t="s">
        <v>6966</v>
      </c>
      <c r="AV848" t="s">
        <v>6966</v>
      </c>
      <c r="AW848" t="s">
        <v>6966</v>
      </c>
      <c r="AX848" t="s">
        <v>6966</v>
      </c>
      <c r="AY848" t="s">
        <v>6966</v>
      </c>
      <c r="AZ848">
        <v>8.3930000000000005E-2</v>
      </c>
      <c r="BA848">
        <v>2.12E-4</v>
      </c>
    </row>
    <row r="849" spans="1:53" x14ac:dyDescent="0.25">
      <c r="A849">
        <v>847</v>
      </c>
      <c r="B849" t="s">
        <v>7625</v>
      </c>
      <c r="C849">
        <v>506056</v>
      </c>
      <c r="D849" t="s">
        <v>149</v>
      </c>
      <c r="E849" t="s">
        <v>7823</v>
      </c>
      <c r="F849">
        <v>1588404.875</v>
      </c>
      <c r="G849">
        <v>8097.8671880000002</v>
      </c>
      <c r="H849">
        <v>814</v>
      </c>
      <c r="I849">
        <v>1016</v>
      </c>
      <c r="J849">
        <v>22619</v>
      </c>
      <c r="K849" t="s">
        <v>1679</v>
      </c>
      <c r="L849">
        <v>3</v>
      </c>
      <c r="M849">
        <v>3</v>
      </c>
      <c r="N849">
        <v>22619</v>
      </c>
      <c r="O849">
        <v>798</v>
      </c>
      <c r="P849" t="s">
        <v>3212</v>
      </c>
      <c r="Q849">
        <v>8.4</v>
      </c>
      <c r="R849">
        <v>53.03</v>
      </c>
      <c r="S849">
        <v>2.61</v>
      </c>
      <c r="T849">
        <v>18</v>
      </c>
      <c r="U849">
        <v>1588404.8869400001</v>
      </c>
      <c r="V849">
        <v>8097.8669389999995</v>
      </c>
      <c r="W849">
        <v>848</v>
      </c>
      <c r="X849">
        <v>0</v>
      </c>
      <c r="Y849">
        <v>847</v>
      </c>
      <c r="Z849" t="s">
        <v>6966</v>
      </c>
      <c r="AA849" t="s">
        <v>6966</v>
      </c>
      <c r="AB849" t="s">
        <v>6966</v>
      </c>
      <c r="AC849" t="s">
        <v>6966</v>
      </c>
      <c r="AD849" t="s">
        <v>6966</v>
      </c>
      <c r="AE849" t="s">
        <v>6966</v>
      </c>
      <c r="AF849" t="s">
        <v>6966</v>
      </c>
      <c r="AG849" t="s">
        <v>6966</v>
      </c>
      <c r="AH849" t="s">
        <v>6966</v>
      </c>
      <c r="AI849" t="s">
        <v>6966</v>
      </c>
      <c r="AJ849" t="s">
        <v>6966</v>
      </c>
      <c r="AK849" t="s">
        <v>6966</v>
      </c>
      <c r="AL849" t="s">
        <v>6966</v>
      </c>
      <c r="AM849" t="s">
        <v>6966</v>
      </c>
      <c r="AN849" t="s">
        <v>6966</v>
      </c>
      <c r="AO849" t="s">
        <v>6966</v>
      </c>
      <c r="AP849" t="s">
        <v>6966</v>
      </c>
      <c r="AQ849" t="s">
        <v>6966</v>
      </c>
      <c r="AR849" t="s">
        <v>6966</v>
      </c>
      <c r="AS849" t="s">
        <v>6966</v>
      </c>
      <c r="AT849" t="s">
        <v>6966</v>
      </c>
      <c r="AU849" t="s">
        <v>6966</v>
      </c>
      <c r="AV849" t="s">
        <v>6966</v>
      </c>
      <c r="AW849" t="s">
        <v>6966</v>
      </c>
      <c r="AX849" t="s">
        <v>6966</v>
      </c>
      <c r="AY849" t="s">
        <v>6966</v>
      </c>
      <c r="AZ849">
        <v>8.1779000000000004E-2</v>
      </c>
      <c r="BA849">
        <v>1.55E-4</v>
      </c>
    </row>
    <row r="850" spans="1:53" x14ac:dyDescent="0.25">
      <c r="A850">
        <v>848</v>
      </c>
      <c r="B850" t="s">
        <v>7625</v>
      </c>
      <c r="C850">
        <v>506087</v>
      </c>
      <c r="D850" t="s">
        <v>170</v>
      </c>
      <c r="E850" t="s">
        <v>7823</v>
      </c>
      <c r="F850">
        <v>2587063.5</v>
      </c>
      <c r="G850">
        <v>9342.1230469999991</v>
      </c>
      <c r="H850">
        <v>815</v>
      </c>
      <c r="I850">
        <v>1017</v>
      </c>
      <c r="J850">
        <v>22744</v>
      </c>
      <c r="K850" t="s">
        <v>1698</v>
      </c>
      <c r="L850">
        <v>3</v>
      </c>
      <c r="M850">
        <v>3</v>
      </c>
      <c r="N850">
        <v>22744</v>
      </c>
      <c r="O850">
        <v>799</v>
      </c>
      <c r="P850" t="s">
        <v>3212</v>
      </c>
      <c r="Q850">
        <v>4.3</v>
      </c>
      <c r="R850">
        <v>70.17</v>
      </c>
      <c r="S850">
        <v>1.28</v>
      </c>
      <c r="T850">
        <v>22</v>
      </c>
      <c r="U850">
        <v>2587063.5604699999</v>
      </c>
      <c r="V850">
        <v>9342.1237689999998</v>
      </c>
      <c r="W850">
        <v>849</v>
      </c>
      <c r="X850">
        <v>0</v>
      </c>
      <c r="Y850">
        <v>848</v>
      </c>
      <c r="Z850" t="s">
        <v>6966</v>
      </c>
      <c r="AA850" t="s">
        <v>6966</v>
      </c>
      <c r="AB850" t="s">
        <v>6966</v>
      </c>
      <c r="AC850" t="s">
        <v>6966</v>
      </c>
      <c r="AD850" t="s">
        <v>6966</v>
      </c>
      <c r="AE850" t="s">
        <v>6966</v>
      </c>
      <c r="AF850" t="s">
        <v>6966</v>
      </c>
      <c r="AG850" t="s">
        <v>6966</v>
      </c>
      <c r="AH850" t="s">
        <v>6966</v>
      </c>
      <c r="AI850" t="s">
        <v>6966</v>
      </c>
      <c r="AJ850" t="s">
        <v>6966</v>
      </c>
      <c r="AK850" t="s">
        <v>6966</v>
      </c>
      <c r="AL850" t="s">
        <v>6966</v>
      </c>
      <c r="AM850" t="s">
        <v>6966</v>
      </c>
      <c r="AN850" t="s">
        <v>6966</v>
      </c>
      <c r="AO850" t="s">
        <v>6966</v>
      </c>
      <c r="AP850" t="s">
        <v>6966</v>
      </c>
      <c r="AQ850" t="s">
        <v>6966</v>
      </c>
      <c r="AR850" t="s">
        <v>6966</v>
      </c>
      <c r="AS850" t="s">
        <v>6966</v>
      </c>
      <c r="AT850" t="s">
        <v>6966</v>
      </c>
      <c r="AU850" t="s">
        <v>6966</v>
      </c>
      <c r="AV850" t="s">
        <v>6966</v>
      </c>
      <c r="AW850" t="s">
        <v>6966</v>
      </c>
      <c r="AX850" t="s">
        <v>6966</v>
      </c>
      <c r="AY850" t="s">
        <v>6966</v>
      </c>
      <c r="AZ850">
        <v>9.2203999999999994E-2</v>
      </c>
      <c r="BA850">
        <v>2.52E-4</v>
      </c>
    </row>
    <row r="851" spans="1:53" x14ac:dyDescent="0.25">
      <c r="A851">
        <v>849</v>
      </c>
      <c r="B851" t="s">
        <v>7625</v>
      </c>
      <c r="C851">
        <v>506098</v>
      </c>
      <c r="D851" t="s">
        <v>169</v>
      </c>
      <c r="E851" t="s">
        <v>7823</v>
      </c>
      <c r="F851">
        <v>1158494.25</v>
      </c>
      <c r="G851">
        <v>5327.5390630000002</v>
      </c>
      <c r="H851">
        <v>816</v>
      </c>
      <c r="I851">
        <v>1018</v>
      </c>
      <c r="J851">
        <v>22741</v>
      </c>
      <c r="K851" t="s">
        <v>1697</v>
      </c>
      <c r="L851">
        <v>3</v>
      </c>
      <c r="M851">
        <v>3</v>
      </c>
      <c r="N851">
        <v>22741</v>
      </c>
      <c r="O851">
        <v>800</v>
      </c>
      <c r="P851" t="s">
        <v>3212</v>
      </c>
      <c r="Q851">
        <v>4.3</v>
      </c>
      <c r="R851">
        <v>71.5</v>
      </c>
      <c r="S851">
        <v>1.33</v>
      </c>
      <c r="T851">
        <v>22</v>
      </c>
      <c r="U851">
        <v>1158494.2675900001</v>
      </c>
      <c r="V851">
        <v>5327.5393880000001</v>
      </c>
      <c r="W851">
        <v>850</v>
      </c>
      <c r="X851">
        <v>0</v>
      </c>
      <c r="Y851">
        <v>849</v>
      </c>
      <c r="Z851" t="s">
        <v>6966</v>
      </c>
      <c r="AA851" t="s">
        <v>6966</v>
      </c>
      <c r="AB851" t="s">
        <v>6966</v>
      </c>
      <c r="AC851" t="s">
        <v>6966</v>
      </c>
      <c r="AD851" t="s">
        <v>6966</v>
      </c>
      <c r="AE851" t="s">
        <v>6966</v>
      </c>
      <c r="AF851" t="s">
        <v>6966</v>
      </c>
      <c r="AG851" t="s">
        <v>6966</v>
      </c>
      <c r="AH851" t="s">
        <v>6966</v>
      </c>
      <c r="AI851" t="s">
        <v>6966</v>
      </c>
      <c r="AJ851" t="s">
        <v>6966</v>
      </c>
      <c r="AK851" t="s">
        <v>6966</v>
      </c>
      <c r="AL851" t="s">
        <v>6966</v>
      </c>
      <c r="AM851" t="s">
        <v>6966</v>
      </c>
      <c r="AN851" t="s">
        <v>6966</v>
      </c>
      <c r="AO851" t="s">
        <v>6966</v>
      </c>
      <c r="AP851" t="s">
        <v>6966</v>
      </c>
      <c r="AQ851" t="s">
        <v>6966</v>
      </c>
      <c r="AR851" t="s">
        <v>6966</v>
      </c>
      <c r="AS851" t="s">
        <v>6966</v>
      </c>
      <c r="AT851" t="s">
        <v>6966</v>
      </c>
      <c r="AU851" t="s">
        <v>6966</v>
      </c>
      <c r="AV851" t="s">
        <v>6966</v>
      </c>
      <c r="AW851" t="s">
        <v>6966</v>
      </c>
      <c r="AX851" t="s">
        <v>6966</v>
      </c>
      <c r="AY851" t="s">
        <v>6966</v>
      </c>
      <c r="AZ851">
        <v>5.2349E-2</v>
      </c>
      <c r="BA851">
        <v>1.13E-4</v>
      </c>
    </row>
    <row r="852" spans="1:53" x14ac:dyDescent="0.25">
      <c r="A852">
        <v>850</v>
      </c>
      <c r="B852" t="s">
        <v>7625</v>
      </c>
      <c r="C852">
        <v>506018</v>
      </c>
      <c r="D852" t="s">
        <v>7870</v>
      </c>
      <c r="E852" t="s">
        <v>7823</v>
      </c>
      <c r="F852">
        <v>3925349.25</v>
      </c>
      <c r="G852">
        <v>12161.472656</v>
      </c>
      <c r="H852">
        <v>817</v>
      </c>
      <c r="I852">
        <v>1020</v>
      </c>
      <c r="J852">
        <v>22228</v>
      </c>
      <c r="K852" t="s">
        <v>1627</v>
      </c>
      <c r="L852">
        <v>3</v>
      </c>
      <c r="M852">
        <v>3</v>
      </c>
      <c r="N852">
        <v>22228</v>
      </c>
      <c r="O852">
        <v>802</v>
      </c>
      <c r="P852" t="s">
        <v>3212</v>
      </c>
      <c r="Q852">
        <v>166.7</v>
      </c>
      <c r="R852">
        <v>287.11</v>
      </c>
      <c r="S852">
        <v>40.56</v>
      </c>
      <c r="T852">
        <v>70</v>
      </c>
      <c r="U852">
        <v>3925349.2936499999</v>
      </c>
      <c r="V852">
        <v>12161.472384000001</v>
      </c>
      <c r="W852">
        <v>851</v>
      </c>
      <c r="X852">
        <v>0</v>
      </c>
      <c r="Y852">
        <v>850</v>
      </c>
      <c r="Z852" t="s">
        <v>6966</v>
      </c>
      <c r="AA852" t="s">
        <v>6966</v>
      </c>
      <c r="AB852" t="s">
        <v>6966</v>
      </c>
      <c r="AC852" t="s">
        <v>6966</v>
      </c>
      <c r="AD852" t="s">
        <v>6966</v>
      </c>
      <c r="AE852" t="s">
        <v>6966</v>
      </c>
      <c r="AF852" t="s">
        <v>6966</v>
      </c>
      <c r="AG852" t="s">
        <v>6966</v>
      </c>
      <c r="AH852" t="s">
        <v>6966</v>
      </c>
      <c r="AI852" t="s">
        <v>6966</v>
      </c>
      <c r="AJ852" t="s">
        <v>6966</v>
      </c>
      <c r="AK852" t="s">
        <v>6966</v>
      </c>
      <c r="AL852" t="s">
        <v>6966</v>
      </c>
      <c r="AM852" t="s">
        <v>6966</v>
      </c>
      <c r="AN852" t="s">
        <v>6966</v>
      </c>
      <c r="AO852" t="s">
        <v>6966</v>
      </c>
      <c r="AP852" t="s">
        <v>6966</v>
      </c>
      <c r="AQ852" t="s">
        <v>6966</v>
      </c>
      <c r="AR852" t="s">
        <v>6966</v>
      </c>
      <c r="AS852" t="s">
        <v>6966</v>
      </c>
      <c r="AT852" t="s">
        <v>6966</v>
      </c>
      <c r="AU852" t="s">
        <v>6966</v>
      </c>
      <c r="AV852" t="s">
        <v>6966</v>
      </c>
      <c r="AW852" t="s">
        <v>6966</v>
      </c>
      <c r="AX852" t="s">
        <v>6966</v>
      </c>
      <c r="AY852" t="s">
        <v>6966</v>
      </c>
      <c r="AZ852">
        <v>0.119889</v>
      </c>
      <c r="BA852">
        <v>3.8200000000000002E-4</v>
      </c>
    </row>
    <row r="853" spans="1:53" x14ac:dyDescent="0.25">
      <c r="A853">
        <v>851</v>
      </c>
      <c r="B853" t="s">
        <v>7625</v>
      </c>
      <c r="C853">
        <v>301010</v>
      </c>
      <c r="D853" t="s">
        <v>7871</v>
      </c>
      <c r="E853" t="s">
        <v>3177</v>
      </c>
      <c r="F853">
        <v>2508555.75</v>
      </c>
      <c r="G853">
        <v>8591.7460940000001</v>
      </c>
      <c r="H853">
        <v>818</v>
      </c>
      <c r="I853">
        <v>1019</v>
      </c>
      <c r="J853">
        <v>10150</v>
      </c>
      <c r="K853" t="s">
        <v>1566</v>
      </c>
      <c r="L853">
        <v>1</v>
      </c>
      <c r="M853">
        <v>1</v>
      </c>
      <c r="N853">
        <v>10150</v>
      </c>
      <c r="O853">
        <v>801</v>
      </c>
      <c r="P853" t="s">
        <v>3177</v>
      </c>
      <c r="Q853">
        <v>192.2</v>
      </c>
      <c r="R853">
        <v>225</v>
      </c>
      <c r="S853">
        <v>59.97</v>
      </c>
      <c r="T853">
        <v>73</v>
      </c>
      <c r="U853">
        <v>2508555.6778199999</v>
      </c>
      <c r="V853">
        <v>8591.7454739999994</v>
      </c>
      <c r="W853">
        <v>852</v>
      </c>
      <c r="X853">
        <v>1</v>
      </c>
      <c r="Y853">
        <v>851</v>
      </c>
      <c r="Z853">
        <v>63004</v>
      </c>
      <c r="AA853" s="76">
        <v>45802</v>
      </c>
      <c r="AB853">
        <v>2025</v>
      </c>
      <c r="AC853" t="s">
        <v>7215</v>
      </c>
      <c r="AD853">
        <v>25</v>
      </c>
      <c r="AE853" t="s">
        <v>7282</v>
      </c>
      <c r="AF853" t="s">
        <v>3177</v>
      </c>
      <c r="AG853" t="s">
        <v>3177</v>
      </c>
      <c r="AH853" t="s">
        <v>1566</v>
      </c>
      <c r="AI853" t="s">
        <v>7283</v>
      </c>
      <c r="AJ853" t="s">
        <v>6966</v>
      </c>
      <c r="AK853">
        <v>33.891770000000001</v>
      </c>
      <c r="AL853">
        <v>35.476939999999999</v>
      </c>
      <c r="AM853" t="s">
        <v>7013</v>
      </c>
      <c r="AN853" t="s">
        <v>7014</v>
      </c>
      <c r="AO853" t="s">
        <v>7008</v>
      </c>
      <c r="AP853" t="s">
        <v>7284</v>
      </c>
      <c r="AQ853" t="s">
        <v>6998</v>
      </c>
      <c r="AR853" t="s">
        <v>6999</v>
      </c>
      <c r="AS853" t="s">
        <v>7000</v>
      </c>
      <c r="AT853">
        <v>0</v>
      </c>
      <c r="AU853">
        <v>0</v>
      </c>
      <c r="AV853" t="s">
        <v>7285</v>
      </c>
      <c r="AW853" t="s">
        <v>7286</v>
      </c>
      <c r="AX853" t="s">
        <v>6966</v>
      </c>
      <c r="AY853" t="s">
        <v>7003</v>
      </c>
      <c r="AZ853">
        <v>8.6906999999999998E-2</v>
      </c>
      <c r="BA853">
        <v>2.4399999999999999E-4</v>
      </c>
    </row>
    <row r="854" spans="1:53" x14ac:dyDescent="0.25">
      <c r="A854">
        <v>852</v>
      </c>
      <c r="B854" t="s">
        <v>7625</v>
      </c>
      <c r="C854">
        <v>506060</v>
      </c>
      <c r="D854" t="s">
        <v>162</v>
      </c>
      <c r="E854" t="s">
        <v>7823</v>
      </c>
      <c r="F854">
        <v>403990.90625</v>
      </c>
      <c r="G854">
        <v>5738.517578</v>
      </c>
      <c r="H854">
        <v>819</v>
      </c>
      <c r="I854">
        <v>1021</v>
      </c>
      <c r="J854">
        <v>22722</v>
      </c>
      <c r="K854" t="s">
        <v>7872</v>
      </c>
      <c r="L854">
        <v>3</v>
      </c>
      <c r="M854">
        <v>3</v>
      </c>
      <c r="N854">
        <v>22722</v>
      </c>
      <c r="O854">
        <v>803</v>
      </c>
      <c r="P854" t="s">
        <v>3212</v>
      </c>
      <c r="Q854">
        <v>1.2</v>
      </c>
      <c r="R854">
        <v>129.74</v>
      </c>
      <c r="S854">
        <v>0.45</v>
      </c>
      <c r="T854">
        <v>49</v>
      </c>
      <c r="U854">
        <v>403990.97189799999</v>
      </c>
      <c r="V854">
        <v>5738.5174809999999</v>
      </c>
      <c r="W854">
        <v>853</v>
      </c>
      <c r="X854">
        <v>0</v>
      </c>
      <c r="Y854">
        <v>852</v>
      </c>
      <c r="Z854" t="s">
        <v>6966</v>
      </c>
      <c r="AA854" t="s">
        <v>6966</v>
      </c>
      <c r="AB854" t="s">
        <v>6966</v>
      </c>
      <c r="AC854" t="s">
        <v>6966</v>
      </c>
      <c r="AD854" t="s">
        <v>6966</v>
      </c>
      <c r="AE854" t="s">
        <v>6966</v>
      </c>
      <c r="AF854" t="s">
        <v>6966</v>
      </c>
      <c r="AG854" t="s">
        <v>6966</v>
      </c>
      <c r="AH854" t="s">
        <v>6966</v>
      </c>
      <c r="AI854" t="s">
        <v>6966</v>
      </c>
      <c r="AJ854" t="s">
        <v>6966</v>
      </c>
      <c r="AK854" t="s">
        <v>6966</v>
      </c>
      <c r="AL854" t="s">
        <v>6966</v>
      </c>
      <c r="AM854" t="s">
        <v>6966</v>
      </c>
      <c r="AN854" t="s">
        <v>6966</v>
      </c>
      <c r="AO854" t="s">
        <v>6966</v>
      </c>
      <c r="AP854" t="s">
        <v>6966</v>
      </c>
      <c r="AQ854" t="s">
        <v>6966</v>
      </c>
      <c r="AR854" t="s">
        <v>6966</v>
      </c>
      <c r="AS854" t="s">
        <v>6966</v>
      </c>
      <c r="AT854" t="s">
        <v>6966</v>
      </c>
      <c r="AU854" t="s">
        <v>6966</v>
      </c>
      <c r="AV854" t="s">
        <v>6966</v>
      </c>
      <c r="AW854" t="s">
        <v>6966</v>
      </c>
      <c r="AX854" t="s">
        <v>6966</v>
      </c>
      <c r="AY854" t="s">
        <v>6966</v>
      </c>
      <c r="AZ854">
        <v>5.6071000000000003E-2</v>
      </c>
      <c r="BA854">
        <v>3.8999999999999999E-5</v>
      </c>
    </row>
    <row r="855" spans="1:53" x14ac:dyDescent="0.25">
      <c r="A855">
        <v>853</v>
      </c>
      <c r="B855" t="s">
        <v>7625</v>
      </c>
      <c r="C855">
        <v>301013</v>
      </c>
      <c r="D855" t="s">
        <v>7873</v>
      </c>
      <c r="E855" t="s">
        <v>3177</v>
      </c>
      <c r="F855">
        <v>466478.71875</v>
      </c>
      <c r="G855">
        <v>3036.8486330000001</v>
      </c>
      <c r="H855">
        <v>820</v>
      </c>
      <c r="I855">
        <v>1022</v>
      </c>
      <c r="J855">
        <v>10410</v>
      </c>
      <c r="K855" t="s">
        <v>1571</v>
      </c>
      <c r="L855">
        <v>1</v>
      </c>
      <c r="M855">
        <v>1</v>
      </c>
      <c r="N855">
        <v>10410</v>
      </c>
      <c r="O855">
        <v>804</v>
      </c>
      <c r="P855" t="s">
        <v>3177</v>
      </c>
      <c r="Q855">
        <v>334.4</v>
      </c>
      <c r="R855">
        <v>371.35</v>
      </c>
      <c r="S855">
        <v>94.57</v>
      </c>
      <c r="T855">
        <v>110</v>
      </c>
      <c r="U855">
        <v>466478.72974799998</v>
      </c>
      <c r="V855">
        <v>3036.8486250000001</v>
      </c>
      <c r="W855">
        <v>854</v>
      </c>
      <c r="X855">
        <v>1</v>
      </c>
      <c r="Y855">
        <v>853</v>
      </c>
      <c r="Z855">
        <v>65212</v>
      </c>
      <c r="AA855" s="76">
        <v>45843</v>
      </c>
      <c r="AB855">
        <v>2025</v>
      </c>
      <c r="AC855" t="s">
        <v>7313</v>
      </c>
      <c r="AD855">
        <v>5</v>
      </c>
      <c r="AE855" t="s">
        <v>7328</v>
      </c>
      <c r="AF855" t="s">
        <v>3177</v>
      </c>
      <c r="AG855" t="s">
        <v>3177</v>
      </c>
      <c r="AH855" t="s">
        <v>1571</v>
      </c>
      <c r="AI855" t="s">
        <v>3185</v>
      </c>
      <c r="AJ855" t="s">
        <v>6966</v>
      </c>
      <c r="AK855">
        <v>33.89181</v>
      </c>
      <c r="AL855">
        <v>35.497920000000001</v>
      </c>
      <c r="AM855" t="s">
        <v>6995</v>
      </c>
      <c r="AN855" t="s">
        <v>6966</v>
      </c>
      <c r="AO855" t="s">
        <v>6996</v>
      </c>
      <c r="AP855" t="s">
        <v>7329</v>
      </c>
      <c r="AQ855" t="s">
        <v>6998</v>
      </c>
      <c r="AR855" t="s">
        <v>6999</v>
      </c>
      <c r="AS855" t="s">
        <v>7071</v>
      </c>
      <c r="AT855">
        <v>0</v>
      </c>
      <c r="AU855">
        <v>0</v>
      </c>
      <c r="AV855" t="s">
        <v>6966</v>
      </c>
      <c r="AW855" t="s">
        <v>7119</v>
      </c>
      <c r="AX855" t="s">
        <v>6966</v>
      </c>
      <c r="AY855" t="s">
        <v>7003</v>
      </c>
      <c r="AZ855">
        <v>2.9701000000000002E-2</v>
      </c>
      <c r="BA855">
        <v>4.5000000000000003E-5</v>
      </c>
    </row>
    <row r="856" spans="1:53" x14ac:dyDescent="0.25">
      <c r="A856">
        <v>854</v>
      </c>
      <c r="B856" t="s">
        <v>7625</v>
      </c>
      <c r="C856">
        <v>506033</v>
      </c>
      <c r="D856" t="s">
        <v>101</v>
      </c>
      <c r="E856" t="s">
        <v>7823</v>
      </c>
      <c r="F856">
        <v>994580.625</v>
      </c>
      <c r="G856">
        <v>4550.7978519999997</v>
      </c>
      <c r="H856">
        <v>821</v>
      </c>
      <c r="I856">
        <v>1023</v>
      </c>
      <c r="J856">
        <v>22359</v>
      </c>
      <c r="K856" t="s">
        <v>1637</v>
      </c>
      <c r="L856">
        <v>3</v>
      </c>
      <c r="M856">
        <v>3</v>
      </c>
      <c r="N856">
        <v>22359</v>
      </c>
      <c r="O856">
        <v>805</v>
      </c>
      <c r="P856" t="s">
        <v>3212</v>
      </c>
      <c r="Q856">
        <v>34.299999999999997</v>
      </c>
      <c r="R856">
        <v>97.6</v>
      </c>
      <c r="S856">
        <v>7.91</v>
      </c>
      <c r="T856">
        <v>24</v>
      </c>
      <c r="U856">
        <v>994580.58873299998</v>
      </c>
      <c r="V856">
        <v>4550.7975230000002</v>
      </c>
      <c r="W856">
        <v>855</v>
      </c>
      <c r="X856">
        <v>2</v>
      </c>
      <c r="Y856">
        <v>854</v>
      </c>
      <c r="Z856">
        <v>68807</v>
      </c>
      <c r="AA856" s="76">
        <v>45891</v>
      </c>
      <c r="AB856">
        <v>2025</v>
      </c>
      <c r="AC856" t="s">
        <v>7379</v>
      </c>
      <c r="AD856">
        <v>22</v>
      </c>
      <c r="AE856" t="s">
        <v>7415</v>
      </c>
      <c r="AF856" t="s">
        <v>3212</v>
      </c>
      <c r="AG856" t="s">
        <v>3224</v>
      </c>
      <c r="AH856" t="s">
        <v>101</v>
      </c>
      <c r="AI856" t="s">
        <v>3203</v>
      </c>
      <c r="AJ856" t="s">
        <v>6966</v>
      </c>
      <c r="AK856">
        <v>33.894010000000002</v>
      </c>
      <c r="AL856">
        <v>35.584629999999997</v>
      </c>
      <c r="AM856" t="s">
        <v>6995</v>
      </c>
      <c r="AN856" t="s">
        <v>6966</v>
      </c>
      <c r="AO856" t="s">
        <v>7008</v>
      </c>
      <c r="AP856" t="s">
        <v>7416</v>
      </c>
      <c r="AQ856" t="s">
        <v>6998</v>
      </c>
      <c r="AR856" t="s">
        <v>6999</v>
      </c>
      <c r="AS856" t="s">
        <v>7071</v>
      </c>
      <c r="AT856">
        <v>0</v>
      </c>
      <c r="AU856">
        <v>0</v>
      </c>
      <c r="AV856" t="s">
        <v>6966</v>
      </c>
      <c r="AW856" t="s">
        <v>7119</v>
      </c>
      <c r="AX856" t="s">
        <v>6966</v>
      </c>
      <c r="AY856" t="s">
        <v>7003</v>
      </c>
      <c r="AZ856">
        <v>4.6473E-2</v>
      </c>
      <c r="BA856">
        <v>9.7E-5</v>
      </c>
    </row>
    <row r="857" spans="1:53" x14ac:dyDescent="0.25">
      <c r="A857">
        <v>855</v>
      </c>
      <c r="B857" t="s">
        <v>7625</v>
      </c>
      <c r="C857">
        <v>301012</v>
      </c>
      <c r="D857" t="s">
        <v>7874</v>
      </c>
      <c r="E857" t="s">
        <v>3177</v>
      </c>
      <c r="F857">
        <v>423912.875</v>
      </c>
      <c r="G857">
        <v>2991.0805660000001</v>
      </c>
      <c r="H857">
        <v>822</v>
      </c>
      <c r="I857">
        <v>1024</v>
      </c>
      <c r="J857">
        <v>10510</v>
      </c>
      <c r="K857" t="s">
        <v>7875</v>
      </c>
      <c r="L857">
        <v>1</v>
      </c>
      <c r="M857">
        <v>1</v>
      </c>
      <c r="N857">
        <v>10510</v>
      </c>
      <c r="O857">
        <v>806</v>
      </c>
      <c r="P857" t="s">
        <v>3177</v>
      </c>
      <c r="Q857">
        <v>74.8</v>
      </c>
      <c r="R857">
        <v>100.2</v>
      </c>
      <c r="S857">
        <v>28.07</v>
      </c>
      <c r="T857">
        <v>44</v>
      </c>
      <c r="U857">
        <v>423912.83748799999</v>
      </c>
      <c r="V857">
        <v>2991.0808790000001</v>
      </c>
      <c r="W857">
        <v>856</v>
      </c>
      <c r="X857">
        <v>0</v>
      </c>
      <c r="Y857">
        <v>855</v>
      </c>
      <c r="Z857" t="s">
        <v>6966</v>
      </c>
      <c r="AA857" t="s">
        <v>6966</v>
      </c>
      <c r="AB857" t="s">
        <v>6966</v>
      </c>
      <c r="AC857" t="s">
        <v>6966</v>
      </c>
      <c r="AD857" t="s">
        <v>6966</v>
      </c>
      <c r="AE857" t="s">
        <v>6966</v>
      </c>
      <c r="AF857" t="s">
        <v>6966</v>
      </c>
      <c r="AG857" t="s">
        <v>6966</v>
      </c>
      <c r="AH857" t="s">
        <v>6966</v>
      </c>
      <c r="AI857" t="s">
        <v>6966</v>
      </c>
      <c r="AJ857" t="s">
        <v>6966</v>
      </c>
      <c r="AK857" t="s">
        <v>6966</v>
      </c>
      <c r="AL857" t="s">
        <v>6966</v>
      </c>
      <c r="AM857" t="s">
        <v>6966</v>
      </c>
      <c r="AN857" t="s">
        <v>6966</v>
      </c>
      <c r="AO857" t="s">
        <v>6966</v>
      </c>
      <c r="AP857" t="s">
        <v>6966</v>
      </c>
      <c r="AQ857" t="s">
        <v>6966</v>
      </c>
      <c r="AR857" t="s">
        <v>6966</v>
      </c>
      <c r="AS857" t="s">
        <v>6966</v>
      </c>
      <c r="AT857" t="s">
        <v>6966</v>
      </c>
      <c r="AU857" t="s">
        <v>6966</v>
      </c>
      <c r="AV857" t="s">
        <v>6966</v>
      </c>
      <c r="AW857" t="s">
        <v>6966</v>
      </c>
      <c r="AX857" t="s">
        <v>6966</v>
      </c>
      <c r="AY857" t="s">
        <v>6966</v>
      </c>
      <c r="AZ857">
        <v>2.8809999999999999E-2</v>
      </c>
      <c r="BA857">
        <v>4.1E-5</v>
      </c>
    </row>
    <row r="858" spans="1:53" x14ac:dyDescent="0.25">
      <c r="A858">
        <v>856</v>
      </c>
      <c r="B858" t="s">
        <v>7625</v>
      </c>
      <c r="C858">
        <v>201057</v>
      </c>
      <c r="D858" t="s">
        <v>1141</v>
      </c>
      <c r="E858" t="s">
        <v>1069</v>
      </c>
      <c r="F858">
        <v>0</v>
      </c>
      <c r="G858">
        <v>22127.832031000002</v>
      </c>
      <c r="H858">
        <v>823</v>
      </c>
      <c r="I858">
        <v>1025</v>
      </c>
      <c r="J858">
        <v>53455</v>
      </c>
      <c r="K858" t="s">
        <v>7876</v>
      </c>
      <c r="L858">
        <v>17</v>
      </c>
      <c r="M858">
        <v>17</v>
      </c>
      <c r="N858">
        <v>53455</v>
      </c>
      <c r="O858">
        <v>807</v>
      </c>
      <c r="P858" t="s">
        <v>3214</v>
      </c>
      <c r="Q858">
        <v>0.5</v>
      </c>
      <c r="R858">
        <v>44.97</v>
      </c>
      <c r="S858">
        <v>0.08</v>
      </c>
      <c r="T858">
        <v>7</v>
      </c>
      <c r="U858">
        <v>0</v>
      </c>
      <c r="V858">
        <v>22127.831135</v>
      </c>
      <c r="W858">
        <v>857</v>
      </c>
      <c r="X858">
        <v>0</v>
      </c>
      <c r="Y858">
        <v>856</v>
      </c>
      <c r="Z858" t="s">
        <v>6966</v>
      </c>
      <c r="AA858" t="s">
        <v>6966</v>
      </c>
      <c r="AB858" t="s">
        <v>6966</v>
      </c>
      <c r="AC858" t="s">
        <v>6966</v>
      </c>
      <c r="AD858" t="s">
        <v>6966</v>
      </c>
      <c r="AE858" t="s">
        <v>6966</v>
      </c>
      <c r="AF858" t="s">
        <v>6966</v>
      </c>
      <c r="AG858" t="s">
        <v>6966</v>
      </c>
      <c r="AH858" t="s">
        <v>6966</v>
      </c>
      <c r="AI858" t="s">
        <v>6966</v>
      </c>
      <c r="AJ858" t="s">
        <v>6966</v>
      </c>
      <c r="AK858" t="s">
        <v>6966</v>
      </c>
      <c r="AL858" t="s">
        <v>6966</v>
      </c>
      <c r="AM858" t="s">
        <v>6966</v>
      </c>
      <c r="AN858" t="s">
        <v>6966</v>
      </c>
      <c r="AO858" t="s">
        <v>6966</v>
      </c>
      <c r="AP858" t="s">
        <v>6966</v>
      </c>
      <c r="AQ858" t="s">
        <v>6966</v>
      </c>
      <c r="AR858" t="s">
        <v>6966</v>
      </c>
      <c r="AS858" t="s">
        <v>6966</v>
      </c>
      <c r="AT858" t="s">
        <v>6966</v>
      </c>
      <c r="AU858" t="s">
        <v>6966</v>
      </c>
      <c r="AV858" t="s">
        <v>6966</v>
      </c>
      <c r="AW858" t="s">
        <v>6966</v>
      </c>
      <c r="AX858" t="s">
        <v>6966</v>
      </c>
      <c r="AY858" t="s">
        <v>6966</v>
      </c>
      <c r="AZ858">
        <v>0.21968099999999999</v>
      </c>
      <c r="BA858">
        <v>2.1649999999999998E-3</v>
      </c>
    </row>
    <row r="859" spans="1:53" x14ac:dyDescent="0.25">
      <c r="A859">
        <v>857</v>
      </c>
      <c r="B859" t="s">
        <v>7625</v>
      </c>
      <c r="C859">
        <v>301011</v>
      </c>
      <c r="D859" t="s">
        <v>7877</v>
      </c>
      <c r="E859" t="s">
        <v>3177</v>
      </c>
      <c r="F859">
        <v>1041086.9375</v>
      </c>
      <c r="G859">
        <v>5346.7695309999999</v>
      </c>
      <c r="H859">
        <v>824</v>
      </c>
      <c r="I859">
        <v>1026</v>
      </c>
      <c r="J859">
        <v>10550</v>
      </c>
      <c r="K859" t="s">
        <v>1574</v>
      </c>
      <c r="L859">
        <v>1</v>
      </c>
      <c r="M859">
        <v>1</v>
      </c>
      <c r="N859">
        <v>10550</v>
      </c>
      <c r="O859">
        <v>808</v>
      </c>
      <c r="P859" t="s">
        <v>3177</v>
      </c>
      <c r="Q859">
        <v>319.7</v>
      </c>
      <c r="R859">
        <v>325.27</v>
      </c>
      <c r="S859">
        <v>88.85</v>
      </c>
      <c r="T859">
        <v>90</v>
      </c>
      <c r="U859">
        <v>1041086.8889</v>
      </c>
      <c r="V859">
        <v>5346.7697070000004</v>
      </c>
      <c r="W859">
        <v>858</v>
      </c>
      <c r="X859">
        <v>1</v>
      </c>
      <c r="Y859">
        <v>857</v>
      </c>
      <c r="Z859">
        <v>71894</v>
      </c>
      <c r="AA859" s="76">
        <v>45925</v>
      </c>
      <c r="AB859">
        <v>2025</v>
      </c>
      <c r="AC859" t="s">
        <v>7433</v>
      </c>
      <c r="AD859">
        <v>25</v>
      </c>
      <c r="AE859" t="s">
        <v>7369</v>
      </c>
      <c r="AF859" t="s">
        <v>3177</v>
      </c>
      <c r="AG859" t="s">
        <v>3177</v>
      </c>
      <c r="AH859" t="s">
        <v>1574</v>
      </c>
      <c r="AI859" t="s">
        <v>7370</v>
      </c>
      <c r="AJ859" t="s">
        <v>6966</v>
      </c>
      <c r="AK859">
        <v>33.894889999999997</v>
      </c>
      <c r="AL859">
        <v>35.526919999999997</v>
      </c>
      <c r="AM859" t="s">
        <v>7014</v>
      </c>
      <c r="AN859" t="s">
        <v>7014</v>
      </c>
      <c r="AO859" t="s">
        <v>7042</v>
      </c>
      <c r="AP859" t="s">
        <v>7481</v>
      </c>
      <c r="AQ859" t="s">
        <v>6998</v>
      </c>
      <c r="AR859" t="s">
        <v>7048</v>
      </c>
      <c r="AS859" t="s">
        <v>7071</v>
      </c>
      <c r="AT859">
        <v>0</v>
      </c>
      <c r="AU859">
        <v>0</v>
      </c>
      <c r="AV859" t="s">
        <v>6966</v>
      </c>
      <c r="AW859" t="s">
        <v>7119</v>
      </c>
      <c r="AX859" t="s">
        <v>6966</v>
      </c>
      <c r="AY859" t="s">
        <v>7044</v>
      </c>
      <c r="AZ859">
        <v>5.6263000000000001E-2</v>
      </c>
      <c r="BA859">
        <v>1.01E-4</v>
      </c>
    </row>
    <row r="860" spans="1:53" x14ac:dyDescent="0.25">
      <c r="A860">
        <v>858</v>
      </c>
      <c r="B860" t="s">
        <v>7625</v>
      </c>
      <c r="C860">
        <v>506063</v>
      </c>
      <c r="D860" t="s">
        <v>179</v>
      </c>
      <c r="E860" t="s">
        <v>7823</v>
      </c>
      <c r="F860">
        <v>4305773</v>
      </c>
      <c r="G860">
        <v>14673.523438</v>
      </c>
      <c r="H860">
        <v>825</v>
      </c>
      <c r="I860">
        <v>1027</v>
      </c>
      <c r="J860">
        <v>22774</v>
      </c>
      <c r="K860" t="s">
        <v>1705</v>
      </c>
      <c r="L860">
        <v>3</v>
      </c>
      <c r="M860">
        <v>3</v>
      </c>
      <c r="N860">
        <v>22774</v>
      </c>
      <c r="O860">
        <v>809</v>
      </c>
      <c r="P860" t="s">
        <v>3212</v>
      </c>
      <c r="Q860">
        <v>0.8</v>
      </c>
      <c r="R860">
        <v>89.26</v>
      </c>
      <c r="S860">
        <v>0.25</v>
      </c>
      <c r="T860">
        <v>28</v>
      </c>
      <c r="U860">
        <v>4305772.9477700004</v>
      </c>
      <c r="V860">
        <v>14673.524206</v>
      </c>
      <c r="W860">
        <v>859</v>
      </c>
      <c r="X860">
        <v>0</v>
      </c>
      <c r="Y860">
        <v>858</v>
      </c>
      <c r="Z860" t="s">
        <v>6966</v>
      </c>
      <c r="AA860" t="s">
        <v>6966</v>
      </c>
      <c r="AB860" t="s">
        <v>6966</v>
      </c>
      <c r="AC860" t="s">
        <v>6966</v>
      </c>
      <c r="AD860" t="s">
        <v>6966</v>
      </c>
      <c r="AE860" t="s">
        <v>6966</v>
      </c>
      <c r="AF860" t="s">
        <v>6966</v>
      </c>
      <c r="AG860" t="s">
        <v>6966</v>
      </c>
      <c r="AH860" t="s">
        <v>6966</v>
      </c>
      <c r="AI860" t="s">
        <v>6966</v>
      </c>
      <c r="AJ860" t="s">
        <v>6966</v>
      </c>
      <c r="AK860" t="s">
        <v>6966</v>
      </c>
      <c r="AL860" t="s">
        <v>6966</v>
      </c>
      <c r="AM860" t="s">
        <v>6966</v>
      </c>
      <c r="AN860" t="s">
        <v>6966</v>
      </c>
      <c r="AO860" t="s">
        <v>6966</v>
      </c>
      <c r="AP860" t="s">
        <v>6966</v>
      </c>
      <c r="AQ860" t="s">
        <v>6966</v>
      </c>
      <c r="AR860" t="s">
        <v>6966</v>
      </c>
      <c r="AS860" t="s">
        <v>6966</v>
      </c>
      <c r="AT860" t="s">
        <v>6966</v>
      </c>
      <c r="AU860" t="s">
        <v>6966</v>
      </c>
      <c r="AV860" t="s">
        <v>6966</v>
      </c>
      <c r="AW860" t="s">
        <v>6966</v>
      </c>
      <c r="AX860" t="s">
        <v>6966</v>
      </c>
      <c r="AY860" t="s">
        <v>6966</v>
      </c>
      <c r="AZ860">
        <v>0.15144199999999999</v>
      </c>
      <c r="BA860">
        <v>4.2000000000000002E-4</v>
      </c>
    </row>
    <row r="861" spans="1:53" x14ac:dyDescent="0.25">
      <c r="A861">
        <v>859</v>
      </c>
      <c r="B861" t="s">
        <v>7625</v>
      </c>
      <c r="C861">
        <v>506054</v>
      </c>
      <c r="D861" t="s">
        <v>90</v>
      </c>
      <c r="E861" t="s">
        <v>7823</v>
      </c>
      <c r="F861">
        <v>1669590.375</v>
      </c>
      <c r="G861">
        <v>6849.6284180000002</v>
      </c>
      <c r="H861">
        <v>826</v>
      </c>
      <c r="I861">
        <v>1028</v>
      </c>
      <c r="J861">
        <v>22211</v>
      </c>
      <c r="K861" t="s">
        <v>1626</v>
      </c>
      <c r="L861">
        <v>3</v>
      </c>
      <c r="M861">
        <v>3</v>
      </c>
      <c r="N861">
        <v>22211</v>
      </c>
      <c r="O861">
        <v>810</v>
      </c>
      <c r="P861" t="s">
        <v>3212</v>
      </c>
      <c r="Q861">
        <v>97.4</v>
      </c>
      <c r="R861">
        <v>184.95</v>
      </c>
      <c r="S861">
        <v>22.45</v>
      </c>
      <c r="T861">
        <v>43</v>
      </c>
      <c r="U861">
        <v>1669590.4531400001</v>
      </c>
      <c r="V861">
        <v>6849.6290099999997</v>
      </c>
      <c r="W861">
        <v>860</v>
      </c>
      <c r="X861">
        <v>1</v>
      </c>
      <c r="Y861">
        <v>859</v>
      </c>
      <c r="Z861">
        <v>66123</v>
      </c>
      <c r="AA861" s="76">
        <v>45854</v>
      </c>
      <c r="AB861">
        <v>2025</v>
      </c>
      <c r="AC861" t="s">
        <v>7313</v>
      </c>
      <c r="AD861">
        <v>16</v>
      </c>
      <c r="AE861" t="s">
        <v>7356</v>
      </c>
      <c r="AF861" t="s">
        <v>3212</v>
      </c>
      <c r="AG861" t="s">
        <v>3224</v>
      </c>
      <c r="AH861" t="s">
        <v>90</v>
      </c>
      <c r="AI861" t="s">
        <v>3085</v>
      </c>
      <c r="AJ861" t="s">
        <v>6966</v>
      </c>
      <c r="AK861">
        <v>33.890329999999999</v>
      </c>
      <c r="AL861">
        <v>35.566279999999999</v>
      </c>
      <c r="AM861" t="s">
        <v>7059</v>
      </c>
      <c r="AN861" t="s">
        <v>6966</v>
      </c>
      <c r="AO861" t="s">
        <v>7103</v>
      </c>
      <c r="AP861" t="s">
        <v>7357</v>
      </c>
      <c r="AQ861" t="s">
        <v>6998</v>
      </c>
      <c r="AR861" t="s">
        <v>6999</v>
      </c>
      <c r="AS861" t="s">
        <v>7000</v>
      </c>
      <c r="AT861">
        <v>0</v>
      </c>
      <c r="AU861">
        <v>0</v>
      </c>
      <c r="AV861" t="s">
        <v>7358</v>
      </c>
      <c r="AW861" t="s">
        <v>7041</v>
      </c>
      <c r="AX861" t="s">
        <v>6966</v>
      </c>
      <c r="AY861" t="s">
        <v>7003</v>
      </c>
      <c r="AZ861">
        <v>6.8645999999999999E-2</v>
      </c>
      <c r="BA861">
        <v>1.63E-4</v>
      </c>
    </row>
    <row r="862" spans="1:53" x14ac:dyDescent="0.25">
      <c r="A862">
        <v>860</v>
      </c>
      <c r="B862" t="s">
        <v>7625</v>
      </c>
      <c r="C862">
        <v>301009</v>
      </c>
      <c r="D862" t="s">
        <v>7878</v>
      </c>
      <c r="E862" t="s">
        <v>3177</v>
      </c>
      <c r="F862">
        <v>4061108.75</v>
      </c>
      <c r="G862">
        <v>9382.4511719999991</v>
      </c>
      <c r="H862">
        <v>827</v>
      </c>
      <c r="I862">
        <v>1029</v>
      </c>
      <c r="J862">
        <v>10210</v>
      </c>
      <c r="K862" t="s">
        <v>1567</v>
      </c>
      <c r="L862">
        <v>1</v>
      </c>
      <c r="M862">
        <v>1</v>
      </c>
      <c r="N862">
        <v>10210</v>
      </c>
      <c r="O862">
        <v>811</v>
      </c>
      <c r="P862" t="s">
        <v>3177</v>
      </c>
      <c r="Q862">
        <v>222.9</v>
      </c>
      <c r="R862">
        <v>271.27</v>
      </c>
      <c r="S862">
        <v>64.23</v>
      </c>
      <c r="T862">
        <v>79</v>
      </c>
      <c r="U862">
        <v>4061108.71735</v>
      </c>
      <c r="V862">
        <v>9382.4517329999999</v>
      </c>
      <c r="W862">
        <v>861</v>
      </c>
      <c r="X862">
        <v>3</v>
      </c>
      <c r="Y862">
        <v>860</v>
      </c>
      <c r="Z862">
        <v>61935</v>
      </c>
      <c r="AA862" s="76">
        <v>45786</v>
      </c>
      <c r="AB862">
        <v>2025</v>
      </c>
      <c r="AC862" t="s">
        <v>7215</v>
      </c>
      <c r="AD862">
        <v>9</v>
      </c>
      <c r="AE862" t="s">
        <v>7238</v>
      </c>
      <c r="AF862" t="s">
        <v>3177</v>
      </c>
      <c r="AG862" t="s">
        <v>3177</v>
      </c>
      <c r="AH862" t="s">
        <v>1567</v>
      </c>
      <c r="AI862" t="s">
        <v>3193</v>
      </c>
      <c r="AJ862" t="s">
        <v>6966</v>
      </c>
      <c r="AK862">
        <v>33.88111</v>
      </c>
      <c r="AL862">
        <v>35.485080000000004</v>
      </c>
      <c r="AM862" t="s">
        <v>6995</v>
      </c>
      <c r="AN862" t="s">
        <v>7014</v>
      </c>
      <c r="AO862" t="s">
        <v>6996</v>
      </c>
      <c r="AP862" t="s">
        <v>7239</v>
      </c>
      <c r="AQ862" t="s">
        <v>6998</v>
      </c>
      <c r="AR862" t="s">
        <v>6999</v>
      </c>
      <c r="AS862" t="s">
        <v>7000</v>
      </c>
      <c r="AT862">
        <v>0</v>
      </c>
      <c r="AU862">
        <v>0</v>
      </c>
      <c r="AV862" t="s">
        <v>7240</v>
      </c>
      <c r="AW862" t="s">
        <v>7032</v>
      </c>
      <c r="AX862" t="s">
        <v>6966</v>
      </c>
      <c r="AY862" t="s">
        <v>7003</v>
      </c>
      <c r="AZ862">
        <v>9.1264999999999999E-2</v>
      </c>
      <c r="BA862">
        <v>3.9599999999999998E-4</v>
      </c>
    </row>
    <row r="863" spans="1:53" x14ac:dyDescent="0.25">
      <c r="A863">
        <v>861</v>
      </c>
      <c r="B863" t="s">
        <v>7625</v>
      </c>
      <c r="C863">
        <v>506089</v>
      </c>
      <c r="D863" t="s">
        <v>152</v>
      </c>
      <c r="E863" t="s">
        <v>7823</v>
      </c>
      <c r="F863">
        <v>1110723.625</v>
      </c>
      <c r="G863">
        <v>5182.2578130000002</v>
      </c>
      <c r="H863">
        <v>828</v>
      </c>
      <c r="I863">
        <v>1030</v>
      </c>
      <c r="J863">
        <v>22643</v>
      </c>
      <c r="K863" t="s">
        <v>1682</v>
      </c>
      <c r="L863">
        <v>3</v>
      </c>
      <c r="M863">
        <v>3</v>
      </c>
      <c r="N863">
        <v>22643</v>
      </c>
      <c r="O863">
        <v>812</v>
      </c>
      <c r="P863" t="s">
        <v>3212</v>
      </c>
      <c r="Q863">
        <v>9.4</v>
      </c>
      <c r="R863">
        <v>56.32</v>
      </c>
      <c r="S863">
        <v>3.81</v>
      </c>
      <c r="T863">
        <v>23</v>
      </c>
      <c r="U863">
        <v>1110723.60613</v>
      </c>
      <c r="V863">
        <v>5182.2584109999998</v>
      </c>
      <c r="W863">
        <v>862</v>
      </c>
      <c r="X863">
        <v>0</v>
      </c>
      <c r="Y863">
        <v>861</v>
      </c>
      <c r="Z863" t="s">
        <v>6966</v>
      </c>
      <c r="AA863" t="s">
        <v>6966</v>
      </c>
      <c r="AB863" t="s">
        <v>6966</v>
      </c>
      <c r="AC863" t="s">
        <v>6966</v>
      </c>
      <c r="AD863" t="s">
        <v>6966</v>
      </c>
      <c r="AE863" t="s">
        <v>6966</v>
      </c>
      <c r="AF863" t="s">
        <v>6966</v>
      </c>
      <c r="AG863" t="s">
        <v>6966</v>
      </c>
      <c r="AH863" t="s">
        <v>6966</v>
      </c>
      <c r="AI863" t="s">
        <v>6966</v>
      </c>
      <c r="AJ863" t="s">
        <v>6966</v>
      </c>
      <c r="AK863" t="s">
        <v>6966</v>
      </c>
      <c r="AL863" t="s">
        <v>6966</v>
      </c>
      <c r="AM863" t="s">
        <v>6966</v>
      </c>
      <c r="AN863" t="s">
        <v>6966</v>
      </c>
      <c r="AO863" t="s">
        <v>6966</v>
      </c>
      <c r="AP863" t="s">
        <v>6966</v>
      </c>
      <c r="AQ863" t="s">
        <v>6966</v>
      </c>
      <c r="AR863" t="s">
        <v>6966</v>
      </c>
      <c r="AS863" t="s">
        <v>6966</v>
      </c>
      <c r="AT863" t="s">
        <v>6966</v>
      </c>
      <c r="AU863" t="s">
        <v>6966</v>
      </c>
      <c r="AV863" t="s">
        <v>6966</v>
      </c>
      <c r="AW863" t="s">
        <v>6966</v>
      </c>
      <c r="AX863" t="s">
        <v>6966</v>
      </c>
      <c r="AY863" t="s">
        <v>6966</v>
      </c>
      <c r="AZ863">
        <v>5.1887999999999997E-2</v>
      </c>
      <c r="BA863">
        <v>1.08E-4</v>
      </c>
    </row>
    <row r="864" spans="1:53" x14ac:dyDescent="0.25">
      <c r="A864">
        <v>862</v>
      </c>
      <c r="B864" t="s">
        <v>7625</v>
      </c>
      <c r="C864">
        <v>403012</v>
      </c>
      <c r="D864" t="s">
        <v>980</v>
      </c>
      <c r="E864" t="s">
        <v>3045</v>
      </c>
      <c r="F864">
        <v>0</v>
      </c>
      <c r="G864">
        <v>26481.259765999999</v>
      </c>
      <c r="H864">
        <v>829</v>
      </c>
      <c r="I864">
        <v>1031</v>
      </c>
      <c r="J864">
        <v>51139</v>
      </c>
      <c r="K864" t="s">
        <v>980</v>
      </c>
      <c r="L864">
        <v>15</v>
      </c>
      <c r="M864">
        <v>15</v>
      </c>
      <c r="N864">
        <v>51139</v>
      </c>
      <c r="O864">
        <v>813</v>
      </c>
      <c r="P864" t="s">
        <v>3214</v>
      </c>
      <c r="Q864">
        <v>2.5</v>
      </c>
      <c r="R864">
        <v>88.75</v>
      </c>
      <c r="S864">
        <v>0.56000000000000005</v>
      </c>
      <c r="T864">
        <v>20</v>
      </c>
      <c r="U864">
        <v>0</v>
      </c>
      <c r="V864">
        <v>26481.259550999999</v>
      </c>
      <c r="W864">
        <v>863</v>
      </c>
      <c r="X864">
        <v>0</v>
      </c>
      <c r="Y864">
        <v>862</v>
      </c>
      <c r="Z864" t="s">
        <v>6966</v>
      </c>
      <c r="AA864" t="s">
        <v>6966</v>
      </c>
      <c r="AB864" t="s">
        <v>6966</v>
      </c>
      <c r="AC864" t="s">
        <v>6966</v>
      </c>
      <c r="AD864" t="s">
        <v>6966</v>
      </c>
      <c r="AE864" t="s">
        <v>6966</v>
      </c>
      <c r="AF864" t="s">
        <v>6966</v>
      </c>
      <c r="AG864" t="s">
        <v>6966</v>
      </c>
      <c r="AH864" t="s">
        <v>6966</v>
      </c>
      <c r="AI864" t="s">
        <v>6966</v>
      </c>
      <c r="AJ864" t="s">
        <v>6966</v>
      </c>
      <c r="AK864" t="s">
        <v>6966</v>
      </c>
      <c r="AL864" t="s">
        <v>6966</v>
      </c>
      <c r="AM864" t="s">
        <v>6966</v>
      </c>
      <c r="AN864" t="s">
        <v>6966</v>
      </c>
      <c r="AO864" t="s">
        <v>6966</v>
      </c>
      <c r="AP864" t="s">
        <v>6966</v>
      </c>
      <c r="AQ864" t="s">
        <v>6966</v>
      </c>
      <c r="AR864" t="s">
        <v>6966</v>
      </c>
      <c r="AS864" t="s">
        <v>6966</v>
      </c>
      <c r="AT864" t="s">
        <v>6966</v>
      </c>
      <c r="AU864" t="s">
        <v>6966</v>
      </c>
      <c r="AV864" t="s">
        <v>6966</v>
      </c>
      <c r="AW864" t="s">
        <v>6966</v>
      </c>
      <c r="AX864" t="s">
        <v>6966</v>
      </c>
      <c r="AY864" t="s">
        <v>6966</v>
      </c>
      <c r="AZ864">
        <v>0.259021</v>
      </c>
      <c r="BA864">
        <v>1.652E-3</v>
      </c>
    </row>
    <row r="865" spans="1:53" ht="270" x14ac:dyDescent="0.25">
      <c r="A865">
        <v>863</v>
      </c>
      <c r="B865" t="s">
        <v>7625</v>
      </c>
      <c r="C865">
        <v>301003</v>
      </c>
      <c r="D865" t="s">
        <v>7879</v>
      </c>
      <c r="E865" t="s">
        <v>3177</v>
      </c>
      <c r="F865">
        <v>527398.4375</v>
      </c>
      <c r="G865">
        <v>3273.7817380000001</v>
      </c>
      <c r="H865">
        <v>830</v>
      </c>
      <c r="I865">
        <v>1032</v>
      </c>
      <c r="J865">
        <v>10350</v>
      </c>
      <c r="K865" t="s">
        <v>1570</v>
      </c>
      <c r="L865">
        <v>1</v>
      </c>
      <c r="M865">
        <v>1</v>
      </c>
      <c r="N865">
        <v>10350</v>
      </c>
      <c r="O865">
        <v>814</v>
      </c>
      <c r="P865" t="s">
        <v>3177</v>
      </c>
      <c r="Q865">
        <v>301.60000000000002</v>
      </c>
      <c r="R865">
        <v>428.52</v>
      </c>
      <c r="S865">
        <v>84.46</v>
      </c>
      <c r="T865">
        <v>120</v>
      </c>
      <c r="U865">
        <v>527398.42492100003</v>
      </c>
      <c r="V865">
        <v>3273.7816710000002</v>
      </c>
      <c r="W865">
        <v>864</v>
      </c>
      <c r="X865">
        <v>32</v>
      </c>
      <c r="Y865">
        <v>863</v>
      </c>
      <c r="Z865">
        <v>55432</v>
      </c>
      <c r="AA865" s="76">
        <v>45672</v>
      </c>
      <c r="AB865">
        <v>2025</v>
      </c>
      <c r="AC865" t="s">
        <v>6992</v>
      </c>
      <c r="AD865">
        <v>15</v>
      </c>
      <c r="AE865" t="s">
        <v>7050</v>
      </c>
      <c r="AF865" t="s">
        <v>3177</v>
      </c>
      <c r="AG865" t="s">
        <v>3177</v>
      </c>
      <c r="AH865" t="s">
        <v>1570</v>
      </c>
      <c r="AI865" t="s">
        <v>3177</v>
      </c>
      <c r="AJ865" t="s">
        <v>7102</v>
      </c>
      <c r="AK865">
        <v>33.888170000000002</v>
      </c>
      <c r="AL865">
        <v>35.500909999999998</v>
      </c>
      <c r="AM865" t="s">
        <v>7046</v>
      </c>
      <c r="AN865" t="s">
        <v>6995</v>
      </c>
      <c r="AO865" t="s">
        <v>7008</v>
      </c>
      <c r="AP865" s="77" t="s">
        <v>7051</v>
      </c>
      <c r="AQ865" t="s">
        <v>6998</v>
      </c>
      <c r="AR865" t="s">
        <v>6999</v>
      </c>
      <c r="AS865" t="s">
        <v>7000</v>
      </c>
      <c r="AT865">
        <v>0</v>
      </c>
      <c r="AU865">
        <v>0</v>
      </c>
      <c r="AV865" t="s">
        <v>7052</v>
      </c>
      <c r="AW865" t="s">
        <v>7011</v>
      </c>
      <c r="AX865" t="s">
        <v>7053</v>
      </c>
      <c r="AY865" t="s">
        <v>7003</v>
      </c>
      <c r="AZ865">
        <v>3.1870000000000002E-2</v>
      </c>
      <c r="BA865">
        <v>5.1E-5</v>
      </c>
    </row>
    <row r="866" spans="1:53" x14ac:dyDescent="0.25">
      <c r="A866">
        <v>864</v>
      </c>
      <c r="B866" t="s">
        <v>7625</v>
      </c>
      <c r="C866">
        <v>201027</v>
      </c>
      <c r="D866" t="s">
        <v>1563</v>
      </c>
      <c r="E866" t="s">
        <v>1069</v>
      </c>
      <c r="F866">
        <v>3904573.25</v>
      </c>
      <c r="G866">
        <v>9703.4335940000001</v>
      </c>
      <c r="H866">
        <v>831</v>
      </c>
      <c r="I866">
        <v>1033</v>
      </c>
      <c r="J866">
        <v>0</v>
      </c>
      <c r="K866" t="s">
        <v>1563</v>
      </c>
      <c r="L866">
        <v>17</v>
      </c>
      <c r="M866">
        <v>17</v>
      </c>
      <c r="N866">
        <v>0</v>
      </c>
      <c r="O866">
        <v>1632</v>
      </c>
      <c r="P866" t="s">
        <v>3214</v>
      </c>
      <c r="Q866">
        <v>0</v>
      </c>
      <c r="R866">
        <v>0</v>
      </c>
      <c r="S866">
        <v>0</v>
      </c>
      <c r="T866">
        <v>0</v>
      </c>
      <c r="U866">
        <v>3904573.14854</v>
      </c>
      <c r="V866">
        <v>9703.4344590000001</v>
      </c>
      <c r="W866">
        <v>865</v>
      </c>
      <c r="X866">
        <v>0</v>
      </c>
      <c r="Y866">
        <v>864</v>
      </c>
      <c r="Z866" t="s">
        <v>6966</v>
      </c>
      <c r="AA866" t="s">
        <v>6966</v>
      </c>
      <c r="AB866" t="s">
        <v>6966</v>
      </c>
      <c r="AC866" t="s">
        <v>6966</v>
      </c>
      <c r="AD866" t="s">
        <v>6966</v>
      </c>
      <c r="AE866" t="s">
        <v>6966</v>
      </c>
      <c r="AF866" t="s">
        <v>6966</v>
      </c>
      <c r="AG866" t="s">
        <v>6966</v>
      </c>
      <c r="AH866" t="s">
        <v>6966</v>
      </c>
      <c r="AI866" t="s">
        <v>6966</v>
      </c>
      <c r="AJ866" t="s">
        <v>6966</v>
      </c>
      <c r="AK866" t="s">
        <v>6966</v>
      </c>
      <c r="AL866" t="s">
        <v>6966</v>
      </c>
      <c r="AM866" t="s">
        <v>6966</v>
      </c>
      <c r="AN866" t="s">
        <v>6966</v>
      </c>
      <c r="AO866" t="s">
        <v>6966</v>
      </c>
      <c r="AP866" t="s">
        <v>6966</v>
      </c>
      <c r="AQ866" t="s">
        <v>6966</v>
      </c>
      <c r="AR866" t="s">
        <v>6966</v>
      </c>
      <c r="AS866" t="s">
        <v>6966</v>
      </c>
      <c r="AT866" t="s">
        <v>6966</v>
      </c>
      <c r="AU866" t="s">
        <v>6966</v>
      </c>
      <c r="AV866" t="s">
        <v>6966</v>
      </c>
      <c r="AW866" t="s">
        <v>6966</v>
      </c>
      <c r="AX866" t="s">
        <v>6966</v>
      </c>
      <c r="AY866" t="s">
        <v>6966</v>
      </c>
      <c r="AZ866">
        <v>9.9304000000000003E-2</v>
      </c>
      <c r="BA866">
        <v>3.8099999999999999E-4</v>
      </c>
    </row>
    <row r="867" spans="1:53" x14ac:dyDescent="0.25">
      <c r="A867">
        <v>865</v>
      </c>
      <c r="B867" t="s">
        <v>7625</v>
      </c>
      <c r="C867">
        <v>506092</v>
      </c>
      <c r="D867" t="s">
        <v>7880</v>
      </c>
      <c r="E867" t="s">
        <v>7823</v>
      </c>
      <c r="F867">
        <v>5056960.5</v>
      </c>
      <c r="G867">
        <v>12920.763671999999</v>
      </c>
      <c r="H867">
        <v>832</v>
      </c>
      <c r="I867">
        <v>1034</v>
      </c>
      <c r="J867">
        <v>22427</v>
      </c>
      <c r="K867" t="s">
        <v>1644</v>
      </c>
      <c r="L867">
        <v>3</v>
      </c>
      <c r="M867">
        <v>3</v>
      </c>
      <c r="N867">
        <v>22427</v>
      </c>
      <c r="O867">
        <v>815</v>
      </c>
      <c r="P867" t="s">
        <v>3212</v>
      </c>
      <c r="Q867">
        <v>5.0999999999999996</v>
      </c>
      <c r="R867">
        <v>22.95</v>
      </c>
      <c r="S867">
        <v>1.44</v>
      </c>
      <c r="T867">
        <v>8</v>
      </c>
      <c r="U867">
        <v>5056960.5506899999</v>
      </c>
      <c r="V867">
        <v>12920.764955000001</v>
      </c>
      <c r="W867">
        <v>866</v>
      </c>
      <c r="X867">
        <v>0</v>
      </c>
      <c r="Y867">
        <v>865</v>
      </c>
      <c r="Z867" t="s">
        <v>6966</v>
      </c>
      <c r="AA867" t="s">
        <v>6966</v>
      </c>
      <c r="AB867" t="s">
        <v>6966</v>
      </c>
      <c r="AC867" t="s">
        <v>6966</v>
      </c>
      <c r="AD867" t="s">
        <v>6966</v>
      </c>
      <c r="AE867" t="s">
        <v>6966</v>
      </c>
      <c r="AF867" t="s">
        <v>6966</v>
      </c>
      <c r="AG867" t="s">
        <v>6966</v>
      </c>
      <c r="AH867" t="s">
        <v>6966</v>
      </c>
      <c r="AI867" t="s">
        <v>6966</v>
      </c>
      <c r="AJ867" t="s">
        <v>6966</v>
      </c>
      <c r="AK867" t="s">
        <v>6966</v>
      </c>
      <c r="AL867" t="s">
        <v>6966</v>
      </c>
      <c r="AM867" t="s">
        <v>6966</v>
      </c>
      <c r="AN867" t="s">
        <v>6966</v>
      </c>
      <c r="AO867" t="s">
        <v>6966</v>
      </c>
      <c r="AP867" t="s">
        <v>6966</v>
      </c>
      <c r="AQ867" t="s">
        <v>6966</v>
      </c>
      <c r="AR867" t="s">
        <v>6966</v>
      </c>
      <c r="AS867" t="s">
        <v>6966</v>
      </c>
      <c r="AT867" t="s">
        <v>6966</v>
      </c>
      <c r="AU867" t="s">
        <v>6966</v>
      </c>
      <c r="AV867" t="s">
        <v>6966</v>
      </c>
      <c r="AW867" t="s">
        <v>6966</v>
      </c>
      <c r="AX867" t="s">
        <v>6966</v>
      </c>
      <c r="AY867" t="s">
        <v>6966</v>
      </c>
      <c r="AZ867">
        <v>0.130714</v>
      </c>
      <c r="BA867">
        <v>4.9299999999999995E-4</v>
      </c>
    </row>
    <row r="868" spans="1:53" x14ac:dyDescent="0.25">
      <c r="A868">
        <v>866</v>
      </c>
      <c r="B868" t="s">
        <v>7625</v>
      </c>
      <c r="C868">
        <v>301002</v>
      </c>
      <c r="D868" t="s">
        <v>7881</v>
      </c>
      <c r="E868" t="s">
        <v>3177</v>
      </c>
      <c r="F868">
        <v>3182616</v>
      </c>
      <c r="G868">
        <v>7823.8701170000004</v>
      </c>
      <c r="H868">
        <v>833</v>
      </c>
      <c r="I868">
        <v>1035</v>
      </c>
      <c r="J868">
        <v>10650</v>
      </c>
      <c r="K868" t="s">
        <v>1576</v>
      </c>
      <c r="L868">
        <v>1</v>
      </c>
      <c r="M868">
        <v>1</v>
      </c>
      <c r="N868">
        <v>10650</v>
      </c>
      <c r="O868">
        <v>816</v>
      </c>
      <c r="P868" t="s">
        <v>3177</v>
      </c>
      <c r="Q868">
        <v>215.4</v>
      </c>
      <c r="R868">
        <v>294.72000000000003</v>
      </c>
      <c r="S868">
        <v>59.91</v>
      </c>
      <c r="T868">
        <v>87</v>
      </c>
      <c r="U868">
        <v>3182616.0181700001</v>
      </c>
      <c r="V868">
        <v>7823.870062</v>
      </c>
      <c r="W868">
        <v>867</v>
      </c>
      <c r="X868">
        <v>3</v>
      </c>
      <c r="Y868">
        <v>866</v>
      </c>
      <c r="Z868">
        <v>65431</v>
      </c>
      <c r="AA868" s="76">
        <v>45846</v>
      </c>
      <c r="AB868">
        <v>2025</v>
      </c>
      <c r="AC868" t="s">
        <v>7313</v>
      </c>
      <c r="AD868">
        <v>8</v>
      </c>
      <c r="AE868" t="s">
        <v>7333</v>
      </c>
      <c r="AF868" t="s">
        <v>3177</v>
      </c>
      <c r="AG868" t="s">
        <v>3177</v>
      </c>
      <c r="AH868" t="s">
        <v>1576</v>
      </c>
      <c r="AI868" t="s">
        <v>3197</v>
      </c>
      <c r="AJ868" t="s">
        <v>6966</v>
      </c>
      <c r="AK868">
        <v>33.885179999999998</v>
      </c>
      <c r="AL868">
        <v>35.519120000000001</v>
      </c>
      <c r="AM868" t="s">
        <v>7014</v>
      </c>
      <c r="AN868" t="s">
        <v>7014</v>
      </c>
      <c r="AO868" t="s">
        <v>7198</v>
      </c>
      <c r="AP868" t="s">
        <v>7334</v>
      </c>
      <c r="AQ868" t="s">
        <v>6998</v>
      </c>
      <c r="AR868" t="s">
        <v>6999</v>
      </c>
      <c r="AS868" t="s">
        <v>7071</v>
      </c>
      <c r="AT868">
        <v>0</v>
      </c>
      <c r="AU868">
        <v>0</v>
      </c>
      <c r="AV868" t="s">
        <v>7464</v>
      </c>
      <c r="AW868" t="s">
        <v>7018</v>
      </c>
      <c r="AX868" t="s">
        <v>6966</v>
      </c>
      <c r="AY868" t="s">
        <v>7044</v>
      </c>
      <c r="AZ868">
        <v>7.8357999999999997E-2</v>
      </c>
      <c r="BA868">
        <v>3.1E-4</v>
      </c>
    </row>
    <row r="869" spans="1:53" x14ac:dyDescent="0.25">
      <c r="A869">
        <v>867</v>
      </c>
      <c r="B869" t="s">
        <v>7625</v>
      </c>
      <c r="C869">
        <v>403030</v>
      </c>
      <c r="D869" t="s">
        <v>982</v>
      </c>
      <c r="E869" t="s">
        <v>3045</v>
      </c>
      <c r="F869">
        <v>1614220.375</v>
      </c>
      <c r="G869">
        <v>7867.1557620000003</v>
      </c>
      <c r="H869">
        <v>834</v>
      </c>
      <c r="I869">
        <v>1036</v>
      </c>
      <c r="J869">
        <v>51151</v>
      </c>
      <c r="K869" t="s">
        <v>7882</v>
      </c>
      <c r="L869">
        <v>15</v>
      </c>
      <c r="M869">
        <v>15</v>
      </c>
      <c r="N869">
        <v>51151</v>
      </c>
      <c r="O869">
        <v>817</v>
      </c>
      <c r="P869" t="s">
        <v>3214</v>
      </c>
      <c r="Q869">
        <v>4.2</v>
      </c>
      <c r="R869">
        <v>86.18</v>
      </c>
      <c r="S869">
        <v>0.9</v>
      </c>
      <c r="T869">
        <v>17</v>
      </c>
      <c r="U869">
        <v>1614220.26513</v>
      </c>
      <c r="V869">
        <v>7867.1555040000003</v>
      </c>
      <c r="W869">
        <v>868</v>
      </c>
      <c r="X869">
        <v>0</v>
      </c>
      <c r="Y869">
        <v>867</v>
      </c>
      <c r="Z869" t="s">
        <v>6966</v>
      </c>
      <c r="AA869" t="s">
        <v>6966</v>
      </c>
      <c r="AB869" t="s">
        <v>6966</v>
      </c>
      <c r="AC869" t="s">
        <v>6966</v>
      </c>
      <c r="AD869" t="s">
        <v>6966</v>
      </c>
      <c r="AE869" t="s">
        <v>6966</v>
      </c>
      <c r="AF869" t="s">
        <v>6966</v>
      </c>
      <c r="AG869" t="s">
        <v>6966</v>
      </c>
      <c r="AH869" t="s">
        <v>6966</v>
      </c>
      <c r="AI869" t="s">
        <v>6966</v>
      </c>
      <c r="AJ869" t="s">
        <v>6966</v>
      </c>
      <c r="AK869" t="s">
        <v>6966</v>
      </c>
      <c r="AL869" t="s">
        <v>6966</v>
      </c>
      <c r="AM869" t="s">
        <v>6966</v>
      </c>
      <c r="AN869" t="s">
        <v>6966</v>
      </c>
      <c r="AO869" t="s">
        <v>6966</v>
      </c>
      <c r="AP869" t="s">
        <v>6966</v>
      </c>
      <c r="AQ869" t="s">
        <v>6966</v>
      </c>
      <c r="AR869" t="s">
        <v>6966</v>
      </c>
      <c r="AS869" t="s">
        <v>6966</v>
      </c>
      <c r="AT869" t="s">
        <v>6966</v>
      </c>
      <c r="AU869" t="s">
        <v>6966</v>
      </c>
      <c r="AV869" t="s">
        <v>6966</v>
      </c>
      <c r="AW869" t="s">
        <v>6966</v>
      </c>
      <c r="AX869" t="s">
        <v>6966</v>
      </c>
      <c r="AY869" t="s">
        <v>6966</v>
      </c>
      <c r="AZ869">
        <v>7.6226000000000002E-2</v>
      </c>
      <c r="BA869">
        <v>1.5699999999999999E-4</v>
      </c>
    </row>
    <row r="870" spans="1:53" x14ac:dyDescent="0.25">
      <c r="A870">
        <v>868</v>
      </c>
      <c r="B870" t="s">
        <v>7625</v>
      </c>
      <c r="C870">
        <v>506094</v>
      </c>
      <c r="D870" t="s">
        <v>89</v>
      </c>
      <c r="E870" t="s">
        <v>7823</v>
      </c>
      <c r="F870">
        <v>2305975</v>
      </c>
      <c r="G870">
        <v>8002.75</v>
      </c>
      <c r="H870">
        <v>835</v>
      </c>
      <c r="I870">
        <v>1037</v>
      </c>
      <c r="J870">
        <v>22155</v>
      </c>
      <c r="K870" t="s">
        <v>1625</v>
      </c>
      <c r="L870">
        <v>3</v>
      </c>
      <c r="M870">
        <v>3</v>
      </c>
      <c r="N870">
        <v>22155</v>
      </c>
      <c r="O870">
        <v>818</v>
      </c>
      <c r="P870" t="s">
        <v>3212</v>
      </c>
      <c r="Q870">
        <v>150.80000000000001</v>
      </c>
      <c r="R870">
        <v>289.89</v>
      </c>
      <c r="S870">
        <v>34.75</v>
      </c>
      <c r="T870">
        <v>68</v>
      </c>
      <c r="U870">
        <v>2305974.97597</v>
      </c>
      <c r="V870">
        <v>8002.7497469999998</v>
      </c>
      <c r="W870">
        <v>869</v>
      </c>
      <c r="X870">
        <v>1</v>
      </c>
      <c r="Y870">
        <v>868</v>
      </c>
      <c r="Z870">
        <v>65768</v>
      </c>
      <c r="AA870" s="76">
        <v>45852</v>
      </c>
      <c r="AB870">
        <v>2025</v>
      </c>
      <c r="AC870" t="s">
        <v>7313</v>
      </c>
      <c r="AD870">
        <v>14</v>
      </c>
      <c r="AE870" t="s">
        <v>7344</v>
      </c>
      <c r="AF870" t="s">
        <v>3212</v>
      </c>
      <c r="AG870" t="s">
        <v>3224</v>
      </c>
      <c r="AH870" t="s">
        <v>89</v>
      </c>
      <c r="AI870" t="s">
        <v>3092</v>
      </c>
      <c r="AJ870" t="s">
        <v>6966</v>
      </c>
      <c r="AK870">
        <v>33.87735</v>
      </c>
      <c r="AL870">
        <v>35.534520000000001</v>
      </c>
      <c r="AM870" t="s">
        <v>7059</v>
      </c>
      <c r="AN870" t="s">
        <v>6966</v>
      </c>
      <c r="AO870" t="s">
        <v>7103</v>
      </c>
      <c r="AP870" t="s">
        <v>7345</v>
      </c>
      <c r="AQ870" t="s">
        <v>6998</v>
      </c>
      <c r="AR870" t="s">
        <v>6999</v>
      </c>
      <c r="AS870" t="s">
        <v>7000</v>
      </c>
      <c r="AT870">
        <v>0</v>
      </c>
      <c r="AU870">
        <v>0</v>
      </c>
      <c r="AV870" t="s">
        <v>7883</v>
      </c>
      <c r="AW870" t="s">
        <v>7041</v>
      </c>
      <c r="AX870" t="s">
        <v>6966</v>
      </c>
      <c r="AY870" t="s">
        <v>7003</v>
      </c>
      <c r="AZ870">
        <v>7.5674000000000005E-2</v>
      </c>
      <c r="BA870">
        <v>2.2499999999999999E-4</v>
      </c>
    </row>
    <row r="871" spans="1:53" x14ac:dyDescent="0.25">
      <c r="A871">
        <v>869</v>
      </c>
      <c r="B871" t="s">
        <v>7625</v>
      </c>
      <c r="C871">
        <v>506102</v>
      </c>
      <c r="D871" t="s">
        <v>87</v>
      </c>
      <c r="E871" t="s">
        <v>7823</v>
      </c>
      <c r="F871">
        <v>5619.3964839999999</v>
      </c>
      <c r="G871">
        <v>428.79864500000002</v>
      </c>
      <c r="H871">
        <v>836</v>
      </c>
      <c r="I871">
        <v>1038</v>
      </c>
      <c r="J871">
        <v>22001</v>
      </c>
      <c r="K871" t="s">
        <v>87</v>
      </c>
      <c r="L871">
        <v>3</v>
      </c>
      <c r="M871">
        <v>3</v>
      </c>
      <c r="N871">
        <v>22001</v>
      </c>
      <c r="O871">
        <v>819</v>
      </c>
      <c r="P871" t="s">
        <v>3212</v>
      </c>
      <c r="Q871">
        <v>0</v>
      </c>
      <c r="R871">
        <v>0</v>
      </c>
      <c r="S871">
        <v>0</v>
      </c>
      <c r="T871">
        <v>0</v>
      </c>
      <c r="U871">
        <v>5619.3766450000003</v>
      </c>
      <c r="V871">
        <v>428.79838100000001</v>
      </c>
      <c r="W871">
        <v>870</v>
      </c>
      <c r="X871">
        <v>0</v>
      </c>
      <c r="Y871">
        <v>869</v>
      </c>
      <c r="Z871" t="s">
        <v>6966</v>
      </c>
      <c r="AA871" t="s">
        <v>6966</v>
      </c>
      <c r="AB871" t="s">
        <v>6966</v>
      </c>
      <c r="AC871" t="s">
        <v>6966</v>
      </c>
      <c r="AD871" t="s">
        <v>6966</v>
      </c>
      <c r="AE871" t="s">
        <v>6966</v>
      </c>
      <c r="AF871" t="s">
        <v>6966</v>
      </c>
      <c r="AG871" t="s">
        <v>6966</v>
      </c>
      <c r="AH871" t="s">
        <v>6966</v>
      </c>
      <c r="AI871" t="s">
        <v>6966</v>
      </c>
      <c r="AJ871" t="s">
        <v>6966</v>
      </c>
      <c r="AK871" t="s">
        <v>6966</v>
      </c>
      <c r="AL871" t="s">
        <v>6966</v>
      </c>
      <c r="AM871" t="s">
        <v>6966</v>
      </c>
      <c r="AN871" t="s">
        <v>6966</v>
      </c>
      <c r="AO871" t="s">
        <v>6966</v>
      </c>
      <c r="AP871" t="s">
        <v>6966</v>
      </c>
      <c r="AQ871" t="s">
        <v>6966</v>
      </c>
      <c r="AR871" t="s">
        <v>6966</v>
      </c>
      <c r="AS871" t="s">
        <v>6966</v>
      </c>
      <c r="AT871" t="s">
        <v>6966</v>
      </c>
      <c r="AU871" t="s">
        <v>6966</v>
      </c>
      <c r="AV871" t="s">
        <v>6966</v>
      </c>
      <c r="AW871" t="s">
        <v>6966</v>
      </c>
      <c r="AX871" t="s">
        <v>6966</v>
      </c>
      <c r="AY871" t="s">
        <v>6966</v>
      </c>
      <c r="AZ871">
        <v>4.2680000000000001E-3</v>
      </c>
      <c r="BA871">
        <v>9.9999999999999995E-7</v>
      </c>
    </row>
    <row r="872" spans="1:53" x14ac:dyDescent="0.25">
      <c r="A872">
        <v>870</v>
      </c>
      <c r="B872" t="s">
        <v>7625</v>
      </c>
      <c r="C872">
        <v>506029</v>
      </c>
      <c r="D872" t="s">
        <v>148</v>
      </c>
      <c r="E872" t="s">
        <v>7823</v>
      </c>
      <c r="F872">
        <v>3897162</v>
      </c>
      <c r="G872">
        <v>15419.624023</v>
      </c>
      <c r="H872">
        <v>837</v>
      </c>
      <c r="I872">
        <v>1039</v>
      </c>
      <c r="J872">
        <v>22611</v>
      </c>
      <c r="K872" t="s">
        <v>1678</v>
      </c>
      <c r="L872">
        <v>3</v>
      </c>
      <c r="M872">
        <v>3</v>
      </c>
      <c r="N872">
        <v>22611</v>
      </c>
      <c r="O872">
        <v>820</v>
      </c>
      <c r="P872" t="s">
        <v>3212</v>
      </c>
      <c r="Q872">
        <v>20.2</v>
      </c>
      <c r="R872">
        <v>61.7</v>
      </c>
      <c r="S872">
        <v>5.4</v>
      </c>
      <c r="T872">
        <v>17</v>
      </c>
      <c r="U872">
        <v>3897162.0537899998</v>
      </c>
      <c r="V872">
        <v>15419.624227</v>
      </c>
      <c r="W872">
        <v>871</v>
      </c>
      <c r="X872">
        <v>1</v>
      </c>
      <c r="Y872">
        <v>870</v>
      </c>
      <c r="Z872">
        <v>70082</v>
      </c>
      <c r="AA872" s="76">
        <v>45908</v>
      </c>
      <c r="AB872">
        <v>2025</v>
      </c>
      <c r="AC872" t="s">
        <v>7433</v>
      </c>
      <c r="AD872">
        <v>8</v>
      </c>
      <c r="AE872" t="s">
        <v>7443</v>
      </c>
      <c r="AF872" t="s">
        <v>3212</v>
      </c>
      <c r="AG872" t="s">
        <v>3224</v>
      </c>
      <c r="AH872" t="s">
        <v>148</v>
      </c>
      <c r="AI872" t="s">
        <v>7444</v>
      </c>
      <c r="AJ872" t="s">
        <v>6966</v>
      </c>
      <c r="AK872">
        <v>33.885120000000001</v>
      </c>
      <c r="AL872">
        <v>35.633040000000001</v>
      </c>
      <c r="AM872" t="s">
        <v>6995</v>
      </c>
      <c r="AN872" t="s">
        <v>6966</v>
      </c>
      <c r="AO872" t="s">
        <v>6996</v>
      </c>
      <c r="AP872" t="s">
        <v>7445</v>
      </c>
      <c r="AQ872" t="s">
        <v>6998</v>
      </c>
      <c r="AR872" t="s">
        <v>6999</v>
      </c>
      <c r="AS872" t="s">
        <v>7000</v>
      </c>
      <c r="AT872">
        <v>0</v>
      </c>
      <c r="AU872">
        <v>0</v>
      </c>
      <c r="AV872" t="s">
        <v>7446</v>
      </c>
      <c r="AW872" t="s">
        <v>7018</v>
      </c>
      <c r="AX872" t="s">
        <v>7041</v>
      </c>
      <c r="AY872" t="s">
        <v>7003</v>
      </c>
      <c r="AZ872">
        <v>0.15354200000000001</v>
      </c>
      <c r="BA872">
        <v>3.8000000000000002E-4</v>
      </c>
    </row>
    <row r="873" spans="1:53" x14ac:dyDescent="0.25">
      <c r="A873">
        <v>871</v>
      </c>
      <c r="B873" t="s">
        <v>7625</v>
      </c>
      <c r="C873">
        <v>403019</v>
      </c>
      <c r="D873" t="s">
        <v>983</v>
      </c>
      <c r="E873" t="s">
        <v>3045</v>
      </c>
      <c r="F873">
        <v>6663914.5</v>
      </c>
      <c r="G873">
        <v>14610.663086</v>
      </c>
      <c r="H873">
        <v>838</v>
      </c>
      <c r="I873">
        <v>1040</v>
      </c>
      <c r="J873">
        <v>51157</v>
      </c>
      <c r="K873" t="s">
        <v>2341</v>
      </c>
      <c r="L873">
        <v>15</v>
      </c>
      <c r="M873">
        <v>15</v>
      </c>
      <c r="N873">
        <v>51157</v>
      </c>
      <c r="O873">
        <v>821</v>
      </c>
      <c r="P873" t="s">
        <v>3214</v>
      </c>
      <c r="Q873">
        <v>3.2</v>
      </c>
      <c r="R873">
        <v>240.5</v>
      </c>
      <c r="S873">
        <v>0.71</v>
      </c>
      <c r="T873">
        <v>54</v>
      </c>
      <c r="U873">
        <v>6663914.7458699998</v>
      </c>
      <c r="V873">
        <v>14610.663648</v>
      </c>
      <c r="W873">
        <v>872</v>
      </c>
      <c r="X873">
        <v>0</v>
      </c>
      <c r="Y873">
        <v>871</v>
      </c>
      <c r="Z873" t="s">
        <v>6966</v>
      </c>
      <c r="AA873" t="s">
        <v>6966</v>
      </c>
      <c r="AB873" t="s">
        <v>6966</v>
      </c>
      <c r="AC873" t="s">
        <v>6966</v>
      </c>
      <c r="AD873" t="s">
        <v>6966</v>
      </c>
      <c r="AE873" t="s">
        <v>6966</v>
      </c>
      <c r="AF873" t="s">
        <v>6966</v>
      </c>
      <c r="AG873" t="s">
        <v>6966</v>
      </c>
      <c r="AH873" t="s">
        <v>6966</v>
      </c>
      <c r="AI873" t="s">
        <v>6966</v>
      </c>
      <c r="AJ873" t="s">
        <v>6966</v>
      </c>
      <c r="AK873" t="s">
        <v>6966</v>
      </c>
      <c r="AL873" t="s">
        <v>6966</v>
      </c>
      <c r="AM873" t="s">
        <v>6966</v>
      </c>
      <c r="AN873" t="s">
        <v>6966</v>
      </c>
      <c r="AO873" t="s">
        <v>6966</v>
      </c>
      <c r="AP873" t="s">
        <v>6966</v>
      </c>
      <c r="AQ873" t="s">
        <v>6966</v>
      </c>
      <c r="AR873" t="s">
        <v>6966</v>
      </c>
      <c r="AS873" t="s">
        <v>6966</v>
      </c>
      <c r="AT873" t="s">
        <v>6966</v>
      </c>
      <c r="AU873" t="s">
        <v>6966</v>
      </c>
      <c r="AV873" t="s">
        <v>6966</v>
      </c>
      <c r="AW873" t="s">
        <v>6966</v>
      </c>
      <c r="AX873" t="s">
        <v>6966</v>
      </c>
      <c r="AY873" t="s">
        <v>6966</v>
      </c>
      <c r="AZ873">
        <v>0.143737</v>
      </c>
      <c r="BA873">
        <v>6.4899999999999995E-4</v>
      </c>
    </row>
    <row r="874" spans="1:53" x14ac:dyDescent="0.25">
      <c r="A874">
        <v>872</v>
      </c>
      <c r="B874" t="s">
        <v>7625</v>
      </c>
      <c r="C874">
        <v>506088</v>
      </c>
      <c r="D874" t="s">
        <v>157</v>
      </c>
      <c r="E874" t="s">
        <v>7823</v>
      </c>
      <c r="F874">
        <v>858115.875</v>
      </c>
      <c r="G874">
        <v>4689.7915039999998</v>
      </c>
      <c r="H874">
        <v>839</v>
      </c>
      <c r="I874">
        <v>1041</v>
      </c>
      <c r="J874">
        <v>22683</v>
      </c>
      <c r="K874" t="s">
        <v>1687</v>
      </c>
      <c r="L874">
        <v>3</v>
      </c>
      <c r="M874">
        <v>3</v>
      </c>
      <c r="N874">
        <v>22683</v>
      </c>
      <c r="O874">
        <v>822</v>
      </c>
      <c r="P874" t="s">
        <v>3212</v>
      </c>
      <c r="Q874">
        <v>1.9</v>
      </c>
      <c r="R874">
        <v>24.29</v>
      </c>
      <c r="S874">
        <v>0.52</v>
      </c>
      <c r="T874">
        <v>7</v>
      </c>
      <c r="U874">
        <v>858115.92108200002</v>
      </c>
      <c r="V874">
        <v>4689.7919350000002</v>
      </c>
      <c r="W874">
        <v>873</v>
      </c>
      <c r="X874">
        <v>0</v>
      </c>
      <c r="Y874">
        <v>872</v>
      </c>
      <c r="Z874" t="s">
        <v>6966</v>
      </c>
      <c r="AA874" t="s">
        <v>6966</v>
      </c>
      <c r="AB874" t="s">
        <v>6966</v>
      </c>
      <c r="AC874" t="s">
        <v>6966</v>
      </c>
      <c r="AD874" t="s">
        <v>6966</v>
      </c>
      <c r="AE874" t="s">
        <v>6966</v>
      </c>
      <c r="AF874" t="s">
        <v>6966</v>
      </c>
      <c r="AG874" t="s">
        <v>6966</v>
      </c>
      <c r="AH874" t="s">
        <v>6966</v>
      </c>
      <c r="AI874" t="s">
        <v>6966</v>
      </c>
      <c r="AJ874" t="s">
        <v>6966</v>
      </c>
      <c r="AK874" t="s">
        <v>6966</v>
      </c>
      <c r="AL874" t="s">
        <v>6966</v>
      </c>
      <c r="AM874" t="s">
        <v>6966</v>
      </c>
      <c r="AN874" t="s">
        <v>6966</v>
      </c>
      <c r="AO874" t="s">
        <v>6966</v>
      </c>
      <c r="AP874" t="s">
        <v>6966</v>
      </c>
      <c r="AQ874" t="s">
        <v>6966</v>
      </c>
      <c r="AR874" t="s">
        <v>6966</v>
      </c>
      <c r="AS874" t="s">
        <v>6966</v>
      </c>
      <c r="AT874" t="s">
        <v>6966</v>
      </c>
      <c r="AU874" t="s">
        <v>6966</v>
      </c>
      <c r="AV874" t="s">
        <v>6966</v>
      </c>
      <c r="AW874" t="s">
        <v>6966</v>
      </c>
      <c r="AX874" t="s">
        <v>6966</v>
      </c>
      <c r="AY874" t="s">
        <v>6966</v>
      </c>
      <c r="AZ874">
        <v>4.6764E-2</v>
      </c>
      <c r="BA874">
        <v>8.3999999999999995E-5</v>
      </c>
    </row>
    <row r="875" spans="1:53" x14ac:dyDescent="0.25">
      <c r="A875">
        <v>873</v>
      </c>
      <c r="B875" t="s">
        <v>7625</v>
      </c>
      <c r="C875">
        <v>201090</v>
      </c>
      <c r="D875" t="s">
        <v>1126</v>
      </c>
      <c r="E875" t="s">
        <v>1069</v>
      </c>
      <c r="F875">
        <v>7433553</v>
      </c>
      <c r="G875">
        <v>16582.234375</v>
      </c>
      <c r="H875">
        <v>840</v>
      </c>
      <c r="I875">
        <v>1042</v>
      </c>
      <c r="J875">
        <v>53425</v>
      </c>
      <c r="K875" t="s">
        <v>2462</v>
      </c>
      <c r="L875">
        <v>17</v>
      </c>
      <c r="M875">
        <v>17</v>
      </c>
      <c r="N875">
        <v>53425</v>
      </c>
      <c r="O875">
        <v>823</v>
      </c>
      <c r="P875" t="s">
        <v>3214</v>
      </c>
      <c r="Q875">
        <v>9.5</v>
      </c>
      <c r="R875">
        <v>134.4</v>
      </c>
      <c r="S875">
        <v>2.13</v>
      </c>
      <c r="T875">
        <v>30</v>
      </c>
      <c r="U875">
        <v>7433552.9137700005</v>
      </c>
      <c r="V875">
        <v>16582.234628999999</v>
      </c>
      <c r="W875">
        <v>874</v>
      </c>
      <c r="X875">
        <v>0</v>
      </c>
      <c r="Y875">
        <v>873</v>
      </c>
      <c r="Z875" t="s">
        <v>6966</v>
      </c>
      <c r="AA875" t="s">
        <v>6966</v>
      </c>
      <c r="AB875" t="s">
        <v>6966</v>
      </c>
      <c r="AC875" t="s">
        <v>6966</v>
      </c>
      <c r="AD875" t="s">
        <v>6966</v>
      </c>
      <c r="AE875" t="s">
        <v>6966</v>
      </c>
      <c r="AF875" t="s">
        <v>6966</v>
      </c>
      <c r="AG875" t="s">
        <v>6966</v>
      </c>
      <c r="AH875" t="s">
        <v>6966</v>
      </c>
      <c r="AI875" t="s">
        <v>6966</v>
      </c>
      <c r="AJ875" t="s">
        <v>6966</v>
      </c>
      <c r="AK875" t="s">
        <v>6966</v>
      </c>
      <c r="AL875" t="s">
        <v>6966</v>
      </c>
      <c r="AM875" t="s">
        <v>6966</v>
      </c>
      <c r="AN875" t="s">
        <v>6966</v>
      </c>
      <c r="AO875" t="s">
        <v>6966</v>
      </c>
      <c r="AP875" t="s">
        <v>6966</v>
      </c>
      <c r="AQ875" t="s">
        <v>6966</v>
      </c>
      <c r="AR875" t="s">
        <v>6966</v>
      </c>
      <c r="AS875" t="s">
        <v>6966</v>
      </c>
      <c r="AT875" t="s">
        <v>6966</v>
      </c>
      <c r="AU875" t="s">
        <v>6966</v>
      </c>
      <c r="AV875" t="s">
        <v>6966</v>
      </c>
      <c r="AW875" t="s">
        <v>6966</v>
      </c>
      <c r="AX875" t="s">
        <v>6966</v>
      </c>
      <c r="AY875" t="s">
        <v>6966</v>
      </c>
      <c r="AZ875">
        <v>0.16503899999999999</v>
      </c>
      <c r="BA875">
        <v>7.2400000000000003E-4</v>
      </c>
    </row>
    <row r="876" spans="1:53" x14ac:dyDescent="0.25">
      <c r="A876">
        <v>874</v>
      </c>
      <c r="B876" t="s">
        <v>7625</v>
      </c>
      <c r="C876">
        <v>506031</v>
      </c>
      <c r="D876" t="s">
        <v>158</v>
      </c>
      <c r="E876" t="s">
        <v>7823</v>
      </c>
      <c r="F876">
        <v>1127334.5</v>
      </c>
      <c r="G876">
        <v>6417.001953</v>
      </c>
      <c r="H876">
        <v>841</v>
      </c>
      <c r="I876">
        <v>1043</v>
      </c>
      <c r="J876">
        <v>22691</v>
      </c>
      <c r="K876" t="s">
        <v>7884</v>
      </c>
      <c r="L876">
        <v>3</v>
      </c>
      <c r="M876">
        <v>3</v>
      </c>
      <c r="N876">
        <v>22691</v>
      </c>
      <c r="O876">
        <v>824</v>
      </c>
      <c r="P876" t="s">
        <v>3212</v>
      </c>
      <c r="Q876">
        <v>1.7</v>
      </c>
      <c r="R876">
        <v>46.79</v>
      </c>
      <c r="S876">
        <v>0.44</v>
      </c>
      <c r="T876">
        <v>13</v>
      </c>
      <c r="U876">
        <v>1127334.47694</v>
      </c>
      <c r="V876">
        <v>6417.0021880000004</v>
      </c>
      <c r="W876">
        <v>875</v>
      </c>
      <c r="X876">
        <v>0</v>
      </c>
      <c r="Y876">
        <v>874</v>
      </c>
      <c r="Z876" t="s">
        <v>6966</v>
      </c>
      <c r="AA876" t="s">
        <v>6966</v>
      </c>
      <c r="AB876" t="s">
        <v>6966</v>
      </c>
      <c r="AC876" t="s">
        <v>6966</v>
      </c>
      <c r="AD876" t="s">
        <v>6966</v>
      </c>
      <c r="AE876" t="s">
        <v>6966</v>
      </c>
      <c r="AF876" t="s">
        <v>6966</v>
      </c>
      <c r="AG876" t="s">
        <v>6966</v>
      </c>
      <c r="AH876" t="s">
        <v>6966</v>
      </c>
      <c r="AI876" t="s">
        <v>6966</v>
      </c>
      <c r="AJ876" t="s">
        <v>6966</v>
      </c>
      <c r="AK876" t="s">
        <v>6966</v>
      </c>
      <c r="AL876" t="s">
        <v>6966</v>
      </c>
      <c r="AM876" t="s">
        <v>6966</v>
      </c>
      <c r="AN876" t="s">
        <v>6966</v>
      </c>
      <c r="AO876" t="s">
        <v>6966</v>
      </c>
      <c r="AP876" t="s">
        <v>6966</v>
      </c>
      <c r="AQ876" t="s">
        <v>6966</v>
      </c>
      <c r="AR876" t="s">
        <v>6966</v>
      </c>
      <c r="AS876" t="s">
        <v>6966</v>
      </c>
      <c r="AT876" t="s">
        <v>6966</v>
      </c>
      <c r="AU876" t="s">
        <v>6966</v>
      </c>
      <c r="AV876" t="s">
        <v>6966</v>
      </c>
      <c r="AW876" t="s">
        <v>6966</v>
      </c>
      <c r="AX876" t="s">
        <v>6966</v>
      </c>
      <c r="AY876" t="s">
        <v>6966</v>
      </c>
      <c r="AZ876">
        <v>6.4891000000000004E-2</v>
      </c>
      <c r="BA876">
        <v>1.1E-4</v>
      </c>
    </row>
    <row r="877" spans="1:53" x14ac:dyDescent="0.25">
      <c r="A877">
        <v>875</v>
      </c>
      <c r="B877" t="s">
        <v>7625</v>
      </c>
      <c r="C877">
        <v>403048</v>
      </c>
      <c r="D877" t="s">
        <v>7885</v>
      </c>
      <c r="E877" t="s">
        <v>3045</v>
      </c>
      <c r="F877">
        <v>0</v>
      </c>
      <c r="G877">
        <v>26379.642577999999</v>
      </c>
      <c r="H877">
        <v>842</v>
      </c>
      <c r="I877">
        <v>1044</v>
      </c>
      <c r="J877">
        <v>51145</v>
      </c>
      <c r="K877" t="s">
        <v>7886</v>
      </c>
      <c r="L877">
        <v>15</v>
      </c>
      <c r="M877">
        <v>15</v>
      </c>
      <c r="N877">
        <v>51145</v>
      </c>
      <c r="O877">
        <v>825</v>
      </c>
      <c r="P877" t="s">
        <v>3214</v>
      </c>
      <c r="Q877">
        <v>0.2</v>
      </c>
      <c r="R877">
        <v>91.15</v>
      </c>
      <c r="S877">
        <v>0.04</v>
      </c>
      <c r="T877">
        <v>21</v>
      </c>
      <c r="U877">
        <v>0</v>
      </c>
      <c r="V877">
        <v>26379.641930999998</v>
      </c>
      <c r="W877">
        <v>876</v>
      </c>
      <c r="X877">
        <v>0</v>
      </c>
      <c r="Y877">
        <v>875</v>
      </c>
      <c r="Z877" t="s">
        <v>6966</v>
      </c>
      <c r="AA877" t="s">
        <v>6966</v>
      </c>
      <c r="AB877" t="s">
        <v>6966</v>
      </c>
      <c r="AC877" t="s">
        <v>6966</v>
      </c>
      <c r="AD877" t="s">
        <v>6966</v>
      </c>
      <c r="AE877" t="s">
        <v>6966</v>
      </c>
      <c r="AF877" t="s">
        <v>6966</v>
      </c>
      <c r="AG877" t="s">
        <v>6966</v>
      </c>
      <c r="AH877" t="s">
        <v>6966</v>
      </c>
      <c r="AI877" t="s">
        <v>6966</v>
      </c>
      <c r="AJ877" t="s">
        <v>6966</v>
      </c>
      <c r="AK877" t="s">
        <v>6966</v>
      </c>
      <c r="AL877" t="s">
        <v>6966</v>
      </c>
      <c r="AM877" t="s">
        <v>6966</v>
      </c>
      <c r="AN877" t="s">
        <v>6966</v>
      </c>
      <c r="AO877" t="s">
        <v>6966</v>
      </c>
      <c r="AP877" t="s">
        <v>6966</v>
      </c>
      <c r="AQ877" t="s">
        <v>6966</v>
      </c>
      <c r="AR877" t="s">
        <v>6966</v>
      </c>
      <c r="AS877" t="s">
        <v>6966</v>
      </c>
      <c r="AT877" t="s">
        <v>6966</v>
      </c>
      <c r="AU877" t="s">
        <v>6966</v>
      </c>
      <c r="AV877" t="s">
        <v>6966</v>
      </c>
      <c r="AW877" t="s">
        <v>6966</v>
      </c>
      <c r="AX877" t="s">
        <v>6966</v>
      </c>
      <c r="AY877" t="s">
        <v>6966</v>
      </c>
      <c r="AZ877">
        <v>0.25754500000000002</v>
      </c>
      <c r="BA877">
        <v>1.5920000000000001E-3</v>
      </c>
    </row>
    <row r="878" spans="1:53" x14ac:dyDescent="0.25">
      <c r="A878">
        <v>876</v>
      </c>
      <c r="B878" t="s">
        <v>7625</v>
      </c>
      <c r="C878">
        <v>506045</v>
      </c>
      <c r="D878" t="s">
        <v>7887</v>
      </c>
      <c r="E878" t="s">
        <v>7823</v>
      </c>
      <c r="F878">
        <v>1915806.375</v>
      </c>
      <c r="G878">
        <v>6708.3388670000004</v>
      </c>
      <c r="H878">
        <v>843</v>
      </c>
      <c r="I878">
        <v>1045</v>
      </c>
      <c r="J878">
        <v>22262</v>
      </c>
      <c r="K878" t="s">
        <v>1629</v>
      </c>
      <c r="L878">
        <v>3</v>
      </c>
      <c r="M878">
        <v>3</v>
      </c>
      <c r="N878">
        <v>22262</v>
      </c>
      <c r="O878">
        <v>826</v>
      </c>
      <c r="P878" t="s">
        <v>3212</v>
      </c>
      <c r="Q878">
        <v>126.6</v>
      </c>
      <c r="R878">
        <v>206.73</v>
      </c>
      <c r="S878">
        <v>29.17</v>
      </c>
      <c r="T878">
        <v>56</v>
      </c>
      <c r="U878">
        <v>1915806.2967099999</v>
      </c>
      <c r="V878">
        <v>6708.3389139999999</v>
      </c>
      <c r="W878">
        <v>877</v>
      </c>
      <c r="X878">
        <v>1</v>
      </c>
      <c r="Y878">
        <v>876</v>
      </c>
      <c r="Z878">
        <v>66081</v>
      </c>
      <c r="AA878" s="76">
        <v>45857</v>
      </c>
      <c r="AB878">
        <v>2025</v>
      </c>
      <c r="AC878" t="s">
        <v>7313</v>
      </c>
      <c r="AD878">
        <v>19</v>
      </c>
      <c r="AE878" t="s">
        <v>7353</v>
      </c>
      <c r="AF878" t="s">
        <v>3212</v>
      </c>
      <c r="AG878" t="s">
        <v>3224</v>
      </c>
      <c r="AH878" t="s">
        <v>7354</v>
      </c>
      <c r="AI878" t="s">
        <v>2815</v>
      </c>
      <c r="AJ878" t="s">
        <v>6966</v>
      </c>
      <c r="AK878">
        <v>33.876150000000003</v>
      </c>
      <c r="AL878">
        <v>35.549030000000002</v>
      </c>
      <c r="AM878" t="s">
        <v>7014</v>
      </c>
      <c r="AN878" t="s">
        <v>7014</v>
      </c>
      <c r="AO878" t="s">
        <v>7198</v>
      </c>
      <c r="AP878" t="s">
        <v>7355</v>
      </c>
      <c r="AQ878" t="s">
        <v>6998</v>
      </c>
      <c r="AR878" t="s">
        <v>6999</v>
      </c>
      <c r="AS878" t="s">
        <v>7071</v>
      </c>
      <c r="AT878">
        <v>0</v>
      </c>
      <c r="AU878">
        <v>0</v>
      </c>
      <c r="AV878" t="s">
        <v>6966</v>
      </c>
      <c r="AW878" t="s">
        <v>7119</v>
      </c>
      <c r="AX878" t="s">
        <v>6966</v>
      </c>
      <c r="AY878" t="s">
        <v>7044</v>
      </c>
      <c r="AZ878">
        <v>6.4607999999999999E-2</v>
      </c>
      <c r="BA878">
        <v>1.8699999999999999E-4</v>
      </c>
    </row>
    <row r="879" spans="1:53" x14ac:dyDescent="0.25">
      <c r="A879">
        <v>877</v>
      </c>
      <c r="B879" t="s">
        <v>7625</v>
      </c>
      <c r="C879">
        <v>301006</v>
      </c>
      <c r="D879" t="s">
        <v>7888</v>
      </c>
      <c r="E879" t="s">
        <v>3177</v>
      </c>
      <c r="F879">
        <v>3802568.25</v>
      </c>
      <c r="G879">
        <v>9021.2050780000009</v>
      </c>
      <c r="H879">
        <v>844</v>
      </c>
      <c r="I879">
        <v>1046</v>
      </c>
      <c r="J879">
        <v>10310</v>
      </c>
      <c r="K879" t="s">
        <v>1569</v>
      </c>
      <c r="L879">
        <v>1</v>
      </c>
      <c r="M879">
        <v>1</v>
      </c>
      <c r="N879">
        <v>10310</v>
      </c>
      <c r="O879">
        <v>827</v>
      </c>
      <c r="P879" t="s">
        <v>3177</v>
      </c>
      <c r="Q879">
        <v>298.7</v>
      </c>
      <c r="R879">
        <v>380.64</v>
      </c>
      <c r="S879">
        <v>83.39</v>
      </c>
      <c r="T879">
        <v>112</v>
      </c>
      <c r="U879">
        <v>3802568.1335900002</v>
      </c>
      <c r="V879">
        <v>9021.2056439999997</v>
      </c>
      <c r="W879">
        <v>878</v>
      </c>
      <c r="X879">
        <v>2</v>
      </c>
      <c r="Y879">
        <v>877</v>
      </c>
      <c r="Z879">
        <v>66688</v>
      </c>
      <c r="AA879" s="76">
        <v>45866</v>
      </c>
      <c r="AB879">
        <v>2025</v>
      </c>
      <c r="AC879" t="s">
        <v>7313</v>
      </c>
      <c r="AD879">
        <v>28</v>
      </c>
      <c r="AE879" t="s">
        <v>7101</v>
      </c>
      <c r="AF879" t="s">
        <v>3177</v>
      </c>
      <c r="AG879" t="s">
        <v>3177</v>
      </c>
      <c r="AH879" t="s">
        <v>1569</v>
      </c>
      <c r="AI879" t="s">
        <v>3191</v>
      </c>
      <c r="AJ879" t="s">
        <v>6966</v>
      </c>
      <c r="AK879">
        <v>33.87379</v>
      </c>
      <c r="AL879">
        <v>35.502189999999999</v>
      </c>
      <c r="AM879" t="s">
        <v>7014</v>
      </c>
      <c r="AN879" t="s">
        <v>6995</v>
      </c>
      <c r="AO879" t="s">
        <v>7340</v>
      </c>
      <c r="AP879" t="s">
        <v>7377</v>
      </c>
      <c r="AQ879" t="s">
        <v>6998</v>
      </c>
      <c r="AR879" t="s">
        <v>7048</v>
      </c>
      <c r="AS879" t="s">
        <v>7000</v>
      </c>
      <c r="AT879">
        <v>1</v>
      </c>
      <c r="AU879">
        <v>0</v>
      </c>
      <c r="AV879" t="s">
        <v>7378</v>
      </c>
      <c r="AW879" t="s">
        <v>7018</v>
      </c>
      <c r="AX879" t="s">
        <v>6966</v>
      </c>
      <c r="AY879" t="s">
        <v>7044</v>
      </c>
      <c r="AZ879">
        <v>8.8791999999999996E-2</v>
      </c>
      <c r="BA879">
        <v>3.6999999999999999E-4</v>
      </c>
    </row>
    <row r="880" spans="1:53" x14ac:dyDescent="0.25">
      <c r="A880">
        <v>878</v>
      </c>
      <c r="B880" t="s">
        <v>7625</v>
      </c>
      <c r="C880">
        <v>506012</v>
      </c>
      <c r="D880" t="s">
        <v>151</v>
      </c>
      <c r="E880" t="s">
        <v>7823</v>
      </c>
      <c r="F880">
        <v>1575269.75</v>
      </c>
      <c r="G880">
        <v>7080.953125</v>
      </c>
      <c r="H880">
        <v>845</v>
      </c>
      <c r="I880">
        <v>1047</v>
      </c>
      <c r="J880">
        <v>22635</v>
      </c>
      <c r="K880" t="s">
        <v>1681</v>
      </c>
      <c r="L880">
        <v>3</v>
      </c>
      <c r="M880">
        <v>3</v>
      </c>
      <c r="N880">
        <v>22635</v>
      </c>
      <c r="O880">
        <v>828</v>
      </c>
      <c r="P880" t="s">
        <v>3212</v>
      </c>
      <c r="Q880">
        <v>4.0999999999999996</v>
      </c>
      <c r="R880">
        <v>31.15</v>
      </c>
      <c r="S880">
        <v>1.0900000000000001</v>
      </c>
      <c r="T880">
        <v>8</v>
      </c>
      <c r="U880">
        <v>1575269.66451</v>
      </c>
      <c r="V880">
        <v>7080.9531610000004</v>
      </c>
      <c r="W880">
        <v>879</v>
      </c>
      <c r="X880">
        <v>0</v>
      </c>
      <c r="Y880">
        <v>878</v>
      </c>
      <c r="Z880" t="s">
        <v>6966</v>
      </c>
      <c r="AA880" t="s">
        <v>6966</v>
      </c>
      <c r="AB880" t="s">
        <v>6966</v>
      </c>
      <c r="AC880" t="s">
        <v>6966</v>
      </c>
      <c r="AD880" t="s">
        <v>6966</v>
      </c>
      <c r="AE880" t="s">
        <v>6966</v>
      </c>
      <c r="AF880" t="s">
        <v>6966</v>
      </c>
      <c r="AG880" t="s">
        <v>6966</v>
      </c>
      <c r="AH880" t="s">
        <v>6966</v>
      </c>
      <c r="AI880" t="s">
        <v>6966</v>
      </c>
      <c r="AJ880" t="s">
        <v>6966</v>
      </c>
      <c r="AK880" t="s">
        <v>6966</v>
      </c>
      <c r="AL880" t="s">
        <v>6966</v>
      </c>
      <c r="AM880" t="s">
        <v>6966</v>
      </c>
      <c r="AN880" t="s">
        <v>6966</v>
      </c>
      <c r="AO880" t="s">
        <v>6966</v>
      </c>
      <c r="AP880" t="s">
        <v>6966</v>
      </c>
      <c r="AQ880" t="s">
        <v>6966</v>
      </c>
      <c r="AR880" t="s">
        <v>6966</v>
      </c>
      <c r="AS880" t="s">
        <v>6966</v>
      </c>
      <c r="AT880" t="s">
        <v>6966</v>
      </c>
      <c r="AU880" t="s">
        <v>6966</v>
      </c>
      <c r="AV880" t="s">
        <v>6966</v>
      </c>
      <c r="AW880" t="s">
        <v>6966</v>
      </c>
      <c r="AX880" t="s">
        <v>6966</v>
      </c>
      <c r="AY880" t="s">
        <v>6966</v>
      </c>
      <c r="AZ880">
        <v>7.0014000000000007E-2</v>
      </c>
      <c r="BA880">
        <v>1.5300000000000001E-4</v>
      </c>
    </row>
    <row r="881" spans="1:53" x14ac:dyDescent="0.25">
      <c r="A881">
        <v>879</v>
      </c>
      <c r="B881" t="s">
        <v>7625</v>
      </c>
      <c r="C881">
        <v>506074</v>
      </c>
      <c r="D881" t="s">
        <v>161</v>
      </c>
      <c r="E881" t="s">
        <v>7823</v>
      </c>
      <c r="F881">
        <v>811402.1875</v>
      </c>
      <c r="G881">
        <v>4668.0273440000001</v>
      </c>
      <c r="H881">
        <v>846</v>
      </c>
      <c r="I881">
        <v>1048</v>
      </c>
      <c r="J881">
        <v>22717</v>
      </c>
      <c r="K881" t="s">
        <v>161</v>
      </c>
      <c r="L881">
        <v>3</v>
      </c>
      <c r="M881">
        <v>3</v>
      </c>
      <c r="N881">
        <v>22717</v>
      </c>
      <c r="O881">
        <v>829</v>
      </c>
      <c r="P881" t="s">
        <v>3212</v>
      </c>
      <c r="Q881">
        <v>2</v>
      </c>
      <c r="R881">
        <v>46.95</v>
      </c>
      <c r="S881">
        <v>0.59</v>
      </c>
      <c r="T881">
        <v>14</v>
      </c>
      <c r="U881">
        <v>811402.12215700001</v>
      </c>
      <c r="V881">
        <v>4668.0272839999998</v>
      </c>
      <c r="W881">
        <v>880</v>
      </c>
      <c r="X881">
        <v>0</v>
      </c>
      <c r="Y881">
        <v>879</v>
      </c>
      <c r="Z881" t="s">
        <v>6966</v>
      </c>
      <c r="AA881" t="s">
        <v>6966</v>
      </c>
      <c r="AB881" t="s">
        <v>6966</v>
      </c>
      <c r="AC881" t="s">
        <v>6966</v>
      </c>
      <c r="AD881" t="s">
        <v>6966</v>
      </c>
      <c r="AE881" t="s">
        <v>6966</v>
      </c>
      <c r="AF881" t="s">
        <v>6966</v>
      </c>
      <c r="AG881" t="s">
        <v>6966</v>
      </c>
      <c r="AH881" t="s">
        <v>6966</v>
      </c>
      <c r="AI881" t="s">
        <v>6966</v>
      </c>
      <c r="AJ881" t="s">
        <v>6966</v>
      </c>
      <c r="AK881" t="s">
        <v>6966</v>
      </c>
      <c r="AL881" t="s">
        <v>6966</v>
      </c>
      <c r="AM881" t="s">
        <v>6966</v>
      </c>
      <c r="AN881" t="s">
        <v>6966</v>
      </c>
      <c r="AO881" t="s">
        <v>6966</v>
      </c>
      <c r="AP881" t="s">
        <v>6966</v>
      </c>
      <c r="AQ881" t="s">
        <v>6966</v>
      </c>
      <c r="AR881" t="s">
        <v>6966</v>
      </c>
      <c r="AS881" t="s">
        <v>6966</v>
      </c>
      <c r="AT881" t="s">
        <v>6966</v>
      </c>
      <c r="AU881" t="s">
        <v>6966</v>
      </c>
      <c r="AV881" t="s">
        <v>6966</v>
      </c>
      <c r="AW881" t="s">
        <v>6966</v>
      </c>
      <c r="AX881" t="s">
        <v>6966</v>
      </c>
      <c r="AY881" t="s">
        <v>6966</v>
      </c>
      <c r="AZ881">
        <v>4.6904000000000001E-2</v>
      </c>
      <c r="BA881">
        <v>7.8999999999999996E-5</v>
      </c>
    </row>
    <row r="882" spans="1:53" x14ac:dyDescent="0.25">
      <c r="A882">
        <v>880</v>
      </c>
      <c r="B882" t="s">
        <v>7625</v>
      </c>
      <c r="C882">
        <v>506048</v>
      </c>
      <c r="D882" t="s">
        <v>108</v>
      </c>
      <c r="E882" t="s">
        <v>7823</v>
      </c>
      <c r="F882">
        <v>2102234.75</v>
      </c>
      <c r="G882">
        <v>7107.0380859999996</v>
      </c>
      <c r="H882">
        <v>847</v>
      </c>
      <c r="I882">
        <v>1049</v>
      </c>
      <c r="J882">
        <v>22419</v>
      </c>
      <c r="K882" t="s">
        <v>108</v>
      </c>
      <c r="L882">
        <v>3</v>
      </c>
      <c r="M882">
        <v>3</v>
      </c>
      <c r="N882">
        <v>22419</v>
      </c>
      <c r="O882">
        <v>830</v>
      </c>
      <c r="P882" t="s">
        <v>3212</v>
      </c>
      <c r="Q882">
        <v>46.9</v>
      </c>
      <c r="R882">
        <v>109.32</v>
      </c>
      <c r="S882">
        <v>10.8</v>
      </c>
      <c r="T882">
        <v>26</v>
      </c>
      <c r="U882">
        <v>2102234.7850600001</v>
      </c>
      <c r="V882">
        <v>7107.0379709999997</v>
      </c>
      <c r="W882">
        <v>881</v>
      </c>
      <c r="X882">
        <v>0</v>
      </c>
      <c r="Y882">
        <v>880</v>
      </c>
      <c r="Z882" t="s">
        <v>6966</v>
      </c>
      <c r="AA882" t="s">
        <v>6966</v>
      </c>
      <c r="AB882" t="s">
        <v>6966</v>
      </c>
      <c r="AC882" t="s">
        <v>6966</v>
      </c>
      <c r="AD882" t="s">
        <v>6966</v>
      </c>
      <c r="AE882" t="s">
        <v>6966</v>
      </c>
      <c r="AF882" t="s">
        <v>6966</v>
      </c>
      <c r="AG882" t="s">
        <v>6966</v>
      </c>
      <c r="AH882" t="s">
        <v>6966</v>
      </c>
      <c r="AI882" t="s">
        <v>6966</v>
      </c>
      <c r="AJ882" t="s">
        <v>6966</v>
      </c>
      <c r="AK882" t="s">
        <v>6966</v>
      </c>
      <c r="AL882" t="s">
        <v>6966</v>
      </c>
      <c r="AM882" t="s">
        <v>6966</v>
      </c>
      <c r="AN882" t="s">
        <v>6966</v>
      </c>
      <c r="AO882" t="s">
        <v>6966</v>
      </c>
      <c r="AP882" t="s">
        <v>6966</v>
      </c>
      <c r="AQ882" t="s">
        <v>6966</v>
      </c>
      <c r="AR882" t="s">
        <v>6966</v>
      </c>
      <c r="AS882" t="s">
        <v>6966</v>
      </c>
      <c r="AT882" t="s">
        <v>6966</v>
      </c>
      <c r="AU882" t="s">
        <v>6966</v>
      </c>
      <c r="AV882" t="s">
        <v>6966</v>
      </c>
      <c r="AW882" t="s">
        <v>6966</v>
      </c>
      <c r="AX882" t="s">
        <v>6966</v>
      </c>
      <c r="AY882" t="s">
        <v>6966</v>
      </c>
      <c r="AZ882">
        <v>7.0542999999999995E-2</v>
      </c>
      <c r="BA882">
        <v>2.05E-4</v>
      </c>
    </row>
    <row r="883" spans="1:53" x14ac:dyDescent="0.25">
      <c r="A883">
        <v>881</v>
      </c>
      <c r="B883" t="s">
        <v>7625</v>
      </c>
      <c r="C883">
        <v>403036</v>
      </c>
      <c r="D883" t="s">
        <v>989</v>
      </c>
      <c r="E883" t="s">
        <v>3045</v>
      </c>
      <c r="F883">
        <v>6552006.5</v>
      </c>
      <c r="G883">
        <v>17661.705077999999</v>
      </c>
      <c r="H883">
        <v>848</v>
      </c>
      <c r="I883">
        <v>1050</v>
      </c>
      <c r="J883">
        <v>51189</v>
      </c>
      <c r="K883" t="s">
        <v>2344</v>
      </c>
      <c r="L883">
        <v>15</v>
      </c>
      <c r="M883">
        <v>15</v>
      </c>
      <c r="N883">
        <v>51189</v>
      </c>
      <c r="O883">
        <v>831</v>
      </c>
      <c r="P883" t="s">
        <v>3214</v>
      </c>
      <c r="Q883">
        <v>2.2000000000000002</v>
      </c>
      <c r="R883">
        <v>119.03</v>
      </c>
      <c r="S883">
        <v>0.55000000000000004</v>
      </c>
      <c r="T883">
        <v>30</v>
      </c>
      <c r="U883">
        <v>6552006.3972500004</v>
      </c>
      <c r="V883">
        <v>17661.703847000001</v>
      </c>
      <c r="W883">
        <v>882</v>
      </c>
      <c r="X883">
        <v>0</v>
      </c>
      <c r="Y883">
        <v>881</v>
      </c>
      <c r="Z883" t="s">
        <v>6966</v>
      </c>
      <c r="AA883" t="s">
        <v>6966</v>
      </c>
      <c r="AB883" t="s">
        <v>6966</v>
      </c>
      <c r="AC883" t="s">
        <v>6966</v>
      </c>
      <c r="AD883" t="s">
        <v>6966</v>
      </c>
      <c r="AE883" t="s">
        <v>6966</v>
      </c>
      <c r="AF883" t="s">
        <v>6966</v>
      </c>
      <c r="AG883" t="s">
        <v>6966</v>
      </c>
      <c r="AH883" t="s">
        <v>6966</v>
      </c>
      <c r="AI883" t="s">
        <v>6966</v>
      </c>
      <c r="AJ883" t="s">
        <v>6966</v>
      </c>
      <c r="AK883" t="s">
        <v>6966</v>
      </c>
      <c r="AL883" t="s">
        <v>6966</v>
      </c>
      <c r="AM883" t="s">
        <v>6966</v>
      </c>
      <c r="AN883" t="s">
        <v>6966</v>
      </c>
      <c r="AO883" t="s">
        <v>6966</v>
      </c>
      <c r="AP883" t="s">
        <v>6966</v>
      </c>
      <c r="AQ883" t="s">
        <v>6966</v>
      </c>
      <c r="AR883" t="s">
        <v>6966</v>
      </c>
      <c r="AS883" t="s">
        <v>6966</v>
      </c>
      <c r="AT883" t="s">
        <v>6966</v>
      </c>
      <c r="AU883" t="s">
        <v>6966</v>
      </c>
      <c r="AV883" t="s">
        <v>6966</v>
      </c>
      <c r="AW883" t="s">
        <v>6966</v>
      </c>
      <c r="AX883" t="s">
        <v>6966</v>
      </c>
      <c r="AY883" t="s">
        <v>6966</v>
      </c>
      <c r="AZ883">
        <v>0.175065</v>
      </c>
      <c r="BA883">
        <v>6.38E-4</v>
      </c>
    </row>
    <row r="884" spans="1:53" x14ac:dyDescent="0.25">
      <c r="A884">
        <v>882</v>
      </c>
      <c r="B884" t="s">
        <v>7625</v>
      </c>
      <c r="C884">
        <v>506069</v>
      </c>
      <c r="D884" t="s">
        <v>150</v>
      </c>
      <c r="E884" t="s">
        <v>7823</v>
      </c>
      <c r="F884">
        <v>2059270</v>
      </c>
      <c r="G884">
        <v>7299.951172</v>
      </c>
      <c r="H884">
        <v>849</v>
      </c>
      <c r="I884">
        <v>1051</v>
      </c>
      <c r="J884">
        <v>22627</v>
      </c>
      <c r="K884" t="s">
        <v>1680</v>
      </c>
      <c r="L884">
        <v>3</v>
      </c>
      <c r="M884">
        <v>3</v>
      </c>
      <c r="N884">
        <v>22627</v>
      </c>
      <c r="O884">
        <v>832</v>
      </c>
      <c r="P884" t="s">
        <v>3212</v>
      </c>
      <c r="Q884">
        <v>5.5</v>
      </c>
      <c r="R884">
        <v>50.94</v>
      </c>
      <c r="S884">
        <v>1.4</v>
      </c>
      <c r="T884">
        <v>13</v>
      </c>
      <c r="U884">
        <v>2059269.94395</v>
      </c>
      <c r="V884">
        <v>7299.9506250000004</v>
      </c>
      <c r="W884">
        <v>883</v>
      </c>
      <c r="X884">
        <v>0</v>
      </c>
      <c r="Y884">
        <v>882</v>
      </c>
      <c r="Z884" t="s">
        <v>6966</v>
      </c>
      <c r="AA884" t="s">
        <v>6966</v>
      </c>
      <c r="AB884" t="s">
        <v>6966</v>
      </c>
      <c r="AC884" t="s">
        <v>6966</v>
      </c>
      <c r="AD884" t="s">
        <v>6966</v>
      </c>
      <c r="AE884" t="s">
        <v>6966</v>
      </c>
      <c r="AF884" t="s">
        <v>6966</v>
      </c>
      <c r="AG884" t="s">
        <v>6966</v>
      </c>
      <c r="AH884" t="s">
        <v>6966</v>
      </c>
      <c r="AI884" t="s">
        <v>6966</v>
      </c>
      <c r="AJ884" t="s">
        <v>6966</v>
      </c>
      <c r="AK884" t="s">
        <v>6966</v>
      </c>
      <c r="AL884" t="s">
        <v>6966</v>
      </c>
      <c r="AM884" t="s">
        <v>6966</v>
      </c>
      <c r="AN884" t="s">
        <v>6966</v>
      </c>
      <c r="AO884" t="s">
        <v>6966</v>
      </c>
      <c r="AP884" t="s">
        <v>6966</v>
      </c>
      <c r="AQ884" t="s">
        <v>6966</v>
      </c>
      <c r="AR884" t="s">
        <v>6966</v>
      </c>
      <c r="AS884" t="s">
        <v>6966</v>
      </c>
      <c r="AT884" t="s">
        <v>6966</v>
      </c>
      <c r="AU884" t="s">
        <v>6966</v>
      </c>
      <c r="AV884" t="s">
        <v>6966</v>
      </c>
      <c r="AW884" t="s">
        <v>6966</v>
      </c>
      <c r="AX884" t="s">
        <v>6966</v>
      </c>
      <c r="AY884" t="s">
        <v>6966</v>
      </c>
      <c r="AZ884">
        <v>7.2317000000000006E-2</v>
      </c>
      <c r="BA884">
        <v>2.0100000000000001E-4</v>
      </c>
    </row>
    <row r="885" spans="1:53" x14ac:dyDescent="0.25">
      <c r="A885">
        <v>883</v>
      </c>
      <c r="B885" t="s">
        <v>7625</v>
      </c>
      <c r="C885">
        <v>502056</v>
      </c>
      <c r="D885" t="s">
        <v>85</v>
      </c>
      <c r="E885" t="s">
        <v>36</v>
      </c>
      <c r="F885">
        <v>0</v>
      </c>
      <c r="G885">
        <v>17165.4375</v>
      </c>
      <c r="H885">
        <v>850</v>
      </c>
      <c r="I885">
        <v>1052</v>
      </c>
      <c r="J885">
        <v>21481</v>
      </c>
      <c r="K885" t="s">
        <v>1622</v>
      </c>
      <c r="L885">
        <v>2</v>
      </c>
      <c r="M885">
        <v>2</v>
      </c>
      <c r="N885">
        <v>21481</v>
      </c>
      <c r="O885">
        <v>833</v>
      </c>
      <c r="P885" t="s">
        <v>3212</v>
      </c>
      <c r="Q885">
        <v>0</v>
      </c>
      <c r="R885">
        <v>3.49</v>
      </c>
      <c r="S885">
        <v>0.08</v>
      </c>
      <c r="T885">
        <v>11</v>
      </c>
      <c r="U885">
        <v>0</v>
      </c>
      <c r="V885">
        <v>17165.436880000001</v>
      </c>
      <c r="W885">
        <v>884</v>
      </c>
      <c r="X885">
        <v>0</v>
      </c>
      <c r="Y885">
        <v>883</v>
      </c>
      <c r="Z885" t="s">
        <v>6966</v>
      </c>
      <c r="AA885" t="s">
        <v>6966</v>
      </c>
      <c r="AB885" t="s">
        <v>6966</v>
      </c>
      <c r="AC885" t="s">
        <v>6966</v>
      </c>
      <c r="AD885" t="s">
        <v>6966</v>
      </c>
      <c r="AE885" t="s">
        <v>6966</v>
      </c>
      <c r="AF885" t="s">
        <v>6966</v>
      </c>
      <c r="AG885" t="s">
        <v>6966</v>
      </c>
      <c r="AH885" t="s">
        <v>6966</v>
      </c>
      <c r="AI885" t="s">
        <v>6966</v>
      </c>
      <c r="AJ885" t="s">
        <v>6966</v>
      </c>
      <c r="AK885" t="s">
        <v>6966</v>
      </c>
      <c r="AL885" t="s">
        <v>6966</v>
      </c>
      <c r="AM885" t="s">
        <v>6966</v>
      </c>
      <c r="AN885" t="s">
        <v>6966</v>
      </c>
      <c r="AO885" t="s">
        <v>6966</v>
      </c>
      <c r="AP885" t="s">
        <v>6966</v>
      </c>
      <c r="AQ885" t="s">
        <v>6966</v>
      </c>
      <c r="AR885" t="s">
        <v>6966</v>
      </c>
      <c r="AS885" t="s">
        <v>6966</v>
      </c>
      <c r="AT885" t="s">
        <v>6966</v>
      </c>
      <c r="AU885" t="s">
        <v>6966</v>
      </c>
      <c r="AV885" t="s">
        <v>6966</v>
      </c>
      <c r="AW885" t="s">
        <v>6966</v>
      </c>
      <c r="AX885" t="s">
        <v>6966</v>
      </c>
      <c r="AY885" t="s">
        <v>6966</v>
      </c>
      <c r="AZ885">
        <v>0.17709900000000001</v>
      </c>
      <c r="BA885">
        <v>9.77E-4</v>
      </c>
    </row>
    <row r="886" spans="1:53" x14ac:dyDescent="0.25">
      <c r="A886">
        <v>884</v>
      </c>
      <c r="B886" t="s">
        <v>7625</v>
      </c>
      <c r="C886">
        <v>506103</v>
      </c>
      <c r="D886" t="s">
        <v>87</v>
      </c>
      <c r="E886" t="s">
        <v>7823</v>
      </c>
      <c r="F886">
        <v>31942.326172000001</v>
      </c>
      <c r="G886">
        <v>874.33587599999998</v>
      </c>
      <c r="H886">
        <v>851</v>
      </c>
      <c r="I886">
        <v>1053</v>
      </c>
      <c r="J886">
        <v>22002</v>
      </c>
      <c r="K886" t="s">
        <v>87</v>
      </c>
      <c r="L886">
        <v>3</v>
      </c>
      <c r="M886">
        <v>3</v>
      </c>
      <c r="N886">
        <v>22002</v>
      </c>
      <c r="O886">
        <v>834</v>
      </c>
      <c r="P886" t="s">
        <v>3212</v>
      </c>
      <c r="Q886">
        <v>0</v>
      </c>
      <c r="R886">
        <v>0</v>
      </c>
      <c r="S886">
        <v>0</v>
      </c>
      <c r="T886">
        <v>0</v>
      </c>
      <c r="U886">
        <v>31942.323933</v>
      </c>
      <c r="V886">
        <v>874.33585700000003</v>
      </c>
      <c r="W886">
        <v>885</v>
      </c>
      <c r="X886">
        <v>0</v>
      </c>
      <c r="Y886">
        <v>884</v>
      </c>
      <c r="Z886" t="s">
        <v>6966</v>
      </c>
      <c r="AA886" t="s">
        <v>6966</v>
      </c>
      <c r="AB886" t="s">
        <v>6966</v>
      </c>
      <c r="AC886" t="s">
        <v>6966</v>
      </c>
      <c r="AD886" t="s">
        <v>6966</v>
      </c>
      <c r="AE886" t="s">
        <v>6966</v>
      </c>
      <c r="AF886" t="s">
        <v>6966</v>
      </c>
      <c r="AG886" t="s">
        <v>6966</v>
      </c>
      <c r="AH886" t="s">
        <v>6966</v>
      </c>
      <c r="AI886" t="s">
        <v>6966</v>
      </c>
      <c r="AJ886" t="s">
        <v>6966</v>
      </c>
      <c r="AK886" t="s">
        <v>6966</v>
      </c>
      <c r="AL886" t="s">
        <v>6966</v>
      </c>
      <c r="AM886" t="s">
        <v>6966</v>
      </c>
      <c r="AN886" t="s">
        <v>6966</v>
      </c>
      <c r="AO886" t="s">
        <v>6966</v>
      </c>
      <c r="AP886" t="s">
        <v>6966</v>
      </c>
      <c r="AQ886" t="s">
        <v>6966</v>
      </c>
      <c r="AR886" t="s">
        <v>6966</v>
      </c>
      <c r="AS886" t="s">
        <v>6966</v>
      </c>
      <c r="AT886" t="s">
        <v>6966</v>
      </c>
      <c r="AU886" t="s">
        <v>6966</v>
      </c>
      <c r="AV886" t="s">
        <v>6966</v>
      </c>
      <c r="AW886" t="s">
        <v>6966</v>
      </c>
      <c r="AX886" t="s">
        <v>6966</v>
      </c>
      <c r="AY886" t="s">
        <v>6966</v>
      </c>
      <c r="AZ886">
        <v>8.6390000000000008E-3</v>
      </c>
      <c r="BA886">
        <v>3.0000000000000001E-6</v>
      </c>
    </row>
    <row r="887" spans="1:53" x14ac:dyDescent="0.25">
      <c r="A887">
        <v>885</v>
      </c>
      <c r="B887" t="s">
        <v>7625</v>
      </c>
      <c r="C887">
        <v>506008</v>
      </c>
      <c r="D887" t="s">
        <v>7889</v>
      </c>
      <c r="E887" t="s">
        <v>7823</v>
      </c>
      <c r="F887">
        <v>5470841</v>
      </c>
      <c r="G887">
        <v>12999.630859000001</v>
      </c>
      <c r="H887">
        <v>852</v>
      </c>
      <c r="I887">
        <v>1054</v>
      </c>
      <c r="J887">
        <v>22423</v>
      </c>
      <c r="K887" t="s">
        <v>7890</v>
      </c>
      <c r="L887">
        <v>3</v>
      </c>
      <c r="M887">
        <v>3</v>
      </c>
      <c r="N887">
        <v>22423</v>
      </c>
      <c r="O887">
        <v>836</v>
      </c>
      <c r="P887" t="s">
        <v>3212</v>
      </c>
      <c r="Q887">
        <v>6.8</v>
      </c>
      <c r="R887">
        <v>33.49</v>
      </c>
      <c r="S887">
        <v>1.78</v>
      </c>
      <c r="T887">
        <v>11</v>
      </c>
      <c r="U887">
        <v>5470841.2335200002</v>
      </c>
      <c r="V887">
        <v>12999.632205</v>
      </c>
      <c r="W887">
        <v>886</v>
      </c>
      <c r="X887">
        <v>0</v>
      </c>
      <c r="Y887">
        <v>885</v>
      </c>
      <c r="Z887" t="s">
        <v>6966</v>
      </c>
      <c r="AA887" t="s">
        <v>6966</v>
      </c>
      <c r="AB887" t="s">
        <v>6966</v>
      </c>
      <c r="AC887" t="s">
        <v>6966</v>
      </c>
      <c r="AD887" t="s">
        <v>6966</v>
      </c>
      <c r="AE887" t="s">
        <v>6966</v>
      </c>
      <c r="AF887" t="s">
        <v>6966</v>
      </c>
      <c r="AG887" t="s">
        <v>6966</v>
      </c>
      <c r="AH887" t="s">
        <v>6966</v>
      </c>
      <c r="AI887" t="s">
        <v>6966</v>
      </c>
      <c r="AJ887" t="s">
        <v>6966</v>
      </c>
      <c r="AK887" t="s">
        <v>6966</v>
      </c>
      <c r="AL887" t="s">
        <v>6966</v>
      </c>
      <c r="AM887" t="s">
        <v>6966</v>
      </c>
      <c r="AN887" t="s">
        <v>6966</v>
      </c>
      <c r="AO887" t="s">
        <v>6966</v>
      </c>
      <c r="AP887" t="s">
        <v>6966</v>
      </c>
      <c r="AQ887" t="s">
        <v>6966</v>
      </c>
      <c r="AR887" t="s">
        <v>6966</v>
      </c>
      <c r="AS887" t="s">
        <v>6966</v>
      </c>
      <c r="AT887" t="s">
        <v>6966</v>
      </c>
      <c r="AU887" t="s">
        <v>6966</v>
      </c>
      <c r="AV887" t="s">
        <v>6966</v>
      </c>
      <c r="AW887" t="s">
        <v>6966</v>
      </c>
      <c r="AX887" t="s">
        <v>6966</v>
      </c>
      <c r="AY887" t="s">
        <v>6966</v>
      </c>
      <c r="AZ887">
        <v>0.13009299999999999</v>
      </c>
      <c r="BA887">
        <v>5.3300000000000005E-4</v>
      </c>
    </row>
    <row r="888" spans="1:53" x14ac:dyDescent="0.25">
      <c r="A888">
        <v>886</v>
      </c>
      <c r="B888" t="s">
        <v>7625</v>
      </c>
      <c r="C888">
        <v>502014</v>
      </c>
      <c r="D888" t="s">
        <v>82</v>
      </c>
      <c r="E888" t="s">
        <v>36</v>
      </c>
      <c r="F888">
        <v>4817620</v>
      </c>
      <c r="G888">
        <v>12566.524414</v>
      </c>
      <c r="H888">
        <v>853</v>
      </c>
      <c r="I888">
        <v>1055</v>
      </c>
      <c r="J888">
        <v>21466</v>
      </c>
      <c r="K888" t="s">
        <v>82</v>
      </c>
      <c r="L888">
        <v>2</v>
      </c>
      <c r="M888">
        <v>2</v>
      </c>
      <c r="N888">
        <v>21466</v>
      </c>
      <c r="O888">
        <v>837</v>
      </c>
      <c r="P888" t="s">
        <v>3212</v>
      </c>
      <c r="Q888">
        <v>1.8</v>
      </c>
      <c r="R888">
        <v>31.47</v>
      </c>
      <c r="S888">
        <v>0.93</v>
      </c>
      <c r="T888">
        <v>16</v>
      </c>
      <c r="U888">
        <v>4817619.9782499997</v>
      </c>
      <c r="V888">
        <v>12566.524412000001</v>
      </c>
      <c r="W888">
        <v>887</v>
      </c>
      <c r="X888">
        <v>0</v>
      </c>
      <c r="Y888">
        <v>886</v>
      </c>
      <c r="Z888" t="s">
        <v>6966</v>
      </c>
      <c r="AA888" t="s">
        <v>6966</v>
      </c>
      <c r="AB888" t="s">
        <v>6966</v>
      </c>
      <c r="AC888" t="s">
        <v>6966</v>
      </c>
      <c r="AD888" t="s">
        <v>6966</v>
      </c>
      <c r="AE888" t="s">
        <v>6966</v>
      </c>
      <c r="AF888" t="s">
        <v>6966</v>
      </c>
      <c r="AG888" t="s">
        <v>6966</v>
      </c>
      <c r="AH888" t="s">
        <v>6966</v>
      </c>
      <c r="AI888" t="s">
        <v>6966</v>
      </c>
      <c r="AJ888" t="s">
        <v>6966</v>
      </c>
      <c r="AK888" t="s">
        <v>6966</v>
      </c>
      <c r="AL888" t="s">
        <v>6966</v>
      </c>
      <c r="AM888" t="s">
        <v>6966</v>
      </c>
      <c r="AN888" t="s">
        <v>6966</v>
      </c>
      <c r="AO888" t="s">
        <v>6966</v>
      </c>
      <c r="AP888" t="s">
        <v>6966</v>
      </c>
      <c r="AQ888" t="s">
        <v>6966</v>
      </c>
      <c r="AR888" t="s">
        <v>6966</v>
      </c>
      <c r="AS888" t="s">
        <v>6966</v>
      </c>
      <c r="AT888" t="s">
        <v>6966</v>
      </c>
      <c r="AU888" t="s">
        <v>6966</v>
      </c>
      <c r="AV888" t="s">
        <v>6966</v>
      </c>
      <c r="AW888" t="s">
        <v>6966</v>
      </c>
      <c r="AX888" t="s">
        <v>6966</v>
      </c>
      <c r="AY888" t="s">
        <v>6966</v>
      </c>
      <c r="AZ888">
        <v>0.127133</v>
      </c>
      <c r="BA888">
        <v>4.6900000000000002E-4</v>
      </c>
    </row>
    <row r="889" spans="1:53" x14ac:dyDescent="0.25">
      <c r="A889">
        <v>887</v>
      </c>
      <c r="B889" t="s">
        <v>7625</v>
      </c>
      <c r="C889">
        <v>201040</v>
      </c>
      <c r="D889" t="s">
        <v>1145</v>
      </c>
      <c r="E889" t="s">
        <v>1069</v>
      </c>
      <c r="F889">
        <v>0</v>
      </c>
      <c r="G889">
        <v>18015.837890999999</v>
      </c>
      <c r="H889">
        <v>854</v>
      </c>
      <c r="I889">
        <v>1056</v>
      </c>
      <c r="J889">
        <v>53463</v>
      </c>
      <c r="K889" t="s">
        <v>1145</v>
      </c>
      <c r="L889">
        <v>17</v>
      </c>
      <c r="M889">
        <v>17</v>
      </c>
      <c r="N889">
        <v>53463</v>
      </c>
      <c r="O889">
        <v>838</v>
      </c>
      <c r="P889" t="s">
        <v>3214</v>
      </c>
      <c r="Q889">
        <v>0.2</v>
      </c>
      <c r="R889">
        <v>50.21</v>
      </c>
      <c r="S889">
        <v>0.05</v>
      </c>
      <c r="T889">
        <v>10</v>
      </c>
      <c r="U889">
        <v>0</v>
      </c>
      <c r="V889">
        <v>18015.838114999999</v>
      </c>
      <c r="W889">
        <v>888</v>
      </c>
      <c r="X889">
        <v>0</v>
      </c>
      <c r="Y889">
        <v>887</v>
      </c>
      <c r="Z889" t="s">
        <v>6966</v>
      </c>
      <c r="AA889" t="s">
        <v>6966</v>
      </c>
      <c r="AB889" t="s">
        <v>6966</v>
      </c>
      <c r="AC889" t="s">
        <v>6966</v>
      </c>
      <c r="AD889" t="s">
        <v>6966</v>
      </c>
      <c r="AE889" t="s">
        <v>6966</v>
      </c>
      <c r="AF889" t="s">
        <v>6966</v>
      </c>
      <c r="AG889" t="s">
        <v>6966</v>
      </c>
      <c r="AH889" t="s">
        <v>6966</v>
      </c>
      <c r="AI889" t="s">
        <v>6966</v>
      </c>
      <c r="AJ889" t="s">
        <v>6966</v>
      </c>
      <c r="AK889" t="s">
        <v>6966</v>
      </c>
      <c r="AL889" t="s">
        <v>6966</v>
      </c>
      <c r="AM889" t="s">
        <v>6966</v>
      </c>
      <c r="AN889" t="s">
        <v>6966</v>
      </c>
      <c r="AO889" t="s">
        <v>6966</v>
      </c>
      <c r="AP889" t="s">
        <v>6966</v>
      </c>
      <c r="AQ889" t="s">
        <v>6966</v>
      </c>
      <c r="AR889" t="s">
        <v>6966</v>
      </c>
      <c r="AS889" t="s">
        <v>6966</v>
      </c>
      <c r="AT889" t="s">
        <v>6966</v>
      </c>
      <c r="AU889" t="s">
        <v>6966</v>
      </c>
      <c r="AV889" t="s">
        <v>6966</v>
      </c>
      <c r="AW889" t="s">
        <v>6966</v>
      </c>
      <c r="AX889" t="s">
        <v>6966</v>
      </c>
      <c r="AY889" t="s">
        <v>6966</v>
      </c>
      <c r="AZ889">
        <v>0.17958499999999999</v>
      </c>
      <c r="BA889">
        <v>1.5009999999999999E-3</v>
      </c>
    </row>
    <row r="890" spans="1:53" x14ac:dyDescent="0.25">
      <c r="A890">
        <v>888</v>
      </c>
      <c r="B890" t="s">
        <v>7625</v>
      </c>
      <c r="C890">
        <v>502021</v>
      </c>
      <c r="D890" t="s">
        <v>7891</v>
      </c>
      <c r="E890" t="s">
        <v>36</v>
      </c>
      <c r="F890">
        <v>732756.375</v>
      </c>
      <c r="G890">
        <v>4558.7900390000004</v>
      </c>
      <c r="H890">
        <v>855</v>
      </c>
      <c r="I890">
        <v>1057</v>
      </c>
      <c r="J890">
        <v>21391</v>
      </c>
      <c r="K890" t="s">
        <v>7892</v>
      </c>
      <c r="L890">
        <v>2</v>
      </c>
      <c r="M890">
        <v>2</v>
      </c>
      <c r="N890">
        <v>21391</v>
      </c>
      <c r="O890">
        <v>839</v>
      </c>
      <c r="P890" t="s">
        <v>3212</v>
      </c>
      <c r="Q890">
        <v>4.9000000000000004</v>
      </c>
      <c r="R890">
        <v>90.6</v>
      </c>
      <c r="S890">
        <v>1.67</v>
      </c>
      <c r="T890">
        <v>31</v>
      </c>
      <c r="U890">
        <v>732756.37241900002</v>
      </c>
      <c r="V890">
        <v>4558.7889400000004</v>
      </c>
      <c r="W890">
        <v>889</v>
      </c>
      <c r="X890">
        <v>0</v>
      </c>
      <c r="Y890">
        <v>888</v>
      </c>
      <c r="Z890" t="s">
        <v>6966</v>
      </c>
      <c r="AA890" t="s">
        <v>6966</v>
      </c>
      <c r="AB890" t="s">
        <v>6966</v>
      </c>
      <c r="AC890" t="s">
        <v>6966</v>
      </c>
      <c r="AD890" t="s">
        <v>6966</v>
      </c>
      <c r="AE890" t="s">
        <v>6966</v>
      </c>
      <c r="AF890" t="s">
        <v>6966</v>
      </c>
      <c r="AG890" t="s">
        <v>6966</v>
      </c>
      <c r="AH890" t="s">
        <v>6966</v>
      </c>
      <c r="AI890" t="s">
        <v>6966</v>
      </c>
      <c r="AJ890" t="s">
        <v>6966</v>
      </c>
      <c r="AK890" t="s">
        <v>6966</v>
      </c>
      <c r="AL890" t="s">
        <v>6966</v>
      </c>
      <c r="AM890" t="s">
        <v>6966</v>
      </c>
      <c r="AN890" t="s">
        <v>6966</v>
      </c>
      <c r="AO890" t="s">
        <v>6966</v>
      </c>
      <c r="AP890" t="s">
        <v>6966</v>
      </c>
      <c r="AQ890" t="s">
        <v>6966</v>
      </c>
      <c r="AR890" t="s">
        <v>6966</v>
      </c>
      <c r="AS890" t="s">
        <v>6966</v>
      </c>
      <c r="AT890" t="s">
        <v>6966</v>
      </c>
      <c r="AU890" t="s">
        <v>6966</v>
      </c>
      <c r="AV890" t="s">
        <v>6966</v>
      </c>
      <c r="AW890" t="s">
        <v>6966</v>
      </c>
      <c r="AX890" t="s">
        <v>6966</v>
      </c>
      <c r="AY890" t="s">
        <v>6966</v>
      </c>
      <c r="AZ890">
        <v>4.6316000000000003E-2</v>
      </c>
      <c r="BA890">
        <v>7.1000000000000005E-5</v>
      </c>
    </row>
    <row r="891" spans="1:53" x14ac:dyDescent="0.25">
      <c r="A891">
        <v>889</v>
      </c>
      <c r="B891" t="s">
        <v>7625</v>
      </c>
      <c r="C891">
        <v>502054</v>
      </c>
      <c r="D891" t="s">
        <v>69</v>
      </c>
      <c r="E891" t="s">
        <v>36</v>
      </c>
      <c r="F891">
        <v>4812374</v>
      </c>
      <c r="G891">
        <v>12569.094727</v>
      </c>
      <c r="H891">
        <v>856</v>
      </c>
      <c r="I891">
        <v>1058</v>
      </c>
      <c r="J891">
        <v>21394</v>
      </c>
      <c r="K891" t="s">
        <v>1611</v>
      </c>
      <c r="L891">
        <v>2</v>
      </c>
      <c r="M891">
        <v>2</v>
      </c>
      <c r="N891">
        <v>21394</v>
      </c>
      <c r="O891">
        <v>840</v>
      </c>
      <c r="P891" t="s">
        <v>3212</v>
      </c>
      <c r="Q891">
        <v>3</v>
      </c>
      <c r="R891">
        <v>57.69</v>
      </c>
      <c r="S891">
        <v>1.1000000000000001</v>
      </c>
      <c r="T891">
        <v>21</v>
      </c>
      <c r="U891">
        <v>4812374.2284899997</v>
      </c>
      <c r="V891">
        <v>12569.095593</v>
      </c>
      <c r="W891">
        <v>890</v>
      </c>
      <c r="X891">
        <v>0</v>
      </c>
      <c r="Y891">
        <v>889</v>
      </c>
      <c r="Z891" t="s">
        <v>6966</v>
      </c>
      <c r="AA891" t="s">
        <v>6966</v>
      </c>
      <c r="AB891" t="s">
        <v>6966</v>
      </c>
      <c r="AC891" t="s">
        <v>6966</v>
      </c>
      <c r="AD891" t="s">
        <v>6966</v>
      </c>
      <c r="AE891" t="s">
        <v>6966</v>
      </c>
      <c r="AF891" t="s">
        <v>6966</v>
      </c>
      <c r="AG891" t="s">
        <v>6966</v>
      </c>
      <c r="AH891" t="s">
        <v>6966</v>
      </c>
      <c r="AI891" t="s">
        <v>6966</v>
      </c>
      <c r="AJ891" t="s">
        <v>6966</v>
      </c>
      <c r="AK891" t="s">
        <v>6966</v>
      </c>
      <c r="AL891" t="s">
        <v>6966</v>
      </c>
      <c r="AM891" t="s">
        <v>6966</v>
      </c>
      <c r="AN891" t="s">
        <v>6966</v>
      </c>
      <c r="AO891" t="s">
        <v>6966</v>
      </c>
      <c r="AP891" t="s">
        <v>6966</v>
      </c>
      <c r="AQ891" t="s">
        <v>6966</v>
      </c>
      <c r="AR891" t="s">
        <v>6966</v>
      </c>
      <c r="AS891" t="s">
        <v>6966</v>
      </c>
      <c r="AT891" t="s">
        <v>6966</v>
      </c>
      <c r="AU891" t="s">
        <v>6966</v>
      </c>
      <c r="AV891" t="s">
        <v>6966</v>
      </c>
      <c r="AW891" t="s">
        <v>6966</v>
      </c>
      <c r="AX891" t="s">
        <v>6966</v>
      </c>
      <c r="AY891" t="s">
        <v>6966</v>
      </c>
      <c r="AZ891">
        <v>0.12701000000000001</v>
      </c>
      <c r="BA891">
        <v>4.6900000000000002E-4</v>
      </c>
    </row>
    <row r="892" spans="1:53" x14ac:dyDescent="0.25">
      <c r="A892">
        <v>890</v>
      </c>
      <c r="B892" t="s">
        <v>7625</v>
      </c>
      <c r="C892">
        <v>502029</v>
      </c>
      <c r="D892" t="s">
        <v>70</v>
      </c>
      <c r="E892" t="s">
        <v>36</v>
      </c>
      <c r="F892">
        <v>1438841.875</v>
      </c>
      <c r="G892">
        <v>5882.8486329999996</v>
      </c>
      <c r="H892">
        <v>857</v>
      </c>
      <c r="I892">
        <v>1059</v>
      </c>
      <c r="J892">
        <v>21397</v>
      </c>
      <c r="K892" t="s">
        <v>1612</v>
      </c>
      <c r="L892">
        <v>2</v>
      </c>
      <c r="M892">
        <v>2</v>
      </c>
      <c r="N892">
        <v>21397</v>
      </c>
      <c r="O892">
        <v>841</v>
      </c>
      <c r="P892" t="s">
        <v>3212</v>
      </c>
      <c r="Q892">
        <v>2.2000000000000002</v>
      </c>
      <c r="R892">
        <v>27.06</v>
      </c>
      <c r="S892">
        <v>1.25</v>
      </c>
      <c r="T892">
        <v>15</v>
      </c>
      <c r="U892">
        <v>1438841.84207</v>
      </c>
      <c r="V892">
        <v>5882.847992</v>
      </c>
      <c r="W892">
        <v>891</v>
      </c>
      <c r="X892">
        <v>0</v>
      </c>
      <c r="Y892">
        <v>890</v>
      </c>
      <c r="Z892" t="s">
        <v>6966</v>
      </c>
      <c r="AA892" t="s">
        <v>6966</v>
      </c>
      <c r="AB892" t="s">
        <v>6966</v>
      </c>
      <c r="AC892" t="s">
        <v>6966</v>
      </c>
      <c r="AD892" t="s">
        <v>6966</v>
      </c>
      <c r="AE892" t="s">
        <v>6966</v>
      </c>
      <c r="AF892" t="s">
        <v>6966</v>
      </c>
      <c r="AG892" t="s">
        <v>6966</v>
      </c>
      <c r="AH892" t="s">
        <v>6966</v>
      </c>
      <c r="AI892" t="s">
        <v>6966</v>
      </c>
      <c r="AJ892" t="s">
        <v>6966</v>
      </c>
      <c r="AK892" t="s">
        <v>6966</v>
      </c>
      <c r="AL892" t="s">
        <v>6966</v>
      </c>
      <c r="AM892" t="s">
        <v>6966</v>
      </c>
      <c r="AN892" t="s">
        <v>6966</v>
      </c>
      <c r="AO892" t="s">
        <v>6966</v>
      </c>
      <c r="AP892" t="s">
        <v>6966</v>
      </c>
      <c r="AQ892" t="s">
        <v>6966</v>
      </c>
      <c r="AR892" t="s">
        <v>6966</v>
      </c>
      <c r="AS892" t="s">
        <v>6966</v>
      </c>
      <c r="AT892" t="s">
        <v>6966</v>
      </c>
      <c r="AU892" t="s">
        <v>6966</v>
      </c>
      <c r="AV892" t="s">
        <v>6966</v>
      </c>
      <c r="AW892" t="s">
        <v>6966</v>
      </c>
      <c r="AX892" t="s">
        <v>6966</v>
      </c>
      <c r="AY892" t="s">
        <v>6966</v>
      </c>
      <c r="AZ892">
        <v>5.781E-2</v>
      </c>
      <c r="BA892">
        <v>1.3999999999999999E-4</v>
      </c>
    </row>
    <row r="893" spans="1:53" x14ac:dyDescent="0.25">
      <c r="A893">
        <v>891</v>
      </c>
      <c r="B893" t="s">
        <v>7625</v>
      </c>
      <c r="C893">
        <v>201091</v>
      </c>
      <c r="D893" t="s">
        <v>1151</v>
      </c>
      <c r="E893" t="s">
        <v>1069</v>
      </c>
      <c r="F893">
        <v>0</v>
      </c>
      <c r="G893">
        <v>35225.222655999998</v>
      </c>
      <c r="H893">
        <v>858</v>
      </c>
      <c r="I893">
        <v>1060</v>
      </c>
      <c r="J893">
        <v>53475</v>
      </c>
      <c r="K893" t="s">
        <v>2478</v>
      </c>
      <c r="L893">
        <v>17</v>
      </c>
      <c r="M893">
        <v>17</v>
      </c>
      <c r="N893">
        <v>53475</v>
      </c>
      <c r="O893">
        <v>835</v>
      </c>
      <c r="P893" t="s">
        <v>3214</v>
      </c>
      <c r="Q893">
        <v>0.1</v>
      </c>
      <c r="R893">
        <v>18.989999999999998</v>
      </c>
      <c r="S893">
        <v>0.03</v>
      </c>
      <c r="T893">
        <v>7</v>
      </c>
      <c r="U893">
        <v>0</v>
      </c>
      <c r="V893">
        <v>35225.222104</v>
      </c>
      <c r="W893">
        <v>892</v>
      </c>
      <c r="X893">
        <v>0</v>
      </c>
      <c r="Y893">
        <v>891</v>
      </c>
      <c r="Z893" t="s">
        <v>6966</v>
      </c>
      <c r="AA893" t="s">
        <v>6966</v>
      </c>
      <c r="AB893" t="s">
        <v>6966</v>
      </c>
      <c r="AC893" t="s">
        <v>6966</v>
      </c>
      <c r="AD893" t="s">
        <v>6966</v>
      </c>
      <c r="AE893" t="s">
        <v>6966</v>
      </c>
      <c r="AF893" t="s">
        <v>6966</v>
      </c>
      <c r="AG893" t="s">
        <v>6966</v>
      </c>
      <c r="AH893" t="s">
        <v>6966</v>
      </c>
      <c r="AI893" t="s">
        <v>6966</v>
      </c>
      <c r="AJ893" t="s">
        <v>6966</v>
      </c>
      <c r="AK893" t="s">
        <v>6966</v>
      </c>
      <c r="AL893" t="s">
        <v>6966</v>
      </c>
      <c r="AM893" t="s">
        <v>6966</v>
      </c>
      <c r="AN893" t="s">
        <v>6966</v>
      </c>
      <c r="AO893" t="s">
        <v>6966</v>
      </c>
      <c r="AP893" t="s">
        <v>6966</v>
      </c>
      <c r="AQ893" t="s">
        <v>6966</v>
      </c>
      <c r="AR893" t="s">
        <v>6966</v>
      </c>
      <c r="AS893" t="s">
        <v>6966</v>
      </c>
      <c r="AT893" t="s">
        <v>6966</v>
      </c>
      <c r="AU893" t="s">
        <v>6966</v>
      </c>
      <c r="AV893" t="s">
        <v>6966</v>
      </c>
      <c r="AW893" t="s">
        <v>6966</v>
      </c>
      <c r="AX893" t="s">
        <v>6966</v>
      </c>
      <c r="AY893" t="s">
        <v>6966</v>
      </c>
      <c r="AZ893">
        <v>0.35931299999999999</v>
      </c>
      <c r="BA893">
        <v>2.8809999999999999E-3</v>
      </c>
    </row>
    <row r="894" spans="1:53" x14ac:dyDescent="0.25">
      <c r="A894">
        <v>892</v>
      </c>
      <c r="B894" t="s">
        <v>7625</v>
      </c>
      <c r="C894">
        <v>502004</v>
      </c>
      <c r="D894" t="s">
        <v>7893</v>
      </c>
      <c r="E894" t="s">
        <v>36</v>
      </c>
      <c r="F894">
        <v>2214951</v>
      </c>
      <c r="G894">
        <v>8083.1621089999999</v>
      </c>
      <c r="H894">
        <v>859</v>
      </c>
      <c r="I894">
        <v>1061</v>
      </c>
      <c r="J894">
        <v>21381</v>
      </c>
      <c r="K894" t="s">
        <v>1609</v>
      </c>
      <c r="L894">
        <v>2</v>
      </c>
      <c r="M894">
        <v>2</v>
      </c>
      <c r="N894">
        <v>21381</v>
      </c>
      <c r="O894">
        <v>842</v>
      </c>
      <c r="P894" t="s">
        <v>3212</v>
      </c>
      <c r="Q894">
        <v>1.7</v>
      </c>
      <c r="R894">
        <v>34.9</v>
      </c>
      <c r="S894">
        <v>0.76</v>
      </c>
      <c r="T894">
        <v>17</v>
      </c>
      <c r="U894">
        <v>2214950.9452599999</v>
      </c>
      <c r="V894">
        <v>8083.1612919999998</v>
      </c>
      <c r="W894">
        <v>893</v>
      </c>
      <c r="X894">
        <v>0</v>
      </c>
      <c r="Y894">
        <v>892</v>
      </c>
      <c r="Z894" t="s">
        <v>6966</v>
      </c>
      <c r="AA894" t="s">
        <v>6966</v>
      </c>
      <c r="AB894" t="s">
        <v>6966</v>
      </c>
      <c r="AC894" t="s">
        <v>6966</v>
      </c>
      <c r="AD894" t="s">
        <v>6966</v>
      </c>
      <c r="AE894" t="s">
        <v>6966</v>
      </c>
      <c r="AF894" t="s">
        <v>6966</v>
      </c>
      <c r="AG894" t="s">
        <v>6966</v>
      </c>
      <c r="AH894" t="s">
        <v>6966</v>
      </c>
      <c r="AI894" t="s">
        <v>6966</v>
      </c>
      <c r="AJ894" t="s">
        <v>6966</v>
      </c>
      <c r="AK894" t="s">
        <v>6966</v>
      </c>
      <c r="AL894" t="s">
        <v>6966</v>
      </c>
      <c r="AM894" t="s">
        <v>6966</v>
      </c>
      <c r="AN894" t="s">
        <v>6966</v>
      </c>
      <c r="AO894" t="s">
        <v>6966</v>
      </c>
      <c r="AP894" t="s">
        <v>6966</v>
      </c>
      <c r="AQ894" t="s">
        <v>6966</v>
      </c>
      <c r="AR894" t="s">
        <v>6966</v>
      </c>
      <c r="AS894" t="s">
        <v>6966</v>
      </c>
      <c r="AT894" t="s">
        <v>6966</v>
      </c>
      <c r="AU894" t="s">
        <v>6966</v>
      </c>
      <c r="AV894" t="s">
        <v>6966</v>
      </c>
      <c r="AW894" t="s">
        <v>6966</v>
      </c>
      <c r="AX894" t="s">
        <v>6966</v>
      </c>
      <c r="AY894" t="s">
        <v>6966</v>
      </c>
      <c r="AZ894">
        <v>8.2100999999999993E-2</v>
      </c>
      <c r="BA894">
        <v>2.1599999999999999E-4</v>
      </c>
    </row>
    <row r="895" spans="1:53" x14ac:dyDescent="0.25">
      <c r="A895">
        <v>893</v>
      </c>
      <c r="B895" t="s">
        <v>7625</v>
      </c>
      <c r="C895">
        <v>506044</v>
      </c>
      <c r="D895" t="s">
        <v>92</v>
      </c>
      <c r="E895" t="s">
        <v>7823</v>
      </c>
      <c r="F895">
        <v>2182541.5</v>
      </c>
      <c r="G895">
        <v>7264.970703</v>
      </c>
      <c r="H895">
        <v>860</v>
      </c>
      <c r="I895">
        <v>1062</v>
      </c>
      <c r="J895">
        <v>22245</v>
      </c>
      <c r="K895" t="s">
        <v>1628</v>
      </c>
      <c r="L895">
        <v>3</v>
      </c>
      <c r="M895">
        <v>3</v>
      </c>
      <c r="N895">
        <v>22245</v>
      </c>
      <c r="O895">
        <v>843</v>
      </c>
      <c r="P895" t="s">
        <v>3212</v>
      </c>
      <c r="Q895">
        <v>5.7</v>
      </c>
      <c r="R895">
        <v>44.31</v>
      </c>
      <c r="S895">
        <v>2.88</v>
      </c>
      <c r="T895">
        <v>35</v>
      </c>
      <c r="U895">
        <v>2182541.3901900002</v>
      </c>
      <c r="V895">
        <v>7264.9711420000003</v>
      </c>
      <c r="W895">
        <v>894</v>
      </c>
      <c r="X895">
        <v>0</v>
      </c>
      <c r="Y895">
        <v>893</v>
      </c>
      <c r="Z895" t="s">
        <v>6966</v>
      </c>
      <c r="AA895" t="s">
        <v>6966</v>
      </c>
      <c r="AB895" t="s">
        <v>6966</v>
      </c>
      <c r="AC895" t="s">
        <v>6966</v>
      </c>
      <c r="AD895" t="s">
        <v>6966</v>
      </c>
      <c r="AE895" t="s">
        <v>6966</v>
      </c>
      <c r="AF895" t="s">
        <v>6966</v>
      </c>
      <c r="AG895" t="s">
        <v>6966</v>
      </c>
      <c r="AH895" t="s">
        <v>6966</v>
      </c>
      <c r="AI895" t="s">
        <v>6966</v>
      </c>
      <c r="AJ895" t="s">
        <v>6966</v>
      </c>
      <c r="AK895" t="s">
        <v>6966</v>
      </c>
      <c r="AL895" t="s">
        <v>6966</v>
      </c>
      <c r="AM895" t="s">
        <v>6966</v>
      </c>
      <c r="AN895" t="s">
        <v>6966</v>
      </c>
      <c r="AO895" t="s">
        <v>6966</v>
      </c>
      <c r="AP895" t="s">
        <v>6966</v>
      </c>
      <c r="AQ895" t="s">
        <v>6966</v>
      </c>
      <c r="AR895" t="s">
        <v>6966</v>
      </c>
      <c r="AS895" t="s">
        <v>6966</v>
      </c>
      <c r="AT895" t="s">
        <v>6966</v>
      </c>
      <c r="AU895" t="s">
        <v>6966</v>
      </c>
      <c r="AV895" t="s">
        <v>6966</v>
      </c>
      <c r="AW895" t="s">
        <v>6966</v>
      </c>
      <c r="AX895" t="s">
        <v>6966</v>
      </c>
      <c r="AY895" t="s">
        <v>6966</v>
      </c>
      <c r="AZ895">
        <v>7.2725999999999999E-2</v>
      </c>
      <c r="BA895">
        <v>2.13E-4</v>
      </c>
    </row>
    <row r="896" spans="1:53" x14ac:dyDescent="0.25">
      <c r="A896">
        <v>894</v>
      </c>
      <c r="B896" t="s">
        <v>7625</v>
      </c>
      <c r="C896">
        <v>502023</v>
      </c>
      <c r="D896" t="s">
        <v>31</v>
      </c>
      <c r="E896" t="s">
        <v>36</v>
      </c>
      <c r="F896">
        <v>1048684.625</v>
      </c>
      <c r="G896">
        <v>4467.5683589999999</v>
      </c>
      <c r="H896">
        <v>861</v>
      </c>
      <c r="I896">
        <v>1063</v>
      </c>
      <c r="J896">
        <v>21133</v>
      </c>
      <c r="K896" t="s">
        <v>1578</v>
      </c>
      <c r="L896">
        <v>2</v>
      </c>
      <c r="M896">
        <v>2</v>
      </c>
      <c r="N896">
        <v>21133</v>
      </c>
      <c r="O896">
        <v>844</v>
      </c>
      <c r="P896" t="s">
        <v>3212</v>
      </c>
      <c r="Q896">
        <v>124</v>
      </c>
      <c r="R896">
        <v>350.86</v>
      </c>
      <c r="S896">
        <v>27.57</v>
      </c>
      <c r="T896">
        <v>78</v>
      </c>
      <c r="U896">
        <v>1048684.6357499999</v>
      </c>
      <c r="V896">
        <v>4467.5684849999998</v>
      </c>
      <c r="W896">
        <v>895</v>
      </c>
      <c r="X896">
        <v>0</v>
      </c>
      <c r="Y896">
        <v>894</v>
      </c>
      <c r="Z896" t="s">
        <v>6966</v>
      </c>
      <c r="AA896" t="s">
        <v>6966</v>
      </c>
      <c r="AB896" t="s">
        <v>6966</v>
      </c>
      <c r="AC896" t="s">
        <v>6966</v>
      </c>
      <c r="AD896" t="s">
        <v>6966</v>
      </c>
      <c r="AE896" t="s">
        <v>6966</v>
      </c>
      <c r="AF896" t="s">
        <v>6966</v>
      </c>
      <c r="AG896" t="s">
        <v>6966</v>
      </c>
      <c r="AH896" t="s">
        <v>6966</v>
      </c>
      <c r="AI896" t="s">
        <v>6966</v>
      </c>
      <c r="AJ896" t="s">
        <v>6966</v>
      </c>
      <c r="AK896" t="s">
        <v>6966</v>
      </c>
      <c r="AL896" t="s">
        <v>6966</v>
      </c>
      <c r="AM896" t="s">
        <v>6966</v>
      </c>
      <c r="AN896" t="s">
        <v>6966</v>
      </c>
      <c r="AO896" t="s">
        <v>6966</v>
      </c>
      <c r="AP896" t="s">
        <v>6966</v>
      </c>
      <c r="AQ896" t="s">
        <v>6966</v>
      </c>
      <c r="AR896" t="s">
        <v>6966</v>
      </c>
      <c r="AS896" t="s">
        <v>6966</v>
      </c>
      <c r="AT896" t="s">
        <v>6966</v>
      </c>
      <c r="AU896" t="s">
        <v>6966</v>
      </c>
      <c r="AV896" t="s">
        <v>6966</v>
      </c>
      <c r="AW896" t="s">
        <v>6966</v>
      </c>
      <c r="AX896" t="s">
        <v>6966</v>
      </c>
      <c r="AY896" t="s">
        <v>6966</v>
      </c>
      <c r="AZ896">
        <v>4.3948000000000001E-2</v>
      </c>
      <c r="BA896">
        <v>1.02E-4</v>
      </c>
    </row>
    <row r="897" spans="1:53" x14ac:dyDescent="0.25">
      <c r="A897">
        <v>895</v>
      </c>
      <c r="B897" t="s">
        <v>7625</v>
      </c>
      <c r="C897">
        <v>403014</v>
      </c>
      <c r="D897" t="s">
        <v>1016</v>
      </c>
      <c r="E897" t="s">
        <v>3045</v>
      </c>
      <c r="F897">
        <v>2760789</v>
      </c>
      <c r="G897">
        <v>9105.3671880000002</v>
      </c>
      <c r="H897">
        <v>862</v>
      </c>
      <c r="I897">
        <v>1064</v>
      </c>
      <c r="J897">
        <v>51329</v>
      </c>
      <c r="K897" t="s">
        <v>2369</v>
      </c>
      <c r="L897">
        <v>15</v>
      </c>
      <c r="M897">
        <v>15</v>
      </c>
      <c r="N897">
        <v>51329</v>
      </c>
      <c r="O897">
        <v>845</v>
      </c>
      <c r="P897" t="s">
        <v>3214</v>
      </c>
      <c r="Q897">
        <v>1.6</v>
      </c>
      <c r="R897">
        <v>226.45</v>
      </c>
      <c r="S897">
        <v>0.42</v>
      </c>
      <c r="T897">
        <v>62</v>
      </c>
      <c r="U897">
        <v>2760788.9299499998</v>
      </c>
      <c r="V897">
        <v>9105.3672709999992</v>
      </c>
      <c r="W897">
        <v>896</v>
      </c>
      <c r="X897">
        <v>0</v>
      </c>
      <c r="Y897">
        <v>895</v>
      </c>
      <c r="Z897" t="s">
        <v>6966</v>
      </c>
      <c r="AA897" t="s">
        <v>6966</v>
      </c>
      <c r="AB897" t="s">
        <v>6966</v>
      </c>
      <c r="AC897" t="s">
        <v>6966</v>
      </c>
      <c r="AD897" t="s">
        <v>6966</v>
      </c>
      <c r="AE897" t="s">
        <v>6966</v>
      </c>
      <c r="AF897" t="s">
        <v>6966</v>
      </c>
      <c r="AG897" t="s">
        <v>6966</v>
      </c>
      <c r="AH897" t="s">
        <v>6966</v>
      </c>
      <c r="AI897" t="s">
        <v>6966</v>
      </c>
      <c r="AJ897" t="s">
        <v>6966</v>
      </c>
      <c r="AK897" t="s">
        <v>6966</v>
      </c>
      <c r="AL897" t="s">
        <v>6966</v>
      </c>
      <c r="AM897" t="s">
        <v>6966</v>
      </c>
      <c r="AN897" t="s">
        <v>6966</v>
      </c>
      <c r="AO897" t="s">
        <v>6966</v>
      </c>
      <c r="AP897" t="s">
        <v>6966</v>
      </c>
      <c r="AQ897" t="s">
        <v>6966</v>
      </c>
      <c r="AR897" t="s">
        <v>6966</v>
      </c>
      <c r="AS897" t="s">
        <v>6966</v>
      </c>
      <c r="AT897" t="s">
        <v>6966</v>
      </c>
      <c r="AU897" t="s">
        <v>6966</v>
      </c>
      <c r="AV897" t="s">
        <v>6966</v>
      </c>
      <c r="AW897" t="s">
        <v>6966</v>
      </c>
      <c r="AX897" t="s">
        <v>6966</v>
      </c>
      <c r="AY897" t="s">
        <v>6966</v>
      </c>
      <c r="AZ897">
        <v>9.1659000000000004E-2</v>
      </c>
      <c r="BA897">
        <v>2.6899999999999998E-4</v>
      </c>
    </row>
    <row r="898" spans="1:53" x14ac:dyDescent="0.25">
      <c r="A898">
        <v>896</v>
      </c>
      <c r="B898" t="s">
        <v>7625</v>
      </c>
      <c r="C898">
        <v>502034</v>
      </c>
      <c r="D898" t="s">
        <v>84</v>
      </c>
      <c r="E898" t="s">
        <v>36</v>
      </c>
      <c r="F898">
        <v>0</v>
      </c>
      <c r="G898">
        <v>20976.056640999999</v>
      </c>
      <c r="H898">
        <v>863</v>
      </c>
      <c r="I898">
        <v>1065</v>
      </c>
      <c r="J898">
        <v>21476</v>
      </c>
      <c r="K898" t="s">
        <v>84</v>
      </c>
      <c r="L898">
        <v>2</v>
      </c>
      <c r="M898">
        <v>2</v>
      </c>
      <c r="N898">
        <v>21476</v>
      </c>
      <c r="O898">
        <v>846</v>
      </c>
      <c r="P898" t="s">
        <v>3212</v>
      </c>
      <c r="Q898">
        <v>1</v>
      </c>
      <c r="R898">
        <v>89.86</v>
      </c>
      <c r="S898">
        <v>0.31</v>
      </c>
      <c r="T898">
        <v>28</v>
      </c>
      <c r="U898">
        <v>0</v>
      </c>
      <c r="V898">
        <v>20976.055810999998</v>
      </c>
      <c r="W898">
        <v>897</v>
      </c>
      <c r="X898">
        <v>0</v>
      </c>
      <c r="Y898">
        <v>896</v>
      </c>
      <c r="Z898" t="s">
        <v>6966</v>
      </c>
      <c r="AA898" t="s">
        <v>6966</v>
      </c>
      <c r="AB898" t="s">
        <v>6966</v>
      </c>
      <c r="AC898" t="s">
        <v>6966</v>
      </c>
      <c r="AD898" t="s">
        <v>6966</v>
      </c>
      <c r="AE898" t="s">
        <v>6966</v>
      </c>
      <c r="AF898" t="s">
        <v>6966</v>
      </c>
      <c r="AG898" t="s">
        <v>6966</v>
      </c>
      <c r="AH898" t="s">
        <v>6966</v>
      </c>
      <c r="AI898" t="s">
        <v>6966</v>
      </c>
      <c r="AJ898" t="s">
        <v>6966</v>
      </c>
      <c r="AK898" t="s">
        <v>6966</v>
      </c>
      <c r="AL898" t="s">
        <v>6966</v>
      </c>
      <c r="AM898" t="s">
        <v>6966</v>
      </c>
      <c r="AN898" t="s">
        <v>6966</v>
      </c>
      <c r="AO898" t="s">
        <v>6966</v>
      </c>
      <c r="AP898" t="s">
        <v>6966</v>
      </c>
      <c r="AQ898" t="s">
        <v>6966</v>
      </c>
      <c r="AR898" t="s">
        <v>6966</v>
      </c>
      <c r="AS898" t="s">
        <v>6966</v>
      </c>
      <c r="AT898" t="s">
        <v>6966</v>
      </c>
      <c r="AU898" t="s">
        <v>6966</v>
      </c>
      <c r="AV898" t="s">
        <v>6966</v>
      </c>
      <c r="AW898" t="s">
        <v>6966</v>
      </c>
      <c r="AX898" t="s">
        <v>6966</v>
      </c>
      <c r="AY898" t="s">
        <v>6966</v>
      </c>
      <c r="AZ898">
        <v>0.213089</v>
      </c>
      <c r="BA898">
        <v>1.753E-3</v>
      </c>
    </row>
    <row r="899" spans="1:53" x14ac:dyDescent="0.25">
      <c r="A899">
        <v>897</v>
      </c>
      <c r="B899" t="s">
        <v>7625</v>
      </c>
      <c r="C899">
        <v>403031</v>
      </c>
      <c r="D899" t="s">
        <v>982</v>
      </c>
      <c r="E899" t="s">
        <v>3045</v>
      </c>
      <c r="F899">
        <v>2538487.5</v>
      </c>
      <c r="G899">
        <v>8005.5141599999997</v>
      </c>
      <c r="H899">
        <v>864</v>
      </c>
      <c r="I899">
        <v>1066</v>
      </c>
      <c r="J899">
        <v>51151</v>
      </c>
      <c r="K899" t="s">
        <v>7882</v>
      </c>
      <c r="L899">
        <v>15</v>
      </c>
      <c r="M899">
        <v>15</v>
      </c>
      <c r="N899">
        <v>51151</v>
      </c>
      <c r="O899">
        <v>847</v>
      </c>
      <c r="P899" t="s">
        <v>3214</v>
      </c>
      <c r="Q899">
        <v>2.7</v>
      </c>
      <c r="R899">
        <v>35.04</v>
      </c>
      <c r="S899">
        <v>0.56999999999999995</v>
      </c>
      <c r="T899">
        <v>17</v>
      </c>
      <c r="U899">
        <v>2538487.6490799999</v>
      </c>
      <c r="V899">
        <v>8005.5145599999996</v>
      </c>
      <c r="W899">
        <v>898</v>
      </c>
      <c r="X899">
        <v>0</v>
      </c>
      <c r="Y899">
        <v>897</v>
      </c>
      <c r="Z899" t="s">
        <v>6966</v>
      </c>
      <c r="AA899" t="s">
        <v>6966</v>
      </c>
      <c r="AB899" t="s">
        <v>6966</v>
      </c>
      <c r="AC899" t="s">
        <v>6966</v>
      </c>
      <c r="AD899" t="s">
        <v>6966</v>
      </c>
      <c r="AE899" t="s">
        <v>6966</v>
      </c>
      <c r="AF899" t="s">
        <v>6966</v>
      </c>
      <c r="AG899" t="s">
        <v>6966</v>
      </c>
      <c r="AH899" t="s">
        <v>6966</v>
      </c>
      <c r="AI899" t="s">
        <v>6966</v>
      </c>
      <c r="AJ899" t="s">
        <v>6966</v>
      </c>
      <c r="AK899" t="s">
        <v>6966</v>
      </c>
      <c r="AL899" t="s">
        <v>6966</v>
      </c>
      <c r="AM899" t="s">
        <v>6966</v>
      </c>
      <c r="AN899" t="s">
        <v>6966</v>
      </c>
      <c r="AO899" t="s">
        <v>6966</v>
      </c>
      <c r="AP899" t="s">
        <v>6966</v>
      </c>
      <c r="AQ899" t="s">
        <v>6966</v>
      </c>
      <c r="AR899" t="s">
        <v>6966</v>
      </c>
      <c r="AS899" t="s">
        <v>6966</v>
      </c>
      <c r="AT899" t="s">
        <v>6966</v>
      </c>
      <c r="AU899" t="s">
        <v>6966</v>
      </c>
      <c r="AV899" t="s">
        <v>6966</v>
      </c>
      <c r="AW899" t="s">
        <v>6966</v>
      </c>
      <c r="AX899" t="s">
        <v>6966</v>
      </c>
      <c r="AY899" t="s">
        <v>6966</v>
      </c>
      <c r="AZ899">
        <v>7.8285999999999994E-2</v>
      </c>
      <c r="BA899">
        <v>2.4699999999999999E-4</v>
      </c>
    </row>
    <row r="900" spans="1:53" ht="240" x14ac:dyDescent="0.25">
      <c r="A900">
        <v>898</v>
      </c>
      <c r="B900" t="s">
        <v>7625</v>
      </c>
      <c r="C900">
        <v>502016</v>
      </c>
      <c r="D900" t="s">
        <v>30</v>
      </c>
      <c r="E900" t="s">
        <v>36</v>
      </c>
      <c r="F900">
        <v>8812841</v>
      </c>
      <c r="G900">
        <v>23095.751952999999</v>
      </c>
      <c r="H900">
        <v>865</v>
      </c>
      <c r="I900">
        <v>1067</v>
      </c>
      <c r="J900">
        <v>21111</v>
      </c>
      <c r="K900" t="s">
        <v>1577</v>
      </c>
      <c r="L900">
        <v>2</v>
      </c>
      <c r="M900">
        <v>2</v>
      </c>
      <c r="N900">
        <v>21111</v>
      </c>
      <c r="O900">
        <v>848</v>
      </c>
      <c r="P900" t="s">
        <v>3212</v>
      </c>
      <c r="Q900">
        <v>228.5</v>
      </c>
      <c r="R900">
        <v>313.91000000000003</v>
      </c>
      <c r="S900">
        <v>52.35</v>
      </c>
      <c r="T900">
        <v>76</v>
      </c>
      <c r="U900">
        <v>8812840.7691399995</v>
      </c>
      <c r="V900">
        <v>23095.753753000001</v>
      </c>
      <c r="W900">
        <v>899</v>
      </c>
      <c r="X900">
        <v>13</v>
      </c>
      <c r="Y900">
        <v>898</v>
      </c>
      <c r="Z900">
        <v>57716</v>
      </c>
      <c r="AA900" s="76">
        <v>45710</v>
      </c>
      <c r="AB900">
        <v>2025</v>
      </c>
      <c r="AC900" t="s">
        <v>7081</v>
      </c>
      <c r="AD900">
        <v>22</v>
      </c>
      <c r="AE900" t="s">
        <v>7099</v>
      </c>
      <c r="AF900" t="s">
        <v>3212</v>
      </c>
      <c r="AG900" t="s">
        <v>36</v>
      </c>
      <c r="AH900" t="s">
        <v>30</v>
      </c>
      <c r="AI900" t="s">
        <v>3154</v>
      </c>
      <c r="AJ900" t="s">
        <v>7150</v>
      </c>
      <c r="AK900">
        <v>33.861130000000003</v>
      </c>
      <c r="AL900">
        <v>35.510240000000003</v>
      </c>
      <c r="AM900" t="s">
        <v>7059</v>
      </c>
      <c r="AN900" t="s">
        <v>6995</v>
      </c>
      <c r="AO900" t="s">
        <v>7077</v>
      </c>
      <c r="AP900" s="77" t="s">
        <v>7100</v>
      </c>
      <c r="AQ900" t="s">
        <v>6998</v>
      </c>
      <c r="AR900" t="s">
        <v>7048</v>
      </c>
      <c r="AS900" t="s">
        <v>7036</v>
      </c>
      <c r="AT900">
        <v>0</v>
      </c>
      <c r="AU900">
        <v>0</v>
      </c>
      <c r="AV900" t="s">
        <v>7152</v>
      </c>
      <c r="AW900" t="s">
        <v>7018</v>
      </c>
      <c r="AX900" t="s">
        <v>7179</v>
      </c>
      <c r="AY900" t="s">
        <v>7044</v>
      </c>
      <c r="AZ900">
        <v>0.22673199999999999</v>
      </c>
      <c r="BA900">
        <v>8.5800000000000004E-4</v>
      </c>
    </row>
    <row r="901" spans="1:53" x14ac:dyDescent="0.25">
      <c r="A901">
        <v>899</v>
      </c>
      <c r="B901" t="s">
        <v>7625</v>
      </c>
      <c r="C901">
        <v>403004</v>
      </c>
      <c r="D901" t="s">
        <v>984</v>
      </c>
      <c r="E901" t="s">
        <v>3045</v>
      </c>
      <c r="F901">
        <v>5986108</v>
      </c>
      <c r="G901">
        <v>11925.302734000001</v>
      </c>
      <c r="H901">
        <v>866</v>
      </c>
      <c r="I901">
        <v>1068</v>
      </c>
      <c r="J901">
        <v>51163</v>
      </c>
      <c r="K901" t="s">
        <v>984</v>
      </c>
      <c r="L901">
        <v>15</v>
      </c>
      <c r="M901">
        <v>15</v>
      </c>
      <c r="N901">
        <v>51163</v>
      </c>
      <c r="O901">
        <v>849</v>
      </c>
      <c r="P901" t="s">
        <v>3214</v>
      </c>
      <c r="Q901">
        <v>7.8</v>
      </c>
      <c r="R901">
        <v>55.31</v>
      </c>
      <c r="S901">
        <v>1.81</v>
      </c>
      <c r="T901">
        <v>21</v>
      </c>
      <c r="U901">
        <v>5986107.8237199998</v>
      </c>
      <c r="V901">
        <v>11925.302722</v>
      </c>
      <c r="W901">
        <v>900</v>
      </c>
      <c r="X901">
        <v>0</v>
      </c>
      <c r="Y901">
        <v>899</v>
      </c>
      <c r="Z901" t="s">
        <v>6966</v>
      </c>
      <c r="AA901" t="s">
        <v>6966</v>
      </c>
      <c r="AB901" t="s">
        <v>6966</v>
      </c>
      <c r="AC901" t="s">
        <v>6966</v>
      </c>
      <c r="AD901" t="s">
        <v>6966</v>
      </c>
      <c r="AE901" t="s">
        <v>6966</v>
      </c>
      <c r="AF901" t="s">
        <v>6966</v>
      </c>
      <c r="AG901" t="s">
        <v>6966</v>
      </c>
      <c r="AH901" t="s">
        <v>6966</v>
      </c>
      <c r="AI901" t="s">
        <v>6966</v>
      </c>
      <c r="AJ901" t="s">
        <v>6966</v>
      </c>
      <c r="AK901" t="s">
        <v>6966</v>
      </c>
      <c r="AL901" t="s">
        <v>6966</v>
      </c>
      <c r="AM901" t="s">
        <v>6966</v>
      </c>
      <c r="AN901" t="s">
        <v>6966</v>
      </c>
      <c r="AO901" t="s">
        <v>6966</v>
      </c>
      <c r="AP901" t="s">
        <v>6966</v>
      </c>
      <c r="AQ901" t="s">
        <v>6966</v>
      </c>
      <c r="AR901" t="s">
        <v>6966</v>
      </c>
      <c r="AS901" t="s">
        <v>6966</v>
      </c>
      <c r="AT901" t="s">
        <v>6966</v>
      </c>
      <c r="AU901" t="s">
        <v>6966</v>
      </c>
      <c r="AV901" t="s">
        <v>6966</v>
      </c>
      <c r="AW901" t="s">
        <v>6966</v>
      </c>
      <c r="AX901" t="s">
        <v>6966</v>
      </c>
      <c r="AY901" t="s">
        <v>6966</v>
      </c>
      <c r="AZ901">
        <v>0.116397</v>
      </c>
      <c r="BA901">
        <v>5.8299999999999997E-4</v>
      </c>
    </row>
    <row r="902" spans="1:53" x14ac:dyDescent="0.25">
      <c r="A902">
        <v>900</v>
      </c>
      <c r="B902" t="s">
        <v>7625</v>
      </c>
      <c r="C902">
        <v>506023</v>
      </c>
      <c r="D902" t="s">
        <v>155</v>
      </c>
      <c r="E902" t="s">
        <v>7823</v>
      </c>
      <c r="F902">
        <v>8536146</v>
      </c>
      <c r="G902">
        <v>18020.681640999999</v>
      </c>
      <c r="H902">
        <v>867</v>
      </c>
      <c r="I902">
        <v>1069</v>
      </c>
      <c r="J902">
        <v>22667</v>
      </c>
      <c r="K902" t="s">
        <v>1685</v>
      </c>
      <c r="L902">
        <v>3</v>
      </c>
      <c r="M902">
        <v>3</v>
      </c>
      <c r="N902">
        <v>22667</v>
      </c>
      <c r="O902">
        <v>850</v>
      </c>
      <c r="P902" t="s">
        <v>3212</v>
      </c>
      <c r="Q902">
        <v>10.1</v>
      </c>
      <c r="R902">
        <v>44.64</v>
      </c>
      <c r="S902">
        <v>2.36</v>
      </c>
      <c r="T902">
        <v>11</v>
      </c>
      <c r="U902">
        <v>8536145.49498</v>
      </c>
      <c r="V902">
        <v>18020.682402999999</v>
      </c>
      <c r="W902">
        <v>901</v>
      </c>
      <c r="X902">
        <v>0</v>
      </c>
      <c r="Y902">
        <v>900</v>
      </c>
      <c r="Z902" t="s">
        <v>6966</v>
      </c>
      <c r="AA902" t="s">
        <v>6966</v>
      </c>
      <c r="AB902" t="s">
        <v>6966</v>
      </c>
      <c r="AC902" t="s">
        <v>6966</v>
      </c>
      <c r="AD902" t="s">
        <v>6966</v>
      </c>
      <c r="AE902" t="s">
        <v>6966</v>
      </c>
      <c r="AF902" t="s">
        <v>6966</v>
      </c>
      <c r="AG902" t="s">
        <v>6966</v>
      </c>
      <c r="AH902" t="s">
        <v>6966</v>
      </c>
      <c r="AI902" t="s">
        <v>6966</v>
      </c>
      <c r="AJ902" t="s">
        <v>6966</v>
      </c>
      <c r="AK902" t="s">
        <v>6966</v>
      </c>
      <c r="AL902" t="s">
        <v>6966</v>
      </c>
      <c r="AM902" t="s">
        <v>6966</v>
      </c>
      <c r="AN902" t="s">
        <v>6966</v>
      </c>
      <c r="AO902" t="s">
        <v>6966</v>
      </c>
      <c r="AP902" t="s">
        <v>6966</v>
      </c>
      <c r="AQ902" t="s">
        <v>6966</v>
      </c>
      <c r="AR902" t="s">
        <v>6966</v>
      </c>
      <c r="AS902" t="s">
        <v>6966</v>
      </c>
      <c r="AT902" t="s">
        <v>6966</v>
      </c>
      <c r="AU902" t="s">
        <v>6966</v>
      </c>
      <c r="AV902" t="s">
        <v>6966</v>
      </c>
      <c r="AW902" t="s">
        <v>6966</v>
      </c>
      <c r="AX902" t="s">
        <v>6966</v>
      </c>
      <c r="AY902" t="s">
        <v>6966</v>
      </c>
      <c r="AZ902">
        <v>0.178284</v>
      </c>
      <c r="BA902">
        <v>8.3100000000000003E-4</v>
      </c>
    </row>
    <row r="903" spans="1:53" x14ac:dyDescent="0.25">
      <c r="A903">
        <v>901</v>
      </c>
      <c r="B903" t="s">
        <v>7625</v>
      </c>
      <c r="C903">
        <v>502037</v>
      </c>
      <c r="D903" t="s">
        <v>66</v>
      </c>
      <c r="E903" t="s">
        <v>36</v>
      </c>
      <c r="F903">
        <v>2577175.75</v>
      </c>
      <c r="G903">
        <v>8313.9658199999994</v>
      </c>
      <c r="H903">
        <v>868</v>
      </c>
      <c r="I903">
        <v>1070</v>
      </c>
      <c r="J903">
        <v>21377</v>
      </c>
      <c r="K903" t="s">
        <v>7649</v>
      </c>
      <c r="L903">
        <v>2</v>
      </c>
      <c r="M903">
        <v>2</v>
      </c>
      <c r="N903">
        <v>21377</v>
      </c>
      <c r="O903">
        <v>851</v>
      </c>
      <c r="P903" t="s">
        <v>3212</v>
      </c>
      <c r="Q903">
        <v>0.2</v>
      </c>
      <c r="R903">
        <v>10.27</v>
      </c>
      <c r="S903">
        <v>0.22</v>
      </c>
      <c r="T903">
        <v>15</v>
      </c>
      <c r="U903">
        <v>2577175.9101300002</v>
      </c>
      <c r="V903">
        <v>8313.9655509999993</v>
      </c>
      <c r="W903">
        <v>902</v>
      </c>
      <c r="X903">
        <v>0</v>
      </c>
      <c r="Y903">
        <v>901</v>
      </c>
      <c r="Z903" t="s">
        <v>6966</v>
      </c>
      <c r="AA903" t="s">
        <v>6966</v>
      </c>
      <c r="AB903" t="s">
        <v>6966</v>
      </c>
      <c r="AC903" t="s">
        <v>6966</v>
      </c>
      <c r="AD903" t="s">
        <v>6966</v>
      </c>
      <c r="AE903" t="s">
        <v>6966</v>
      </c>
      <c r="AF903" t="s">
        <v>6966</v>
      </c>
      <c r="AG903" t="s">
        <v>6966</v>
      </c>
      <c r="AH903" t="s">
        <v>6966</v>
      </c>
      <c r="AI903" t="s">
        <v>6966</v>
      </c>
      <c r="AJ903" t="s">
        <v>6966</v>
      </c>
      <c r="AK903" t="s">
        <v>6966</v>
      </c>
      <c r="AL903" t="s">
        <v>6966</v>
      </c>
      <c r="AM903" t="s">
        <v>6966</v>
      </c>
      <c r="AN903" t="s">
        <v>6966</v>
      </c>
      <c r="AO903" t="s">
        <v>6966</v>
      </c>
      <c r="AP903" t="s">
        <v>6966</v>
      </c>
      <c r="AQ903" t="s">
        <v>6966</v>
      </c>
      <c r="AR903" t="s">
        <v>6966</v>
      </c>
      <c r="AS903" t="s">
        <v>6966</v>
      </c>
      <c r="AT903" t="s">
        <v>6966</v>
      </c>
      <c r="AU903" t="s">
        <v>6966</v>
      </c>
      <c r="AV903" t="s">
        <v>6966</v>
      </c>
      <c r="AW903" t="s">
        <v>6966</v>
      </c>
      <c r="AX903" t="s">
        <v>6966</v>
      </c>
      <c r="AY903" t="s">
        <v>6966</v>
      </c>
      <c r="AZ903">
        <v>8.1730999999999998E-2</v>
      </c>
      <c r="BA903">
        <v>2.5099999999999998E-4</v>
      </c>
    </row>
    <row r="904" spans="1:53" x14ac:dyDescent="0.25">
      <c r="A904">
        <v>902</v>
      </c>
      <c r="B904" t="s">
        <v>7625</v>
      </c>
      <c r="C904">
        <v>502031</v>
      </c>
      <c r="D904" t="s">
        <v>81</v>
      </c>
      <c r="E904" t="s">
        <v>36</v>
      </c>
      <c r="F904">
        <v>3767675</v>
      </c>
      <c r="G904">
        <v>9809.1904300000006</v>
      </c>
      <c r="H904">
        <v>869</v>
      </c>
      <c r="I904">
        <v>1071</v>
      </c>
      <c r="J904">
        <v>21461</v>
      </c>
      <c r="K904" t="s">
        <v>1620</v>
      </c>
      <c r="L904">
        <v>2</v>
      </c>
      <c r="M904">
        <v>2</v>
      </c>
      <c r="N904">
        <v>21461</v>
      </c>
      <c r="O904">
        <v>852</v>
      </c>
      <c r="P904" t="s">
        <v>3212</v>
      </c>
      <c r="Q904">
        <v>0.5</v>
      </c>
      <c r="R904">
        <v>19.440000000000001</v>
      </c>
      <c r="S904">
        <v>0.33</v>
      </c>
      <c r="T904">
        <v>12</v>
      </c>
      <c r="U904">
        <v>3767674.9049200001</v>
      </c>
      <c r="V904">
        <v>9809.1908089999997</v>
      </c>
      <c r="W904">
        <v>903</v>
      </c>
      <c r="X904">
        <v>0</v>
      </c>
      <c r="Y904">
        <v>902</v>
      </c>
      <c r="Z904" t="s">
        <v>6966</v>
      </c>
      <c r="AA904" t="s">
        <v>6966</v>
      </c>
      <c r="AB904" t="s">
        <v>6966</v>
      </c>
      <c r="AC904" t="s">
        <v>6966</v>
      </c>
      <c r="AD904" t="s">
        <v>6966</v>
      </c>
      <c r="AE904" t="s">
        <v>6966</v>
      </c>
      <c r="AF904" t="s">
        <v>6966</v>
      </c>
      <c r="AG904" t="s">
        <v>6966</v>
      </c>
      <c r="AH904" t="s">
        <v>6966</v>
      </c>
      <c r="AI904" t="s">
        <v>6966</v>
      </c>
      <c r="AJ904" t="s">
        <v>6966</v>
      </c>
      <c r="AK904" t="s">
        <v>6966</v>
      </c>
      <c r="AL904" t="s">
        <v>6966</v>
      </c>
      <c r="AM904" t="s">
        <v>6966</v>
      </c>
      <c r="AN904" t="s">
        <v>6966</v>
      </c>
      <c r="AO904" t="s">
        <v>6966</v>
      </c>
      <c r="AP904" t="s">
        <v>6966</v>
      </c>
      <c r="AQ904" t="s">
        <v>6966</v>
      </c>
      <c r="AR904" t="s">
        <v>6966</v>
      </c>
      <c r="AS904" t="s">
        <v>6966</v>
      </c>
      <c r="AT904" t="s">
        <v>6966</v>
      </c>
      <c r="AU904" t="s">
        <v>6966</v>
      </c>
      <c r="AV904" t="s">
        <v>6966</v>
      </c>
      <c r="AW904" t="s">
        <v>6966</v>
      </c>
      <c r="AX904" t="s">
        <v>6966</v>
      </c>
      <c r="AY904" t="s">
        <v>6966</v>
      </c>
      <c r="AZ904">
        <v>9.5637E-2</v>
      </c>
      <c r="BA904">
        <v>3.6699999999999998E-4</v>
      </c>
    </row>
    <row r="905" spans="1:53" x14ac:dyDescent="0.25">
      <c r="A905">
        <v>903</v>
      </c>
      <c r="B905" t="s">
        <v>7625</v>
      </c>
      <c r="C905">
        <v>502049</v>
      </c>
      <c r="D905" t="s">
        <v>7894</v>
      </c>
      <c r="E905" t="s">
        <v>36</v>
      </c>
      <c r="F905">
        <v>2828834.25</v>
      </c>
      <c r="G905">
        <v>8589.1787110000005</v>
      </c>
      <c r="H905">
        <v>870</v>
      </c>
      <c r="I905">
        <v>1072</v>
      </c>
      <c r="J905">
        <v>21364</v>
      </c>
      <c r="K905" t="s">
        <v>1604</v>
      </c>
      <c r="L905">
        <v>2</v>
      </c>
      <c r="M905">
        <v>2</v>
      </c>
      <c r="N905">
        <v>21364</v>
      </c>
      <c r="O905">
        <v>853</v>
      </c>
      <c r="P905" t="s">
        <v>3212</v>
      </c>
      <c r="Q905">
        <v>1.9</v>
      </c>
      <c r="R905">
        <v>49.11</v>
      </c>
      <c r="S905">
        <v>0.6</v>
      </c>
      <c r="T905">
        <v>16</v>
      </c>
      <c r="U905">
        <v>2828834.1995000001</v>
      </c>
      <c r="V905">
        <v>8589.1783720000003</v>
      </c>
      <c r="W905">
        <v>904</v>
      </c>
      <c r="X905">
        <v>0</v>
      </c>
      <c r="Y905">
        <v>903</v>
      </c>
      <c r="Z905" t="s">
        <v>6966</v>
      </c>
      <c r="AA905" t="s">
        <v>6966</v>
      </c>
      <c r="AB905" t="s">
        <v>6966</v>
      </c>
      <c r="AC905" t="s">
        <v>6966</v>
      </c>
      <c r="AD905" t="s">
        <v>6966</v>
      </c>
      <c r="AE905" t="s">
        <v>6966</v>
      </c>
      <c r="AF905" t="s">
        <v>6966</v>
      </c>
      <c r="AG905" t="s">
        <v>6966</v>
      </c>
      <c r="AH905" t="s">
        <v>6966</v>
      </c>
      <c r="AI905" t="s">
        <v>6966</v>
      </c>
      <c r="AJ905" t="s">
        <v>6966</v>
      </c>
      <c r="AK905" t="s">
        <v>6966</v>
      </c>
      <c r="AL905" t="s">
        <v>6966</v>
      </c>
      <c r="AM905" t="s">
        <v>6966</v>
      </c>
      <c r="AN905" t="s">
        <v>6966</v>
      </c>
      <c r="AO905" t="s">
        <v>6966</v>
      </c>
      <c r="AP905" t="s">
        <v>6966</v>
      </c>
      <c r="AQ905" t="s">
        <v>6966</v>
      </c>
      <c r="AR905" t="s">
        <v>6966</v>
      </c>
      <c r="AS905" t="s">
        <v>6966</v>
      </c>
      <c r="AT905" t="s">
        <v>6966</v>
      </c>
      <c r="AU905" t="s">
        <v>6966</v>
      </c>
      <c r="AV905" t="s">
        <v>6966</v>
      </c>
      <c r="AW905" t="s">
        <v>6966</v>
      </c>
      <c r="AX905" t="s">
        <v>6966</v>
      </c>
      <c r="AY905" t="s">
        <v>6966</v>
      </c>
      <c r="AZ905">
        <v>8.5420999999999997E-2</v>
      </c>
      <c r="BA905">
        <v>2.7599999999999999E-4</v>
      </c>
    </row>
    <row r="906" spans="1:53" x14ac:dyDescent="0.25">
      <c r="A906">
        <v>904</v>
      </c>
      <c r="B906" t="s">
        <v>7625</v>
      </c>
      <c r="C906">
        <v>502057</v>
      </c>
      <c r="D906" t="s">
        <v>65</v>
      </c>
      <c r="E906" t="s">
        <v>36</v>
      </c>
      <c r="F906">
        <v>1073913.625</v>
      </c>
      <c r="G906">
        <v>5385.1059569999998</v>
      </c>
      <c r="H906">
        <v>871</v>
      </c>
      <c r="I906">
        <v>1073</v>
      </c>
      <c r="J906">
        <v>21374</v>
      </c>
      <c r="K906" t="s">
        <v>1607</v>
      </c>
      <c r="L906">
        <v>2</v>
      </c>
      <c r="M906">
        <v>2</v>
      </c>
      <c r="N906">
        <v>21374</v>
      </c>
      <c r="O906">
        <v>854</v>
      </c>
      <c r="P906" t="s">
        <v>3212</v>
      </c>
      <c r="Q906">
        <v>0.1</v>
      </c>
      <c r="R906">
        <v>3.82</v>
      </c>
      <c r="S906">
        <v>0.34</v>
      </c>
      <c r="T906">
        <v>9</v>
      </c>
      <c r="U906">
        <v>1073913.6159999999</v>
      </c>
      <c r="V906">
        <v>5385.1069580000003</v>
      </c>
      <c r="W906">
        <v>905</v>
      </c>
      <c r="X906">
        <v>0</v>
      </c>
      <c r="Y906">
        <v>904</v>
      </c>
      <c r="Z906" t="s">
        <v>6966</v>
      </c>
      <c r="AA906" t="s">
        <v>6966</v>
      </c>
      <c r="AB906" t="s">
        <v>6966</v>
      </c>
      <c r="AC906" t="s">
        <v>6966</v>
      </c>
      <c r="AD906" t="s">
        <v>6966</v>
      </c>
      <c r="AE906" t="s">
        <v>6966</v>
      </c>
      <c r="AF906" t="s">
        <v>6966</v>
      </c>
      <c r="AG906" t="s">
        <v>6966</v>
      </c>
      <c r="AH906" t="s">
        <v>6966</v>
      </c>
      <c r="AI906" t="s">
        <v>6966</v>
      </c>
      <c r="AJ906" t="s">
        <v>6966</v>
      </c>
      <c r="AK906" t="s">
        <v>6966</v>
      </c>
      <c r="AL906" t="s">
        <v>6966</v>
      </c>
      <c r="AM906" t="s">
        <v>6966</v>
      </c>
      <c r="AN906" t="s">
        <v>6966</v>
      </c>
      <c r="AO906" t="s">
        <v>6966</v>
      </c>
      <c r="AP906" t="s">
        <v>6966</v>
      </c>
      <c r="AQ906" t="s">
        <v>6966</v>
      </c>
      <c r="AR906" t="s">
        <v>6966</v>
      </c>
      <c r="AS906" t="s">
        <v>6966</v>
      </c>
      <c r="AT906" t="s">
        <v>6966</v>
      </c>
      <c r="AU906" t="s">
        <v>6966</v>
      </c>
      <c r="AV906" t="s">
        <v>6966</v>
      </c>
      <c r="AW906" t="s">
        <v>6966</v>
      </c>
      <c r="AX906" t="s">
        <v>6966</v>
      </c>
      <c r="AY906" t="s">
        <v>6966</v>
      </c>
      <c r="AZ906">
        <v>5.4025999999999998E-2</v>
      </c>
      <c r="BA906">
        <v>1.05E-4</v>
      </c>
    </row>
    <row r="907" spans="1:53" x14ac:dyDescent="0.25">
      <c r="A907">
        <v>905</v>
      </c>
      <c r="B907" t="s">
        <v>7625</v>
      </c>
      <c r="C907">
        <v>403059</v>
      </c>
      <c r="D907" t="s">
        <v>7895</v>
      </c>
      <c r="E907" t="s">
        <v>3045</v>
      </c>
      <c r="F907">
        <v>0</v>
      </c>
      <c r="G907">
        <v>34220.601562999997</v>
      </c>
      <c r="H907">
        <v>872</v>
      </c>
      <c r="I907">
        <v>1074</v>
      </c>
      <c r="J907">
        <v>51125</v>
      </c>
      <c r="K907" t="s">
        <v>2334</v>
      </c>
      <c r="L907">
        <v>15</v>
      </c>
      <c r="M907">
        <v>15</v>
      </c>
      <c r="N907">
        <v>51165</v>
      </c>
      <c r="O907">
        <v>855</v>
      </c>
      <c r="P907" t="s">
        <v>3214</v>
      </c>
      <c r="Q907">
        <v>2</v>
      </c>
      <c r="R907">
        <v>43.73</v>
      </c>
      <c r="S907">
        <v>0</v>
      </c>
      <c r="T907">
        <v>0</v>
      </c>
      <c r="U907">
        <v>0</v>
      </c>
      <c r="V907">
        <v>34220.603260999997</v>
      </c>
      <c r="W907">
        <v>906</v>
      </c>
      <c r="X907">
        <v>0</v>
      </c>
      <c r="Y907">
        <v>905</v>
      </c>
      <c r="Z907" t="s">
        <v>6966</v>
      </c>
      <c r="AA907" t="s">
        <v>6966</v>
      </c>
      <c r="AB907" t="s">
        <v>6966</v>
      </c>
      <c r="AC907" t="s">
        <v>6966</v>
      </c>
      <c r="AD907" t="s">
        <v>6966</v>
      </c>
      <c r="AE907" t="s">
        <v>6966</v>
      </c>
      <c r="AF907" t="s">
        <v>6966</v>
      </c>
      <c r="AG907" t="s">
        <v>6966</v>
      </c>
      <c r="AH907" t="s">
        <v>6966</v>
      </c>
      <c r="AI907" t="s">
        <v>6966</v>
      </c>
      <c r="AJ907" t="s">
        <v>6966</v>
      </c>
      <c r="AK907" t="s">
        <v>6966</v>
      </c>
      <c r="AL907" t="s">
        <v>6966</v>
      </c>
      <c r="AM907" t="s">
        <v>6966</v>
      </c>
      <c r="AN907" t="s">
        <v>6966</v>
      </c>
      <c r="AO907" t="s">
        <v>6966</v>
      </c>
      <c r="AP907" t="s">
        <v>6966</v>
      </c>
      <c r="AQ907" t="s">
        <v>6966</v>
      </c>
      <c r="AR907" t="s">
        <v>6966</v>
      </c>
      <c r="AS907" t="s">
        <v>6966</v>
      </c>
      <c r="AT907" t="s">
        <v>6966</v>
      </c>
      <c r="AU907" t="s">
        <v>6966</v>
      </c>
      <c r="AV907" t="s">
        <v>6966</v>
      </c>
      <c r="AW907" t="s">
        <v>6966</v>
      </c>
      <c r="AX907" t="s">
        <v>6966</v>
      </c>
      <c r="AY907" t="s">
        <v>6966</v>
      </c>
      <c r="AZ907">
        <v>0.33408700000000002</v>
      </c>
      <c r="BA907">
        <v>1.933E-3</v>
      </c>
    </row>
    <row r="908" spans="1:53" x14ac:dyDescent="0.25">
      <c r="A908">
        <v>906</v>
      </c>
      <c r="B908" t="s">
        <v>7625</v>
      </c>
      <c r="C908">
        <v>502047</v>
      </c>
      <c r="D908" t="s">
        <v>80</v>
      </c>
      <c r="E908" t="s">
        <v>36</v>
      </c>
      <c r="F908">
        <v>8474226</v>
      </c>
      <c r="G908">
        <v>18777.177734000001</v>
      </c>
      <c r="H908">
        <v>873</v>
      </c>
      <c r="I908">
        <v>1075</v>
      </c>
      <c r="J908">
        <v>21456</v>
      </c>
      <c r="K908" t="s">
        <v>1619</v>
      </c>
      <c r="L908">
        <v>2</v>
      </c>
      <c r="M908">
        <v>2</v>
      </c>
      <c r="N908">
        <v>21456</v>
      </c>
      <c r="O908">
        <v>856</v>
      </c>
      <c r="P908" t="s">
        <v>3212</v>
      </c>
      <c r="Q908">
        <v>3.2</v>
      </c>
      <c r="R908">
        <v>50.64</v>
      </c>
      <c r="S908">
        <v>1.05</v>
      </c>
      <c r="T908">
        <v>17</v>
      </c>
      <c r="U908">
        <v>8474226.6007499993</v>
      </c>
      <c r="V908">
        <v>18777.177566999999</v>
      </c>
      <c r="W908">
        <v>907</v>
      </c>
      <c r="X908">
        <v>0</v>
      </c>
      <c r="Y908">
        <v>906</v>
      </c>
      <c r="Z908" t="s">
        <v>6966</v>
      </c>
      <c r="AA908" t="s">
        <v>6966</v>
      </c>
      <c r="AB908" t="s">
        <v>6966</v>
      </c>
      <c r="AC908" t="s">
        <v>6966</v>
      </c>
      <c r="AD908" t="s">
        <v>6966</v>
      </c>
      <c r="AE908" t="s">
        <v>6966</v>
      </c>
      <c r="AF908" t="s">
        <v>6966</v>
      </c>
      <c r="AG908" t="s">
        <v>6966</v>
      </c>
      <c r="AH908" t="s">
        <v>6966</v>
      </c>
      <c r="AI908" t="s">
        <v>6966</v>
      </c>
      <c r="AJ908" t="s">
        <v>6966</v>
      </c>
      <c r="AK908" t="s">
        <v>6966</v>
      </c>
      <c r="AL908" t="s">
        <v>6966</v>
      </c>
      <c r="AM908" t="s">
        <v>6966</v>
      </c>
      <c r="AN908" t="s">
        <v>6966</v>
      </c>
      <c r="AO908" t="s">
        <v>6966</v>
      </c>
      <c r="AP908" t="s">
        <v>6966</v>
      </c>
      <c r="AQ908" t="s">
        <v>6966</v>
      </c>
      <c r="AR908" t="s">
        <v>6966</v>
      </c>
      <c r="AS908" t="s">
        <v>6966</v>
      </c>
      <c r="AT908" t="s">
        <v>6966</v>
      </c>
      <c r="AU908" t="s">
        <v>6966</v>
      </c>
      <c r="AV908" t="s">
        <v>6966</v>
      </c>
      <c r="AW908" t="s">
        <v>6966</v>
      </c>
      <c r="AX908" t="s">
        <v>6966</v>
      </c>
      <c r="AY908" t="s">
        <v>6966</v>
      </c>
      <c r="AZ908">
        <v>0.18987699999999999</v>
      </c>
      <c r="BA908">
        <v>8.25E-4</v>
      </c>
    </row>
    <row r="909" spans="1:53" x14ac:dyDescent="0.25">
      <c r="A909">
        <v>907</v>
      </c>
      <c r="B909" t="s">
        <v>7625</v>
      </c>
      <c r="C909">
        <v>506077</v>
      </c>
      <c r="D909" t="s">
        <v>94</v>
      </c>
      <c r="E909" t="s">
        <v>7823</v>
      </c>
      <c r="F909">
        <v>1561562.25</v>
      </c>
      <c r="G909">
        <v>9090.0078130000002</v>
      </c>
      <c r="H909">
        <v>874</v>
      </c>
      <c r="I909">
        <v>1076</v>
      </c>
      <c r="J909">
        <v>22279</v>
      </c>
      <c r="K909" t="s">
        <v>1630</v>
      </c>
      <c r="L909">
        <v>3</v>
      </c>
      <c r="M909">
        <v>3</v>
      </c>
      <c r="N909">
        <v>22279</v>
      </c>
      <c r="O909">
        <v>857</v>
      </c>
      <c r="P909" t="s">
        <v>3212</v>
      </c>
      <c r="Q909">
        <v>5.2</v>
      </c>
      <c r="R909">
        <v>51.86</v>
      </c>
      <c r="S909">
        <v>1.19</v>
      </c>
      <c r="T909">
        <v>12</v>
      </c>
      <c r="U909">
        <v>1561562.30329</v>
      </c>
      <c r="V909">
        <v>9090.0086119999996</v>
      </c>
      <c r="W909">
        <v>908</v>
      </c>
      <c r="X909">
        <v>0</v>
      </c>
      <c r="Y909">
        <v>907</v>
      </c>
      <c r="Z909" t="s">
        <v>6966</v>
      </c>
      <c r="AA909" t="s">
        <v>6966</v>
      </c>
      <c r="AB909" t="s">
        <v>6966</v>
      </c>
      <c r="AC909" t="s">
        <v>6966</v>
      </c>
      <c r="AD909" t="s">
        <v>6966</v>
      </c>
      <c r="AE909" t="s">
        <v>6966</v>
      </c>
      <c r="AF909" t="s">
        <v>6966</v>
      </c>
      <c r="AG909" t="s">
        <v>6966</v>
      </c>
      <c r="AH909" t="s">
        <v>6966</v>
      </c>
      <c r="AI909" t="s">
        <v>6966</v>
      </c>
      <c r="AJ909" t="s">
        <v>6966</v>
      </c>
      <c r="AK909" t="s">
        <v>6966</v>
      </c>
      <c r="AL909" t="s">
        <v>6966</v>
      </c>
      <c r="AM909" t="s">
        <v>6966</v>
      </c>
      <c r="AN909" t="s">
        <v>6966</v>
      </c>
      <c r="AO909" t="s">
        <v>6966</v>
      </c>
      <c r="AP909" t="s">
        <v>6966</v>
      </c>
      <c r="AQ909" t="s">
        <v>6966</v>
      </c>
      <c r="AR909" t="s">
        <v>6966</v>
      </c>
      <c r="AS909" t="s">
        <v>6966</v>
      </c>
      <c r="AT909" t="s">
        <v>6966</v>
      </c>
      <c r="AU909" t="s">
        <v>6966</v>
      </c>
      <c r="AV909" t="s">
        <v>6966</v>
      </c>
      <c r="AW909" t="s">
        <v>6966</v>
      </c>
      <c r="AX909" t="s">
        <v>6966</v>
      </c>
      <c r="AY909" t="s">
        <v>6966</v>
      </c>
      <c r="AZ909">
        <v>9.0815000000000007E-2</v>
      </c>
      <c r="BA909">
        <v>1.5200000000000001E-4</v>
      </c>
    </row>
    <row r="910" spans="1:53" x14ac:dyDescent="0.25">
      <c r="A910">
        <v>908</v>
      </c>
      <c r="B910" t="s">
        <v>7625</v>
      </c>
      <c r="C910">
        <v>201004</v>
      </c>
      <c r="D910" t="s">
        <v>1150</v>
      </c>
      <c r="E910" t="s">
        <v>1069</v>
      </c>
      <c r="F910">
        <v>0</v>
      </c>
      <c r="G910">
        <v>25221.433593999998</v>
      </c>
      <c r="H910">
        <v>875</v>
      </c>
      <c r="I910">
        <v>1077</v>
      </c>
      <c r="J910">
        <v>53473</v>
      </c>
      <c r="K910" t="s">
        <v>7896</v>
      </c>
      <c r="L910">
        <v>17</v>
      </c>
      <c r="M910">
        <v>17</v>
      </c>
      <c r="N910">
        <v>53473</v>
      </c>
      <c r="O910">
        <v>858</v>
      </c>
      <c r="P910" t="s">
        <v>3214</v>
      </c>
      <c r="Q910">
        <v>0</v>
      </c>
      <c r="R910">
        <v>0</v>
      </c>
      <c r="S910">
        <v>0.01</v>
      </c>
      <c r="T910">
        <v>0</v>
      </c>
      <c r="U910">
        <v>0</v>
      </c>
      <c r="V910">
        <v>25221.433865999999</v>
      </c>
      <c r="W910">
        <v>909</v>
      </c>
      <c r="X910">
        <v>0</v>
      </c>
      <c r="Y910">
        <v>908</v>
      </c>
      <c r="Z910" t="s">
        <v>6966</v>
      </c>
      <c r="AA910" t="s">
        <v>6966</v>
      </c>
      <c r="AB910" t="s">
        <v>6966</v>
      </c>
      <c r="AC910" t="s">
        <v>6966</v>
      </c>
      <c r="AD910" t="s">
        <v>6966</v>
      </c>
      <c r="AE910" t="s">
        <v>6966</v>
      </c>
      <c r="AF910" t="s">
        <v>6966</v>
      </c>
      <c r="AG910" t="s">
        <v>6966</v>
      </c>
      <c r="AH910" t="s">
        <v>6966</v>
      </c>
      <c r="AI910" t="s">
        <v>6966</v>
      </c>
      <c r="AJ910" t="s">
        <v>6966</v>
      </c>
      <c r="AK910" t="s">
        <v>6966</v>
      </c>
      <c r="AL910" t="s">
        <v>6966</v>
      </c>
      <c r="AM910" t="s">
        <v>6966</v>
      </c>
      <c r="AN910" t="s">
        <v>6966</v>
      </c>
      <c r="AO910" t="s">
        <v>6966</v>
      </c>
      <c r="AP910" t="s">
        <v>6966</v>
      </c>
      <c r="AQ910" t="s">
        <v>6966</v>
      </c>
      <c r="AR910" t="s">
        <v>6966</v>
      </c>
      <c r="AS910" t="s">
        <v>6966</v>
      </c>
      <c r="AT910" t="s">
        <v>6966</v>
      </c>
      <c r="AU910" t="s">
        <v>6966</v>
      </c>
      <c r="AV910" t="s">
        <v>6966</v>
      </c>
      <c r="AW910" t="s">
        <v>6966</v>
      </c>
      <c r="AX910" t="s">
        <v>6966</v>
      </c>
      <c r="AY910" t="s">
        <v>6966</v>
      </c>
      <c r="AZ910">
        <v>0.25721100000000002</v>
      </c>
      <c r="BA910">
        <v>2.5300000000000001E-3</v>
      </c>
    </row>
    <row r="911" spans="1:53" x14ac:dyDescent="0.25">
      <c r="A911">
        <v>909</v>
      </c>
      <c r="B911" t="s">
        <v>7625</v>
      </c>
      <c r="C911">
        <v>201092</v>
      </c>
      <c r="D911" t="s">
        <v>1138</v>
      </c>
      <c r="E911" t="s">
        <v>1069</v>
      </c>
      <c r="F911">
        <v>0</v>
      </c>
      <c r="G911">
        <v>14989.826171999999</v>
      </c>
      <c r="H911">
        <v>876</v>
      </c>
      <c r="I911">
        <v>1078</v>
      </c>
      <c r="J911">
        <v>53449</v>
      </c>
      <c r="K911" t="s">
        <v>1138</v>
      </c>
      <c r="L911">
        <v>17</v>
      </c>
      <c r="M911">
        <v>17</v>
      </c>
      <c r="N911">
        <v>53449</v>
      </c>
      <c r="O911">
        <v>859</v>
      </c>
      <c r="P911" t="s">
        <v>3214</v>
      </c>
      <c r="Q911">
        <v>0.2</v>
      </c>
      <c r="R911">
        <v>38.909999999999997</v>
      </c>
      <c r="S911">
        <v>0.04</v>
      </c>
      <c r="T911">
        <v>8</v>
      </c>
      <c r="U911">
        <v>0</v>
      </c>
      <c r="V911">
        <v>14989.825665</v>
      </c>
      <c r="W911">
        <v>910</v>
      </c>
      <c r="X911">
        <v>0</v>
      </c>
      <c r="Y911">
        <v>909</v>
      </c>
      <c r="Z911" t="s">
        <v>6966</v>
      </c>
      <c r="AA911" t="s">
        <v>6966</v>
      </c>
      <c r="AB911" t="s">
        <v>6966</v>
      </c>
      <c r="AC911" t="s">
        <v>6966</v>
      </c>
      <c r="AD911" t="s">
        <v>6966</v>
      </c>
      <c r="AE911" t="s">
        <v>6966</v>
      </c>
      <c r="AF911" t="s">
        <v>6966</v>
      </c>
      <c r="AG911" t="s">
        <v>6966</v>
      </c>
      <c r="AH911" t="s">
        <v>6966</v>
      </c>
      <c r="AI911" t="s">
        <v>6966</v>
      </c>
      <c r="AJ911" t="s">
        <v>6966</v>
      </c>
      <c r="AK911" t="s">
        <v>6966</v>
      </c>
      <c r="AL911" t="s">
        <v>6966</v>
      </c>
      <c r="AM911" t="s">
        <v>6966</v>
      </c>
      <c r="AN911" t="s">
        <v>6966</v>
      </c>
      <c r="AO911" t="s">
        <v>6966</v>
      </c>
      <c r="AP911" t="s">
        <v>6966</v>
      </c>
      <c r="AQ911" t="s">
        <v>6966</v>
      </c>
      <c r="AR911" t="s">
        <v>6966</v>
      </c>
      <c r="AS911" t="s">
        <v>6966</v>
      </c>
      <c r="AT911" t="s">
        <v>6966</v>
      </c>
      <c r="AU911" t="s">
        <v>6966</v>
      </c>
      <c r="AV911" t="s">
        <v>6966</v>
      </c>
      <c r="AW911" t="s">
        <v>6966</v>
      </c>
      <c r="AX911" t="s">
        <v>6966</v>
      </c>
      <c r="AY911" t="s">
        <v>6966</v>
      </c>
      <c r="AZ911">
        <v>0.148538</v>
      </c>
      <c r="BA911">
        <v>1.196E-3</v>
      </c>
    </row>
    <row r="912" spans="1:53" x14ac:dyDescent="0.25">
      <c r="A912">
        <v>910</v>
      </c>
      <c r="B912" t="s">
        <v>7625</v>
      </c>
      <c r="C912">
        <v>502046</v>
      </c>
      <c r="D912" t="s">
        <v>61</v>
      </c>
      <c r="E912" t="s">
        <v>36</v>
      </c>
      <c r="F912">
        <v>2420499.5</v>
      </c>
      <c r="G912">
        <v>6878.6655270000001</v>
      </c>
      <c r="H912">
        <v>877</v>
      </c>
      <c r="I912">
        <v>1079</v>
      </c>
      <c r="J912">
        <v>21361</v>
      </c>
      <c r="K912" t="s">
        <v>1603</v>
      </c>
      <c r="L912">
        <v>2</v>
      </c>
      <c r="M912">
        <v>2</v>
      </c>
      <c r="N912">
        <v>21361</v>
      </c>
      <c r="O912">
        <v>860</v>
      </c>
      <c r="P912" t="s">
        <v>3212</v>
      </c>
      <c r="Q912">
        <v>0.6</v>
      </c>
      <c r="R912">
        <v>15.8</v>
      </c>
      <c r="S912">
        <v>0.39</v>
      </c>
      <c r="T912">
        <v>11</v>
      </c>
      <c r="U912">
        <v>2420499.46539</v>
      </c>
      <c r="V912">
        <v>6878.6657729999997</v>
      </c>
      <c r="W912">
        <v>911</v>
      </c>
      <c r="X912">
        <v>0</v>
      </c>
      <c r="Y912">
        <v>910</v>
      </c>
      <c r="Z912" t="s">
        <v>6966</v>
      </c>
      <c r="AA912" t="s">
        <v>6966</v>
      </c>
      <c r="AB912" t="s">
        <v>6966</v>
      </c>
      <c r="AC912" t="s">
        <v>6966</v>
      </c>
      <c r="AD912" t="s">
        <v>6966</v>
      </c>
      <c r="AE912" t="s">
        <v>6966</v>
      </c>
      <c r="AF912" t="s">
        <v>6966</v>
      </c>
      <c r="AG912" t="s">
        <v>6966</v>
      </c>
      <c r="AH912" t="s">
        <v>6966</v>
      </c>
      <c r="AI912" t="s">
        <v>6966</v>
      </c>
      <c r="AJ912" t="s">
        <v>6966</v>
      </c>
      <c r="AK912" t="s">
        <v>6966</v>
      </c>
      <c r="AL912" t="s">
        <v>6966</v>
      </c>
      <c r="AM912" t="s">
        <v>6966</v>
      </c>
      <c r="AN912" t="s">
        <v>6966</v>
      </c>
      <c r="AO912" t="s">
        <v>6966</v>
      </c>
      <c r="AP912" t="s">
        <v>6966</v>
      </c>
      <c r="AQ912" t="s">
        <v>6966</v>
      </c>
      <c r="AR912" t="s">
        <v>6966</v>
      </c>
      <c r="AS912" t="s">
        <v>6966</v>
      </c>
      <c r="AT912" t="s">
        <v>6966</v>
      </c>
      <c r="AU912" t="s">
        <v>6966</v>
      </c>
      <c r="AV912" t="s">
        <v>6966</v>
      </c>
      <c r="AW912" t="s">
        <v>6966</v>
      </c>
      <c r="AX912" t="s">
        <v>6966</v>
      </c>
      <c r="AY912" t="s">
        <v>6966</v>
      </c>
      <c r="AZ912">
        <v>6.8739999999999996E-2</v>
      </c>
      <c r="BA912">
        <v>2.3599999999999999E-4</v>
      </c>
    </row>
    <row r="913" spans="1:53" x14ac:dyDescent="0.25">
      <c r="A913">
        <v>911</v>
      </c>
      <c r="B913" t="s">
        <v>7625</v>
      </c>
      <c r="C913">
        <v>403032</v>
      </c>
      <c r="D913" t="s">
        <v>1021</v>
      </c>
      <c r="E913" t="s">
        <v>3045</v>
      </c>
      <c r="F913">
        <v>7241767.5</v>
      </c>
      <c r="G913">
        <v>16381.590819999999</v>
      </c>
      <c r="H913">
        <v>878</v>
      </c>
      <c r="I913">
        <v>1080</v>
      </c>
      <c r="J913">
        <v>51354</v>
      </c>
      <c r="K913" t="s">
        <v>2374</v>
      </c>
      <c r="L913">
        <v>15</v>
      </c>
      <c r="M913">
        <v>15</v>
      </c>
      <c r="N913">
        <v>51354</v>
      </c>
      <c r="O913">
        <v>861</v>
      </c>
      <c r="P913" t="s">
        <v>3214</v>
      </c>
      <c r="Q913">
        <v>1.3</v>
      </c>
      <c r="R913">
        <v>50.52</v>
      </c>
      <c r="S913">
        <v>0.28999999999999998</v>
      </c>
      <c r="T913">
        <v>11</v>
      </c>
      <c r="U913">
        <v>7241767.4292000001</v>
      </c>
      <c r="V913">
        <v>16381.590437000001</v>
      </c>
      <c r="W913">
        <v>912</v>
      </c>
      <c r="X913">
        <v>0</v>
      </c>
      <c r="Y913">
        <v>911</v>
      </c>
      <c r="Z913" t="s">
        <v>6966</v>
      </c>
      <c r="AA913" t="s">
        <v>6966</v>
      </c>
      <c r="AB913" t="s">
        <v>6966</v>
      </c>
      <c r="AC913" t="s">
        <v>6966</v>
      </c>
      <c r="AD913" t="s">
        <v>6966</v>
      </c>
      <c r="AE913" t="s">
        <v>6966</v>
      </c>
      <c r="AF913" t="s">
        <v>6966</v>
      </c>
      <c r="AG913" t="s">
        <v>6966</v>
      </c>
      <c r="AH913" t="s">
        <v>6966</v>
      </c>
      <c r="AI913" t="s">
        <v>6966</v>
      </c>
      <c r="AJ913" t="s">
        <v>6966</v>
      </c>
      <c r="AK913" t="s">
        <v>6966</v>
      </c>
      <c r="AL913" t="s">
        <v>6966</v>
      </c>
      <c r="AM913" t="s">
        <v>6966</v>
      </c>
      <c r="AN913" t="s">
        <v>6966</v>
      </c>
      <c r="AO913" t="s">
        <v>6966</v>
      </c>
      <c r="AP913" t="s">
        <v>6966</v>
      </c>
      <c r="AQ913" t="s">
        <v>6966</v>
      </c>
      <c r="AR913" t="s">
        <v>6966</v>
      </c>
      <c r="AS913" t="s">
        <v>6966</v>
      </c>
      <c r="AT913" t="s">
        <v>6966</v>
      </c>
      <c r="AU913" t="s">
        <v>6966</v>
      </c>
      <c r="AV913" t="s">
        <v>6966</v>
      </c>
      <c r="AW913" t="s">
        <v>6966</v>
      </c>
      <c r="AX913" t="s">
        <v>6966</v>
      </c>
      <c r="AY913" t="s">
        <v>6966</v>
      </c>
      <c r="AZ913">
        <v>0.16444</v>
      </c>
      <c r="BA913">
        <v>7.0600000000000003E-4</v>
      </c>
    </row>
    <row r="914" spans="1:53" x14ac:dyDescent="0.25">
      <c r="A914">
        <v>912</v>
      </c>
      <c r="B914" t="s">
        <v>7625</v>
      </c>
      <c r="C914">
        <v>502006</v>
      </c>
      <c r="D914" t="s">
        <v>36</v>
      </c>
      <c r="E914" t="s">
        <v>36</v>
      </c>
      <c r="F914">
        <v>8727791</v>
      </c>
      <c r="G914">
        <v>17369.240234000001</v>
      </c>
      <c r="H914">
        <v>879</v>
      </c>
      <c r="I914">
        <v>1081</v>
      </c>
      <c r="J914">
        <v>21211</v>
      </c>
      <c r="K914" t="s">
        <v>36</v>
      </c>
      <c r="L914">
        <v>2</v>
      </c>
      <c r="M914">
        <v>2</v>
      </c>
      <c r="N914">
        <v>21211</v>
      </c>
      <c r="O914">
        <v>862</v>
      </c>
      <c r="P914" t="s">
        <v>3212</v>
      </c>
      <c r="Q914">
        <v>34.799999999999997</v>
      </c>
      <c r="R914">
        <v>78.36</v>
      </c>
      <c r="S914">
        <v>9.2899999999999991</v>
      </c>
      <c r="T914">
        <v>24</v>
      </c>
      <c r="U914">
        <v>8727791.1221200004</v>
      </c>
      <c r="V914">
        <v>17369.242028000001</v>
      </c>
      <c r="W914">
        <v>913</v>
      </c>
      <c r="X914">
        <v>5</v>
      </c>
      <c r="Y914">
        <v>912</v>
      </c>
      <c r="Z914">
        <v>60822</v>
      </c>
      <c r="AA914" s="76">
        <v>45766</v>
      </c>
      <c r="AB914">
        <v>2025</v>
      </c>
      <c r="AC914" t="s">
        <v>7183</v>
      </c>
      <c r="AD914">
        <v>19</v>
      </c>
      <c r="AE914" t="s">
        <v>7208</v>
      </c>
      <c r="AF914" t="s">
        <v>3212</v>
      </c>
      <c r="AG914" t="s">
        <v>36</v>
      </c>
      <c r="AH914" t="s">
        <v>36</v>
      </c>
      <c r="AI914" t="s">
        <v>3208</v>
      </c>
      <c r="AJ914" t="s">
        <v>6966</v>
      </c>
      <c r="AK914">
        <v>33.852580000000003</v>
      </c>
      <c r="AL914">
        <v>35.539929999999998</v>
      </c>
      <c r="AM914" t="s">
        <v>6995</v>
      </c>
      <c r="AN914" t="s">
        <v>6995</v>
      </c>
      <c r="AO914" t="s">
        <v>7198</v>
      </c>
      <c r="AP914" t="s">
        <v>7209</v>
      </c>
      <c r="AQ914" t="s">
        <v>6998</v>
      </c>
      <c r="AR914" t="s">
        <v>7048</v>
      </c>
      <c r="AS914" t="s">
        <v>7071</v>
      </c>
      <c r="AT914">
        <v>0</v>
      </c>
      <c r="AU914">
        <v>0</v>
      </c>
      <c r="AV914" t="s">
        <v>7532</v>
      </c>
      <c r="AW914" t="s">
        <v>7119</v>
      </c>
      <c r="AX914" t="s">
        <v>6966</v>
      </c>
      <c r="AY914" t="s">
        <v>7114</v>
      </c>
      <c r="AZ914">
        <v>0.17392099999999999</v>
      </c>
      <c r="BA914">
        <v>8.4999999999999995E-4</v>
      </c>
    </row>
    <row r="915" spans="1:53" x14ac:dyDescent="0.25">
      <c r="A915">
        <v>913</v>
      </c>
      <c r="B915" t="s">
        <v>7625</v>
      </c>
      <c r="C915">
        <v>403002</v>
      </c>
      <c r="D915" t="s">
        <v>1015</v>
      </c>
      <c r="E915" t="s">
        <v>3045</v>
      </c>
      <c r="F915">
        <v>4196602.5</v>
      </c>
      <c r="G915">
        <v>14688.184569999999</v>
      </c>
      <c r="H915">
        <v>880</v>
      </c>
      <c r="I915">
        <v>1082</v>
      </c>
      <c r="J915">
        <v>51323</v>
      </c>
      <c r="K915" t="s">
        <v>2368</v>
      </c>
      <c r="L915">
        <v>15</v>
      </c>
      <c r="M915">
        <v>15</v>
      </c>
      <c r="N915">
        <v>51323</v>
      </c>
      <c r="O915">
        <v>863</v>
      </c>
      <c r="P915" t="s">
        <v>3214</v>
      </c>
      <c r="Q915">
        <v>14.8</v>
      </c>
      <c r="R915">
        <v>116.98</v>
      </c>
      <c r="S915">
        <v>2.96</v>
      </c>
      <c r="T915">
        <v>23</v>
      </c>
      <c r="U915">
        <v>4196602.5917499997</v>
      </c>
      <c r="V915">
        <v>14688.184394</v>
      </c>
      <c r="W915">
        <v>914</v>
      </c>
      <c r="X915">
        <v>0</v>
      </c>
      <c r="Y915">
        <v>913</v>
      </c>
      <c r="Z915" t="s">
        <v>6966</v>
      </c>
      <c r="AA915" t="s">
        <v>6966</v>
      </c>
      <c r="AB915" t="s">
        <v>6966</v>
      </c>
      <c r="AC915" t="s">
        <v>6966</v>
      </c>
      <c r="AD915" t="s">
        <v>6966</v>
      </c>
      <c r="AE915" t="s">
        <v>6966</v>
      </c>
      <c r="AF915" t="s">
        <v>6966</v>
      </c>
      <c r="AG915" t="s">
        <v>6966</v>
      </c>
      <c r="AH915" t="s">
        <v>6966</v>
      </c>
      <c r="AI915" t="s">
        <v>6966</v>
      </c>
      <c r="AJ915" t="s">
        <v>6966</v>
      </c>
      <c r="AK915" t="s">
        <v>6966</v>
      </c>
      <c r="AL915" t="s">
        <v>6966</v>
      </c>
      <c r="AM915" t="s">
        <v>6966</v>
      </c>
      <c r="AN915" t="s">
        <v>6966</v>
      </c>
      <c r="AO915" t="s">
        <v>6966</v>
      </c>
      <c r="AP915" t="s">
        <v>6966</v>
      </c>
      <c r="AQ915" t="s">
        <v>6966</v>
      </c>
      <c r="AR915" t="s">
        <v>6966</v>
      </c>
      <c r="AS915" t="s">
        <v>6966</v>
      </c>
      <c r="AT915" t="s">
        <v>6966</v>
      </c>
      <c r="AU915" t="s">
        <v>6966</v>
      </c>
      <c r="AV915" t="s">
        <v>6966</v>
      </c>
      <c r="AW915" t="s">
        <v>6966</v>
      </c>
      <c r="AX915" t="s">
        <v>6966</v>
      </c>
      <c r="AY915" t="s">
        <v>6966</v>
      </c>
      <c r="AZ915">
        <v>0.14898800000000001</v>
      </c>
      <c r="BA915">
        <v>4.0900000000000002E-4</v>
      </c>
    </row>
    <row r="916" spans="1:53" x14ac:dyDescent="0.25">
      <c r="A916">
        <v>914</v>
      </c>
      <c r="B916" t="s">
        <v>7625</v>
      </c>
      <c r="C916">
        <v>502005</v>
      </c>
      <c r="D916" t="s">
        <v>83</v>
      </c>
      <c r="E916" t="s">
        <v>36</v>
      </c>
      <c r="F916">
        <v>4173298.5</v>
      </c>
      <c r="G916">
        <v>14034.532227</v>
      </c>
      <c r="H916">
        <v>881</v>
      </c>
      <c r="I916">
        <v>1083</v>
      </c>
      <c r="J916">
        <v>21471</v>
      </c>
      <c r="K916" t="s">
        <v>1621</v>
      </c>
      <c r="L916">
        <v>2</v>
      </c>
      <c r="M916">
        <v>2</v>
      </c>
      <c r="N916">
        <v>21471</v>
      </c>
      <c r="O916">
        <v>864</v>
      </c>
      <c r="P916" t="s">
        <v>3212</v>
      </c>
      <c r="Q916">
        <v>0.5</v>
      </c>
      <c r="R916">
        <v>27.98</v>
      </c>
      <c r="S916">
        <v>0.3</v>
      </c>
      <c r="T916">
        <v>16</v>
      </c>
      <c r="U916">
        <v>4173298.5123899998</v>
      </c>
      <c r="V916">
        <v>14034.532869999999</v>
      </c>
      <c r="W916">
        <v>915</v>
      </c>
      <c r="X916">
        <v>0</v>
      </c>
      <c r="Y916">
        <v>914</v>
      </c>
      <c r="Z916" t="s">
        <v>6966</v>
      </c>
      <c r="AA916" t="s">
        <v>6966</v>
      </c>
      <c r="AB916" t="s">
        <v>6966</v>
      </c>
      <c r="AC916" t="s">
        <v>6966</v>
      </c>
      <c r="AD916" t="s">
        <v>6966</v>
      </c>
      <c r="AE916" t="s">
        <v>6966</v>
      </c>
      <c r="AF916" t="s">
        <v>6966</v>
      </c>
      <c r="AG916" t="s">
        <v>6966</v>
      </c>
      <c r="AH916" t="s">
        <v>6966</v>
      </c>
      <c r="AI916" t="s">
        <v>6966</v>
      </c>
      <c r="AJ916" t="s">
        <v>6966</v>
      </c>
      <c r="AK916" t="s">
        <v>6966</v>
      </c>
      <c r="AL916" t="s">
        <v>6966</v>
      </c>
      <c r="AM916" t="s">
        <v>6966</v>
      </c>
      <c r="AN916" t="s">
        <v>6966</v>
      </c>
      <c r="AO916" t="s">
        <v>6966</v>
      </c>
      <c r="AP916" t="s">
        <v>6966</v>
      </c>
      <c r="AQ916" t="s">
        <v>6966</v>
      </c>
      <c r="AR916" t="s">
        <v>6966</v>
      </c>
      <c r="AS916" t="s">
        <v>6966</v>
      </c>
      <c r="AT916" t="s">
        <v>6966</v>
      </c>
      <c r="AU916" t="s">
        <v>6966</v>
      </c>
      <c r="AV916" t="s">
        <v>6966</v>
      </c>
      <c r="AW916" t="s">
        <v>6966</v>
      </c>
      <c r="AX916" t="s">
        <v>6966</v>
      </c>
      <c r="AY916" t="s">
        <v>6966</v>
      </c>
      <c r="AZ916">
        <v>0.142128</v>
      </c>
      <c r="BA916">
        <v>4.06E-4</v>
      </c>
    </row>
    <row r="917" spans="1:53" x14ac:dyDescent="0.25">
      <c r="A917">
        <v>915</v>
      </c>
      <c r="B917" t="s">
        <v>7625</v>
      </c>
      <c r="C917">
        <v>403050</v>
      </c>
      <c r="D917" t="s">
        <v>7897</v>
      </c>
      <c r="E917" t="s">
        <v>3045</v>
      </c>
      <c r="F917">
        <v>0</v>
      </c>
      <c r="G917">
        <v>35213.046875</v>
      </c>
      <c r="H917">
        <v>882</v>
      </c>
      <c r="I917">
        <v>1084</v>
      </c>
      <c r="J917">
        <v>51133</v>
      </c>
      <c r="K917" t="s">
        <v>7898</v>
      </c>
      <c r="L917">
        <v>15</v>
      </c>
      <c r="M917">
        <v>15</v>
      </c>
      <c r="N917">
        <v>51183</v>
      </c>
      <c r="O917">
        <v>865</v>
      </c>
      <c r="P917" t="s">
        <v>3214</v>
      </c>
      <c r="Q917">
        <v>3.2</v>
      </c>
      <c r="R917">
        <v>86.13</v>
      </c>
      <c r="S917">
        <v>0</v>
      </c>
      <c r="T917">
        <v>0</v>
      </c>
      <c r="U917">
        <v>0</v>
      </c>
      <c r="V917">
        <v>35213.048293</v>
      </c>
      <c r="W917">
        <v>916</v>
      </c>
      <c r="X917">
        <v>0</v>
      </c>
      <c r="Y917">
        <v>915</v>
      </c>
      <c r="Z917" t="s">
        <v>6966</v>
      </c>
      <c r="AA917" t="s">
        <v>6966</v>
      </c>
      <c r="AB917" t="s">
        <v>6966</v>
      </c>
      <c r="AC917" t="s">
        <v>6966</v>
      </c>
      <c r="AD917" t="s">
        <v>6966</v>
      </c>
      <c r="AE917" t="s">
        <v>6966</v>
      </c>
      <c r="AF917" t="s">
        <v>6966</v>
      </c>
      <c r="AG917" t="s">
        <v>6966</v>
      </c>
      <c r="AH917" t="s">
        <v>6966</v>
      </c>
      <c r="AI917" t="s">
        <v>6966</v>
      </c>
      <c r="AJ917" t="s">
        <v>6966</v>
      </c>
      <c r="AK917" t="s">
        <v>6966</v>
      </c>
      <c r="AL917" t="s">
        <v>6966</v>
      </c>
      <c r="AM917" t="s">
        <v>6966</v>
      </c>
      <c r="AN917" t="s">
        <v>6966</v>
      </c>
      <c r="AO917" t="s">
        <v>6966</v>
      </c>
      <c r="AP917" t="s">
        <v>6966</v>
      </c>
      <c r="AQ917" t="s">
        <v>6966</v>
      </c>
      <c r="AR917" t="s">
        <v>6966</v>
      </c>
      <c r="AS917" t="s">
        <v>6966</v>
      </c>
      <c r="AT917" t="s">
        <v>6966</v>
      </c>
      <c r="AU917" t="s">
        <v>6966</v>
      </c>
      <c r="AV917" t="s">
        <v>6966</v>
      </c>
      <c r="AW917" t="s">
        <v>6966</v>
      </c>
      <c r="AX917" t="s">
        <v>6966</v>
      </c>
      <c r="AY917" t="s">
        <v>6966</v>
      </c>
      <c r="AZ917">
        <v>0.34564499999999998</v>
      </c>
      <c r="BA917">
        <v>1.4920000000000001E-3</v>
      </c>
    </row>
    <row r="918" spans="1:53" x14ac:dyDescent="0.25">
      <c r="A918">
        <v>916</v>
      </c>
      <c r="B918" t="s">
        <v>7625</v>
      </c>
      <c r="C918">
        <v>502051</v>
      </c>
      <c r="D918" t="s">
        <v>58</v>
      </c>
      <c r="E918" t="s">
        <v>36</v>
      </c>
      <c r="F918">
        <v>0</v>
      </c>
      <c r="G918">
        <v>23972.75</v>
      </c>
      <c r="H918">
        <v>883</v>
      </c>
      <c r="I918">
        <v>1085</v>
      </c>
      <c r="J918">
        <v>21351</v>
      </c>
      <c r="K918" t="s">
        <v>1601</v>
      </c>
      <c r="L918">
        <v>2</v>
      </c>
      <c r="M918">
        <v>2</v>
      </c>
      <c r="N918">
        <v>21351</v>
      </c>
      <c r="O918">
        <v>866</v>
      </c>
      <c r="P918" t="s">
        <v>3212</v>
      </c>
      <c r="Q918">
        <v>3.3</v>
      </c>
      <c r="R918">
        <v>58.9</v>
      </c>
      <c r="S918">
        <v>0.98</v>
      </c>
      <c r="T918">
        <v>17</v>
      </c>
      <c r="U918">
        <v>0</v>
      </c>
      <c r="V918">
        <v>23972.748642999999</v>
      </c>
      <c r="W918">
        <v>917</v>
      </c>
      <c r="X918">
        <v>0</v>
      </c>
      <c r="Y918">
        <v>916</v>
      </c>
      <c r="Z918" t="s">
        <v>6966</v>
      </c>
      <c r="AA918" t="s">
        <v>6966</v>
      </c>
      <c r="AB918" t="s">
        <v>6966</v>
      </c>
      <c r="AC918" t="s">
        <v>6966</v>
      </c>
      <c r="AD918" t="s">
        <v>6966</v>
      </c>
      <c r="AE918" t="s">
        <v>6966</v>
      </c>
      <c r="AF918" t="s">
        <v>6966</v>
      </c>
      <c r="AG918" t="s">
        <v>6966</v>
      </c>
      <c r="AH918" t="s">
        <v>6966</v>
      </c>
      <c r="AI918" t="s">
        <v>6966</v>
      </c>
      <c r="AJ918" t="s">
        <v>6966</v>
      </c>
      <c r="AK918" t="s">
        <v>6966</v>
      </c>
      <c r="AL918" t="s">
        <v>6966</v>
      </c>
      <c r="AM918" t="s">
        <v>6966</v>
      </c>
      <c r="AN918" t="s">
        <v>6966</v>
      </c>
      <c r="AO918" t="s">
        <v>6966</v>
      </c>
      <c r="AP918" t="s">
        <v>6966</v>
      </c>
      <c r="AQ918" t="s">
        <v>6966</v>
      </c>
      <c r="AR918" t="s">
        <v>6966</v>
      </c>
      <c r="AS918" t="s">
        <v>6966</v>
      </c>
      <c r="AT918" t="s">
        <v>6966</v>
      </c>
      <c r="AU918" t="s">
        <v>6966</v>
      </c>
      <c r="AV918" t="s">
        <v>6966</v>
      </c>
      <c r="AW918" t="s">
        <v>6966</v>
      </c>
      <c r="AX918" t="s">
        <v>6966</v>
      </c>
      <c r="AY918" t="s">
        <v>6966</v>
      </c>
      <c r="AZ918">
        <v>0.24124300000000001</v>
      </c>
      <c r="BA918">
        <v>1.2650000000000001E-3</v>
      </c>
    </row>
    <row r="919" spans="1:53" x14ac:dyDescent="0.25">
      <c r="A919">
        <v>917</v>
      </c>
      <c r="B919" t="s">
        <v>7625</v>
      </c>
      <c r="C919">
        <v>506065</v>
      </c>
      <c r="D919" t="s">
        <v>106</v>
      </c>
      <c r="E919" t="s">
        <v>7823</v>
      </c>
      <c r="F919">
        <v>2619890.25</v>
      </c>
      <c r="G919">
        <v>8960.5517579999996</v>
      </c>
      <c r="H919">
        <v>884</v>
      </c>
      <c r="I919">
        <v>1086</v>
      </c>
      <c r="J919">
        <v>22411</v>
      </c>
      <c r="K919" t="s">
        <v>1641</v>
      </c>
      <c r="L919">
        <v>3</v>
      </c>
      <c r="M919">
        <v>3</v>
      </c>
      <c r="N919">
        <v>22411</v>
      </c>
      <c r="O919">
        <v>867</v>
      </c>
      <c r="P919" t="s">
        <v>3212</v>
      </c>
      <c r="Q919">
        <v>41.8</v>
      </c>
      <c r="R919">
        <v>143.69</v>
      </c>
      <c r="S919">
        <v>10.23</v>
      </c>
      <c r="T919">
        <v>35</v>
      </c>
      <c r="U919">
        <v>2619890.24841</v>
      </c>
      <c r="V919">
        <v>8960.5534079999998</v>
      </c>
      <c r="W919">
        <v>918</v>
      </c>
      <c r="X919">
        <v>1</v>
      </c>
      <c r="Y919">
        <v>917</v>
      </c>
      <c r="Z919">
        <v>63422</v>
      </c>
      <c r="AA919" s="76">
        <v>45808</v>
      </c>
      <c r="AB919">
        <v>2025</v>
      </c>
      <c r="AC919" t="s">
        <v>7215</v>
      </c>
      <c r="AD919">
        <v>31</v>
      </c>
      <c r="AE919" t="s">
        <v>7294</v>
      </c>
      <c r="AF919" t="s">
        <v>3212</v>
      </c>
      <c r="AG919" t="s">
        <v>3224</v>
      </c>
      <c r="AH919" t="s">
        <v>106</v>
      </c>
      <c r="AI919" t="s">
        <v>3062</v>
      </c>
      <c r="AJ919" t="s">
        <v>6966</v>
      </c>
      <c r="AK919">
        <v>33.857390000000002</v>
      </c>
      <c r="AL919">
        <v>35.5715</v>
      </c>
      <c r="AM919" t="s">
        <v>7295</v>
      </c>
      <c r="AN919" t="s">
        <v>7028</v>
      </c>
      <c r="AO919" t="s">
        <v>7008</v>
      </c>
      <c r="AP919" t="s">
        <v>7296</v>
      </c>
      <c r="AQ919" t="s">
        <v>6998</v>
      </c>
      <c r="AR919" t="s">
        <v>6999</v>
      </c>
      <c r="AS919" t="s">
        <v>7000</v>
      </c>
      <c r="AT919">
        <v>0</v>
      </c>
      <c r="AU919">
        <v>0</v>
      </c>
      <c r="AV919" t="s">
        <v>7297</v>
      </c>
      <c r="AW919" t="s">
        <v>7043</v>
      </c>
      <c r="AX919" t="s">
        <v>7129</v>
      </c>
      <c r="AY919" t="s">
        <v>7003</v>
      </c>
      <c r="AZ919">
        <v>9.0025999999999995E-2</v>
      </c>
      <c r="BA919">
        <v>2.5500000000000002E-4</v>
      </c>
    </row>
    <row r="920" spans="1:53" x14ac:dyDescent="0.25">
      <c r="A920">
        <v>918</v>
      </c>
      <c r="B920" t="s">
        <v>7625</v>
      </c>
      <c r="C920">
        <v>502028</v>
      </c>
      <c r="D920" t="s">
        <v>32</v>
      </c>
      <c r="E920" t="s">
        <v>36</v>
      </c>
      <c r="F920">
        <v>1818932</v>
      </c>
      <c r="G920">
        <v>7916.8330079999996</v>
      </c>
      <c r="H920">
        <v>885</v>
      </c>
      <c r="I920">
        <v>1087</v>
      </c>
      <c r="J920">
        <v>21144</v>
      </c>
      <c r="K920" t="s">
        <v>7899</v>
      </c>
      <c r="L920">
        <v>2</v>
      </c>
      <c r="M920">
        <v>2</v>
      </c>
      <c r="N920">
        <v>21144</v>
      </c>
      <c r="O920">
        <v>868</v>
      </c>
      <c r="P920" t="s">
        <v>3212</v>
      </c>
      <c r="Q920">
        <v>358.9</v>
      </c>
      <c r="R920">
        <v>382.61</v>
      </c>
      <c r="S920">
        <v>87.96</v>
      </c>
      <c r="T920">
        <v>94</v>
      </c>
      <c r="U920">
        <v>1818931.9228000001</v>
      </c>
      <c r="V920">
        <v>7916.8335930000003</v>
      </c>
      <c r="W920">
        <v>919</v>
      </c>
      <c r="X920">
        <v>4</v>
      </c>
      <c r="Y920">
        <v>918</v>
      </c>
      <c r="Z920">
        <v>55128</v>
      </c>
      <c r="AA920" s="76">
        <v>45666</v>
      </c>
      <c r="AB920">
        <v>2025</v>
      </c>
      <c r="AC920" t="s">
        <v>6992</v>
      </c>
      <c r="AD920">
        <v>9</v>
      </c>
      <c r="AE920" t="s">
        <v>7033</v>
      </c>
      <c r="AF920" t="s">
        <v>3212</v>
      </c>
      <c r="AG920" t="s">
        <v>36</v>
      </c>
      <c r="AH920" t="s">
        <v>32</v>
      </c>
      <c r="AI920" t="s">
        <v>7034</v>
      </c>
      <c r="AJ920" t="s">
        <v>6966</v>
      </c>
      <c r="AK920">
        <v>33.852899999999998</v>
      </c>
      <c r="AL920">
        <v>35.508800000000001</v>
      </c>
      <c r="AM920" t="s">
        <v>7014</v>
      </c>
      <c r="AN920" t="s">
        <v>7014</v>
      </c>
      <c r="AO920" t="s">
        <v>7008</v>
      </c>
      <c r="AP920" t="s">
        <v>7035</v>
      </c>
      <c r="AQ920" t="s">
        <v>6998</v>
      </c>
      <c r="AR920" t="s">
        <v>6999</v>
      </c>
      <c r="AS920" t="s">
        <v>7036</v>
      </c>
      <c r="AT920">
        <v>0</v>
      </c>
      <c r="AU920">
        <v>0</v>
      </c>
      <c r="AV920" t="s">
        <v>7380</v>
      </c>
      <c r="AW920" t="s">
        <v>7011</v>
      </c>
      <c r="AX920" t="s">
        <v>6966</v>
      </c>
      <c r="AY920" t="s">
        <v>7003</v>
      </c>
      <c r="AZ920">
        <v>7.7584E-2</v>
      </c>
      <c r="BA920">
        <v>1.7699999999999999E-4</v>
      </c>
    </row>
    <row r="921" spans="1:53" x14ac:dyDescent="0.25">
      <c r="A921">
        <v>919</v>
      </c>
      <c r="B921" t="s">
        <v>7625</v>
      </c>
      <c r="C921">
        <v>403041</v>
      </c>
      <c r="D921" t="s">
        <v>1013</v>
      </c>
      <c r="E921" t="s">
        <v>3045</v>
      </c>
      <c r="F921">
        <v>3320907.25</v>
      </c>
      <c r="G921">
        <v>9623.7958980000003</v>
      </c>
      <c r="H921">
        <v>886</v>
      </c>
      <c r="I921">
        <v>1088</v>
      </c>
      <c r="J921">
        <v>51311</v>
      </c>
      <c r="K921" t="s">
        <v>2366</v>
      </c>
      <c r="L921">
        <v>15</v>
      </c>
      <c r="M921">
        <v>15</v>
      </c>
      <c r="N921">
        <v>51311</v>
      </c>
      <c r="O921">
        <v>869</v>
      </c>
      <c r="P921" t="s">
        <v>3214</v>
      </c>
      <c r="Q921">
        <v>11.7</v>
      </c>
      <c r="R921">
        <v>63.4</v>
      </c>
      <c r="S921">
        <v>2.5099999999999998</v>
      </c>
      <c r="T921">
        <v>14</v>
      </c>
      <c r="U921">
        <v>3320907.2663699999</v>
      </c>
      <c r="V921">
        <v>9623.7967489999992</v>
      </c>
      <c r="W921">
        <v>920</v>
      </c>
      <c r="X921">
        <v>2</v>
      </c>
      <c r="Y921">
        <v>919</v>
      </c>
      <c r="Z921">
        <v>60470</v>
      </c>
      <c r="AA921" s="76">
        <v>45758</v>
      </c>
      <c r="AB921">
        <v>2025</v>
      </c>
      <c r="AC921" t="s">
        <v>7183</v>
      </c>
      <c r="AD921">
        <v>11</v>
      </c>
      <c r="AE921" t="s">
        <v>7200</v>
      </c>
      <c r="AF921" t="s">
        <v>3214</v>
      </c>
      <c r="AG921" t="s">
        <v>3045</v>
      </c>
      <c r="AH921" t="s">
        <v>1013</v>
      </c>
      <c r="AI921" t="s">
        <v>2366</v>
      </c>
      <c r="AJ921" t="s">
        <v>6966</v>
      </c>
      <c r="AK921">
        <v>33.849170000000001</v>
      </c>
      <c r="AL921">
        <v>36.011159999999997</v>
      </c>
      <c r="AM921" t="s">
        <v>7059</v>
      </c>
      <c r="AN921" t="s">
        <v>6966</v>
      </c>
      <c r="AO921" t="s">
        <v>7086</v>
      </c>
      <c r="AP921" t="s">
        <v>7201</v>
      </c>
      <c r="AQ921" t="s">
        <v>6998</v>
      </c>
      <c r="AR921" t="s">
        <v>6999</v>
      </c>
      <c r="AS921" t="s">
        <v>7000</v>
      </c>
      <c r="AT921">
        <v>0</v>
      </c>
      <c r="AU921">
        <v>0</v>
      </c>
      <c r="AV921" t="s">
        <v>7900</v>
      </c>
      <c r="AW921" t="s">
        <v>7202</v>
      </c>
      <c r="AX921" t="s">
        <v>7043</v>
      </c>
      <c r="AY921" t="s">
        <v>7114</v>
      </c>
      <c r="AZ921">
        <v>9.5211000000000004E-2</v>
      </c>
      <c r="BA921">
        <v>3.2299999999999999E-4</v>
      </c>
    </row>
    <row r="922" spans="1:53" x14ac:dyDescent="0.25">
      <c r="A922">
        <v>920</v>
      </c>
      <c r="B922" t="s">
        <v>7625</v>
      </c>
      <c r="C922">
        <v>201060</v>
      </c>
      <c r="D922" t="s">
        <v>1144</v>
      </c>
      <c r="E922" t="s">
        <v>1069</v>
      </c>
      <c r="F922">
        <v>0</v>
      </c>
      <c r="G922">
        <v>16554.726563</v>
      </c>
      <c r="H922">
        <v>887</v>
      </c>
      <c r="I922">
        <v>1089</v>
      </c>
      <c r="J922">
        <v>53461</v>
      </c>
      <c r="K922" t="s">
        <v>1144</v>
      </c>
      <c r="L922">
        <v>17</v>
      </c>
      <c r="M922">
        <v>17</v>
      </c>
      <c r="N922">
        <v>53461</v>
      </c>
      <c r="O922">
        <v>870</v>
      </c>
      <c r="P922" t="s">
        <v>3214</v>
      </c>
      <c r="Q922">
        <v>1.1000000000000001</v>
      </c>
      <c r="R922">
        <v>75.790000000000006</v>
      </c>
      <c r="S922">
        <v>0.22</v>
      </c>
      <c r="T922">
        <v>15</v>
      </c>
      <c r="U922">
        <v>0</v>
      </c>
      <c r="V922">
        <v>16554.726321999999</v>
      </c>
      <c r="W922">
        <v>921</v>
      </c>
      <c r="X922">
        <v>0</v>
      </c>
      <c r="Y922">
        <v>920</v>
      </c>
      <c r="Z922" t="s">
        <v>6966</v>
      </c>
      <c r="AA922" t="s">
        <v>6966</v>
      </c>
      <c r="AB922" t="s">
        <v>6966</v>
      </c>
      <c r="AC922" t="s">
        <v>6966</v>
      </c>
      <c r="AD922" t="s">
        <v>6966</v>
      </c>
      <c r="AE922" t="s">
        <v>6966</v>
      </c>
      <c r="AF922" t="s">
        <v>6966</v>
      </c>
      <c r="AG922" t="s">
        <v>6966</v>
      </c>
      <c r="AH922" t="s">
        <v>6966</v>
      </c>
      <c r="AI922" t="s">
        <v>6966</v>
      </c>
      <c r="AJ922" t="s">
        <v>6966</v>
      </c>
      <c r="AK922" t="s">
        <v>6966</v>
      </c>
      <c r="AL922" t="s">
        <v>6966</v>
      </c>
      <c r="AM922" t="s">
        <v>6966</v>
      </c>
      <c r="AN922" t="s">
        <v>6966</v>
      </c>
      <c r="AO922" t="s">
        <v>6966</v>
      </c>
      <c r="AP922" t="s">
        <v>6966</v>
      </c>
      <c r="AQ922" t="s">
        <v>6966</v>
      </c>
      <c r="AR922" t="s">
        <v>6966</v>
      </c>
      <c r="AS922" t="s">
        <v>6966</v>
      </c>
      <c r="AT922" t="s">
        <v>6966</v>
      </c>
      <c r="AU922" t="s">
        <v>6966</v>
      </c>
      <c r="AV922" t="s">
        <v>6966</v>
      </c>
      <c r="AW922" t="s">
        <v>6966</v>
      </c>
      <c r="AX922" t="s">
        <v>6966</v>
      </c>
      <c r="AY922" t="s">
        <v>6966</v>
      </c>
      <c r="AZ922">
        <v>0.16503100000000001</v>
      </c>
      <c r="BA922">
        <v>1.0529999999999999E-3</v>
      </c>
    </row>
    <row r="923" spans="1:53" x14ac:dyDescent="0.25">
      <c r="A923">
        <v>921</v>
      </c>
      <c r="B923" t="s">
        <v>7625</v>
      </c>
      <c r="C923">
        <v>502024</v>
      </c>
      <c r="D923" t="s">
        <v>37</v>
      </c>
      <c r="E923" t="s">
        <v>36</v>
      </c>
      <c r="F923">
        <v>5518675.5</v>
      </c>
      <c r="G923">
        <v>13719.015625</v>
      </c>
      <c r="H923">
        <v>888</v>
      </c>
      <c r="I923">
        <v>1090</v>
      </c>
      <c r="J923">
        <v>21219</v>
      </c>
      <c r="K923" t="s">
        <v>1583</v>
      </c>
      <c r="L923">
        <v>2</v>
      </c>
      <c r="M923">
        <v>2</v>
      </c>
      <c r="N923">
        <v>21219</v>
      </c>
      <c r="O923">
        <v>871</v>
      </c>
      <c r="P923" t="s">
        <v>3212</v>
      </c>
      <c r="Q923">
        <v>43.8</v>
      </c>
      <c r="R923">
        <v>102.21</v>
      </c>
      <c r="S923">
        <v>12.73</v>
      </c>
      <c r="T923">
        <v>31</v>
      </c>
      <c r="U923">
        <v>5518675.6897200001</v>
      </c>
      <c r="V923">
        <v>13719.014899</v>
      </c>
      <c r="W923">
        <v>922</v>
      </c>
      <c r="X923">
        <v>0</v>
      </c>
      <c r="Y923">
        <v>921</v>
      </c>
      <c r="Z923" t="s">
        <v>6966</v>
      </c>
      <c r="AA923" t="s">
        <v>6966</v>
      </c>
      <c r="AB923" t="s">
        <v>6966</v>
      </c>
      <c r="AC923" t="s">
        <v>6966</v>
      </c>
      <c r="AD923" t="s">
        <v>6966</v>
      </c>
      <c r="AE923" t="s">
        <v>6966</v>
      </c>
      <c r="AF923" t="s">
        <v>6966</v>
      </c>
      <c r="AG923" t="s">
        <v>6966</v>
      </c>
      <c r="AH923" t="s">
        <v>6966</v>
      </c>
      <c r="AI923" t="s">
        <v>6966</v>
      </c>
      <c r="AJ923" t="s">
        <v>6966</v>
      </c>
      <c r="AK923" t="s">
        <v>6966</v>
      </c>
      <c r="AL923" t="s">
        <v>6966</v>
      </c>
      <c r="AM923" t="s">
        <v>6966</v>
      </c>
      <c r="AN923" t="s">
        <v>6966</v>
      </c>
      <c r="AO923" t="s">
        <v>6966</v>
      </c>
      <c r="AP923" t="s">
        <v>6966</v>
      </c>
      <c r="AQ923" t="s">
        <v>6966</v>
      </c>
      <c r="AR923" t="s">
        <v>6966</v>
      </c>
      <c r="AS923" t="s">
        <v>6966</v>
      </c>
      <c r="AT923" t="s">
        <v>6966</v>
      </c>
      <c r="AU923" t="s">
        <v>6966</v>
      </c>
      <c r="AV923" t="s">
        <v>6966</v>
      </c>
      <c r="AW923" t="s">
        <v>6966</v>
      </c>
      <c r="AX923" t="s">
        <v>6966</v>
      </c>
      <c r="AY923" t="s">
        <v>6966</v>
      </c>
      <c r="AZ923">
        <v>0.13644400000000001</v>
      </c>
      <c r="BA923">
        <v>5.3700000000000004E-4</v>
      </c>
    </row>
    <row r="924" spans="1:53" x14ac:dyDescent="0.25">
      <c r="A924">
        <v>922</v>
      </c>
      <c r="B924" t="s">
        <v>7625</v>
      </c>
      <c r="C924">
        <v>403013</v>
      </c>
      <c r="D924" t="s">
        <v>1017</v>
      </c>
      <c r="E924" t="s">
        <v>3045</v>
      </c>
      <c r="F924">
        <v>950334.9375</v>
      </c>
      <c r="G924">
        <v>5056.6342770000001</v>
      </c>
      <c r="H924">
        <v>889</v>
      </c>
      <c r="I924">
        <v>1091</v>
      </c>
      <c r="J924">
        <v>51335</v>
      </c>
      <c r="K924" t="s">
        <v>2370</v>
      </c>
      <c r="L924">
        <v>15</v>
      </c>
      <c r="M924">
        <v>15</v>
      </c>
      <c r="N924">
        <v>51335</v>
      </c>
      <c r="O924">
        <v>872</v>
      </c>
      <c r="P924" t="s">
        <v>3214</v>
      </c>
      <c r="Q924">
        <v>0</v>
      </c>
      <c r="R924">
        <v>0</v>
      </c>
      <c r="S924">
        <v>7.0000000000000007E-2</v>
      </c>
      <c r="T924">
        <v>0</v>
      </c>
      <c r="U924">
        <v>950334.98468899995</v>
      </c>
      <c r="V924">
        <v>5056.6345149999997</v>
      </c>
      <c r="W924">
        <v>923</v>
      </c>
      <c r="X924">
        <v>0</v>
      </c>
      <c r="Y924">
        <v>922</v>
      </c>
      <c r="Z924" t="s">
        <v>6966</v>
      </c>
      <c r="AA924" t="s">
        <v>6966</v>
      </c>
      <c r="AB924" t="s">
        <v>6966</v>
      </c>
      <c r="AC924" t="s">
        <v>6966</v>
      </c>
      <c r="AD924" t="s">
        <v>6966</v>
      </c>
      <c r="AE924" t="s">
        <v>6966</v>
      </c>
      <c r="AF924" t="s">
        <v>6966</v>
      </c>
      <c r="AG924" t="s">
        <v>6966</v>
      </c>
      <c r="AH924" t="s">
        <v>6966</v>
      </c>
      <c r="AI924" t="s">
        <v>6966</v>
      </c>
      <c r="AJ924" t="s">
        <v>6966</v>
      </c>
      <c r="AK924" t="s">
        <v>6966</v>
      </c>
      <c r="AL924" t="s">
        <v>6966</v>
      </c>
      <c r="AM924" t="s">
        <v>6966</v>
      </c>
      <c r="AN924" t="s">
        <v>6966</v>
      </c>
      <c r="AO924" t="s">
        <v>6966</v>
      </c>
      <c r="AP924" t="s">
        <v>6966</v>
      </c>
      <c r="AQ924" t="s">
        <v>6966</v>
      </c>
      <c r="AR924" t="s">
        <v>6966</v>
      </c>
      <c r="AS924" t="s">
        <v>6966</v>
      </c>
      <c r="AT924" t="s">
        <v>6966</v>
      </c>
      <c r="AU924" t="s">
        <v>6966</v>
      </c>
      <c r="AV924" t="s">
        <v>6966</v>
      </c>
      <c r="AW924" t="s">
        <v>6966</v>
      </c>
      <c r="AX924" t="s">
        <v>6966</v>
      </c>
      <c r="AY924" t="s">
        <v>6966</v>
      </c>
      <c r="AZ924">
        <v>5.0783000000000002E-2</v>
      </c>
      <c r="BA924">
        <v>9.2999999999999997E-5</v>
      </c>
    </row>
    <row r="925" spans="1:53" x14ac:dyDescent="0.25">
      <c r="A925">
        <v>923</v>
      </c>
      <c r="B925" t="s">
        <v>7625</v>
      </c>
      <c r="C925">
        <v>502019</v>
      </c>
      <c r="D925" t="s">
        <v>63</v>
      </c>
      <c r="E925" t="s">
        <v>36</v>
      </c>
      <c r="F925">
        <v>2337495.25</v>
      </c>
      <c r="G925">
        <v>9863.6679690000001</v>
      </c>
      <c r="H925">
        <v>890</v>
      </c>
      <c r="I925">
        <v>1092</v>
      </c>
      <c r="J925">
        <v>21367</v>
      </c>
      <c r="K925" t="s">
        <v>1605</v>
      </c>
      <c r="L925">
        <v>2</v>
      </c>
      <c r="M925">
        <v>2</v>
      </c>
      <c r="N925">
        <v>21367</v>
      </c>
      <c r="O925">
        <v>873</v>
      </c>
      <c r="P925" t="s">
        <v>3212</v>
      </c>
      <c r="Q925">
        <v>1.8</v>
      </c>
      <c r="R925">
        <v>31.58</v>
      </c>
      <c r="S925">
        <v>0.84</v>
      </c>
      <c r="T925">
        <v>15</v>
      </c>
      <c r="U925">
        <v>2337495.31183</v>
      </c>
      <c r="V925">
        <v>9863.6678589999992</v>
      </c>
      <c r="W925">
        <v>924</v>
      </c>
      <c r="X925">
        <v>0</v>
      </c>
      <c r="Y925">
        <v>923</v>
      </c>
      <c r="Z925" t="s">
        <v>6966</v>
      </c>
      <c r="AA925" t="s">
        <v>6966</v>
      </c>
      <c r="AB925" t="s">
        <v>6966</v>
      </c>
      <c r="AC925" t="s">
        <v>6966</v>
      </c>
      <c r="AD925" t="s">
        <v>6966</v>
      </c>
      <c r="AE925" t="s">
        <v>6966</v>
      </c>
      <c r="AF925" t="s">
        <v>6966</v>
      </c>
      <c r="AG925" t="s">
        <v>6966</v>
      </c>
      <c r="AH925" t="s">
        <v>6966</v>
      </c>
      <c r="AI925" t="s">
        <v>6966</v>
      </c>
      <c r="AJ925" t="s">
        <v>6966</v>
      </c>
      <c r="AK925" t="s">
        <v>6966</v>
      </c>
      <c r="AL925" t="s">
        <v>6966</v>
      </c>
      <c r="AM925" t="s">
        <v>6966</v>
      </c>
      <c r="AN925" t="s">
        <v>6966</v>
      </c>
      <c r="AO925" t="s">
        <v>6966</v>
      </c>
      <c r="AP925" t="s">
        <v>6966</v>
      </c>
      <c r="AQ925" t="s">
        <v>6966</v>
      </c>
      <c r="AR925" t="s">
        <v>6966</v>
      </c>
      <c r="AS925" t="s">
        <v>6966</v>
      </c>
      <c r="AT925" t="s">
        <v>6966</v>
      </c>
      <c r="AU925" t="s">
        <v>6966</v>
      </c>
      <c r="AV925" t="s">
        <v>6966</v>
      </c>
      <c r="AW925" t="s">
        <v>6966</v>
      </c>
      <c r="AX925" t="s">
        <v>6966</v>
      </c>
      <c r="AY925" t="s">
        <v>6966</v>
      </c>
      <c r="AZ925">
        <v>9.9038000000000001E-2</v>
      </c>
      <c r="BA925">
        <v>2.2800000000000001E-4</v>
      </c>
    </row>
    <row r="926" spans="1:53" x14ac:dyDescent="0.25">
      <c r="A926">
        <v>924</v>
      </c>
      <c r="B926" t="s">
        <v>7625</v>
      </c>
      <c r="C926">
        <v>502032</v>
      </c>
      <c r="D926" t="s">
        <v>86</v>
      </c>
      <c r="E926" t="s">
        <v>36</v>
      </c>
      <c r="F926">
        <v>374101.5625</v>
      </c>
      <c r="G926">
        <v>3640.755615</v>
      </c>
      <c r="H926">
        <v>891</v>
      </c>
      <c r="I926">
        <v>1093</v>
      </c>
      <c r="J926">
        <v>21487</v>
      </c>
      <c r="K926" t="s">
        <v>1623</v>
      </c>
      <c r="L926">
        <v>2</v>
      </c>
      <c r="M926">
        <v>2</v>
      </c>
      <c r="N926">
        <v>21487</v>
      </c>
      <c r="O926">
        <v>874</v>
      </c>
      <c r="P926" t="s">
        <v>3212</v>
      </c>
      <c r="Q926">
        <v>1.6</v>
      </c>
      <c r="R926">
        <v>88.76</v>
      </c>
      <c r="S926">
        <v>0.83</v>
      </c>
      <c r="T926">
        <v>47</v>
      </c>
      <c r="U926">
        <v>374101.50430099998</v>
      </c>
      <c r="V926">
        <v>3640.7557109999998</v>
      </c>
      <c r="W926">
        <v>925</v>
      </c>
      <c r="X926">
        <v>0</v>
      </c>
      <c r="Y926">
        <v>924</v>
      </c>
      <c r="Z926" t="s">
        <v>6966</v>
      </c>
      <c r="AA926" t="s">
        <v>6966</v>
      </c>
      <c r="AB926" t="s">
        <v>6966</v>
      </c>
      <c r="AC926" t="s">
        <v>6966</v>
      </c>
      <c r="AD926" t="s">
        <v>6966</v>
      </c>
      <c r="AE926" t="s">
        <v>6966</v>
      </c>
      <c r="AF926" t="s">
        <v>6966</v>
      </c>
      <c r="AG926" t="s">
        <v>6966</v>
      </c>
      <c r="AH926" t="s">
        <v>6966</v>
      </c>
      <c r="AI926" t="s">
        <v>6966</v>
      </c>
      <c r="AJ926" t="s">
        <v>6966</v>
      </c>
      <c r="AK926" t="s">
        <v>6966</v>
      </c>
      <c r="AL926" t="s">
        <v>6966</v>
      </c>
      <c r="AM926" t="s">
        <v>6966</v>
      </c>
      <c r="AN926" t="s">
        <v>6966</v>
      </c>
      <c r="AO926" t="s">
        <v>6966</v>
      </c>
      <c r="AP926" t="s">
        <v>6966</v>
      </c>
      <c r="AQ926" t="s">
        <v>6966</v>
      </c>
      <c r="AR926" t="s">
        <v>6966</v>
      </c>
      <c r="AS926" t="s">
        <v>6966</v>
      </c>
      <c r="AT926" t="s">
        <v>6966</v>
      </c>
      <c r="AU926" t="s">
        <v>6966</v>
      </c>
      <c r="AV926" t="s">
        <v>6966</v>
      </c>
      <c r="AW926" t="s">
        <v>6966</v>
      </c>
      <c r="AX926" t="s">
        <v>6966</v>
      </c>
      <c r="AY926" t="s">
        <v>6966</v>
      </c>
      <c r="AZ926">
        <v>3.6452999999999999E-2</v>
      </c>
      <c r="BA926">
        <v>3.6000000000000001E-5</v>
      </c>
    </row>
    <row r="927" spans="1:53" x14ac:dyDescent="0.25">
      <c r="A927">
        <v>925</v>
      </c>
      <c r="B927" t="s">
        <v>7625</v>
      </c>
      <c r="C927">
        <v>403016</v>
      </c>
      <c r="D927" t="s">
        <v>1014</v>
      </c>
      <c r="E927" t="s">
        <v>3045</v>
      </c>
      <c r="F927">
        <v>5719549.5</v>
      </c>
      <c r="G927">
        <v>11973.076171999999</v>
      </c>
      <c r="H927">
        <v>892</v>
      </c>
      <c r="I927">
        <v>1094</v>
      </c>
      <c r="J927">
        <v>51317</v>
      </c>
      <c r="K927" t="s">
        <v>2367</v>
      </c>
      <c r="L927">
        <v>15</v>
      </c>
      <c r="M927">
        <v>15</v>
      </c>
      <c r="N927">
        <v>51317</v>
      </c>
      <c r="O927">
        <v>875</v>
      </c>
      <c r="P927" t="s">
        <v>3214</v>
      </c>
      <c r="Q927">
        <v>10.199999999999999</v>
      </c>
      <c r="R927">
        <v>85.01</v>
      </c>
      <c r="S927">
        <v>2.2799999999999998</v>
      </c>
      <c r="T927">
        <v>19</v>
      </c>
      <c r="U927">
        <v>5719549.3115699999</v>
      </c>
      <c r="V927">
        <v>11973.076985</v>
      </c>
      <c r="W927">
        <v>926</v>
      </c>
      <c r="X927">
        <v>0</v>
      </c>
      <c r="Y927">
        <v>925</v>
      </c>
      <c r="Z927" t="s">
        <v>6966</v>
      </c>
      <c r="AA927" t="s">
        <v>6966</v>
      </c>
      <c r="AB927" t="s">
        <v>6966</v>
      </c>
      <c r="AC927" t="s">
        <v>6966</v>
      </c>
      <c r="AD927" t="s">
        <v>6966</v>
      </c>
      <c r="AE927" t="s">
        <v>6966</v>
      </c>
      <c r="AF927" t="s">
        <v>6966</v>
      </c>
      <c r="AG927" t="s">
        <v>6966</v>
      </c>
      <c r="AH927" t="s">
        <v>6966</v>
      </c>
      <c r="AI927" t="s">
        <v>6966</v>
      </c>
      <c r="AJ927" t="s">
        <v>6966</v>
      </c>
      <c r="AK927" t="s">
        <v>6966</v>
      </c>
      <c r="AL927" t="s">
        <v>6966</v>
      </c>
      <c r="AM927" t="s">
        <v>6966</v>
      </c>
      <c r="AN927" t="s">
        <v>6966</v>
      </c>
      <c r="AO927" t="s">
        <v>6966</v>
      </c>
      <c r="AP927" t="s">
        <v>6966</v>
      </c>
      <c r="AQ927" t="s">
        <v>6966</v>
      </c>
      <c r="AR927" t="s">
        <v>6966</v>
      </c>
      <c r="AS927" t="s">
        <v>6966</v>
      </c>
      <c r="AT927" t="s">
        <v>6966</v>
      </c>
      <c r="AU927" t="s">
        <v>6966</v>
      </c>
      <c r="AV927" t="s">
        <v>6966</v>
      </c>
      <c r="AW927" t="s">
        <v>6966</v>
      </c>
      <c r="AX927" t="s">
        <v>6966</v>
      </c>
      <c r="AY927" t="s">
        <v>6966</v>
      </c>
      <c r="AZ927">
        <v>0.119245</v>
      </c>
      <c r="BA927">
        <v>5.5699999999999999E-4</v>
      </c>
    </row>
    <row r="928" spans="1:53" x14ac:dyDescent="0.25">
      <c r="A928">
        <v>926</v>
      </c>
      <c r="B928" t="s">
        <v>7625</v>
      </c>
      <c r="C928">
        <v>201052</v>
      </c>
      <c r="D928" t="s">
        <v>1137</v>
      </c>
      <c r="E928" t="s">
        <v>1069</v>
      </c>
      <c r="F928">
        <v>0</v>
      </c>
      <c r="G928">
        <v>17726.792968999998</v>
      </c>
      <c r="H928">
        <v>893</v>
      </c>
      <c r="I928">
        <v>1095</v>
      </c>
      <c r="J928">
        <v>53447</v>
      </c>
      <c r="K928" t="s">
        <v>1137</v>
      </c>
      <c r="L928">
        <v>17</v>
      </c>
      <c r="M928">
        <v>17</v>
      </c>
      <c r="N928">
        <v>53447</v>
      </c>
      <c r="O928">
        <v>876</v>
      </c>
      <c r="P928" t="s">
        <v>3214</v>
      </c>
      <c r="Q928">
        <v>0.3</v>
      </c>
      <c r="R928">
        <v>89.24</v>
      </c>
      <c r="S928">
        <v>0.06</v>
      </c>
      <c r="T928">
        <v>15</v>
      </c>
      <c r="U928">
        <v>0</v>
      </c>
      <c r="V928">
        <v>17726.793164999999</v>
      </c>
      <c r="W928">
        <v>927</v>
      </c>
      <c r="X928">
        <v>0</v>
      </c>
      <c r="Y928">
        <v>926</v>
      </c>
      <c r="Z928" t="s">
        <v>6966</v>
      </c>
      <c r="AA928" t="s">
        <v>6966</v>
      </c>
      <c r="AB928" t="s">
        <v>6966</v>
      </c>
      <c r="AC928" t="s">
        <v>6966</v>
      </c>
      <c r="AD928" t="s">
        <v>6966</v>
      </c>
      <c r="AE928" t="s">
        <v>6966</v>
      </c>
      <c r="AF928" t="s">
        <v>6966</v>
      </c>
      <c r="AG928" t="s">
        <v>6966</v>
      </c>
      <c r="AH928" t="s">
        <v>6966</v>
      </c>
      <c r="AI928" t="s">
        <v>6966</v>
      </c>
      <c r="AJ928" t="s">
        <v>6966</v>
      </c>
      <c r="AK928" t="s">
        <v>6966</v>
      </c>
      <c r="AL928" t="s">
        <v>6966</v>
      </c>
      <c r="AM928" t="s">
        <v>6966</v>
      </c>
      <c r="AN928" t="s">
        <v>6966</v>
      </c>
      <c r="AO928" t="s">
        <v>6966</v>
      </c>
      <c r="AP928" t="s">
        <v>6966</v>
      </c>
      <c r="AQ928" t="s">
        <v>6966</v>
      </c>
      <c r="AR928" t="s">
        <v>6966</v>
      </c>
      <c r="AS928" t="s">
        <v>6966</v>
      </c>
      <c r="AT928" t="s">
        <v>6966</v>
      </c>
      <c r="AU928" t="s">
        <v>6966</v>
      </c>
      <c r="AV928" t="s">
        <v>6966</v>
      </c>
      <c r="AW928" t="s">
        <v>6966</v>
      </c>
      <c r="AX928" t="s">
        <v>6966</v>
      </c>
      <c r="AY928" t="s">
        <v>6966</v>
      </c>
      <c r="AZ928">
        <v>0.175569</v>
      </c>
      <c r="BA928">
        <v>1.2620000000000001E-3</v>
      </c>
    </row>
    <row r="929" spans="1:53" x14ac:dyDescent="0.25">
      <c r="A929">
        <v>927</v>
      </c>
      <c r="B929" t="s">
        <v>7625</v>
      </c>
      <c r="C929">
        <v>506039</v>
      </c>
      <c r="D929" t="s">
        <v>7901</v>
      </c>
      <c r="E929" t="s">
        <v>7823</v>
      </c>
      <c r="F929">
        <v>1294908.125</v>
      </c>
      <c r="G929">
        <v>6579.1806640000004</v>
      </c>
      <c r="H929">
        <v>894</v>
      </c>
      <c r="I929">
        <v>1096</v>
      </c>
      <c r="J929">
        <v>22415</v>
      </c>
      <c r="K929" t="s">
        <v>1642</v>
      </c>
      <c r="L929">
        <v>3</v>
      </c>
      <c r="M929">
        <v>3</v>
      </c>
      <c r="N929">
        <v>22415</v>
      </c>
      <c r="O929">
        <v>877</v>
      </c>
      <c r="P929" t="s">
        <v>3212</v>
      </c>
      <c r="Q929">
        <v>2.8</v>
      </c>
      <c r="R929">
        <v>30.04</v>
      </c>
      <c r="S929">
        <v>0.85</v>
      </c>
      <c r="T929">
        <v>9</v>
      </c>
      <c r="U929">
        <v>1294908.1843099999</v>
      </c>
      <c r="V929">
        <v>6579.1813679999996</v>
      </c>
      <c r="W929">
        <v>928</v>
      </c>
      <c r="X929">
        <v>0</v>
      </c>
      <c r="Y929">
        <v>927</v>
      </c>
      <c r="Z929" t="s">
        <v>6966</v>
      </c>
      <c r="AA929" t="s">
        <v>6966</v>
      </c>
      <c r="AB929" t="s">
        <v>6966</v>
      </c>
      <c r="AC929" t="s">
        <v>6966</v>
      </c>
      <c r="AD929" t="s">
        <v>6966</v>
      </c>
      <c r="AE929" t="s">
        <v>6966</v>
      </c>
      <c r="AF929" t="s">
        <v>6966</v>
      </c>
      <c r="AG929" t="s">
        <v>6966</v>
      </c>
      <c r="AH929" t="s">
        <v>6966</v>
      </c>
      <c r="AI929" t="s">
        <v>6966</v>
      </c>
      <c r="AJ929" t="s">
        <v>6966</v>
      </c>
      <c r="AK929" t="s">
        <v>6966</v>
      </c>
      <c r="AL929" t="s">
        <v>6966</v>
      </c>
      <c r="AM929" t="s">
        <v>6966</v>
      </c>
      <c r="AN929" t="s">
        <v>6966</v>
      </c>
      <c r="AO929" t="s">
        <v>6966</v>
      </c>
      <c r="AP929" t="s">
        <v>6966</v>
      </c>
      <c r="AQ929" t="s">
        <v>6966</v>
      </c>
      <c r="AR929" t="s">
        <v>6966</v>
      </c>
      <c r="AS929" t="s">
        <v>6966</v>
      </c>
      <c r="AT929" t="s">
        <v>6966</v>
      </c>
      <c r="AU929" t="s">
        <v>6966</v>
      </c>
      <c r="AV929" t="s">
        <v>6966</v>
      </c>
      <c r="AW929" t="s">
        <v>6966</v>
      </c>
      <c r="AX929" t="s">
        <v>6966</v>
      </c>
      <c r="AY929" t="s">
        <v>6966</v>
      </c>
      <c r="AZ929">
        <v>6.5754000000000007E-2</v>
      </c>
      <c r="BA929">
        <v>1.26E-4</v>
      </c>
    </row>
    <row r="930" spans="1:53" x14ac:dyDescent="0.25">
      <c r="A930">
        <v>928</v>
      </c>
      <c r="B930" t="s">
        <v>7625</v>
      </c>
      <c r="C930">
        <v>403026</v>
      </c>
      <c r="D930" t="s">
        <v>1024</v>
      </c>
      <c r="E930" t="s">
        <v>3045</v>
      </c>
      <c r="F930">
        <v>7027297</v>
      </c>
      <c r="G930">
        <v>14267.204102</v>
      </c>
      <c r="H930">
        <v>895</v>
      </c>
      <c r="I930">
        <v>1097</v>
      </c>
      <c r="J930">
        <v>51371</v>
      </c>
      <c r="K930" t="s">
        <v>1024</v>
      </c>
      <c r="L930">
        <v>15</v>
      </c>
      <c r="M930">
        <v>15</v>
      </c>
      <c r="N930">
        <v>51371</v>
      </c>
      <c r="O930">
        <v>878</v>
      </c>
      <c r="P930" t="s">
        <v>3214</v>
      </c>
      <c r="Q930">
        <v>1.1000000000000001</v>
      </c>
      <c r="R930">
        <v>65.92</v>
      </c>
      <c r="S930">
        <v>0.32</v>
      </c>
      <c r="T930">
        <v>19</v>
      </c>
      <c r="U930">
        <v>7027297.1671700003</v>
      </c>
      <c r="V930">
        <v>14267.204453</v>
      </c>
      <c r="W930">
        <v>929</v>
      </c>
      <c r="X930">
        <v>0</v>
      </c>
      <c r="Y930">
        <v>928</v>
      </c>
      <c r="Z930" t="s">
        <v>6966</v>
      </c>
      <c r="AA930" t="s">
        <v>6966</v>
      </c>
      <c r="AB930" t="s">
        <v>6966</v>
      </c>
      <c r="AC930" t="s">
        <v>6966</v>
      </c>
      <c r="AD930" t="s">
        <v>6966</v>
      </c>
      <c r="AE930" t="s">
        <v>6966</v>
      </c>
      <c r="AF930" t="s">
        <v>6966</v>
      </c>
      <c r="AG930" t="s">
        <v>6966</v>
      </c>
      <c r="AH930" t="s">
        <v>6966</v>
      </c>
      <c r="AI930" t="s">
        <v>6966</v>
      </c>
      <c r="AJ930" t="s">
        <v>6966</v>
      </c>
      <c r="AK930" t="s">
        <v>6966</v>
      </c>
      <c r="AL930" t="s">
        <v>6966</v>
      </c>
      <c r="AM930" t="s">
        <v>6966</v>
      </c>
      <c r="AN930" t="s">
        <v>6966</v>
      </c>
      <c r="AO930" t="s">
        <v>6966</v>
      </c>
      <c r="AP930" t="s">
        <v>6966</v>
      </c>
      <c r="AQ930" t="s">
        <v>6966</v>
      </c>
      <c r="AR930" t="s">
        <v>6966</v>
      </c>
      <c r="AS930" t="s">
        <v>6966</v>
      </c>
      <c r="AT930" t="s">
        <v>6966</v>
      </c>
      <c r="AU930" t="s">
        <v>6966</v>
      </c>
      <c r="AV930" t="s">
        <v>6966</v>
      </c>
      <c r="AW930" t="s">
        <v>6966</v>
      </c>
      <c r="AX930" t="s">
        <v>6966</v>
      </c>
      <c r="AY930" t="s">
        <v>6966</v>
      </c>
      <c r="AZ930">
        <v>0.14518600000000001</v>
      </c>
      <c r="BA930">
        <v>6.8499999999999995E-4</v>
      </c>
    </row>
    <row r="931" spans="1:53" x14ac:dyDescent="0.25">
      <c r="A931">
        <v>929</v>
      </c>
      <c r="B931" t="s">
        <v>7625</v>
      </c>
      <c r="C931">
        <v>403051</v>
      </c>
      <c r="D931" t="s">
        <v>7902</v>
      </c>
      <c r="E931" t="s">
        <v>3045</v>
      </c>
      <c r="F931">
        <v>214104.375</v>
      </c>
      <c r="G931">
        <v>2829.2248540000001</v>
      </c>
      <c r="H931">
        <v>896</v>
      </c>
      <c r="I931">
        <v>1098</v>
      </c>
      <c r="J931">
        <v>51119</v>
      </c>
      <c r="K931" t="s">
        <v>7903</v>
      </c>
      <c r="L931">
        <v>15</v>
      </c>
      <c r="M931">
        <v>15</v>
      </c>
      <c r="N931">
        <v>51153</v>
      </c>
      <c r="O931">
        <v>879</v>
      </c>
      <c r="P931" t="s">
        <v>3214</v>
      </c>
      <c r="Q931">
        <v>91.6</v>
      </c>
      <c r="R931">
        <v>208.27</v>
      </c>
      <c r="S931">
        <v>0</v>
      </c>
      <c r="T931">
        <v>0</v>
      </c>
      <c r="U931">
        <v>214104.34572499999</v>
      </c>
      <c r="V931">
        <v>2829.224847</v>
      </c>
      <c r="W931">
        <v>930</v>
      </c>
      <c r="X931">
        <v>0</v>
      </c>
      <c r="Y931">
        <v>929</v>
      </c>
      <c r="Z931" t="s">
        <v>6966</v>
      </c>
      <c r="AA931" t="s">
        <v>6966</v>
      </c>
      <c r="AB931" t="s">
        <v>6966</v>
      </c>
      <c r="AC931" t="s">
        <v>6966</v>
      </c>
      <c r="AD931" t="s">
        <v>6966</v>
      </c>
      <c r="AE931" t="s">
        <v>6966</v>
      </c>
      <c r="AF931" t="s">
        <v>6966</v>
      </c>
      <c r="AG931" t="s">
        <v>6966</v>
      </c>
      <c r="AH931" t="s">
        <v>6966</v>
      </c>
      <c r="AI931" t="s">
        <v>6966</v>
      </c>
      <c r="AJ931" t="s">
        <v>6966</v>
      </c>
      <c r="AK931" t="s">
        <v>6966</v>
      </c>
      <c r="AL931" t="s">
        <v>6966</v>
      </c>
      <c r="AM931" t="s">
        <v>6966</v>
      </c>
      <c r="AN931" t="s">
        <v>6966</v>
      </c>
      <c r="AO931" t="s">
        <v>6966</v>
      </c>
      <c r="AP931" t="s">
        <v>6966</v>
      </c>
      <c r="AQ931" t="s">
        <v>6966</v>
      </c>
      <c r="AR931" t="s">
        <v>6966</v>
      </c>
      <c r="AS931" t="s">
        <v>6966</v>
      </c>
      <c r="AT931" t="s">
        <v>6966</v>
      </c>
      <c r="AU931" t="s">
        <v>6966</v>
      </c>
      <c r="AV931" t="s">
        <v>6966</v>
      </c>
      <c r="AW931" t="s">
        <v>6966</v>
      </c>
      <c r="AX931" t="s">
        <v>6966</v>
      </c>
      <c r="AY931" t="s">
        <v>6966</v>
      </c>
      <c r="AZ931">
        <v>2.768E-2</v>
      </c>
      <c r="BA931">
        <v>2.0999999999999999E-5</v>
      </c>
    </row>
    <row r="932" spans="1:53" x14ac:dyDescent="0.25">
      <c r="A932">
        <v>930</v>
      </c>
      <c r="B932" t="s">
        <v>7625</v>
      </c>
      <c r="C932">
        <v>201029</v>
      </c>
      <c r="D932" t="s">
        <v>1563</v>
      </c>
      <c r="E932" t="s">
        <v>1069</v>
      </c>
      <c r="F932">
        <v>4703530</v>
      </c>
      <c r="G932">
        <v>15131.193359000001</v>
      </c>
      <c r="H932">
        <v>897</v>
      </c>
      <c r="I932">
        <v>1099</v>
      </c>
      <c r="J932">
        <v>0</v>
      </c>
      <c r="K932" t="s">
        <v>1563</v>
      </c>
      <c r="L932">
        <v>17</v>
      </c>
      <c r="M932">
        <v>17</v>
      </c>
      <c r="N932">
        <v>0</v>
      </c>
      <c r="O932">
        <v>1633</v>
      </c>
      <c r="P932" t="s">
        <v>3214</v>
      </c>
      <c r="Q932">
        <v>0</v>
      </c>
      <c r="R932">
        <v>0</v>
      </c>
      <c r="S932">
        <v>0</v>
      </c>
      <c r="T932">
        <v>0</v>
      </c>
      <c r="U932">
        <v>4703529.7444500001</v>
      </c>
      <c r="V932">
        <v>15131.193566</v>
      </c>
      <c r="W932">
        <v>931</v>
      </c>
      <c r="X932">
        <v>0</v>
      </c>
      <c r="Y932">
        <v>930</v>
      </c>
      <c r="Z932" t="s">
        <v>6966</v>
      </c>
      <c r="AA932" t="s">
        <v>6966</v>
      </c>
      <c r="AB932" t="s">
        <v>6966</v>
      </c>
      <c r="AC932" t="s">
        <v>6966</v>
      </c>
      <c r="AD932" t="s">
        <v>6966</v>
      </c>
      <c r="AE932" t="s">
        <v>6966</v>
      </c>
      <c r="AF932" t="s">
        <v>6966</v>
      </c>
      <c r="AG932" t="s">
        <v>6966</v>
      </c>
      <c r="AH932" t="s">
        <v>6966</v>
      </c>
      <c r="AI932" t="s">
        <v>6966</v>
      </c>
      <c r="AJ932" t="s">
        <v>6966</v>
      </c>
      <c r="AK932" t="s">
        <v>6966</v>
      </c>
      <c r="AL932" t="s">
        <v>6966</v>
      </c>
      <c r="AM932" t="s">
        <v>6966</v>
      </c>
      <c r="AN932" t="s">
        <v>6966</v>
      </c>
      <c r="AO932" t="s">
        <v>6966</v>
      </c>
      <c r="AP932" t="s">
        <v>6966</v>
      </c>
      <c r="AQ932" t="s">
        <v>6966</v>
      </c>
      <c r="AR932" t="s">
        <v>6966</v>
      </c>
      <c r="AS932" t="s">
        <v>6966</v>
      </c>
      <c r="AT932" t="s">
        <v>6966</v>
      </c>
      <c r="AU932" t="s">
        <v>6966</v>
      </c>
      <c r="AV932" t="s">
        <v>6966</v>
      </c>
      <c r="AW932" t="s">
        <v>6966</v>
      </c>
      <c r="AX932" t="s">
        <v>6966</v>
      </c>
      <c r="AY932" t="s">
        <v>6966</v>
      </c>
      <c r="AZ932">
        <v>0.15179999999999999</v>
      </c>
      <c r="BA932">
        <v>4.5800000000000002E-4</v>
      </c>
    </row>
    <row r="933" spans="1:53" x14ac:dyDescent="0.25">
      <c r="A933">
        <v>931</v>
      </c>
      <c r="B933" t="s">
        <v>7625</v>
      </c>
      <c r="C933">
        <v>502009</v>
      </c>
      <c r="D933" t="s">
        <v>34</v>
      </c>
      <c r="E933" t="s">
        <v>36</v>
      </c>
      <c r="F933">
        <v>3322852.75</v>
      </c>
      <c r="G933">
        <v>8816.1064449999994</v>
      </c>
      <c r="H933">
        <v>898</v>
      </c>
      <c r="I933">
        <v>1100</v>
      </c>
      <c r="J933">
        <v>21177</v>
      </c>
      <c r="K933" t="s">
        <v>1581</v>
      </c>
      <c r="L933">
        <v>2</v>
      </c>
      <c r="M933">
        <v>2</v>
      </c>
      <c r="N933">
        <v>21177</v>
      </c>
      <c r="O933">
        <v>880</v>
      </c>
      <c r="P933" t="s">
        <v>3212</v>
      </c>
      <c r="Q933">
        <v>347.8</v>
      </c>
      <c r="R933">
        <v>424.82</v>
      </c>
      <c r="S933">
        <v>87.37</v>
      </c>
      <c r="T933">
        <v>107</v>
      </c>
      <c r="U933">
        <v>3322852.8011699999</v>
      </c>
      <c r="V933">
        <v>8816.1072789999998</v>
      </c>
      <c r="W933">
        <v>932</v>
      </c>
      <c r="X933">
        <v>5</v>
      </c>
      <c r="Y933">
        <v>931</v>
      </c>
      <c r="Z933">
        <v>58782</v>
      </c>
      <c r="AA933" s="76">
        <v>45732</v>
      </c>
      <c r="AB933">
        <v>2025</v>
      </c>
      <c r="AC933" t="s">
        <v>7104</v>
      </c>
      <c r="AD933">
        <v>16</v>
      </c>
      <c r="AE933" t="s">
        <v>7125</v>
      </c>
      <c r="AF933" t="s">
        <v>3214</v>
      </c>
      <c r="AG933" t="s">
        <v>3221</v>
      </c>
      <c r="AH933" t="s">
        <v>1064</v>
      </c>
      <c r="AI933" t="s">
        <v>7126</v>
      </c>
      <c r="AJ933" t="s">
        <v>7321</v>
      </c>
      <c r="AK933">
        <v>33.843229999999998</v>
      </c>
      <c r="AL933">
        <v>35.503259999999997</v>
      </c>
      <c r="AM933" t="s">
        <v>6995</v>
      </c>
      <c r="AN933" t="s">
        <v>6995</v>
      </c>
      <c r="AO933" t="s">
        <v>6996</v>
      </c>
      <c r="AP933" t="s">
        <v>7127</v>
      </c>
      <c r="AQ933" t="s">
        <v>6998</v>
      </c>
      <c r="AR933" t="s">
        <v>6999</v>
      </c>
      <c r="AS933" t="s">
        <v>7036</v>
      </c>
      <c r="AT933">
        <v>0</v>
      </c>
      <c r="AU933">
        <v>0</v>
      </c>
      <c r="AV933" t="s">
        <v>7904</v>
      </c>
      <c r="AW933" t="s">
        <v>7002</v>
      </c>
      <c r="AX933" t="s">
        <v>6966</v>
      </c>
      <c r="AY933" t="s">
        <v>7003</v>
      </c>
      <c r="AZ933">
        <v>8.7533E-2</v>
      </c>
      <c r="BA933">
        <v>3.2400000000000001E-4</v>
      </c>
    </row>
    <row r="934" spans="1:53" x14ac:dyDescent="0.25">
      <c r="A934">
        <v>932</v>
      </c>
      <c r="B934" t="s">
        <v>7625</v>
      </c>
      <c r="C934">
        <v>403054</v>
      </c>
      <c r="D934" t="s">
        <v>7905</v>
      </c>
      <c r="E934" t="s">
        <v>3045</v>
      </c>
      <c r="F934">
        <v>5333.3466799999997</v>
      </c>
      <c r="G934">
        <v>289.54522700000001</v>
      </c>
      <c r="H934">
        <v>899</v>
      </c>
      <c r="I934">
        <v>1101</v>
      </c>
      <c r="J934">
        <v>51117</v>
      </c>
      <c r="K934" t="s">
        <v>7906</v>
      </c>
      <c r="L934">
        <v>15</v>
      </c>
      <c r="M934">
        <v>15</v>
      </c>
      <c r="N934">
        <v>51117</v>
      </c>
      <c r="O934">
        <v>881</v>
      </c>
      <c r="P934" t="s">
        <v>3214</v>
      </c>
      <c r="Q934">
        <v>8949</v>
      </c>
      <c r="R934">
        <v>0</v>
      </c>
      <c r="S934">
        <v>0</v>
      </c>
      <c r="T934">
        <v>0</v>
      </c>
      <c r="U934">
        <v>5333.3386479999999</v>
      </c>
      <c r="V934">
        <v>289.54523</v>
      </c>
      <c r="W934">
        <v>933</v>
      </c>
      <c r="X934">
        <v>0</v>
      </c>
      <c r="Y934">
        <v>932</v>
      </c>
      <c r="Z934" t="s">
        <v>6966</v>
      </c>
      <c r="AA934" t="s">
        <v>6966</v>
      </c>
      <c r="AB934" t="s">
        <v>6966</v>
      </c>
      <c r="AC934" t="s">
        <v>6966</v>
      </c>
      <c r="AD934" t="s">
        <v>6966</v>
      </c>
      <c r="AE934" t="s">
        <v>6966</v>
      </c>
      <c r="AF934" t="s">
        <v>6966</v>
      </c>
      <c r="AG934" t="s">
        <v>6966</v>
      </c>
      <c r="AH934" t="s">
        <v>6966</v>
      </c>
      <c r="AI934" t="s">
        <v>6966</v>
      </c>
      <c r="AJ934" t="s">
        <v>6966</v>
      </c>
      <c r="AK934" t="s">
        <v>6966</v>
      </c>
      <c r="AL934" t="s">
        <v>6966</v>
      </c>
      <c r="AM934" t="s">
        <v>6966</v>
      </c>
      <c r="AN934" t="s">
        <v>6966</v>
      </c>
      <c r="AO934" t="s">
        <v>6966</v>
      </c>
      <c r="AP934" t="s">
        <v>6966</v>
      </c>
      <c r="AQ934" t="s">
        <v>6966</v>
      </c>
      <c r="AR934" t="s">
        <v>6966</v>
      </c>
      <c r="AS934" t="s">
        <v>6966</v>
      </c>
      <c r="AT934" t="s">
        <v>6966</v>
      </c>
      <c r="AU934" t="s">
        <v>6966</v>
      </c>
      <c r="AV934" t="s">
        <v>6966</v>
      </c>
      <c r="AW934" t="s">
        <v>6966</v>
      </c>
      <c r="AX934" t="s">
        <v>6966</v>
      </c>
      <c r="AY934" t="s">
        <v>6966</v>
      </c>
      <c r="AZ934">
        <v>2.8050000000000002E-3</v>
      </c>
      <c r="BA934">
        <v>9.9999999999999995E-7</v>
      </c>
    </row>
    <row r="935" spans="1:53" x14ac:dyDescent="0.25">
      <c r="A935">
        <v>933</v>
      </c>
      <c r="B935" t="s">
        <v>7625</v>
      </c>
      <c r="C935">
        <v>403027</v>
      </c>
      <c r="D935" t="s">
        <v>7907</v>
      </c>
      <c r="E935" t="s">
        <v>3045</v>
      </c>
      <c r="F935">
        <v>9235071</v>
      </c>
      <c r="G935">
        <v>13056.038086</v>
      </c>
      <c r="H935">
        <v>900</v>
      </c>
      <c r="I935">
        <v>1102</v>
      </c>
      <c r="J935">
        <v>51185</v>
      </c>
      <c r="K935" t="s">
        <v>2343</v>
      </c>
      <c r="L935">
        <v>15</v>
      </c>
      <c r="M935">
        <v>15</v>
      </c>
      <c r="N935">
        <v>51185</v>
      </c>
      <c r="O935">
        <v>882</v>
      </c>
      <c r="P935" t="s">
        <v>3214</v>
      </c>
      <c r="Q935">
        <v>0</v>
      </c>
      <c r="R935">
        <v>8.3699999999999992</v>
      </c>
      <c r="S935">
        <v>0.02</v>
      </c>
      <c r="T935">
        <v>25</v>
      </c>
      <c r="U935">
        <v>9235071.0951400008</v>
      </c>
      <c r="V935">
        <v>13056.038261</v>
      </c>
      <c r="W935">
        <v>934</v>
      </c>
      <c r="X935">
        <v>0</v>
      </c>
      <c r="Y935">
        <v>933</v>
      </c>
      <c r="Z935" t="s">
        <v>6966</v>
      </c>
      <c r="AA935" t="s">
        <v>6966</v>
      </c>
      <c r="AB935" t="s">
        <v>6966</v>
      </c>
      <c r="AC935" t="s">
        <v>6966</v>
      </c>
      <c r="AD935" t="s">
        <v>6966</v>
      </c>
      <c r="AE935" t="s">
        <v>6966</v>
      </c>
      <c r="AF935" t="s">
        <v>6966</v>
      </c>
      <c r="AG935" t="s">
        <v>6966</v>
      </c>
      <c r="AH935" t="s">
        <v>6966</v>
      </c>
      <c r="AI935" t="s">
        <v>6966</v>
      </c>
      <c r="AJ935" t="s">
        <v>6966</v>
      </c>
      <c r="AK935" t="s">
        <v>6966</v>
      </c>
      <c r="AL935" t="s">
        <v>6966</v>
      </c>
      <c r="AM935" t="s">
        <v>6966</v>
      </c>
      <c r="AN935" t="s">
        <v>6966</v>
      </c>
      <c r="AO935" t="s">
        <v>6966</v>
      </c>
      <c r="AP935" t="s">
        <v>6966</v>
      </c>
      <c r="AQ935" t="s">
        <v>6966</v>
      </c>
      <c r="AR935" t="s">
        <v>6966</v>
      </c>
      <c r="AS935" t="s">
        <v>6966</v>
      </c>
      <c r="AT935" t="s">
        <v>6966</v>
      </c>
      <c r="AU935" t="s">
        <v>6966</v>
      </c>
      <c r="AV935" t="s">
        <v>6966</v>
      </c>
      <c r="AW935" t="s">
        <v>6966</v>
      </c>
      <c r="AX935" t="s">
        <v>6966</v>
      </c>
      <c r="AY935" t="s">
        <v>6966</v>
      </c>
      <c r="AZ935">
        <v>0.130244</v>
      </c>
      <c r="BA935">
        <v>8.9899999999999995E-4</v>
      </c>
    </row>
    <row r="936" spans="1:53" x14ac:dyDescent="0.25">
      <c r="A936">
        <v>934</v>
      </c>
      <c r="B936" t="s">
        <v>7625</v>
      </c>
      <c r="C936">
        <v>403055</v>
      </c>
      <c r="D936" t="s">
        <v>7905</v>
      </c>
      <c r="E936" t="s">
        <v>3045</v>
      </c>
      <c r="F936">
        <v>102391.640625</v>
      </c>
      <c r="G936">
        <v>2679.186279</v>
      </c>
      <c r="H936">
        <v>901</v>
      </c>
      <c r="I936">
        <v>1103</v>
      </c>
      <c r="J936">
        <v>51117</v>
      </c>
      <c r="K936" t="s">
        <v>7906</v>
      </c>
      <c r="L936">
        <v>15</v>
      </c>
      <c r="M936">
        <v>15</v>
      </c>
      <c r="N936">
        <v>51117</v>
      </c>
      <c r="O936">
        <v>883</v>
      </c>
      <c r="P936" t="s">
        <v>3214</v>
      </c>
      <c r="Q936">
        <v>466.1</v>
      </c>
      <c r="R936">
        <v>629.62</v>
      </c>
      <c r="S936">
        <v>0</v>
      </c>
      <c r="T936">
        <v>0</v>
      </c>
      <c r="U936">
        <v>102391.632897</v>
      </c>
      <c r="V936">
        <v>2679.1858739999998</v>
      </c>
      <c r="W936">
        <v>935</v>
      </c>
      <c r="X936">
        <v>0</v>
      </c>
      <c r="Y936">
        <v>934</v>
      </c>
      <c r="Z936" t="s">
        <v>6966</v>
      </c>
      <c r="AA936" t="s">
        <v>6966</v>
      </c>
      <c r="AB936" t="s">
        <v>6966</v>
      </c>
      <c r="AC936" t="s">
        <v>6966</v>
      </c>
      <c r="AD936" t="s">
        <v>6966</v>
      </c>
      <c r="AE936" t="s">
        <v>6966</v>
      </c>
      <c r="AF936" t="s">
        <v>6966</v>
      </c>
      <c r="AG936" t="s">
        <v>6966</v>
      </c>
      <c r="AH936" t="s">
        <v>6966</v>
      </c>
      <c r="AI936" t="s">
        <v>6966</v>
      </c>
      <c r="AJ936" t="s">
        <v>6966</v>
      </c>
      <c r="AK936" t="s">
        <v>6966</v>
      </c>
      <c r="AL936" t="s">
        <v>6966</v>
      </c>
      <c r="AM936" t="s">
        <v>6966</v>
      </c>
      <c r="AN936" t="s">
        <v>6966</v>
      </c>
      <c r="AO936" t="s">
        <v>6966</v>
      </c>
      <c r="AP936" t="s">
        <v>6966</v>
      </c>
      <c r="AQ936" t="s">
        <v>6966</v>
      </c>
      <c r="AR936" t="s">
        <v>6966</v>
      </c>
      <c r="AS936" t="s">
        <v>6966</v>
      </c>
      <c r="AT936" t="s">
        <v>6966</v>
      </c>
      <c r="AU936" t="s">
        <v>6966</v>
      </c>
      <c r="AV936" t="s">
        <v>6966</v>
      </c>
      <c r="AW936" t="s">
        <v>6966</v>
      </c>
      <c r="AX936" t="s">
        <v>6966</v>
      </c>
      <c r="AY936" t="s">
        <v>6966</v>
      </c>
      <c r="AZ936">
        <v>2.6855E-2</v>
      </c>
      <c r="BA936">
        <v>1.0000000000000001E-5</v>
      </c>
    </row>
    <row r="937" spans="1:53" x14ac:dyDescent="0.25">
      <c r="A937">
        <v>935</v>
      </c>
      <c r="B937" t="s">
        <v>7625</v>
      </c>
      <c r="C937">
        <v>502001</v>
      </c>
      <c r="D937" t="s">
        <v>7908</v>
      </c>
      <c r="E937" t="s">
        <v>36</v>
      </c>
      <c r="F937">
        <v>9159255</v>
      </c>
      <c r="G937">
        <v>16888.025390999999</v>
      </c>
      <c r="H937">
        <v>902</v>
      </c>
      <c r="I937">
        <v>1104</v>
      </c>
      <c r="J937">
        <v>21341</v>
      </c>
      <c r="K937" t="s">
        <v>1598</v>
      </c>
      <c r="L937">
        <v>2</v>
      </c>
      <c r="M937">
        <v>2</v>
      </c>
      <c r="N937">
        <v>21341</v>
      </c>
      <c r="O937">
        <v>884</v>
      </c>
      <c r="P937" t="s">
        <v>3212</v>
      </c>
      <c r="Q937">
        <v>4.3</v>
      </c>
      <c r="R937">
        <v>33.82</v>
      </c>
      <c r="S937">
        <v>2.2200000000000002</v>
      </c>
      <c r="T937">
        <v>17</v>
      </c>
      <c r="U937">
        <v>9159255.0412900001</v>
      </c>
      <c r="V937">
        <v>16888.025622000001</v>
      </c>
      <c r="W937">
        <v>936</v>
      </c>
      <c r="X937">
        <v>0</v>
      </c>
      <c r="Y937">
        <v>935</v>
      </c>
      <c r="Z937" t="s">
        <v>6966</v>
      </c>
      <c r="AA937" t="s">
        <v>6966</v>
      </c>
      <c r="AB937" t="s">
        <v>6966</v>
      </c>
      <c r="AC937" t="s">
        <v>6966</v>
      </c>
      <c r="AD937" t="s">
        <v>6966</v>
      </c>
      <c r="AE937" t="s">
        <v>6966</v>
      </c>
      <c r="AF937" t="s">
        <v>6966</v>
      </c>
      <c r="AG937" t="s">
        <v>6966</v>
      </c>
      <c r="AH937" t="s">
        <v>6966</v>
      </c>
      <c r="AI937" t="s">
        <v>6966</v>
      </c>
      <c r="AJ937" t="s">
        <v>6966</v>
      </c>
      <c r="AK937" t="s">
        <v>6966</v>
      </c>
      <c r="AL937" t="s">
        <v>6966</v>
      </c>
      <c r="AM937" t="s">
        <v>6966</v>
      </c>
      <c r="AN937" t="s">
        <v>6966</v>
      </c>
      <c r="AO937" t="s">
        <v>6966</v>
      </c>
      <c r="AP937" t="s">
        <v>6966</v>
      </c>
      <c r="AQ937" t="s">
        <v>6966</v>
      </c>
      <c r="AR937" t="s">
        <v>6966</v>
      </c>
      <c r="AS937" t="s">
        <v>6966</v>
      </c>
      <c r="AT937" t="s">
        <v>6966</v>
      </c>
      <c r="AU937" t="s">
        <v>6966</v>
      </c>
      <c r="AV937" t="s">
        <v>6966</v>
      </c>
      <c r="AW937" t="s">
        <v>6966</v>
      </c>
      <c r="AX937" t="s">
        <v>6966</v>
      </c>
      <c r="AY937" t="s">
        <v>6966</v>
      </c>
      <c r="AZ937">
        <v>0.17130200000000001</v>
      </c>
      <c r="BA937">
        <v>8.92E-4</v>
      </c>
    </row>
    <row r="938" spans="1:53" x14ac:dyDescent="0.25">
      <c r="A938">
        <v>936</v>
      </c>
      <c r="B938" t="s">
        <v>7625</v>
      </c>
      <c r="C938">
        <v>201026</v>
      </c>
      <c r="D938" t="s">
        <v>1563</v>
      </c>
      <c r="E938" t="s">
        <v>1069</v>
      </c>
      <c r="F938">
        <v>434041.90625</v>
      </c>
      <c r="G938">
        <v>3225.1723630000001</v>
      </c>
      <c r="H938">
        <v>903</v>
      </c>
      <c r="I938">
        <v>1105</v>
      </c>
      <c r="J938">
        <v>0</v>
      </c>
      <c r="K938" t="s">
        <v>1563</v>
      </c>
      <c r="L938">
        <v>17</v>
      </c>
      <c r="M938">
        <v>17</v>
      </c>
      <c r="N938">
        <v>0</v>
      </c>
      <c r="O938">
        <v>1634</v>
      </c>
      <c r="P938" t="s">
        <v>3214</v>
      </c>
      <c r="Q938">
        <v>0</v>
      </c>
      <c r="R938">
        <v>0</v>
      </c>
      <c r="S938">
        <v>0</v>
      </c>
      <c r="T938">
        <v>0</v>
      </c>
      <c r="U938">
        <v>434041.87001000001</v>
      </c>
      <c r="V938">
        <v>3225.1726829999998</v>
      </c>
      <c r="W938">
        <v>937</v>
      </c>
      <c r="X938">
        <v>0</v>
      </c>
      <c r="Y938">
        <v>936</v>
      </c>
      <c r="Z938" t="s">
        <v>6966</v>
      </c>
      <c r="AA938" t="s">
        <v>6966</v>
      </c>
      <c r="AB938" t="s">
        <v>6966</v>
      </c>
      <c r="AC938" t="s">
        <v>6966</v>
      </c>
      <c r="AD938" t="s">
        <v>6966</v>
      </c>
      <c r="AE938" t="s">
        <v>6966</v>
      </c>
      <c r="AF938" t="s">
        <v>6966</v>
      </c>
      <c r="AG938" t="s">
        <v>6966</v>
      </c>
      <c r="AH938" t="s">
        <v>6966</v>
      </c>
      <c r="AI938" t="s">
        <v>6966</v>
      </c>
      <c r="AJ938" t="s">
        <v>6966</v>
      </c>
      <c r="AK938" t="s">
        <v>6966</v>
      </c>
      <c r="AL938" t="s">
        <v>6966</v>
      </c>
      <c r="AM938" t="s">
        <v>6966</v>
      </c>
      <c r="AN938" t="s">
        <v>6966</v>
      </c>
      <c r="AO938" t="s">
        <v>6966</v>
      </c>
      <c r="AP938" t="s">
        <v>6966</v>
      </c>
      <c r="AQ938" t="s">
        <v>6966</v>
      </c>
      <c r="AR938" t="s">
        <v>6966</v>
      </c>
      <c r="AS938" t="s">
        <v>6966</v>
      </c>
      <c r="AT938" t="s">
        <v>6966</v>
      </c>
      <c r="AU938" t="s">
        <v>6966</v>
      </c>
      <c r="AV938" t="s">
        <v>6966</v>
      </c>
      <c r="AW938" t="s">
        <v>6966</v>
      </c>
      <c r="AX938" t="s">
        <v>6966</v>
      </c>
      <c r="AY938" t="s">
        <v>6966</v>
      </c>
      <c r="AZ938">
        <v>3.0841E-2</v>
      </c>
      <c r="BA938">
        <v>4.1999999999999998E-5</v>
      </c>
    </row>
    <row r="939" spans="1:53" x14ac:dyDescent="0.25">
      <c r="A939">
        <v>937</v>
      </c>
      <c r="B939" t="s">
        <v>7625</v>
      </c>
      <c r="C939">
        <v>201098</v>
      </c>
      <c r="D939" t="s">
        <v>87</v>
      </c>
      <c r="E939" t="s">
        <v>1069</v>
      </c>
      <c r="F939">
        <v>177180.546875</v>
      </c>
      <c r="G939">
        <v>2014.260376</v>
      </c>
      <c r="H939">
        <v>904</v>
      </c>
      <c r="I939">
        <v>1106</v>
      </c>
      <c r="J939">
        <v>53003</v>
      </c>
      <c r="K939" t="s">
        <v>87</v>
      </c>
      <c r="L939">
        <v>17</v>
      </c>
      <c r="M939">
        <v>17</v>
      </c>
      <c r="N939">
        <v>53003</v>
      </c>
      <c r="O939">
        <v>885</v>
      </c>
      <c r="P939" t="s">
        <v>3214</v>
      </c>
      <c r="Q939">
        <v>0</v>
      </c>
      <c r="R939">
        <v>0</v>
      </c>
      <c r="S939">
        <v>0</v>
      </c>
      <c r="T939">
        <v>0</v>
      </c>
      <c r="U939">
        <v>177180.49935999999</v>
      </c>
      <c r="V939">
        <v>2014.2601320000001</v>
      </c>
      <c r="W939">
        <v>938</v>
      </c>
      <c r="X939">
        <v>0</v>
      </c>
      <c r="Y939">
        <v>937</v>
      </c>
      <c r="Z939" t="s">
        <v>6966</v>
      </c>
      <c r="AA939" t="s">
        <v>6966</v>
      </c>
      <c r="AB939" t="s">
        <v>6966</v>
      </c>
      <c r="AC939" t="s">
        <v>6966</v>
      </c>
      <c r="AD939" t="s">
        <v>6966</v>
      </c>
      <c r="AE939" t="s">
        <v>6966</v>
      </c>
      <c r="AF939" t="s">
        <v>6966</v>
      </c>
      <c r="AG939" t="s">
        <v>6966</v>
      </c>
      <c r="AH939" t="s">
        <v>6966</v>
      </c>
      <c r="AI939" t="s">
        <v>6966</v>
      </c>
      <c r="AJ939" t="s">
        <v>6966</v>
      </c>
      <c r="AK939" t="s">
        <v>6966</v>
      </c>
      <c r="AL939" t="s">
        <v>6966</v>
      </c>
      <c r="AM939" t="s">
        <v>6966</v>
      </c>
      <c r="AN939" t="s">
        <v>6966</v>
      </c>
      <c r="AO939" t="s">
        <v>6966</v>
      </c>
      <c r="AP939" t="s">
        <v>6966</v>
      </c>
      <c r="AQ939" t="s">
        <v>6966</v>
      </c>
      <c r="AR939" t="s">
        <v>6966</v>
      </c>
      <c r="AS939" t="s">
        <v>6966</v>
      </c>
      <c r="AT939" t="s">
        <v>6966</v>
      </c>
      <c r="AU939" t="s">
        <v>6966</v>
      </c>
      <c r="AV939" t="s">
        <v>6966</v>
      </c>
      <c r="AW939" t="s">
        <v>6966</v>
      </c>
      <c r="AX939" t="s">
        <v>6966</v>
      </c>
      <c r="AY939" t="s">
        <v>6966</v>
      </c>
      <c r="AZ939">
        <v>1.9758000000000001E-2</v>
      </c>
      <c r="BA939">
        <v>1.7E-5</v>
      </c>
    </row>
    <row r="940" spans="1:53" x14ac:dyDescent="0.25">
      <c r="A940">
        <v>938</v>
      </c>
      <c r="B940" t="s">
        <v>7625</v>
      </c>
      <c r="C940">
        <v>502012</v>
      </c>
      <c r="D940" t="s">
        <v>77</v>
      </c>
      <c r="E940" t="s">
        <v>36</v>
      </c>
      <c r="F940">
        <v>2627745.75</v>
      </c>
      <c r="G940">
        <v>8660.2177730000003</v>
      </c>
      <c r="H940">
        <v>905</v>
      </c>
      <c r="I940">
        <v>1107</v>
      </c>
      <c r="J940">
        <v>21441</v>
      </c>
      <c r="K940" t="s">
        <v>77</v>
      </c>
      <c r="L940">
        <v>2</v>
      </c>
      <c r="M940">
        <v>2</v>
      </c>
      <c r="N940">
        <v>21441</v>
      </c>
      <c r="O940">
        <v>886</v>
      </c>
      <c r="P940" t="s">
        <v>3212</v>
      </c>
      <c r="Q940">
        <v>2.8</v>
      </c>
      <c r="R940">
        <v>39.29</v>
      </c>
      <c r="S940">
        <v>1.08</v>
      </c>
      <c r="T940">
        <v>15</v>
      </c>
      <c r="U940">
        <v>2627745.6547099999</v>
      </c>
      <c r="V940">
        <v>8660.2181679999994</v>
      </c>
      <c r="W940">
        <v>939</v>
      </c>
      <c r="X940">
        <v>0</v>
      </c>
      <c r="Y940">
        <v>938</v>
      </c>
      <c r="Z940" t="s">
        <v>6966</v>
      </c>
      <c r="AA940" t="s">
        <v>6966</v>
      </c>
      <c r="AB940" t="s">
        <v>6966</v>
      </c>
      <c r="AC940" t="s">
        <v>6966</v>
      </c>
      <c r="AD940" t="s">
        <v>6966</v>
      </c>
      <c r="AE940" t="s">
        <v>6966</v>
      </c>
      <c r="AF940" t="s">
        <v>6966</v>
      </c>
      <c r="AG940" t="s">
        <v>6966</v>
      </c>
      <c r="AH940" t="s">
        <v>6966</v>
      </c>
      <c r="AI940" t="s">
        <v>6966</v>
      </c>
      <c r="AJ940" t="s">
        <v>6966</v>
      </c>
      <c r="AK940" t="s">
        <v>6966</v>
      </c>
      <c r="AL940" t="s">
        <v>6966</v>
      </c>
      <c r="AM940" t="s">
        <v>6966</v>
      </c>
      <c r="AN940" t="s">
        <v>6966</v>
      </c>
      <c r="AO940" t="s">
        <v>6966</v>
      </c>
      <c r="AP940" t="s">
        <v>6966</v>
      </c>
      <c r="AQ940" t="s">
        <v>6966</v>
      </c>
      <c r="AR940" t="s">
        <v>6966</v>
      </c>
      <c r="AS940" t="s">
        <v>6966</v>
      </c>
      <c r="AT940" t="s">
        <v>6966</v>
      </c>
      <c r="AU940" t="s">
        <v>6966</v>
      </c>
      <c r="AV940" t="s">
        <v>6966</v>
      </c>
      <c r="AW940" t="s">
        <v>6966</v>
      </c>
      <c r="AX940" t="s">
        <v>6966</v>
      </c>
      <c r="AY940" t="s">
        <v>6966</v>
      </c>
      <c r="AZ940">
        <v>8.8262999999999994E-2</v>
      </c>
      <c r="BA940">
        <v>2.5599999999999999E-4</v>
      </c>
    </row>
    <row r="941" spans="1:53" x14ac:dyDescent="0.25">
      <c r="A941">
        <v>939</v>
      </c>
      <c r="B941" t="s">
        <v>7625</v>
      </c>
      <c r="C941">
        <v>502022</v>
      </c>
      <c r="D941" t="s">
        <v>78</v>
      </c>
      <c r="E941" t="s">
        <v>36</v>
      </c>
      <c r="F941">
        <v>0</v>
      </c>
      <c r="G941">
        <v>22481.150390999999</v>
      </c>
      <c r="H941">
        <v>906</v>
      </c>
      <c r="I941">
        <v>1108</v>
      </c>
      <c r="J941">
        <v>21446</v>
      </c>
      <c r="K941" t="s">
        <v>78</v>
      </c>
      <c r="L941">
        <v>2</v>
      </c>
      <c r="M941">
        <v>2</v>
      </c>
      <c r="N941">
        <v>21446</v>
      </c>
      <c r="O941">
        <v>887</v>
      </c>
      <c r="P941" t="s">
        <v>3212</v>
      </c>
      <c r="Q941">
        <v>1.2</v>
      </c>
      <c r="R941">
        <v>42.34</v>
      </c>
      <c r="S941">
        <v>0.64</v>
      </c>
      <c r="T941">
        <v>24</v>
      </c>
      <c r="U941">
        <v>0</v>
      </c>
      <c r="V941">
        <v>22481.150557000001</v>
      </c>
      <c r="W941">
        <v>940</v>
      </c>
      <c r="X941">
        <v>0</v>
      </c>
      <c r="Y941">
        <v>939</v>
      </c>
      <c r="Z941" t="s">
        <v>6966</v>
      </c>
      <c r="AA941" t="s">
        <v>6966</v>
      </c>
      <c r="AB941" t="s">
        <v>6966</v>
      </c>
      <c r="AC941" t="s">
        <v>6966</v>
      </c>
      <c r="AD941" t="s">
        <v>6966</v>
      </c>
      <c r="AE941" t="s">
        <v>6966</v>
      </c>
      <c r="AF941" t="s">
        <v>6966</v>
      </c>
      <c r="AG941" t="s">
        <v>6966</v>
      </c>
      <c r="AH941" t="s">
        <v>6966</v>
      </c>
      <c r="AI941" t="s">
        <v>6966</v>
      </c>
      <c r="AJ941" t="s">
        <v>6966</v>
      </c>
      <c r="AK941" t="s">
        <v>6966</v>
      </c>
      <c r="AL941" t="s">
        <v>6966</v>
      </c>
      <c r="AM941" t="s">
        <v>6966</v>
      </c>
      <c r="AN941" t="s">
        <v>6966</v>
      </c>
      <c r="AO941" t="s">
        <v>6966</v>
      </c>
      <c r="AP941" t="s">
        <v>6966</v>
      </c>
      <c r="AQ941" t="s">
        <v>6966</v>
      </c>
      <c r="AR941" t="s">
        <v>6966</v>
      </c>
      <c r="AS941" t="s">
        <v>6966</v>
      </c>
      <c r="AT941" t="s">
        <v>6966</v>
      </c>
      <c r="AU941" t="s">
        <v>6966</v>
      </c>
      <c r="AV941" t="s">
        <v>6966</v>
      </c>
      <c r="AW941" t="s">
        <v>6966</v>
      </c>
      <c r="AX941" t="s">
        <v>6966</v>
      </c>
      <c r="AY941" t="s">
        <v>6966</v>
      </c>
      <c r="AZ941">
        <v>0.227632</v>
      </c>
      <c r="BA941">
        <v>1.5120000000000001E-3</v>
      </c>
    </row>
    <row r="942" spans="1:53" x14ac:dyDescent="0.25">
      <c r="A942">
        <v>940</v>
      </c>
      <c r="B942" t="s">
        <v>7625</v>
      </c>
      <c r="C942">
        <v>502039</v>
      </c>
      <c r="D942" t="s">
        <v>7909</v>
      </c>
      <c r="E942" t="s">
        <v>36</v>
      </c>
      <c r="F942">
        <v>1787964.75</v>
      </c>
      <c r="G942">
        <v>7433.3032229999999</v>
      </c>
      <c r="H942">
        <v>907</v>
      </c>
      <c r="I942">
        <v>1109</v>
      </c>
      <c r="J942">
        <v>21243</v>
      </c>
      <c r="K942" t="s">
        <v>7910</v>
      </c>
      <c r="L942">
        <v>2</v>
      </c>
      <c r="M942">
        <v>2</v>
      </c>
      <c r="N942">
        <v>21243</v>
      </c>
      <c r="O942">
        <v>888</v>
      </c>
      <c r="P942" t="s">
        <v>3212</v>
      </c>
      <c r="Q942">
        <v>10.8</v>
      </c>
      <c r="R942">
        <v>77.47</v>
      </c>
      <c r="S942">
        <v>2.89</v>
      </c>
      <c r="T942">
        <v>21</v>
      </c>
      <c r="U942">
        <v>1787964.6832399999</v>
      </c>
      <c r="V942">
        <v>7433.3029699999997</v>
      </c>
      <c r="W942">
        <v>941</v>
      </c>
      <c r="X942">
        <v>0</v>
      </c>
      <c r="Y942">
        <v>940</v>
      </c>
      <c r="Z942" t="s">
        <v>6966</v>
      </c>
      <c r="AA942" t="s">
        <v>6966</v>
      </c>
      <c r="AB942" t="s">
        <v>6966</v>
      </c>
      <c r="AC942" t="s">
        <v>6966</v>
      </c>
      <c r="AD942" t="s">
        <v>6966</v>
      </c>
      <c r="AE942" t="s">
        <v>6966</v>
      </c>
      <c r="AF942" t="s">
        <v>6966</v>
      </c>
      <c r="AG942" t="s">
        <v>6966</v>
      </c>
      <c r="AH942" t="s">
        <v>6966</v>
      </c>
      <c r="AI942" t="s">
        <v>6966</v>
      </c>
      <c r="AJ942" t="s">
        <v>6966</v>
      </c>
      <c r="AK942" t="s">
        <v>6966</v>
      </c>
      <c r="AL942" t="s">
        <v>6966</v>
      </c>
      <c r="AM942" t="s">
        <v>6966</v>
      </c>
      <c r="AN942" t="s">
        <v>6966</v>
      </c>
      <c r="AO942" t="s">
        <v>6966</v>
      </c>
      <c r="AP942" t="s">
        <v>6966</v>
      </c>
      <c r="AQ942" t="s">
        <v>6966</v>
      </c>
      <c r="AR942" t="s">
        <v>6966</v>
      </c>
      <c r="AS942" t="s">
        <v>6966</v>
      </c>
      <c r="AT942" t="s">
        <v>6966</v>
      </c>
      <c r="AU942" t="s">
        <v>6966</v>
      </c>
      <c r="AV942" t="s">
        <v>6966</v>
      </c>
      <c r="AW942" t="s">
        <v>6966</v>
      </c>
      <c r="AX942" t="s">
        <v>6966</v>
      </c>
      <c r="AY942" t="s">
        <v>6966</v>
      </c>
      <c r="AZ942">
        <v>7.4754000000000001E-2</v>
      </c>
      <c r="BA942">
        <v>1.74E-4</v>
      </c>
    </row>
    <row r="943" spans="1:53" x14ac:dyDescent="0.25">
      <c r="A943">
        <v>941</v>
      </c>
      <c r="B943" t="s">
        <v>7625</v>
      </c>
      <c r="C943">
        <v>403053</v>
      </c>
      <c r="D943" t="s">
        <v>7911</v>
      </c>
      <c r="E943" t="s">
        <v>3045</v>
      </c>
      <c r="F943">
        <v>302320.4375</v>
      </c>
      <c r="G943">
        <v>2794.7758789999998</v>
      </c>
      <c r="H943">
        <v>908</v>
      </c>
      <c r="I943">
        <v>1110</v>
      </c>
      <c r="J943">
        <v>51111</v>
      </c>
      <c r="K943" t="s">
        <v>7912</v>
      </c>
      <c r="L943">
        <v>15</v>
      </c>
      <c r="M943">
        <v>15</v>
      </c>
      <c r="N943">
        <v>51111</v>
      </c>
      <c r="O943">
        <v>889</v>
      </c>
      <c r="P943" t="s">
        <v>3214</v>
      </c>
      <c r="Q943">
        <v>137.69999999999999</v>
      </c>
      <c r="R943">
        <v>223.54</v>
      </c>
      <c r="S943">
        <v>387.1</v>
      </c>
      <c r="T943">
        <v>34</v>
      </c>
      <c r="U943">
        <v>302320.43379500002</v>
      </c>
      <c r="V943">
        <v>2794.775353</v>
      </c>
      <c r="W943">
        <v>942</v>
      </c>
      <c r="X943">
        <v>3</v>
      </c>
      <c r="Y943">
        <v>941</v>
      </c>
      <c r="Z943">
        <v>60098</v>
      </c>
      <c r="AA943" s="76">
        <v>45753</v>
      </c>
      <c r="AB943">
        <v>2025</v>
      </c>
      <c r="AC943" t="s">
        <v>7183</v>
      </c>
      <c r="AD943">
        <v>6</v>
      </c>
      <c r="AE943" t="s">
        <v>7192</v>
      </c>
      <c r="AF943" t="s">
        <v>3214</v>
      </c>
      <c r="AG943" t="s">
        <v>3045</v>
      </c>
      <c r="AH943" t="s">
        <v>7193</v>
      </c>
      <c r="AI943" t="s">
        <v>3045</v>
      </c>
      <c r="AJ943" t="s">
        <v>6966</v>
      </c>
      <c r="AK943">
        <v>33.849080000000001</v>
      </c>
      <c r="AL943">
        <v>35.902700000000003</v>
      </c>
      <c r="AM943" t="s">
        <v>7059</v>
      </c>
      <c r="AN943" t="s">
        <v>7014</v>
      </c>
      <c r="AO943" t="s">
        <v>7103</v>
      </c>
      <c r="AP943" t="s">
        <v>7194</v>
      </c>
      <c r="AQ943" t="s">
        <v>6998</v>
      </c>
      <c r="AR943" t="s">
        <v>6999</v>
      </c>
      <c r="AS943" t="s">
        <v>7000</v>
      </c>
      <c r="AT943">
        <v>0</v>
      </c>
      <c r="AU943">
        <v>0</v>
      </c>
      <c r="AV943" t="s">
        <v>7195</v>
      </c>
      <c r="AW943" t="s">
        <v>7018</v>
      </c>
      <c r="AX943" t="s">
        <v>6966</v>
      </c>
      <c r="AY943" t="s">
        <v>7114</v>
      </c>
      <c r="AZ943">
        <v>2.7421999999999998E-2</v>
      </c>
      <c r="BA943">
        <v>2.9E-5</v>
      </c>
    </row>
    <row r="944" spans="1:53" x14ac:dyDescent="0.25">
      <c r="A944">
        <v>942</v>
      </c>
      <c r="B944" t="s">
        <v>7625</v>
      </c>
      <c r="C944">
        <v>403052</v>
      </c>
      <c r="D944" t="s">
        <v>7913</v>
      </c>
      <c r="E944" t="s">
        <v>3045</v>
      </c>
      <c r="F944">
        <v>616793.6875</v>
      </c>
      <c r="G944">
        <v>5077.3027339999999</v>
      </c>
      <c r="H944">
        <v>909</v>
      </c>
      <c r="I944">
        <v>1111</v>
      </c>
      <c r="J944">
        <v>51121</v>
      </c>
      <c r="K944" t="s">
        <v>7914</v>
      </c>
      <c r="L944">
        <v>15</v>
      </c>
      <c r="M944">
        <v>15</v>
      </c>
      <c r="N944">
        <v>51159</v>
      </c>
      <c r="O944">
        <v>890</v>
      </c>
      <c r="P944" t="s">
        <v>3214</v>
      </c>
      <c r="Q944">
        <v>192.7</v>
      </c>
      <c r="R944">
        <v>255.46</v>
      </c>
      <c r="S944">
        <v>0</v>
      </c>
      <c r="T944">
        <v>0</v>
      </c>
      <c r="U944">
        <v>616793.66425799998</v>
      </c>
      <c r="V944">
        <v>5077.3026</v>
      </c>
      <c r="W944">
        <v>943</v>
      </c>
      <c r="X944">
        <v>0</v>
      </c>
      <c r="Y944">
        <v>942</v>
      </c>
      <c r="Z944" t="s">
        <v>6966</v>
      </c>
      <c r="AA944" t="s">
        <v>6966</v>
      </c>
      <c r="AB944" t="s">
        <v>6966</v>
      </c>
      <c r="AC944" t="s">
        <v>6966</v>
      </c>
      <c r="AD944" t="s">
        <v>6966</v>
      </c>
      <c r="AE944" t="s">
        <v>6966</v>
      </c>
      <c r="AF944" t="s">
        <v>6966</v>
      </c>
      <c r="AG944" t="s">
        <v>6966</v>
      </c>
      <c r="AH944" t="s">
        <v>6966</v>
      </c>
      <c r="AI944" t="s">
        <v>6966</v>
      </c>
      <c r="AJ944" t="s">
        <v>6966</v>
      </c>
      <c r="AK944" t="s">
        <v>6966</v>
      </c>
      <c r="AL944" t="s">
        <v>6966</v>
      </c>
      <c r="AM944" t="s">
        <v>6966</v>
      </c>
      <c r="AN944" t="s">
        <v>6966</v>
      </c>
      <c r="AO944" t="s">
        <v>6966</v>
      </c>
      <c r="AP944" t="s">
        <v>6966</v>
      </c>
      <c r="AQ944" t="s">
        <v>6966</v>
      </c>
      <c r="AR944" t="s">
        <v>6966</v>
      </c>
      <c r="AS944" t="s">
        <v>6966</v>
      </c>
      <c r="AT944" t="s">
        <v>6966</v>
      </c>
      <c r="AU944" t="s">
        <v>6966</v>
      </c>
      <c r="AV944" t="s">
        <v>6966</v>
      </c>
      <c r="AW944" t="s">
        <v>6966</v>
      </c>
      <c r="AX944" t="s">
        <v>6966</v>
      </c>
      <c r="AY944" t="s">
        <v>6966</v>
      </c>
      <c r="AZ944">
        <v>5.0254E-2</v>
      </c>
      <c r="BA944">
        <v>6.0000000000000002E-5</v>
      </c>
    </row>
    <row r="945" spans="1:53" x14ac:dyDescent="0.25">
      <c r="A945">
        <v>943</v>
      </c>
      <c r="B945" t="s">
        <v>7625</v>
      </c>
      <c r="C945">
        <v>403040</v>
      </c>
      <c r="D945" t="s">
        <v>1022</v>
      </c>
      <c r="E945" t="s">
        <v>3045</v>
      </c>
      <c r="F945">
        <v>5307762.5</v>
      </c>
      <c r="G945">
        <v>10288.708984000001</v>
      </c>
      <c r="H945">
        <v>910</v>
      </c>
      <c r="I945">
        <v>1112</v>
      </c>
      <c r="J945">
        <v>51359</v>
      </c>
      <c r="K945" t="s">
        <v>2375</v>
      </c>
      <c r="L945">
        <v>15</v>
      </c>
      <c r="M945">
        <v>15</v>
      </c>
      <c r="N945">
        <v>51359</v>
      </c>
      <c r="O945">
        <v>891</v>
      </c>
      <c r="P945" t="s">
        <v>3214</v>
      </c>
      <c r="Q945">
        <v>7.4</v>
      </c>
      <c r="R945">
        <v>207.96</v>
      </c>
      <c r="S945">
        <v>1.9</v>
      </c>
      <c r="T945">
        <v>53</v>
      </c>
      <c r="U945">
        <v>5307762.3463599999</v>
      </c>
      <c r="V945">
        <v>10288.708871000001</v>
      </c>
      <c r="W945">
        <v>944</v>
      </c>
      <c r="X945">
        <v>0</v>
      </c>
      <c r="Y945">
        <v>943</v>
      </c>
      <c r="Z945" t="s">
        <v>6966</v>
      </c>
      <c r="AA945" t="s">
        <v>6966</v>
      </c>
      <c r="AB945" t="s">
        <v>6966</v>
      </c>
      <c r="AC945" t="s">
        <v>6966</v>
      </c>
      <c r="AD945" t="s">
        <v>6966</v>
      </c>
      <c r="AE945" t="s">
        <v>6966</v>
      </c>
      <c r="AF945" t="s">
        <v>6966</v>
      </c>
      <c r="AG945" t="s">
        <v>6966</v>
      </c>
      <c r="AH945" t="s">
        <v>6966</v>
      </c>
      <c r="AI945" t="s">
        <v>6966</v>
      </c>
      <c r="AJ945" t="s">
        <v>6966</v>
      </c>
      <c r="AK945" t="s">
        <v>6966</v>
      </c>
      <c r="AL945" t="s">
        <v>6966</v>
      </c>
      <c r="AM945" t="s">
        <v>6966</v>
      </c>
      <c r="AN945" t="s">
        <v>6966</v>
      </c>
      <c r="AO945" t="s">
        <v>6966</v>
      </c>
      <c r="AP945" t="s">
        <v>6966</v>
      </c>
      <c r="AQ945" t="s">
        <v>6966</v>
      </c>
      <c r="AR945" t="s">
        <v>6966</v>
      </c>
      <c r="AS945" t="s">
        <v>6966</v>
      </c>
      <c r="AT945" t="s">
        <v>6966</v>
      </c>
      <c r="AU945" t="s">
        <v>6966</v>
      </c>
      <c r="AV945" t="s">
        <v>6966</v>
      </c>
      <c r="AW945" t="s">
        <v>6966</v>
      </c>
      <c r="AX945" t="s">
        <v>6966</v>
      </c>
      <c r="AY945" t="s">
        <v>6966</v>
      </c>
      <c r="AZ945">
        <v>0.10445699999999999</v>
      </c>
      <c r="BA945">
        <v>5.1699999999999999E-4</v>
      </c>
    </row>
    <row r="946" spans="1:53" x14ac:dyDescent="0.25">
      <c r="A946">
        <v>944</v>
      </c>
      <c r="B946" t="s">
        <v>7625</v>
      </c>
      <c r="C946">
        <v>403058</v>
      </c>
      <c r="D946" t="s">
        <v>7915</v>
      </c>
      <c r="E946" t="s">
        <v>3045</v>
      </c>
      <c r="F946">
        <v>248248.125</v>
      </c>
      <c r="G946">
        <v>3325.108154</v>
      </c>
      <c r="H946">
        <v>911</v>
      </c>
      <c r="I946">
        <v>1113</v>
      </c>
      <c r="J946">
        <v>51113</v>
      </c>
      <c r="K946" t="s">
        <v>7916</v>
      </c>
      <c r="L946">
        <v>15</v>
      </c>
      <c r="M946">
        <v>15</v>
      </c>
      <c r="N946">
        <v>51141</v>
      </c>
      <c r="O946">
        <v>892</v>
      </c>
      <c r="P946" t="s">
        <v>3214</v>
      </c>
      <c r="Q946">
        <v>62.1</v>
      </c>
      <c r="R946">
        <v>74.680000000000007</v>
      </c>
      <c r="S946">
        <v>0</v>
      </c>
      <c r="T946">
        <v>0</v>
      </c>
      <c r="U946">
        <v>248248.132235</v>
      </c>
      <c r="V946">
        <v>3325.1081279999999</v>
      </c>
      <c r="W946">
        <v>945</v>
      </c>
      <c r="X946">
        <v>0</v>
      </c>
      <c r="Y946">
        <v>944</v>
      </c>
      <c r="Z946" t="s">
        <v>6966</v>
      </c>
      <c r="AA946" t="s">
        <v>6966</v>
      </c>
      <c r="AB946" t="s">
        <v>6966</v>
      </c>
      <c r="AC946" t="s">
        <v>6966</v>
      </c>
      <c r="AD946" t="s">
        <v>6966</v>
      </c>
      <c r="AE946" t="s">
        <v>6966</v>
      </c>
      <c r="AF946" t="s">
        <v>6966</v>
      </c>
      <c r="AG946" t="s">
        <v>6966</v>
      </c>
      <c r="AH946" t="s">
        <v>6966</v>
      </c>
      <c r="AI946" t="s">
        <v>6966</v>
      </c>
      <c r="AJ946" t="s">
        <v>6966</v>
      </c>
      <c r="AK946" t="s">
        <v>6966</v>
      </c>
      <c r="AL946" t="s">
        <v>6966</v>
      </c>
      <c r="AM946" t="s">
        <v>6966</v>
      </c>
      <c r="AN946" t="s">
        <v>6966</v>
      </c>
      <c r="AO946" t="s">
        <v>6966</v>
      </c>
      <c r="AP946" t="s">
        <v>6966</v>
      </c>
      <c r="AQ946" t="s">
        <v>6966</v>
      </c>
      <c r="AR946" t="s">
        <v>6966</v>
      </c>
      <c r="AS946" t="s">
        <v>6966</v>
      </c>
      <c r="AT946" t="s">
        <v>6966</v>
      </c>
      <c r="AU946" t="s">
        <v>6966</v>
      </c>
      <c r="AV946" t="s">
        <v>6966</v>
      </c>
      <c r="AW946" t="s">
        <v>6966</v>
      </c>
      <c r="AX946" t="s">
        <v>6966</v>
      </c>
      <c r="AY946" t="s">
        <v>6966</v>
      </c>
      <c r="AZ946">
        <v>3.1837999999999998E-2</v>
      </c>
      <c r="BA946">
        <v>2.4000000000000001E-5</v>
      </c>
    </row>
    <row r="947" spans="1:53" x14ac:dyDescent="0.25">
      <c r="A947">
        <v>945</v>
      </c>
      <c r="B947" t="s">
        <v>7625</v>
      </c>
      <c r="C947">
        <v>403060</v>
      </c>
      <c r="D947" t="s">
        <v>7917</v>
      </c>
      <c r="E947" t="s">
        <v>3045</v>
      </c>
      <c r="F947">
        <v>32730.230468999998</v>
      </c>
      <c r="G947">
        <v>827.50878899999998</v>
      </c>
      <c r="H947">
        <v>912</v>
      </c>
      <c r="I947">
        <v>1115</v>
      </c>
      <c r="J947">
        <v>51123</v>
      </c>
      <c r="K947" t="s">
        <v>7917</v>
      </c>
      <c r="L947">
        <v>15</v>
      </c>
      <c r="M947">
        <v>15</v>
      </c>
      <c r="N947">
        <v>51123</v>
      </c>
      <c r="O947">
        <v>893</v>
      </c>
      <c r="P947" t="s">
        <v>3214</v>
      </c>
      <c r="Q947">
        <v>0</v>
      </c>
      <c r="R947">
        <v>0</v>
      </c>
      <c r="S947">
        <v>0</v>
      </c>
      <c r="T947">
        <v>0</v>
      </c>
      <c r="U947">
        <v>32730.227188000001</v>
      </c>
      <c r="V947">
        <v>827.50899100000004</v>
      </c>
      <c r="W947">
        <v>946</v>
      </c>
      <c r="X947">
        <v>0</v>
      </c>
      <c r="Y947">
        <v>945</v>
      </c>
      <c r="Z947" t="s">
        <v>6966</v>
      </c>
      <c r="AA947" t="s">
        <v>6966</v>
      </c>
      <c r="AB947" t="s">
        <v>6966</v>
      </c>
      <c r="AC947" t="s">
        <v>6966</v>
      </c>
      <c r="AD947" t="s">
        <v>6966</v>
      </c>
      <c r="AE947" t="s">
        <v>6966</v>
      </c>
      <c r="AF947" t="s">
        <v>6966</v>
      </c>
      <c r="AG947" t="s">
        <v>6966</v>
      </c>
      <c r="AH947" t="s">
        <v>6966</v>
      </c>
      <c r="AI947" t="s">
        <v>6966</v>
      </c>
      <c r="AJ947" t="s">
        <v>6966</v>
      </c>
      <c r="AK947" t="s">
        <v>6966</v>
      </c>
      <c r="AL947" t="s">
        <v>6966</v>
      </c>
      <c r="AM947" t="s">
        <v>6966</v>
      </c>
      <c r="AN947" t="s">
        <v>6966</v>
      </c>
      <c r="AO947" t="s">
        <v>6966</v>
      </c>
      <c r="AP947" t="s">
        <v>6966</v>
      </c>
      <c r="AQ947" t="s">
        <v>6966</v>
      </c>
      <c r="AR947" t="s">
        <v>6966</v>
      </c>
      <c r="AS947" t="s">
        <v>6966</v>
      </c>
      <c r="AT947" t="s">
        <v>6966</v>
      </c>
      <c r="AU947" t="s">
        <v>6966</v>
      </c>
      <c r="AV947" t="s">
        <v>6966</v>
      </c>
      <c r="AW947" t="s">
        <v>6966</v>
      </c>
      <c r="AX947" t="s">
        <v>6966</v>
      </c>
      <c r="AY947" t="s">
        <v>6966</v>
      </c>
      <c r="AZ947">
        <v>8.3859999999999994E-3</v>
      </c>
      <c r="BA947">
        <v>3.0000000000000001E-6</v>
      </c>
    </row>
    <row r="948" spans="1:53" x14ac:dyDescent="0.25">
      <c r="A948">
        <v>946</v>
      </c>
      <c r="B948" t="s">
        <v>7625</v>
      </c>
      <c r="C948">
        <v>502044</v>
      </c>
      <c r="D948" t="s">
        <v>72</v>
      </c>
      <c r="E948" t="s">
        <v>36</v>
      </c>
      <c r="F948">
        <v>1170658.75</v>
      </c>
      <c r="G948">
        <v>5957.6958009999998</v>
      </c>
      <c r="H948">
        <v>913</v>
      </c>
      <c r="I948">
        <v>1116</v>
      </c>
      <c r="J948">
        <v>21416</v>
      </c>
      <c r="K948" t="s">
        <v>1613</v>
      </c>
      <c r="L948">
        <v>2</v>
      </c>
      <c r="M948">
        <v>2</v>
      </c>
      <c r="N948">
        <v>21416</v>
      </c>
      <c r="O948">
        <v>894</v>
      </c>
      <c r="P948" t="s">
        <v>3212</v>
      </c>
      <c r="Q948">
        <v>9.4</v>
      </c>
      <c r="R948">
        <v>44.44</v>
      </c>
      <c r="S948">
        <v>5.15</v>
      </c>
      <c r="T948">
        <v>24</v>
      </c>
      <c r="U948">
        <v>1170658.8241399999</v>
      </c>
      <c r="V948">
        <v>5957.6964209999996</v>
      </c>
      <c r="W948">
        <v>947</v>
      </c>
      <c r="X948">
        <v>0</v>
      </c>
      <c r="Y948">
        <v>946</v>
      </c>
      <c r="Z948" t="s">
        <v>6966</v>
      </c>
      <c r="AA948" t="s">
        <v>6966</v>
      </c>
      <c r="AB948" t="s">
        <v>6966</v>
      </c>
      <c r="AC948" t="s">
        <v>6966</v>
      </c>
      <c r="AD948" t="s">
        <v>6966</v>
      </c>
      <c r="AE948" t="s">
        <v>6966</v>
      </c>
      <c r="AF948" t="s">
        <v>6966</v>
      </c>
      <c r="AG948" t="s">
        <v>6966</v>
      </c>
      <c r="AH948" t="s">
        <v>6966</v>
      </c>
      <c r="AI948" t="s">
        <v>6966</v>
      </c>
      <c r="AJ948" t="s">
        <v>6966</v>
      </c>
      <c r="AK948" t="s">
        <v>6966</v>
      </c>
      <c r="AL948" t="s">
        <v>6966</v>
      </c>
      <c r="AM948" t="s">
        <v>6966</v>
      </c>
      <c r="AN948" t="s">
        <v>6966</v>
      </c>
      <c r="AO948" t="s">
        <v>6966</v>
      </c>
      <c r="AP948" t="s">
        <v>6966</v>
      </c>
      <c r="AQ948" t="s">
        <v>6966</v>
      </c>
      <c r="AR948" t="s">
        <v>6966</v>
      </c>
      <c r="AS948" t="s">
        <v>6966</v>
      </c>
      <c r="AT948" t="s">
        <v>6966</v>
      </c>
      <c r="AU948" t="s">
        <v>6966</v>
      </c>
      <c r="AV948" t="s">
        <v>6966</v>
      </c>
      <c r="AW948" t="s">
        <v>6966</v>
      </c>
      <c r="AX948" t="s">
        <v>6966</v>
      </c>
      <c r="AY948" t="s">
        <v>6966</v>
      </c>
      <c r="AZ948">
        <v>5.8887000000000002E-2</v>
      </c>
      <c r="BA948">
        <v>1.1400000000000001E-4</v>
      </c>
    </row>
    <row r="949" spans="1:53" x14ac:dyDescent="0.25">
      <c r="A949">
        <v>947</v>
      </c>
      <c r="B949" t="s">
        <v>7625</v>
      </c>
      <c r="C949">
        <v>403063</v>
      </c>
      <c r="D949" t="s">
        <v>7918</v>
      </c>
      <c r="E949" t="s">
        <v>3045</v>
      </c>
      <c r="F949">
        <v>156144.421875</v>
      </c>
      <c r="G949">
        <v>1996.3396</v>
      </c>
      <c r="H949">
        <v>914</v>
      </c>
      <c r="I949">
        <v>1117</v>
      </c>
      <c r="J949">
        <v>51129</v>
      </c>
      <c r="K949" t="s">
        <v>7919</v>
      </c>
      <c r="L949">
        <v>15</v>
      </c>
      <c r="M949">
        <v>15</v>
      </c>
      <c r="N949">
        <v>51129</v>
      </c>
      <c r="O949">
        <v>895</v>
      </c>
      <c r="P949" t="s">
        <v>3214</v>
      </c>
      <c r="Q949">
        <v>0</v>
      </c>
      <c r="R949">
        <v>0</v>
      </c>
      <c r="S949">
        <v>0</v>
      </c>
      <c r="T949">
        <v>0</v>
      </c>
      <c r="U949">
        <v>156144.40779299999</v>
      </c>
      <c r="V949">
        <v>1996.3393490000001</v>
      </c>
      <c r="W949">
        <v>948</v>
      </c>
      <c r="X949">
        <v>0</v>
      </c>
      <c r="Y949">
        <v>947</v>
      </c>
      <c r="Z949" t="s">
        <v>6966</v>
      </c>
      <c r="AA949" t="s">
        <v>6966</v>
      </c>
      <c r="AB949" t="s">
        <v>6966</v>
      </c>
      <c r="AC949" t="s">
        <v>6966</v>
      </c>
      <c r="AD949" t="s">
        <v>6966</v>
      </c>
      <c r="AE949" t="s">
        <v>6966</v>
      </c>
      <c r="AF949" t="s">
        <v>6966</v>
      </c>
      <c r="AG949" t="s">
        <v>6966</v>
      </c>
      <c r="AH949" t="s">
        <v>6966</v>
      </c>
      <c r="AI949" t="s">
        <v>6966</v>
      </c>
      <c r="AJ949" t="s">
        <v>6966</v>
      </c>
      <c r="AK949" t="s">
        <v>6966</v>
      </c>
      <c r="AL949" t="s">
        <v>6966</v>
      </c>
      <c r="AM949" t="s">
        <v>6966</v>
      </c>
      <c r="AN949" t="s">
        <v>6966</v>
      </c>
      <c r="AO949" t="s">
        <v>6966</v>
      </c>
      <c r="AP949" t="s">
        <v>6966</v>
      </c>
      <c r="AQ949" t="s">
        <v>6966</v>
      </c>
      <c r="AR949" t="s">
        <v>6966</v>
      </c>
      <c r="AS949" t="s">
        <v>6966</v>
      </c>
      <c r="AT949" t="s">
        <v>6966</v>
      </c>
      <c r="AU949" t="s">
        <v>6966</v>
      </c>
      <c r="AV949" t="s">
        <v>6966</v>
      </c>
      <c r="AW949" t="s">
        <v>6966</v>
      </c>
      <c r="AX949" t="s">
        <v>6966</v>
      </c>
      <c r="AY949" t="s">
        <v>6966</v>
      </c>
      <c r="AZ949">
        <v>2.0372000000000001E-2</v>
      </c>
      <c r="BA949">
        <v>1.5E-5</v>
      </c>
    </row>
    <row r="950" spans="1:53" x14ac:dyDescent="0.25">
      <c r="A950">
        <v>948</v>
      </c>
      <c r="B950" t="s">
        <v>7625</v>
      </c>
      <c r="C950">
        <v>403062</v>
      </c>
      <c r="D950" t="s">
        <v>7920</v>
      </c>
      <c r="E950" t="s">
        <v>3045</v>
      </c>
      <c r="F950">
        <v>193670.171875</v>
      </c>
      <c r="G950">
        <v>2803.91626</v>
      </c>
      <c r="H950">
        <v>915</v>
      </c>
      <c r="I950">
        <v>1118</v>
      </c>
      <c r="J950">
        <v>51115</v>
      </c>
      <c r="K950" t="s">
        <v>7921</v>
      </c>
      <c r="L950">
        <v>15</v>
      </c>
      <c r="M950">
        <v>15</v>
      </c>
      <c r="N950">
        <v>51147</v>
      </c>
      <c r="O950">
        <v>896</v>
      </c>
      <c r="P950" t="s">
        <v>3214</v>
      </c>
      <c r="Q950">
        <v>165.3</v>
      </c>
      <c r="R950">
        <v>460.25</v>
      </c>
      <c r="S950">
        <v>0</v>
      </c>
      <c r="T950">
        <v>0</v>
      </c>
      <c r="U950">
        <v>193670.190611</v>
      </c>
      <c r="V950">
        <v>2803.9164099999998</v>
      </c>
      <c r="W950">
        <v>949</v>
      </c>
      <c r="X950">
        <v>0</v>
      </c>
      <c r="Y950">
        <v>948</v>
      </c>
      <c r="Z950" t="s">
        <v>6966</v>
      </c>
      <c r="AA950" t="s">
        <v>6966</v>
      </c>
      <c r="AB950" t="s">
        <v>6966</v>
      </c>
      <c r="AC950" t="s">
        <v>6966</v>
      </c>
      <c r="AD950" t="s">
        <v>6966</v>
      </c>
      <c r="AE950" t="s">
        <v>6966</v>
      </c>
      <c r="AF950" t="s">
        <v>6966</v>
      </c>
      <c r="AG950" t="s">
        <v>6966</v>
      </c>
      <c r="AH950" t="s">
        <v>6966</v>
      </c>
      <c r="AI950" t="s">
        <v>6966</v>
      </c>
      <c r="AJ950" t="s">
        <v>6966</v>
      </c>
      <c r="AK950" t="s">
        <v>6966</v>
      </c>
      <c r="AL950" t="s">
        <v>6966</v>
      </c>
      <c r="AM950" t="s">
        <v>6966</v>
      </c>
      <c r="AN950" t="s">
        <v>6966</v>
      </c>
      <c r="AO950" t="s">
        <v>6966</v>
      </c>
      <c r="AP950" t="s">
        <v>6966</v>
      </c>
      <c r="AQ950" t="s">
        <v>6966</v>
      </c>
      <c r="AR950" t="s">
        <v>6966</v>
      </c>
      <c r="AS950" t="s">
        <v>6966</v>
      </c>
      <c r="AT950" t="s">
        <v>6966</v>
      </c>
      <c r="AU950" t="s">
        <v>6966</v>
      </c>
      <c r="AV950" t="s">
        <v>6966</v>
      </c>
      <c r="AW950" t="s">
        <v>6966</v>
      </c>
      <c r="AX950" t="s">
        <v>6966</v>
      </c>
      <c r="AY950" t="s">
        <v>6966</v>
      </c>
      <c r="AZ950">
        <v>2.8634E-2</v>
      </c>
      <c r="BA950">
        <v>1.9000000000000001E-5</v>
      </c>
    </row>
    <row r="951" spans="1:53" x14ac:dyDescent="0.25">
      <c r="A951">
        <v>949</v>
      </c>
      <c r="B951" t="s">
        <v>7625</v>
      </c>
      <c r="C951">
        <v>403061</v>
      </c>
      <c r="D951" t="s">
        <v>7922</v>
      </c>
      <c r="E951" t="s">
        <v>3045</v>
      </c>
      <c r="F951">
        <v>184289.671875</v>
      </c>
      <c r="G951">
        <v>2129.9418949999999</v>
      </c>
      <c r="H951">
        <v>916</v>
      </c>
      <c r="I951">
        <v>1119</v>
      </c>
      <c r="J951">
        <v>51135</v>
      </c>
      <c r="K951" t="s">
        <v>7922</v>
      </c>
      <c r="L951">
        <v>15</v>
      </c>
      <c r="M951">
        <v>15</v>
      </c>
      <c r="N951">
        <v>51135</v>
      </c>
      <c r="O951">
        <v>897</v>
      </c>
      <c r="P951" t="s">
        <v>3214</v>
      </c>
      <c r="Q951">
        <v>283.8</v>
      </c>
      <c r="R951">
        <v>395.4</v>
      </c>
      <c r="S951">
        <v>0</v>
      </c>
      <c r="T951">
        <v>0</v>
      </c>
      <c r="U951">
        <v>184289.65568600001</v>
      </c>
      <c r="V951">
        <v>2129.941765</v>
      </c>
      <c r="W951">
        <v>950</v>
      </c>
      <c r="X951">
        <v>0</v>
      </c>
      <c r="Y951">
        <v>949</v>
      </c>
      <c r="Z951" t="s">
        <v>6966</v>
      </c>
      <c r="AA951" t="s">
        <v>6966</v>
      </c>
      <c r="AB951" t="s">
        <v>6966</v>
      </c>
      <c r="AC951" t="s">
        <v>6966</v>
      </c>
      <c r="AD951" t="s">
        <v>6966</v>
      </c>
      <c r="AE951" t="s">
        <v>6966</v>
      </c>
      <c r="AF951" t="s">
        <v>6966</v>
      </c>
      <c r="AG951" t="s">
        <v>6966</v>
      </c>
      <c r="AH951" t="s">
        <v>6966</v>
      </c>
      <c r="AI951" t="s">
        <v>6966</v>
      </c>
      <c r="AJ951" t="s">
        <v>6966</v>
      </c>
      <c r="AK951" t="s">
        <v>6966</v>
      </c>
      <c r="AL951" t="s">
        <v>6966</v>
      </c>
      <c r="AM951" t="s">
        <v>6966</v>
      </c>
      <c r="AN951" t="s">
        <v>6966</v>
      </c>
      <c r="AO951" t="s">
        <v>6966</v>
      </c>
      <c r="AP951" t="s">
        <v>6966</v>
      </c>
      <c r="AQ951" t="s">
        <v>6966</v>
      </c>
      <c r="AR951" t="s">
        <v>6966</v>
      </c>
      <c r="AS951" t="s">
        <v>6966</v>
      </c>
      <c r="AT951" t="s">
        <v>6966</v>
      </c>
      <c r="AU951" t="s">
        <v>6966</v>
      </c>
      <c r="AV951" t="s">
        <v>6966</v>
      </c>
      <c r="AW951" t="s">
        <v>6966</v>
      </c>
      <c r="AX951" t="s">
        <v>6966</v>
      </c>
      <c r="AY951" t="s">
        <v>6966</v>
      </c>
      <c r="AZ951">
        <v>2.1427000000000002E-2</v>
      </c>
      <c r="BA951">
        <v>1.8E-5</v>
      </c>
    </row>
    <row r="952" spans="1:53" x14ac:dyDescent="0.25">
      <c r="A952">
        <v>950</v>
      </c>
      <c r="B952" t="s">
        <v>7625</v>
      </c>
      <c r="C952">
        <v>502013</v>
      </c>
      <c r="D952" t="s">
        <v>79</v>
      </c>
      <c r="E952" t="s">
        <v>36</v>
      </c>
      <c r="F952">
        <v>2440062.75</v>
      </c>
      <c r="G952">
        <v>7730.595703</v>
      </c>
      <c r="H952">
        <v>917</v>
      </c>
      <c r="I952">
        <v>1120</v>
      </c>
      <c r="J952">
        <v>21451</v>
      </c>
      <c r="K952" t="s">
        <v>1618</v>
      </c>
      <c r="L952">
        <v>2</v>
      </c>
      <c r="M952">
        <v>2</v>
      </c>
      <c r="N952">
        <v>21451</v>
      </c>
      <c r="O952">
        <v>898</v>
      </c>
      <c r="P952" t="s">
        <v>3212</v>
      </c>
      <c r="Q952">
        <v>0.7</v>
      </c>
      <c r="R952">
        <v>75.91</v>
      </c>
      <c r="S952">
        <v>0.18</v>
      </c>
      <c r="T952">
        <v>21</v>
      </c>
      <c r="U952">
        <v>2440062.87714</v>
      </c>
      <c r="V952">
        <v>7730.5951919999998</v>
      </c>
      <c r="W952">
        <v>951</v>
      </c>
      <c r="X952">
        <v>0</v>
      </c>
      <c r="Y952">
        <v>950</v>
      </c>
      <c r="Z952" t="s">
        <v>6966</v>
      </c>
      <c r="AA952" t="s">
        <v>6966</v>
      </c>
      <c r="AB952" t="s">
        <v>6966</v>
      </c>
      <c r="AC952" t="s">
        <v>6966</v>
      </c>
      <c r="AD952" t="s">
        <v>6966</v>
      </c>
      <c r="AE952" t="s">
        <v>6966</v>
      </c>
      <c r="AF952" t="s">
        <v>6966</v>
      </c>
      <c r="AG952" t="s">
        <v>6966</v>
      </c>
      <c r="AH952" t="s">
        <v>6966</v>
      </c>
      <c r="AI952" t="s">
        <v>6966</v>
      </c>
      <c r="AJ952" t="s">
        <v>6966</v>
      </c>
      <c r="AK952" t="s">
        <v>6966</v>
      </c>
      <c r="AL952" t="s">
        <v>6966</v>
      </c>
      <c r="AM952" t="s">
        <v>6966</v>
      </c>
      <c r="AN952" t="s">
        <v>6966</v>
      </c>
      <c r="AO952" t="s">
        <v>6966</v>
      </c>
      <c r="AP952" t="s">
        <v>6966</v>
      </c>
      <c r="AQ952" t="s">
        <v>6966</v>
      </c>
      <c r="AR952" t="s">
        <v>6966</v>
      </c>
      <c r="AS952" t="s">
        <v>6966</v>
      </c>
      <c r="AT952" t="s">
        <v>6966</v>
      </c>
      <c r="AU952" t="s">
        <v>6966</v>
      </c>
      <c r="AV952" t="s">
        <v>6966</v>
      </c>
      <c r="AW952" t="s">
        <v>6966</v>
      </c>
      <c r="AX952" t="s">
        <v>6966</v>
      </c>
      <c r="AY952" t="s">
        <v>6966</v>
      </c>
      <c r="AZ952">
        <v>7.7861E-2</v>
      </c>
      <c r="BA952">
        <v>2.3800000000000001E-4</v>
      </c>
    </row>
    <row r="953" spans="1:53" x14ac:dyDescent="0.25">
      <c r="A953">
        <v>951</v>
      </c>
      <c r="B953" t="s">
        <v>7625</v>
      </c>
      <c r="C953">
        <v>502018</v>
      </c>
      <c r="D953" t="s">
        <v>59</v>
      </c>
      <c r="E953" t="s">
        <v>36</v>
      </c>
      <c r="F953">
        <v>2054901.375</v>
      </c>
      <c r="G953">
        <v>7783.4077150000003</v>
      </c>
      <c r="H953">
        <v>918</v>
      </c>
      <c r="I953">
        <v>1121</v>
      </c>
      <c r="J953">
        <v>21354</v>
      </c>
      <c r="K953" t="s">
        <v>59</v>
      </c>
      <c r="L953">
        <v>2</v>
      </c>
      <c r="M953">
        <v>2</v>
      </c>
      <c r="N953">
        <v>21354</v>
      </c>
      <c r="O953">
        <v>899</v>
      </c>
      <c r="P953" t="s">
        <v>3212</v>
      </c>
      <c r="Q953">
        <v>5.3</v>
      </c>
      <c r="R953">
        <v>37.58</v>
      </c>
      <c r="S953">
        <v>1.72</v>
      </c>
      <c r="T953">
        <v>12</v>
      </c>
      <c r="U953">
        <v>2054901.3155499999</v>
      </c>
      <c r="V953">
        <v>7783.4068930000003</v>
      </c>
      <c r="W953">
        <v>952</v>
      </c>
      <c r="X953">
        <v>0</v>
      </c>
      <c r="Y953">
        <v>951</v>
      </c>
      <c r="Z953" t="s">
        <v>6966</v>
      </c>
      <c r="AA953" t="s">
        <v>6966</v>
      </c>
      <c r="AB953" t="s">
        <v>6966</v>
      </c>
      <c r="AC953" t="s">
        <v>6966</v>
      </c>
      <c r="AD953" t="s">
        <v>6966</v>
      </c>
      <c r="AE953" t="s">
        <v>6966</v>
      </c>
      <c r="AF953" t="s">
        <v>6966</v>
      </c>
      <c r="AG953" t="s">
        <v>6966</v>
      </c>
      <c r="AH953" t="s">
        <v>6966</v>
      </c>
      <c r="AI953" t="s">
        <v>6966</v>
      </c>
      <c r="AJ953" t="s">
        <v>6966</v>
      </c>
      <c r="AK953" t="s">
        <v>6966</v>
      </c>
      <c r="AL953" t="s">
        <v>6966</v>
      </c>
      <c r="AM953" t="s">
        <v>6966</v>
      </c>
      <c r="AN953" t="s">
        <v>6966</v>
      </c>
      <c r="AO953" t="s">
        <v>6966</v>
      </c>
      <c r="AP953" t="s">
        <v>6966</v>
      </c>
      <c r="AQ953" t="s">
        <v>6966</v>
      </c>
      <c r="AR953" t="s">
        <v>6966</v>
      </c>
      <c r="AS953" t="s">
        <v>6966</v>
      </c>
      <c r="AT953" t="s">
        <v>6966</v>
      </c>
      <c r="AU953" t="s">
        <v>6966</v>
      </c>
      <c r="AV953" t="s">
        <v>6966</v>
      </c>
      <c r="AW953" t="s">
        <v>6966</v>
      </c>
      <c r="AX953" t="s">
        <v>6966</v>
      </c>
      <c r="AY953" t="s">
        <v>6966</v>
      </c>
      <c r="AZ953">
        <v>7.6711000000000001E-2</v>
      </c>
      <c r="BA953">
        <v>2.0000000000000001E-4</v>
      </c>
    </row>
    <row r="954" spans="1:53" x14ac:dyDescent="0.25">
      <c r="A954">
        <v>952</v>
      </c>
      <c r="B954" t="s">
        <v>7625</v>
      </c>
      <c r="C954">
        <v>502003</v>
      </c>
      <c r="D954" t="s">
        <v>64</v>
      </c>
      <c r="E954" t="s">
        <v>36</v>
      </c>
      <c r="F954">
        <v>3536672</v>
      </c>
      <c r="G954">
        <v>9644.5371090000008</v>
      </c>
      <c r="H954">
        <v>919</v>
      </c>
      <c r="I954">
        <v>1122</v>
      </c>
      <c r="J954">
        <v>21371</v>
      </c>
      <c r="K954" t="s">
        <v>1606</v>
      </c>
      <c r="L954">
        <v>2</v>
      </c>
      <c r="M954">
        <v>2</v>
      </c>
      <c r="N954">
        <v>21371</v>
      </c>
      <c r="O954">
        <v>900</v>
      </c>
      <c r="P954" t="s">
        <v>3212</v>
      </c>
      <c r="Q954">
        <v>6.8</v>
      </c>
      <c r="R954">
        <v>44</v>
      </c>
      <c r="S954">
        <v>2.2000000000000002</v>
      </c>
      <c r="T954">
        <v>14</v>
      </c>
      <c r="U954">
        <v>3536672.0201500002</v>
      </c>
      <c r="V954">
        <v>9644.5374150000007</v>
      </c>
      <c r="W954">
        <v>953</v>
      </c>
      <c r="X954">
        <v>0</v>
      </c>
      <c r="Y954">
        <v>952</v>
      </c>
      <c r="Z954" t="s">
        <v>6966</v>
      </c>
      <c r="AA954" t="s">
        <v>6966</v>
      </c>
      <c r="AB954" t="s">
        <v>6966</v>
      </c>
      <c r="AC954" t="s">
        <v>6966</v>
      </c>
      <c r="AD954" t="s">
        <v>6966</v>
      </c>
      <c r="AE954" t="s">
        <v>6966</v>
      </c>
      <c r="AF954" t="s">
        <v>6966</v>
      </c>
      <c r="AG954" t="s">
        <v>6966</v>
      </c>
      <c r="AH954" t="s">
        <v>6966</v>
      </c>
      <c r="AI954" t="s">
        <v>6966</v>
      </c>
      <c r="AJ954" t="s">
        <v>6966</v>
      </c>
      <c r="AK954" t="s">
        <v>6966</v>
      </c>
      <c r="AL954" t="s">
        <v>6966</v>
      </c>
      <c r="AM954" t="s">
        <v>6966</v>
      </c>
      <c r="AN954" t="s">
        <v>6966</v>
      </c>
      <c r="AO954" t="s">
        <v>6966</v>
      </c>
      <c r="AP954" t="s">
        <v>6966</v>
      </c>
      <c r="AQ954" t="s">
        <v>6966</v>
      </c>
      <c r="AR954" t="s">
        <v>6966</v>
      </c>
      <c r="AS954" t="s">
        <v>6966</v>
      </c>
      <c r="AT954" t="s">
        <v>6966</v>
      </c>
      <c r="AU954" t="s">
        <v>6966</v>
      </c>
      <c r="AV954" t="s">
        <v>6966</v>
      </c>
      <c r="AW954" t="s">
        <v>6966</v>
      </c>
      <c r="AX954" t="s">
        <v>6966</v>
      </c>
      <c r="AY954" t="s">
        <v>6966</v>
      </c>
      <c r="AZ954">
        <v>9.7733E-2</v>
      </c>
      <c r="BA954">
        <v>3.4400000000000001E-4</v>
      </c>
    </row>
    <row r="955" spans="1:53" x14ac:dyDescent="0.25">
      <c r="A955">
        <v>953</v>
      </c>
      <c r="B955" t="s">
        <v>7625</v>
      </c>
      <c r="C955">
        <v>403020</v>
      </c>
      <c r="D955" t="s">
        <v>1018</v>
      </c>
      <c r="E955" t="s">
        <v>3045</v>
      </c>
      <c r="F955">
        <v>7070462.5</v>
      </c>
      <c r="G955">
        <v>12596.580078000001</v>
      </c>
      <c r="H955">
        <v>920</v>
      </c>
      <c r="I955">
        <v>1123</v>
      </c>
      <c r="J955">
        <v>51341</v>
      </c>
      <c r="K955" t="s">
        <v>2371</v>
      </c>
      <c r="L955">
        <v>15</v>
      </c>
      <c r="M955">
        <v>15</v>
      </c>
      <c r="N955">
        <v>51341</v>
      </c>
      <c r="O955">
        <v>901</v>
      </c>
      <c r="P955" t="s">
        <v>3214</v>
      </c>
      <c r="Q955">
        <v>0</v>
      </c>
      <c r="R955">
        <v>0</v>
      </c>
      <c r="S955">
        <v>0.01</v>
      </c>
      <c r="T955">
        <v>0</v>
      </c>
      <c r="U955">
        <v>7070462.3874599999</v>
      </c>
      <c r="V955">
        <v>12596.580051999999</v>
      </c>
      <c r="W955">
        <v>954</v>
      </c>
      <c r="X955">
        <v>0</v>
      </c>
      <c r="Y955">
        <v>953</v>
      </c>
      <c r="Z955" t="s">
        <v>6966</v>
      </c>
      <c r="AA955" t="s">
        <v>6966</v>
      </c>
      <c r="AB955" t="s">
        <v>6966</v>
      </c>
      <c r="AC955" t="s">
        <v>6966</v>
      </c>
      <c r="AD955" t="s">
        <v>6966</v>
      </c>
      <c r="AE955" t="s">
        <v>6966</v>
      </c>
      <c r="AF955" t="s">
        <v>6966</v>
      </c>
      <c r="AG955" t="s">
        <v>6966</v>
      </c>
      <c r="AH955" t="s">
        <v>6966</v>
      </c>
      <c r="AI955" t="s">
        <v>6966</v>
      </c>
      <c r="AJ955" t="s">
        <v>6966</v>
      </c>
      <c r="AK955" t="s">
        <v>6966</v>
      </c>
      <c r="AL955" t="s">
        <v>6966</v>
      </c>
      <c r="AM955" t="s">
        <v>6966</v>
      </c>
      <c r="AN955" t="s">
        <v>6966</v>
      </c>
      <c r="AO955" t="s">
        <v>6966</v>
      </c>
      <c r="AP955" t="s">
        <v>6966</v>
      </c>
      <c r="AQ955" t="s">
        <v>6966</v>
      </c>
      <c r="AR955" t="s">
        <v>6966</v>
      </c>
      <c r="AS955" t="s">
        <v>6966</v>
      </c>
      <c r="AT955" t="s">
        <v>6966</v>
      </c>
      <c r="AU955" t="s">
        <v>6966</v>
      </c>
      <c r="AV955" t="s">
        <v>6966</v>
      </c>
      <c r="AW955" t="s">
        <v>6966</v>
      </c>
      <c r="AX955" t="s">
        <v>6966</v>
      </c>
      <c r="AY955" t="s">
        <v>6966</v>
      </c>
      <c r="AZ955">
        <v>0.12472800000000001</v>
      </c>
      <c r="BA955">
        <v>6.8900000000000005E-4</v>
      </c>
    </row>
    <row r="956" spans="1:53" x14ac:dyDescent="0.25">
      <c r="A956">
        <v>954</v>
      </c>
      <c r="B956" t="s">
        <v>7625</v>
      </c>
      <c r="C956">
        <v>502035</v>
      </c>
      <c r="D956" t="s">
        <v>73</v>
      </c>
      <c r="E956" t="s">
        <v>36</v>
      </c>
      <c r="F956">
        <v>100832.6875</v>
      </c>
      <c r="G956">
        <v>1574.2246090000001</v>
      </c>
      <c r="H956">
        <v>921</v>
      </c>
      <c r="I956">
        <v>1124</v>
      </c>
      <c r="J956">
        <v>21421</v>
      </c>
      <c r="K956" t="s">
        <v>1614</v>
      </c>
      <c r="L956">
        <v>2</v>
      </c>
      <c r="M956">
        <v>2</v>
      </c>
      <c r="N956">
        <v>21421</v>
      </c>
      <c r="O956">
        <v>902</v>
      </c>
      <c r="P956" t="s">
        <v>3212</v>
      </c>
      <c r="Q956">
        <v>45.1</v>
      </c>
      <c r="R956">
        <v>70.02</v>
      </c>
      <c r="S956">
        <v>14.49</v>
      </c>
      <c r="T956">
        <v>23</v>
      </c>
      <c r="U956">
        <v>100832.65436</v>
      </c>
      <c r="V956">
        <v>1574.2244969999999</v>
      </c>
      <c r="W956">
        <v>955</v>
      </c>
      <c r="X956">
        <v>0</v>
      </c>
      <c r="Y956">
        <v>954</v>
      </c>
      <c r="Z956" t="s">
        <v>6966</v>
      </c>
      <c r="AA956" t="s">
        <v>6966</v>
      </c>
      <c r="AB956" t="s">
        <v>6966</v>
      </c>
      <c r="AC956" t="s">
        <v>6966</v>
      </c>
      <c r="AD956" t="s">
        <v>6966</v>
      </c>
      <c r="AE956" t="s">
        <v>6966</v>
      </c>
      <c r="AF956" t="s">
        <v>6966</v>
      </c>
      <c r="AG956" t="s">
        <v>6966</v>
      </c>
      <c r="AH956" t="s">
        <v>6966</v>
      </c>
      <c r="AI956" t="s">
        <v>6966</v>
      </c>
      <c r="AJ956" t="s">
        <v>6966</v>
      </c>
      <c r="AK956" t="s">
        <v>6966</v>
      </c>
      <c r="AL956" t="s">
        <v>6966</v>
      </c>
      <c r="AM956" t="s">
        <v>6966</v>
      </c>
      <c r="AN956" t="s">
        <v>6966</v>
      </c>
      <c r="AO956" t="s">
        <v>6966</v>
      </c>
      <c r="AP956" t="s">
        <v>6966</v>
      </c>
      <c r="AQ956" t="s">
        <v>6966</v>
      </c>
      <c r="AR956" t="s">
        <v>6966</v>
      </c>
      <c r="AS956" t="s">
        <v>6966</v>
      </c>
      <c r="AT956" t="s">
        <v>6966</v>
      </c>
      <c r="AU956" t="s">
        <v>6966</v>
      </c>
      <c r="AV956" t="s">
        <v>6966</v>
      </c>
      <c r="AW956" t="s">
        <v>6966</v>
      </c>
      <c r="AX956" t="s">
        <v>6966</v>
      </c>
      <c r="AY956" t="s">
        <v>6966</v>
      </c>
      <c r="AZ956">
        <v>1.5921999999999999E-2</v>
      </c>
      <c r="BA956">
        <v>1.0000000000000001E-5</v>
      </c>
    </row>
    <row r="957" spans="1:53" x14ac:dyDescent="0.25">
      <c r="A957">
        <v>955</v>
      </c>
      <c r="B957" t="s">
        <v>7625</v>
      </c>
      <c r="C957">
        <v>201025</v>
      </c>
      <c r="D957" t="s">
        <v>1563</v>
      </c>
      <c r="E957" t="s">
        <v>1069</v>
      </c>
      <c r="F957">
        <v>555315.9375</v>
      </c>
      <c r="G957">
        <v>7657.2890630000002</v>
      </c>
      <c r="H957">
        <v>922</v>
      </c>
      <c r="I957">
        <v>1125</v>
      </c>
      <c r="J957">
        <v>0</v>
      </c>
      <c r="K957" t="s">
        <v>1563</v>
      </c>
      <c r="L957">
        <v>17</v>
      </c>
      <c r="M957">
        <v>17</v>
      </c>
      <c r="N957">
        <v>0</v>
      </c>
      <c r="O957">
        <v>1635</v>
      </c>
      <c r="P957" t="s">
        <v>3214</v>
      </c>
      <c r="Q957">
        <v>0</v>
      </c>
      <c r="R957">
        <v>0</v>
      </c>
      <c r="S957">
        <v>0</v>
      </c>
      <c r="T957">
        <v>0</v>
      </c>
      <c r="U957">
        <v>555315.93221300002</v>
      </c>
      <c r="V957">
        <v>7657.2890580000003</v>
      </c>
      <c r="W957">
        <v>956</v>
      </c>
      <c r="X957">
        <v>0</v>
      </c>
      <c r="Y957">
        <v>955</v>
      </c>
      <c r="Z957" t="s">
        <v>6966</v>
      </c>
      <c r="AA957" t="s">
        <v>6966</v>
      </c>
      <c r="AB957" t="s">
        <v>6966</v>
      </c>
      <c r="AC957" t="s">
        <v>6966</v>
      </c>
      <c r="AD957" t="s">
        <v>6966</v>
      </c>
      <c r="AE957" t="s">
        <v>6966</v>
      </c>
      <c r="AF957" t="s">
        <v>6966</v>
      </c>
      <c r="AG957" t="s">
        <v>6966</v>
      </c>
      <c r="AH957" t="s">
        <v>6966</v>
      </c>
      <c r="AI957" t="s">
        <v>6966</v>
      </c>
      <c r="AJ957" t="s">
        <v>6966</v>
      </c>
      <c r="AK957" t="s">
        <v>6966</v>
      </c>
      <c r="AL957" t="s">
        <v>6966</v>
      </c>
      <c r="AM957" t="s">
        <v>6966</v>
      </c>
      <c r="AN957" t="s">
        <v>6966</v>
      </c>
      <c r="AO957" t="s">
        <v>6966</v>
      </c>
      <c r="AP957" t="s">
        <v>6966</v>
      </c>
      <c r="AQ957" t="s">
        <v>6966</v>
      </c>
      <c r="AR957" t="s">
        <v>6966</v>
      </c>
      <c r="AS957" t="s">
        <v>6966</v>
      </c>
      <c r="AT957" t="s">
        <v>6966</v>
      </c>
      <c r="AU957" t="s">
        <v>6966</v>
      </c>
      <c r="AV957" t="s">
        <v>6966</v>
      </c>
      <c r="AW957" t="s">
        <v>6966</v>
      </c>
      <c r="AX957" t="s">
        <v>6966</v>
      </c>
      <c r="AY957" t="s">
        <v>6966</v>
      </c>
      <c r="AZ957">
        <v>7.9221E-2</v>
      </c>
      <c r="BA957">
        <v>5.3999999999999998E-5</v>
      </c>
    </row>
    <row r="958" spans="1:53" x14ac:dyDescent="0.25">
      <c r="A958">
        <v>956</v>
      </c>
      <c r="B958" t="s">
        <v>7625</v>
      </c>
      <c r="C958">
        <v>403056</v>
      </c>
      <c r="D958" t="s">
        <v>7923</v>
      </c>
      <c r="E958" t="s">
        <v>3045</v>
      </c>
      <c r="F958">
        <v>1432412.25</v>
      </c>
      <c r="G958">
        <v>8945.1835940000001</v>
      </c>
      <c r="H958">
        <v>923</v>
      </c>
      <c r="I958">
        <v>1127</v>
      </c>
      <c r="J958">
        <v>51131</v>
      </c>
      <c r="K958" t="s">
        <v>7924</v>
      </c>
      <c r="L958">
        <v>15</v>
      </c>
      <c r="M958">
        <v>15</v>
      </c>
      <c r="N958">
        <v>51171</v>
      </c>
      <c r="O958">
        <v>903</v>
      </c>
      <c r="P958" t="s">
        <v>3214</v>
      </c>
      <c r="Q958">
        <v>40.1</v>
      </c>
      <c r="R958">
        <v>139.74</v>
      </c>
      <c r="S958">
        <v>0</v>
      </c>
      <c r="T958">
        <v>0</v>
      </c>
      <c r="U958">
        <v>1432412.22212</v>
      </c>
      <c r="V958">
        <v>8945.1839600000003</v>
      </c>
      <c r="W958">
        <v>957</v>
      </c>
      <c r="X958">
        <v>0</v>
      </c>
      <c r="Y958">
        <v>956</v>
      </c>
      <c r="Z958" t="s">
        <v>6966</v>
      </c>
      <c r="AA958" t="s">
        <v>6966</v>
      </c>
      <c r="AB958" t="s">
        <v>6966</v>
      </c>
      <c r="AC958" t="s">
        <v>6966</v>
      </c>
      <c r="AD958" t="s">
        <v>6966</v>
      </c>
      <c r="AE958" t="s">
        <v>6966</v>
      </c>
      <c r="AF958" t="s">
        <v>6966</v>
      </c>
      <c r="AG958" t="s">
        <v>6966</v>
      </c>
      <c r="AH958" t="s">
        <v>6966</v>
      </c>
      <c r="AI958" t="s">
        <v>6966</v>
      </c>
      <c r="AJ958" t="s">
        <v>6966</v>
      </c>
      <c r="AK958" t="s">
        <v>6966</v>
      </c>
      <c r="AL958" t="s">
        <v>6966</v>
      </c>
      <c r="AM958" t="s">
        <v>6966</v>
      </c>
      <c r="AN958" t="s">
        <v>6966</v>
      </c>
      <c r="AO958" t="s">
        <v>6966</v>
      </c>
      <c r="AP958" t="s">
        <v>6966</v>
      </c>
      <c r="AQ958" t="s">
        <v>6966</v>
      </c>
      <c r="AR958" t="s">
        <v>6966</v>
      </c>
      <c r="AS958" t="s">
        <v>6966</v>
      </c>
      <c r="AT958" t="s">
        <v>6966</v>
      </c>
      <c r="AU958" t="s">
        <v>6966</v>
      </c>
      <c r="AV958" t="s">
        <v>6966</v>
      </c>
      <c r="AW958" t="s">
        <v>6966</v>
      </c>
      <c r="AX958" t="s">
        <v>6966</v>
      </c>
      <c r="AY958" t="s">
        <v>6966</v>
      </c>
      <c r="AZ958">
        <v>8.6874000000000007E-2</v>
      </c>
      <c r="BA958">
        <v>1.3899999999999999E-4</v>
      </c>
    </row>
    <row r="959" spans="1:53" x14ac:dyDescent="0.25">
      <c r="A959">
        <v>957</v>
      </c>
      <c r="B959" t="s">
        <v>7625</v>
      </c>
      <c r="C959">
        <v>201028</v>
      </c>
      <c r="D959" t="s">
        <v>1563</v>
      </c>
      <c r="E959" t="s">
        <v>1069</v>
      </c>
      <c r="F959">
        <v>1528618.25</v>
      </c>
      <c r="G959">
        <v>6849.7763670000004</v>
      </c>
      <c r="H959">
        <v>924</v>
      </c>
      <c r="I959">
        <v>1128</v>
      </c>
      <c r="J959">
        <v>0</v>
      </c>
      <c r="K959" t="s">
        <v>1563</v>
      </c>
      <c r="L959">
        <v>17</v>
      </c>
      <c r="M959">
        <v>17</v>
      </c>
      <c r="N959">
        <v>0</v>
      </c>
      <c r="O959">
        <v>1636</v>
      </c>
      <c r="P959" t="s">
        <v>3214</v>
      </c>
      <c r="Q959">
        <v>0</v>
      </c>
      <c r="R959">
        <v>0</v>
      </c>
      <c r="S959">
        <v>0</v>
      </c>
      <c r="T959">
        <v>0</v>
      </c>
      <c r="U959">
        <v>1528618.23563</v>
      </c>
      <c r="V959">
        <v>6849.7761639999999</v>
      </c>
      <c r="W959">
        <v>958</v>
      </c>
      <c r="X959">
        <v>0</v>
      </c>
      <c r="Y959">
        <v>957</v>
      </c>
      <c r="Z959" t="s">
        <v>6966</v>
      </c>
      <c r="AA959" t="s">
        <v>6966</v>
      </c>
      <c r="AB959" t="s">
        <v>6966</v>
      </c>
      <c r="AC959" t="s">
        <v>6966</v>
      </c>
      <c r="AD959" t="s">
        <v>6966</v>
      </c>
      <c r="AE959" t="s">
        <v>6966</v>
      </c>
      <c r="AF959" t="s">
        <v>6966</v>
      </c>
      <c r="AG959" t="s">
        <v>6966</v>
      </c>
      <c r="AH959" t="s">
        <v>6966</v>
      </c>
      <c r="AI959" t="s">
        <v>6966</v>
      </c>
      <c r="AJ959" t="s">
        <v>6966</v>
      </c>
      <c r="AK959" t="s">
        <v>6966</v>
      </c>
      <c r="AL959" t="s">
        <v>6966</v>
      </c>
      <c r="AM959" t="s">
        <v>6966</v>
      </c>
      <c r="AN959" t="s">
        <v>6966</v>
      </c>
      <c r="AO959" t="s">
        <v>6966</v>
      </c>
      <c r="AP959" t="s">
        <v>6966</v>
      </c>
      <c r="AQ959" t="s">
        <v>6966</v>
      </c>
      <c r="AR959" t="s">
        <v>6966</v>
      </c>
      <c r="AS959" t="s">
        <v>6966</v>
      </c>
      <c r="AT959" t="s">
        <v>6966</v>
      </c>
      <c r="AU959" t="s">
        <v>6966</v>
      </c>
      <c r="AV959" t="s">
        <v>6966</v>
      </c>
      <c r="AW959" t="s">
        <v>6966</v>
      </c>
      <c r="AX959" t="s">
        <v>6966</v>
      </c>
      <c r="AY959" t="s">
        <v>6966</v>
      </c>
      <c r="AZ959">
        <v>6.8966E-2</v>
      </c>
      <c r="BA959">
        <v>1.4899999999999999E-4</v>
      </c>
    </row>
    <row r="960" spans="1:53" x14ac:dyDescent="0.25">
      <c r="A960">
        <v>958</v>
      </c>
      <c r="B960" t="s">
        <v>7625</v>
      </c>
      <c r="C960">
        <v>502055</v>
      </c>
      <c r="D960" t="s">
        <v>35</v>
      </c>
      <c r="E960" t="s">
        <v>36</v>
      </c>
      <c r="F960">
        <v>2539871.75</v>
      </c>
      <c r="G960">
        <v>8776.3154300000006</v>
      </c>
      <c r="H960">
        <v>925</v>
      </c>
      <c r="I960">
        <v>1129</v>
      </c>
      <c r="J960">
        <v>21188</v>
      </c>
      <c r="K960" t="s">
        <v>1582</v>
      </c>
      <c r="L960">
        <v>2</v>
      </c>
      <c r="M960">
        <v>2</v>
      </c>
      <c r="N960">
        <v>21188</v>
      </c>
      <c r="O960">
        <v>904</v>
      </c>
      <c r="P960" t="s">
        <v>3212</v>
      </c>
      <c r="Q960">
        <v>30.5</v>
      </c>
      <c r="R960">
        <v>181.57</v>
      </c>
      <c r="S960">
        <v>7.22</v>
      </c>
      <c r="T960">
        <v>43</v>
      </c>
      <c r="U960">
        <v>2539871.6548199998</v>
      </c>
      <c r="V960">
        <v>8776.3159190000006</v>
      </c>
      <c r="W960">
        <v>959</v>
      </c>
      <c r="X960">
        <v>7</v>
      </c>
      <c r="Y960">
        <v>958</v>
      </c>
      <c r="Z960">
        <v>59021</v>
      </c>
      <c r="AA960" s="76">
        <v>45717</v>
      </c>
      <c r="AB960">
        <v>2025</v>
      </c>
      <c r="AC960" t="s">
        <v>7104</v>
      </c>
      <c r="AD960">
        <v>1</v>
      </c>
      <c r="AE960" t="s">
        <v>7142</v>
      </c>
      <c r="AF960" t="s">
        <v>3212</v>
      </c>
      <c r="AG960" t="s">
        <v>36</v>
      </c>
      <c r="AH960" t="s">
        <v>35</v>
      </c>
      <c r="AI960" t="s">
        <v>7143</v>
      </c>
      <c r="AJ960" t="s">
        <v>7299</v>
      </c>
      <c r="AK960">
        <v>33.828719999999997</v>
      </c>
      <c r="AL960">
        <v>35.49532</v>
      </c>
      <c r="AM960" t="s">
        <v>7059</v>
      </c>
      <c r="AN960" t="s">
        <v>7014</v>
      </c>
      <c r="AO960" t="s">
        <v>7103</v>
      </c>
      <c r="AP960" t="s">
        <v>7144</v>
      </c>
      <c r="AQ960" t="s">
        <v>6998</v>
      </c>
      <c r="AR960" t="s">
        <v>7048</v>
      </c>
      <c r="AS960" t="s">
        <v>7036</v>
      </c>
      <c r="AT960">
        <v>0</v>
      </c>
      <c r="AU960">
        <v>0</v>
      </c>
      <c r="AV960" t="s">
        <v>7300</v>
      </c>
      <c r="AW960" t="s">
        <v>7018</v>
      </c>
      <c r="AX960" t="s">
        <v>7301</v>
      </c>
      <c r="AY960" t="s">
        <v>7114</v>
      </c>
      <c r="AZ960">
        <v>8.9377999999999999E-2</v>
      </c>
      <c r="BA960">
        <v>2.4699999999999999E-4</v>
      </c>
    </row>
    <row r="961" spans="1:53" x14ac:dyDescent="0.25">
      <c r="A961">
        <v>959</v>
      </c>
      <c r="B961" t="s">
        <v>7625</v>
      </c>
      <c r="C961">
        <v>502038</v>
      </c>
      <c r="D961" t="s">
        <v>7925</v>
      </c>
      <c r="E961" t="s">
        <v>36</v>
      </c>
      <c r="F961">
        <v>351214.25</v>
      </c>
      <c r="G961">
        <v>2857.1921390000002</v>
      </c>
      <c r="H961">
        <v>926</v>
      </c>
      <c r="I961">
        <v>1130</v>
      </c>
      <c r="J961">
        <v>21166</v>
      </c>
      <c r="K961" t="s">
        <v>1580</v>
      </c>
      <c r="L961">
        <v>2</v>
      </c>
      <c r="M961">
        <v>2</v>
      </c>
      <c r="N961">
        <v>21166</v>
      </c>
      <c r="O961">
        <v>905</v>
      </c>
      <c r="P961" t="s">
        <v>3212</v>
      </c>
      <c r="Q961">
        <v>250.6</v>
      </c>
      <c r="R961">
        <v>383.19</v>
      </c>
      <c r="S961">
        <v>99.05</v>
      </c>
      <c r="T961">
        <v>151</v>
      </c>
      <c r="U961">
        <v>351214.23581099999</v>
      </c>
      <c r="V961">
        <v>2857.1923000000002</v>
      </c>
      <c r="W961">
        <v>960</v>
      </c>
      <c r="X961">
        <v>2</v>
      </c>
      <c r="Y961">
        <v>959</v>
      </c>
      <c r="Z961">
        <v>58332</v>
      </c>
      <c r="AA961" s="76">
        <v>45723</v>
      </c>
      <c r="AB961">
        <v>2025</v>
      </c>
      <c r="AC961" t="s">
        <v>7104</v>
      </c>
      <c r="AD961">
        <v>7</v>
      </c>
      <c r="AE961" t="s">
        <v>7105</v>
      </c>
      <c r="AF961" t="s">
        <v>3212</v>
      </c>
      <c r="AG961" t="s">
        <v>36</v>
      </c>
      <c r="AH961" t="s">
        <v>7106</v>
      </c>
      <c r="AI961" t="s">
        <v>7107</v>
      </c>
      <c r="AJ961" t="s">
        <v>6966</v>
      </c>
      <c r="AK961">
        <v>33.832140000000003</v>
      </c>
      <c r="AL961">
        <v>35.516359999999999</v>
      </c>
      <c r="AM961" t="s">
        <v>7059</v>
      </c>
      <c r="AN961" t="s">
        <v>6995</v>
      </c>
      <c r="AO961" t="s">
        <v>7077</v>
      </c>
      <c r="AP961" t="s">
        <v>7108</v>
      </c>
      <c r="AQ961" t="s">
        <v>6998</v>
      </c>
      <c r="AR961" t="s">
        <v>6999</v>
      </c>
      <c r="AS961" t="s">
        <v>7036</v>
      </c>
      <c r="AT961">
        <v>0</v>
      </c>
      <c r="AU961">
        <v>0</v>
      </c>
      <c r="AV961" t="s">
        <v>7524</v>
      </c>
      <c r="AW961" t="s">
        <v>7018</v>
      </c>
      <c r="AX961" t="s">
        <v>6966</v>
      </c>
      <c r="AY961" t="s">
        <v>7044</v>
      </c>
      <c r="AZ961">
        <v>2.8268000000000001E-2</v>
      </c>
      <c r="BA961">
        <v>3.4E-5</v>
      </c>
    </row>
    <row r="962" spans="1:53" x14ac:dyDescent="0.25">
      <c r="A962">
        <v>960</v>
      </c>
      <c r="B962" t="s">
        <v>7625</v>
      </c>
      <c r="C962">
        <v>502030</v>
      </c>
      <c r="D962" t="s">
        <v>7926</v>
      </c>
      <c r="E962" t="s">
        <v>36</v>
      </c>
      <c r="F962">
        <v>1266175.875</v>
      </c>
      <c r="G962">
        <v>6129.8149409999996</v>
      </c>
      <c r="H962">
        <v>927</v>
      </c>
      <c r="I962">
        <v>1131</v>
      </c>
      <c r="J962">
        <v>21324</v>
      </c>
      <c r="K962" t="s">
        <v>1595</v>
      </c>
      <c r="L962">
        <v>2</v>
      </c>
      <c r="M962">
        <v>2</v>
      </c>
      <c r="N962">
        <v>21324</v>
      </c>
      <c r="O962">
        <v>906</v>
      </c>
      <c r="P962" t="s">
        <v>3212</v>
      </c>
      <c r="Q962">
        <v>3.6</v>
      </c>
      <c r="R962">
        <v>76.97</v>
      </c>
      <c r="S962">
        <v>1.29</v>
      </c>
      <c r="T962">
        <v>28</v>
      </c>
      <c r="U962">
        <v>1266175.86672</v>
      </c>
      <c r="V962">
        <v>6129.8147220000001</v>
      </c>
      <c r="W962">
        <v>961</v>
      </c>
      <c r="X962">
        <v>0</v>
      </c>
      <c r="Y962">
        <v>960</v>
      </c>
      <c r="Z962" t="s">
        <v>6966</v>
      </c>
      <c r="AA962" t="s">
        <v>6966</v>
      </c>
      <c r="AB962" t="s">
        <v>6966</v>
      </c>
      <c r="AC962" t="s">
        <v>6966</v>
      </c>
      <c r="AD962" t="s">
        <v>6966</v>
      </c>
      <c r="AE962" t="s">
        <v>6966</v>
      </c>
      <c r="AF962" t="s">
        <v>6966</v>
      </c>
      <c r="AG962" t="s">
        <v>6966</v>
      </c>
      <c r="AH962" t="s">
        <v>6966</v>
      </c>
      <c r="AI962" t="s">
        <v>6966</v>
      </c>
      <c r="AJ962" t="s">
        <v>6966</v>
      </c>
      <c r="AK962" t="s">
        <v>6966</v>
      </c>
      <c r="AL962" t="s">
        <v>6966</v>
      </c>
      <c r="AM962" t="s">
        <v>6966</v>
      </c>
      <c r="AN962" t="s">
        <v>6966</v>
      </c>
      <c r="AO962" t="s">
        <v>6966</v>
      </c>
      <c r="AP962" t="s">
        <v>6966</v>
      </c>
      <c r="AQ962" t="s">
        <v>6966</v>
      </c>
      <c r="AR962" t="s">
        <v>6966</v>
      </c>
      <c r="AS962" t="s">
        <v>6966</v>
      </c>
      <c r="AT962" t="s">
        <v>6966</v>
      </c>
      <c r="AU962" t="s">
        <v>6966</v>
      </c>
      <c r="AV962" t="s">
        <v>6966</v>
      </c>
      <c r="AW962" t="s">
        <v>6966</v>
      </c>
      <c r="AX962" t="s">
        <v>6966</v>
      </c>
      <c r="AY962" t="s">
        <v>6966</v>
      </c>
      <c r="AZ962">
        <v>6.2222E-2</v>
      </c>
      <c r="BA962">
        <v>1.2300000000000001E-4</v>
      </c>
    </row>
    <row r="963" spans="1:53" x14ac:dyDescent="0.25">
      <c r="A963">
        <v>961</v>
      </c>
      <c r="B963" t="s">
        <v>7625</v>
      </c>
      <c r="C963">
        <v>403048</v>
      </c>
      <c r="D963" t="s">
        <v>7927</v>
      </c>
      <c r="E963" t="s">
        <v>3045</v>
      </c>
      <c r="F963">
        <v>0</v>
      </c>
      <c r="G963">
        <v>19177.158202999999</v>
      </c>
      <c r="H963">
        <v>928</v>
      </c>
      <c r="I963">
        <v>1132</v>
      </c>
      <c r="J963">
        <v>51365</v>
      </c>
      <c r="K963" t="s">
        <v>2376</v>
      </c>
      <c r="L963">
        <v>15</v>
      </c>
      <c r="M963">
        <v>15</v>
      </c>
      <c r="N963">
        <v>51365</v>
      </c>
      <c r="O963">
        <v>907</v>
      </c>
      <c r="P963" t="s">
        <v>3214</v>
      </c>
      <c r="Q963">
        <v>2.4</v>
      </c>
      <c r="R963">
        <v>109.33</v>
      </c>
      <c r="S963">
        <v>0.49</v>
      </c>
      <c r="T963">
        <v>22</v>
      </c>
      <c r="U963">
        <v>0</v>
      </c>
      <c r="V963">
        <v>19177.157143</v>
      </c>
      <c r="W963">
        <v>962</v>
      </c>
      <c r="X963">
        <v>0</v>
      </c>
      <c r="Y963">
        <v>961</v>
      </c>
      <c r="Z963" t="s">
        <v>6966</v>
      </c>
      <c r="AA963" t="s">
        <v>6966</v>
      </c>
      <c r="AB963" t="s">
        <v>6966</v>
      </c>
      <c r="AC963" t="s">
        <v>6966</v>
      </c>
      <c r="AD963" t="s">
        <v>6966</v>
      </c>
      <c r="AE963" t="s">
        <v>6966</v>
      </c>
      <c r="AF963" t="s">
        <v>6966</v>
      </c>
      <c r="AG963" t="s">
        <v>6966</v>
      </c>
      <c r="AH963" t="s">
        <v>6966</v>
      </c>
      <c r="AI963" t="s">
        <v>6966</v>
      </c>
      <c r="AJ963" t="s">
        <v>6966</v>
      </c>
      <c r="AK963" t="s">
        <v>6966</v>
      </c>
      <c r="AL963" t="s">
        <v>6966</v>
      </c>
      <c r="AM963" t="s">
        <v>6966</v>
      </c>
      <c r="AN963" t="s">
        <v>6966</v>
      </c>
      <c r="AO963" t="s">
        <v>6966</v>
      </c>
      <c r="AP963" t="s">
        <v>6966</v>
      </c>
      <c r="AQ963" t="s">
        <v>6966</v>
      </c>
      <c r="AR963" t="s">
        <v>6966</v>
      </c>
      <c r="AS963" t="s">
        <v>6966</v>
      </c>
      <c r="AT963" t="s">
        <v>6966</v>
      </c>
      <c r="AU963" t="s">
        <v>6966</v>
      </c>
      <c r="AV963" t="s">
        <v>6966</v>
      </c>
      <c r="AW963" t="s">
        <v>6966</v>
      </c>
      <c r="AX963" t="s">
        <v>6966</v>
      </c>
      <c r="AY963" t="s">
        <v>6966</v>
      </c>
      <c r="AZ963">
        <v>0.1905</v>
      </c>
      <c r="BA963">
        <v>1.6280000000000001E-3</v>
      </c>
    </row>
    <row r="964" spans="1:53" x14ac:dyDescent="0.25">
      <c r="A964">
        <v>962</v>
      </c>
      <c r="B964" t="s">
        <v>7625</v>
      </c>
      <c r="C964">
        <v>403011</v>
      </c>
      <c r="D964" t="s">
        <v>1019</v>
      </c>
      <c r="E964" t="s">
        <v>3045</v>
      </c>
      <c r="F964">
        <v>6956086</v>
      </c>
      <c r="G964">
        <v>13557.772461</v>
      </c>
      <c r="H964">
        <v>929</v>
      </c>
      <c r="I964">
        <v>1133</v>
      </c>
      <c r="J964">
        <v>51347</v>
      </c>
      <c r="K964" t="s">
        <v>2372</v>
      </c>
      <c r="L964">
        <v>15</v>
      </c>
      <c r="M964">
        <v>15</v>
      </c>
      <c r="N964">
        <v>51347</v>
      </c>
      <c r="O964">
        <v>908</v>
      </c>
      <c r="P964" t="s">
        <v>3214</v>
      </c>
      <c r="Q964">
        <v>0.8</v>
      </c>
      <c r="R964">
        <v>49.72</v>
      </c>
      <c r="S964">
        <v>0.24</v>
      </c>
      <c r="T964">
        <v>15</v>
      </c>
      <c r="U964">
        <v>6956086.0436199997</v>
      </c>
      <c r="V964">
        <v>13557.771922</v>
      </c>
      <c r="W964">
        <v>963</v>
      </c>
      <c r="X964">
        <v>0</v>
      </c>
      <c r="Y964">
        <v>962</v>
      </c>
      <c r="Z964" t="s">
        <v>6966</v>
      </c>
      <c r="AA964" t="s">
        <v>6966</v>
      </c>
      <c r="AB964" t="s">
        <v>6966</v>
      </c>
      <c r="AC964" t="s">
        <v>6966</v>
      </c>
      <c r="AD964" t="s">
        <v>6966</v>
      </c>
      <c r="AE964" t="s">
        <v>6966</v>
      </c>
      <c r="AF964" t="s">
        <v>6966</v>
      </c>
      <c r="AG964" t="s">
        <v>6966</v>
      </c>
      <c r="AH964" t="s">
        <v>6966</v>
      </c>
      <c r="AI964" t="s">
        <v>6966</v>
      </c>
      <c r="AJ964" t="s">
        <v>6966</v>
      </c>
      <c r="AK964" t="s">
        <v>6966</v>
      </c>
      <c r="AL964" t="s">
        <v>6966</v>
      </c>
      <c r="AM964" t="s">
        <v>6966</v>
      </c>
      <c r="AN964" t="s">
        <v>6966</v>
      </c>
      <c r="AO964" t="s">
        <v>6966</v>
      </c>
      <c r="AP964" t="s">
        <v>6966</v>
      </c>
      <c r="AQ964" t="s">
        <v>6966</v>
      </c>
      <c r="AR964" t="s">
        <v>6966</v>
      </c>
      <c r="AS964" t="s">
        <v>6966</v>
      </c>
      <c r="AT964" t="s">
        <v>6966</v>
      </c>
      <c r="AU964" t="s">
        <v>6966</v>
      </c>
      <c r="AV964" t="s">
        <v>6966</v>
      </c>
      <c r="AW964" t="s">
        <v>6966</v>
      </c>
      <c r="AX964" t="s">
        <v>6966</v>
      </c>
      <c r="AY964" t="s">
        <v>6966</v>
      </c>
      <c r="AZ964">
        <v>0.134377</v>
      </c>
      <c r="BA964">
        <v>6.7699999999999998E-4</v>
      </c>
    </row>
    <row r="965" spans="1:53" x14ac:dyDescent="0.25">
      <c r="A965">
        <v>963</v>
      </c>
      <c r="B965" t="s">
        <v>7625</v>
      </c>
      <c r="C965">
        <v>201024</v>
      </c>
      <c r="D965" t="s">
        <v>1563</v>
      </c>
      <c r="E965" t="s">
        <v>1069</v>
      </c>
      <c r="F965">
        <v>538777.1875</v>
      </c>
      <c r="G965">
        <v>5207.8901370000003</v>
      </c>
      <c r="H965">
        <v>930</v>
      </c>
      <c r="I965">
        <v>1134</v>
      </c>
      <c r="J965">
        <v>0</v>
      </c>
      <c r="K965" t="s">
        <v>1563</v>
      </c>
      <c r="L965">
        <v>17</v>
      </c>
      <c r="M965">
        <v>17</v>
      </c>
      <c r="N965">
        <v>0</v>
      </c>
      <c r="O965">
        <v>1637</v>
      </c>
      <c r="P965" t="s">
        <v>3214</v>
      </c>
      <c r="Q965">
        <v>0</v>
      </c>
      <c r="R965">
        <v>0</v>
      </c>
      <c r="S965">
        <v>0</v>
      </c>
      <c r="T965">
        <v>0</v>
      </c>
      <c r="U965">
        <v>538777.23982100002</v>
      </c>
      <c r="V965">
        <v>5207.8904460000003</v>
      </c>
      <c r="W965">
        <v>964</v>
      </c>
      <c r="X965">
        <v>0</v>
      </c>
      <c r="Y965">
        <v>963</v>
      </c>
      <c r="Z965" t="s">
        <v>6966</v>
      </c>
      <c r="AA965" t="s">
        <v>6966</v>
      </c>
      <c r="AB965" t="s">
        <v>6966</v>
      </c>
      <c r="AC965" t="s">
        <v>6966</v>
      </c>
      <c r="AD965" t="s">
        <v>6966</v>
      </c>
      <c r="AE965" t="s">
        <v>6966</v>
      </c>
      <c r="AF965" t="s">
        <v>6966</v>
      </c>
      <c r="AG965" t="s">
        <v>6966</v>
      </c>
      <c r="AH965" t="s">
        <v>6966</v>
      </c>
      <c r="AI965" t="s">
        <v>6966</v>
      </c>
      <c r="AJ965" t="s">
        <v>6966</v>
      </c>
      <c r="AK965" t="s">
        <v>6966</v>
      </c>
      <c r="AL965" t="s">
        <v>6966</v>
      </c>
      <c r="AM965" t="s">
        <v>6966</v>
      </c>
      <c r="AN965" t="s">
        <v>6966</v>
      </c>
      <c r="AO965" t="s">
        <v>6966</v>
      </c>
      <c r="AP965" t="s">
        <v>6966</v>
      </c>
      <c r="AQ965" t="s">
        <v>6966</v>
      </c>
      <c r="AR965" t="s">
        <v>6966</v>
      </c>
      <c r="AS965" t="s">
        <v>6966</v>
      </c>
      <c r="AT965" t="s">
        <v>6966</v>
      </c>
      <c r="AU965" t="s">
        <v>6966</v>
      </c>
      <c r="AV965" t="s">
        <v>6966</v>
      </c>
      <c r="AW965" t="s">
        <v>6966</v>
      </c>
      <c r="AX965" t="s">
        <v>6966</v>
      </c>
      <c r="AY965" t="s">
        <v>6966</v>
      </c>
      <c r="AZ965">
        <v>5.3310999999999997E-2</v>
      </c>
      <c r="BA965">
        <v>5.1999999999999997E-5</v>
      </c>
    </row>
    <row r="966" spans="1:53" x14ac:dyDescent="0.25">
      <c r="A966">
        <v>964</v>
      </c>
      <c r="B966" t="s">
        <v>7625</v>
      </c>
      <c r="C966">
        <v>502020</v>
      </c>
      <c r="D966" t="s">
        <v>54</v>
      </c>
      <c r="E966" t="s">
        <v>36</v>
      </c>
      <c r="F966">
        <v>456362.21875</v>
      </c>
      <c r="G966">
        <v>3896.1125489999999</v>
      </c>
      <c r="H966">
        <v>931</v>
      </c>
      <c r="I966">
        <v>1135</v>
      </c>
      <c r="J966">
        <v>21337</v>
      </c>
      <c r="K966" t="s">
        <v>54</v>
      </c>
      <c r="L966">
        <v>2</v>
      </c>
      <c r="M966">
        <v>2</v>
      </c>
      <c r="N966">
        <v>21337</v>
      </c>
      <c r="O966">
        <v>909</v>
      </c>
      <c r="P966" t="s">
        <v>3212</v>
      </c>
      <c r="Q966">
        <v>0.2</v>
      </c>
      <c r="R966">
        <v>0</v>
      </c>
      <c r="S966">
        <v>0.04</v>
      </c>
      <c r="T966">
        <v>0</v>
      </c>
      <c r="U966">
        <v>456362.21175100002</v>
      </c>
      <c r="V966">
        <v>3896.1126079999999</v>
      </c>
      <c r="W966">
        <v>965</v>
      </c>
      <c r="X966">
        <v>0</v>
      </c>
      <c r="Y966">
        <v>964</v>
      </c>
      <c r="Z966" t="s">
        <v>6966</v>
      </c>
      <c r="AA966" t="s">
        <v>6966</v>
      </c>
      <c r="AB966" t="s">
        <v>6966</v>
      </c>
      <c r="AC966" t="s">
        <v>6966</v>
      </c>
      <c r="AD966" t="s">
        <v>6966</v>
      </c>
      <c r="AE966" t="s">
        <v>6966</v>
      </c>
      <c r="AF966" t="s">
        <v>6966</v>
      </c>
      <c r="AG966" t="s">
        <v>6966</v>
      </c>
      <c r="AH966" t="s">
        <v>6966</v>
      </c>
      <c r="AI966" t="s">
        <v>6966</v>
      </c>
      <c r="AJ966" t="s">
        <v>6966</v>
      </c>
      <c r="AK966" t="s">
        <v>6966</v>
      </c>
      <c r="AL966" t="s">
        <v>6966</v>
      </c>
      <c r="AM966" t="s">
        <v>6966</v>
      </c>
      <c r="AN966" t="s">
        <v>6966</v>
      </c>
      <c r="AO966" t="s">
        <v>6966</v>
      </c>
      <c r="AP966" t="s">
        <v>6966</v>
      </c>
      <c r="AQ966" t="s">
        <v>6966</v>
      </c>
      <c r="AR966" t="s">
        <v>6966</v>
      </c>
      <c r="AS966" t="s">
        <v>6966</v>
      </c>
      <c r="AT966" t="s">
        <v>6966</v>
      </c>
      <c r="AU966" t="s">
        <v>6966</v>
      </c>
      <c r="AV966" t="s">
        <v>6966</v>
      </c>
      <c r="AW966" t="s">
        <v>6966</v>
      </c>
      <c r="AX966" t="s">
        <v>6966</v>
      </c>
      <c r="AY966" t="s">
        <v>6966</v>
      </c>
      <c r="AZ966">
        <v>3.9611E-2</v>
      </c>
      <c r="BA966">
        <v>4.3999999999999999E-5</v>
      </c>
    </row>
    <row r="967" spans="1:53" x14ac:dyDescent="0.25">
      <c r="A967">
        <v>965</v>
      </c>
      <c r="B967" t="s">
        <v>7625</v>
      </c>
      <c r="C967">
        <v>502017</v>
      </c>
      <c r="D967" t="s">
        <v>57</v>
      </c>
      <c r="E967" t="s">
        <v>36</v>
      </c>
      <c r="F967">
        <v>834160.0625</v>
      </c>
      <c r="G967">
        <v>5685.8491210000002</v>
      </c>
      <c r="H967">
        <v>932</v>
      </c>
      <c r="I967">
        <v>1136</v>
      </c>
      <c r="J967">
        <v>21347</v>
      </c>
      <c r="K967" t="s">
        <v>1600</v>
      </c>
      <c r="L967">
        <v>2</v>
      </c>
      <c r="M967">
        <v>2</v>
      </c>
      <c r="N967">
        <v>21347</v>
      </c>
      <c r="O967">
        <v>910</v>
      </c>
      <c r="P967" t="s">
        <v>3212</v>
      </c>
      <c r="Q967">
        <v>0</v>
      </c>
      <c r="R967">
        <v>0</v>
      </c>
      <c r="S967">
        <v>0.01</v>
      </c>
      <c r="T967">
        <v>0</v>
      </c>
      <c r="U967">
        <v>834160.039827</v>
      </c>
      <c r="V967">
        <v>5685.848618</v>
      </c>
      <c r="W967">
        <v>966</v>
      </c>
      <c r="X967">
        <v>0</v>
      </c>
      <c r="Y967">
        <v>965</v>
      </c>
      <c r="Z967" t="s">
        <v>6966</v>
      </c>
      <c r="AA967" t="s">
        <v>6966</v>
      </c>
      <c r="AB967" t="s">
        <v>6966</v>
      </c>
      <c r="AC967" t="s">
        <v>6966</v>
      </c>
      <c r="AD967" t="s">
        <v>6966</v>
      </c>
      <c r="AE967" t="s">
        <v>6966</v>
      </c>
      <c r="AF967" t="s">
        <v>6966</v>
      </c>
      <c r="AG967" t="s">
        <v>6966</v>
      </c>
      <c r="AH967" t="s">
        <v>6966</v>
      </c>
      <c r="AI967" t="s">
        <v>6966</v>
      </c>
      <c r="AJ967" t="s">
        <v>6966</v>
      </c>
      <c r="AK967" t="s">
        <v>6966</v>
      </c>
      <c r="AL967" t="s">
        <v>6966</v>
      </c>
      <c r="AM967" t="s">
        <v>6966</v>
      </c>
      <c r="AN967" t="s">
        <v>6966</v>
      </c>
      <c r="AO967" t="s">
        <v>6966</v>
      </c>
      <c r="AP967" t="s">
        <v>6966</v>
      </c>
      <c r="AQ967" t="s">
        <v>6966</v>
      </c>
      <c r="AR967" t="s">
        <v>6966</v>
      </c>
      <c r="AS967" t="s">
        <v>6966</v>
      </c>
      <c r="AT967" t="s">
        <v>6966</v>
      </c>
      <c r="AU967" t="s">
        <v>6966</v>
      </c>
      <c r="AV967" t="s">
        <v>6966</v>
      </c>
      <c r="AW967" t="s">
        <v>6966</v>
      </c>
      <c r="AX967" t="s">
        <v>6966</v>
      </c>
      <c r="AY967" t="s">
        <v>6966</v>
      </c>
      <c r="AZ967">
        <v>5.8057999999999998E-2</v>
      </c>
      <c r="BA967">
        <v>8.1000000000000004E-5</v>
      </c>
    </row>
    <row r="968" spans="1:53" x14ac:dyDescent="0.25">
      <c r="A968">
        <v>966</v>
      </c>
      <c r="B968" t="s">
        <v>7625</v>
      </c>
      <c r="C968">
        <v>502053</v>
      </c>
      <c r="D968" t="s">
        <v>48</v>
      </c>
      <c r="E968" t="s">
        <v>36</v>
      </c>
      <c r="F968">
        <v>1317206.125</v>
      </c>
      <c r="G968">
        <v>9189.3349610000005</v>
      </c>
      <c r="H968">
        <v>933</v>
      </c>
      <c r="I968">
        <v>1137</v>
      </c>
      <c r="J968">
        <v>21317</v>
      </c>
      <c r="K968" t="s">
        <v>1593</v>
      </c>
      <c r="L968">
        <v>2</v>
      </c>
      <c r="M968">
        <v>2</v>
      </c>
      <c r="N968">
        <v>21317</v>
      </c>
      <c r="O968">
        <v>911</v>
      </c>
      <c r="P968" t="s">
        <v>3212</v>
      </c>
      <c r="Q968">
        <v>6.5</v>
      </c>
      <c r="R968">
        <v>101.23</v>
      </c>
      <c r="S968">
        <v>1.33</v>
      </c>
      <c r="T968">
        <v>21</v>
      </c>
      <c r="U968">
        <v>1317206.1216</v>
      </c>
      <c r="V968">
        <v>9189.3343839999998</v>
      </c>
      <c r="W968">
        <v>967</v>
      </c>
      <c r="X968">
        <v>0</v>
      </c>
      <c r="Y968">
        <v>966</v>
      </c>
      <c r="Z968" t="s">
        <v>6966</v>
      </c>
      <c r="AA968" t="s">
        <v>6966</v>
      </c>
      <c r="AB968" t="s">
        <v>6966</v>
      </c>
      <c r="AC968" t="s">
        <v>6966</v>
      </c>
      <c r="AD968" t="s">
        <v>6966</v>
      </c>
      <c r="AE968" t="s">
        <v>6966</v>
      </c>
      <c r="AF968" t="s">
        <v>6966</v>
      </c>
      <c r="AG968" t="s">
        <v>6966</v>
      </c>
      <c r="AH968" t="s">
        <v>6966</v>
      </c>
      <c r="AI968" t="s">
        <v>6966</v>
      </c>
      <c r="AJ968" t="s">
        <v>6966</v>
      </c>
      <c r="AK968" t="s">
        <v>6966</v>
      </c>
      <c r="AL968" t="s">
        <v>6966</v>
      </c>
      <c r="AM968" t="s">
        <v>6966</v>
      </c>
      <c r="AN968" t="s">
        <v>6966</v>
      </c>
      <c r="AO968" t="s">
        <v>6966</v>
      </c>
      <c r="AP968" t="s">
        <v>6966</v>
      </c>
      <c r="AQ968" t="s">
        <v>6966</v>
      </c>
      <c r="AR968" t="s">
        <v>6966</v>
      </c>
      <c r="AS968" t="s">
        <v>6966</v>
      </c>
      <c r="AT968" t="s">
        <v>6966</v>
      </c>
      <c r="AU968" t="s">
        <v>6966</v>
      </c>
      <c r="AV968" t="s">
        <v>6966</v>
      </c>
      <c r="AW968" t="s">
        <v>6966</v>
      </c>
      <c r="AX968" t="s">
        <v>6966</v>
      </c>
      <c r="AY968" t="s">
        <v>6966</v>
      </c>
      <c r="AZ968">
        <v>9.2795000000000002E-2</v>
      </c>
      <c r="BA968">
        <v>1.2799999999999999E-4</v>
      </c>
    </row>
    <row r="969" spans="1:53" x14ac:dyDescent="0.25">
      <c r="A969">
        <v>967</v>
      </c>
      <c r="B969" t="s">
        <v>7625</v>
      </c>
      <c r="C969">
        <v>502041</v>
      </c>
      <c r="D969" t="s">
        <v>49</v>
      </c>
      <c r="E969" t="s">
        <v>36</v>
      </c>
      <c r="F969">
        <v>587572.25</v>
      </c>
      <c r="G969">
        <v>3344.2924800000001</v>
      </c>
      <c r="H969">
        <v>934</v>
      </c>
      <c r="I969">
        <v>1138</v>
      </c>
      <c r="J969">
        <v>21321</v>
      </c>
      <c r="K969" t="s">
        <v>1594</v>
      </c>
      <c r="L969">
        <v>2</v>
      </c>
      <c r="M969">
        <v>2</v>
      </c>
      <c r="N969">
        <v>21321</v>
      </c>
      <c r="O969">
        <v>912</v>
      </c>
      <c r="P969" t="s">
        <v>3212</v>
      </c>
      <c r="Q969">
        <v>0.3</v>
      </c>
      <c r="R969">
        <v>0</v>
      </c>
      <c r="S969">
        <v>0.19</v>
      </c>
      <c r="T969">
        <v>0</v>
      </c>
      <c r="U969">
        <v>587572.21483199997</v>
      </c>
      <c r="V969">
        <v>3344.2929210000002</v>
      </c>
      <c r="W969">
        <v>968</v>
      </c>
      <c r="X969">
        <v>0</v>
      </c>
      <c r="Y969">
        <v>967</v>
      </c>
      <c r="Z969" t="s">
        <v>6966</v>
      </c>
      <c r="AA969" t="s">
        <v>6966</v>
      </c>
      <c r="AB969" t="s">
        <v>6966</v>
      </c>
      <c r="AC969" t="s">
        <v>6966</v>
      </c>
      <c r="AD969" t="s">
        <v>6966</v>
      </c>
      <c r="AE969" t="s">
        <v>6966</v>
      </c>
      <c r="AF969" t="s">
        <v>6966</v>
      </c>
      <c r="AG969" t="s">
        <v>6966</v>
      </c>
      <c r="AH969" t="s">
        <v>6966</v>
      </c>
      <c r="AI969" t="s">
        <v>6966</v>
      </c>
      <c r="AJ969" t="s">
        <v>6966</v>
      </c>
      <c r="AK969" t="s">
        <v>6966</v>
      </c>
      <c r="AL969" t="s">
        <v>6966</v>
      </c>
      <c r="AM969" t="s">
        <v>6966</v>
      </c>
      <c r="AN969" t="s">
        <v>6966</v>
      </c>
      <c r="AO969" t="s">
        <v>6966</v>
      </c>
      <c r="AP969" t="s">
        <v>6966</v>
      </c>
      <c r="AQ969" t="s">
        <v>6966</v>
      </c>
      <c r="AR969" t="s">
        <v>6966</v>
      </c>
      <c r="AS969" t="s">
        <v>6966</v>
      </c>
      <c r="AT969" t="s">
        <v>6966</v>
      </c>
      <c r="AU969" t="s">
        <v>6966</v>
      </c>
      <c r="AV969" t="s">
        <v>6966</v>
      </c>
      <c r="AW969" t="s">
        <v>6966</v>
      </c>
      <c r="AX969" t="s">
        <v>6966</v>
      </c>
      <c r="AY969" t="s">
        <v>6966</v>
      </c>
      <c r="AZ969">
        <v>3.3685E-2</v>
      </c>
      <c r="BA969">
        <v>5.7000000000000003E-5</v>
      </c>
    </row>
    <row r="970" spans="1:53" x14ac:dyDescent="0.25">
      <c r="A970">
        <v>968</v>
      </c>
      <c r="B970" t="s">
        <v>7625</v>
      </c>
      <c r="C970">
        <v>403039</v>
      </c>
      <c r="D970" t="s">
        <v>1020</v>
      </c>
      <c r="E970" t="s">
        <v>3045</v>
      </c>
      <c r="F970">
        <v>0</v>
      </c>
      <c r="G970">
        <v>27912.787109000001</v>
      </c>
      <c r="H970">
        <v>935</v>
      </c>
      <c r="I970">
        <v>1139</v>
      </c>
      <c r="J970">
        <v>51353</v>
      </c>
      <c r="K970" t="s">
        <v>2373</v>
      </c>
      <c r="L970">
        <v>15</v>
      </c>
      <c r="M970">
        <v>15</v>
      </c>
      <c r="N970">
        <v>51353</v>
      </c>
      <c r="O970">
        <v>913</v>
      </c>
      <c r="P970" t="s">
        <v>3214</v>
      </c>
      <c r="Q970">
        <v>0.3</v>
      </c>
      <c r="R970">
        <v>57.09</v>
      </c>
      <c r="S970">
        <v>7.0000000000000007E-2</v>
      </c>
      <c r="T970">
        <v>14</v>
      </c>
      <c r="U970">
        <v>0</v>
      </c>
      <c r="V970">
        <v>27912.786187999998</v>
      </c>
      <c r="W970">
        <v>969</v>
      </c>
      <c r="X970">
        <v>0</v>
      </c>
      <c r="Y970">
        <v>968</v>
      </c>
      <c r="Z970" t="s">
        <v>6966</v>
      </c>
      <c r="AA970" t="s">
        <v>6966</v>
      </c>
      <c r="AB970" t="s">
        <v>6966</v>
      </c>
      <c r="AC970" t="s">
        <v>6966</v>
      </c>
      <c r="AD970" t="s">
        <v>6966</v>
      </c>
      <c r="AE970" t="s">
        <v>6966</v>
      </c>
      <c r="AF970" t="s">
        <v>6966</v>
      </c>
      <c r="AG970" t="s">
        <v>6966</v>
      </c>
      <c r="AH970" t="s">
        <v>6966</v>
      </c>
      <c r="AI970" t="s">
        <v>6966</v>
      </c>
      <c r="AJ970" t="s">
        <v>6966</v>
      </c>
      <c r="AK970" t="s">
        <v>6966</v>
      </c>
      <c r="AL970" t="s">
        <v>6966</v>
      </c>
      <c r="AM970" t="s">
        <v>6966</v>
      </c>
      <c r="AN970" t="s">
        <v>6966</v>
      </c>
      <c r="AO970" t="s">
        <v>6966</v>
      </c>
      <c r="AP970" t="s">
        <v>6966</v>
      </c>
      <c r="AQ970" t="s">
        <v>6966</v>
      </c>
      <c r="AR970" t="s">
        <v>6966</v>
      </c>
      <c r="AS970" t="s">
        <v>6966</v>
      </c>
      <c r="AT970" t="s">
        <v>6966</v>
      </c>
      <c r="AU970" t="s">
        <v>6966</v>
      </c>
      <c r="AV970" t="s">
        <v>6966</v>
      </c>
      <c r="AW970" t="s">
        <v>6966</v>
      </c>
      <c r="AX970" t="s">
        <v>6966</v>
      </c>
      <c r="AY970" t="s">
        <v>6966</v>
      </c>
      <c r="AZ970">
        <v>0.27267799999999998</v>
      </c>
      <c r="BA970">
        <v>1.7600000000000001E-3</v>
      </c>
    </row>
    <row r="971" spans="1:53" x14ac:dyDescent="0.25">
      <c r="A971">
        <v>969</v>
      </c>
      <c r="B971" t="s">
        <v>7625</v>
      </c>
      <c r="C971">
        <v>502043</v>
      </c>
      <c r="D971" t="s">
        <v>42</v>
      </c>
      <c r="E971" t="s">
        <v>36</v>
      </c>
      <c r="F971">
        <v>2374278</v>
      </c>
      <c r="G971">
        <v>9032.8837889999995</v>
      </c>
      <c r="H971">
        <v>936</v>
      </c>
      <c r="I971">
        <v>1140</v>
      </c>
      <c r="J971">
        <v>21259</v>
      </c>
      <c r="K971" t="s">
        <v>1587</v>
      </c>
      <c r="L971">
        <v>2</v>
      </c>
      <c r="M971">
        <v>2</v>
      </c>
      <c r="N971">
        <v>21259</v>
      </c>
      <c r="O971">
        <v>914</v>
      </c>
      <c r="P971" t="s">
        <v>3212</v>
      </c>
      <c r="Q971">
        <v>8.8000000000000007</v>
      </c>
      <c r="R971">
        <v>49.3</v>
      </c>
      <c r="S971">
        <v>3.11</v>
      </c>
      <c r="T971">
        <v>17</v>
      </c>
      <c r="U971">
        <v>2374278.0423099999</v>
      </c>
      <c r="V971">
        <v>9032.8831219999993</v>
      </c>
      <c r="W971">
        <v>970</v>
      </c>
      <c r="X971">
        <v>0</v>
      </c>
      <c r="Y971">
        <v>969</v>
      </c>
      <c r="Z971" t="s">
        <v>6966</v>
      </c>
      <c r="AA971" t="s">
        <v>6966</v>
      </c>
      <c r="AB971" t="s">
        <v>6966</v>
      </c>
      <c r="AC971" t="s">
        <v>6966</v>
      </c>
      <c r="AD971" t="s">
        <v>6966</v>
      </c>
      <c r="AE971" t="s">
        <v>6966</v>
      </c>
      <c r="AF971" t="s">
        <v>6966</v>
      </c>
      <c r="AG971" t="s">
        <v>6966</v>
      </c>
      <c r="AH971" t="s">
        <v>6966</v>
      </c>
      <c r="AI971" t="s">
        <v>6966</v>
      </c>
      <c r="AJ971" t="s">
        <v>6966</v>
      </c>
      <c r="AK971" t="s">
        <v>6966</v>
      </c>
      <c r="AL971" t="s">
        <v>6966</v>
      </c>
      <c r="AM971" t="s">
        <v>6966</v>
      </c>
      <c r="AN971" t="s">
        <v>6966</v>
      </c>
      <c r="AO971" t="s">
        <v>6966</v>
      </c>
      <c r="AP971" t="s">
        <v>6966</v>
      </c>
      <c r="AQ971" t="s">
        <v>6966</v>
      </c>
      <c r="AR971" t="s">
        <v>6966</v>
      </c>
      <c r="AS971" t="s">
        <v>6966</v>
      </c>
      <c r="AT971" t="s">
        <v>6966</v>
      </c>
      <c r="AU971" t="s">
        <v>6966</v>
      </c>
      <c r="AV971" t="s">
        <v>6966</v>
      </c>
      <c r="AW971" t="s">
        <v>6966</v>
      </c>
      <c r="AX971" t="s">
        <v>6966</v>
      </c>
      <c r="AY971" t="s">
        <v>6966</v>
      </c>
      <c r="AZ971">
        <v>8.9726E-2</v>
      </c>
      <c r="BA971">
        <v>2.31E-4</v>
      </c>
    </row>
    <row r="972" spans="1:53" x14ac:dyDescent="0.25">
      <c r="A972">
        <v>970</v>
      </c>
      <c r="B972" t="s">
        <v>7625</v>
      </c>
      <c r="C972">
        <v>502026</v>
      </c>
      <c r="D972" t="s">
        <v>44</v>
      </c>
      <c r="E972" t="s">
        <v>36</v>
      </c>
      <c r="F972">
        <v>942381.5</v>
      </c>
      <c r="G972">
        <v>4350.2358400000003</v>
      </c>
      <c r="H972">
        <v>937</v>
      </c>
      <c r="I972">
        <v>1141</v>
      </c>
      <c r="J972">
        <v>21275</v>
      </c>
      <c r="K972" t="s">
        <v>1589</v>
      </c>
      <c r="L972">
        <v>2</v>
      </c>
      <c r="M972">
        <v>2</v>
      </c>
      <c r="N972">
        <v>21275</v>
      </c>
      <c r="O972">
        <v>915</v>
      </c>
      <c r="P972" t="s">
        <v>3212</v>
      </c>
      <c r="Q972">
        <v>11.8</v>
      </c>
      <c r="R972">
        <v>82.31</v>
      </c>
      <c r="S972">
        <v>3.44</v>
      </c>
      <c r="T972">
        <v>24</v>
      </c>
      <c r="U972">
        <v>942381.43826299999</v>
      </c>
      <c r="V972">
        <v>4350.2350980000001</v>
      </c>
      <c r="W972">
        <v>971</v>
      </c>
      <c r="X972">
        <v>0</v>
      </c>
      <c r="Y972">
        <v>970</v>
      </c>
      <c r="Z972" t="s">
        <v>6966</v>
      </c>
      <c r="AA972" t="s">
        <v>6966</v>
      </c>
      <c r="AB972" t="s">
        <v>6966</v>
      </c>
      <c r="AC972" t="s">
        <v>6966</v>
      </c>
      <c r="AD972" t="s">
        <v>6966</v>
      </c>
      <c r="AE972" t="s">
        <v>6966</v>
      </c>
      <c r="AF972" t="s">
        <v>6966</v>
      </c>
      <c r="AG972" t="s">
        <v>6966</v>
      </c>
      <c r="AH972" t="s">
        <v>6966</v>
      </c>
      <c r="AI972" t="s">
        <v>6966</v>
      </c>
      <c r="AJ972" t="s">
        <v>6966</v>
      </c>
      <c r="AK972" t="s">
        <v>6966</v>
      </c>
      <c r="AL972" t="s">
        <v>6966</v>
      </c>
      <c r="AM972" t="s">
        <v>6966</v>
      </c>
      <c r="AN972" t="s">
        <v>6966</v>
      </c>
      <c r="AO972" t="s">
        <v>6966</v>
      </c>
      <c r="AP972" t="s">
        <v>6966</v>
      </c>
      <c r="AQ972" t="s">
        <v>6966</v>
      </c>
      <c r="AR972" t="s">
        <v>6966</v>
      </c>
      <c r="AS972" t="s">
        <v>6966</v>
      </c>
      <c r="AT972" t="s">
        <v>6966</v>
      </c>
      <c r="AU972" t="s">
        <v>6966</v>
      </c>
      <c r="AV972" t="s">
        <v>6966</v>
      </c>
      <c r="AW972" t="s">
        <v>6966</v>
      </c>
      <c r="AX972" t="s">
        <v>6966</v>
      </c>
      <c r="AY972" t="s">
        <v>6966</v>
      </c>
      <c r="AZ972">
        <v>4.3222999999999998E-2</v>
      </c>
      <c r="BA972">
        <v>9.2E-5</v>
      </c>
    </row>
    <row r="973" spans="1:53" x14ac:dyDescent="0.25">
      <c r="A973">
        <v>971</v>
      </c>
      <c r="B973" t="s">
        <v>7625</v>
      </c>
      <c r="C973">
        <v>502008</v>
      </c>
      <c r="D973" t="s">
        <v>76</v>
      </c>
      <c r="E973" t="s">
        <v>36</v>
      </c>
      <c r="F973">
        <v>1781480.5</v>
      </c>
      <c r="G973">
        <v>9555.6953130000002</v>
      </c>
      <c r="H973">
        <v>938</v>
      </c>
      <c r="I973">
        <v>1142</v>
      </c>
      <c r="J973">
        <v>21436</v>
      </c>
      <c r="K973" t="s">
        <v>1617</v>
      </c>
      <c r="L973">
        <v>2</v>
      </c>
      <c r="M973">
        <v>2</v>
      </c>
      <c r="N973">
        <v>21436</v>
      </c>
      <c r="O973">
        <v>916</v>
      </c>
      <c r="P973" t="s">
        <v>3212</v>
      </c>
      <c r="Q973">
        <v>2.7</v>
      </c>
      <c r="R973">
        <v>28.37</v>
      </c>
      <c r="S973">
        <v>0.99</v>
      </c>
      <c r="T973">
        <v>10</v>
      </c>
      <c r="U973">
        <v>1781480.4248299999</v>
      </c>
      <c r="V973">
        <v>9555.6953350000003</v>
      </c>
      <c r="W973">
        <v>972</v>
      </c>
      <c r="X973">
        <v>0</v>
      </c>
      <c r="Y973">
        <v>971</v>
      </c>
      <c r="Z973" t="s">
        <v>6966</v>
      </c>
      <c r="AA973" t="s">
        <v>6966</v>
      </c>
      <c r="AB973" t="s">
        <v>6966</v>
      </c>
      <c r="AC973" t="s">
        <v>6966</v>
      </c>
      <c r="AD973" t="s">
        <v>6966</v>
      </c>
      <c r="AE973" t="s">
        <v>6966</v>
      </c>
      <c r="AF973" t="s">
        <v>6966</v>
      </c>
      <c r="AG973" t="s">
        <v>6966</v>
      </c>
      <c r="AH973" t="s">
        <v>6966</v>
      </c>
      <c r="AI973" t="s">
        <v>6966</v>
      </c>
      <c r="AJ973" t="s">
        <v>6966</v>
      </c>
      <c r="AK973" t="s">
        <v>6966</v>
      </c>
      <c r="AL973" t="s">
        <v>6966</v>
      </c>
      <c r="AM973" t="s">
        <v>6966</v>
      </c>
      <c r="AN973" t="s">
        <v>6966</v>
      </c>
      <c r="AO973" t="s">
        <v>6966</v>
      </c>
      <c r="AP973" t="s">
        <v>6966</v>
      </c>
      <c r="AQ973" t="s">
        <v>6966</v>
      </c>
      <c r="AR973" t="s">
        <v>6966</v>
      </c>
      <c r="AS973" t="s">
        <v>6966</v>
      </c>
      <c r="AT973" t="s">
        <v>6966</v>
      </c>
      <c r="AU973" t="s">
        <v>6966</v>
      </c>
      <c r="AV973" t="s">
        <v>6966</v>
      </c>
      <c r="AW973" t="s">
        <v>6966</v>
      </c>
      <c r="AX973" t="s">
        <v>6966</v>
      </c>
      <c r="AY973" t="s">
        <v>6966</v>
      </c>
      <c r="AZ973">
        <v>9.9398E-2</v>
      </c>
      <c r="BA973">
        <v>1.73E-4</v>
      </c>
    </row>
    <row r="974" spans="1:53" x14ac:dyDescent="0.25">
      <c r="A974">
        <v>972</v>
      </c>
      <c r="B974" t="s">
        <v>7625</v>
      </c>
      <c r="C974">
        <v>403021</v>
      </c>
      <c r="D974" t="s">
        <v>994</v>
      </c>
      <c r="E974" t="s">
        <v>3045</v>
      </c>
      <c r="F974">
        <v>6189377.5</v>
      </c>
      <c r="G974">
        <v>20276.880859000001</v>
      </c>
      <c r="H974">
        <v>939</v>
      </c>
      <c r="I974">
        <v>1143</v>
      </c>
      <c r="J974">
        <v>51224</v>
      </c>
      <c r="K974" t="s">
        <v>2347</v>
      </c>
      <c r="L974">
        <v>15</v>
      </c>
      <c r="M974">
        <v>15</v>
      </c>
      <c r="N974">
        <v>51224</v>
      </c>
      <c r="O974">
        <v>917</v>
      </c>
      <c r="P974" t="s">
        <v>3214</v>
      </c>
      <c r="Q974">
        <v>10.1</v>
      </c>
      <c r="R974">
        <v>67.48</v>
      </c>
      <c r="S974">
        <v>2.5</v>
      </c>
      <c r="T974">
        <v>17</v>
      </c>
      <c r="U974">
        <v>6189377.1480599996</v>
      </c>
      <c r="V974">
        <v>20276.879636999998</v>
      </c>
      <c r="W974">
        <v>973</v>
      </c>
      <c r="X974">
        <v>1</v>
      </c>
      <c r="Y974">
        <v>972</v>
      </c>
      <c r="Z974">
        <v>56307</v>
      </c>
      <c r="AA974" s="76">
        <v>45685</v>
      </c>
      <c r="AB974">
        <v>2025</v>
      </c>
      <c r="AC974" t="s">
        <v>6992</v>
      </c>
      <c r="AD974">
        <v>28</v>
      </c>
      <c r="AE974" t="s">
        <v>7072</v>
      </c>
      <c r="AF974" t="s">
        <v>3214</v>
      </c>
      <c r="AG974" t="s">
        <v>3045</v>
      </c>
      <c r="AH974" t="s">
        <v>994</v>
      </c>
      <c r="AI974" t="s">
        <v>994</v>
      </c>
      <c r="AJ974" t="s">
        <v>6966</v>
      </c>
      <c r="AK974">
        <v>33.824269999999999</v>
      </c>
      <c r="AL974">
        <v>35.836970000000001</v>
      </c>
      <c r="AM974" t="s">
        <v>7013</v>
      </c>
      <c r="AN974" t="s">
        <v>6966</v>
      </c>
      <c r="AO974" t="s">
        <v>7008</v>
      </c>
      <c r="AP974" t="s">
        <v>7073</v>
      </c>
      <c r="AQ974" t="s">
        <v>6998</v>
      </c>
      <c r="AR974" t="s">
        <v>6999</v>
      </c>
      <c r="AS974" t="s">
        <v>7000</v>
      </c>
      <c r="AT974">
        <v>0</v>
      </c>
      <c r="AU974">
        <v>0</v>
      </c>
      <c r="AV974" t="s">
        <v>7074</v>
      </c>
      <c r="AW974" t="s">
        <v>7043</v>
      </c>
      <c r="AX974" t="s">
        <v>6966</v>
      </c>
      <c r="AY974" t="s">
        <v>7003</v>
      </c>
      <c r="AZ974">
        <v>0.19730500000000001</v>
      </c>
      <c r="BA974">
        <v>6.0300000000000002E-4</v>
      </c>
    </row>
    <row r="975" spans="1:53" x14ac:dyDescent="0.25">
      <c r="A975">
        <v>973</v>
      </c>
      <c r="B975" t="s">
        <v>7625</v>
      </c>
      <c r="C975">
        <v>403057</v>
      </c>
      <c r="D975" t="s">
        <v>7928</v>
      </c>
      <c r="E975" t="s">
        <v>3045</v>
      </c>
      <c r="F975">
        <v>0</v>
      </c>
      <c r="G975">
        <v>32743.013672000001</v>
      </c>
      <c r="H975">
        <v>940</v>
      </c>
      <c r="I975">
        <v>1145</v>
      </c>
      <c r="J975">
        <v>51127</v>
      </c>
      <c r="K975" t="s">
        <v>2335</v>
      </c>
      <c r="L975">
        <v>15</v>
      </c>
      <c r="M975">
        <v>15</v>
      </c>
      <c r="N975">
        <v>51127</v>
      </c>
      <c r="O975">
        <v>918</v>
      </c>
      <c r="P975" t="s">
        <v>3214</v>
      </c>
      <c r="Q975">
        <v>3</v>
      </c>
      <c r="R975">
        <v>169.06</v>
      </c>
      <c r="S975">
        <v>0</v>
      </c>
      <c r="T975">
        <v>0</v>
      </c>
      <c r="U975">
        <v>0</v>
      </c>
      <c r="V975">
        <v>32743.014199000001</v>
      </c>
      <c r="W975">
        <v>974</v>
      </c>
      <c r="X975">
        <v>0</v>
      </c>
      <c r="Y975">
        <v>973</v>
      </c>
      <c r="Z975" t="s">
        <v>6966</v>
      </c>
      <c r="AA975" t="s">
        <v>6966</v>
      </c>
      <c r="AB975" t="s">
        <v>6966</v>
      </c>
      <c r="AC975" t="s">
        <v>6966</v>
      </c>
      <c r="AD975" t="s">
        <v>6966</v>
      </c>
      <c r="AE975" t="s">
        <v>6966</v>
      </c>
      <c r="AF975" t="s">
        <v>6966</v>
      </c>
      <c r="AG975" t="s">
        <v>6966</v>
      </c>
      <c r="AH975" t="s">
        <v>6966</v>
      </c>
      <c r="AI975" t="s">
        <v>6966</v>
      </c>
      <c r="AJ975" t="s">
        <v>6966</v>
      </c>
      <c r="AK975" t="s">
        <v>6966</v>
      </c>
      <c r="AL975" t="s">
        <v>6966</v>
      </c>
      <c r="AM975" t="s">
        <v>6966</v>
      </c>
      <c r="AN975" t="s">
        <v>6966</v>
      </c>
      <c r="AO975" t="s">
        <v>6966</v>
      </c>
      <c r="AP975" t="s">
        <v>6966</v>
      </c>
      <c r="AQ975" t="s">
        <v>6966</v>
      </c>
      <c r="AR975" t="s">
        <v>6966</v>
      </c>
      <c r="AS975" t="s">
        <v>6966</v>
      </c>
      <c r="AT975" t="s">
        <v>6966</v>
      </c>
      <c r="AU975" t="s">
        <v>6966</v>
      </c>
      <c r="AV975" t="s">
        <v>6966</v>
      </c>
      <c r="AW975" t="s">
        <v>6966</v>
      </c>
      <c r="AX975" t="s">
        <v>6966</v>
      </c>
      <c r="AY975" t="s">
        <v>6966</v>
      </c>
      <c r="AZ975">
        <v>0.32264100000000001</v>
      </c>
      <c r="BA975">
        <v>1.41E-3</v>
      </c>
    </row>
    <row r="976" spans="1:53" x14ac:dyDescent="0.25">
      <c r="A976">
        <v>974</v>
      </c>
      <c r="B976" t="s">
        <v>7625</v>
      </c>
      <c r="C976">
        <v>501039</v>
      </c>
      <c r="D976" t="s">
        <v>7929</v>
      </c>
      <c r="E976" t="s">
        <v>1808</v>
      </c>
      <c r="F976">
        <v>5246427.5</v>
      </c>
      <c r="G976">
        <v>15400.824219</v>
      </c>
      <c r="H976">
        <v>941</v>
      </c>
      <c r="I976">
        <v>1146</v>
      </c>
      <c r="J976">
        <v>24111</v>
      </c>
      <c r="K976" t="s">
        <v>1794</v>
      </c>
      <c r="L976">
        <v>5</v>
      </c>
      <c r="M976">
        <v>5</v>
      </c>
      <c r="N976">
        <v>24111</v>
      </c>
      <c r="O976">
        <v>919</v>
      </c>
      <c r="P976" t="s">
        <v>3212</v>
      </c>
      <c r="Q976">
        <v>102.1</v>
      </c>
      <c r="R976">
        <v>439.15</v>
      </c>
      <c r="S976">
        <v>29.7</v>
      </c>
      <c r="T976">
        <v>128</v>
      </c>
      <c r="U976">
        <v>5246427.4097999996</v>
      </c>
      <c r="V976">
        <v>15400.825366999999</v>
      </c>
      <c r="W976">
        <v>975</v>
      </c>
      <c r="X976">
        <v>3</v>
      </c>
      <c r="Y976">
        <v>974</v>
      </c>
      <c r="Z976">
        <v>60045</v>
      </c>
      <c r="AA976" s="76">
        <v>45752</v>
      </c>
      <c r="AB976">
        <v>2025</v>
      </c>
      <c r="AC976" t="s">
        <v>7183</v>
      </c>
      <c r="AD976">
        <v>5</v>
      </c>
      <c r="AE976" t="s">
        <v>7188</v>
      </c>
      <c r="AF976" t="s">
        <v>3212</v>
      </c>
      <c r="AG976" t="s">
        <v>1808</v>
      </c>
      <c r="AH976" t="s">
        <v>7189</v>
      </c>
      <c r="AI976" t="s">
        <v>7190</v>
      </c>
      <c r="AJ976" t="s">
        <v>6966</v>
      </c>
      <c r="AK976">
        <v>33.822789999999998</v>
      </c>
      <c r="AL976">
        <v>35.507080000000002</v>
      </c>
      <c r="AM976" t="s">
        <v>7151</v>
      </c>
      <c r="AN976" t="s">
        <v>7014</v>
      </c>
      <c r="AO976" t="s">
        <v>7015</v>
      </c>
      <c r="AP976" t="s">
        <v>7191</v>
      </c>
      <c r="AQ976" t="s">
        <v>6998</v>
      </c>
      <c r="AR976" t="s">
        <v>6999</v>
      </c>
      <c r="AS976" t="s">
        <v>7000</v>
      </c>
      <c r="AT976">
        <v>0</v>
      </c>
      <c r="AU976">
        <v>0</v>
      </c>
      <c r="AV976" t="s">
        <v>7187</v>
      </c>
      <c r="AW976" t="s">
        <v>7043</v>
      </c>
      <c r="AX976" t="s">
        <v>6966</v>
      </c>
      <c r="AY976" t="s">
        <v>7003</v>
      </c>
      <c r="AZ976">
        <v>0.15459400000000001</v>
      </c>
      <c r="BA976">
        <v>5.1099999999999995E-4</v>
      </c>
    </row>
    <row r="977" spans="1:53" x14ac:dyDescent="0.25">
      <c r="A977">
        <v>975</v>
      </c>
      <c r="B977" t="s">
        <v>7625</v>
      </c>
      <c r="C977">
        <v>502025</v>
      </c>
      <c r="D977" t="s">
        <v>71</v>
      </c>
      <c r="E977" t="s">
        <v>36</v>
      </c>
      <c r="F977">
        <v>8825281</v>
      </c>
      <c r="G977">
        <v>17832.675781000002</v>
      </c>
      <c r="H977">
        <v>942</v>
      </c>
      <c r="I977">
        <v>1147</v>
      </c>
      <c r="J977">
        <v>21411</v>
      </c>
      <c r="K977" t="s">
        <v>71</v>
      </c>
      <c r="L977">
        <v>2</v>
      </c>
      <c r="M977">
        <v>2</v>
      </c>
      <c r="N977">
        <v>21411</v>
      </c>
      <c r="O977">
        <v>920</v>
      </c>
      <c r="P977" t="s">
        <v>3212</v>
      </c>
      <c r="Q977">
        <v>3.1</v>
      </c>
      <c r="R977">
        <v>20.010000000000002</v>
      </c>
      <c r="S977">
        <v>1.28</v>
      </c>
      <c r="T977">
        <v>9</v>
      </c>
      <c r="U977">
        <v>8825281.0487399995</v>
      </c>
      <c r="V977">
        <v>17832.676578999999</v>
      </c>
      <c r="W977">
        <v>976</v>
      </c>
      <c r="X977">
        <v>1</v>
      </c>
      <c r="Y977">
        <v>975</v>
      </c>
      <c r="Z977">
        <v>76831</v>
      </c>
      <c r="AA977" s="76">
        <v>46002</v>
      </c>
      <c r="AB977">
        <v>2025</v>
      </c>
      <c r="AC977" t="s">
        <v>7557</v>
      </c>
      <c r="AD977">
        <v>11</v>
      </c>
      <c r="AE977" t="s">
        <v>7570</v>
      </c>
      <c r="AF977" t="s">
        <v>3212</v>
      </c>
      <c r="AG977" t="s">
        <v>36</v>
      </c>
      <c r="AH977" t="s">
        <v>71</v>
      </c>
      <c r="AI977" t="s">
        <v>7571</v>
      </c>
      <c r="AJ977" t="s">
        <v>6966</v>
      </c>
      <c r="AK977">
        <v>33.811999999999998</v>
      </c>
      <c r="AL977">
        <v>35.762279999999997</v>
      </c>
      <c r="AM977" t="s">
        <v>6995</v>
      </c>
      <c r="AN977" t="s">
        <v>6966</v>
      </c>
      <c r="AO977" t="s">
        <v>6996</v>
      </c>
      <c r="AP977" t="s">
        <v>7572</v>
      </c>
      <c r="AQ977" t="s">
        <v>6998</v>
      </c>
      <c r="AR977" t="s">
        <v>6999</v>
      </c>
      <c r="AS977" t="s">
        <v>7000</v>
      </c>
      <c r="AT977">
        <v>0</v>
      </c>
      <c r="AU977">
        <v>0</v>
      </c>
      <c r="AV977" t="s">
        <v>7573</v>
      </c>
      <c r="AW977" t="s">
        <v>7574</v>
      </c>
      <c r="AX977" t="s">
        <v>6966</v>
      </c>
      <c r="AY977" t="s">
        <v>7003</v>
      </c>
      <c r="AZ977">
        <v>0.18046400000000001</v>
      </c>
      <c r="BA977">
        <v>8.5899999999999995E-4</v>
      </c>
    </row>
    <row r="978" spans="1:53" x14ac:dyDescent="0.25">
      <c r="A978">
        <v>976</v>
      </c>
      <c r="B978" t="s">
        <v>7625</v>
      </c>
      <c r="C978">
        <v>502010</v>
      </c>
      <c r="D978" t="s">
        <v>38</v>
      </c>
      <c r="E978" t="s">
        <v>36</v>
      </c>
      <c r="F978">
        <v>569002.875</v>
      </c>
      <c r="G978">
        <v>4088.8833009999998</v>
      </c>
      <c r="H978">
        <v>943</v>
      </c>
      <c r="I978">
        <v>1148</v>
      </c>
      <c r="J978">
        <v>21227</v>
      </c>
      <c r="K978" t="s">
        <v>38</v>
      </c>
      <c r="L978">
        <v>2</v>
      </c>
      <c r="M978">
        <v>2</v>
      </c>
      <c r="N978">
        <v>21227</v>
      </c>
      <c r="O978">
        <v>921</v>
      </c>
      <c r="P978" t="s">
        <v>3212</v>
      </c>
      <c r="Q978">
        <v>20.399999999999999</v>
      </c>
      <c r="R978">
        <v>214.44</v>
      </c>
      <c r="S978">
        <v>7.69</v>
      </c>
      <c r="T978">
        <v>81</v>
      </c>
      <c r="U978">
        <v>569002.90831900004</v>
      </c>
      <c r="V978">
        <v>4088.8829150000001</v>
      </c>
      <c r="W978">
        <v>977</v>
      </c>
      <c r="X978">
        <v>1</v>
      </c>
      <c r="Y978">
        <v>976</v>
      </c>
      <c r="Z978">
        <v>67078</v>
      </c>
      <c r="AA978" s="76">
        <v>45883</v>
      </c>
      <c r="AB978">
        <v>2025</v>
      </c>
      <c r="AC978" t="s">
        <v>7379</v>
      </c>
      <c r="AD978">
        <v>14</v>
      </c>
      <c r="AE978" t="s">
        <v>7381</v>
      </c>
      <c r="AF978" t="s">
        <v>3212</v>
      </c>
      <c r="AG978" t="s">
        <v>36</v>
      </c>
      <c r="AH978" t="s">
        <v>38</v>
      </c>
      <c r="AI978" t="s">
        <v>7382</v>
      </c>
      <c r="AJ978" t="s">
        <v>6966</v>
      </c>
      <c r="AK978">
        <v>33.826619999999998</v>
      </c>
      <c r="AL978">
        <v>35.543559999999999</v>
      </c>
      <c r="AM978" t="s">
        <v>6995</v>
      </c>
      <c r="AN978" t="s">
        <v>7014</v>
      </c>
      <c r="AO978" t="s">
        <v>7198</v>
      </c>
      <c r="AP978" t="s">
        <v>7383</v>
      </c>
      <c r="AQ978" t="s">
        <v>6998</v>
      </c>
      <c r="AR978" t="s">
        <v>7048</v>
      </c>
      <c r="AS978" t="s">
        <v>7071</v>
      </c>
      <c r="AT978">
        <v>0</v>
      </c>
      <c r="AU978">
        <v>0</v>
      </c>
      <c r="AV978" t="s">
        <v>6966</v>
      </c>
      <c r="AW978" t="s">
        <v>7119</v>
      </c>
      <c r="AX978" t="s">
        <v>6966</v>
      </c>
      <c r="AY978" t="s">
        <v>7114</v>
      </c>
      <c r="AZ978">
        <v>4.1502999999999998E-2</v>
      </c>
      <c r="BA978">
        <v>5.5000000000000002E-5</v>
      </c>
    </row>
    <row r="979" spans="1:53" x14ac:dyDescent="0.25">
      <c r="A979">
        <v>977</v>
      </c>
      <c r="B979" t="s">
        <v>7625</v>
      </c>
      <c r="C979">
        <v>501052</v>
      </c>
      <c r="D979" t="s">
        <v>7930</v>
      </c>
      <c r="E979" t="s">
        <v>1808</v>
      </c>
      <c r="F979">
        <v>1939072.625</v>
      </c>
      <c r="G979">
        <v>7911.3691410000001</v>
      </c>
      <c r="H979">
        <v>944</v>
      </c>
      <c r="I979">
        <v>1149</v>
      </c>
      <c r="J979">
        <v>24313</v>
      </c>
      <c r="K979" t="s">
        <v>7931</v>
      </c>
      <c r="L979">
        <v>5</v>
      </c>
      <c r="M979">
        <v>5</v>
      </c>
      <c r="N979">
        <v>24313</v>
      </c>
      <c r="O979">
        <v>922</v>
      </c>
      <c r="P979" t="s">
        <v>3212</v>
      </c>
      <c r="Q979">
        <v>10.9</v>
      </c>
      <c r="R979">
        <v>68.099999999999994</v>
      </c>
      <c r="S979">
        <v>3.18</v>
      </c>
      <c r="T979">
        <v>20</v>
      </c>
      <c r="U979">
        <v>1939072.63858</v>
      </c>
      <c r="V979">
        <v>7911.3678669999999</v>
      </c>
      <c r="W979">
        <v>978</v>
      </c>
      <c r="X979">
        <v>0</v>
      </c>
      <c r="Y979">
        <v>977</v>
      </c>
      <c r="Z979" t="s">
        <v>6966</v>
      </c>
      <c r="AA979" t="s">
        <v>6966</v>
      </c>
      <c r="AB979" t="s">
        <v>6966</v>
      </c>
      <c r="AC979" t="s">
        <v>6966</v>
      </c>
      <c r="AD979" t="s">
        <v>6966</v>
      </c>
      <c r="AE979" t="s">
        <v>6966</v>
      </c>
      <c r="AF979" t="s">
        <v>6966</v>
      </c>
      <c r="AG979" t="s">
        <v>6966</v>
      </c>
      <c r="AH979" t="s">
        <v>6966</v>
      </c>
      <c r="AI979" t="s">
        <v>6966</v>
      </c>
      <c r="AJ979" t="s">
        <v>6966</v>
      </c>
      <c r="AK979" t="s">
        <v>6966</v>
      </c>
      <c r="AL979" t="s">
        <v>6966</v>
      </c>
      <c r="AM979" t="s">
        <v>6966</v>
      </c>
      <c r="AN979" t="s">
        <v>6966</v>
      </c>
      <c r="AO979" t="s">
        <v>6966</v>
      </c>
      <c r="AP979" t="s">
        <v>6966</v>
      </c>
      <c r="AQ979" t="s">
        <v>6966</v>
      </c>
      <c r="AR979" t="s">
        <v>6966</v>
      </c>
      <c r="AS979" t="s">
        <v>6966</v>
      </c>
      <c r="AT979" t="s">
        <v>6966</v>
      </c>
      <c r="AU979" t="s">
        <v>6966</v>
      </c>
      <c r="AV979" t="s">
        <v>6966</v>
      </c>
      <c r="AW979" t="s">
        <v>6966</v>
      </c>
      <c r="AX979" t="s">
        <v>6966</v>
      </c>
      <c r="AY979" t="s">
        <v>6966</v>
      </c>
      <c r="AZ979">
        <v>7.9815999999999998E-2</v>
      </c>
      <c r="BA979">
        <v>1.8900000000000001E-4</v>
      </c>
    </row>
    <row r="980" spans="1:53" x14ac:dyDescent="0.25">
      <c r="A980">
        <v>978</v>
      </c>
      <c r="B980" t="s">
        <v>7625</v>
      </c>
      <c r="C980">
        <v>502027</v>
      </c>
      <c r="D980" t="s">
        <v>7932</v>
      </c>
      <c r="E980" t="s">
        <v>36</v>
      </c>
      <c r="F980">
        <v>2080140</v>
      </c>
      <c r="G980">
        <v>7283.2270509999998</v>
      </c>
      <c r="H980">
        <v>945</v>
      </c>
      <c r="I980">
        <v>1150</v>
      </c>
      <c r="J980">
        <v>21327</v>
      </c>
      <c r="K980" t="s">
        <v>7932</v>
      </c>
      <c r="L980">
        <v>2</v>
      </c>
      <c r="M980">
        <v>2</v>
      </c>
      <c r="N980">
        <v>21327</v>
      </c>
      <c r="O980">
        <v>923</v>
      </c>
      <c r="P980" t="s">
        <v>3212</v>
      </c>
      <c r="Q980">
        <v>0.1</v>
      </c>
      <c r="R980">
        <v>7.65</v>
      </c>
      <c r="S980">
        <v>0.11</v>
      </c>
      <c r="T980">
        <v>21</v>
      </c>
      <c r="U980">
        <v>2080139.97759</v>
      </c>
      <c r="V980">
        <v>7283.2264560000003</v>
      </c>
      <c r="W980">
        <v>979</v>
      </c>
      <c r="X980">
        <v>0</v>
      </c>
      <c r="Y980">
        <v>978</v>
      </c>
      <c r="Z980" t="s">
        <v>6966</v>
      </c>
      <c r="AA980" t="s">
        <v>6966</v>
      </c>
      <c r="AB980" t="s">
        <v>6966</v>
      </c>
      <c r="AC980" t="s">
        <v>6966</v>
      </c>
      <c r="AD980" t="s">
        <v>6966</v>
      </c>
      <c r="AE980" t="s">
        <v>6966</v>
      </c>
      <c r="AF980" t="s">
        <v>6966</v>
      </c>
      <c r="AG980" t="s">
        <v>6966</v>
      </c>
      <c r="AH980" t="s">
        <v>6966</v>
      </c>
      <c r="AI980" t="s">
        <v>6966</v>
      </c>
      <c r="AJ980" t="s">
        <v>6966</v>
      </c>
      <c r="AK980" t="s">
        <v>6966</v>
      </c>
      <c r="AL980" t="s">
        <v>6966</v>
      </c>
      <c r="AM980" t="s">
        <v>6966</v>
      </c>
      <c r="AN980" t="s">
        <v>6966</v>
      </c>
      <c r="AO980" t="s">
        <v>6966</v>
      </c>
      <c r="AP980" t="s">
        <v>6966</v>
      </c>
      <c r="AQ980" t="s">
        <v>6966</v>
      </c>
      <c r="AR980" t="s">
        <v>6966</v>
      </c>
      <c r="AS980" t="s">
        <v>6966</v>
      </c>
      <c r="AT980" t="s">
        <v>6966</v>
      </c>
      <c r="AU980" t="s">
        <v>6966</v>
      </c>
      <c r="AV980" t="s">
        <v>6966</v>
      </c>
      <c r="AW980" t="s">
        <v>6966</v>
      </c>
      <c r="AX980" t="s">
        <v>6966</v>
      </c>
      <c r="AY980" t="s">
        <v>6966</v>
      </c>
      <c r="AZ980">
        <v>7.1981000000000003E-2</v>
      </c>
      <c r="BA980">
        <v>2.03E-4</v>
      </c>
    </row>
    <row r="981" spans="1:53" x14ac:dyDescent="0.25">
      <c r="A981">
        <v>979</v>
      </c>
      <c r="B981" t="s">
        <v>7625</v>
      </c>
      <c r="C981">
        <v>403042</v>
      </c>
      <c r="D981" t="s">
        <v>996</v>
      </c>
      <c r="E981" t="s">
        <v>3045</v>
      </c>
      <c r="F981">
        <v>5468640</v>
      </c>
      <c r="G981">
        <v>16629.570313</v>
      </c>
      <c r="H981">
        <v>946</v>
      </c>
      <c r="I981">
        <v>1151</v>
      </c>
      <c r="J981">
        <v>51231</v>
      </c>
      <c r="K981" t="s">
        <v>7933</v>
      </c>
      <c r="L981">
        <v>15</v>
      </c>
      <c r="M981">
        <v>15</v>
      </c>
      <c r="N981">
        <v>51231</v>
      </c>
      <c r="O981">
        <v>924</v>
      </c>
      <c r="P981" t="s">
        <v>3214</v>
      </c>
      <c r="Q981">
        <v>13</v>
      </c>
      <c r="R981">
        <v>102.17</v>
      </c>
      <c r="S981">
        <v>3.04</v>
      </c>
      <c r="T981">
        <v>24</v>
      </c>
      <c r="U981">
        <v>5468640.0264999997</v>
      </c>
      <c r="V981">
        <v>16629.569976999999</v>
      </c>
      <c r="W981">
        <v>980</v>
      </c>
      <c r="X981">
        <v>0</v>
      </c>
      <c r="Y981">
        <v>979</v>
      </c>
      <c r="Z981" t="s">
        <v>6966</v>
      </c>
      <c r="AA981" t="s">
        <v>6966</v>
      </c>
      <c r="AB981" t="s">
        <v>6966</v>
      </c>
      <c r="AC981" t="s">
        <v>6966</v>
      </c>
      <c r="AD981" t="s">
        <v>6966</v>
      </c>
      <c r="AE981" t="s">
        <v>6966</v>
      </c>
      <c r="AF981" t="s">
        <v>6966</v>
      </c>
      <c r="AG981" t="s">
        <v>6966</v>
      </c>
      <c r="AH981" t="s">
        <v>6966</v>
      </c>
      <c r="AI981" t="s">
        <v>6966</v>
      </c>
      <c r="AJ981" t="s">
        <v>6966</v>
      </c>
      <c r="AK981" t="s">
        <v>6966</v>
      </c>
      <c r="AL981" t="s">
        <v>6966</v>
      </c>
      <c r="AM981" t="s">
        <v>6966</v>
      </c>
      <c r="AN981" t="s">
        <v>6966</v>
      </c>
      <c r="AO981" t="s">
        <v>6966</v>
      </c>
      <c r="AP981" t="s">
        <v>6966</v>
      </c>
      <c r="AQ981" t="s">
        <v>6966</v>
      </c>
      <c r="AR981" t="s">
        <v>6966</v>
      </c>
      <c r="AS981" t="s">
        <v>6966</v>
      </c>
      <c r="AT981" t="s">
        <v>6966</v>
      </c>
      <c r="AU981" t="s">
        <v>6966</v>
      </c>
      <c r="AV981" t="s">
        <v>6966</v>
      </c>
      <c r="AW981" t="s">
        <v>6966</v>
      </c>
      <c r="AX981" t="s">
        <v>6966</v>
      </c>
      <c r="AY981" t="s">
        <v>6966</v>
      </c>
      <c r="AZ981">
        <v>0.163908</v>
      </c>
      <c r="BA981">
        <v>5.3200000000000003E-4</v>
      </c>
    </row>
    <row r="982" spans="1:53" x14ac:dyDescent="0.25">
      <c r="A982">
        <v>980</v>
      </c>
      <c r="B982" t="s">
        <v>7625</v>
      </c>
      <c r="C982">
        <v>501040</v>
      </c>
      <c r="D982" t="s">
        <v>289</v>
      </c>
      <c r="E982" t="s">
        <v>1808</v>
      </c>
      <c r="F982">
        <v>4334783.5</v>
      </c>
      <c r="G982">
        <v>14311.193359000001</v>
      </c>
      <c r="H982">
        <v>947</v>
      </c>
      <c r="I982">
        <v>1152</v>
      </c>
      <c r="J982">
        <v>24155</v>
      </c>
      <c r="K982" t="s">
        <v>1796</v>
      </c>
      <c r="L982">
        <v>5</v>
      </c>
      <c r="M982">
        <v>5</v>
      </c>
      <c r="N982">
        <v>24155</v>
      </c>
      <c r="O982">
        <v>925</v>
      </c>
      <c r="P982" t="s">
        <v>3212</v>
      </c>
      <c r="Q982">
        <v>11.2</v>
      </c>
      <c r="R982">
        <v>418.37</v>
      </c>
      <c r="S982">
        <v>4.97</v>
      </c>
      <c r="T982">
        <v>186</v>
      </c>
      <c r="U982">
        <v>4334783.2912299996</v>
      </c>
      <c r="V982">
        <v>14311.194248</v>
      </c>
      <c r="W982">
        <v>981</v>
      </c>
      <c r="X982">
        <v>0</v>
      </c>
      <c r="Y982">
        <v>980</v>
      </c>
      <c r="Z982" t="s">
        <v>6966</v>
      </c>
      <c r="AA982" t="s">
        <v>6966</v>
      </c>
      <c r="AB982" t="s">
        <v>6966</v>
      </c>
      <c r="AC982" t="s">
        <v>6966</v>
      </c>
      <c r="AD982" t="s">
        <v>6966</v>
      </c>
      <c r="AE982" t="s">
        <v>6966</v>
      </c>
      <c r="AF982" t="s">
        <v>6966</v>
      </c>
      <c r="AG982" t="s">
        <v>6966</v>
      </c>
      <c r="AH982" t="s">
        <v>6966</v>
      </c>
      <c r="AI982" t="s">
        <v>6966</v>
      </c>
      <c r="AJ982" t="s">
        <v>6966</v>
      </c>
      <c r="AK982" t="s">
        <v>6966</v>
      </c>
      <c r="AL982" t="s">
        <v>6966</v>
      </c>
      <c r="AM982" t="s">
        <v>6966</v>
      </c>
      <c r="AN982" t="s">
        <v>6966</v>
      </c>
      <c r="AO982" t="s">
        <v>6966</v>
      </c>
      <c r="AP982" t="s">
        <v>6966</v>
      </c>
      <c r="AQ982" t="s">
        <v>6966</v>
      </c>
      <c r="AR982" t="s">
        <v>6966</v>
      </c>
      <c r="AS982" t="s">
        <v>6966</v>
      </c>
      <c r="AT982" t="s">
        <v>6966</v>
      </c>
      <c r="AU982" t="s">
        <v>6966</v>
      </c>
      <c r="AV982" t="s">
        <v>6966</v>
      </c>
      <c r="AW982" t="s">
        <v>6966</v>
      </c>
      <c r="AX982" t="s">
        <v>6966</v>
      </c>
      <c r="AY982" t="s">
        <v>6966</v>
      </c>
      <c r="AZ982">
        <v>0.143511</v>
      </c>
      <c r="BA982">
        <v>4.2200000000000001E-4</v>
      </c>
    </row>
    <row r="983" spans="1:53" x14ac:dyDescent="0.25">
      <c r="A983">
        <v>981</v>
      </c>
      <c r="B983" t="s">
        <v>7625</v>
      </c>
      <c r="C983">
        <v>403010</v>
      </c>
      <c r="D983" t="s">
        <v>7934</v>
      </c>
      <c r="E983" t="s">
        <v>3045</v>
      </c>
      <c r="F983">
        <v>5235739</v>
      </c>
      <c r="G983">
        <v>11619.803711</v>
      </c>
      <c r="H983">
        <v>948</v>
      </c>
      <c r="I983">
        <v>1154</v>
      </c>
      <c r="J983">
        <v>51383</v>
      </c>
      <c r="K983" t="s">
        <v>7935</v>
      </c>
      <c r="L983">
        <v>15</v>
      </c>
      <c r="M983">
        <v>15</v>
      </c>
      <c r="N983">
        <v>51383</v>
      </c>
      <c r="O983">
        <v>926</v>
      </c>
      <c r="P983" t="s">
        <v>3214</v>
      </c>
      <c r="Q983">
        <v>2.4</v>
      </c>
      <c r="R983">
        <v>307.47000000000003</v>
      </c>
      <c r="S983">
        <v>0.53</v>
      </c>
      <c r="T983">
        <v>68</v>
      </c>
      <c r="U983">
        <v>5235738.8455600003</v>
      </c>
      <c r="V983">
        <v>11619.803368999999</v>
      </c>
      <c r="W983">
        <v>982</v>
      </c>
      <c r="X983">
        <v>0</v>
      </c>
      <c r="Y983">
        <v>981</v>
      </c>
      <c r="Z983" t="s">
        <v>6966</v>
      </c>
      <c r="AA983" t="s">
        <v>6966</v>
      </c>
      <c r="AB983" t="s">
        <v>6966</v>
      </c>
      <c r="AC983" t="s">
        <v>6966</v>
      </c>
      <c r="AD983" t="s">
        <v>6966</v>
      </c>
      <c r="AE983" t="s">
        <v>6966</v>
      </c>
      <c r="AF983" t="s">
        <v>6966</v>
      </c>
      <c r="AG983" t="s">
        <v>6966</v>
      </c>
      <c r="AH983" t="s">
        <v>6966</v>
      </c>
      <c r="AI983" t="s">
        <v>6966</v>
      </c>
      <c r="AJ983" t="s">
        <v>6966</v>
      </c>
      <c r="AK983" t="s">
        <v>6966</v>
      </c>
      <c r="AL983" t="s">
        <v>6966</v>
      </c>
      <c r="AM983" t="s">
        <v>6966</v>
      </c>
      <c r="AN983" t="s">
        <v>6966</v>
      </c>
      <c r="AO983" t="s">
        <v>6966</v>
      </c>
      <c r="AP983" t="s">
        <v>6966</v>
      </c>
      <c r="AQ983" t="s">
        <v>6966</v>
      </c>
      <c r="AR983" t="s">
        <v>6966</v>
      </c>
      <c r="AS983" t="s">
        <v>6966</v>
      </c>
      <c r="AT983" t="s">
        <v>6966</v>
      </c>
      <c r="AU983" t="s">
        <v>6966</v>
      </c>
      <c r="AV983" t="s">
        <v>6966</v>
      </c>
      <c r="AW983" t="s">
        <v>6966</v>
      </c>
      <c r="AX983" t="s">
        <v>6966</v>
      </c>
      <c r="AY983" t="s">
        <v>6966</v>
      </c>
      <c r="AZ983">
        <v>0.11366900000000001</v>
      </c>
      <c r="BA983">
        <v>5.1000000000000004E-4</v>
      </c>
    </row>
    <row r="984" spans="1:53" x14ac:dyDescent="0.25">
      <c r="A984">
        <v>982</v>
      </c>
      <c r="B984" t="s">
        <v>7625</v>
      </c>
      <c r="C984">
        <v>502036</v>
      </c>
      <c r="D984" t="s">
        <v>75</v>
      </c>
      <c r="E984" t="s">
        <v>36</v>
      </c>
      <c r="F984">
        <v>884467.1875</v>
      </c>
      <c r="G984">
        <v>5872.7685549999997</v>
      </c>
      <c r="H984">
        <v>949</v>
      </c>
      <c r="I984">
        <v>1155</v>
      </c>
      <c r="J984">
        <v>21431</v>
      </c>
      <c r="K984" t="s">
        <v>7936</v>
      </c>
      <c r="L984">
        <v>2</v>
      </c>
      <c r="M984">
        <v>2</v>
      </c>
      <c r="N984">
        <v>21431</v>
      </c>
      <c r="O984">
        <v>927</v>
      </c>
      <c r="P984" t="s">
        <v>3212</v>
      </c>
      <c r="Q984">
        <v>7.3</v>
      </c>
      <c r="R984">
        <v>42.58</v>
      </c>
      <c r="S984">
        <v>3.1</v>
      </c>
      <c r="T984">
        <v>20</v>
      </c>
      <c r="U984">
        <v>884467.19458600006</v>
      </c>
      <c r="V984">
        <v>5872.7690279999997</v>
      </c>
      <c r="W984">
        <v>983</v>
      </c>
      <c r="X984">
        <v>0</v>
      </c>
      <c r="Y984">
        <v>982</v>
      </c>
      <c r="Z984" t="s">
        <v>6966</v>
      </c>
      <c r="AA984" t="s">
        <v>6966</v>
      </c>
      <c r="AB984" t="s">
        <v>6966</v>
      </c>
      <c r="AC984" t="s">
        <v>6966</v>
      </c>
      <c r="AD984" t="s">
        <v>6966</v>
      </c>
      <c r="AE984" t="s">
        <v>6966</v>
      </c>
      <c r="AF984" t="s">
        <v>6966</v>
      </c>
      <c r="AG984" t="s">
        <v>6966</v>
      </c>
      <c r="AH984" t="s">
        <v>6966</v>
      </c>
      <c r="AI984" t="s">
        <v>6966</v>
      </c>
      <c r="AJ984" t="s">
        <v>6966</v>
      </c>
      <c r="AK984" t="s">
        <v>6966</v>
      </c>
      <c r="AL984" t="s">
        <v>6966</v>
      </c>
      <c r="AM984" t="s">
        <v>6966</v>
      </c>
      <c r="AN984" t="s">
        <v>6966</v>
      </c>
      <c r="AO984" t="s">
        <v>6966</v>
      </c>
      <c r="AP984" t="s">
        <v>6966</v>
      </c>
      <c r="AQ984" t="s">
        <v>6966</v>
      </c>
      <c r="AR984" t="s">
        <v>6966</v>
      </c>
      <c r="AS984" t="s">
        <v>6966</v>
      </c>
      <c r="AT984" t="s">
        <v>6966</v>
      </c>
      <c r="AU984" t="s">
        <v>6966</v>
      </c>
      <c r="AV984" t="s">
        <v>6966</v>
      </c>
      <c r="AW984" t="s">
        <v>6966</v>
      </c>
      <c r="AX984" t="s">
        <v>6966</v>
      </c>
      <c r="AY984" t="s">
        <v>6966</v>
      </c>
      <c r="AZ984">
        <v>5.9712000000000001E-2</v>
      </c>
      <c r="BA984">
        <v>8.6000000000000003E-5</v>
      </c>
    </row>
    <row r="985" spans="1:53" x14ac:dyDescent="0.25">
      <c r="A985">
        <v>983</v>
      </c>
      <c r="B985" t="s">
        <v>7625</v>
      </c>
      <c r="C985">
        <v>502050</v>
      </c>
      <c r="D985" t="s">
        <v>7937</v>
      </c>
      <c r="E985" t="s">
        <v>36</v>
      </c>
      <c r="F985">
        <v>1599809.125</v>
      </c>
      <c r="G985">
        <v>7647.0327150000003</v>
      </c>
      <c r="H985">
        <v>950</v>
      </c>
      <c r="I985">
        <v>1156</v>
      </c>
      <c r="J985">
        <v>21331</v>
      </c>
      <c r="K985" t="s">
        <v>7938</v>
      </c>
      <c r="L985">
        <v>2</v>
      </c>
      <c r="M985">
        <v>2</v>
      </c>
      <c r="N985">
        <v>21331</v>
      </c>
      <c r="O985">
        <v>928</v>
      </c>
      <c r="P985" t="s">
        <v>3212</v>
      </c>
      <c r="Q985">
        <v>0</v>
      </c>
      <c r="R985">
        <v>0</v>
      </c>
      <c r="S985">
        <v>0</v>
      </c>
      <c r="T985">
        <v>0</v>
      </c>
      <c r="U985">
        <v>1599809.2013699999</v>
      </c>
      <c r="V985">
        <v>7647.0325819999998</v>
      </c>
      <c r="W985">
        <v>984</v>
      </c>
      <c r="X985">
        <v>0</v>
      </c>
      <c r="Y985">
        <v>983</v>
      </c>
      <c r="Z985" t="s">
        <v>6966</v>
      </c>
      <c r="AA985" t="s">
        <v>6966</v>
      </c>
      <c r="AB985" t="s">
        <v>6966</v>
      </c>
      <c r="AC985" t="s">
        <v>6966</v>
      </c>
      <c r="AD985" t="s">
        <v>6966</v>
      </c>
      <c r="AE985" t="s">
        <v>6966</v>
      </c>
      <c r="AF985" t="s">
        <v>6966</v>
      </c>
      <c r="AG985" t="s">
        <v>6966</v>
      </c>
      <c r="AH985" t="s">
        <v>6966</v>
      </c>
      <c r="AI985" t="s">
        <v>6966</v>
      </c>
      <c r="AJ985" t="s">
        <v>6966</v>
      </c>
      <c r="AK985" t="s">
        <v>6966</v>
      </c>
      <c r="AL985" t="s">
        <v>6966</v>
      </c>
      <c r="AM985" t="s">
        <v>6966</v>
      </c>
      <c r="AN985" t="s">
        <v>6966</v>
      </c>
      <c r="AO985" t="s">
        <v>6966</v>
      </c>
      <c r="AP985" t="s">
        <v>6966</v>
      </c>
      <c r="AQ985" t="s">
        <v>6966</v>
      </c>
      <c r="AR985" t="s">
        <v>6966</v>
      </c>
      <c r="AS985" t="s">
        <v>6966</v>
      </c>
      <c r="AT985" t="s">
        <v>6966</v>
      </c>
      <c r="AU985" t="s">
        <v>6966</v>
      </c>
      <c r="AV985" t="s">
        <v>6966</v>
      </c>
      <c r="AW985" t="s">
        <v>6966</v>
      </c>
      <c r="AX985" t="s">
        <v>6966</v>
      </c>
      <c r="AY985" t="s">
        <v>6966</v>
      </c>
      <c r="AZ985">
        <v>7.7465999999999993E-2</v>
      </c>
      <c r="BA985">
        <v>1.56E-4</v>
      </c>
    </row>
    <row r="986" spans="1:53" x14ac:dyDescent="0.25">
      <c r="A986">
        <v>984</v>
      </c>
      <c r="B986" t="s">
        <v>7625</v>
      </c>
      <c r="C986">
        <v>502015</v>
      </c>
      <c r="D986" t="s">
        <v>7939</v>
      </c>
      <c r="E986" t="s">
        <v>36</v>
      </c>
      <c r="F986">
        <v>4851347</v>
      </c>
      <c r="G986">
        <v>12503.698242</v>
      </c>
      <c r="H986">
        <v>951</v>
      </c>
      <c r="I986">
        <v>1157</v>
      </c>
      <c r="J986">
        <v>21426</v>
      </c>
      <c r="K986" t="s">
        <v>1615</v>
      </c>
      <c r="L986">
        <v>2</v>
      </c>
      <c r="M986">
        <v>2</v>
      </c>
      <c r="N986">
        <v>21426</v>
      </c>
      <c r="O986">
        <v>929</v>
      </c>
      <c r="P986" t="s">
        <v>3212</v>
      </c>
      <c r="Q986">
        <v>2.6</v>
      </c>
      <c r="R986">
        <v>22.33</v>
      </c>
      <c r="S986">
        <v>1.45</v>
      </c>
      <c r="T986">
        <v>13</v>
      </c>
      <c r="U986">
        <v>4851346.8357699998</v>
      </c>
      <c r="V986">
        <v>12503.698403</v>
      </c>
      <c r="W986">
        <v>985</v>
      </c>
      <c r="X986">
        <v>0</v>
      </c>
      <c r="Y986">
        <v>984</v>
      </c>
      <c r="Z986" t="s">
        <v>6966</v>
      </c>
      <c r="AA986" t="s">
        <v>6966</v>
      </c>
      <c r="AB986" t="s">
        <v>6966</v>
      </c>
      <c r="AC986" t="s">
        <v>6966</v>
      </c>
      <c r="AD986" t="s">
        <v>6966</v>
      </c>
      <c r="AE986" t="s">
        <v>6966</v>
      </c>
      <c r="AF986" t="s">
        <v>6966</v>
      </c>
      <c r="AG986" t="s">
        <v>6966</v>
      </c>
      <c r="AH986" t="s">
        <v>6966</v>
      </c>
      <c r="AI986" t="s">
        <v>6966</v>
      </c>
      <c r="AJ986" t="s">
        <v>6966</v>
      </c>
      <c r="AK986" t="s">
        <v>6966</v>
      </c>
      <c r="AL986" t="s">
        <v>6966</v>
      </c>
      <c r="AM986" t="s">
        <v>6966</v>
      </c>
      <c r="AN986" t="s">
        <v>6966</v>
      </c>
      <c r="AO986" t="s">
        <v>6966</v>
      </c>
      <c r="AP986" t="s">
        <v>6966</v>
      </c>
      <c r="AQ986" t="s">
        <v>6966</v>
      </c>
      <c r="AR986" t="s">
        <v>6966</v>
      </c>
      <c r="AS986" t="s">
        <v>6966</v>
      </c>
      <c r="AT986" t="s">
        <v>6966</v>
      </c>
      <c r="AU986" t="s">
        <v>6966</v>
      </c>
      <c r="AV986" t="s">
        <v>6966</v>
      </c>
      <c r="AW986" t="s">
        <v>6966</v>
      </c>
      <c r="AX986" t="s">
        <v>6966</v>
      </c>
      <c r="AY986" t="s">
        <v>6966</v>
      </c>
      <c r="AZ986">
        <v>0.12657199999999999</v>
      </c>
      <c r="BA986">
        <v>4.7199999999999998E-4</v>
      </c>
    </row>
    <row r="987" spans="1:53" x14ac:dyDescent="0.25">
      <c r="A987">
        <v>985</v>
      </c>
      <c r="B987" t="s">
        <v>7625</v>
      </c>
      <c r="C987">
        <v>502040</v>
      </c>
      <c r="D987" t="s">
        <v>39</v>
      </c>
      <c r="E987" t="s">
        <v>36</v>
      </c>
      <c r="F987">
        <v>230486.921875</v>
      </c>
      <c r="G987">
        <v>3125.7763669999999</v>
      </c>
      <c r="H987">
        <v>952</v>
      </c>
      <c r="I987">
        <v>1159</v>
      </c>
      <c r="J987">
        <v>21235</v>
      </c>
      <c r="K987" t="s">
        <v>1584</v>
      </c>
      <c r="L987">
        <v>2</v>
      </c>
      <c r="M987">
        <v>2</v>
      </c>
      <c r="N987">
        <v>21235</v>
      </c>
      <c r="O987">
        <v>930</v>
      </c>
      <c r="P987" t="s">
        <v>3212</v>
      </c>
      <c r="Q987">
        <v>14.2</v>
      </c>
      <c r="R987">
        <v>114.39</v>
      </c>
      <c r="S987">
        <v>3.69</v>
      </c>
      <c r="T987">
        <v>30</v>
      </c>
      <c r="U987">
        <v>230486.89821000001</v>
      </c>
      <c r="V987">
        <v>3125.77646</v>
      </c>
      <c r="W987">
        <v>986</v>
      </c>
      <c r="X987">
        <v>0</v>
      </c>
      <c r="Y987">
        <v>985</v>
      </c>
      <c r="Z987" t="s">
        <v>6966</v>
      </c>
      <c r="AA987" t="s">
        <v>6966</v>
      </c>
      <c r="AB987" t="s">
        <v>6966</v>
      </c>
      <c r="AC987" t="s">
        <v>6966</v>
      </c>
      <c r="AD987" t="s">
        <v>6966</v>
      </c>
      <c r="AE987" t="s">
        <v>6966</v>
      </c>
      <c r="AF987" t="s">
        <v>6966</v>
      </c>
      <c r="AG987" t="s">
        <v>6966</v>
      </c>
      <c r="AH987" t="s">
        <v>6966</v>
      </c>
      <c r="AI987" t="s">
        <v>6966</v>
      </c>
      <c r="AJ987" t="s">
        <v>6966</v>
      </c>
      <c r="AK987" t="s">
        <v>6966</v>
      </c>
      <c r="AL987" t="s">
        <v>6966</v>
      </c>
      <c r="AM987" t="s">
        <v>6966</v>
      </c>
      <c r="AN987" t="s">
        <v>6966</v>
      </c>
      <c r="AO987" t="s">
        <v>6966</v>
      </c>
      <c r="AP987" t="s">
        <v>6966</v>
      </c>
      <c r="AQ987" t="s">
        <v>6966</v>
      </c>
      <c r="AR987" t="s">
        <v>6966</v>
      </c>
      <c r="AS987" t="s">
        <v>6966</v>
      </c>
      <c r="AT987" t="s">
        <v>6966</v>
      </c>
      <c r="AU987" t="s">
        <v>6966</v>
      </c>
      <c r="AV987" t="s">
        <v>6966</v>
      </c>
      <c r="AW987" t="s">
        <v>6966</v>
      </c>
      <c r="AX987" t="s">
        <v>6966</v>
      </c>
      <c r="AY987" t="s">
        <v>6966</v>
      </c>
      <c r="AZ987">
        <v>3.2326000000000001E-2</v>
      </c>
      <c r="BA987">
        <v>2.1999999999999999E-5</v>
      </c>
    </row>
    <row r="988" spans="1:53" x14ac:dyDescent="0.25">
      <c r="A988">
        <v>986</v>
      </c>
      <c r="B988" t="s">
        <v>7625</v>
      </c>
      <c r="C988">
        <v>403023</v>
      </c>
      <c r="D988" t="s">
        <v>987</v>
      </c>
      <c r="E988" t="s">
        <v>3045</v>
      </c>
      <c r="F988">
        <v>221305.140625</v>
      </c>
      <c r="G988">
        <v>2055.655518</v>
      </c>
      <c r="H988">
        <v>953</v>
      </c>
      <c r="I988">
        <v>1160</v>
      </c>
      <c r="J988">
        <v>51184</v>
      </c>
      <c r="K988" t="s">
        <v>987</v>
      </c>
      <c r="L988">
        <v>15</v>
      </c>
      <c r="M988">
        <v>15</v>
      </c>
      <c r="N988">
        <v>51184</v>
      </c>
      <c r="O988">
        <v>931</v>
      </c>
      <c r="P988" t="s">
        <v>3214</v>
      </c>
      <c r="Q988">
        <v>45.4</v>
      </c>
      <c r="R988">
        <v>1324.06</v>
      </c>
      <c r="S988">
        <v>11.49</v>
      </c>
      <c r="T988">
        <v>335</v>
      </c>
      <c r="U988">
        <v>221305.108687</v>
      </c>
      <c r="V988">
        <v>2055.655503</v>
      </c>
      <c r="W988">
        <v>987</v>
      </c>
      <c r="X988">
        <v>0</v>
      </c>
      <c r="Y988">
        <v>986</v>
      </c>
      <c r="Z988" t="s">
        <v>6966</v>
      </c>
      <c r="AA988" t="s">
        <v>6966</v>
      </c>
      <c r="AB988" t="s">
        <v>6966</v>
      </c>
      <c r="AC988" t="s">
        <v>6966</v>
      </c>
      <c r="AD988" t="s">
        <v>6966</v>
      </c>
      <c r="AE988" t="s">
        <v>6966</v>
      </c>
      <c r="AF988" t="s">
        <v>6966</v>
      </c>
      <c r="AG988" t="s">
        <v>6966</v>
      </c>
      <c r="AH988" t="s">
        <v>6966</v>
      </c>
      <c r="AI988" t="s">
        <v>6966</v>
      </c>
      <c r="AJ988" t="s">
        <v>6966</v>
      </c>
      <c r="AK988" t="s">
        <v>6966</v>
      </c>
      <c r="AL988" t="s">
        <v>6966</v>
      </c>
      <c r="AM988" t="s">
        <v>6966</v>
      </c>
      <c r="AN988" t="s">
        <v>6966</v>
      </c>
      <c r="AO988" t="s">
        <v>6966</v>
      </c>
      <c r="AP988" t="s">
        <v>6966</v>
      </c>
      <c r="AQ988" t="s">
        <v>6966</v>
      </c>
      <c r="AR988" t="s">
        <v>6966</v>
      </c>
      <c r="AS988" t="s">
        <v>6966</v>
      </c>
      <c r="AT988" t="s">
        <v>6966</v>
      </c>
      <c r="AU988" t="s">
        <v>6966</v>
      </c>
      <c r="AV988" t="s">
        <v>6966</v>
      </c>
      <c r="AW988" t="s">
        <v>6966</v>
      </c>
      <c r="AX988" t="s">
        <v>6966</v>
      </c>
      <c r="AY988" t="s">
        <v>6966</v>
      </c>
      <c r="AZ988">
        <v>2.0368000000000001E-2</v>
      </c>
      <c r="BA988">
        <v>2.1999999999999999E-5</v>
      </c>
    </row>
    <row r="989" spans="1:53" x14ac:dyDescent="0.25">
      <c r="A989">
        <v>987</v>
      </c>
      <c r="B989" t="s">
        <v>7625</v>
      </c>
      <c r="C989">
        <v>201023</v>
      </c>
      <c r="D989" t="s">
        <v>1563</v>
      </c>
      <c r="E989" t="s">
        <v>1069</v>
      </c>
      <c r="F989">
        <v>1081106.125</v>
      </c>
      <c r="G989">
        <v>8036.234375</v>
      </c>
      <c r="H989">
        <v>954</v>
      </c>
      <c r="I989">
        <v>1161</v>
      </c>
      <c r="J989">
        <v>0</v>
      </c>
      <c r="K989" t="s">
        <v>1563</v>
      </c>
      <c r="L989">
        <v>17</v>
      </c>
      <c r="M989">
        <v>17</v>
      </c>
      <c r="N989">
        <v>0</v>
      </c>
      <c r="O989">
        <v>1638</v>
      </c>
      <c r="P989" t="s">
        <v>3214</v>
      </c>
      <c r="Q989">
        <v>0</v>
      </c>
      <c r="R989">
        <v>0</v>
      </c>
      <c r="S989">
        <v>0</v>
      </c>
      <c r="T989">
        <v>0</v>
      </c>
      <c r="U989">
        <v>1081106.05898</v>
      </c>
      <c r="V989">
        <v>8036.2339549999997</v>
      </c>
      <c r="W989">
        <v>988</v>
      </c>
      <c r="X989">
        <v>0</v>
      </c>
      <c r="Y989">
        <v>987</v>
      </c>
      <c r="Z989" t="s">
        <v>6966</v>
      </c>
      <c r="AA989" t="s">
        <v>6966</v>
      </c>
      <c r="AB989" t="s">
        <v>6966</v>
      </c>
      <c r="AC989" t="s">
        <v>6966</v>
      </c>
      <c r="AD989" t="s">
        <v>6966</v>
      </c>
      <c r="AE989" t="s">
        <v>6966</v>
      </c>
      <c r="AF989" t="s">
        <v>6966</v>
      </c>
      <c r="AG989" t="s">
        <v>6966</v>
      </c>
      <c r="AH989" t="s">
        <v>6966</v>
      </c>
      <c r="AI989" t="s">
        <v>6966</v>
      </c>
      <c r="AJ989" t="s">
        <v>6966</v>
      </c>
      <c r="AK989" t="s">
        <v>6966</v>
      </c>
      <c r="AL989" t="s">
        <v>6966</v>
      </c>
      <c r="AM989" t="s">
        <v>6966</v>
      </c>
      <c r="AN989" t="s">
        <v>6966</v>
      </c>
      <c r="AO989" t="s">
        <v>6966</v>
      </c>
      <c r="AP989" t="s">
        <v>6966</v>
      </c>
      <c r="AQ989" t="s">
        <v>6966</v>
      </c>
      <c r="AR989" t="s">
        <v>6966</v>
      </c>
      <c r="AS989" t="s">
        <v>6966</v>
      </c>
      <c r="AT989" t="s">
        <v>6966</v>
      </c>
      <c r="AU989" t="s">
        <v>6966</v>
      </c>
      <c r="AV989" t="s">
        <v>6966</v>
      </c>
      <c r="AW989" t="s">
        <v>6966</v>
      </c>
      <c r="AX989" t="s">
        <v>6966</v>
      </c>
      <c r="AY989" t="s">
        <v>6966</v>
      </c>
      <c r="AZ989">
        <v>8.1581000000000001E-2</v>
      </c>
      <c r="BA989">
        <v>1.05E-4</v>
      </c>
    </row>
    <row r="990" spans="1:53" x14ac:dyDescent="0.25">
      <c r="A990">
        <v>988</v>
      </c>
      <c r="B990" t="s">
        <v>7625</v>
      </c>
      <c r="C990">
        <v>501010</v>
      </c>
      <c r="D990" t="s">
        <v>302</v>
      </c>
      <c r="E990" t="s">
        <v>1808</v>
      </c>
      <c r="F990">
        <v>8533657</v>
      </c>
      <c r="G990">
        <v>18640.175781000002</v>
      </c>
      <c r="H990">
        <v>955</v>
      </c>
      <c r="I990">
        <v>1162</v>
      </c>
      <c r="J990">
        <v>24311</v>
      </c>
      <c r="K990" t="s">
        <v>1808</v>
      </c>
      <c r="L990">
        <v>5</v>
      </c>
      <c r="M990">
        <v>5</v>
      </c>
      <c r="N990">
        <v>24311</v>
      </c>
      <c r="O990">
        <v>932</v>
      </c>
      <c r="P990" t="s">
        <v>3212</v>
      </c>
      <c r="Q990">
        <v>19.5</v>
      </c>
      <c r="R990">
        <v>40.24</v>
      </c>
      <c r="S990">
        <v>8.57</v>
      </c>
      <c r="T990">
        <v>18</v>
      </c>
      <c r="U990">
        <v>8533657.2182500008</v>
      </c>
      <c r="V990">
        <v>18640.175189000001</v>
      </c>
      <c r="W990">
        <v>989</v>
      </c>
      <c r="X990">
        <v>0</v>
      </c>
      <c r="Y990">
        <v>988</v>
      </c>
      <c r="Z990" t="s">
        <v>6966</v>
      </c>
      <c r="AA990" t="s">
        <v>6966</v>
      </c>
      <c r="AB990" t="s">
        <v>6966</v>
      </c>
      <c r="AC990" t="s">
        <v>6966</v>
      </c>
      <c r="AD990" t="s">
        <v>6966</v>
      </c>
      <c r="AE990" t="s">
        <v>6966</v>
      </c>
      <c r="AF990" t="s">
        <v>6966</v>
      </c>
      <c r="AG990" t="s">
        <v>6966</v>
      </c>
      <c r="AH990" t="s">
        <v>6966</v>
      </c>
      <c r="AI990" t="s">
        <v>6966</v>
      </c>
      <c r="AJ990" t="s">
        <v>6966</v>
      </c>
      <c r="AK990" t="s">
        <v>6966</v>
      </c>
      <c r="AL990" t="s">
        <v>6966</v>
      </c>
      <c r="AM990" t="s">
        <v>6966</v>
      </c>
      <c r="AN990" t="s">
        <v>6966</v>
      </c>
      <c r="AO990" t="s">
        <v>6966</v>
      </c>
      <c r="AP990" t="s">
        <v>6966</v>
      </c>
      <c r="AQ990" t="s">
        <v>6966</v>
      </c>
      <c r="AR990" t="s">
        <v>6966</v>
      </c>
      <c r="AS990" t="s">
        <v>6966</v>
      </c>
      <c r="AT990" t="s">
        <v>6966</v>
      </c>
      <c r="AU990" t="s">
        <v>6966</v>
      </c>
      <c r="AV990" t="s">
        <v>6966</v>
      </c>
      <c r="AW990" t="s">
        <v>6966</v>
      </c>
      <c r="AX990" t="s">
        <v>6966</v>
      </c>
      <c r="AY990" t="s">
        <v>6966</v>
      </c>
      <c r="AZ990">
        <v>0.18754299999999999</v>
      </c>
      <c r="BA990">
        <v>8.3100000000000003E-4</v>
      </c>
    </row>
    <row r="991" spans="1:53" x14ac:dyDescent="0.25">
      <c r="A991">
        <v>989</v>
      </c>
      <c r="B991" t="s">
        <v>7625</v>
      </c>
      <c r="C991">
        <v>502033</v>
      </c>
      <c r="D991" t="s">
        <v>41</v>
      </c>
      <c r="E991" t="s">
        <v>36</v>
      </c>
      <c r="F991">
        <v>2830797.5</v>
      </c>
      <c r="G991">
        <v>9201.1494139999995</v>
      </c>
      <c r="H991">
        <v>956</v>
      </c>
      <c r="I991">
        <v>1163</v>
      </c>
      <c r="J991">
        <v>21251</v>
      </c>
      <c r="K991" t="s">
        <v>1586</v>
      </c>
      <c r="L991">
        <v>2</v>
      </c>
      <c r="M991">
        <v>2</v>
      </c>
      <c r="N991">
        <v>21251</v>
      </c>
      <c r="O991">
        <v>933</v>
      </c>
      <c r="P991" t="s">
        <v>3212</v>
      </c>
      <c r="Q991">
        <v>23.1</v>
      </c>
      <c r="R991">
        <v>88.14</v>
      </c>
      <c r="S991">
        <v>5.44</v>
      </c>
      <c r="T991">
        <v>21</v>
      </c>
      <c r="U991">
        <v>2830797.5532499999</v>
      </c>
      <c r="V991">
        <v>9201.1505980000002</v>
      </c>
      <c r="W991">
        <v>990</v>
      </c>
      <c r="X991">
        <v>0</v>
      </c>
      <c r="Y991">
        <v>989</v>
      </c>
      <c r="Z991" t="s">
        <v>6966</v>
      </c>
      <c r="AA991" t="s">
        <v>6966</v>
      </c>
      <c r="AB991" t="s">
        <v>6966</v>
      </c>
      <c r="AC991" t="s">
        <v>6966</v>
      </c>
      <c r="AD991" t="s">
        <v>6966</v>
      </c>
      <c r="AE991" t="s">
        <v>6966</v>
      </c>
      <c r="AF991" t="s">
        <v>6966</v>
      </c>
      <c r="AG991" t="s">
        <v>6966</v>
      </c>
      <c r="AH991" t="s">
        <v>6966</v>
      </c>
      <c r="AI991" t="s">
        <v>6966</v>
      </c>
      <c r="AJ991" t="s">
        <v>6966</v>
      </c>
      <c r="AK991" t="s">
        <v>6966</v>
      </c>
      <c r="AL991" t="s">
        <v>6966</v>
      </c>
      <c r="AM991" t="s">
        <v>6966</v>
      </c>
      <c r="AN991" t="s">
        <v>6966</v>
      </c>
      <c r="AO991" t="s">
        <v>6966</v>
      </c>
      <c r="AP991" t="s">
        <v>6966</v>
      </c>
      <c r="AQ991" t="s">
        <v>6966</v>
      </c>
      <c r="AR991" t="s">
        <v>6966</v>
      </c>
      <c r="AS991" t="s">
        <v>6966</v>
      </c>
      <c r="AT991" t="s">
        <v>6966</v>
      </c>
      <c r="AU991" t="s">
        <v>6966</v>
      </c>
      <c r="AV991" t="s">
        <v>6966</v>
      </c>
      <c r="AW991" t="s">
        <v>6966</v>
      </c>
      <c r="AX991" t="s">
        <v>6966</v>
      </c>
      <c r="AY991" t="s">
        <v>6966</v>
      </c>
      <c r="AZ991">
        <v>9.1179999999999997E-2</v>
      </c>
      <c r="BA991">
        <v>2.7599999999999999E-4</v>
      </c>
    </row>
    <row r="992" spans="1:53" x14ac:dyDescent="0.25">
      <c r="A992">
        <v>990</v>
      </c>
      <c r="B992" t="s">
        <v>7625</v>
      </c>
      <c r="C992">
        <v>403043</v>
      </c>
      <c r="D992" t="s">
        <v>993</v>
      </c>
      <c r="E992" t="s">
        <v>3045</v>
      </c>
      <c r="F992">
        <v>5039838</v>
      </c>
      <c r="G992">
        <v>10850.852539</v>
      </c>
      <c r="H992">
        <v>957</v>
      </c>
      <c r="I992">
        <v>1164</v>
      </c>
      <c r="J992">
        <v>51221</v>
      </c>
      <c r="K992" t="s">
        <v>2346</v>
      </c>
      <c r="L992">
        <v>15</v>
      </c>
      <c r="M992">
        <v>15</v>
      </c>
      <c r="N992">
        <v>51221</v>
      </c>
      <c r="O992">
        <v>934</v>
      </c>
      <c r="P992" t="s">
        <v>3214</v>
      </c>
      <c r="Q992">
        <v>26.5</v>
      </c>
      <c r="R992">
        <v>112.46</v>
      </c>
      <c r="S992">
        <v>6.03</v>
      </c>
      <c r="T992">
        <v>26</v>
      </c>
      <c r="U992">
        <v>5039838.0724900002</v>
      </c>
      <c r="V992">
        <v>10850.852440000001</v>
      </c>
      <c r="W992">
        <v>991</v>
      </c>
      <c r="X992">
        <v>1</v>
      </c>
      <c r="Y992">
        <v>990</v>
      </c>
      <c r="Z992">
        <v>66124</v>
      </c>
      <c r="AA992" s="76">
        <v>45817</v>
      </c>
      <c r="AB992">
        <v>2025</v>
      </c>
      <c r="AC992" t="s">
        <v>7298</v>
      </c>
      <c r="AD992">
        <v>9</v>
      </c>
      <c r="AE992" t="s">
        <v>7359</v>
      </c>
      <c r="AF992" t="s">
        <v>3214</v>
      </c>
      <c r="AG992" t="s">
        <v>3045</v>
      </c>
      <c r="AH992" t="s">
        <v>993</v>
      </c>
      <c r="AI992" t="s">
        <v>7360</v>
      </c>
      <c r="AJ992" t="s">
        <v>6966</v>
      </c>
      <c r="AK992">
        <v>33.816310000000001</v>
      </c>
      <c r="AL992">
        <v>35.862909999999999</v>
      </c>
      <c r="AM992" t="s">
        <v>7059</v>
      </c>
      <c r="AN992" t="s">
        <v>6966</v>
      </c>
      <c r="AO992" t="s">
        <v>7103</v>
      </c>
      <c r="AP992" t="s">
        <v>7361</v>
      </c>
      <c r="AQ992" t="s">
        <v>6998</v>
      </c>
      <c r="AR992" t="s">
        <v>6999</v>
      </c>
      <c r="AS992" t="s">
        <v>7000</v>
      </c>
      <c r="AT992">
        <v>0</v>
      </c>
      <c r="AU992">
        <v>0</v>
      </c>
      <c r="AV992" t="s">
        <v>7362</v>
      </c>
      <c r="AW992" t="s">
        <v>7041</v>
      </c>
      <c r="AX992" t="s">
        <v>6966</v>
      </c>
      <c r="AY992" t="s">
        <v>7003</v>
      </c>
      <c r="AZ992">
        <v>0.10466200000000001</v>
      </c>
      <c r="BA992">
        <v>4.9100000000000001E-4</v>
      </c>
    </row>
    <row r="993" spans="1:53" x14ac:dyDescent="0.25">
      <c r="A993">
        <v>991</v>
      </c>
      <c r="B993" t="s">
        <v>7625</v>
      </c>
      <c r="C993">
        <v>502007</v>
      </c>
      <c r="D993" t="s">
        <v>46</v>
      </c>
      <c r="E993" t="s">
        <v>36</v>
      </c>
      <c r="F993">
        <v>2357891</v>
      </c>
      <c r="G993">
        <v>8578.6523440000001</v>
      </c>
      <c r="H993">
        <v>958</v>
      </c>
      <c r="I993">
        <v>1165</v>
      </c>
      <c r="J993">
        <v>21311</v>
      </c>
      <c r="K993" t="s">
        <v>1591</v>
      </c>
      <c r="L993">
        <v>2</v>
      </c>
      <c r="M993">
        <v>2</v>
      </c>
      <c r="N993">
        <v>21311</v>
      </c>
      <c r="O993">
        <v>935</v>
      </c>
      <c r="P993" t="s">
        <v>3212</v>
      </c>
      <c r="Q993">
        <v>10.1</v>
      </c>
      <c r="R993">
        <v>31.8</v>
      </c>
      <c r="S993">
        <v>4.38</v>
      </c>
      <c r="T993">
        <v>14</v>
      </c>
      <c r="U993">
        <v>2357891.0455299998</v>
      </c>
      <c r="V993">
        <v>8578.6531230000001</v>
      </c>
      <c r="W993">
        <v>992</v>
      </c>
      <c r="X993">
        <v>0</v>
      </c>
      <c r="Y993">
        <v>991</v>
      </c>
      <c r="Z993" t="s">
        <v>6966</v>
      </c>
      <c r="AA993" t="s">
        <v>6966</v>
      </c>
      <c r="AB993" t="s">
        <v>6966</v>
      </c>
      <c r="AC993" t="s">
        <v>6966</v>
      </c>
      <c r="AD993" t="s">
        <v>6966</v>
      </c>
      <c r="AE993" t="s">
        <v>6966</v>
      </c>
      <c r="AF993" t="s">
        <v>6966</v>
      </c>
      <c r="AG993" t="s">
        <v>6966</v>
      </c>
      <c r="AH993" t="s">
        <v>6966</v>
      </c>
      <c r="AI993" t="s">
        <v>6966</v>
      </c>
      <c r="AJ993" t="s">
        <v>6966</v>
      </c>
      <c r="AK993" t="s">
        <v>6966</v>
      </c>
      <c r="AL993" t="s">
        <v>6966</v>
      </c>
      <c r="AM993" t="s">
        <v>6966</v>
      </c>
      <c r="AN993" t="s">
        <v>6966</v>
      </c>
      <c r="AO993" t="s">
        <v>6966</v>
      </c>
      <c r="AP993" t="s">
        <v>6966</v>
      </c>
      <c r="AQ993" t="s">
        <v>6966</v>
      </c>
      <c r="AR993" t="s">
        <v>6966</v>
      </c>
      <c r="AS993" t="s">
        <v>6966</v>
      </c>
      <c r="AT993" t="s">
        <v>6966</v>
      </c>
      <c r="AU993" t="s">
        <v>6966</v>
      </c>
      <c r="AV993" t="s">
        <v>6966</v>
      </c>
      <c r="AW993" t="s">
        <v>6966</v>
      </c>
      <c r="AX993" t="s">
        <v>6966</v>
      </c>
      <c r="AY993" t="s">
        <v>6966</v>
      </c>
      <c r="AZ993">
        <v>8.6776000000000006E-2</v>
      </c>
      <c r="BA993">
        <v>2.3000000000000001E-4</v>
      </c>
    </row>
    <row r="994" spans="1:53" x14ac:dyDescent="0.25">
      <c r="A994">
        <v>992</v>
      </c>
      <c r="B994" t="s">
        <v>7625</v>
      </c>
      <c r="C994">
        <v>502042</v>
      </c>
      <c r="D994" t="s">
        <v>43</v>
      </c>
      <c r="E994" t="s">
        <v>36</v>
      </c>
      <c r="F994">
        <v>679022.5625</v>
      </c>
      <c r="G994">
        <v>7103.892578</v>
      </c>
      <c r="H994">
        <v>959</v>
      </c>
      <c r="I994">
        <v>1166</v>
      </c>
      <c r="J994">
        <v>21267</v>
      </c>
      <c r="K994" t="s">
        <v>1588</v>
      </c>
      <c r="L994">
        <v>2</v>
      </c>
      <c r="M994">
        <v>2</v>
      </c>
      <c r="N994">
        <v>21267</v>
      </c>
      <c r="O994">
        <v>936</v>
      </c>
      <c r="P994" t="s">
        <v>3212</v>
      </c>
      <c r="Q994">
        <v>33.200000000000003</v>
      </c>
      <c r="R994">
        <v>65.36</v>
      </c>
      <c r="S994">
        <v>10.61</v>
      </c>
      <c r="T994">
        <v>21</v>
      </c>
      <c r="U994">
        <v>679022.55914999999</v>
      </c>
      <c r="V994">
        <v>7103.8924269999998</v>
      </c>
      <c r="W994">
        <v>993</v>
      </c>
      <c r="X994">
        <v>0</v>
      </c>
      <c r="Y994">
        <v>992</v>
      </c>
      <c r="Z994" t="s">
        <v>6966</v>
      </c>
      <c r="AA994" t="s">
        <v>6966</v>
      </c>
      <c r="AB994" t="s">
        <v>6966</v>
      </c>
      <c r="AC994" t="s">
        <v>6966</v>
      </c>
      <c r="AD994" t="s">
        <v>6966</v>
      </c>
      <c r="AE994" t="s">
        <v>6966</v>
      </c>
      <c r="AF994" t="s">
        <v>6966</v>
      </c>
      <c r="AG994" t="s">
        <v>6966</v>
      </c>
      <c r="AH994" t="s">
        <v>6966</v>
      </c>
      <c r="AI994" t="s">
        <v>6966</v>
      </c>
      <c r="AJ994" t="s">
        <v>6966</v>
      </c>
      <c r="AK994" t="s">
        <v>6966</v>
      </c>
      <c r="AL994" t="s">
        <v>6966</v>
      </c>
      <c r="AM994" t="s">
        <v>6966</v>
      </c>
      <c r="AN994" t="s">
        <v>6966</v>
      </c>
      <c r="AO994" t="s">
        <v>6966</v>
      </c>
      <c r="AP994" t="s">
        <v>6966</v>
      </c>
      <c r="AQ994" t="s">
        <v>6966</v>
      </c>
      <c r="AR994" t="s">
        <v>6966</v>
      </c>
      <c r="AS994" t="s">
        <v>6966</v>
      </c>
      <c r="AT994" t="s">
        <v>6966</v>
      </c>
      <c r="AU994" t="s">
        <v>6966</v>
      </c>
      <c r="AV994" t="s">
        <v>6966</v>
      </c>
      <c r="AW994" t="s">
        <v>6966</v>
      </c>
      <c r="AX994" t="s">
        <v>6966</v>
      </c>
      <c r="AY994" t="s">
        <v>6966</v>
      </c>
      <c r="AZ994">
        <v>7.1018999999999999E-2</v>
      </c>
      <c r="BA994">
        <v>6.6000000000000005E-5</v>
      </c>
    </row>
    <row r="995" spans="1:53" x14ac:dyDescent="0.25">
      <c r="A995">
        <v>993</v>
      </c>
      <c r="B995" t="s">
        <v>7625</v>
      </c>
      <c r="C995">
        <v>501032</v>
      </c>
      <c r="D995" t="s">
        <v>301</v>
      </c>
      <c r="E995" t="s">
        <v>1808</v>
      </c>
      <c r="F995">
        <v>2456593</v>
      </c>
      <c r="G995">
        <v>8421.6396480000003</v>
      </c>
      <c r="H995">
        <v>960</v>
      </c>
      <c r="I995">
        <v>1167</v>
      </c>
      <c r="J995">
        <v>24291</v>
      </c>
      <c r="K995" t="s">
        <v>301</v>
      </c>
      <c r="L995">
        <v>5</v>
      </c>
      <c r="M995">
        <v>5</v>
      </c>
      <c r="N995">
        <v>24291</v>
      </c>
      <c r="O995">
        <v>937</v>
      </c>
      <c r="P995" t="s">
        <v>3212</v>
      </c>
      <c r="Q995">
        <v>4.7</v>
      </c>
      <c r="R995">
        <v>46.93</v>
      </c>
      <c r="S995">
        <v>1.79</v>
      </c>
      <c r="T995">
        <v>18</v>
      </c>
      <c r="U995">
        <v>2456593.0122699998</v>
      </c>
      <c r="V995">
        <v>8421.6398919999992</v>
      </c>
      <c r="W995">
        <v>994</v>
      </c>
      <c r="X995">
        <v>0</v>
      </c>
      <c r="Y995">
        <v>993</v>
      </c>
      <c r="Z995" t="s">
        <v>6966</v>
      </c>
      <c r="AA995" t="s">
        <v>6966</v>
      </c>
      <c r="AB995" t="s">
        <v>6966</v>
      </c>
      <c r="AC995" t="s">
        <v>6966</v>
      </c>
      <c r="AD995" t="s">
        <v>6966</v>
      </c>
      <c r="AE995" t="s">
        <v>6966</v>
      </c>
      <c r="AF995" t="s">
        <v>6966</v>
      </c>
      <c r="AG995" t="s">
        <v>6966</v>
      </c>
      <c r="AH995" t="s">
        <v>6966</v>
      </c>
      <c r="AI995" t="s">
        <v>6966</v>
      </c>
      <c r="AJ995" t="s">
        <v>6966</v>
      </c>
      <c r="AK995" t="s">
        <v>6966</v>
      </c>
      <c r="AL995" t="s">
        <v>6966</v>
      </c>
      <c r="AM995" t="s">
        <v>6966</v>
      </c>
      <c r="AN995" t="s">
        <v>6966</v>
      </c>
      <c r="AO995" t="s">
        <v>6966</v>
      </c>
      <c r="AP995" t="s">
        <v>6966</v>
      </c>
      <c r="AQ995" t="s">
        <v>6966</v>
      </c>
      <c r="AR995" t="s">
        <v>6966</v>
      </c>
      <c r="AS995" t="s">
        <v>6966</v>
      </c>
      <c r="AT995" t="s">
        <v>6966</v>
      </c>
      <c r="AU995" t="s">
        <v>6966</v>
      </c>
      <c r="AV995" t="s">
        <v>6966</v>
      </c>
      <c r="AW995" t="s">
        <v>6966</v>
      </c>
      <c r="AX995" t="s">
        <v>6966</v>
      </c>
      <c r="AY995" t="s">
        <v>6966</v>
      </c>
      <c r="AZ995">
        <v>8.3667000000000005E-2</v>
      </c>
      <c r="BA995">
        <v>2.3900000000000001E-4</v>
      </c>
    </row>
    <row r="996" spans="1:53" x14ac:dyDescent="0.25">
      <c r="A996">
        <v>994</v>
      </c>
      <c r="B996" t="s">
        <v>7625</v>
      </c>
      <c r="C996">
        <v>403006</v>
      </c>
      <c r="D996" t="s">
        <v>1000</v>
      </c>
      <c r="E996" t="s">
        <v>3045</v>
      </c>
      <c r="F996">
        <v>3468596</v>
      </c>
      <c r="G996">
        <v>9541.3183590000008</v>
      </c>
      <c r="H996">
        <v>961</v>
      </c>
      <c r="I996">
        <v>1168</v>
      </c>
      <c r="J996">
        <v>51244</v>
      </c>
      <c r="K996" t="s">
        <v>2353</v>
      </c>
      <c r="L996">
        <v>15</v>
      </c>
      <c r="M996">
        <v>15</v>
      </c>
      <c r="N996">
        <v>51244</v>
      </c>
      <c r="O996">
        <v>938</v>
      </c>
      <c r="P996" t="s">
        <v>3214</v>
      </c>
      <c r="Q996">
        <v>4</v>
      </c>
      <c r="R996">
        <v>71.14</v>
      </c>
      <c r="S996">
        <v>1.46</v>
      </c>
      <c r="T996">
        <v>26</v>
      </c>
      <c r="U996">
        <v>3468596.0697300001</v>
      </c>
      <c r="V996">
        <v>9541.3182089999991</v>
      </c>
      <c r="W996">
        <v>995</v>
      </c>
      <c r="X996">
        <v>0</v>
      </c>
      <c r="Y996">
        <v>994</v>
      </c>
      <c r="Z996" t="s">
        <v>6966</v>
      </c>
      <c r="AA996" t="s">
        <v>6966</v>
      </c>
      <c r="AB996" t="s">
        <v>6966</v>
      </c>
      <c r="AC996" t="s">
        <v>6966</v>
      </c>
      <c r="AD996" t="s">
        <v>6966</v>
      </c>
      <c r="AE996" t="s">
        <v>6966</v>
      </c>
      <c r="AF996" t="s">
        <v>6966</v>
      </c>
      <c r="AG996" t="s">
        <v>6966</v>
      </c>
      <c r="AH996" t="s">
        <v>6966</v>
      </c>
      <c r="AI996" t="s">
        <v>6966</v>
      </c>
      <c r="AJ996" t="s">
        <v>6966</v>
      </c>
      <c r="AK996" t="s">
        <v>6966</v>
      </c>
      <c r="AL996" t="s">
        <v>6966</v>
      </c>
      <c r="AM996" t="s">
        <v>6966</v>
      </c>
      <c r="AN996" t="s">
        <v>6966</v>
      </c>
      <c r="AO996" t="s">
        <v>6966</v>
      </c>
      <c r="AP996" t="s">
        <v>6966</v>
      </c>
      <c r="AQ996" t="s">
        <v>6966</v>
      </c>
      <c r="AR996" t="s">
        <v>6966</v>
      </c>
      <c r="AS996" t="s">
        <v>6966</v>
      </c>
      <c r="AT996" t="s">
        <v>6966</v>
      </c>
      <c r="AU996" t="s">
        <v>6966</v>
      </c>
      <c r="AV996" t="s">
        <v>6966</v>
      </c>
      <c r="AW996" t="s">
        <v>6966</v>
      </c>
      <c r="AX996" t="s">
        <v>6966</v>
      </c>
      <c r="AY996" t="s">
        <v>6966</v>
      </c>
      <c r="AZ996">
        <v>9.5633999999999997E-2</v>
      </c>
      <c r="BA996">
        <v>3.3799999999999998E-4</v>
      </c>
    </row>
    <row r="997" spans="1:53" x14ac:dyDescent="0.25">
      <c r="A997">
        <v>995</v>
      </c>
      <c r="B997" t="s">
        <v>7625</v>
      </c>
      <c r="C997">
        <v>502002</v>
      </c>
      <c r="D997" t="s">
        <v>47</v>
      </c>
      <c r="E997" t="s">
        <v>36</v>
      </c>
      <c r="F997">
        <v>144655.796875</v>
      </c>
      <c r="G997">
        <v>1778.1102289999999</v>
      </c>
      <c r="H997">
        <v>962</v>
      </c>
      <c r="I997">
        <v>1169</v>
      </c>
      <c r="J997">
        <v>21314</v>
      </c>
      <c r="K997" t="s">
        <v>7940</v>
      </c>
      <c r="L997">
        <v>2</v>
      </c>
      <c r="M997">
        <v>2</v>
      </c>
      <c r="N997">
        <v>21314</v>
      </c>
      <c r="O997">
        <v>939</v>
      </c>
      <c r="P997" t="s">
        <v>3212</v>
      </c>
      <c r="Q997">
        <v>0.3</v>
      </c>
      <c r="R997">
        <v>28.58</v>
      </c>
      <c r="S997">
        <v>1.04</v>
      </c>
      <c r="T997">
        <v>86</v>
      </c>
      <c r="U997">
        <v>144655.750723</v>
      </c>
      <c r="V997">
        <v>1778.1103250000001</v>
      </c>
      <c r="W997">
        <v>996</v>
      </c>
      <c r="X997">
        <v>0</v>
      </c>
      <c r="Y997">
        <v>995</v>
      </c>
      <c r="Z997" t="s">
        <v>6966</v>
      </c>
      <c r="AA997" t="s">
        <v>6966</v>
      </c>
      <c r="AB997" t="s">
        <v>6966</v>
      </c>
      <c r="AC997" t="s">
        <v>6966</v>
      </c>
      <c r="AD997" t="s">
        <v>6966</v>
      </c>
      <c r="AE997" t="s">
        <v>6966</v>
      </c>
      <c r="AF997" t="s">
        <v>6966</v>
      </c>
      <c r="AG997" t="s">
        <v>6966</v>
      </c>
      <c r="AH997" t="s">
        <v>6966</v>
      </c>
      <c r="AI997" t="s">
        <v>6966</v>
      </c>
      <c r="AJ997" t="s">
        <v>6966</v>
      </c>
      <c r="AK997" t="s">
        <v>6966</v>
      </c>
      <c r="AL997" t="s">
        <v>6966</v>
      </c>
      <c r="AM997" t="s">
        <v>6966</v>
      </c>
      <c r="AN997" t="s">
        <v>6966</v>
      </c>
      <c r="AO997" t="s">
        <v>6966</v>
      </c>
      <c r="AP997" t="s">
        <v>6966</v>
      </c>
      <c r="AQ997" t="s">
        <v>6966</v>
      </c>
      <c r="AR997" t="s">
        <v>6966</v>
      </c>
      <c r="AS997" t="s">
        <v>6966</v>
      </c>
      <c r="AT997" t="s">
        <v>6966</v>
      </c>
      <c r="AU997" t="s">
        <v>6966</v>
      </c>
      <c r="AV997" t="s">
        <v>6966</v>
      </c>
      <c r="AW997" t="s">
        <v>6966</v>
      </c>
      <c r="AX997" t="s">
        <v>6966</v>
      </c>
      <c r="AY997" t="s">
        <v>6966</v>
      </c>
      <c r="AZ997">
        <v>1.8015E-2</v>
      </c>
      <c r="BA997">
        <v>1.4E-5</v>
      </c>
    </row>
    <row r="998" spans="1:53" x14ac:dyDescent="0.25">
      <c r="A998">
        <v>996</v>
      </c>
      <c r="B998" t="s">
        <v>7625</v>
      </c>
      <c r="C998">
        <v>403028</v>
      </c>
      <c r="D998" t="s">
        <v>7941</v>
      </c>
      <c r="E998" t="s">
        <v>3045</v>
      </c>
      <c r="F998">
        <v>4716472.5</v>
      </c>
      <c r="G998">
        <v>14281.756836</v>
      </c>
      <c r="H998">
        <v>963</v>
      </c>
      <c r="I998">
        <v>1170</v>
      </c>
      <c r="J998">
        <v>51241</v>
      </c>
      <c r="K998" t="s">
        <v>2352</v>
      </c>
      <c r="L998">
        <v>15</v>
      </c>
      <c r="M998">
        <v>15</v>
      </c>
      <c r="N998">
        <v>51241</v>
      </c>
      <c r="O998">
        <v>940</v>
      </c>
      <c r="P998" t="s">
        <v>3214</v>
      </c>
      <c r="Q998">
        <v>2.9</v>
      </c>
      <c r="R998">
        <v>41.36</v>
      </c>
      <c r="S998">
        <v>0.9</v>
      </c>
      <c r="T998">
        <v>13</v>
      </c>
      <c r="U998">
        <v>4716472.5377799999</v>
      </c>
      <c r="V998">
        <v>14281.756455000001</v>
      </c>
      <c r="W998">
        <v>997</v>
      </c>
      <c r="X998">
        <v>1</v>
      </c>
      <c r="Y998">
        <v>996</v>
      </c>
      <c r="Z998">
        <v>75847</v>
      </c>
      <c r="AA998" s="76">
        <v>45987</v>
      </c>
      <c r="AB998">
        <v>2025</v>
      </c>
      <c r="AC998" t="s">
        <v>7516</v>
      </c>
      <c r="AD998">
        <v>26</v>
      </c>
      <c r="AE998" t="s">
        <v>7550</v>
      </c>
      <c r="AF998" t="s">
        <v>3214</v>
      </c>
      <c r="AG998" t="s">
        <v>3045</v>
      </c>
      <c r="AH998" t="s">
        <v>7551</v>
      </c>
      <c r="AI998" t="s">
        <v>2352</v>
      </c>
      <c r="AJ998" t="s">
        <v>6966</v>
      </c>
      <c r="AK998">
        <v>33.808660000000003</v>
      </c>
      <c r="AL998">
        <v>35.817070000000001</v>
      </c>
      <c r="AM998" t="s">
        <v>6995</v>
      </c>
      <c r="AN998" t="s">
        <v>6966</v>
      </c>
      <c r="AO998" t="s">
        <v>7096</v>
      </c>
      <c r="AP998" t="s">
        <v>7552</v>
      </c>
      <c r="AQ998" t="s">
        <v>6998</v>
      </c>
      <c r="AR998" t="s">
        <v>6999</v>
      </c>
      <c r="AS998" t="s">
        <v>7000</v>
      </c>
      <c r="AT998">
        <v>0</v>
      </c>
      <c r="AU998">
        <v>0</v>
      </c>
      <c r="AV998" t="s">
        <v>7553</v>
      </c>
      <c r="AW998" t="s">
        <v>7391</v>
      </c>
      <c r="AX998" t="s">
        <v>6966</v>
      </c>
      <c r="AY998" t="s">
        <v>7003</v>
      </c>
      <c r="AZ998">
        <v>0.14277100000000001</v>
      </c>
      <c r="BA998">
        <v>4.5899999999999999E-4</v>
      </c>
    </row>
    <row r="999" spans="1:53" x14ac:dyDescent="0.25">
      <c r="A999">
        <v>997</v>
      </c>
      <c r="B999" t="s">
        <v>7625</v>
      </c>
      <c r="C999">
        <v>502045</v>
      </c>
      <c r="D999" t="s">
        <v>60</v>
      </c>
      <c r="E999" t="s">
        <v>36</v>
      </c>
      <c r="F999">
        <v>3453261.5</v>
      </c>
      <c r="G999">
        <v>10013.658203000001</v>
      </c>
      <c r="H999">
        <v>964</v>
      </c>
      <c r="I999">
        <v>1171</v>
      </c>
      <c r="J999">
        <v>21357</v>
      </c>
      <c r="K999" t="s">
        <v>7942</v>
      </c>
      <c r="L999">
        <v>2</v>
      </c>
      <c r="M999">
        <v>2</v>
      </c>
      <c r="N999">
        <v>21357</v>
      </c>
      <c r="O999">
        <v>941</v>
      </c>
      <c r="P999" t="s">
        <v>3212</v>
      </c>
      <c r="Q999">
        <v>7.5</v>
      </c>
      <c r="R999">
        <v>51.67</v>
      </c>
      <c r="S999">
        <v>3.46</v>
      </c>
      <c r="T999">
        <v>24</v>
      </c>
      <c r="U999">
        <v>3453261.5898099998</v>
      </c>
      <c r="V999">
        <v>10013.658581</v>
      </c>
      <c r="W999">
        <v>998</v>
      </c>
      <c r="X999">
        <v>0</v>
      </c>
      <c r="Y999">
        <v>997</v>
      </c>
      <c r="Z999" t="s">
        <v>6966</v>
      </c>
      <c r="AA999" t="s">
        <v>6966</v>
      </c>
      <c r="AB999" t="s">
        <v>6966</v>
      </c>
      <c r="AC999" t="s">
        <v>6966</v>
      </c>
      <c r="AD999" t="s">
        <v>6966</v>
      </c>
      <c r="AE999" t="s">
        <v>6966</v>
      </c>
      <c r="AF999" t="s">
        <v>6966</v>
      </c>
      <c r="AG999" t="s">
        <v>6966</v>
      </c>
      <c r="AH999" t="s">
        <v>6966</v>
      </c>
      <c r="AI999" t="s">
        <v>6966</v>
      </c>
      <c r="AJ999" t="s">
        <v>6966</v>
      </c>
      <c r="AK999" t="s">
        <v>6966</v>
      </c>
      <c r="AL999" t="s">
        <v>6966</v>
      </c>
      <c r="AM999" t="s">
        <v>6966</v>
      </c>
      <c r="AN999" t="s">
        <v>6966</v>
      </c>
      <c r="AO999" t="s">
        <v>6966</v>
      </c>
      <c r="AP999" t="s">
        <v>6966</v>
      </c>
      <c r="AQ999" t="s">
        <v>6966</v>
      </c>
      <c r="AR999" t="s">
        <v>6966</v>
      </c>
      <c r="AS999" t="s">
        <v>6966</v>
      </c>
      <c r="AT999" t="s">
        <v>6966</v>
      </c>
      <c r="AU999" t="s">
        <v>6966</v>
      </c>
      <c r="AV999" t="s">
        <v>6966</v>
      </c>
      <c r="AW999" t="s">
        <v>6966</v>
      </c>
      <c r="AX999" t="s">
        <v>6966</v>
      </c>
      <c r="AY999" t="s">
        <v>6966</v>
      </c>
      <c r="AZ999">
        <v>0.101147</v>
      </c>
      <c r="BA999">
        <v>3.3599999999999998E-4</v>
      </c>
    </row>
    <row r="1000" spans="1:53" x14ac:dyDescent="0.25">
      <c r="A1000">
        <v>998</v>
      </c>
      <c r="B1000" t="s">
        <v>7625</v>
      </c>
      <c r="C1000">
        <v>403008</v>
      </c>
      <c r="D1000" t="s">
        <v>990</v>
      </c>
      <c r="E1000" t="s">
        <v>3045</v>
      </c>
      <c r="F1000">
        <v>1533397.375</v>
      </c>
      <c r="G1000">
        <v>6345.5048829999996</v>
      </c>
      <c r="H1000">
        <v>965</v>
      </c>
      <c r="I1000">
        <v>1172</v>
      </c>
      <c r="J1000">
        <v>51211</v>
      </c>
      <c r="K1000" t="s">
        <v>990</v>
      </c>
      <c r="L1000">
        <v>15</v>
      </c>
      <c r="M1000">
        <v>15</v>
      </c>
      <c r="N1000">
        <v>51211</v>
      </c>
      <c r="O1000">
        <v>942</v>
      </c>
      <c r="P1000" t="s">
        <v>3214</v>
      </c>
      <c r="Q1000">
        <v>10</v>
      </c>
      <c r="R1000">
        <v>80.75</v>
      </c>
      <c r="S1000">
        <v>2.62</v>
      </c>
      <c r="T1000">
        <v>21</v>
      </c>
      <c r="U1000">
        <v>1533397.3333399999</v>
      </c>
      <c r="V1000">
        <v>6345.5046439999996</v>
      </c>
      <c r="W1000">
        <v>999</v>
      </c>
      <c r="X1000">
        <v>3</v>
      </c>
      <c r="Y1000">
        <v>998</v>
      </c>
      <c r="Z1000">
        <v>76669</v>
      </c>
      <c r="AA1000" s="76">
        <v>45999</v>
      </c>
      <c r="AB1000">
        <v>2025</v>
      </c>
      <c r="AC1000" t="s">
        <v>7557</v>
      </c>
      <c r="AD1000">
        <v>8</v>
      </c>
      <c r="AE1000" t="s">
        <v>7567</v>
      </c>
      <c r="AF1000" t="s">
        <v>3214</v>
      </c>
      <c r="AG1000" t="s">
        <v>3045</v>
      </c>
      <c r="AH1000" t="s">
        <v>990</v>
      </c>
      <c r="AI1000" t="s">
        <v>990</v>
      </c>
      <c r="AJ1000" t="s">
        <v>6966</v>
      </c>
      <c r="AK1000">
        <v>33.815179999999998</v>
      </c>
      <c r="AL1000">
        <v>35.852209999999999</v>
      </c>
      <c r="AM1000" t="s">
        <v>7013</v>
      </c>
      <c r="AN1000" t="s">
        <v>7014</v>
      </c>
      <c r="AO1000" t="s">
        <v>7008</v>
      </c>
      <c r="AP1000" t="s">
        <v>7568</v>
      </c>
      <c r="AQ1000" t="s">
        <v>6998</v>
      </c>
      <c r="AR1000" t="s">
        <v>6999</v>
      </c>
      <c r="AS1000" t="s">
        <v>7000</v>
      </c>
      <c r="AT1000">
        <v>0</v>
      </c>
      <c r="AU1000">
        <v>0</v>
      </c>
      <c r="AV1000" t="s">
        <v>7569</v>
      </c>
      <c r="AW1000" t="s">
        <v>7043</v>
      </c>
      <c r="AX1000" t="s">
        <v>6966</v>
      </c>
      <c r="AY1000" t="s">
        <v>7003</v>
      </c>
      <c r="AZ1000">
        <v>6.1525000000000003E-2</v>
      </c>
      <c r="BA1000">
        <v>1.4899999999999999E-4</v>
      </c>
    </row>
    <row r="1001" spans="1:53" x14ac:dyDescent="0.25">
      <c r="A1001">
        <v>999</v>
      </c>
      <c r="B1001" t="s">
        <v>7625</v>
      </c>
      <c r="C1001">
        <v>502052</v>
      </c>
      <c r="D1001" t="s">
        <v>53</v>
      </c>
      <c r="E1001" t="s">
        <v>36</v>
      </c>
      <c r="F1001">
        <v>1590509.25</v>
      </c>
      <c r="G1001">
        <v>7226.2709960000002</v>
      </c>
      <c r="H1001">
        <v>966</v>
      </c>
      <c r="I1001">
        <v>1173</v>
      </c>
      <c r="J1001">
        <v>21334</v>
      </c>
      <c r="K1001" t="s">
        <v>1597</v>
      </c>
      <c r="L1001">
        <v>2</v>
      </c>
      <c r="M1001">
        <v>2</v>
      </c>
      <c r="N1001">
        <v>21334</v>
      </c>
      <c r="O1001">
        <v>943</v>
      </c>
      <c r="P1001" t="s">
        <v>3212</v>
      </c>
      <c r="Q1001">
        <v>0.2</v>
      </c>
      <c r="R1001">
        <v>1.3</v>
      </c>
      <c r="S1001">
        <v>0.83</v>
      </c>
      <c r="T1001">
        <v>7</v>
      </c>
      <c r="U1001">
        <v>1590509.2189799999</v>
      </c>
      <c r="V1001">
        <v>7226.2702769999996</v>
      </c>
      <c r="W1001">
        <v>1000</v>
      </c>
      <c r="X1001">
        <v>0</v>
      </c>
      <c r="Y1001">
        <v>999</v>
      </c>
      <c r="Z1001" t="s">
        <v>6966</v>
      </c>
      <c r="AA1001" t="s">
        <v>6966</v>
      </c>
      <c r="AB1001" t="s">
        <v>6966</v>
      </c>
      <c r="AC1001" t="s">
        <v>6966</v>
      </c>
      <c r="AD1001" t="s">
        <v>6966</v>
      </c>
      <c r="AE1001" t="s">
        <v>6966</v>
      </c>
      <c r="AF1001" t="s">
        <v>6966</v>
      </c>
      <c r="AG1001" t="s">
        <v>6966</v>
      </c>
      <c r="AH1001" t="s">
        <v>6966</v>
      </c>
      <c r="AI1001" t="s">
        <v>6966</v>
      </c>
      <c r="AJ1001" t="s">
        <v>6966</v>
      </c>
      <c r="AK1001" t="s">
        <v>6966</v>
      </c>
      <c r="AL1001" t="s">
        <v>6966</v>
      </c>
      <c r="AM1001" t="s">
        <v>6966</v>
      </c>
      <c r="AN1001" t="s">
        <v>6966</v>
      </c>
      <c r="AO1001" t="s">
        <v>6966</v>
      </c>
      <c r="AP1001" t="s">
        <v>6966</v>
      </c>
      <c r="AQ1001" t="s">
        <v>6966</v>
      </c>
      <c r="AR1001" t="s">
        <v>6966</v>
      </c>
      <c r="AS1001" t="s">
        <v>6966</v>
      </c>
      <c r="AT1001" t="s">
        <v>6966</v>
      </c>
      <c r="AU1001" t="s">
        <v>6966</v>
      </c>
      <c r="AV1001" t="s">
        <v>6966</v>
      </c>
      <c r="AW1001" t="s">
        <v>6966</v>
      </c>
      <c r="AX1001" t="s">
        <v>6966</v>
      </c>
      <c r="AY1001" t="s">
        <v>6966</v>
      </c>
      <c r="AZ1001">
        <v>7.1973999999999996E-2</v>
      </c>
      <c r="BA1001">
        <v>1.55E-4</v>
      </c>
    </row>
    <row r="1002" spans="1:53" x14ac:dyDescent="0.25">
      <c r="A1002">
        <v>1000</v>
      </c>
      <c r="B1002" t="s">
        <v>7625</v>
      </c>
      <c r="C1002">
        <v>403064</v>
      </c>
      <c r="D1002" t="s">
        <v>991</v>
      </c>
      <c r="E1002" t="s">
        <v>3045</v>
      </c>
      <c r="F1002">
        <v>931593.5</v>
      </c>
      <c r="G1002">
        <v>6225.4677730000003</v>
      </c>
      <c r="H1002">
        <v>967</v>
      </c>
      <c r="I1002">
        <v>1174</v>
      </c>
      <c r="J1002">
        <v>51214</v>
      </c>
      <c r="K1002" t="s">
        <v>2345</v>
      </c>
      <c r="L1002">
        <v>15</v>
      </c>
      <c r="M1002">
        <v>15</v>
      </c>
      <c r="N1002">
        <v>51214</v>
      </c>
      <c r="O1002">
        <v>944</v>
      </c>
      <c r="P1002" t="s">
        <v>3214</v>
      </c>
      <c r="Q1002">
        <v>4.7</v>
      </c>
      <c r="R1002">
        <v>499.26</v>
      </c>
      <c r="S1002">
        <v>1.59</v>
      </c>
      <c r="T1002">
        <v>168</v>
      </c>
      <c r="U1002">
        <v>931593.45028999995</v>
      </c>
      <c r="V1002">
        <v>6225.4677959999999</v>
      </c>
      <c r="W1002">
        <v>1001</v>
      </c>
      <c r="X1002">
        <v>0</v>
      </c>
      <c r="Y1002">
        <v>1000</v>
      </c>
      <c r="Z1002" t="s">
        <v>6966</v>
      </c>
      <c r="AA1002" t="s">
        <v>6966</v>
      </c>
      <c r="AB1002" t="s">
        <v>6966</v>
      </c>
      <c r="AC1002" t="s">
        <v>6966</v>
      </c>
      <c r="AD1002" t="s">
        <v>6966</v>
      </c>
      <c r="AE1002" t="s">
        <v>6966</v>
      </c>
      <c r="AF1002" t="s">
        <v>6966</v>
      </c>
      <c r="AG1002" t="s">
        <v>6966</v>
      </c>
      <c r="AH1002" t="s">
        <v>6966</v>
      </c>
      <c r="AI1002" t="s">
        <v>6966</v>
      </c>
      <c r="AJ1002" t="s">
        <v>6966</v>
      </c>
      <c r="AK1002" t="s">
        <v>6966</v>
      </c>
      <c r="AL1002" t="s">
        <v>6966</v>
      </c>
      <c r="AM1002" t="s">
        <v>6966</v>
      </c>
      <c r="AN1002" t="s">
        <v>6966</v>
      </c>
      <c r="AO1002" t="s">
        <v>6966</v>
      </c>
      <c r="AP1002" t="s">
        <v>6966</v>
      </c>
      <c r="AQ1002" t="s">
        <v>6966</v>
      </c>
      <c r="AR1002" t="s">
        <v>6966</v>
      </c>
      <c r="AS1002" t="s">
        <v>6966</v>
      </c>
      <c r="AT1002" t="s">
        <v>6966</v>
      </c>
      <c r="AU1002" t="s">
        <v>6966</v>
      </c>
      <c r="AV1002" t="s">
        <v>6966</v>
      </c>
      <c r="AW1002" t="s">
        <v>6966</v>
      </c>
      <c r="AX1002" t="s">
        <v>6966</v>
      </c>
      <c r="AY1002" t="s">
        <v>6966</v>
      </c>
      <c r="AZ1002">
        <v>6.1004000000000003E-2</v>
      </c>
      <c r="BA1002">
        <v>9.1000000000000003E-5</v>
      </c>
    </row>
    <row r="1003" spans="1:53" x14ac:dyDescent="0.25">
      <c r="A1003">
        <v>1001</v>
      </c>
      <c r="B1003" t="s">
        <v>7625</v>
      </c>
      <c r="C1003">
        <v>501049</v>
      </c>
      <c r="D1003" t="s">
        <v>299</v>
      </c>
      <c r="E1003" t="s">
        <v>1808</v>
      </c>
      <c r="F1003">
        <v>785291.5</v>
      </c>
      <c r="G1003">
        <v>5579.171875</v>
      </c>
      <c r="H1003">
        <v>968</v>
      </c>
      <c r="I1003">
        <v>1175</v>
      </c>
      <c r="J1003">
        <v>24275</v>
      </c>
      <c r="K1003" t="s">
        <v>1806</v>
      </c>
      <c r="L1003">
        <v>5</v>
      </c>
      <c r="M1003">
        <v>5</v>
      </c>
      <c r="N1003">
        <v>24275</v>
      </c>
      <c r="O1003">
        <v>945</v>
      </c>
      <c r="P1003" t="s">
        <v>3212</v>
      </c>
      <c r="Q1003">
        <v>14.6</v>
      </c>
      <c r="R1003">
        <v>77.34</v>
      </c>
      <c r="S1003">
        <v>6.58</v>
      </c>
      <c r="T1003">
        <v>35</v>
      </c>
      <c r="U1003">
        <v>785291.48569500004</v>
      </c>
      <c r="V1003">
        <v>5579.1710279999998</v>
      </c>
      <c r="W1003">
        <v>1002</v>
      </c>
      <c r="X1003">
        <v>0</v>
      </c>
      <c r="Y1003">
        <v>1001</v>
      </c>
      <c r="Z1003" t="s">
        <v>6966</v>
      </c>
      <c r="AA1003" t="s">
        <v>6966</v>
      </c>
      <c r="AB1003" t="s">
        <v>6966</v>
      </c>
      <c r="AC1003" t="s">
        <v>6966</v>
      </c>
      <c r="AD1003" t="s">
        <v>6966</v>
      </c>
      <c r="AE1003" t="s">
        <v>6966</v>
      </c>
      <c r="AF1003" t="s">
        <v>6966</v>
      </c>
      <c r="AG1003" t="s">
        <v>6966</v>
      </c>
      <c r="AH1003" t="s">
        <v>6966</v>
      </c>
      <c r="AI1003" t="s">
        <v>6966</v>
      </c>
      <c r="AJ1003" t="s">
        <v>6966</v>
      </c>
      <c r="AK1003" t="s">
        <v>6966</v>
      </c>
      <c r="AL1003" t="s">
        <v>6966</v>
      </c>
      <c r="AM1003" t="s">
        <v>6966</v>
      </c>
      <c r="AN1003" t="s">
        <v>6966</v>
      </c>
      <c r="AO1003" t="s">
        <v>6966</v>
      </c>
      <c r="AP1003" t="s">
        <v>6966</v>
      </c>
      <c r="AQ1003" t="s">
        <v>6966</v>
      </c>
      <c r="AR1003" t="s">
        <v>6966</v>
      </c>
      <c r="AS1003" t="s">
        <v>6966</v>
      </c>
      <c r="AT1003" t="s">
        <v>6966</v>
      </c>
      <c r="AU1003" t="s">
        <v>6966</v>
      </c>
      <c r="AV1003" t="s">
        <v>6966</v>
      </c>
      <c r="AW1003" t="s">
        <v>6966</v>
      </c>
      <c r="AX1003" t="s">
        <v>6966</v>
      </c>
      <c r="AY1003" t="s">
        <v>6966</v>
      </c>
      <c r="AZ1003">
        <v>5.6030000000000003E-2</v>
      </c>
      <c r="BA1003">
        <v>7.6000000000000004E-5</v>
      </c>
    </row>
    <row r="1004" spans="1:53" x14ac:dyDescent="0.25">
      <c r="A1004">
        <v>1002</v>
      </c>
      <c r="B1004" t="s">
        <v>7625</v>
      </c>
      <c r="C1004">
        <v>501019</v>
      </c>
      <c r="D1004" t="s">
        <v>300</v>
      </c>
      <c r="E1004" t="s">
        <v>1808</v>
      </c>
      <c r="F1004">
        <v>1434058.625</v>
      </c>
      <c r="G1004">
        <v>7913.9907229999999</v>
      </c>
      <c r="H1004">
        <v>969</v>
      </c>
      <c r="I1004">
        <v>1176</v>
      </c>
      <c r="J1004">
        <v>24283</v>
      </c>
      <c r="K1004" t="s">
        <v>7943</v>
      </c>
      <c r="L1004">
        <v>5</v>
      </c>
      <c r="M1004">
        <v>5</v>
      </c>
      <c r="N1004">
        <v>24283</v>
      </c>
      <c r="O1004">
        <v>946</v>
      </c>
      <c r="P1004" t="s">
        <v>3212</v>
      </c>
      <c r="Q1004">
        <v>9.9</v>
      </c>
      <c r="R1004">
        <v>60.88</v>
      </c>
      <c r="S1004">
        <v>3.75</v>
      </c>
      <c r="T1004">
        <v>23</v>
      </c>
      <c r="U1004">
        <v>1434058.67</v>
      </c>
      <c r="V1004">
        <v>7913.9905019999997</v>
      </c>
      <c r="W1004">
        <v>1003</v>
      </c>
      <c r="X1004">
        <v>0</v>
      </c>
      <c r="Y1004">
        <v>1002</v>
      </c>
      <c r="Z1004" t="s">
        <v>6966</v>
      </c>
      <c r="AA1004" t="s">
        <v>6966</v>
      </c>
      <c r="AB1004" t="s">
        <v>6966</v>
      </c>
      <c r="AC1004" t="s">
        <v>6966</v>
      </c>
      <c r="AD1004" t="s">
        <v>6966</v>
      </c>
      <c r="AE1004" t="s">
        <v>6966</v>
      </c>
      <c r="AF1004" t="s">
        <v>6966</v>
      </c>
      <c r="AG1004" t="s">
        <v>6966</v>
      </c>
      <c r="AH1004" t="s">
        <v>6966</v>
      </c>
      <c r="AI1004" t="s">
        <v>6966</v>
      </c>
      <c r="AJ1004" t="s">
        <v>6966</v>
      </c>
      <c r="AK1004" t="s">
        <v>6966</v>
      </c>
      <c r="AL1004" t="s">
        <v>6966</v>
      </c>
      <c r="AM1004" t="s">
        <v>6966</v>
      </c>
      <c r="AN1004" t="s">
        <v>6966</v>
      </c>
      <c r="AO1004" t="s">
        <v>6966</v>
      </c>
      <c r="AP1004" t="s">
        <v>6966</v>
      </c>
      <c r="AQ1004" t="s">
        <v>6966</v>
      </c>
      <c r="AR1004" t="s">
        <v>6966</v>
      </c>
      <c r="AS1004" t="s">
        <v>6966</v>
      </c>
      <c r="AT1004" t="s">
        <v>6966</v>
      </c>
      <c r="AU1004" t="s">
        <v>6966</v>
      </c>
      <c r="AV1004" t="s">
        <v>6966</v>
      </c>
      <c r="AW1004" t="s">
        <v>6966</v>
      </c>
      <c r="AX1004" t="s">
        <v>6966</v>
      </c>
      <c r="AY1004" t="s">
        <v>6966</v>
      </c>
      <c r="AZ1004">
        <v>7.9251000000000002E-2</v>
      </c>
      <c r="BA1004">
        <v>1.3999999999999999E-4</v>
      </c>
    </row>
    <row r="1005" spans="1:53" x14ac:dyDescent="0.25">
      <c r="A1005">
        <v>1003</v>
      </c>
      <c r="B1005" t="s">
        <v>7625</v>
      </c>
      <c r="C1005">
        <v>501027</v>
      </c>
      <c r="D1005" t="s">
        <v>298</v>
      </c>
      <c r="E1005" t="s">
        <v>1808</v>
      </c>
      <c r="F1005">
        <v>1103985</v>
      </c>
      <c r="G1005">
        <v>5862.7714839999999</v>
      </c>
      <c r="H1005">
        <v>970</v>
      </c>
      <c r="I1005">
        <v>1177</v>
      </c>
      <c r="J1005">
        <v>24267</v>
      </c>
      <c r="K1005" t="s">
        <v>1805</v>
      </c>
      <c r="L1005">
        <v>5</v>
      </c>
      <c r="M1005">
        <v>5</v>
      </c>
      <c r="N1005">
        <v>24267</v>
      </c>
      <c r="O1005">
        <v>947</v>
      </c>
      <c r="P1005" t="s">
        <v>3212</v>
      </c>
      <c r="Q1005">
        <v>4.9000000000000004</v>
      </c>
      <c r="R1005">
        <v>79.12</v>
      </c>
      <c r="S1005">
        <v>1.59</v>
      </c>
      <c r="T1005">
        <v>25</v>
      </c>
      <c r="U1005">
        <v>1103984.9956400001</v>
      </c>
      <c r="V1005">
        <v>5862.7716380000002</v>
      </c>
      <c r="W1005">
        <v>1004</v>
      </c>
      <c r="X1005">
        <v>0</v>
      </c>
      <c r="Y1005">
        <v>1003</v>
      </c>
      <c r="Z1005" t="s">
        <v>6966</v>
      </c>
      <c r="AA1005" t="s">
        <v>6966</v>
      </c>
      <c r="AB1005" t="s">
        <v>6966</v>
      </c>
      <c r="AC1005" t="s">
        <v>6966</v>
      </c>
      <c r="AD1005" t="s">
        <v>6966</v>
      </c>
      <c r="AE1005" t="s">
        <v>6966</v>
      </c>
      <c r="AF1005" t="s">
        <v>6966</v>
      </c>
      <c r="AG1005" t="s">
        <v>6966</v>
      </c>
      <c r="AH1005" t="s">
        <v>6966</v>
      </c>
      <c r="AI1005" t="s">
        <v>6966</v>
      </c>
      <c r="AJ1005" t="s">
        <v>6966</v>
      </c>
      <c r="AK1005" t="s">
        <v>6966</v>
      </c>
      <c r="AL1005" t="s">
        <v>6966</v>
      </c>
      <c r="AM1005" t="s">
        <v>6966</v>
      </c>
      <c r="AN1005" t="s">
        <v>6966</v>
      </c>
      <c r="AO1005" t="s">
        <v>6966</v>
      </c>
      <c r="AP1005" t="s">
        <v>6966</v>
      </c>
      <c r="AQ1005" t="s">
        <v>6966</v>
      </c>
      <c r="AR1005" t="s">
        <v>6966</v>
      </c>
      <c r="AS1005" t="s">
        <v>6966</v>
      </c>
      <c r="AT1005" t="s">
        <v>6966</v>
      </c>
      <c r="AU1005" t="s">
        <v>6966</v>
      </c>
      <c r="AV1005" t="s">
        <v>6966</v>
      </c>
      <c r="AW1005" t="s">
        <v>6966</v>
      </c>
      <c r="AX1005" t="s">
        <v>6966</v>
      </c>
      <c r="AY1005" t="s">
        <v>6966</v>
      </c>
      <c r="AZ1005">
        <v>5.8382999999999997E-2</v>
      </c>
      <c r="BA1005">
        <v>1.07E-4</v>
      </c>
    </row>
    <row r="1006" spans="1:53" x14ac:dyDescent="0.25">
      <c r="A1006">
        <v>1004</v>
      </c>
      <c r="B1006" t="s">
        <v>7625</v>
      </c>
      <c r="C1006">
        <v>501041</v>
      </c>
      <c r="D1006" t="s">
        <v>7944</v>
      </c>
      <c r="E1006" t="s">
        <v>1808</v>
      </c>
      <c r="F1006">
        <v>9201662</v>
      </c>
      <c r="G1006">
        <v>25179.175781000002</v>
      </c>
      <c r="H1006">
        <v>971</v>
      </c>
      <c r="I1006">
        <v>1178</v>
      </c>
      <c r="J1006">
        <v>24133</v>
      </c>
      <c r="K1006" t="s">
        <v>1795</v>
      </c>
      <c r="L1006">
        <v>5</v>
      </c>
      <c r="M1006">
        <v>5</v>
      </c>
      <c r="N1006">
        <v>24133</v>
      </c>
      <c r="O1006">
        <v>948</v>
      </c>
      <c r="P1006" t="s">
        <v>3212</v>
      </c>
      <c r="Q1006">
        <v>22.8</v>
      </c>
      <c r="R1006">
        <v>92.71</v>
      </c>
      <c r="S1006">
        <v>8.82</v>
      </c>
      <c r="T1006">
        <v>40</v>
      </c>
      <c r="U1006">
        <v>9201662.1757100001</v>
      </c>
      <c r="V1006">
        <v>25179.176045</v>
      </c>
      <c r="W1006">
        <v>1005</v>
      </c>
      <c r="X1006">
        <v>1</v>
      </c>
      <c r="Y1006">
        <v>1004</v>
      </c>
      <c r="Z1006">
        <v>68009</v>
      </c>
      <c r="AA1006" s="76">
        <v>45881</v>
      </c>
      <c r="AB1006">
        <v>2025</v>
      </c>
      <c r="AC1006" t="s">
        <v>7379</v>
      </c>
      <c r="AD1006">
        <v>12</v>
      </c>
      <c r="AE1006" t="s">
        <v>7396</v>
      </c>
      <c r="AF1006" t="s">
        <v>3212</v>
      </c>
      <c r="AG1006" t="s">
        <v>1808</v>
      </c>
      <c r="AH1006" t="s">
        <v>7397</v>
      </c>
      <c r="AI1006" t="s">
        <v>3132</v>
      </c>
      <c r="AJ1006" t="s">
        <v>6966</v>
      </c>
      <c r="AK1006">
        <v>33.783009999999997</v>
      </c>
      <c r="AL1006">
        <v>35.475940000000001</v>
      </c>
      <c r="AM1006" t="s">
        <v>6995</v>
      </c>
      <c r="AN1006" t="s">
        <v>7014</v>
      </c>
      <c r="AO1006" t="s">
        <v>7042</v>
      </c>
      <c r="AP1006" t="s">
        <v>7398</v>
      </c>
      <c r="AQ1006" t="s">
        <v>6998</v>
      </c>
      <c r="AR1006" t="s">
        <v>7048</v>
      </c>
      <c r="AS1006" t="s">
        <v>7071</v>
      </c>
      <c r="AT1006">
        <v>1</v>
      </c>
      <c r="AU1006">
        <v>0</v>
      </c>
      <c r="AV1006" t="s">
        <v>6966</v>
      </c>
      <c r="AW1006" t="s">
        <v>7119</v>
      </c>
      <c r="AX1006" t="s">
        <v>6966</v>
      </c>
      <c r="AY1006" t="s">
        <v>7114</v>
      </c>
      <c r="AZ1006">
        <v>0.24990499999999999</v>
      </c>
      <c r="BA1006">
        <v>8.9499999999999996E-4</v>
      </c>
    </row>
    <row r="1007" spans="1:53" x14ac:dyDescent="0.25">
      <c r="A1007">
        <v>1005</v>
      </c>
      <c r="B1007" t="s">
        <v>7625</v>
      </c>
      <c r="C1007">
        <v>403025</v>
      </c>
      <c r="D1007" t="s">
        <v>7945</v>
      </c>
      <c r="E1007" t="s">
        <v>3045</v>
      </c>
      <c r="F1007">
        <v>4457623.5</v>
      </c>
      <c r="G1007">
        <v>16517.955077999999</v>
      </c>
      <c r="H1007">
        <v>972</v>
      </c>
      <c r="I1007">
        <v>1179</v>
      </c>
      <c r="J1007">
        <v>51217</v>
      </c>
      <c r="K1007" t="s">
        <v>7945</v>
      </c>
      <c r="L1007">
        <v>15</v>
      </c>
      <c r="M1007">
        <v>15</v>
      </c>
      <c r="N1007">
        <v>51217</v>
      </c>
      <c r="O1007">
        <v>949</v>
      </c>
      <c r="P1007" t="s">
        <v>3214</v>
      </c>
      <c r="Q1007">
        <v>5.2</v>
      </c>
      <c r="R1007">
        <v>92.03</v>
      </c>
      <c r="S1007">
        <v>1.41</v>
      </c>
      <c r="T1007">
        <v>25</v>
      </c>
      <c r="U1007">
        <v>4457623.2765499996</v>
      </c>
      <c r="V1007">
        <v>16517.954963</v>
      </c>
      <c r="W1007">
        <v>1006</v>
      </c>
      <c r="X1007">
        <v>0</v>
      </c>
      <c r="Y1007">
        <v>1005</v>
      </c>
      <c r="Z1007" t="s">
        <v>6966</v>
      </c>
      <c r="AA1007" t="s">
        <v>6966</v>
      </c>
      <c r="AB1007" t="s">
        <v>6966</v>
      </c>
      <c r="AC1007" t="s">
        <v>6966</v>
      </c>
      <c r="AD1007" t="s">
        <v>6966</v>
      </c>
      <c r="AE1007" t="s">
        <v>6966</v>
      </c>
      <c r="AF1007" t="s">
        <v>6966</v>
      </c>
      <c r="AG1007" t="s">
        <v>6966</v>
      </c>
      <c r="AH1007" t="s">
        <v>6966</v>
      </c>
      <c r="AI1007" t="s">
        <v>6966</v>
      </c>
      <c r="AJ1007" t="s">
        <v>6966</v>
      </c>
      <c r="AK1007" t="s">
        <v>6966</v>
      </c>
      <c r="AL1007" t="s">
        <v>6966</v>
      </c>
      <c r="AM1007" t="s">
        <v>6966</v>
      </c>
      <c r="AN1007" t="s">
        <v>6966</v>
      </c>
      <c r="AO1007" t="s">
        <v>6966</v>
      </c>
      <c r="AP1007" t="s">
        <v>6966</v>
      </c>
      <c r="AQ1007" t="s">
        <v>6966</v>
      </c>
      <c r="AR1007" t="s">
        <v>6966</v>
      </c>
      <c r="AS1007" t="s">
        <v>6966</v>
      </c>
      <c r="AT1007" t="s">
        <v>6966</v>
      </c>
      <c r="AU1007" t="s">
        <v>6966</v>
      </c>
      <c r="AV1007" t="s">
        <v>6966</v>
      </c>
      <c r="AW1007" t="s">
        <v>6966</v>
      </c>
      <c r="AX1007" t="s">
        <v>6966</v>
      </c>
      <c r="AY1007" t="s">
        <v>6966</v>
      </c>
      <c r="AZ1007">
        <v>0.161359</v>
      </c>
      <c r="BA1007">
        <v>4.3399999999999998E-4</v>
      </c>
    </row>
    <row r="1008" spans="1:53" x14ac:dyDescent="0.25">
      <c r="A1008">
        <v>1006</v>
      </c>
      <c r="B1008" t="s">
        <v>7625</v>
      </c>
      <c r="C1008">
        <v>501005</v>
      </c>
      <c r="D1008" t="s">
        <v>7946</v>
      </c>
      <c r="E1008" t="s">
        <v>1808</v>
      </c>
      <c r="F1008">
        <v>1333658.625</v>
      </c>
      <c r="G1008">
        <v>5420.4272460000002</v>
      </c>
      <c r="H1008">
        <v>973</v>
      </c>
      <c r="I1008">
        <v>1180</v>
      </c>
      <c r="J1008">
        <v>24325</v>
      </c>
      <c r="K1008" t="s">
        <v>7947</v>
      </c>
      <c r="L1008">
        <v>5</v>
      </c>
      <c r="M1008">
        <v>5</v>
      </c>
      <c r="N1008">
        <v>24325</v>
      </c>
      <c r="O1008">
        <v>950</v>
      </c>
      <c r="P1008" t="s">
        <v>3212</v>
      </c>
      <c r="Q1008">
        <v>2.1</v>
      </c>
      <c r="R1008">
        <v>7.91</v>
      </c>
      <c r="S1008">
        <v>2.54</v>
      </c>
      <c r="T1008">
        <v>10</v>
      </c>
      <c r="U1008">
        <v>1333658.55296</v>
      </c>
      <c r="V1008">
        <v>5420.4279390000002</v>
      </c>
      <c r="W1008">
        <v>1007</v>
      </c>
      <c r="X1008">
        <v>0</v>
      </c>
      <c r="Y1008">
        <v>1006</v>
      </c>
      <c r="Z1008" t="s">
        <v>6966</v>
      </c>
      <c r="AA1008" t="s">
        <v>6966</v>
      </c>
      <c r="AB1008" t="s">
        <v>6966</v>
      </c>
      <c r="AC1008" t="s">
        <v>6966</v>
      </c>
      <c r="AD1008" t="s">
        <v>6966</v>
      </c>
      <c r="AE1008" t="s">
        <v>6966</v>
      </c>
      <c r="AF1008" t="s">
        <v>6966</v>
      </c>
      <c r="AG1008" t="s">
        <v>6966</v>
      </c>
      <c r="AH1008" t="s">
        <v>6966</v>
      </c>
      <c r="AI1008" t="s">
        <v>6966</v>
      </c>
      <c r="AJ1008" t="s">
        <v>6966</v>
      </c>
      <c r="AK1008" t="s">
        <v>6966</v>
      </c>
      <c r="AL1008" t="s">
        <v>6966</v>
      </c>
      <c r="AM1008" t="s">
        <v>6966</v>
      </c>
      <c r="AN1008" t="s">
        <v>6966</v>
      </c>
      <c r="AO1008" t="s">
        <v>6966</v>
      </c>
      <c r="AP1008" t="s">
        <v>6966</v>
      </c>
      <c r="AQ1008" t="s">
        <v>6966</v>
      </c>
      <c r="AR1008" t="s">
        <v>6966</v>
      </c>
      <c r="AS1008" t="s">
        <v>6966</v>
      </c>
      <c r="AT1008" t="s">
        <v>6966</v>
      </c>
      <c r="AU1008" t="s">
        <v>6966</v>
      </c>
      <c r="AV1008" t="s">
        <v>6966</v>
      </c>
      <c r="AW1008" t="s">
        <v>6966</v>
      </c>
      <c r="AX1008" t="s">
        <v>6966</v>
      </c>
      <c r="AY1008" t="s">
        <v>6966</v>
      </c>
      <c r="AZ1008">
        <v>5.4815999999999997E-2</v>
      </c>
      <c r="BA1008">
        <v>1.2999999999999999E-4</v>
      </c>
    </row>
    <row r="1009" spans="1:53" x14ac:dyDescent="0.25">
      <c r="A1009">
        <v>1007</v>
      </c>
      <c r="B1009" t="s">
        <v>7625</v>
      </c>
      <c r="C1009">
        <v>501024</v>
      </c>
      <c r="D1009" t="s">
        <v>336</v>
      </c>
      <c r="E1009" t="s">
        <v>1808</v>
      </c>
      <c r="F1009">
        <v>1895605</v>
      </c>
      <c r="G1009">
        <v>8334.0234380000002</v>
      </c>
      <c r="H1009">
        <v>974</v>
      </c>
      <c r="I1009">
        <v>1181</v>
      </c>
      <c r="J1009">
        <v>24411</v>
      </c>
      <c r="K1009" t="s">
        <v>1837</v>
      </c>
      <c r="L1009">
        <v>5</v>
      </c>
      <c r="M1009">
        <v>5</v>
      </c>
      <c r="N1009">
        <v>24411</v>
      </c>
      <c r="O1009">
        <v>951</v>
      </c>
      <c r="P1009" t="s">
        <v>3212</v>
      </c>
      <c r="Q1009">
        <v>2.9</v>
      </c>
      <c r="R1009">
        <v>5.83</v>
      </c>
      <c r="S1009">
        <v>10.82</v>
      </c>
      <c r="T1009">
        <v>21</v>
      </c>
      <c r="U1009">
        <v>1895605.09507</v>
      </c>
      <c r="V1009">
        <v>8334.0217269999994</v>
      </c>
      <c r="W1009">
        <v>1008</v>
      </c>
      <c r="X1009">
        <v>0</v>
      </c>
      <c r="Y1009">
        <v>1007</v>
      </c>
      <c r="Z1009" t="s">
        <v>6966</v>
      </c>
      <c r="AA1009" t="s">
        <v>6966</v>
      </c>
      <c r="AB1009" t="s">
        <v>6966</v>
      </c>
      <c r="AC1009" t="s">
        <v>6966</v>
      </c>
      <c r="AD1009" t="s">
        <v>6966</v>
      </c>
      <c r="AE1009" t="s">
        <v>6966</v>
      </c>
      <c r="AF1009" t="s">
        <v>6966</v>
      </c>
      <c r="AG1009" t="s">
        <v>6966</v>
      </c>
      <c r="AH1009" t="s">
        <v>6966</v>
      </c>
      <c r="AI1009" t="s">
        <v>6966</v>
      </c>
      <c r="AJ1009" t="s">
        <v>6966</v>
      </c>
      <c r="AK1009" t="s">
        <v>6966</v>
      </c>
      <c r="AL1009" t="s">
        <v>6966</v>
      </c>
      <c r="AM1009" t="s">
        <v>6966</v>
      </c>
      <c r="AN1009" t="s">
        <v>6966</v>
      </c>
      <c r="AO1009" t="s">
        <v>6966</v>
      </c>
      <c r="AP1009" t="s">
        <v>6966</v>
      </c>
      <c r="AQ1009" t="s">
        <v>6966</v>
      </c>
      <c r="AR1009" t="s">
        <v>6966</v>
      </c>
      <c r="AS1009" t="s">
        <v>6966</v>
      </c>
      <c r="AT1009" t="s">
        <v>6966</v>
      </c>
      <c r="AU1009" t="s">
        <v>6966</v>
      </c>
      <c r="AV1009" t="s">
        <v>6966</v>
      </c>
      <c r="AW1009" t="s">
        <v>6966</v>
      </c>
      <c r="AX1009" t="s">
        <v>6966</v>
      </c>
      <c r="AY1009" t="s">
        <v>6966</v>
      </c>
      <c r="AZ1009">
        <v>8.4283999999999998E-2</v>
      </c>
      <c r="BA1009">
        <v>1.85E-4</v>
      </c>
    </row>
    <row r="1010" spans="1:53" x14ac:dyDescent="0.25">
      <c r="A1010">
        <v>1008</v>
      </c>
      <c r="B1010" t="s">
        <v>7625</v>
      </c>
      <c r="C1010">
        <v>502011</v>
      </c>
      <c r="D1010" t="s">
        <v>45</v>
      </c>
      <c r="E1010" t="s">
        <v>36</v>
      </c>
      <c r="F1010">
        <v>900854.125</v>
      </c>
      <c r="G1010">
        <v>4832.2631840000004</v>
      </c>
      <c r="H1010">
        <v>975</v>
      </c>
      <c r="I1010">
        <v>1182</v>
      </c>
      <c r="J1010">
        <v>21283</v>
      </c>
      <c r="K1010" t="s">
        <v>1590</v>
      </c>
      <c r="L1010">
        <v>2</v>
      </c>
      <c r="M1010">
        <v>2</v>
      </c>
      <c r="N1010">
        <v>21283</v>
      </c>
      <c r="O1010">
        <v>952</v>
      </c>
      <c r="P1010" t="s">
        <v>3212</v>
      </c>
      <c r="Q1010">
        <v>11.7</v>
      </c>
      <c r="R1010">
        <v>52.93</v>
      </c>
      <c r="S1010">
        <v>4.88</v>
      </c>
      <c r="T1010">
        <v>22</v>
      </c>
      <c r="U1010">
        <v>900854.13546899997</v>
      </c>
      <c r="V1010">
        <v>4832.2632130000002</v>
      </c>
      <c r="W1010">
        <v>1009</v>
      </c>
      <c r="X1010">
        <v>0</v>
      </c>
      <c r="Y1010">
        <v>1008</v>
      </c>
      <c r="Z1010" t="s">
        <v>6966</v>
      </c>
      <c r="AA1010" t="s">
        <v>6966</v>
      </c>
      <c r="AB1010" t="s">
        <v>6966</v>
      </c>
      <c r="AC1010" t="s">
        <v>6966</v>
      </c>
      <c r="AD1010" t="s">
        <v>6966</v>
      </c>
      <c r="AE1010" t="s">
        <v>6966</v>
      </c>
      <c r="AF1010" t="s">
        <v>6966</v>
      </c>
      <c r="AG1010" t="s">
        <v>6966</v>
      </c>
      <c r="AH1010" t="s">
        <v>6966</v>
      </c>
      <c r="AI1010" t="s">
        <v>6966</v>
      </c>
      <c r="AJ1010" t="s">
        <v>6966</v>
      </c>
      <c r="AK1010" t="s">
        <v>6966</v>
      </c>
      <c r="AL1010" t="s">
        <v>6966</v>
      </c>
      <c r="AM1010" t="s">
        <v>6966</v>
      </c>
      <c r="AN1010" t="s">
        <v>6966</v>
      </c>
      <c r="AO1010" t="s">
        <v>6966</v>
      </c>
      <c r="AP1010" t="s">
        <v>6966</v>
      </c>
      <c r="AQ1010" t="s">
        <v>6966</v>
      </c>
      <c r="AR1010" t="s">
        <v>6966</v>
      </c>
      <c r="AS1010" t="s">
        <v>6966</v>
      </c>
      <c r="AT1010" t="s">
        <v>6966</v>
      </c>
      <c r="AU1010" t="s">
        <v>6966</v>
      </c>
      <c r="AV1010" t="s">
        <v>6966</v>
      </c>
      <c r="AW1010" t="s">
        <v>6966</v>
      </c>
      <c r="AX1010" t="s">
        <v>6966</v>
      </c>
      <c r="AY1010" t="s">
        <v>6966</v>
      </c>
      <c r="AZ1010">
        <v>4.7323999999999998E-2</v>
      </c>
      <c r="BA1010">
        <v>8.7999999999999998E-5</v>
      </c>
    </row>
    <row r="1011" spans="1:53" x14ac:dyDescent="0.25">
      <c r="A1011">
        <v>1009</v>
      </c>
      <c r="B1011" t="s">
        <v>7625</v>
      </c>
      <c r="C1011">
        <v>502048</v>
      </c>
      <c r="D1011" t="s">
        <v>56</v>
      </c>
      <c r="E1011" t="s">
        <v>36</v>
      </c>
      <c r="F1011">
        <v>885979</v>
      </c>
      <c r="G1011">
        <v>5550.2924800000001</v>
      </c>
      <c r="H1011">
        <v>976</v>
      </c>
      <c r="I1011">
        <v>1183</v>
      </c>
      <c r="J1011">
        <v>21344</v>
      </c>
      <c r="K1011" t="s">
        <v>7948</v>
      </c>
      <c r="L1011">
        <v>2</v>
      </c>
      <c r="M1011">
        <v>2</v>
      </c>
      <c r="N1011">
        <v>21344</v>
      </c>
      <c r="O1011">
        <v>953</v>
      </c>
      <c r="P1011" t="s">
        <v>3212</v>
      </c>
      <c r="Q1011">
        <v>8.9</v>
      </c>
      <c r="R1011">
        <v>42.06</v>
      </c>
      <c r="S1011">
        <v>3.09</v>
      </c>
      <c r="T1011">
        <v>15</v>
      </c>
      <c r="U1011">
        <v>885979.00723400002</v>
      </c>
      <c r="V1011">
        <v>5550.2924489999996</v>
      </c>
      <c r="W1011">
        <v>1010</v>
      </c>
      <c r="X1011">
        <v>0</v>
      </c>
      <c r="Y1011">
        <v>1009</v>
      </c>
      <c r="Z1011" t="s">
        <v>6966</v>
      </c>
      <c r="AA1011" t="s">
        <v>6966</v>
      </c>
      <c r="AB1011" t="s">
        <v>6966</v>
      </c>
      <c r="AC1011" t="s">
        <v>6966</v>
      </c>
      <c r="AD1011" t="s">
        <v>6966</v>
      </c>
      <c r="AE1011" t="s">
        <v>6966</v>
      </c>
      <c r="AF1011" t="s">
        <v>6966</v>
      </c>
      <c r="AG1011" t="s">
        <v>6966</v>
      </c>
      <c r="AH1011" t="s">
        <v>6966</v>
      </c>
      <c r="AI1011" t="s">
        <v>6966</v>
      </c>
      <c r="AJ1011" t="s">
        <v>6966</v>
      </c>
      <c r="AK1011" t="s">
        <v>6966</v>
      </c>
      <c r="AL1011" t="s">
        <v>6966</v>
      </c>
      <c r="AM1011" t="s">
        <v>6966</v>
      </c>
      <c r="AN1011" t="s">
        <v>6966</v>
      </c>
      <c r="AO1011" t="s">
        <v>6966</v>
      </c>
      <c r="AP1011" t="s">
        <v>6966</v>
      </c>
      <c r="AQ1011" t="s">
        <v>6966</v>
      </c>
      <c r="AR1011" t="s">
        <v>6966</v>
      </c>
      <c r="AS1011" t="s">
        <v>6966</v>
      </c>
      <c r="AT1011" t="s">
        <v>6966</v>
      </c>
      <c r="AU1011" t="s">
        <v>6966</v>
      </c>
      <c r="AV1011" t="s">
        <v>6966</v>
      </c>
      <c r="AW1011" t="s">
        <v>6966</v>
      </c>
      <c r="AX1011" t="s">
        <v>6966</v>
      </c>
      <c r="AY1011" t="s">
        <v>6966</v>
      </c>
      <c r="AZ1011">
        <v>5.5677999999999998E-2</v>
      </c>
      <c r="BA1011">
        <v>8.6000000000000003E-5</v>
      </c>
    </row>
    <row r="1012" spans="1:53" x14ac:dyDescent="0.25">
      <c r="A1012">
        <v>1010</v>
      </c>
      <c r="B1012" t="s">
        <v>7625</v>
      </c>
      <c r="C1012">
        <v>403035</v>
      </c>
      <c r="D1012" t="s">
        <v>1003</v>
      </c>
      <c r="E1012" t="s">
        <v>3045</v>
      </c>
      <c r="F1012">
        <v>6426139.5</v>
      </c>
      <c r="G1012">
        <v>14426.449219</v>
      </c>
      <c r="H1012">
        <v>977</v>
      </c>
      <c r="I1012">
        <v>1184</v>
      </c>
      <c r="J1012">
        <v>51257</v>
      </c>
      <c r="K1012" t="s">
        <v>2356</v>
      </c>
      <c r="L1012">
        <v>15</v>
      </c>
      <c r="M1012">
        <v>15</v>
      </c>
      <c r="N1012">
        <v>51257</v>
      </c>
      <c r="O1012">
        <v>954</v>
      </c>
      <c r="P1012" t="s">
        <v>3214</v>
      </c>
      <c r="Q1012">
        <v>1.6</v>
      </c>
      <c r="R1012">
        <v>177.38</v>
      </c>
      <c r="S1012">
        <v>0.47</v>
      </c>
      <c r="T1012">
        <v>52</v>
      </c>
      <c r="U1012">
        <v>6426139.6036499999</v>
      </c>
      <c r="V1012">
        <v>14426.44952</v>
      </c>
      <c r="W1012">
        <v>1011</v>
      </c>
      <c r="X1012">
        <v>0</v>
      </c>
      <c r="Y1012">
        <v>1010</v>
      </c>
      <c r="Z1012" t="s">
        <v>6966</v>
      </c>
      <c r="AA1012" t="s">
        <v>6966</v>
      </c>
      <c r="AB1012" t="s">
        <v>6966</v>
      </c>
      <c r="AC1012" t="s">
        <v>6966</v>
      </c>
      <c r="AD1012" t="s">
        <v>6966</v>
      </c>
      <c r="AE1012" t="s">
        <v>6966</v>
      </c>
      <c r="AF1012" t="s">
        <v>6966</v>
      </c>
      <c r="AG1012" t="s">
        <v>6966</v>
      </c>
      <c r="AH1012" t="s">
        <v>6966</v>
      </c>
      <c r="AI1012" t="s">
        <v>6966</v>
      </c>
      <c r="AJ1012" t="s">
        <v>6966</v>
      </c>
      <c r="AK1012" t="s">
        <v>6966</v>
      </c>
      <c r="AL1012" t="s">
        <v>6966</v>
      </c>
      <c r="AM1012" t="s">
        <v>6966</v>
      </c>
      <c r="AN1012" t="s">
        <v>6966</v>
      </c>
      <c r="AO1012" t="s">
        <v>6966</v>
      </c>
      <c r="AP1012" t="s">
        <v>6966</v>
      </c>
      <c r="AQ1012" t="s">
        <v>6966</v>
      </c>
      <c r="AR1012" t="s">
        <v>6966</v>
      </c>
      <c r="AS1012" t="s">
        <v>6966</v>
      </c>
      <c r="AT1012" t="s">
        <v>6966</v>
      </c>
      <c r="AU1012" t="s">
        <v>6966</v>
      </c>
      <c r="AV1012" t="s">
        <v>6966</v>
      </c>
      <c r="AW1012" t="s">
        <v>6966</v>
      </c>
      <c r="AX1012" t="s">
        <v>6966</v>
      </c>
      <c r="AY1012" t="s">
        <v>6966</v>
      </c>
      <c r="AZ1012">
        <v>0.14746000000000001</v>
      </c>
      <c r="BA1012">
        <v>6.2600000000000004E-4</v>
      </c>
    </row>
    <row r="1013" spans="1:53" x14ac:dyDescent="0.25">
      <c r="A1013">
        <v>1011</v>
      </c>
      <c r="B1013" t="s">
        <v>7625</v>
      </c>
      <c r="C1013">
        <v>501007</v>
      </c>
      <c r="D1013" t="s">
        <v>7949</v>
      </c>
      <c r="E1013" t="s">
        <v>1808</v>
      </c>
      <c r="F1013">
        <v>425347.9375</v>
      </c>
      <c r="G1013">
        <v>3669.6677249999998</v>
      </c>
      <c r="H1013">
        <v>978</v>
      </c>
      <c r="I1013">
        <v>1186</v>
      </c>
      <c r="J1013">
        <v>24317</v>
      </c>
      <c r="K1013" t="s">
        <v>7950</v>
      </c>
      <c r="L1013">
        <v>5</v>
      </c>
      <c r="M1013">
        <v>5</v>
      </c>
      <c r="N1013">
        <v>24317</v>
      </c>
      <c r="O1013">
        <v>955</v>
      </c>
      <c r="P1013" t="s">
        <v>3212</v>
      </c>
      <c r="Q1013">
        <v>2.5</v>
      </c>
      <c r="R1013">
        <v>12.24</v>
      </c>
      <c r="S1013">
        <v>2.02</v>
      </c>
      <c r="T1013">
        <v>10</v>
      </c>
      <c r="U1013">
        <v>425347.93296000001</v>
      </c>
      <c r="V1013">
        <v>3669.6681910000002</v>
      </c>
      <c r="W1013">
        <v>1012</v>
      </c>
      <c r="X1013">
        <v>0</v>
      </c>
      <c r="Y1013">
        <v>1011</v>
      </c>
      <c r="Z1013" t="s">
        <v>6966</v>
      </c>
      <c r="AA1013" t="s">
        <v>6966</v>
      </c>
      <c r="AB1013" t="s">
        <v>6966</v>
      </c>
      <c r="AC1013" t="s">
        <v>6966</v>
      </c>
      <c r="AD1013" t="s">
        <v>6966</v>
      </c>
      <c r="AE1013" t="s">
        <v>6966</v>
      </c>
      <c r="AF1013" t="s">
        <v>6966</v>
      </c>
      <c r="AG1013" t="s">
        <v>6966</v>
      </c>
      <c r="AH1013" t="s">
        <v>6966</v>
      </c>
      <c r="AI1013" t="s">
        <v>6966</v>
      </c>
      <c r="AJ1013" t="s">
        <v>6966</v>
      </c>
      <c r="AK1013" t="s">
        <v>6966</v>
      </c>
      <c r="AL1013" t="s">
        <v>6966</v>
      </c>
      <c r="AM1013" t="s">
        <v>6966</v>
      </c>
      <c r="AN1013" t="s">
        <v>6966</v>
      </c>
      <c r="AO1013" t="s">
        <v>6966</v>
      </c>
      <c r="AP1013" t="s">
        <v>6966</v>
      </c>
      <c r="AQ1013" t="s">
        <v>6966</v>
      </c>
      <c r="AR1013" t="s">
        <v>6966</v>
      </c>
      <c r="AS1013" t="s">
        <v>6966</v>
      </c>
      <c r="AT1013" t="s">
        <v>6966</v>
      </c>
      <c r="AU1013" t="s">
        <v>6966</v>
      </c>
      <c r="AV1013" t="s">
        <v>6966</v>
      </c>
      <c r="AW1013" t="s">
        <v>6966</v>
      </c>
      <c r="AX1013" t="s">
        <v>6966</v>
      </c>
      <c r="AY1013" t="s">
        <v>6966</v>
      </c>
      <c r="AZ1013">
        <v>3.5966999999999999E-2</v>
      </c>
      <c r="BA1013">
        <v>4.1E-5</v>
      </c>
    </row>
    <row r="1014" spans="1:53" x14ac:dyDescent="0.25">
      <c r="A1014">
        <v>1012</v>
      </c>
      <c r="B1014" t="s">
        <v>7625</v>
      </c>
      <c r="C1014">
        <v>501023</v>
      </c>
      <c r="D1014" t="s">
        <v>337</v>
      </c>
      <c r="E1014" t="s">
        <v>1808</v>
      </c>
      <c r="F1014">
        <v>5068390</v>
      </c>
      <c r="G1014">
        <v>12402.476563</v>
      </c>
      <c r="H1014">
        <v>979</v>
      </c>
      <c r="I1014">
        <v>1187</v>
      </c>
      <c r="J1014">
        <v>24414</v>
      </c>
      <c r="K1014" t="s">
        <v>1838</v>
      </c>
      <c r="L1014">
        <v>5</v>
      </c>
      <c r="M1014">
        <v>5</v>
      </c>
      <c r="N1014">
        <v>24414</v>
      </c>
      <c r="O1014">
        <v>956</v>
      </c>
      <c r="P1014" t="s">
        <v>3212</v>
      </c>
      <c r="Q1014">
        <v>0.9</v>
      </c>
      <c r="R1014">
        <v>6.16</v>
      </c>
      <c r="S1014">
        <v>1.85</v>
      </c>
      <c r="T1014">
        <v>13</v>
      </c>
      <c r="U1014">
        <v>5068390.2976200003</v>
      </c>
      <c r="V1014">
        <v>12402.475710000001</v>
      </c>
      <c r="W1014">
        <v>1013</v>
      </c>
      <c r="X1014">
        <v>0</v>
      </c>
      <c r="Y1014">
        <v>1012</v>
      </c>
      <c r="Z1014" t="s">
        <v>6966</v>
      </c>
      <c r="AA1014" t="s">
        <v>6966</v>
      </c>
      <c r="AB1014" t="s">
        <v>6966</v>
      </c>
      <c r="AC1014" t="s">
        <v>6966</v>
      </c>
      <c r="AD1014" t="s">
        <v>6966</v>
      </c>
      <c r="AE1014" t="s">
        <v>6966</v>
      </c>
      <c r="AF1014" t="s">
        <v>6966</v>
      </c>
      <c r="AG1014" t="s">
        <v>6966</v>
      </c>
      <c r="AH1014" t="s">
        <v>6966</v>
      </c>
      <c r="AI1014" t="s">
        <v>6966</v>
      </c>
      <c r="AJ1014" t="s">
        <v>6966</v>
      </c>
      <c r="AK1014" t="s">
        <v>6966</v>
      </c>
      <c r="AL1014" t="s">
        <v>6966</v>
      </c>
      <c r="AM1014" t="s">
        <v>6966</v>
      </c>
      <c r="AN1014" t="s">
        <v>6966</v>
      </c>
      <c r="AO1014" t="s">
        <v>6966</v>
      </c>
      <c r="AP1014" t="s">
        <v>6966</v>
      </c>
      <c r="AQ1014" t="s">
        <v>6966</v>
      </c>
      <c r="AR1014" t="s">
        <v>6966</v>
      </c>
      <c r="AS1014" t="s">
        <v>6966</v>
      </c>
      <c r="AT1014" t="s">
        <v>6966</v>
      </c>
      <c r="AU1014" t="s">
        <v>6966</v>
      </c>
      <c r="AV1014" t="s">
        <v>6966</v>
      </c>
      <c r="AW1014" t="s">
        <v>6966</v>
      </c>
      <c r="AX1014" t="s">
        <v>6966</v>
      </c>
      <c r="AY1014" t="s">
        <v>6966</v>
      </c>
      <c r="AZ1014">
        <v>0.12497</v>
      </c>
      <c r="BA1014">
        <v>4.9299999999999995E-4</v>
      </c>
    </row>
    <row r="1015" spans="1:53" x14ac:dyDescent="0.25">
      <c r="A1015">
        <v>1013</v>
      </c>
      <c r="B1015" t="s">
        <v>7625</v>
      </c>
      <c r="C1015">
        <v>501003</v>
      </c>
      <c r="D1015" t="s">
        <v>357</v>
      </c>
      <c r="E1015" t="s">
        <v>1808</v>
      </c>
      <c r="F1015">
        <v>0</v>
      </c>
      <c r="G1015">
        <v>27826.408202999999</v>
      </c>
      <c r="H1015">
        <v>980</v>
      </c>
      <c r="I1015">
        <v>1188</v>
      </c>
      <c r="J1015">
        <v>24477</v>
      </c>
      <c r="K1015" t="s">
        <v>7951</v>
      </c>
      <c r="L1015">
        <v>5</v>
      </c>
      <c r="M1015">
        <v>5</v>
      </c>
      <c r="N1015">
        <v>24477</v>
      </c>
      <c r="O1015">
        <v>957</v>
      </c>
      <c r="P1015" t="s">
        <v>3212</v>
      </c>
      <c r="Q1015">
        <v>0.8</v>
      </c>
      <c r="R1015">
        <v>58.83</v>
      </c>
      <c r="S1015">
        <v>0.3</v>
      </c>
      <c r="T1015">
        <v>24</v>
      </c>
      <c r="U1015">
        <v>0</v>
      </c>
      <c r="V1015">
        <v>27826.408933999999</v>
      </c>
      <c r="W1015">
        <v>1014</v>
      </c>
      <c r="X1015">
        <v>0</v>
      </c>
      <c r="Y1015">
        <v>1013</v>
      </c>
      <c r="Z1015" t="s">
        <v>6966</v>
      </c>
      <c r="AA1015" t="s">
        <v>6966</v>
      </c>
      <c r="AB1015" t="s">
        <v>6966</v>
      </c>
      <c r="AC1015" t="s">
        <v>6966</v>
      </c>
      <c r="AD1015" t="s">
        <v>6966</v>
      </c>
      <c r="AE1015" t="s">
        <v>6966</v>
      </c>
      <c r="AF1015" t="s">
        <v>6966</v>
      </c>
      <c r="AG1015" t="s">
        <v>6966</v>
      </c>
      <c r="AH1015" t="s">
        <v>6966</v>
      </c>
      <c r="AI1015" t="s">
        <v>6966</v>
      </c>
      <c r="AJ1015" t="s">
        <v>6966</v>
      </c>
      <c r="AK1015" t="s">
        <v>6966</v>
      </c>
      <c r="AL1015" t="s">
        <v>6966</v>
      </c>
      <c r="AM1015" t="s">
        <v>6966</v>
      </c>
      <c r="AN1015" t="s">
        <v>6966</v>
      </c>
      <c r="AO1015" t="s">
        <v>6966</v>
      </c>
      <c r="AP1015" t="s">
        <v>6966</v>
      </c>
      <c r="AQ1015" t="s">
        <v>6966</v>
      </c>
      <c r="AR1015" t="s">
        <v>6966</v>
      </c>
      <c r="AS1015" t="s">
        <v>6966</v>
      </c>
      <c r="AT1015" t="s">
        <v>6966</v>
      </c>
      <c r="AU1015" t="s">
        <v>6966</v>
      </c>
      <c r="AV1015" t="s">
        <v>6966</v>
      </c>
      <c r="AW1015" t="s">
        <v>6966</v>
      </c>
      <c r="AX1015" t="s">
        <v>6966</v>
      </c>
      <c r="AY1015" t="s">
        <v>6966</v>
      </c>
      <c r="AZ1015">
        <v>0.28268399999999999</v>
      </c>
      <c r="BA1015">
        <v>2.516E-3</v>
      </c>
    </row>
    <row r="1016" spans="1:53" x14ac:dyDescent="0.25">
      <c r="A1016">
        <v>1014</v>
      </c>
      <c r="B1016" t="s">
        <v>7625</v>
      </c>
      <c r="C1016">
        <v>501002</v>
      </c>
      <c r="D1016" t="s">
        <v>297</v>
      </c>
      <c r="E1016" t="s">
        <v>1808</v>
      </c>
      <c r="F1016">
        <v>4076439.75</v>
      </c>
      <c r="G1016">
        <v>12595.699219</v>
      </c>
      <c r="H1016">
        <v>981</v>
      </c>
      <c r="I1016">
        <v>1189</v>
      </c>
      <c r="J1016">
        <v>24259</v>
      </c>
      <c r="K1016" t="s">
        <v>7952</v>
      </c>
      <c r="L1016">
        <v>5</v>
      </c>
      <c r="M1016">
        <v>5</v>
      </c>
      <c r="N1016">
        <v>24259</v>
      </c>
      <c r="O1016">
        <v>958</v>
      </c>
      <c r="P1016" t="s">
        <v>3212</v>
      </c>
      <c r="Q1016">
        <v>5.2</v>
      </c>
      <c r="R1016">
        <v>39.57</v>
      </c>
      <c r="S1016">
        <v>2.23</v>
      </c>
      <c r="T1016">
        <v>17</v>
      </c>
      <c r="U1016">
        <v>4076439.76553</v>
      </c>
      <c r="V1016">
        <v>12595.699966</v>
      </c>
      <c r="W1016">
        <v>1015</v>
      </c>
      <c r="X1016">
        <v>0</v>
      </c>
      <c r="Y1016">
        <v>1014</v>
      </c>
      <c r="Z1016" t="s">
        <v>6966</v>
      </c>
      <c r="AA1016" t="s">
        <v>6966</v>
      </c>
      <c r="AB1016" t="s">
        <v>6966</v>
      </c>
      <c r="AC1016" t="s">
        <v>6966</v>
      </c>
      <c r="AD1016" t="s">
        <v>6966</v>
      </c>
      <c r="AE1016" t="s">
        <v>6966</v>
      </c>
      <c r="AF1016" t="s">
        <v>6966</v>
      </c>
      <c r="AG1016" t="s">
        <v>6966</v>
      </c>
      <c r="AH1016" t="s">
        <v>6966</v>
      </c>
      <c r="AI1016" t="s">
        <v>6966</v>
      </c>
      <c r="AJ1016" t="s">
        <v>6966</v>
      </c>
      <c r="AK1016" t="s">
        <v>6966</v>
      </c>
      <c r="AL1016" t="s">
        <v>6966</v>
      </c>
      <c r="AM1016" t="s">
        <v>6966</v>
      </c>
      <c r="AN1016" t="s">
        <v>6966</v>
      </c>
      <c r="AO1016" t="s">
        <v>6966</v>
      </c>
      <c r="AP1016" t="s">
        <v>6966</v>
      </c>
      <c r="AQ1016" t="s">
        <v>6966</v>
      </c>
      <c r="AR1016" t="s">
        <v>6966</v>
      </c>
      <c r="AS1016" t="s">
        <v>6966</v>
      </c>
      <c r="AT1016" t="s">
        <v>6966</v>
      </c>
      <c r="AU1016" t="s">
        <v>6966</v>
      </c>
      <c r="AV1016" t="s">
        <v>6966</v>
      </c>
      <c r="AW1016" t="s">
        <v>6966</v>
      </c>
      <c r="AX1016" t="s">
        <v>6966</v>
      </c>
      <c r="AY1016" t="s">
        <v>6966</v>
      </c>
      <c r="AZ1016">
        <v>0.124136</v>
      </c>
      <c r="BA1016">
        <v>3.97E-4</v>
      </c>
    </row>
    <row r="1017" spans="1:53" x14ac:dyDescent="0.25">
      <c r="A1017">
        <v>1015</v>
      </c>
      <c r="B1017" t="s">
        <v>7625</v>
      </c>
      <c r="C1017">
        <v>501064</v>
      </c>
      <c r="D1017" t="s">
        <v>7953</v>
      </c>
      <c r="E1017" t="s">
        <v>1808</v>
      </c>
      <c r="F1017">
        <v>865611.5</v>
      </c>
      <c r="G1017">
        <v>5212.0307620000003</v>
      </c>
      <c r="H1017">
        <v>982</v>
      </c>
      <c r="I1017">
        <v>1190</v>
      </c>
      <c r="J1017">
        <v>24315</v>
      </c>
      <c r="K1017" t="s">
        <v>1810</v>
      </c>
      <c r="L1017">
        <v>5</v>
      </c>
      <c r="M1017">
        <v>5</v>
      </c>
      <c r="N1017">
        <v>24315</v>
      </c>
      <c r="O1017">
        <v>959</v>
      </c>
      <c r="P1017" t="s">
        <v>3212</v>
      </c>
      <c r="Q1017">
        <v>41.9</v>
      </c>
      <c r="R1017">
        <v>59.08</v>
      </c>
      <c r="S1017">
        <v>15.1</v>
      </c>
      <c r="T1017">
        <v>21</v>
      </c>
      <c r="U1017">
        <v>865611.50650699995</v>
      </c>
      <c r="V1017">
        <v>5212.0311650000003</v>
      </c>
      <c r="W1017">
        <v>1016</v>
      </c>
      <c r="X1017">
        <v>0</v>
      </c>
      <c r="Y1017">
        <v>1015</v>
      </c>
      <c r="Z1017" t="s">
        <v>6966</v>
      </c>
      <c r="AA1017" t="s">
        <v>6966</v>
      </c>
      <c r="AB1017" t="s">
        <v>6966</v>
      </c>
      <c r="AC1017" t="s">
        <v>6966</v>
      </c>
      <c r="AD1017" t="s">
        <v>6966</v>
      </c>
      <c r="AE1017" t="s">
        <v>6966</v>
      </c>
      <c r="AF1017" t="s">
        <v>6966</v>
      </c>
      <c r="AG1017" t="s">
        <v>6966</v>
      </c>
      <c r="AH1017" t="s">
        <v>6966</v>
      </c>
      <c r="AI1017" t="s">
        <v>6966</v>
      </c>
      <c r="AJ1017" t="s">
        <v>6966</v>
      </c>
      <c r="AK1017" t="s">
        <v>6966</v>
      </c>
      <c r="AL1017" t="s">
        <v>6966</v>
      </c>
      <c r="AM1017" t="s">
        <v>6966</v>
      </c>
      <c r="AN1017" t="s">
        <v>6966</v>
      </c>
      <c r="AO1017" t="s">
        <v>6966</v>
      </c>
      <c r="AP1017" t="s">
        <v>6966</v>
      </c>
      <c r="AQ1017" t="s">
        <v>6966</v>
      </c>
      <c r="AR1017" t="s">
        <v>6966</v>
      </c>
      <c r="AS1017" t="s">
        <v>6966</v>
      </c>
      <c r="AT1017" t="s">
        <v>6966</v>
      </c>
      <c r="AU1017" t="s">
        <v>6966</v>
      </c>
      <c r="AV1017" t="s">
        <v>6966</v>
      </c>
      <c r="AW1017" t="s">
        <v>6966</v>
      </c>
      <c r="AX1017" t="s">
        <v>6966</v>
      </c>
      <c r="AY1017" t="s">
        <v>6966</v>
      </c>
      <c r="AZ1017">
        <v>5.2405E-2</v>
      </c>
      <c r="BA1017">
        <v>8.3999999999999995E-5</v>
      </c>
    </row>
    <row r="1018" spans="1:53" x14ac:dyDescent="0.25">
      <c r="A1018">
        <v>1016</v>
      </c>
      <c r="B1018" t="s">
        <v>7625</v>
      </c>
      <c r="C1018">
        <v>501070</v>
      </c>
      <c r="D1018" t="s">
        <v>341</v>
      </c>
      <c r="E1018" t="s">
        <v>1808</v>
      </c>
      <c r="F1018">
        <v>3120617.25</v>
      </c>
      <c r="G1018">
        <v>11431.290039</v>
      </c>
      <c r="H1018">
        <v>983</v>
      </c>
      <c r="I1018">
        <v>1191</v>
      </c>
      <c r="J1018">
        <v>24427</v>
      </c>
      <c r="K1018" t="s">
        <v>7954</v>
      </c>
      <c r="L1018">
        <v>5</v>
      </c>
      <c r="M1018">
        <v>5</v>
      </c>
      <c r="N1018">
        <v>24427</v>
      </c>
      <c r="O1018">
        <v>960</v>
      </c>
      <c r="P1018" t="s">
        <v>3212</v>
      </c>
      <c r="Q1018">
        <v>4.5</v>
      </c>
      <c r="R1018">
        <v>14.86</v>
      </c>
      <c r="S1018">
        <v>3.45</v>
      </c>
      <c r="T1018">
        <v>11</v>
      </c>
      <c r="U1018">
        <v>3120617.3792500002</v>
      </c>
      <c r="V1018">
        <v>11431.290128000001</v>
      </c>
      <c r="W1018">
        <v>1017</v>
      </c>
      <c r="X1018">
        <v>0</v>
      </c>
      <c r="Y1018">
        <v>1016</v>
      </c>
      <c r="Z1018" t="s">
        <v>6966</v>
      </c>
      <c r="AA1018" t="s">
        <v>6966</v>
      </c>
      <c r="AB1018" t="s">
        <v>6966</v>
      </c>
      <c r="AC1018" t="s">
        <v>6966</v>
      </c>
      <c r="AD1018" t="s">
        <v>6966</v>
      </c>
      <c r="AE1018" t="s">
        <v>6966</v>
      </c>
      <c r="AF1018" t="s">
        <v>6966</v>
      </c>
      <c r="AG1018" t="s">
        <v>6966</v>
      </c>
      <c r="AH1018" t="s">
        <v>6966</v>
      </c>
      <c r="AI1018" t="s">
        <v>6966</v>
      </c>
      <c r="AJ1018" t="s">
        <v>6966</v>
      </c>
      <c r="AK1018" t="s">
        <v>6966</v>
      </c>
      <c r="AL1018" t="s">
        <v>6966</v>
      </c>
      <c r="AM1018" t="s">
        <v>6966</v>
      </c>
      <c r="AN1018" t="s">
        <v>6966</v>
      </c>
      <c r="AO1018" t="s">
        <v>6966</v>
      </c>
      <c r="AP1018" t="s">
        <v>6966</v>
      </c>
      <c r="AQ1018" t="s">
        <v>6966</v>
      </c>
      <c r="AR1018" t="s">
        <v>6966</v>
      </c>
      <c r="AS1018" t="s">
        <v>6966</v>
      </c>
      <c r="AT1018" t="s">
        <v>6966</v>
      </c>
      <c r="AU1018" t="s">
        <v>6966</v>
      </c>
      <c r="AV1018" t="s">
        <v>6966</v>
      </c>
      <c r="AW1018" t="s">
        <v>6966</v>
      </c>
      <c r="AX1018" t="s">
        <v>6966</v>
      </c>
      <c r="AY1018" t="s">
        <v>6966</v>
      </c>
      <c r="AZ1018">
        <v>0.117008</v>
      </c>
      <c r="BA1018">
        <v>3.0400000000000002E-4</v>
      </c>
    </row>
    <row r="1019" spans="1:53" x14ac:dyDescent="0.25">
      <c r="A1019">
        <v>1017</v>
      </c>
      <c r="B1019" t="s">
        <v>7625</v>
      </c>
      <c r="C1019">
        <v>501014</v>
      </c>
      <c r="D1019" t="s">
        <v>311</v>
      </c>
      <c r="E1019" t="s">
        <v>1808</v>
      </c>
      <c r="F1019">
        <v>2399276.75</v>
      </c>
      <c r="G1019">
        <v>8763.7861329999996</v>
      </c>
      <c r="H1019">
        <v>984</v>
      </c>
      <c r="I1019">
        <v>1192</v>
      </c>
      <c r="J1019">
        <v>24329</v>
      </c>
      <c r="K1019" t="s">
        <v>7955</v>
      </c>
      <c r="L1019">
        <v>5</v>
      </c>
      <c r="M1019">
        <v>5</v>
      </c>
      <c r="N1019">
        <v>24329</v>
      </c>
      <c r="O1019">
        <v>961</v>
      </c>
      <c r="P1019" t="s">
        <v>3212</v>
      </c>
      <c r="Q1019">
        <v>4.5999999999999996</v>
      </c>
      <c r="R1019">
        <v>17.29</v>
      </c>
      <c r="S1019">
        <v>2.84</v>
      </c>
      <c r="T1019">
        <v>11</v>
      </c>
      <c r="U1019">
        <v>2399276.5940999999</v>
      </c>
      <c r="V1019">
        <v>8763.7856449999999</v>
      </c>
      <c r="W1019">
        <v>1018</v>
      </c>
      <c r="X1019">
        <v>0</v>
      </c>
      <c r="Y1019">
        <v>1017</v>
      </c>
      <c r="Z1019" t="s">
        <v>6966</v>
      </c>
      <c r="AA1019" t="s">
        <v>6966</v>
      </c>
      <c r="AB1019" t="s">
        <v>6966</v>
      </c>
      <c r="AC1019" t="s">
        <v>6966</v>
      </c>
      <c r="AD1019" t="s">
        <v>6966</v>
      </c>
      <c r="AE1019" t="s">
        <v>6966</v>
      </c>
      <c r="AF1019" t="s">
        <v>6966</v>
      </c>
      <c r="AG1019" t="s">
        <v>6966</v>
      </c>
      <c r="AH1019" t="s">
        <v>6966</v>
      </c>
      <c r="AI1019" t="s">
        <v>6966</v>
      </c>
      <c r="AJ1019" t="s">
        <v>6966</v>
      </c>
      <c r="AK1019" t="s">
        <v>6966</v>
      </c>
      <c r="AL1019" t="s">
        <v>6966</v>
      </c>
      <c r="AM1019" t="s">
        <v>6966</v>
      </c>
      <c r="AN1019" t="s">
        <v>6966</v>
      </c>
      <c r="AO1019" t="s">
        <v>6966</v>
      </c>
      <c r="AP1019" t="s">
        <v>6966</v>
      </c>
      <c r="AQ1019" t="s">
        <v>6966</v>
      </c>
      <c r="AR1019" t="s">
        <v>6966</v>
      </c>
      <c r="AS1019" t="s">
        <v>6966</v>
      </c>
      <c r="AT1019" t="s">
        <v>6966</v>
      </c>
      <c r="AU1019" t="s">
        <v>6966</v>
      </c>
      <c r="AV1019" t="s">
        <v>6966</v>
      </c>
      <c r="AW1019" t="s">
        <v>6966</v>
      </c>
      <c r="AX1019" t="s">
        <v>6966</v>
      </c>
      <c r="AY1019" t="s">
        <v>6966</v>
      </c>
      <c r="AZ1019">
        <v>8.7175000000000002E-2</v>
      </c>
      <c r="BA1019">
        <v>2.33E-4</v>
      </c>
    </row>
    <row r="1020" spans="1:53" x14ac:dyDescent="0.25">
      <c r="A1020">
        <v>1018</v>
      </c>
      <c r="B1020" t="s">
        <v>7625</v>
      </c>
      <c r="C1020">
        <v>501029</v>
      </c>
      <c r="D1020" t="s">
        <v>306</v>
      </c>
      <c r="E1020" t="s">
        <v>1808</v>
      </c>
      <c r="F1020">
        <v>1106380.875</v>
      </c>
      <c r="G1020">
        <v>5384.0878910000001</v>
      </c>
      <c r="H1020">
        <v>985</v>
      </c>
      <c r="I1020">
        <v>1193</v>
      </c>
      <c r="J1020">
        <v>24319</v>
      </c>
      <c r="K1020" t="s">
        <v>1812</v>
      </c>
      <c r="L1020">
        <v>5</v>
      </c>
      <c r="M1020">
        <v>5</v>
      </c>
      <c r="N1020">
        <v>24319</v>
      </c>
      <c r="O1020">
        <v>962</v>
      </c>
      <c r="P1020" t="s">
        <v>3212</v>
      </c>
      <c r="Q1020">
        <v>3.9</v>
      </c>
      <c r="R1020">
        <v>15.48</v>
      </c>
      <c r="S1020">
        <v>3.22</v>
      </c>
      <c r="T1020">
        <v>13</v>
      </c>
      <c r="U1020">
        <v>1106380.88283</v>
      </c>
      <c r="V1020">
        <v>5384.0875980000001</v>
      </c>
      <c r="W1020">
        <v>1019</v>
      </c>
      <c r="X1020">
        <v>0</v>
      </c>
      <c r="Y1020">
        <v>1018</v>
      </c>
      <c r="Z1020" t="s">
        <v>6966</v>
      </c>
      <c r="AA1020" t="s">
        <v>6966</v>
      </c>
      <c r="AB1020" t="s">
        <v>6966</v>
      </c>
      <c r="AC1020" t="s">
        <v>6966</v>
      </c>
      <c r="AD1020" t="s">
        <v>6966</v>
      </c>
      <c r="AE1020" t="s">
        <v>6966</v>
      </c>
      <c r="AF1020" t="s">
        <v>6966</v>
      </c>
      <c r="AG1020" t="s">
        <v>6966</v>
      </c>
      <c r="AH1020" t="s">
        <v>6966</v>
      </c>
      <c r="AI1020" t="s">
        <v>6966</v>
      </c>
      <c r="AJ1020" t="s">
        <v>6966</v>
      </c>
      <c r="AK1020" t="s">
        <v>6966</v>
      </c>
      <c r="AL1020" t="s">
        <v>6966</v>
      </c>
      <c r="AM1020" t="s">
        <v>6966</v>
      </c>
      <c r="AN1020" t="s">
        <v>6966</v>
      </c>
      <c r="AO1020" t="s">
        <v>6966</v>
      </c>
      <c r="AP1020" t="s">
        <v>6966</v>
      </c>
      <c r="AQ1020" t="s">
        <v>6966</v>
      </c>
      <c r="AR1020" t="s">
        <v>6966</v>
      </c>
      <c r="AS1020" t="s">
        <v>6966</v>
      </c>
      <c r="AT1020" t="s">
        <v>6966</v>
      </c>
      <c r="AU1020" t="s">
        <v>6966</v>
      </c>
      <c r="AV1020" t="s">
        <v>6966</v>
      </c>
      <c r="AW1020" t="s">
        <v>6966</v>
      </c>
      <c r="AX1020" t="s">
        <v>6966</v>
      </c>
      <c r="AY1020" t="s">
        <v>6966</v>
      </c>
      <c r="AZ1020">
        <v>5.4125E-2</v>
      </c>
      <c r="BA1020">
        <v>1.08E-4</v>
      </c>
    </row>
    <row r="1021" spans="1:53" x14ac:dyDescent="0.25">
      <c r="A1021">
        <v>1019</v>
      </c>
      <c r="B1021" t="s">
        <v>7625</v>
      </c>
      <c r="C1021">
        <v>501026</v>
      </c>
      <c r="D1021" t="s">
        <v>307</v>
      </c>
      <c r="E1021" t="s">
        <v>1808</v>
      </c>
      <c r="F1021">
        <v>935809.625</v>
      </c>
      <c r="G1021">
        <v>4768.3984380000002</v>
      </c>
      <c r="H1021">
        <v>986</v>
      </c>
      <c r="I1021">
        <v>1194</v>
      </c>
      <c r="J1021">
        <v>24321</v>
      </c>
      <c r="K1021" t="s">
        <v>307</v>
      </c>
      <c r="L1021">
        <v>5</v>
      </c>
      <c r="M1021">
        <v>5</v>
      </c>
      <c r="N1021">
        <v>24321</v>
      </c>
      <c r="O1021">
        <v>963</v>
      </c>
      <c r="P1021" t="s">
        <v>3212</v>
      </c>
      <c r="Q1021">
        <v>4.8</v>
      </c>
      <c r="R1021">
        <v>14.84</v>
      </c>
      <c r="S1021">
        <v>2.2999999999999998</v>
      </c>
      <c r="T1021">
        <v>7</v>
      </c>
      <c r="U1021">
        <v>935809.67920699995</v>
      </c>
      <c r="V1021">
        <v>4768.3988559999998</v>
      </c>
      <c r="W1021">
        <v>1020</v>
      </c>
      <c r="X1021">
        <v>0</v>
      </c>
      <c r="Y1021">
        <v>1019</v>
      </c>
      <c r="Z1021" t="s">
        <v>6966</v>
      </c>
      <c r="AA1021" t="s">
        <v>6966</v>
      </c>
      <c r="AB1021" t="s">
        <v>6966</v>
      </c>
      <c r="AC1021" t="s">
        <v>6966</v>
      </c>
      <c r="AD1021" t="s">
        <v>6966</v>
      </c>
      <c r="AE1021" t="s">
        <v>6966</v>
      </c>
      <c r="AF1021" t="s">
        <v>6966</v>
      </c>
      <c r="AG1021" t="s">
        <v>6966</v>
      </c>
      <c r="AH1021" t="s">
        <v>6966</v>
      </c>
      <c r="AI1021" t="s">
        <v>6966</v>
      </c>
      <c r="AJ1021" t="s">
        <v>6966</v>
      </c>
      <c r="AK1021" t="s">
        <v>6966</v>
      </c>
      <c r="AL1021" t="s">
        <v>6966</v>
      </c>
      <c r="AM1021" t="s">
        <v>6966</v>
      </c>
      <c r="AN1021" t="s">
        <v>6966</v>
      </c>
      <c r="AO1021" t="s">
        <v>6966</v>
      </c>
      <c r="AP1021" t="s">
        <v>6966</v>
      </c>
      <c r="AQ1021" t="s">
        <v>6966</v>
      </c>
      <c r="AR1021" t="s">
        <v>6966</v>
      </c>
      <c r="AS1021" t="s">
        <v>6966</v>
      </c>
      <c r="AT1021" t="s">
        <v>6966</v>
      </c>
      <c r="AU1021" t="s">
        <v>6966</v>
      </c>
      <c r="AV1021" t="s">
        <v>6966</v>
      </c>
      <c r="AW1021" t="s">
        <v>6966</v>
      </c>
      <c r="AX1021" t="s">
        <v>6966</v>
      </c>
      <c r="AY1021" t="s">
        <v>6966</v>
      </c>
      <c r="AZ1021">
        <v>4.7087999999999998E-2</v>
      </c>
      <c r="BA1021">
        <v>9.1000000000000003E-5</v>
      </c>
    </row>
    <row r="1022" spans="1:53" x14ac:dyDescent="0.25">
      <c r="A1022">
        <v>1020</v>
      </c>
      <c r="B1022" t="s">
        <v>7625</v>
      </c>
      <c r="C1022">
        <v>501043</v>
      </c>
      <c r="D1022" t="s">
        <v>290</v>
      </c>
      <c r="E1022" t="s">
        <v>1808</v>
      </c>
      <c r="F1022">
        <v>2670136.75</v>
      </c>
      <c r="G1022">
        <v>9243.9404300000006</v>
      </c>
      <c r="H1022">
        <v>987</v>
      </c>
      <c r="I1022">
        <v>1195</v>
      </c>
      <c r="J1022">
        <v>24177</v>
      </c>
      <c r="K1022" t="s">
        <v>1797</v>
      </c>
      <c r="L1022">
        <v>5</v>
      </c>
      <c r="M1022">
        <v>5</v>
      </c>
      <c r="N1022">
        <v>24177</v>
      </c>
      <c r="O1022">
        <v>964</v>
      </c>
      <c r="P1022" t="s">
        <v>3212</v>
      </c>
      <c r="Q1022">
        <v>6.8</v>
      </c>
      <c r="R1022">
        <v>25.12</v>
      </c>
      <c r="S1022">
        <v>2.2999999999999998</v>
      </c>
      <c r="T1022">
        <v>8</v>
      </c>
      <c r="U1022">
        <v>2670136.8219499998</v>
      </c>
      <c r="V1022">
        <v>9243.9419350000007</v>
      </c>
      <c r="W1022">
        <v>1021</v>
      </c>
      <c r="X1022">
        <v>1</v>
      </c>
      <c r="Y1022">
        <v>1020</v>
      </c>
      <c r="Z1022">
        <v>76382</v>
      </c>
      <c r="AA1022" s="76">
        <v>45995</v>
      </c>
      <c r="AB1022">
        <v>2025</v>
      </c>
      <c r="AC1022" t="s">
        <v>7557</v>
      </c>
      <c r="AD1022">
        <v>4</v>
      </c>
      <c r="AE1022" t="s">
        <v>7561</v>
      </c>
      <c r="AF1022" t="s">
        <v>3212</v>
      </c>
      <c r="AG1022" t="s">
        <v>1808</v>
      </c>
      <c r="AH1022" t="s">
        <v>290</v>
      </c>
      <c r="AI1022" t="s">
        <v>7562</v>
      </c>
      <c r="AJ1022" t="s">
        <v>6966</v>
      </c>
      <c r="AK1022">
        <v>33.793309999999998</v>
      </c>
      <c r="AL1022">
        <v>35.516219999999997</v>
      </c>
      <c r="AM1022" t="s">
        <v>7013</v>
      </c>
      <c r="AN1022" t="s">
        <v>6995</v>
      </c>
      <c r="AO1022" t="s">
        <v>7008</v>
      </c>
      <c r="AP1022" t="s">
        <v>7563</v>
      </c>
      <c r="AQ1022" t="s">
        <v>6998</v>
      </c>
      <c r="AR1022" t="s">
        <v>6999</v>
      </c>
      <c r="AS1022" t="s">
        <v>7000</v>
      </c>
      <c r="AT1022">
        <v>0</v>
      </c>
      <c r="AU1022">
        <v>0</v>
      </c>
      <c r="AV1022" t="s">
        <v>7560</v>
      </c>
      <c r="AW1022" t="s">
        <v>7018</v>
      </c>
      <c r="AX1022" t="s">
        <v>6966</v>
      </c>
      <c r="AY1022" t="s">
        <v>7003</v>
      </c>
      <c r="AZ1022">
        <v>9.3427999999999997E-2</v>
      </c>
      <c r="BA1022">
        <v>2.5999999999999998E-4</v>
      </c>
    </row>
    <row r="1023" spans="1:53" x14ac:dyDescent="0.25">
      <c r="A1023">
        <v>1021</v>
      </c>
      <c r="B1023" t="s">
        <v>7625</v>
      </c>
      <c r="C1023">
        <v>403038</v>
      </c>
      <c r="D1023" t="s">
        <v>997</v>
      </c>
      <c r="E1023" t="s">
        <v>3045</v>
      </c>
      <c r="F1023">
        <v>0</v>
      </c>
      <c r="G1023">
        <v>19715.884765999999</v>
      </c>
      <c r="H1023">
        <v>988</v>
      </c>
      <c r="I1023">
        <v>1196</v>
      </c>
      <c r="J1023">
        <v>51234</v>
      </c>
      <c r="K1023" t="s">
        <v>2350</v>
      </c>
      <c r="L1023">
        <v>15</v>
      </c>
      <c r="M1023">
        <v>15</v>
      </c>
      <c r="N1023">
        <v>51234</v>
      </c>
      <c r="O1023">
        <v>965</v>
      </c>
      <c r="P1023" t="s">
        <v>3214</v>
      </c>
      <c r="Q1023">
        <v>8.6</v>
      </c>
      <c r="R1023">
        <v>134.4</v>
      </c>
      <c r="S1023">
        <v>2.19</v>
      </c>
      <c r="T1023">
        <v>36</v>
      </c>
      <c r="U1023">
        <v>0</v>
      </c>
      <c r="V1023">
        <v>19715.884764999999</v>
      </c>
      <c r="W1023">
        <v>1022</v>
      </c>
      <c r="X1023">
        <v>1</v>
      </c>
      <c r="Y1023">
        <v>1021</v>
      </c>
      <c r="Z1023">
        <v>65741</v>
      </c>
      <c r="AA1023" s="76">
        <v>45852</v>
      </c>
      <c r="AB1023">
        <v>2025</v>
      </c>
      <c r="AC1023" t="s">
        <v>7313</v>
      </c>
      <c r="AD1023">
        <v>14</v>
      </c>
      <c r="AE1023" t="s">
        <v>7338</v>
      </c>
      <c r="AF1023" t="s">
        <v>3214</v>
      </c>
      <c r="AG1023" t="s">
        <v>3045</v>
      </c>
      <c r="AH1023" t="s">
        <v>997</v>
      </c>
      <c r="AI1023" t="s">
        <v>997</v>
      </c>
      <c r="AJ1023" t="s">
        <v>6966</v>
      </c>
      <c r="AK1023">
        <v>33.794319999999999</v>
      </c>
      <c r="AL1023">
        <v>35.820270000000001</v>
      </c>
      <c r="AM1023" t="s">
        <v>6995</v>
      </c>
      <c r="AN1023" t="s">
        <v>6966</v>
      </c>
      <c r="AO1023" t="s">
        <v>7077</v>
      </c>
      <c r="AP1023" t="s">
        <v>7339</v>
      </c>
      <c r="AQ1023" t="s">
        <v>6998</v>
      </c>
      <c r="AR1023" t="s">
        <v>6999</v>
      </c>
      <c r="AS1023" t="s">
        <v>7071</v>
      </c>
      <c r="AT1023">
        <v>0</v>
      </c>
      <c r="AU1023">
        <v>0</v>
      </c>
      <c r="AV1023" t="s">
        <v>6966</v>
      </c>
      <c r="AW1023" t="s">
        <v>7041</v>
      </c>
      <c r="AX1023" t="s">
        <v>6966</v>
      </c>
      <c r="AY1023" t="s">
        <v>7044</v>
      </c>
      <c r="AZ1023">
        <v>0.19073699999999999</v>
      </c>
      <c r="BA1023">
        <v>1.2689999999999999E-3</v>
      </c>
    </row>
    <row r="1024" spans="1:53" x14ac:dyDescent="0.25">
      <c r="A1024">
        <v>1022</v>
      </c>
      <c r="B1024" t="s">
        <v>7625</v>
      </c>
      <c r="C1024">
        <v>403005</v>
      </c>
      <c r="D1024" t="s">
        <v>1006</v>
      </c>
      <c r="E1024" t="s">
        <v>3045</v>
      </c>
      <c r="F1024">
        <v>0</v>
      </c>
      <c r="G1024">
        <v>23298.958984000001</v>
      </c>
      <c r="H1024">
        <v>989</v>
      </c>
      <c r="I1024">
        <v>1197</v>
      </c>
      <c r="J1024">
        <v>51267</v>
      </c>
      <c r="K1024" t="s">
        <v>2359</v>
      </c>
      <c r="L1024">
        <v>15</v>
      </c>
      <c r="M1024">
        <v>15</v>
      </c>
      <c r="N1024">
        <v>51267</v>
      </c>
      <c r="O1024">
        <v>966</v>
      </c>
      <c r="P1024" t="s">
        <v>3214</v>
      </c>
      <c r="Q1024">
        <v>4.4000000000000004</v>
      </c>
      <c r="R1024">
        <v>86.63</v>
      </c>
      <c r="S1024">
        <v>0.95</v>
      </c>
      <c r="T1024">
        <v>19</v>
      </c>
      <c r="U1024">
        <v>0</v>
      </c>
      <c r="V1024">
        <v>23298.9594</v>
      </c>
      <c r="W1024">
        <v>1023</v>
      </c>
      <c r="X1024">
        <v>1</v>
      </c>
      <c r="Y1024">
        <v>1022</v>
      </c>
      <c r="Z1024">
        <v>77617</v>
      </c>
      <c r="AA1024" s="76">
        <v>46013</v>
      </c>
      <c r="AB1024">
        <v>2025</v>
      </c>
      <c r="AC1024" t="s">
        <v>7557</v>
      </c>
      <c r="AD1024">
        <v>22</v>
      </c>
      <c r="AE1024" t="s">
        <v>7578</v>
      </c>
      <c r="AF1024" t="s">
        <v>3214</v>
      </c>
      <c r="AG1024" t="s">
        <v>3045</v>
      </c>
      <c r="AH1024" t="s">
        <v>1006</v>
      </c>
      <c r="AI1024" t="s">
        <v>3077</v>
      </c>
      <c r="AJ1024" t="s">
        <v>6966</v>
      </c>
      <c r="AK1024">
        <v>33.77637</v>
      </c>
      <c r="AL1024">
        <v>35.903289999999998</v>
      </c>
      <c r="AM1024" t="s">
        <v>7151</v>
      </c>
      <c r="AN1024" t="s">
        <v>7028</v>
      </c>
      <c r="AO1024" t="s">
        <v>7008</v>
      </c>
      <c r="AP1024" t="s">
        <v>7579</v>
      </c>
      <c r="AQ1024" t="s">
        <v>6998</v>
      </c>
      <c r="AR1024" t="s">
        <v>6999</v>
      </c>
      <c r="AS1024" t="s">
        <v>7000</v>
      </c>
      <c r="AT1024">
        <v>0</v>
      </c>
      <c r="AU1024">
        <v>0</v>
      </c>
      <c r="AV1024" t="s">
        <v>7580</v>
      </c>
      <c r="AW1024" t="s">
        <v>7043</v>
      </c>
      <c r="AX1024" t="s">
        <v>6966</v>
      </c>
      <c r="AY1024" t="s">
        <v>7003</v>
      </c>
      <c r="AZ1024">
        <v>0.231792</v>
      </c>
      <c r="BA1024">
        <v>2.3540000000000002E-3</v>
      </c>
    </row>
    <row r="1025" spans="1:53" x14ac:dyDescent="0.25">
      <c r="A1025">
        <v>1023</v>
      </c>
      <c r="B1025" t="s">
        <v>7625</v>
      </c>
      <c r="C1025">
        <v>501036</v>
      </c>
      <c r="D1025" t="s">
        <v>347</v>
      </c>
      <c r="E1025" t="s">
        <v>1808</v>
      </c>
      <c r="F1025">
        <v>9477568</v>
      </c>
      <c r="G1025">
        <v>20658.052734000001</v>
      </c>
      <c r="H1025">
        <v>990</v>
      </c>
      <c r="I1025">
        <v>1198</v>
      </c>
      <c r="J1025">
        <v>24444</v>
      </c>
      <c r="K1025" t="s">
        <v>347</v>
      </c>
      <c r="L1025">
        <v>5</v>
      </c>
      <c r="M1025">
        <v>5</v>
      </c>
      <c r="N1025">
        <v>24444</v>
      </c>
      <c r="O1025">
        <v>967</v>
      </c>
      <c r="P1025" t="s">
        <v>3212</v>
      </c>
      <c r="Q1025">
        <v>2.9</v>
      </c>
      <c r="R1025">
        <v>22.02</v>
      </c>
      <c r="S1025">
        <v>0.96</v>
      </c>
      <c r="T1025">
        <v>7</v>
      </c>
      <c r="U1025">
        <v>9477568.33079</v>
      </c>
      <c r="V1025">
        <v>20658.05228</v>
      </c>
      <c r="W1025">
        <v>1024</v>
      </c>
      <c r="X1025">
        <v>0</v>
      </c>
      <c r="Y1025">
        <v>1023</v>
      </c>
      <c r="Z1025" t="s">
        <v>6966</v>
      </c>
      <c r="AA1025" t="s">
        <v>6966</v>
      </c>
      <c r="AB1025" t="s">
        <v>6966</v>
      </c>
      <c r="AC1025" t="s">
        <v>6966</v>
      </c>
      <c r="AD1025" t="s">
        <v>6966</v>
      </c>
      <c r="AE1025" t="s">
        <v>6966</v>
      </c>
      <c r="AF1025" t="s">
        <v>6966</v>
      </c>
      <c r="AG1025" t="s">
        <v>6966</v>
      </c>
      <c r="AH1025" t="s">
        <v>6966</v>
      </c>
      <c r="AI1025" t="s">
        <v>6966</v>
      </c>
      <c r="AJ1025" t="s">
        <v>6966</v>
      </c>
      <c r="AK1025" t="s">
        <v>6966</v>
      </c>
      <c r="AL1025" t="s">
        <v>6966</v>
      </c>
      <c r="AM1025" t="s">
        <v>6966</v>
      </c>
      <c r="AN1025" t="s">
        <v>6966</v>
      </c>
      <c r="AO1025" t="s">
        <v>6966</v>
      </c>
      <c r="AP1025" t="s">
        <v>6966</v>
      </c>
      <c r="AQ1025" t="s">
        <v>6966</v>
      </c>
      <c r="AR1025" t="s">
        <v>6966</v>
      </c>
      <c r="AS1025" t="s">
        <v>6966</v>
      </c>
      <c r="AT1025" t="s">
        <v>6966</v>
      </c>
      <c r="AU1025" t="s">
        <v>6966</v>
      </c>
      <c r="AV1025" t="s">
        <v>6966</v>
      </c>
      <c r="AW1025" t="s">
        <v>6966</v>
      </c>
      <c r="AX1025" t="s">
        <v>6966</v>
      </c>
      <c r="AY1025" t="s">
        <v>6966</v>
      </c>
      <c r="AZ1025">
        <v>0.205675</v>
      </c>
      <c r="BA1025">
        <v>9.2199999999999997E-4</v>
      </c>
    </row>
    <row r="1026" spans="1:53" x14ac:dyDescent="0.25">
      <c r="A1026">
        <v>1024</v>
      </c>
      <c r="B1026" t="s">
        <v>7625</v>
      </c>
      <c r="C1026">
        <v>403001</v>
      </c>
      <c r="D1026" t="s">
        <v>1025</v>
      </c>
      <c r="E1026" t="s">
        <v>3045</v>
      </c>
      <c r="F1026">
        <v>4975422.5</v>
      </c>
      <c r="G1026">
        <v>9376.171875</v>
      </c>
      <c r="H1026">
        <v>991</v>
      </c>
      <c r="I1026">
        <v>1199</v>
      </c>
      <c r="J1026">
        <v>51377</v>
      </c>
      <c r="K1026" t="s">
        <v>7956</v>
      </c>
      <c r="L1026">
        <v>15</v>
      </c>
      <c r="M1026">
        <v>15</v>
      </c>
      <c r="N1026">
        <v>51377</v>
      </c>
      <c r="O1026">
        <v>968</v>
      </c>
      <c r="P1026" t="s">
        <v>3214</v>
      </c>
      <c r="Q1026">
        <v>3.1</v>
      </c>
      <c r="R1026">
        <v>158.72999999999999</v>
      </c>
      <c r="S1026">
        <v>0.83</v>
      </c>
      <c r="T1026">
        <v>48</v>
      </c>
      <c r="U1026">
        <v>4975422.3625699999</v>
      </c>
      <c r="V1026">
        <v>9376.1728750000002</v>
      </c>
      <c r="W1026">
        <v>1025</v>
      </c>
      <c r="X1026">
        <v>0</v>
      </c>
      <c r="Y1026">
        <v>1024</v>
      </c>
      <c r="Z1026" t="s">
        <v>6966</v>
      </c>
      <c r="AA1026" t="s">
        <v>6966</v>
      </c>
      <c r="AB1026" t="s">
        <v>6966</v>
      </c>
      <c r="AC1026" t="s">
        <v>6966</v>
      </c>
      <c r="AD1026" t="s">
        <v>6966</v>
      </c>
      <c r="AE1026" t="s">
        <v>6966</v>
      </c>
      <c r="AF1026" t="s">
        <v>6966</v>
      </c>
      <c r="AG1026" t="s">
        <v>6966</v>
      </c>
      <c r="AH1026" t="s">
        <v>6966</v>
      </c>
      <c r="AI1026" t="s">
        <v>6966</v>
      </c>
      <c r="AJ1026" t="s">
        <v>6966</v>
      </c>
      <c r="AK1026" t="s">
        <v>6966</v>
      </c>
      <c r="AL1026" t="s">
        <v>6966</v>
      </c>
      <c r="AM1026" t="s">
        <v>6966</v>
      </c>
      <c r="AN1026" t="s">
        <v>6966</v>
      </c>
      <c r="AO1026" t="s">
        <v>6966</v>
      </c>
      <c r="AP1026" t="s">
        <v>6966</v>
      </c>
      <c r="AQ1026" t="s">
        <v>6966</v>
      </c>
      <c r="AR1026" t="s">
        <v>6966</v>
      </c>
      <c r="AS1026" t="s">
        <v>6966</v>
      </c>
      <c r="AT1026" t="s">
        <v>6966</v>
      </c>
      <c r="AU1026" t="s">
        <v>6966</v>
      </c>
      <c r="AV1026" t="s">
        <v>6966</v>
      </c>
      <c r="AW1026" t="s">
        <v>6966</v>
      </c>
      <c r="AX1026" t="s">
        <v>6966</v>
      </c>
      <c r="AY1026" t="s">
        <v>6966</v>
      </c>
      <c r="AZ1026">
        <v>9.2222999999999999E-2</v>
      </c>
      <c r="BA1026">
        <v>4.84E-4</v>
      </c>
    </row>
    <row r="1027" spans="1:53" x14ac:dyDescent="0.25">
      <c r="A1027">
        <v>1025</v>
      </c>
      <c r="B1027" t="s">
        <v>7625</v>
      </c>
      <c r="C1027">
        <v>501018</v>
      </c>
      <c r="D1027" t="s">
        <v>295</v>
      </c>
      <c r="E1027" t="s">
        <v>1808</v>
      </c>
      <c r="F1027">
        <v>6249125.5</v>
      </c>
      <c r="G1027">
        <v>14119.254883</v>
      </c>
      <c r="H1027">
        <v>992</v>
      </c>
      <c r="I1027">
        <v>1200</v>
      </c>
      <c r="J1027">
        <v>24243</v>
      </c>
      <c r="K1027" t="s">
        <v>1802</v>
      </c>
      <c r="L1027">
        <v>5</v>
      </c>
      <c r="M1027">
        <v>5</v>
      </c>
      <c r="N1027">
        <v>24243</v>
      </c>
      <c r="O1027">
        <v>969</v>
      </c>
      <c r="P1027" t="s">
        <v>3212</v>
      </c>
      <c r="Q1027">
        <v>8.8000000000000007</v>
      </c>
      <c r="R1027">
        <v>36.94</v>
      </c>
      <c r="S1027">
        <v>4.42</v>
      </c>
      <c r="T1027">
        <v>19</v>
      </c>
      <c r="U1027">
        <v>6249125.3243300002</v>
      </c>
      <c r="V1027">
        <v>14119.256216</v>
      </c>
      <c r="W1027">
        <v>1026</v>
      </c>
      <c r="X1027">
        <v>2</v>
      </c>
      <c r="Y1027">
        <v>1025</v>
      </c>
      <c r="Z1027">
        <v>69217</v>
      </c>
      <c r="AA1027" s="76">
        <v>45896</v>
      </c>
      <c r="AB1027">
        <v>2025</v>
      </c>
      <c r="AC1027" t="s">
        <v>7379</v>
      </c>
      <c r="AD1027">
        <v>27</v>
      </c>
      <c r="AE1027" t="s">
        <v>7424</v>
      </c>
      <c r="AF1027" t="s">
        <v>3212</v>
      </c>
      <c r="AG1027" t="s">
        <v>1808</v>
      </c>
      <c r="AH1027" t="s">
        <v>295</v>
      </c>
      <c r="AI1027" t="s">
        <v>295</v>
      </c>
      <c r="AJ1027" t="s">
        <v>6966</v>
      </c>
      <c r="AK1027">
        <v>33.781959999999998</v>
      </c>
      <c r="AL1027">
        <v>35.530679999999997</v>
      </c>
      <c r="AM1027" t="s">
        <v>6995</v>
      </c>
      <c r="AN1027" t="s">
        <v>6995</v>
      </c>
      <c r="AO1027" t="s">
        <v>7008</v>
      </c>
      <c r="AP1027" t="s">
        <v>7425</v>
      </c>
      <c r="AQ1027" t="s">
        <v>6998</v>
      </c>
      <c r="AR1027" t="s">
        <v>6999</v>
      </c>
      <c r="AS1027" t="s">
        <v>7036</v>
      </c>
      <c r="AT1027">
        <v>0</v>
      </c>
      <c r="AU1027">
        <v>0</v>
      </c>
      <c r="AV1027" t="s">
        <v>7560</v>
      </c>
      <c r="AW1027" t="s">
        <v>7119</v>
      </c>
      <c r="AX1027" t="s">
        <v>6966</v>
      </c>
      <c r="AY1027" t="s">
        <v>7003</v>
      </c>
      <c r="AZ1027">
        <v>0.14176800000000001</v>
      </c>
      <c r="BA1027">
        <v>6.0800000000000003E-4</v>
      </c>
    </row>
    <row r="1028" spans="1:53" x14ac:dyDescent="0.25">
      <c r="A1028">
        <v>1026</v>
      </c>
      <c r="B1028" t="s">
        <v>7625</v>
      </c>
      <c r="C1028">
        <v>501057</v>
      </c>
      <c r="D1028" t="s">
        <v>340</v>
      </c>
      <c r="E1028" t="s">
        <v>1808</v>
      </c>
      <c r="F1028">
        <v>6112488.5</v>
      </c>
      <c r="G1028">
        <v>14815.599609000001</v>
      </c>
      <c r="H1028">
        <v>993</v>
      </c>
      <c r="I1028">
        <v>1201</v>
      </c>
      <c r="J1028">
        <v>24424</v>
      </c>
      <c r="K1028" t="s">
        <v>340</v>
      </c>
      <c r="L1028">
        <v>5</v>
      </c>
      <c r="M1028">
        <v>5</v>
      </c>
      <c r="N1028">
        <v>24424</v>
      </c>
      <c r="O1028">
        <v>970</v>
      </c>
      <c r="P1028" t="s">
        <v>3212</v>
      </c>
      <c r="Q1028">
        <v>4.0999999999999996</v>
      </c>
      <c r="R1028">
        <v>25.8</v>
      </c>
      <c r="S1028">
        <v>2.87</v>
      </c>
      <c r="T1028">
        <v>18</v>
      </c>
      <c r="U1028">
        <v>6112488.4749100003</v>
      </c>
      <c r="V1028">
        <v>14815.599899999999</v>
      </c>
      <c r="W1028">
        <v>1027</v>
      </c>
      <c r="X1028">
        <v>0</v>
      </c>
      <c r="Y1028">
        <v>1026</v>
      </c>
      <c r="Z1028" t="s">
        <v>6966</v>
      </c>
      <c r="AA1028" t="s">
        <v>6966</v>
      </c>
      <c r="AB1028" t="s">
        <v>6966</v>
      </c>
      <c r="AC1028" t="s">
        <v>6966</v>
      </c>
      <c r="AD1028" t="s">
        <v>6966</v>
      </c>
      <c r="AE1028" t="s">
        <v>6966</v>
      </c>
      <c r="AF1028" t="s">
        <v>6966</v>
      </c>
      <c r="AG1028" t="s">
        <v>6966</v>
      </c>
      <c r="AH1028" t="s">
        <v>6966</v>
      </c>
      <c r="AI1028" t="s">
        <v>6966</v>
      </c>
      <c r="AJ1028" t="s">
        <v>6966</v>
      </c>
      <c r="AK1028" t="s">
        <v>6966</v>
      </c>
      <c r="AL1028" t="s">
        <v>6966</v>
      </c>
      <c r="AM1028" t="s">
        <v>6966</v>
      </c>
      <c r="AN1028" t="s">
        <v>6966</v>
      </c>
      <c r="AO1028" t="s">
        <v>6966</v>
      </c>
      <c r="AP1028" t="s">
        <v>6966</v>
      </c>
      <c r="AQ1028" t="s">
        <v>6966</v>
      </c>
      <c r="AR1028" t="s">
        <v>6966</v>
      </c>
      <c r="AS1028" t="s">
        <v>6966</v>
      </c>
      <c r="AT1028" t="s">
        <v>6966</v>
      </c>
      <c r="AU1028" t="s">
        <v>6966</v>
      </c>
      <c r="AV1028" t="s">
        <v>6966</v>
      </c>
      <c r="AW1028" t="s">
        <v>6966</v>
      </c>
      <c r="AX1028" t="s">
        <v>6966</v>
      </c>
      <c r="AY1028" t="s">
        <v>6966</v>
      </c>
      <c r="AZ1028">
        <v>0.14791899999999999</v>
      </c>
      <c r="BA1028">
        <v>5.9500000000000004E-4</v>
      </c>
    </row>
    <row r="1029" spans="1:53" x14ac:dyDescent="0.25">
      <c r="A1029">
        <v>1027</v>
      </c>
      <c r="B1029" t="s">
        <v>7625</v>
      </c>
      <c r="C1029">
        <v>403044</v>
      </c>
      <c r="D1029" t="s">
        <v>995</v>
      </c>
      <c r="E1029" t="s">
        <v>3045</v>
      </c>
      <c r="F1029">
        <v>5989782</v>
      </c>
      <c r="G1029">
        <v>11976.005859000001</v>
      </c>
      <c r="H1029">
        <v>994</v>
      </c>
      <c r="I1029">
        <v>1202</v>
      </c>
      <c r="J1029">
        <v>51227</v>
      </c>
      <c r="K1029" t="s">
        <v>7957</v>
      </c>
      <c r="L1029">
        <v>15</v>
      </c>
      <c r="M1029">
        <v>15</v>
      </c>
      <c r="N1029">
        <v>51227</v>
      </c>
      <c r="O1029">
        <v>971</v>
      </c>
      <c r="P1029" t="s">
        <v>3214</v>
      </c>
      <c r="Q1029">
        <v>2.6</v>
      </c>
      <c r="R1029">
        <v>310.87</v>
      </c>
      <c r="S1029">
        <v>0.62</v>
      </c>
      <c r="T1029">
        <v>125</v>
      </c>
      <c r="U1029">
        <v>5989781.9518900001</v>
      </c>
      <c r="V1029">
        <v>11976.005824</v>
      </c>
      <c r="W1029">
        <v>1028</v>
      </c>
      <c r="X1029">
        <v>0</v>
      </c>
      <c r="Y1029">
        <v>1027</v>
      </c>
      <c r="Z1029" t="s">
        <v>6966</v>
      </c>
      <c r="AA1029" t="s">
        <v>6966</v>
      </c>
      <c r="AB1029" t="s">
        <v>6966</v>
      </c>
      <c r="AC1029" t="s">
        <v>6966</v>
      </c>
      <c r="AD1029" t="s">
        <v>6966</v>
      </c>
      <c r="AE1029" t="s">
        <v>6966</v>
      </c>
      <c r="AF1029" t="s">
        <v>6966</v>
      </c>
      <c r="AG1029" t="s">
        <v>6966</v>
      </c>
      <c r="AH1029" t="s">
        <v>6966</v>
      </c>
      <c r="AI1029" t="s">
        <v>6966</v>
      </c>
      <c r="AJ1029" t="s">
        <v>6966</v>
      </c>
      <c r="AK1029" t="s">
        <v>6966</v>
      </c>
      <c r="AL1029" t="s">
        <v>6966</v>
      </c>
      <c r="AM1029" t="s">
        <v>6966</v>
      </c>
      <c r="AN1029" t="s">
        <v>6966</v>
      </c>
      <c r="AO1029" t="s">
        <v>6966</v>
      </c>
      <c r="AP1029" t="s">
        <v>6966</v>
      </c>
      <c r="AQ1029" t="s">
        <v>6966</v>
      </c>
      <c r="AR1029" t="s">
        <v>6966</v>
      </c>
      <c r="AS1029" t="s">
        <v>6966</v>
      </c>
      <c r="AT1029" t="s">
        <v>6966</v>
      </c>
      <c r="AU1029" t="s">
        <v>6966</v>
      </c>
      <c r="AV1029" t="s">
        <v>6966</v>
      </c>
      <c r="AW1029" t="s">
        <v>6966</v>
      </c>
      <c r="AX1029" t="s">
        <v>6966</v>
      </c>
      <c r="AY1029" t="s">
        <v>6966</v>
      </c>
      <c r="AZ1029">
        <v>0.116759</v>
      </c>
      <c r="BA1029">
        <v>5.8299999999999997E-4</v>
      </c>
    </row>
    <row r="1030" spans="1:53" x14ac:dyDescent="0.25">
      <c r="A1030">
        <v>1028</v>
      </c>
      <c r="B1030" t="s">
        <v>7625</v>
      </c>
      <c r="C1030">
        <v>501035</v>
      </c>
      <c r="D1030" t="s">
        <v>338</v>
      </c>
      <c r="E1030" t="s">
        <v>1808</v>
      </c>
      <c r="F1030">
        <v>2397414.25</v>
      </c>
      <c r="G1030">
        <v>8619.6748050000006</v>
      </c>
      <c r="H1030">
        <v>995</v>
      </c>
      <c r="I1030">
        <v>1203</v>
      </c>
      <c r="J1030">
        <v>24417</v>
      </c>
      <c r="K1030" t="s">
        <v>338</v>
      </c>
      <c r="L1030">
        <v>5</v>
      </c>
      <c r="M1030">
        <v>5</v>
      </c>
      <c r="N1030">
        <v>24417</v>
      </c>
      <c r="O1030">
        <v>972</v>
      </c>
      <c r="P1030" t="s">
        <v>3212</v>
      </c>
      <c r="Q1030">
        <v>5.2</v>
      </c>
      <c r="R1030">
        <v>20.51</v>
      </c>
      <c r="S1030">
        <v>3.5</v>
      </c>
      <c r="T1030">
        <v>14</v>
      </c>
      <c r="U1030">
        <v>2397414.2667100001</v>
      </c>
      <c r="V1030">
        <v>8619.6746230000008</v>
      </c>
      <c r="W1030">
        <v>1029</v>
      </c>
      <c r="X1030">
        <v>0</v>
      </c>
      <c r="Y1030">
        <v>1028</v>
      </c>
      <c r="Z1030" t="s">
        <v>6966</v>
      </c>
      <c r="AA1030" t="s">
        <v>6966</v>
      </c>
      <c r="AB1030" t="s">
        <v>6966</v>
      </c>
      <c r="AC1030" t="s">
        <v>6966</v>
      </c>
      <c r="AD1030" t="s">
        <v>6966</v>
      </c>
      <c r="AE1030" t="s">
        <v>6966</v>
      </c>
      <c r="AF1030" t="s">
        <v>6966</v>
      </c>
      <c r="AG1030" t="s">
        <v>6966</v>
      </c>
      <c r="AH1030" t="s">
        <v>6966</v>
      </c>
      <c r="AI1030" t="s">
        <v>6966</v>
      </c>
      <c r="AJ1030" t="s">
        <v>6966</v>
      </c>
      <c r="AK1030" t="s">
        <v>6966</v>
      </c>
      <c r="AL1030" t="s">
        <v>6966</v>
      </c>
      <c r="AM1030" t="s">
        <v>6966</v>
      </c>
      <c r="AN1030" t="s">
        <v>6966</v>
      </c>
      <c r="AO1030" t="s">
        <v>6966</v>
      </c>
      <c r="AP1030" t="s">
        <v>6966</v>
      </c>
      <c r="AQ1030" t="s">
        <v>6966</v>
      </c>
      <c r="AR1030" t="s">
        <v>6966</v>
      </c>
      <c r="AS1030" t="s">
        <v>6966</v>
      </c>
      <c r="AT1030" t="s">
        <v>6966</v>
      </c>
      <c r="AU1030" t="s">
        <v>6966</v>
      </c>
      <c r="AV1030" t="s">
        <v>6966</v>
      </c>
      <c r="AW1030" t="s">
        <v>6966</v>
      </c>
      <c r="AX1030" t="s">
        <v>6966</v>
      </c>
      <c r="AY1030" t="s">
        <v>6966</v>
      </c>
      <c r="AZ1030">
        <v>8.6041999999999993E-2</v>
      </c>
      <c r="BA1030">
        <v>2.33E-4</v>
      </c>
    </row>
    <row r="1031" spans="1:53" x14ac:dyDescent="0.25">
      <c r="A1031">
        <v>1029</v>
      </c>
      <c r="B1031" t="s">
        <v>7625</v>
      </c>
      <c r="C1031">
        <v>501033</v>
      </c>
      <c r="D1031" t="s">
        <v>339</v>
      </c>
      <c r="E1031" t="s">
        <v>1808</v>
      </c>
      <c r="F1031">
        <v>2321369.25</v>
      </c>
      <c r="G1031">
        <v>7122.875</v>
      </c>
      <c r="H1031">
        <v>996</v>
      </c>
      <c r="I1031">
        <v>1204</v>
      </c>
      <c r="J1031">
        <v>24421</v>
      </c>
      <c r="K1031" t="s">
        <v>1839</v>
      </c>
      <c r="L1031">
        <v>5</v>
      </c>
      <c r="M1031">
        <v>5</v>
      </c>
      <c r="N1031">
        <v>24421</v>
      </c>
      <c r="O1031">
        <v>973</v>
      </c>
      <c r="P1031" t="s">
        <v>3212</v>
      </c>
      <c r="Q1031">
        <v>0.4</v>
      </c>
      <c r="R1031">
        <v>3.61</v>
      </c>
      <c r="S1031">
        <v>1.24</v>
      </c>
      <c r="T1031">
        <v>12</v>
      </c>
      <c r="U1031">
        <v>2321369.1129899998</v>
      </c>
      <c r="V1031">
        <v>7122.8744999999999</v>
      </c>
      <c r="W1031">
        <v>1030</v>
      </c>
      <c r="X1031">
        <v>0</v>
      </c>
      <c r="Y1031">
        <v>1029</v>
      </c>
      <c r="Z1031" t="s">
        <v>6966</v>
      </c>
      <c r="AA1031" t="s">
        <v>6966</v>
      </c>
      <c r="AB1031" t="s">
        <v>6966</v>
      </c>
      <c r="AC1031" t="s">
        <v>6966</v>
      </c>
      <c r="AD1031" t="s">
        <v>6966</v>
      </c>
      <c r="AE1031" t="s">
        <v>6966</v>
      </c>
      <c r="AF1031" t="s">
        <v>6966</v>
      </c>
      <c r="AG1031" t="s">
        <v>6966</v>
      </c>
      <c r="AH1031" t="s">
        <v>6966</v>
      </c>
      <c r="AI1031" t="s">
        <v>6966</v>
      </c>
      <c r="AJ1031" t="s">
        <v>6966</v>
      </c>
      <c r="AK1031" t="s">
        <v>6966</v>
      </c>
      <c r="AL1031" t="s">
        <v>6966</v>
      </c>
      <c r="AM1031" t="s">
        <v>6966</v>
      </c>
      <c r="AN1031" t="s">
        <v>6966</v>
      </c>
      <c r="AO1031" t="s">
        <v>6966</v>
      </c>
      <c r="AP1031" t="s">
        <v>6966</v>
      </c>
      <c r="AQ1031" t="s">
        <v>6966</v>
      </c>
      <c r="AR1031" t="s">
        <v>6966</v>
      </c>
      <c r="AS1031" t="s">
        <v>6966</v>
      </c>
      <c r="AT1031" t="s">
        <v>6966</v>
      </c>
      <c r="AU1031" t="s">
        <v>6966</v>
      </c>
      <c r="AV1031" t="s">
        <v>6966</v>
      </c>
      <c r="AW1031" t="s">
        <v>6966</v>
      </c>
      <c r="AX1031" t="s">
        <v>6966</v>
      </c>
      <c r="AY1031" t="s">
        <v>6966</v>
      </c>
      <c r="AZ1031">
        <v>7.1877999999999997E-2</v>
      </c>
      <c r="BA1031">
        <v>2.2599999999999999E-4</v>
      </c>
    </row>
    <row r="1032" spans="1:53" x14ac:dyDescent="0.25">
      <c r="A1032">
        <v>1030</v>
      </c>
      <c r="B1032" t="s">
        <v>7625</v>
      </c>
      <c r="C1032">
        <v>501073</v>
      </c>
      <c r="D1032" t="s">
        <v>312</v>
      </c>
      <c r="E1032" t="s">
        <v>1808</v>
      </c>
      <c r="F1032">
        <v>2512364.25</v>
      </c>
      <c r="G1032">
        <v>8784.5683590000008</v>
      </c>
      <c r="H1032">
        <v>997</v>
      </c>
      <c r="I1032">
        <v>1205</v>
      </c>
      <c r="J1032">
        <v>24331</v>
      </c>
      <c r="K1032" t="s">
        <v>1817</v>
      </c>
      <c r="L1032">
        <v>5</v>
      </c>
      <c r="M1032">
        <v>5</v>
      </c>
      <c r="N1032">
        <v>24331</v>
      </c>
      <c r="O1032">
        <v>974</v>
      </c>
      <c r="P1032" t="s">
        <v>3212</v>
      </c>
      <c r="Q1032">
        <v>2.2000000000000002</v>
      </c>
      <c r="R1032">
        <v>9.1999999999999993</v>
      </c>
      <c r="S1032">
        <v>2.59</v>
      </c>
      <c r="T1032">
        <v>11</v>
      </c>
      <c r="U1032">
        <v>2512364.3256799998</v>
      </c>
      <c r="V1032">
        <v>8784.5670410000002</v>
      </c>
      <c r="W1032">
        <v>1031</v>
      </c>
      <c r="X1032">
        <v>0</v>
      </c>
      <c r="Y1032">
        <v>1030</v>
      </c>
      <c r="Z1032" t="s">
        <v>6966</v>
      </c>
      <c r="AA1032" t="s">
        <v>6966</v>
      </c>
      <c r="AB1032" t="s">
        <v>6966</v>
      </c>
      <c r="AC1032" t="s">
        <v>6966</v>
      </c>
      <c r="AD1032" t="s">
        <v>6966</v>
      </c>
      <c r="AE1032" t="s">
        <v>6966</v>
      </c>
      <c r="AF1032" t="s">
        <v>6966</v>
      </c>
      <c r="AG1032" t="s">
        <v>6966</v>
      </c>
      <c r="AH1032" t="s">
        <v>6966</v>
      </c>
      <c r="AI1032" t="s">
        <v>6966</v>
      </c>
      <c r="AJ1032" t="s">
        <v>6966</v>
      </c>
      <c r="AK1032" t="s">
        <v>6966</v>
      </c>
      <c r="AL1032" t="s">
        <v>6966</v>
      </c>
      <c r="AM1032" t="s">
        <v>6966</v>
      </c>
      <c r="AN1032" t="s">
        <v>6966</v>
      </c>
      <c r="AO1032" t="s">
        <v>6966</v>
      </c>
      <c r="AP1032" t="s">
        <v>6966</v>
      </c>
      <c r="AQ1032" t="s">
        <v>6966</v>
      </c>
      <c r="AR1032" t="s">
        <v>6966</v>
      </c>
      <c r="AS1032" t="s">
        <v>6966</v>
      </c>
      <c r="AT1032" t="s">
        <v>6966</v>
      </c>
      <c r="AU1032" t="s">
        <v>6966</v>
      </c>
      <c r="AV1032" t="s">
        <v>6966</v>
      </c>
      <c r="AW1032" t="s">
        <v>6966</v>
      </c>
      <c r="AX1032" t="s">
        <v>6966</v>
      </c>
      <c r="AY1032" t="s">
        <v>6966</v>
      </c>
      <c r="AZ1032">
        <v>8.8721999999999995E-2</v>
      </c>
      <c r="BA1032">
        <v>2.4399999999999999E-4</v>
      </c>
    </row>
    <row r="1033" spans="1:53" x14ac:dyDescent="0.25">
      <c r="A1033">
        <v>1031</v>
      </c>
      <c r="B1033" t="s">
        <v>7625</v>
      </c>
      <c r="C1033">
        <v>501021</v>
      </c>
      <c r="D1033" t="s">
        <v>343</v>
      </c>
      <c r="E1033" t="s">
        <v>1808</v>
      </c>
      <c r="F1033">
        <v>2533971.75</v>
      </c>
      <c r="G1033">
        <v>15621.928711</v>
      </c>
      <c r="H1033">
        <v>998</v>
      </c>
      <c r="I1033">
        <v>1206</v>
      </c>
      <c r="J1033">
        <v>24434</v>
      </c>
      <c r="K1033" t="s">
        <v>1842</v>
      </c>
      <c r="L1033">
        <v>5</v>
      </c>
      <c r="M1033">
        <v>5</v>
      </c>
      <c r="N1033">
        <v>24434</v>
      </c>
      <c r="O1033">
        <v>975</v>
      </c>
      <c r="P1033" t="s">
        <v>3212</v>
      </c>
      <c r="Q1033">
        <v>3.3</v>
      </c>
      <c r="R1033">
        <v>24.47</v>
      </c>
      <c r="S1033">
        <v>1.47</v>
      </c>
      <c r="T1033">
        <v>11</v>
      </c>
      <c r="U1033">
        <v>2533971.61472</v>
      </c>
      <c r="V1033">
        <v>15621.929109000001</v>
      </c>
      <c r="W1033">
        <v>1032</v>
      </c>
      <c r="X1033">
        <v>0</v>
      </c>
      <c r="Y1033">
        <v>1031</v>
      </c>
      <c r="Z1033" t="s">
        <v>6966</v>
      </c>
      <c r="AA1033" t="s">
        <v>6966</v>
      </c>
      <c r="AB1033" t="s">
        <v>6966</v>
      </c>
      <c r="AC1033" t="s">
        <v>6966</v>
      </c>
      <c r="AD1033" t="s">
        <v>6966</v>
      </c>
      <c r="AE1033" t="s">
        <v>6966</v>
      </c>
      <c r="AF1033" t="s">
        <v>6966</v>
      </c>
      <c r="AG1033" t="s">
        <v>6966</v>
      </c>
      <c r="AH1033" t="s">
        <v>6966</v>
      </c>
      <c r="AI1033" t="s">
        <v>6966</v>
      </c>
      <c r="AJ1033" t="s">
        <v>6966</v>
      </c>
      <c r="AK1033" t="s">
        <v>6966</v>
      </c>
      <c r="AL1033" t="s">
        <v>6966</v>
      </c>
      <c r="AM1033" t="s">
        <v>6966</v>
      </c>
      <c r="AN1033" t="s">
        <v>6966</v>
      </c>
      <c r="AO1033" t="s">
        <v>6966</v>
      </c>
      <c r="AP1033" t="s">
        <v>6966</v>
      </c>
      <c r="AQ1033" t="s">
        <v>6966</v>
      </c>
      <c r="AR1033" t="s">
        <v>6966</v>
      </c>
      <c r="AS1033" t="s">
        <v>6966</v>
      </c>
      <c r="AT1033" t="s">
        <v>6966</v>
      </c>
      <c r="AU1033" t="s">
        <v>6966</v>
      </c>
      <c r="AV1033" t="s">
        <v>6966</v>
      </c>
      <c r="AW1033" t="s">
        <v>6966</v>
      </c>
      <c r="AX1033" t="s">
        <v>6966</v>
      </c>
      <c r="AY1033" t="s">
        <v>6966</v>
      </c>
      <c r="AZ1033">
        <v>0.155386</v>
      </c>
      <c r="BA1033">
        <v>2.4699999999999999E-4</v>
      </c>
    </row>
    <row r="1034" spans="1:53" x14ac:dyDescent="0.25">
      <c r="A1034">
        <v>1032</v>
      </c>
      <c r="B1034" t="s">
        <v>7625</v>
      </c>
      <c r="C1034">
        <v>501022</v>
      </c>
      <c r="D1034" t="s">
        <v>310</v>
      </c>
      <c r="E1034" t="s">
        <v>1808</v>
      </c>
      <c r="F1034">
        <v>1097323</v>
      </c>
      <c r="G1034">
        <v>6225.0634769999997</v>
      </c>
      <c r="H1034">
        <v>999</v>
      </c>
      <c r="I1034">
        <v>1207</v>
      </c>
      <c r="J1034">
        <v>24327</v>
      </c>
      <c r="K1034" t="s">
        <v>1815</v>
      </c>
      <c r="L1034">
        <v>5</v>
      </c>
      <c r="M1034">
        <v>5</v>
      </c>
      <c r="N1034">
        <v>24327</v>
      </c>
      <c r="O1034">
        <v>976</v>
      </c>
      <c r="P1034" t="s">
        <v>3212</v>
      </c>
      <c r="Q1034">
        <v>0</v>
      </c>
      <c r="R1034">
        <v>13.1</v>
      </c>
      <c r="S1034">
        <v>0.2</v>
      </c>
      <c r="T1034">
        <v>72</v>
      </c>
      <c r="U1034">
        <v>1097323.0323900001</v>
      </c>
      <c r="V1034">
        <v>6225.0635339999999</v>
      </c>
      <c r="W1034">
        <v>1033</v>
      </c>
      <c r="X1034">
        <v>0</v>
      </c>
      <c r="Y1034">
        <v>1032</v>
      </c>
      <c r="Z1034" t="s">
        <v>6966</v>
      </c>
      <c r="AA1034" t="s">
        <v>6966</v>
      </c>
      <c r="AB1034" t="s">
        <v>6966</v>
      </c>
      <c r="AC1034" t="s">
        <v>6966</v>
      </c>
      <c r="AD1034" t="s">
        <v>6966</v>
      </c>
      <c r="AE1034" t="s">
        <v>6966</v>
      </c>
      <c r="AF1034" t="s">
        <v>6966</v>
      </c>
      <c r="AG1034" t="s">
        <v>6966</v>
      </c>
      <c r="AH1034" t="s">
        <v>6966</v>
      </c>
      <c r="AI1034" t="s">
        <v>6966</v>
      </c>
      <c r="AJ1034" t="s">
        <v>6966</v>
      </c>
      <c r="AK1034" t="s">
        <v>6966</v>
      </c>
      <c r="AL1034" t="s">
        <v>6966</v>
      </c>
      <c r="AM1034" t="s">
        <v>6966</v>
      </c>
      <c r="AN1034" t="s">
        <v>6966</v>
      </c>
      <c r="AO1034" t="s">
        <v>6966</v>
      </c>
      <c r="AP1034" t="s">
        <v>6966</v>
      </c>
      <c r="AQ1034" t="s">
        <v>6966</v>
      </c>
      <c r="AR1034" t="s">
        <v>6966</v>
      </c>
      <c r="AS1034" t="s">
        <v>6966</v>
      </c>
      <c r="AT1034" t="s">
        <v>6966</v>
      </c>
      <c r="AU1034" t="s">
        <v>6966</v>
      </c>
      <c r="AV1034" t="s">
        <v>6966</v>
      </c>
      <c r="AW1034" t="s">
        <v>6966</v>
      </c>
      <c r="AX1034" t="s">
        <v>6966</v>
      </c>
      <c r="AY1034" t="s">
        <v>6966</v>
      </c>
      <c r="AZ1034">
        <v>6.3076999999999994E-2</v>
      </c>
      <c r="BA1034">
        <v>1.07E-4</v>
      </c>
    </row>
    <row r="1035" spans="1:53" x14ac:dyDescent="0.25">
      <c r="A1035">
        <v>1033</v>
      </c>
      <c r="B1035" t="s">
        <v>7625</v>
      </c>
      <c r="C1035">
        <v>501067</v>
      </c>
      <c r="D1035" t="s">
        <v>7958</v>
      </c>
      <c r="E1035" t="s">
        <v>1808</v>
      </c>
      <c r="F1035">
        <v>1004763.5625</v>
      </c>
      <c r="G1035">
        <v>4639.7065430000002</v>
      </c>
      <c r="H1035">
        <v>1000</v>
      </c>
      <c r="I1035">
        <v>1208</v>
      </c>
      <c r="J1035">
        <v>24335</v>
      </c>
      <c r="K1035" t="s">
        <v>1819</v>
      </c>
      <c r="L1035">
        <v>5</v>
      </c>
      <c r="M1035">
        <v>5</v>
      </c>
      <c r="N1035">
        <v>24335</v>
      </c>
      <c r="O1035">
        <v>977</v>
      </c>
      <c r="P1035" t="s">
        <v>3212</v>
      </c>
      <c r="Q1035">
        <v>0.2</v>
      </c>
      <c r="R1035">
        <v>1.36</v>
      </c>
      <c r="S1035">
        <v>0.19</v>
      </c>
      <c r="T1035">
        <v>1</v>
      </c>
      <c r="U1035">
        <v>1004763.5222</v>
      </c>
      <c r="V1035">
        <v>4639.7057130000003</v>
      </c>
      <c r="W1035">
        <v>1034</v>
      </c>
      <c r="X1035">
        <v>0</v>
      </c>
      <c r="Y1035">
        <v>1033</v>
      </c>
      <c r="Z1035" t="s">
        <v>6966</v>
      </c>
      <c r="AA1035" t="s">
        <v>6966</v>
      </c>
      <c r="AB1035" t="s">
        <v>6966</v>
      </c>
      <c r="AC1035" t="s">
        <v>6966</v>
      </c>
      <c r="AD1035" t="s">
        <v>6966</v>
      </c>
      <c r="AE1035" t="s">
        <v>6966</v>
      </c>
      <c r="AF1035" t="s">
        <v>6966</v>
      </c>
      <c r="AG1035" t="s">
        <v>6966</v>
      </c>
      <c r="AH1035" t="s">
        <v>6966</v>
      </c>
      <c r="AI1035" t="s">
        <v>6966</v>
      </c>
      <c r="AJ1035" t="s">
        <v>6966</v>
      </c>
      <c r="AK1035" t="s">
        <v>6966</v>
      </c>
      <c r="AL1035" t="s">
        <v>6966</v>
      </c>
      <c r="AM1035" t="s">
        <v>6966</v>
      </c>
      <c r="AN1035" t="s">
        <v>6966</v>
      </c>
      <c r="AO1035" t="s">
        <v>6966</v>
      </c>
      <c r="AP1035" t="s">
        <v>6966</v>
      </c>
      <c r="AQ1035" t="s">
        <v>6966</v>
      </c>
      <c r="AR1035" t="s">
        <v>6966</v>
      </c>
      <c r="AS1035" t="s">
        <v>6966</v>
      </c>
      <c r="AT1035" t="s">
        <v>6966</v>
      </c>
      <c r="AU1035" t="s">
        <v>6966</v>
      </c>
      <c r="AV1035" t="s">
        <v>6966</v>
      </c>
      <c r="AW1035" t="s">
        <v>6966</v>
      </c>
      <c r="AX1035" t="s">
        <v>6966</v>
      </c>
      <c r="AY1035" t="s">
        <v>6966</v>
      </c>
      <c r="AZ1035">
        <v>4.7286000000000002E-2</v>
      </c>
      <c r="BA1035">
        <v>9.7999999999999997E-5</v>
      </c>
    </row>
    <row r="1036" spans="1:53" x14ac:dyDescent="0.25">
      <c r="A1036">
        <v>1034</v>
      </c>
      <c r="B1036" t="s">
        <v>7625</v>
      </c>
      <c r="C1036">
        <v>501015</v>
      </c>
      <c r="D1036" t="s">
        <v>7959</v>
      </c>
      <c r="E1036" t="s">
        <v>1808</v>
      </c>
      <c r="F1036">
        <v>1582254.75</v>
      </c>
      <c r="G1036">
        <v>8835.7490230000003</v>
      </c>
      <c r="H1036">
        <v>1001</v>
      </c>
      <c r="I1036">
        <v>1209</v>
      </c>
      <c r="J1036">
        <v>24454</v>
      </c>
      <c r="K1036" t="s">
        <v>1847</v>
      </c>
      <c r="L1036">
        <v>5</v>
      </c>
      <c r="M1036">
        <v>5</v>
      </c>
      <c r="N1036">
        <v>24454</v>
      </c>
      <c r="O1036">
        <v>978</v>
      </c>
      <c r="P1036" t="s">
        <v>3212</v>
      </c>
      <c r="Q1036">
        <v>5.5</v>
      </c>
      <c r="R1036">
        <v>48.38</v>
      </c>
      <c r="S1036">
        <v>1.52</v>
      </c>
      <c r="T1036">
        <v>13</v>
      </c>
      <c r="U1036">
        <v>1582254.7062299999</v>
      </c>
      <c r="V1036">
        <v>8835.7493099999992</v>
      </c>
      <c r="W1036">
        <v>1035</v>
      </c>
      <c r="X1036">
        <v>0</v>
      </c>
      <c r="Y1036">
        <v>1034</v>
      </c>
      <c r="Z1036" t="s">
        <v>6966</v>
      </c>
      <c r="AA1036" t="s">
        <v>6966</v>
      </c>
      <c r="AB1036" t="s">
        <v>6966</v>
      </c>
      <c r="AC1036" t="s">
        <v>6966</v>
      </c>
      <c r="AD1036" t="s">
        <v>6966</v>
      </c>
      <c r="AE1036" t="s">
        <v>6966</v>
      </c>
      <c r="AF1036" t="s">
        <v>6966</v>
      </c>
      <c r="AG1036" t="s">
        <v>6966</v>
      </c>
      <c r="AH1036" t="s">
        <v>6966</v>
      </c>
      <c r="AI1036" t="s">
        <v>6966</v>
      </c>
      <c r="AJ1036" t="s">
        <v>6966</v>
      </c>
      <c r="AK1036" t="s">
        <v>6966</v>
      </c>
      <c r="AL1036" t="s">
        <v>6966</v>
      </c>
      <c r="AM1036" t="s">
        <v>6966</v>
      </c>
      <c r="AN1036" t="s">
        <v>6966</v>
      </c>
      <c r="AO1036" t="s">
        <v>6966</v>
      </c>
      <c r="AP1036" t="s">
        <v>6966</v>
      </c>
      <c r="AQ1036" t="s">
        <v>6966</v>
      </c>
      <c r="AR1036" t="s">
        <v>6966</v>
      </c>
      <c r="AS1036" t="s">
        <v>6966</v>
      </c>
      <c r="AT1036" t="s">
        <v>6966</v>
      </c>
      <c r="AU1036" t="s">
        <v>6966</v>
      </c>
      <c r="AV1036" t="s">
        <v>6966</v>
      </c>
      <c r="AW1036" t="s">
        <v>6966</v>
      </c>
      <c r="AX1036" t="s">
        <v>6966</v>
      </c>
      <c r="AY1036" t="s">
        <v>6966</v>
      </c>
      <c r="AZ1036">
        <v>8.7221000000000007E-2</v>
      </c>
      <c r="BA1036">
        <v>1.54E-4</v>
      </c>
    </row>
    <row r="1037" spans="1:53" x14ac:dyDescent="0.25">
      <c r="A1037">
        <v>1035</v>
      </c>
      <c r="B1037" t="s">
        <v>7625</v>
      </c>
      <c r="C1037">
        <v>403017</v>
      </c>
      <c r="D1037" t="s">
        <v>998</v>
      </c>
      <c r="E1037" t="s">
        <v>3045</v>
      </c>
      <c r="F1037">
        <v>3989778.25</v>
      </c>
      <c r="G1037">
        <v>10732.356444999999</v>
      </c>
      <c r="H1037">
        <v>1002</v>
      </c>
      <c r="I1037">
        <v>1210</v>
      </c>
      <c r="J1037">
        <v>51237</v>
      </c>
      <c r="K1037" t="s">
        <v>2351</v>
      </c>
      <c r="L1037">
        <v>15</v>
      </c>
      <c r="M1037">
        <v>15</v>
      </c>
      <c r="N1037">
        <v>51237</v>
      </c>
      <c r="O1037">
        <v>979</v>
      </c>
      <c r="P1037" t="s">
        <v>3214</v>
      </c>
      <c r="Q1037">
        <v>0</v>
      </c>
      <c r="R1037">
        <v>0</v>
      </c>
      <c r="S1037">
        <v>0</v>
      </c>
      <c r="T1037">
        <v>0</v>
      </c>
      <c r="U1037">
        <v>3989778.32718</v>
      </c>
      <c r="V1037">
        <v>10732.356871</v>
      </c>
      <c r="W1037">
        <v>1036</v>
      </c>
      <c r="X1037">
        <v>0</v>
      </c>
      <c r="Y1037">
        <v>1035</v>
      </c>
      <c r="Z1037" t="s">
        <v>6966</v>
      </c>
      <c r="AA1037" t="s">
        <v>6966</v>
      </c>
      <c r="AB1037" t="s">
        <v>6966</v>
      </c>
      <c r="AC1037" t="s">
        <v>6966</v>
      </c>
      <c r="AD1037" t="s">
        <v>6966</v>
      </c>
      <c r="AE1037" t="s">
        <v>6966</v>
      </c>
      <c r="AF1037" t="s">
        <v>6966</v>
      </c>
      <c r="AG1037" t="s">
        <v>6966</v>
      </c>
      <c r="AH1037" t="s">
        <v>6966</v>
      </c>
      <c r="AI1037" t="s">
        <v>6966</v>
      </c>
      <c r="AJ1037" t="s">
        <v>6966</v>
      </c>
      <c r="AK1037" t="s">
        <v>6966</v>
      </c>
      <c r="AL1037" t="s">
        <v>6966</v>
      </c>
      <c r="AM1037" t="s">
        <v>6966</v>
      </c>
      <c r="AN1037" t="s">
        <v>6966</v>
      </c>
      <c r="AO1037" t="s">
        <v>6966</v>
      </c>
      <c r="AP1037" t="s">
        <v>6966</v>
      </c>
      <c r="AQ1037" t="s">
        <v>6966</v>
      </c>
      <c r="AR1037" t="s">
        <v>6966</v>
      </c>
      <c r="AS1037" t="s">
        <v>6966</v>
      </c>
      <c r="AT1037" t="s">
        <v>6966</v>
      </c>
      <c r="AU1037" t="s">
        <v>6966</v>
      </c>
      <c r="AV1037" t="s">
        <v>6966</v>
      </c>
      <c r="AW1037" t="s">
        <v>6966</v>
      </c>
      <c r="AX1037" t="s">
        <v>6966</v>
      </c>
      <c r="AY1037" t="s">
        <v>6966</v>
      </c>
      <c r="AZ1037">
        <v>0.103672</v>
      </c>
      <c r="BA1037">
        <v>3.88E-4</v>
      </c>
    </row>
    <row r="1038" spans="1:53" x14ac:dyDescent="0.25">
      <c r="A1038">
        <v>1036</v>
      </c>
      <c r="B1038" t="s">
        <v>7625</v>
      </c>
      <c r="C1038">
        <v>403065</v>
      </c>
      <c r="D1038" t="s">
        <v>87</v>
      </c>
      <c r="E1038" t="s">
        <v>3045</v>
      </c>
      <c r="F1038">
        <v>1137257.625</v>
      </c>
      <c r="G1038">
        <v>6592.6196289999998</v>
      </c>
      <c r="H1038">
        <v>1003</v>
      </c>
      <c r="I1038">
        <v>1211</v>
      </c>
      <c r="J1038">
        <v>51001</v>
      </c>
      <c r="K1038" t="s">
        <v>87</v>
      </c>
      <c r="L1038">
        <v>15</v>
      </c>
      <c r="M1038">
        <v>15</v>
      </c>
      <c r="N1038">
        <v>51001</v>
      </c>
      <c r="O1038">
        <v>980</v>
      </c>
      <c r="P1038" t="s">
        <v>3214</v>
      </c>
      <c r="Q1038">
        <v>0</v>
      </c>
      <c r="R1038">
        <v>0</v>
      </c>
      <c r="S1038">
        <v>0</v>
      </c>
      <c r="T1038">
        <v>0</v>
      </c>
      <c r="U1038">
        <v>1137257.67695</v>
      </c>
      <c r="V1038">
        <v>6592.6192000000001</v>
      </c>
      <c r="W1038">
        <v>1037</v>
      </c>
      <c r="X1038">
        <v>0</v>
      </c>
      <c r="Y1038">
        <v>1036</v>
      </c>
      <c r="Z1038" t="s">
        <v>6966</v>
      </c>
      <c r="AA1038" t="s">
        <v>6966</v>
      </c>
      <c r="AB1038" t="s">
        <v>6966</v>
      </c>
      <c r="AC1038" t="s">
        <v>6966</v>
      </c>
      <c r="AD1038" t="s">
        <v>6966</v>
      </c>
      <c r="AE1038" t="s">
        <v>6966</v>
      </c>
      <c r="AF1038" t="s">
        <v>6966</v>
      </c>
      <c r="AG1038" t="s">
        <v>6966</v>
      </c>
      <c r="AH1038" t="s">
        <v>6966</v>
      </c>
      <c r="AI1038" t="s">
        <v>6966</v>
      </c>
      <c r="AJ1038" t="s">
        <v>6966</v>
      </c>
      <c r="AK1038" t="s">
        <v>6966</v>
      </c>
      <c r="AL1038" t="s">
        <v>6966</v>
      </c>
      <c r="AM1038" t="s">
        <v>6966</v>
      </c>
      <c r="AN1038" t="s">
        <v>6966</v>
      </c>
      <c r="AO1038" t="s">
        <v>6966</v>
      </c>
      <c r="AP1038" t="s">
        <v>6966</v>
      </c>
      <c r="AQ1038" t="s">
        <v>6966</v>
      </c>
      <c r="AR1038" t="s">
        <v>6966</v>
      </c>
      <c r="AS1038" t="s">
        <v>6966</v>
      </c>
      <c r="AT1038" t="s">
        <v>6966</v>
      </c>
      <c r="AU1038" t="s">
        <v>6966</v>
      </c>
      <c r="AV1038" t="s">
        <v>6966</v>
      </c>
      <c r="AW1038" t="s">
        <v>6966</v>
      </c>
      <c r="AX1038" t="s">
        <v>6966</v>
      </c>
      <c r="AY1038" t="s">
        <v>6966</v>
      </c>
      <c r="AZ1038">
        <v>6.4028000000000002E-2</v>
      </c>
      <c r="BA1038">
        <v>1.11E-4</v>
      </c>
    </row>
    <row r="1039" spans="1:53" x14ac:dyDescent="0.25">
      <c r="A1039">
        <v>1037</v>
      </c>
      <c r="B1039" t="s">
        <v>7625</v>
      </c>
      <c r="C1039">
        <v>501046</v>
      </c>
      <c r="D1039" t="s">
        <v>308</v>
      </c>
      <c r="E1039" t="s">
        <v>1808</v>
      </c>
      <c r="F1039">
        <v>2121973</v>
      </c>
      <c r="G1039">
        <v>8203.4404300000006</v>
      </c>
      <c r="H1039">
        <v>1004</v>
      </c>
      <c r="I1039">
        <v>1212</v>
      </c>
      <c r="J1039">
        <v>24323</v>
      </c>
      <c r="K1039" t="s">
        <v>1813</v>
      </c>
      <c r="L1039">
        <v>5</v>
      </c>
      <c r="M1039">
        <v>5</v>
      </c>
      <c r="N1039">
        <v>24323</v>
      </c>
      <c r="O1039">
        <v>981</v>
      </c>
      <c r="P1039" t="s">
        <v>3212</v>
      </c>
      <c r="Q1039">
        <v>4.4000000000000004</v>
      </c>
      <c r="R1039">
        <v>43.77</v>
      </c>
      <c r="S1039">
        <v>1.52</v>
      </c>
      <c r="T1039">
        <v>15</v>
      </c>
      <c r="U1039">
        <v>2121972.8894000002</v>
      </c>
      <c r="V1039">
        <v>8203.4416990000009</v>
      </c>
      <c r="W1039">
        <v>1038</v>
      </c>
      <c r="X1039">
        <v>0</v>
      </c>
      <c r="Y1039">
        <v>1037</v>
      </c>
      <c r="Z1039" t="s">
        <v>6966</v>
      </c>
      <c r="AA1039" t="s">
        <v>6966</v>
      </c>
      <c r="AB1039" t="s">
        <v>6966</v>
      </c>
      <c r="AC1039" t="s">
        <v>6966</v>
      </c>
      <c r="AD1039" t="s">
        <v>6966</v>
      </c>
      <c r="AE1039" t="s">
        <v>6966</v>
      </c>
      <c r="AF1039" t="s">
        <v>6966</v>
      </c>
      <c r="AG1039" t="s">
        <v>6966</v>
      </c>
      <c r="AH1039" t="s">
        <v>6966</v>
      </c>
      <c r="AI1039" t="s">
        <v>6966</v>
      </c>
      <c r="AJ1039" t="s">
        <v>6966</v>
      </c>
      <c r="AK1039" t="s">
        <v>6966</v>
      </c>
      <c r="AL1039" t="s">
        <v>6966</v>
      </c>
      <c r="AM1039" t="s">
        <v>6966</v>
      </c>
      <c r="AN1039" t="s">
        <v>6966</v>
      </c>
      <c r="AO1039" t="s">
        <v>6966</v>
      </c>
      <c r="AP1039" t="s">
        <v>6966</v>
      </c>
      <c r="AQ1039" t="s">
        <v>6966</v>
      </c>
      <c r="AR1039" t="s">
        <v>6966</v>
      </c>
      <c r="AS1039" t="s">
        <v>6966</v>
      </c>
      <c r="AT1039" t="s">
        <v>6966</v>
      </c>
      <c r="AU1039" t="s">
        <v>6966</v>
      </c>
      <c r="AV1039" t="s">
        <v>6966</v>
      </c>
      <c r="AW1039" t="s">
        <v>6966</v>
      </c>
      <c r="AX1039" t="s">
        <v>6966</v>
      </c>
      <c r="AY1039" t="s">
        <v>6966</v>
      </c>
      <c r="AZ1039">
        <v>8.2625000000000004E-2</v>
      </c>
      <c r="BA1039">
        <v>2.0599999999999999E-4</v>
      </c>
    </row>
    <row r="1040" spans="1:53" x14ac:dyDescent="0.25">
      <c r="A1040">
        <v>1038</v>
      </c>
      <c r="B1040" t="s">
        <v>7625</v>
      </c>
      <c r="C1040">
        <v>403022</v>
      </c>
      <c r="D1040" t="s">
        <v>1027</v>
      </c>
      <c r="E1040" t="s">
        <v>3045</v>
      </c>
      <c r="F1040">
        <v>0</v>
      </c>
      <c r="G1040">
        <v>22084.214843999998</v>
      </c>
      <c r="H1040">
        <v>1005</v>
      </c>
      <c r="I1040">
        <v>1213</v>
      </c>
      <c r="J1040">
        <v>51389</v>
      </c>
      <c r="K1040" t="s">
        <v>2379</v>
      </c>
      <c r="L1040">
        <v>15</v>
      </c>
      <c r="M1040">
        <v>15</v>
      </c>
      <c r="N1040">
        <v>51389</v>
      </c>
      <c r="O1040">
        <v>982</v>
      </c>
      <c r="P1040" t="s">
        <v>3214</v>
      </c>
      <c r="Q1040">
        <v>1.7</v>
      </c>
      <c r="R1040">
        <v>114.85</v>
      </c>
      <c r="S1040">
        <v>0.37</v>
      </c>
      <c r="T1040">
        <v>26</v>
      </c>
      <c r="U1040">
        <v>0</v>
      </c>
      <c r="V1040">
        <v>22084.214592</v>
      </c>
      <c r="W1040">
        <v>1039</v>
      </c>
      <c r="X1040">
        <v>1</v>
      </c>
      <c r="Y1040">
        <v>1038</v>
      </c>
      <c r="Z1040">
        <v>65046</v>
      </c>
      <c r="AA1040" s="76">
        <v>45840</v>
      </c>
      <c r="AB1040">
        <v>2025</v>
      </c>
      <c r="AC1040" t="s">
        <v>7313</v>
      </c>
      <c r="AD1040">
        <v>2</v>
      </c>
      <c r="AE1040" t="s">
        <v>7322</v>
      </c>
      <c r="AF1040" t="s">
        <v>3214</v>
      </c>
      <c r="AG1040" t="s">
        <v>3045</v>
      </c>
      <c r="AH1040" t="s">
        <v>1027</v>
      </c>
      <c r="AI1040" t="s">
        <v>7323</v>
      </c>
      <c r="AJ1040" t="s">
        <v>6966</v>
      </c>
      <c r="AK1040">
        <v>33.785649999999997</v>
      </c>
      <c r="AL1040">
        <v>35.993630000000003</v>
      </c>
      <c r="AM1040" t="s">
        <v>7013</v>
      </c>
      <c r="AN1040" t="s">
        <v>6995</v>
      </c>
      <c r="AO1040" t="s">
        <v>7015</v>
      </c>
      <c r="AP1040" t="s">
        <v>7324</v>
      </c>
      <c r="AQ1040" t="s">
        <v>6998</v>
      </c>
      <c r="AR1040" t="s">
        <v>6999</v>
      </c>
      <c r="AS1040" t="s">
        <v>7000</v>
      </c>
      <c r="AT1040">
        <v>0</v>
      </c>
      <c r="AU1040">
        <v>0</v>
      </c>
      <c r="AV1040" t="s">
        <v>7960</v>
      </c>
      <c r="AW1040" t="s">
        <v>7119</v>
      </c>
      <c r="AX1040" t="s">
        <v>6966</v>
      </c>
      <c r="AY1040" t="s">
        <v>7003</v>
      </c>
      <c r="AZ1040">
        <v>0.220524</v>
      </c>
      <c r="BA1040">
        <v>2.3990000000000001E-3</v>
      </c>
    </row>
    <row r="1041" spans="1:53" x14ac:dyDescent="0.25">
      <c r="A1041">
        <v>1039</v>
      </c>
      <c r="B1041" t="s">
        <v>7625</v>
      </c>
      <c r="C1041">
        <v>501074</v>
      </c>
      <c r="D1041" t="s">
        <v>7961</v>
      </c>
      <c r="E1041" t="s">
        <v>1808</v>
      </c>
      <c r="F1041">
        <v>983217.75</v>
      </c>
      <c r="G1041">
        <v>4809.1357420000004</v>
      </c>
      <c r="H1041">
        <v>1006</v>
      </c>
      <c r="I1041">
        <v>1215</v>
      </c>
      <c r="J1041">
        <v>24333</v>
      </c>
      <c r="K1041" t="s">
        <v>1818</v>
      </c>
      <c r="L1041">
        <v>5</v>
      </c>
      <c r="M1041">
        <v>5</v>
      </c>
      <c r="N1041">
        <v>24333</v>
      </c>
      <c r="O1041">
        <v>983</v>
      </c>
      <c r="P1041" t="s">
        <v>3212</v>
      </c>
      <c r="Q1041">
        <v>0.6</v>
      </c>
      <c r="R1041">
        <v>6.24</v>
      </c>
      <c r="S1041">
        <v>0.5</v>
      </c>
      <c r="T1041">
        <v>5</v>
      </c>
      <c r="U1041">
        <v>983217.81290899997</v>
      </c>
      <c r="V1041">
        <v>4809.1348829999997</v>
      </c>
      <c r="W1041">
        <v>1040</v>
      </c>
      <c r="X1041">
        <v>0</v>
      </c>
      <c r="Y1041">
        <v>1039</v>
      </c>
      <c r="Z1041" t="s">
        <v>6966</v>
      </c>
      <c r="AA1041" t="s">
        <v>6966</v>
      </c>
      <c r="AB1041" t="s">
        <v>6966</v>
      </c>
      <c r="AC1041" t="s">
        <v>6966</v>
      </c>
      <c r="AD1041" t="s">
        <v>6966</v>
      </c>
      <c r="AE1041" t="s">
        <v>6966</v>
      </c>
      <c r="AF1041" t="s">
        <v>6966</v>
      </c>
      <c r="AG1041" t="s">
        <v>6966</v>
      </c>
      <c r="AH1041" t="s">
        <v>6966</v>
      </c>
      <c r="AI1041" t="s">
        <v>6966</v>
      </c>
      <c r="AJ1041" t="s">
        <v>6966</v>
      </c>
      <c r="AK1041" t="s">
        <v>6966</v>
      </c>
      <c r="AL1041" t="s">
        <v>6966</v>
      </c>
      <c r="AM1041" t="s">
        <v>6966</v>
      </c>
      <c r="AN1041" t="s">
        <v>6966</v>
      </c>
      <c r="AO1041" t="s">
        <v>6966</v>
      </c>
      <c r="AP1041" t="s">
        <v>6966</v>
      </c>
      <c r="AQ1041" t="s">
        <v>6966</v>
      </c>
      <c r="AR1041" t="s">
        <v>6966</v>
      </c>
      <c r="AS1041" t="s">
        <v>6966</v>
      </c>
      <c r="AT1041" t="s">
        <v>6966</v>
      </c>
      <c r="AU1041" t="s">
        <v>6966</v>
      </c>
      <c r="AV1041" t="s">
        <v>6966</v>
      </c>
      <c r="AW1041" t="s">
        <v>6966</v>
      </c>
      <c r="AX1041" t="s">
        <v>6966</v>
      </c>
      <c r="AY1041" t="s">
        <v>6966</v>
      </c>
      <c r="AZ1041">
        <v>4.9390999999999997E-2</v>
      </c>
      <c r="BA1041">
        <v>9.6000000000000002E-5</v>
      </c>
    </row>
    <row r="1042" spans="1:53" x14ac:dyDescent="0.25">
      <c r="A1042">
        <v>1040</v>
      </c>
      <c r="B1042" t="s">
        <v>7625</v>
      </c>
      <c r="C1042">
        <v>501038</v>
      </c>
      <c r="D1042" t="s">
        <v>316</v>
      </c>
      <c r="E1042" t="s">
        <v>1808</v>
      </c>
      <c r="F1042">
        <v>1459536.375</v>
      </c>
      <c r="G1042">
        <v>5446.8759769999997</v>
      </c>
      <c r="H1042">
        <v>1007</v>
      </c>
      <c r="I1042">
        <v>1216</v>
      </c>
      <c r="J1042">
        <v>24339</v>
      </c>
      <c r="K1042" t="s">
        <v>1821</v>
      </c>
      <c r="L1042">
        <v>5</v>
      </c>
      <c r="M1042">
        <v>5</v>
      </c>
      <c r="N1042">
        <v>24339</v>
      </c>
      <c r="O1042">
        <v>984</v>
      </c>
      <c r="P1042" t="s">
        <v>3212</v>
      </c>
      <c r="Q1042">
        <v>1.9</v>
      </c>
      <c r="R1042">
        <v>5.15</v>
      </c>
      <c r="S1042">
        <v>2.08</v>
      </c>
      <c r="T1042">
        <v>6</v>
      </c>
      <c r="U1042">
        <v>1459536.3643700001</v>
      </c>
      <c r="V1042">
        <v>5446.876252</v>
      </c>
      <c r="W1042">
        <v>1041</v>
      </c>
      <c r="X1042">
        <v>0</v>
      </c>
      <c r="Y1042">
        <v>1040</v>
      </c>
      <c r="Z1042" t="s">
        <v>6966</v>
      </c>
      <c r="AA1042" t="s">
        <v>6966</v>
      </c>
      <c r="AB1042" t="s">
        <v>6966</v>
      </c>
      <c r="AC1042" t="s">
        <v>6966</v>
      </c>
      <c r="AD1042" t="s">
        <v>6966</v>
      </c>
      <c r="AE1042" t="s">
        <v>6966</v>
      </c>
      <c r="AF1042" t="s">
        <v>6966</v>
      </c>
      <c r="AG1042" t="s">
        <v>6966</v>
      </c>
      <c r="AH1042" t="s">
        <v>6966</v>
      </c>
      <c r="AI1042" t="s">
        <v>6966</v>
      </c>
      <c r="AJ1042" t="s">
        <v>6966</v>
      </c>
      <c r="AK1042" t="s">
        <v>6966</v>
      </c>
      <c r="AL1042" t="s">
        <v>6966</v>
      </c>
      <c r="AM1042" t="s">
        <v>6966</v>
      </c>
      <c r="AN1042" t="s">
        <v>6966</v>
      </c>
      <c r="AO1042" t="s">
        <v>6966</v>
      </c>
      <c r="AP1042" t="s">
        <v>6966</v>
      </c>
      <c r="AQ1042" t="s">
        <v>6966</v>
      </c>
      <c r="AR1042" t="s">
        <v>6966</v>
      </c>
      <c r="AS1042" t="s">
        <v>6966</v>
      </c>
      <c r="AT1042" t="s">
        <v>6966</v>
      </c>
      <c r="AU1042" t="s">
        <v>6966</v>
      </c>
      <c r="AV1042" t="s">
        <v>6966</v>
      </c>
      <c r="AW1042" t="s">
        <v>6966</v>
      </c>
      <c r="AX1042" t="s">
        <v>6966</v>
      </c>
      <c r="AY1042" t="s">
        <v>6966</v>
      </c>
      <c r="AZ1042">
        <v>5.3421000000000003E-2</v>
      </c>
      <c r="BA1042">
        <v>1.4200000000000001E-4</v>
      </c>
    </row>
    <row r="1043" spans="1:53" x14ac:dyDescent="0.25">
      <c r="A1043">
        <v>1041</v>
      </c>
      <c r="B1043" t="s">
        <v>7625</v>
      </c>
      <c r="C1043">
        <v>501012</v>
      </c>
      <c r="D1043" t="s">
        <v>291</v>
      </c>
      <c r="E1043" t="s">
        <v>1808</v>
      </c>
      <c r="F1043">
        <v>0</v>
      </c>
      <c r="G1043">
        <v>24185.501952999999</v>
      </c>
      <c r="H1043">
        <v>1008</v>
      </c>
      <c r="I1043">
        <v>1217</v>
      </c>
      <c r="J1043">
        <v>24211</v>
      </c>
      <c r="K1043" t="s">
        <v>1798</v>
      </c>
      <c r="L1043">
        <v>5</v>
      </c>
      <c r="M1043">
        <v>5</v>
      </c>
      <c r="N1043">
        <v>24211</v>
      </c>
      <c r="O1043">
        <v>985</v>
      </c>
      <c r="P1043" t="s">
        <v>3212</v>
      </c>
      <c r="Q1043">
        <v>5</v>
      </c>
      <c r="R1043">
        <v>36.69</v>
      </c>
      <c r="S1043">
        <v>1.85</v>
      </c>
      <c r="T1043">
        <v>14</v>
      </c>
      <c r="U1043">
        <v>0</v>
      </c>
      <c r="V1043">
        <v>24185.502339999999</v>
      </c>
      <c r="W1043">
        <v>1042</v>
      </c>
      <c r="X1043">
        <v>1</v>
      </c>
      <c r="Y1043">
        <v>1041</v>
      </c>
      <c r="Z1043">
        <v>76380</v>
      </c>
      <c r="AA1043" s="76">
        <v>45995</v>
      </c>
      <c r="AB1043">
        <v>2025</v>
      </c>
      <c r="AC1043" t="s">
        <v>7557</v>
      </c>
      <c r="AD1043">
        <v>4</v>
      </c>
      <c r="AE1043" t="s">
        <v>7558</v>
      </c>
      <c r="AF1043" t="s">
        <v>3212</v>
      </c>
      <c r="AG1043" t="s">
        <v>1808</v>
      </c>
      <c r="AH1043" t="s">
        <v>291</v>
      </c>
      <c r="AI1043" t="s">
        <v>3035</v>
      </c>
      <c r="AJ1043" t="s">
        <v>6966</v>
      </c>
      <c r="AK1043">
        <v>33.760449999999999</v>
      </c>
      <c r="AL1043">
        <v>35.517510000000001</v>
      </c>
      <c r="AM1043" t="s">
        <v>7013</v>
      </c>
      <c r="AN1043" t="s">
        <v>7014</v>
      </c>
      <c r="AO1043" t="s">
        <v>7008</v>
      </c>
      <c r="AP1043" t="s">
        <v>7559</v>
      </c>
      <c r="AQ1043" t="s">
        <v>6998</v>
      </c>
      <c r="AR1043" t="s">
        <v>6999</v>
      </c>
      <c r="AS1043" t="s">
        <v>7000</v>
      </c>
      <c r="AT1043">
        <v>0</v>
      </c>
      <c r="AU1043">
        <v>0</v>
      </c>
      <c r="AV1043" t="s">
        <v>7560</v>
      </c>
      <c r="AW1043" t="s">
        <v>7018</v>
      </c>
      <c r="AX1043" t="s">
        <v>6966</v>
      </c>
      <c r="AY1043" t="s">
        <v>7003</v>
      </c>
      <c r="AZ1043">
        <v>0.243506</v>
      </c>
      <c r="BA1043">
        <v>1.1349999999999999E-3</v>
      </c>
    </row>
    <row r="1044" spans="1:53" x14ac:dyDescent="0.25">
      <c r="A1044">
        <v>1042</v>
      </c>
      <c r="B1044" t="s">
        <v>7625</v>
      </c>
      <c r="C1044">
        <v>501053</v>
      </c>
      <c r="D1044" t="s">
        <v>315</v>
      </c>
      <c r="E1044" t="s">
        <v>1808</v>
      </c>
      <c r="F1044">
        <v>1734719.375</v>
      </c>
      <c r="G1044">
        <v>9573.3388670000004</v>
      </c>
      <c r="H1044">
        <v>1009</v>
      </c>
      <c r="I1044">
        <v>1218</v>
      </c>
      <c r="J1044">
        <v>24337</v>
      </c>
      <c r="K1044" t="s">
        <v>7962</v>
      </c>
      <c r="L1044">
        <v>5</v>
      </c>
      <c r="M1044">
        <v>5</v>
      </c>
      <c r="N1044">
        <v>24337</v>
      </c>
      <c r="O1044">
        <v>986</v>
      </c>
      <c r="P1044" t="s">
        <v>3212</v>
      </c>
      <c r="Q1044">
        <v>8.9</v>
      </c>
      <c r="R1044">
        <v>23.59</v>
      </c>
      <c r="S1044">
        <v>4.72</v>
      </c>
      <c r="T1044">
        <v>12</v>
      </c>
      <c r="U1044">
        <v>1734719.463</v>
      </c>
      <c r="V1044">
        <v>9573.3373310000006</v>
      </c>
      <c r="W1044">
        <v>1043</v>
      </c>
      <c r="X1044">
        <v>0</v>
      </c>
      <c r="Y1044">
        <v>1042</v>
      </c>
      <c r="Z1044" t="s">
        <v>6966</v>
      </c>
      <c r="AA1044" t="s">
        <v>6966</v>
      </c>
      <c r="AB1044" t="s">
        <v>6966</v>
      </c>
      <c r="AC1044" t="s">
        <v>6966</v>
      </c>
      <c r="AD1044" t="s">
        <v>6966</v>
      </c>
      <c r="AE1044" t="s">
        <v>6966</v>
      </c>
      <c r="AF1044" t="s">
        <v>6966</v>
      </c>
      <c r="AG1044" t="s">
        <v>6966</v>
      </c>
      <c r="AH1044" t="s">
        <v>6966</v>
      </c>
      <c r="AI1044" t="s">
        <v>6966</v>
      </c>
      <c r="AJ1044" t="s">
        <v>6966</v>
      </c>
      <c r="AK1044" t="s">
        <v>6966</v>
      </c>
      <c r="AL1044" t="s">
        <v>6966</v>
      </c>
      <c r="AM1044" t="s">
        <v>6966</v>
      </c>
      <c r="AN1044" t="s">
        <v>6966</v>
      </c>
      <c r="AO1044" t="s">
        <v>6966</v>
      </c>
      <c r="AP1044" t="s">
        <v>6966</v>
      </c>
      <c r="AQ1044" t="s">
        <v>6966</v>
      </c>
      <c r="AR1044" t="s">
        <v>6966</v>
      </c>
      <c r="AS1044" t="s">
        <v>6966</v>
      </c>
      <c r="AT1044" t="s">
        <v>6966</v>
      </c>
      <c r="AU1044" t="s">
        <v>6966</v>
      </c>
      <c r="AV1044" t="s">
        <v>6966</v>
      </c>
      <c r="AW1044" t="s">
        <v>6966</v>
      </c>
      <c r="AX1044" t="s">
        <v>6966</v>
      </c>
      <c r="AY1044" t="s">
        <v>6966</v>
      </c>
      <c r="AZ1044">
        <v>9.5546000000000006E-2</v>
      </c>
      <c r="BA1044">
        <v>1.6899999999999999E-4</v>
      </c>
    </row>
    <row r="1045" spans="1:53" x14ac:dyDescent="0.25">
      <c r="A1045">
        <v>1043</v>
      </c>
      <c r="B1045" t="s">
        <v>7625</v>
      </c>
      <c r="C1045">
        <v>501058</v>
      </c>
      <c r="D1045" t="s">
        <v>345</v>
      </c>
      <c r="E1045" t="s">
        <v>1808</v>
      </c>
      <c r="F1045">
        <v>2989365.5</v>
      </c>
      <c r="G1045">
        <v>9848.2177730000003</v>
      </c>
      <c r="H1045">
        <v>1010</v>
      </c>
      <c r="I1045">
        <v>1219</v>
      </c>
      <c r="J1045">
        <v>24441</v>
      </c>
      <c r="K1045" t="s">
        <v>7963</v>
      </c>
      <c r="L1045">
        <v>5</v>
      </c>
      <c r="M1045">
        <v>5</v>
      </c>
      <c r="N1045">
        <v>24441</v>
      </c>
      <c r="O1045">
        <v>987</v>
      </c>
      <c r="P1045" t="s">
        <v>3212</v>
      </c>
      <c r="Q1045">
        <v>0.6</v>
      </c>
      <c r="R1045">
        <v>6.64</v>
      </c>
      <c r="S1045">
        <v>1.1200000000000001</v>
      </c>
      <c r="T1045">
        <v>12</v>
      </c>
      <c r="U1045">
        <v>2989365.3925800002</v>
      </c>
      <c r="V1045">
        <v>9848.2176600000003</v>
      </c>
      <c r="W1045">
        <v>1044</v>
      </c>
      <c r="X1045">
        <v>0</v>
      </c>
      <c r="Y1045">
        <v>1043</v>
      </c>
      <c r="Z1045" t="s">
        <v>6966</v>
      </c>
      <c r="AA1045" t="s">
        <v>6966</v>
      </c>
      <c r="AB1045" t="s">
        <v>6966</v>
      </c>
      <c r="AC1045" t="s">
        <v>6966</v>
      </c>
      <c r="AD1045" t="s">
        <v>6966</v>
      </c>
      <c r="AE1045" t="s">
        <v>6966</v>
      </c>
      <c r="AF1045" t="s">
        <v>6966</v>
      </c>
      <c r="AG1045" t="s">
        <v>6966</v>
      </c>
      <c r="AH1045" t="s">
        <v>6966</v>
      </c>
      <c r="AI1045" t="s">
        <v>6966</v>
      </c>
      <c r="AJ1045" t="s">
        <v>6966</v>
      </c>
      <c r="AK1045" t="s">
        <v>6966</v>
      </c>
      <c r="AL1045" t="s">
        <v>6966</v>
      </c>
      <c r="AM1045" t="s">
        <v>6966</v>
      </c>
      <c r="AN1045" t="s">
        <v>6966</v>
      </c>
      <c r="AO1045" t="s">
        <v>6966</v>
      </c>
      <c r="AP1045" t="s">
        <v>6966</v>
      </c>
      <c r="AQ1045" t="s">
        <v>6966</v>
      </c>
      <c r="AR1045" t="s">
        <v>6966</v>
      </c>
      <c r="AS1045" t="s">
        <v>6966</v>
      </c>
      <c r="AT1045" t="s">
        <v>6966</v>
      </c>
      <c r="AU1045" t="s">
        <v>6966</v>
      </c>
      <c r="AV1045" t="s">
        <v>6966</v>
      </c>
      <c r="AW1045" t="s">
        <v>6966</v>
      </c>
      <c r="AX1045" t="s">
        <v>6966</v>
      </c>
      <c r="AY1045" t="s">
        <v>6966</v>
      </c>
      <c r="AZ1045">
        <v>0.10016799999999999</v>
      </c>
      <c r="BA1045">
        <v>2.9100000000000003E-4</v>
      </c>
    </row>
    <row r="1046" spans="1:53" x14ac:dyDescent="0.25">
      <c r="A1046">
        <v>1044</v>
      </c>
      <c r="B1046" t="s">
        <v>7625</v>
      </c>
      <c r="C1046">
        <v>501017</v>
      </c>
      <c r="D1046" t="s">
        <v>318</v>
      </c>
      <c r="E1046" t="s">
        <v>1808</v>
      </c>
      <c r="F1046">
        <v>6289969.5</v>
      </c>
      <c r="G1046">
        <v>17564.570313</v>
      </c>
      <c r="H1046">
        <v>1011</v>
      </c>
      <c r="I1046">
        <v>1220</v>
      </c>
      <c r="J1046">
        <v>24343</v>
      </c>
      <c r="K1046" t="s">
        <v>7964</v>
      </c>
      <c r="L1046">
        <v>5</v>
      </c>
      <c r="M1046">
        <v>5</v>
      </c>
      <c r="N1046">
        <v>24343</v>
      </c>
      <c r="O1046">
        <v>988</v>
      </c>
      <c r="P1046" t="s">
        <v>3212</v>
      </c>
      <c r="Q1046">
        <v>10.1</v>
      </c>
      <c r="R1046">
        <v>49.15</v>
      </c>
      <c r="S1046">
        <v>2.77</v>
      </c>
      <c r="T1046">
        <v>14</v>
      </c>
      <c r="U1046">
        <v>6289969.4659900004</v>
      </c>
      <c r="V1046">
        <v>17564.569335</v>
      </c>
      <c r="W1046">
        <v>1045</v>
      </c>
      <c r="X1046">
        <v>1</v>
      </c>
      <c r="Y1046">
        <v>1044</v>
      </c>
      <c r="Z1046">
        <v>74963</v>
      </c>
      <c r="AA1046" s="76">
        <v>45974</v>
      </c>
      <c r="AB1046">
        <v>2025</v>
      </c>
      <c r="AC1046" t="s">
        <v>7516</v>
      </c>
      <c r="AD1046">
        <v>13</v>
      </c>
      <c r="AE1046" t="s">
        <v>7525</v>
      </c>
      <c r="AF1046" t="s">
        <v>3212</v>
      </c>
      <c r="AG1046" t="s">
        <v>1808</v>
      </c>
      <c r="AH1046" t="s">
        <v>318</v>
      </c>
      <c r="AI1046" t="s">
        <v>2655</v>
      </c>
      <c r="AJ1046" t="s">
        <v>6966</v>
      </c>
      <c r="AK1046">
        <v>33.764409999999998</v>
      </c>
      <c r="AL1046">
        <v>35.565649999999998</v>
      </c>
      <c r="AM1046" t="s">
        <v>7013</v>
      </c>
      <c r="AN1046" t="s">
        <v>7014</v>
      </c>
      <c r="AO1046" t="s">
        <v>7008</v>
      </c>
      <c r="AP1046" t="s">
        <v>7526</v>
      </c>
      <c r="AQ1046" t="s">
        <v>6998</v>
      </c>
      <c r="AR1046" t="s">
        <v>6999</v>
      </c>
      <c r="AS1046" t="s">
        <v>7000</v>
      </c>
      <c r="AT1046">
        <v>0</v>
      </c>
      <c r="AU1046">
        <v>0</v>
      </c>
      <c r="AV1046" t="s">
        <v>7527</v>
      </c>
      <c r="AW1046" t="s">
        <v>7043</v>
      </c>
      <c r="AX1046" t="s">
        <v>6966</v>
      </c>
      <c r="AY1046" t="s">
        <v>7003</v>
      </c>
      <c r="AZ1046">
        <v>0.173647</v>
      </c>
      <c r="BA1046">
        <v>6.1200000000000002E-4</v>
      </c>
    </row>
    <row r="1047" spans="1:53" x14ac:dyDescent="0.25">
      <c r="A1047">
        <v>1045</v>
      </c>
      <c r="B1047" t="s">
        <v>7625</v>
      </c>
      <c r="C1047">
        <v>501034</v>
      </c>
      <c r="D1047" t="s">
        <v>348</v>
      </c>
      <c r="E1047" t="s">
        <v>1808</v>
      </c>
      <c r="F1047">
        <v>9896873</v>
      </c>
      <c r="G1047">
        <v>22077.394531000002</v>
      </c>
      <c r="H1047">
        <v>1012</v>
      </c>
      <c r="I1047">
        <v>1221</v>
      </c>
      <c r="J1047">
        <v>24447</v>
      </c>
      <c r="K1047" t="s">
        <v>348</v>
      </c>
      <c r="L1047">
        <v>5</v>
      </c>
      <c r="M1047">
        <v>5</v>
      </c>
      <c r="N1047">
        <v>24447</v>
      </c>
      <c r="O1047">
        <v>989</v>
      </c>
      <c r="P1047" t="s">
        <v>3212</v>
      </c>
      <c r="Q1047">
        <v>1.9</v>
      </c>
      <c r="R1047">
        <v>37.76</v>
      </c>
      <c r="S1047">
        <v>0.67</v>
      </c>
      <c r="T1047">
        <v>13</v>
      </c>
      <c r="U1047">
        <v>9896872.6129800007</v>
      </c>
      <c r="V1047">
        <v>22077.393361999999</v>
      </c>
      <c r="W1047">
        <v>1046</v>
      </c>
      <c r="X1047">
        <v>0</v>
      </c>
      <c r="Y1047">
        <v>1045</v>
      </c>
      <c r="Z1047" t="s">
        <v>6966</v>
      </c>
      <c r="AA1047" t="s">
        <v>6966</v>
      </c>
      <c r="AB1047" t="s">
        <v>6966</v>
      </c>
      <c r="AC1047" t="s">
        <v>6966</v>
      </c>
      <c r="AD1047" t="s">
        <v>6966</v>
      </c>
      <c r="AE1047" t="s">
        <v>6966</v>
      </c>
      <c r="AF1047" t="s">
        <v>6966</v>
      </c>
      <c r="AG1047" t="s">
        <v>6966</v>
      </c>
      <c r="AH1047" t="s">
        <v>6966</v>
      </c>
      <c r="AI1047" t="s">
        <v>6966</v>
      </c>
      <c r="AJ1047" t="s">
        <v>6966</v>
      </c>
      <c r="AK1047" t="s">
        <v>6966</v>
      </c>
      <c r="AL1047" t="s">
        <v>6966</v>
      </c>
      <c r="AM1047" t="s">
        <v>6966</v>
      </c>
      <c r="AN1047" t="s">
        <v>6966</v>
      </c>
      <c r="AO1047" t="s">
        <v>6966</v>
      </c>
      <c r="AP1047" t="s">
        <v>6966</v>
      </c>
      <c r="AQ1047" t="s">
        <v>6966</v>
      </c>
      <c r="AR1047" t="s">
        <v>6966</v>
      </c>
      <c r="AS1047" t="s">
        <v>6966</v>
      </c>
      <c r="AT1047" t="s">
        <v>6966</v>
      </c>
      <c r="AU1047" t="s">
        <v>6966</v>
      </c>
      <c r="AV1047" t="s">
        <v>6966</v>
      </c>
      <c r="AW1047" t="s">
        <v>6966</v>
      </c>
      <c r="AX1047" t="s">
        <v>6966</v>
      </c>
      <c r="AY1047" t="s">
        <v>6966</v>
      </c>
      <c r="AZ1047">
        <v>0.221579</v>
      </c>
      <c r="BA1047">
        <v>9.6299999999999999E-4</v>
      </c>
    </row>
    <row r="1048" spans="1:53" x14ac:dyDescent="0.25">
      <c r="A1048">
        <v>1046</v>
      </c>
      <c r="B1048" t="s">
        <v>7625</v>
      </c>
      <c r="C1048">
        <v>403007</v>
      </c>
      <c r="D1048" t="s">
        <v>1001</v>
      </c>
      <c r="E1048" t="s">
        <v>3045</v>
      </c>
      <c r="F1048">
        <v>1007208.5625</v>
      </c>
      <c r="G1048">
        <v>5851.3876950000003</v>
      </c>
      <c r="H1048">
        <v>1013</v>
      </c>
      <c r="I1048">
        <v>1222</v>
      </c>
      <c r="J1048">
        <v>51247</v>
      </c>
      <c r="K1048" t="s">
        <v>7965</v>
      </c>
      <c r="L1048">
        <v>15</v>
      </c>
      <c r="M1048">
        <v>15</v>
      </c>
      <c r="N1048">
        <v>51247</v>
      </c>
      <c r="O1048">
        <v>990</v>
      </c>
      <c r="P1048" t="s">
        <v>3214</v>
      </c>
      <c r="Q1048">
        <v>0.4</v>
      </c>
      <c r="R1048">
        <v>21.16</v>
      </c>
      <c r="S1048">
        <v>0.1</v>
      </c>
      <c r="T1048">
        <v>5</v>
      </c>
      <c r="U1048">
        <v>1007208.67766</v>
      </c>
      <c r="V1048">
        <v>5851.3874290000003</v>
      </c>
      <c r="W1048">
        <v>1047</v>
      </c>
      <c r="X1048">
        <v>0</v>
      </c>
      <c r="Y1048">
        <v>1046</v>
      </c>
      <c r="Z1048" t="s">
        <v>6966</v>
      </c>
      <c r="AA1048" t="s">
        <v>6966</v>
      </c>
      <c r="AB1048" t="s">
        <v>6966</v>
      </c>
      <c r="AC1048" t="s">
        <v>6966</v>
      </c>
      <c r="AD1048" t="s">
        <v>6966</v>
      </c>
      <c r="AE1048" t="s">
        <v>6966</v>
      </c>
      <c r="AF1048" t="s">
        <v>6966</v>
      </c>
      <c r="AG1048" t="s">
        <v>6966</v>
      </c>
      <c r="AH1048" t="s">
        <v>6966</v>
      </c>
      <c r="AI1048" t="s">
        <v>6966</v>
      </c>
      <c r="AJ1048" t="s">
        <v>6966</v>
      </c>
      <c r="AK1048" t="s">
        <v>6966</v>
      </c>
      <c r="AL1048" t="s">
        <v>6966</v>
      </c>
      <c r="AM1048" t="s">
        <v>6966</v>
      </c>
      <c r="AN1048" t="s">
        <v>6966</v>
      </c>
      <c r="AO1048" t="s">
        <v>6966</v>
      </c>
      <c r="AP1048" t="s">
        <v>6966</v>
      </c>
      <c r="AQ1048" t="s">
        <v>6966</v>
      </c>
      <c r="AR1048" t="s">
        <v>6966</v>
      </c>
      <c r="AS1048" t="s">
        <v>6966</v>
      </c>
      <c r="AT1048" t="s">
        <v>6966</v>
      </c>
      <c r="AU1048" t="s">
        <v>6966</v>
      </c>
      <c r="AV1048" t="s">
        <v>6966</v>
      </c>
      <c r="AW1048" t="s">
        <v>6966</v>
      </c>
      <c r="AX1048" t="s">
        <v>6966</v>
      </c>
      <c r="AY1048" t="s">
        <v>6966</v>
      </c>
      <c r="AZ1048">
        <v>5.7460999999999998E-2</v>
      </c>
      <c r="BA1048">
        <v>9.7999999999999997E-5</v>
      </c>
    </row>
    <row r="1049" spans="1:53" x14ac:dyDescent="0.25">
      <c r="A1049">
        <v>1047</v>
      </c>
      <c r="B1049" t="s">
        <v>7625</v>
      </c>
      <c r="C1049">
        <v>501054</v>
      </c>
      <c r="D1049" t="s">
        <v>317</v>
      </c>
      <c r="E1049" t="s">
        <v>1808</v>
      </c>
      <c r="F1049">
        <v>1789667.5</v>
      </c>
      <c r="G1049">
        <v>8049.8618159999996</v>
      </c>
      <c r="H1049">
        <v>1014</v>
      </c>
      <c r="I1049">
        <v>1224</v>
      </c>
      <c r="J1049">
        <v>24341</v>
      </c>
      <c r="K1049" t="s">
        <v>1822</v>
      </c>
      <c r="L1049">
        <v>5</v>
      </c>
      <c r="M1049">
        <v>5</v>
      </c>
      <c r="N1049">
        <v>24341</v>
      </c>
      <c r="O1049">
        <v>991</v>
      </c>
      <c r="P1049" t="s">
        <v>3212</v>
      </c>
      <c r="Q1049">
        <v>1.1000000000000001</v>
      </c>
      <c r="R1049">
        <v>14.88</v>
      </c>
      <c r="S1049">
        <v>0.79</v>
      </c>
      <c r="T1049">
        <v>10</v>
      </c>
      <c r="U1049">
        <v>1789667.50208</v>
      </c>
      <c r="V1049">
        <v>8049.8612869999997</v>
      </c>
      <c r="W1049">
        <v>1048</v>
      </c>
      <c r="X1049">
        <v>0</v>
      </c>
      <c r="Y1049">
        <v>1047</v>
      </c>
      <c r="Z1049" t="s">
        <v>6966</v>
      </c>
      <c r="AA1049" t="s">
        <v>6966</v>
      </c>
      <c r="AB1049" t="s">
        <v>6966</v>
      </c>
      <c r="AC1049" t="s">
        <v>6966</v>
      </c>
      <c r="AD1049" t="s">
        <v>6966</v>
      </c>
      <c r="AE1049" t="s">
        <v>6966</v>
      </c>
      <c r="AF1049" t="s">
        <v>6966</v>
      </c>
      <c r="AG1049" t="s">
        <v>6966</v>
      </c>
      <c r="AH1049" t="s">
        <v>6966</v>
      </c>
      <c r="AI1049" t="s">
        <v>6966</v>
      </c>
      <c r="AJ1049" t="s">
        <v>6966</v>
      </c>
      <c r="AK1049" t="s">
        <v>6966</v>
      </c>
      <c r="AL1049" t="s">
        <v>6966</v>
      </c>
      <c r="AM1049" t="s">
        <v>6966</v>
      </c>
      <c r="AN1049" t="s">
        <v>6966</v>
      </c>
      <c r="AO1049" t="s">
        <v>6966</v>
      </c>
      <c r="AP1049" t="s">
        <v>6966</v>
      </c>
      <c r="AQ1049" t="s">
        <v>6966</v>
      </c>
      <c r="AR1049" t="s">
        <v>6966</v>
      </c>
      <c r="AS1049" t="s">
        <v>6966</v>
      </c>
      <c r="AT1049" t="s">
        <v>6966</v>
      </c>
      <c r="AU1049" t="s">
        <v>6966</v>
      </c>
      <c r="AV1049" t="s">
        <v>6966</v>
      </c>
      <c r="AW1049" t="s">
        <v>6966</v>
      </c>
      <c r="AX1049" t="s">
        <v>6966</v>
      </c>
      <c r="AY1049" t="s">
        <v>6966</v>
      </c>
      <c r="AZ1049">
        <v>7.9723000000000002E-2</v>
      </c>
      <c r="BA1049">
        <v>1.74E-4</v>
      </c>
    </row>
    <row r="1050" spans="1:53" x14ac:dyDescent="0.25">
      <c r="A1050">
        <v>1048</v>
      </c>
      <c r="B1050" t="s">
        <v>7625</v>
      </c>
      <c r="C1050">
        <v>501072</v>
      </c>
      <c r="D1050" t="s">
        <v>293</v>
      </c>
      <c r="E1050" t="s">
        <v>1808</v>
      </c>
      <c r="F1050">
        <v>2064341.625</v>
      </c>
      <c r="G1050">
        <v>8619.8183590000008</v>
      </c>
      <c r="H1050">
        <v>1015</v>
      </c>
      <c r="I1050">
        <v>1225</v>
      </c>
      <c r="J1050">
        <v>24227</v>
      </c>
      <c r="K1050" t="s">
        <v>1800</v>
      </c>
      <c r="L1050">
        <v>5</v>
      </c>
      <c r="M1050">
        <v>5</v>
      </c>
      <c r="N1050">
        <v>24227</v>
      </c>
      <c r="O1050">
        <v>992</v>
      </c>
      <c r="P1050" t="s">
        <v>3212</v>
      </c>
      <c r="Q1050">
        <v>2.9</v>
      </c>
      <c r="R1050">
        <v>38.35</v>
      </c>
      <c r="S1050">
        <v>0.96</v>
      </c>
      <c r="T1050">
        <v>13</v>
      </c>
      <c r="U1050">
        <v>2064341.59586</v>
      </c>
      <c r="V1050">
        <v>8619.8189469999998</v>
      </c>
      <c r="W1050">
        <v>1049</v>
      </c>
      <c r="X1050">
        <v>0</v>
      </c>
      <c r="Y1050">
        <v>1048</v>
      </c>
      <c r="Z1050" t="s">
        <v>6966</v>
      </c>
      <c r="AA1050" t="s">
        <v>6966</v>
      </c>
      <c r="AB1050" t="s">
        <v>6966</v>
      </c>
      <c r="AC1050" t="s">
        <v>6966</v>
      </c>
      <c r="AD1050" t="s">
        <v>6966</v>
      </c>
      <c r="AE1050" t="s">
        <v>6966</v>
      </c>
      <c r="AF1050" t="s">
        <v>6966</v>
      </c>
      <c r="AG1050" t="s">
        <v>6966</v>
      </c>
      <c r="AH1050" t="s">
        <v>6966</v>
      </c>
      <c r="AI1050" t="s">
        <v>6966</v>
      </c>
      <c r="AJ1050" t="s">
        <v>6966</v>
      </c>
      <c r="AK1050" t="s">
        <v>6966</v>
      </c>
      <c r="AL1050" t="s">
        <v>6966</v>
      </c>
      <c r="AM1050" t="s">
        <v>6966</v>
      </c>
      <c r="AN1050" t="s">
        <v>6966</v>
      </c>
      <c r="AO1050" t="s">
        <v>6966</v>
      </c>
      <c r="AP1050" t="s">
        <v>6966</v>
      </c>
      <c r="AQ1050" t="s">
        <v>6966</v>
      </c>
      <c r="AR1050" t="s">
        <v>6966</v>
      </c>
      <c r="AS1050" t="s">
        <v>6966</v>
      </c>
      <c r="AT1050" t="s">
        <v>6966</v>
      </c>
      <c r="AU1050" t="s">
        <v>6966</v>
      </c>
      <c r="AV1050" t="s">
        <v>6966</v>
      </c>
      <c r="AW1050" t="s">
        <v>6966</v>
      </c>
      <c r="AX1050" t="s">
        <v>6966</v>
      </c>
      <c r="AY1050" t="s">
        <v>6966</v>
      </c>
      <c r="AZ1050">
        <v>8.6633000000000002E-2</v>
      </c>
      <c r="BA1050">
        <v>2.0100000000000001E-4</v>
      </c>
    </row>
    <row r="1051" spans="1:53" x14ac:dyDescent="0.25">
      <c r="A1051">
        <v>1049</v>
      </c>
      <c r="B1051" t="s">
        <v>7625</v>
      </c>
      <c r="C1051">
        <v>501013</v>
      </c>
      <c r="D1051" t="s">
        <v>322</v>
      </c>
      <c r="E1051" t="s">
        <v>1808</v>
      </c>
      <c r="F1051">
        <v>3347883</v>
      </c>
      <c r="G1051">
        <v>10740.785156</v>
      </c>
      <c r="H1051">
        <v>1016</v>
      </c>
      <c r="I1051">
        <v>1226</v>
      </c>
      <c r="J1051">
        <v>24351</v>
      </c>
      <c r="K1051" t="s">
        <v>7966</v>
      </c>
      <c r="L1051">
        <v>5</v>
      </c>
      <c r="M1051">
        <v>5</v>
      </c>
      <c r="N1051">
        <v>24351</v>
      </c>
      <c r="O1051">
        <v>993</v>
      </c>
      <c r="P1051" t="s">
        <v>3212</v>
      </c>
      <c r="Q1051">
        <v>2.4</v>
      </c>
      <c r="R1051">
        <v>20.45</v>
      </c>
      <c r="S1051">
        <v>1.61</v>
      </c>
      <c r="T1051">
        <v>15</v>
      </c>
      <c r="U1051">
        <v>3347882.9803900002</v>
      </c>
      <c r="V1051">
        <v>10740.785395000001</v>
      </c>
      <c r="W1051">
        <v>1050</v>
      </c>
      <c r="X1051">
        <v>0</v>
      </c>
      <c r="Y1051">
        <v>1049</v>
      </c>
      <c r="Z1051" t="s">
        <v>6966</v>
      </c>
      <c r="AA1051" t="s">
        <v>6966</v>
      </c>
      <c r="AB1051" t="s">
        <v>6966</v>
      </c>
      <c r="AC1051" t="s">
        <v>6966</v>
      </c>
      <c r="AD1051" t="s">
        <v>6966</v>
      </c>
      <c r="AE1051" t="s">
        <v>6966</v>
      </c>
      <c r="AF1051" t="s">
        <v>6966</v>
      </c>
      <c r="AG1051" t="s">
        <v>6966</v>
      </c>
      <c r="AH1051" t="s">
        <v>6966</v>
      </c>
      <c r="AI1051" t="s">
        <v>6966</v>
      </c>
      <c r="AJ1051" t="s">
        <v>6966</v>
      </c>
      <c r="AK1051" t="s">
        <v>6966</v>
      </c>
      <c r="AL1051" t="s">
        <v>6966</v>
      </c>
      <c r="AM1051" t="s">
        <v>6966</v>
      </c>
      <c r="AN1051" t="s">
        <v>6966</v>
      </c>
      <c r="AO1051" t="s">
        <v>6966</v>
      </c>
      <c r="AP1051" t="s">
        <v>6966</v>
      </c>
      <c r="AQ1051" t="s">
        <v>6966</v>
      </c>
      <c r="AR1051" t="s">
        <v>6966</v>
      </c>
      <c r="AS1051" t="s">
        <v>6966</v>
      </c>
      <c r="AT1051" t="s">
        <v>6966</v>
      </c>
      <c r="AU1051" t="s">
        <v>6966</v>
      </c>
      <c r="AV1051" t="s">
        <v>6966</v>
      </c>
      <c r="AW1051" t="s">
        <v>6966</v>
      </c>
      <c r="AX1051" t="s">
        <v>6966</v>
      </c>
      <c r="AY1051" t="s">
        <v>6966</v>
      </c>
      <c r="AZ1051">
        <v>0.107361</v>
      </c>
      <c r="BA1051">
        <v>3.2600000000000001E-4</v>
      </c>
    </row>
    <row r="1052" spans="1:53" x14ac:dyDescent="0.25">
      <c r="A1052">
        <v>1050</v>
      </c>
      <c r="B1052" t="s">
        <v>7625</v>
      </c>
      <c r="C1052">
        <v>403015</v>
      </c>
      <c r="D1052" t="s">
        <v>7967</v>
      </c>
      <c r="E1052" t="s">
        <v>3045</v>
      </c>
      <c r="F1052">
        <v>1401646.375</v>
      </c>
      <c r="G1052">
        <v>7405.1513670000004</v>
      </c>
      <c r="H1052">
        <v>1017</v>
      </c>
      <c r="I1052">
        <v>1227</v>
      </c>
      <c r="J1052">
        <v>51251</v>
      </c>
      <c r="K1052" t="s">
        <v>2355</v>
      </c>
      <c r="L1052">
        <v>15</v>
      </c>
      <c r="M1052">
        <v>15</v>
      </c>
      <c r="N1052">
        <v>51251</v>
      </c>
      <c r="O1052">
        <v>994</v>
      </c>
      <c r="P1052" t="s">
        <v>3214</v>
      </c>
      <c r="Q1052">
        <v>0</v>
      </c>
      <c r="R1052">
        <v>0</v>
      </c>
      <c r="S1052">
        <v>0.01</v>
      </c>
      <c r="T1052">
        <v>0</v>
      </c>
      <c r="U1052">
        <v>1401646.36151</v>
      </c>
      <c r="V1052">
        <v>7405.1512210000001</v>
      </c>
      <c r="W1052">
        <v>1051</v>
      </c>
      <c r="X1052">
        <v>0</v>
      </c>
      <c r="Y1052">
        <v>1050</v>
      </c>
      <c r="Z1052" t="s">
        <v>6966</v>
      </c>
      <c r="AA1052" t="s">
        <v>6966</v>
      </c>
      <c r="AB1052" t="s">
        <v>6966</v>
      </c>
      <c r="AC1052" t="s">
        <v>6966</v>
      </c>
      <c r="AD1052" t="s">
        <v>6966</v>
      </c>
      <c r="AE1052" t="s">
        <v>6966</v>
      </c>
      <c r="AF1052" t="s">
        <v>6966</v>
      </c>
      <c r="AG1052" t="s">
        <v>6966</v>
      </c>
      <c r="AH1052" t="s">
        <v>6966</v>
      </c>
      <c r="AI1052" t="s">
        <v>6966</v>
      </c>
      <c r="AJ1052" t="s">
        <v>6966</v>
      </c>
      <c r="AK1052" t="s">
        <v>6966</v>
      </c>
      <c r="AL1052" t="s">
        <v>6966</v>
      </c>
      <c r="AM1052" t="s">
        <v>6966</v>
      </c>
      <c r="AN1052" t="s">
        <v>6966</v>
      </c>
      <c r="AO1052" t="s">
        <v>6966</v>
      </c>
      <c r="AP1052" t="s">
        <v>6966</v>
      </c>
      <c r="AQ1052" t="s">
        <v>6966</v>
      </c>
      <c r="AR1052" t="s">
        <v>6966</v>
      </c>
      <c r="AS1052" t="s">
        <v>6966</v>
      </c>
      <c r="AT1052" t="s">
        <v>6966</v>
      </c>
      <c r="AU1052" t="s">
        <v>6966</v>
      </c>
      <c r="AV1052" t="s">
        <v>6966</v>
      </c>
      <c r="AW1052" t="s">
        <v>6966</v>
      </c>
      <c r="AX1052" t="s">
        <v>6966</v>
      </c>
      <c r="AY1052" t="s">
        <v>6966</v>
      </c>
      <c r="AZ1052">
        <v>7.1063000000000001E-2</v>
      </c>
      <c r="BA1052">
        <v>1.36E-4</v>
      </c>
    </row>
    <row r="1053" spans="1:53" x14ac:dyDescent="0.25">
      <c r="A1053">
        <v>1051</v>
      </c>
      <c r="B1053" t="s">
        <v>7625</v>
      </c>
      <c r="C1053">
        <v>501006</v>
      </c>
      <c r="D1053" t="s">
        <v>342</v>
      </c>
      <c r="E1053" t="s">
        <v>1808</v>
      </c>
      <c r="F1053">
        <v>506436.1875</v>
      </c>
      <c r="G1053">
        <v>4180.111328</v>
      </c>
      <c r="H1053">
        <v>1018</v>
      </c>
      <c r="I1053">
        <v>1228</v>
      </c>
      <c r="J1053">
        <v>24431</v>
      </c>
      <c r="K1053" t="s">
        <v>7968</v>
      </c>
      <c r="L1053">
        <v>5</v>
      </c>
      <c r="M1053">
        <v>5</v>
      </c>
      <c r="N1053">
        <v>24431</v>
      </c>
      <c r="O1053">
        <v>995</v>
      </c>
      <c r="P1053" t="s">
        <v>3212</v>
      </c>
      <c r="Q1053">
        <v>0</v>
      </c>
      <c r="R1053">
        <v>0</v>
      </c>
      <c r="S1053">
        <v>0.02</v>
      </c>
      <c r="T1053">
        <v>0</v>
      </c>
      <c r="U1053">
        <v>506436.16084999999</v>
      </c>
      <c r="V1053">
        <v>4180.1117029999996</v>
      </c>
      <c r="W1053">
        <v>1052</v>
      </c>
      <c r="X1053">
        <v>0</v>
      </c>
      <c r="Y1053">
        <v>1051</v>
      </c>
      <c r="Z1053" t="s">
        <v>6966</v>
      </c>
      <c r="AA1053" t="s">
        <v>6966</v>
      </c>
      <c r="AB1053" t="s">
        <v>6966</v>
      </c>
      <c r="AC1053" t="s">
        <v>6966</v>
      </c>
      <c r="AD1053" t="s">
        <v>6966</v>
      </c>
      <c r="AE1053" t="s">
        <v>6966</v>
      </c>
      <c r="AF1053" t="s">
        <v>6966</v>
      </c>
      <c r="AG1053" t="s">
        <v>6966</v>
      </c>
      <c r="AH1053" t="s">
        <v>6966</v>
      </c>
      <c r="AI1053" t="s">
        <v>6966</v>
      </c>
      <c r="AJ1053" t="s">
        <v>6966</v>
      </c>
      <c r="AK1053" t="s">
        <v>6966</v>
      </c>
      <c r="AL1053" t="s">
        <v>6966</v>
      </c>
      <c r="AM1053" t="s">
        <v>6966</v>
      </c>
      <c r="AN1053" t="s">
        <v>6966</v>
      </c>
      <c r="AO1053" t="s">
        <v>6966</v>
      </c>
      <c r="AP1053" t="s">
        <v>6966</v>
      </c>
      <c r="AQ1053" t="s">
        <v>6966</v>
      </c>
      <c r="AR1053" t="s">
        <v>6966</v>
      </c>
      <c r="AS1053" t="s">
        <v>6966</v>
      </c>
      <c r="AT1053" t="s">
        <v>6966</v>
      </c>
      <c r="AU1053" t="s">
        <v>6966</v>
      </c>
      <c r="AV1053" t="s">
        <v>6966</v>
      </c>
      <c r="AW1053" t="s">
        <v>6966</v>
      </c>
      <c r="AX1053" t="s">
        <v>6966</v>
      </c>
      <c r="AY1053" t="s">
        <v>6966</v>
      </c>
      <c r="AZ1053">
        <v>4.1102E-2</v>
      </c>
      <c r="BA1053">
        <v>4.8999999999999998E-5</v>
      </c>
    </row>
    <row r="1054" spans="1:53" x14ac:dyDescent="0.25">
      <c r="A1054">
        <v>1052</v>
      </c>
      <c r="B1054" t="s">
        <v>7625</v>
      </c>
      <c r="C1054">
        <v>401028</v>
      </c>
      <c r="D1054" t="s">
        <v>1063</v>
      </c>
      <c r="E1054" t="s">
        <v>3221</v>
      </c>
      <c r="F1054">
        <v>8764535</v>
      </c>
      <c r="G1054">
        <v>15846.865234000001</v>
      </c>
      <c r="H1054">
        <v>1019</v>
      </c>
      <c r="I1054">
        <v>1229</v>
      </c>
      <c r="J1054">
        <v>52277</v>
      </c>
      <c r="K1054" t="s">
        <v>2407</v>
      </c>
      <c r="L1054">
        <v>16</v>
      </c>
      <c r="M1054">
        <v>16</v>
      </c>
      <c r="N1054">
        <v>52277</v>
      </c>
      <c r="O1054">
        <v>996</v>
      </c>
      <c r="P1054" t="s">
        <v>3214</v>
      </c>
      <c r="Q1054">
        <v>3.8</v>
      </c>
      <c r="R1054">
        <v>125.1</v>
      </c>
      <c r="S1054">
        <v>0.67</v>
      </c>
      <c r="T1054">
        <v>22</v>
      </c>
      <c r="U1054">
        <v>8764535.4409400001</v>
      </c>
      <c r="V1054">
        <v>15846.866717999999</v>
      </c>
      <c r="W1054">
        <v>1053</v>
      </c>
      <c r="X1054">
        <v>1</v>
      </c>
      <c r="Y1054">
        <v>1052</v>
      </c>
      <c r="Z1054">
        <v>69170</v>
      </c>
      <c r="AA1054" s="76">
        <v>45827</v>
      </c>
      <c r="AB1054">
        <v>2025</v>
      </c>
      <c r="AC1054" t="s">
        <v>7298</v>
      </c>
      <c r="AD1054">
        <v>19</v>
      </c>
      <c r="AE1054" t="s">
        <v>7418</v>
      </c>
      <c r="AF1054" t="s">
        <v>3214</v>
      </c>
      <c r="AG1054" t="s">
        <v>3221</v>
      </c>
      <c r="AH1054" t="s">
        <v>1063</v>
      </c>
      <c r="AI1054" t="s">
        <v>3048</v>
      </c>
      <c r="AJ1054" t="s">
        <v>6966</v>
      </c>
      <c r="AK1054">
        <v>33.761659999999999</v>
      </c>
      <c r="AL1054">
        <v>35.882820000000002</v>
      </c>
      <c r="AM1054" t="s">
        <v>6995</v>
      </c>
      <c r="AN1054" t="s">
        <v>6966</v>
      </c>
      <c r="AO1054" t="s">
        <v>6996</v>
      </c>
      <c r="AP1054" t="s">
        <v>7419</v>
      </c>
      <c r="AQ1054" t="s">
        <v>6998</v>
      </c>
      <c r="AR1054" t="s">
        <v>6999</v>
      </c>
      <c r="AS1054" t="s">
        <v>7036</v>
      </c>
      <c r="AT1054">
        <v>0</v>
      </c>
      <c r="AU1054">
        <v>0</v>
      </c>
      <c r="AV1054" t="s">
        <v>6966</v>
      </c>
      <c r="AW1054" t="s">
        <v>7119</v>
      </c>
      <c r="AX1054" t="s">
        <v>6966</v>
      </c>
      <c r="AY1054" t="s">
        <v>7003</v>
      </c>
      <c r="AZ1054">
        <v>0.15656600000000001</v>
      </c>
      <c r="BA1054">
        <v>8.5300000000000003E-4</v>
      </c>
    </row>
    <row r="1055" spans="1:53" x14ac:dyDescent="0.25">
      <c r="A1055">
        <v>1053</v>
      </c>
      <c r="B1055" t="s">
        <v>7625</v>
      </c>
      <c r="C1055">
        <v>501037</v>
      </c>
      <c r="D1055" t="s">
        <v>323</v>
      </c>
      <c r="E1055" t="s">
        <v>1808</v>
      </c>
      <c r="F1055">
        <v>2874179.25</v>
      </c>
      <c r="G1055">
        <v>13590.708984000001</v>
      </c>
      <c r="H1055">
        <v>1020</v>
      </c>
      <c r="I1055">
        <v>1230</v>
      </c>
      <c r="J1055">
        <v>24353</v>
      </c>
      <c r="K1055" t="s">
        <v>323</v>
      </c>
      <c r="L1055">
        <v>5</v>
      </c>
      <c r="M1055">
        <v>5</v>
      </c>
      <c r="N1055">
        <v>24353</v>
      </c>
      <c r="O1055">
        <v>997</v>
      </c>
      <c r="P1055" t="s">
        <v>3212</v>
      </c>
      <c r="Q1055">
        <v>0.1</v>
      </c>
      <c r="R1055">
        <v>0.56999999999999995</v>
      </c>
      <c r="S1055">
        <v>0.2</v>
      </c>
      <c r="T1055">
        <v>2</v>
      </c>
      <c r="U1055">
        <v>2874179.3323900001</v>
      </c>
      <c r="V1055">
        <v>13590.707920999999</v>
      </c>
      <c r="W1055">
        <v>1054</v>
      </c>
      <c r="X1055">
        <v>0</v>
      </c>
      <c r="Y1055">
        <v>1053</v>
      </c>
      <c r="Z1055" t="s">
        <v>6966</v>
      </c>
      <c r="AA1055" t="s">
        <v>6966</v>
      </c>
      <c r="AB1055" t="s">
        <v>6966</v>
      </c>
      <c r="AC1055" t="s">
        <v>6966</v>
      </c>
      <c r="AD1055" t="s">
        <v>6966</v>
      </c>
      <c r="AE1055" t="s">
        <v>6966</v>
      </c>
      <c r="AF1055" t="s">
        <v>6966</v>
      </c>
      <c r="AG1055" t="s">
        <v>6966</v>
      </c>
      <c r="AH1055" t="s">
        <v>6966</v>
      </c>
      <c r="AI1055" t="s">
        <v>6966</v>
      </c>
      <c r="AJ1055" t="s">
        <v>6966</v>
      </c>
      <c r="AK1055" t="s">
        <v>6966</v>
      </c>
      <c r="AL1055" t="s">
        <v>6966</v>
      </c>
      <c r="AM1055" t="s">
        <v>6966</v>
      </c>
      <c r="AN1055" t="s">
        <v>6966</v>
      </c>
      <c r="AO1055" t="s">
        <v>6966</v>
      </c>
      <c r="AP1055" t="s">
        <v>6966</v>
      </c>
      <c r="AQ1055" t="s">
        <v>6966</v>
      </c>
      <c r="AR1055" t="s">
        <v>6966</v>
      </c>
      <c r="AS1055" t="s">
        <v>6966</v>
      </c>
      <c r="AT1055" t="s">
        <v>6966</v>
      </c>
      <c r="AU1055" t="s">
        <v>6966</v>
      </c>
      <c r="AV1055" t="s">
        <v>6966</v>
      </c>
      <c r="AW1055" t="s">
        <v>6966</v>
      </c>
      <c r="AX1055" t="s">
        <v>6966</v>
      </c>
      <c r="AY1055" t="s">
        <v>6966</v>
      </c>
      <c r="AZ1055">
        <v>0.133497</v>
      </c>
      <c r="BA1055">
        <v>2.7999999999999998E-4</v>
      </c>
    </row>
    <row r="1056" spans="1:53" x14ac:dyDescent="0.25">
      <c r="A1056">
        <v>1054</v>
      </c>
      <c r="B1056" t="s">
        <v>7625</v>
      </c>
      <c r="C1056">
        <v>501028</v>
      </c>
      <c r="D1056" t="s">
        <v>359</v>
      </c>
      <c r="E1056" t="s">
        <v>1808</v>
      </c>
      <c r="F1056">
        <v>0</v>
      </c>
      <c r="G1056">
        <v>25607.488281000002</v>
      </c>
      <c r="H1056">
        <v>1021</v>
      </c>
      <c r="I1056">
        <v>1231</v>
      </c>
      <c r="J1056">
        <v>24484</v>
      </c>
      <c r="K1056" t="s">
        <v>7969</v>
      </c>
      <c r="L1056">
        <v>5</v>
      </c>
      <c r="M1056">
        <v>5</v>
      </c>
      <c r="N1056">
        <v>24484</v>
      </c>
      <c r="O1056">
        <v>998</v>
      </c>
      <c r="P1056" t="s">
        <v>3212</v>
      </c>
      <c r="Q1056">
        <v>0</v>
      </c>
      <c r="R1056">
        <v>3.58</v>
      </c>
      <c r="S1056">
        <v>0.04</v>
      </c>
      <c r="T1056">
        <v>11</v>
      </c>
      <c r="U1056">
        <v>0</v>
      </c>
      <c r="V1056">
        <v>25607.487668000002</v>
      </c>
      <c r="W1056">
        <v>1055</v>
      </c>
      <c r="X1056">
        <v>0</v>
      </c>
      <c r="Y1056">
        <v>1054</v>
      </c>
      <c r="Z1056" t="s">
        <v>6966</v>
      </c>
      <c r="AA1056" t="s">
        <v>6966</v>
      </c>
      <c r="AB1056" t="s">
        <v>6966</v>
      </c>
      <c r="AC1056" t="s">
        <v>6966</v>
      </c>
      <c r="AD1056" t="s">
        <v>6966</v>
      </c>
      <c r="AE1056" t="s">
        <v>6966</v>
      </c>
      <c r="AF1056" t="s">
        <v>6966</v>
      </c>
      <c r="AG1056" t="s">
        <v>6966</v>
      </c>
      <c r="AH1056" t="s">
        <v>6966</v>
      </c>
      <c r="AI1056" t="s">
        <v>6966</v>
      </c>
      <c r="AJ1056" t="s">
        <v>6966</v>
      </c>
      <c r="AK1056" t="s">
        <v>6966</v>
      </c>
      <c r="AL1056" t="s">
        <v>6966</v>
      </c>
      <c r="AM1056" t="s">
        <v>6966</v>
      </c>
      <c r="AN1056" t="s">
        <v>6966</v>
      </c>
      <c r="AO1056" t="s">
        <v>6966</v>
      </c>
      <c r="AP1056" t="s">
        <v>6966</v>
      </c>
      <c r="AQ1056" t="s">
        <v>6966</v>
      </c>
      <c r="AR1056" t="s">
        <v>6966</v>
      </c>
      <c r="AS1056" t="s">
        <v>6966</v>
      </c>
      <c r="AT1056" t="s">
        <v>6966</v>
      </c>
      <c r="AU1056" t="s">
        <v>6966</v>
      </c>
      <c r="AV1056" t="s">
        <v>6966</v>
      </c>
      <c r="AW1056" t="s">
        <v>6966</v>
      </c>
      <c r="AX1056" t="s">
        <v>6966</v>
      </c>
      <c r="AY1056" t="s">
        <v>6966</v>
      </c>
      <c r="AZ1056">
        <v>0.26015899999999997</v>
      </c>
      <c r="BA1056">
        <v>2.2959999999999999E-3</v>
      </c>
    </row>
    <row r="1057" spans="1:53" x14ac:dyDescent="0.25">
      <c r="A1057">
        <v>1055</v>
      </c>
      <c r="B1057" t="s">
        <v>7625</v>
      </c>
      <c r="C1057">
        <v>403029</v>
      </c>
      <c r="D1057" t="s">
        <v>7970</v>
      </c>
      <c r="E1057" t="s">
        <v>3045</v>
      </c>
      <c r="F1057">
        <v>894980.375</v>
      </c>
      <c r="G1057">
        <v>4253.7768550000001</v>
      </c>
      <c r="H1057">
        <v>1022</v>
      </c>
      <c r="I1057">
        <v>1233</v>
      </c>
      <c r="J1057">
        <v>51271</v>
      </c>
      <c r="K1057" t="s">
        <v>2360</v>
      </c>
      <c r="L1057">
        <v>15</v>
      </c>
      <c r="M1057">
        <v>15</v>
      </c>
      <c r="N1057">
        <v>51271</v>
      </c>
      <c r="O1057">
        <v>999</v>
      </c>
      <c r="P1057" t="s">
        <v>3214</v>
      </c>
      <c r="Q1057">
        <v>4.9000000000000004</v>
      </c>
      <c r="R1057">
        <v>166.43</v>
      </c>
      <c r="S1057">
        <v>0.97</v>
      </c>
      <c r="T1057">
        <v>33</v>
      </c>
      <c r="U1057">
        <v>894980.45077999996</v>
      </c>
      <c r="V1057">
        <v>4253.7768050000004</v>
      </c>
      <c r="W1057">
        <v>1056</v>
      </c>
      <c r="X1057">
        <v>0</v>
      </c>
      <c r="Y1057">
        <v>1055</v>
      </c>
      <c r="Z1057" t="s">
        <v>6966</v>
      </c>
      <c r="AA1057" t="s">
        <v>6966</v>
      </c>
      <c r="AB1057" t="s">
        <v>6966</v>
      </c>
      <c r="AC1057" t="s">
        <v>6966</v>
      </c>
      <c r="AD1057" t="s">
        <v>6966</v>
      </c>
      <c r="AE1057" t="s">
        <v>6966</v>
      </c>
      <c r="AF1057" t="s">
        <v>6966</v>
      </c>
      <c r="AG1057" t="s">
        <v>6966</v>
      </c>
      <c r="AH1057" t="s">
        <v>6966</v>
      </c>
      <c r="AI1057" t="s">
        <v>6966</v>
      </c>
      <c r="AJ1057" t="s">
        <v>6966</v>
      </c>
      <c r="AK1057" t="s">
        <v>6966</v>
      </c>
      <c r="AL1057" t="s">
        <v>6966</v>
      </c>
      <c r="AM1057" t="s">
        <v>6966</v>
      </c>
      <c r="AN1057" t="s">
        <v>6966</v>
      </c>
      <c r="AO1057" t="s">
        <v>6966</v>
      </c>
      <c r="AP1057" t="s">
        <v>6966</v>
      </c>
      <c r="AQ1057" t="s">
        <v>6966</v>
      </c>
      <c r="AR1057" t="s">
        <v>6966</v>
      </c>
      <c r="AS1057" t="s">
        <v>6966</v>
      </c>
      <c r="AT1057" t="s">
        <v>6966</v>
      </c>
      <c r="AU1057" t="s">
        <v>6966</v>
      </c>
      <c r="AV1057" t="s">
        <v>6966</v>
      </c>
      <c r="AW1057" t="s">
        <v>6966</v>
      </c>
      <c r="AX1057" t="s">
        <v>6966</v>
      </c>
      <c r="AY1057" t="s">
        <v>6966</v>
      </c>
      <c r="AZ1057">
        <v>4.1642999999999999E-2</v>
      </c>
      <c r="BA1057">
        <v>8.7000000000000001E-5</v>
      </c>
    </row>
    <row r="1058" spans="1:53" x14ac:dyDescent="0.25">
      <c r="A1058">
        <v>1056</v>
      </c>
      <c r="B1058" t="s">
        <v>7625</v>
      </c>
      <c r="C1058">
        <v>501075</v>
      </c>
      <c r="D1058" t="s">
        <v>87</v>
      </c>
      <c r="E1058" t="s">
        <v>1808</v>
      </c>
      <c r="F1058">
        <v>56470.925780999998</v>
      </c>
      <c r="G1058">
        <v>1065.6260990000001</v>
      </c>
      <c r="H1058">
        <v>1023</v>
      </c>
      <c r="I1058">
        <v>1234</v>
      </c>
      <c r="J1058">
        <v>24001</v>
      </c>
      <c r="K1058" t="s">
        <v>87</v>
      </c>
      <c r="L1058">
        <v>5</v>
      </c>
      <c r="M1058">
        <v>5</v>
      </c>
      <c r="N1058">
        <v>24001</v>
      </c>
      <c r="O1058">
        <v>1000</v>
      </c>
      <c r="P1058" t="s">
        <v>3212</v>
      </c>
      <c r="Q1058">
        <v>0</v>
      </c>
      <c r="R1058">
        <v>0</v>
      </c>
      <c r="S1058">
        <v>0</v>
      </c>
      <c r="T1058">
        <v>0</v>
      </c>
      <c r="U1058">
        <v>56470.917662</v>
      </c>
      <c r="V1058">
        <v>1065.626121</v>
      </c>
      <c r="W1058">
        <v>1057</v>
      </c>
      <c r="X1058">
        <v>0</v>
      </c>
      <c r="Y1058">
        <v>1056</v>
      </c>
      <c r="Z1058" t="s">
        <v>6966</v>
      </c>
      <c r="AA1058" t="s">
        <v>6966</v>
      </c>
      <c r="AB1058" t="s">
        <v>6966</v>
      </c>
      <c r="AC1058" t="s">
        <v>6966</v>
      </c>
      <c r="AD1058" t="s">
        <v>6966</v>
      </c>
      <c r="AE1058" t="s">
        <v>6966</v>
      </c>
      <c r="AF1058" t="s">
        <v>6966</v>
      </c>
      <c r="AG1058" t="s">
        <v>6966</v>
      </c>
      <c r="AH1058" t="s">
        <v>6966</v>
      </c>
      <c r="AI1058" t="s">
        <v>6966</v>
      </c>
      <c r="AJ1058" t="s">
        <v>6966</v>
      </c>
      <c r="AK1058" t="s">
        <v>6966</v>
      </c>
      <c r="AL1058" t="s">
        <v>6966</v>
      </c>
      <c r="AM1058" t="s">
        <v>6966</v>
      </c>
      <c r="AN1058" t="s">
        <v>6966</v>
      </c>
      <c r="AO1058" t="s">
        <v>6966</v>
      </c>
      <c r="AP1058" t="s">
        <v>6966</v>
      </c>
      <c r="AQ1058" t="s">
        <v>6966</v>
      </c>
      <c r="AR1058" t="s">
        <v>6966</v>
      </c>
      <c r="AS1058" t="s">
        <v>6966</v>
      </c>
      <c r="AT1058" t="s">
        <v>6966</v>
      </c>
      <c r="AU1058" t="s">
        <v>6966</v>
      </c>
      <c r="AV1058" t="s">
        <v>6966</v>
      </c>
      <c r="AW1058" t="s">
        <v>6966</v>
      </c>
      <c r="AX1058" t="s">
        <v>6966</v>
      </c>
      <c r="AY1058" t="s">
        <v>6966</v>
      </c>
      <c r="AZ1058">
        <v>1.0167000000000001E-2</v>
      </c>
      <c r="BA1058">
        <v>5.0000000000000004E-6</v>
      </c>
    </row>
    <row r="1059" spans="1:53" x14ac:dyDescent="0.25">
      <c r="A1059">
        <v>1057</v>
      </c>
      <c r="B1059" t="s">
        <v>7625</v>
      </c>
      <c r="C1059">
        <v>501048</v>
      </c>
      <c r="D1059" t="s">
        <v>344</v>
      </c>
      <c r="E1059" t="s">
        <v>1808</v>
      </c>
      <c r="F1059">
        <v>41758.125</v>
      </c>
      <c r="G1059">
        <v>915.04046600000004</v>
      </c>
      <c r="H1059">
        <v>1024</v>
      </c>
      <c r="I1059">
        <v>1235</v>
      </c>
      <c r="J1059">
        <v>24437</v>
      </c>
      <c r="K1059" t="s">
        <v>1843</v>
      </c>
      <c r="L1059">
        <v>5</v>
      </c>
      <c r="M1059">
        <v>5</v>
      </c>
      <c r="N1059">
        <v>24437</v>
      </c>
      <c r="O1059">
        <v>1001</v>
      </c>
      <c r="P1059" t="s">
        <v>3212</v>
      </c>
      <c r="Q1059">
        <v>0</v>
      </c>
      <c r="R1059">
        <v>0</v>
      </c>
      <c r="S1059">
        <v>0.24</v>
      </c>
      <c r="T1059">
        <v>0</v>
      </c>
      <c r="U1059">
        <v>41758.139287999998</v>
      </c>
      <c r="V1059">
        <v>915.04058799999996</v>
      </c>
      <c r="W1059">
        <v>1058</v>
      </c>
      <c r="X1059">
        <v>0</v>
      </c>
      <c r="Y1059">
        <v>1057</v>
      </c>
      <c r="Z1059" t="s">
        <v>6966</v>
      </c>
      <c r="AA1059" t="s">
        <v>6966</v>
      </c>
      <c r="AB1059" t="s">
        <v>6966</v>
      </c>
      <c r="AC1059" t="s">
        <v>6966</v>
      </c>
      <c r="AD1059" t="s">
        <v>6966</v>
      </c>
      <c r="AE1059" t="s">
        <v>6966</v>
      </c>
      <c r="AF1059" t="s">
        <v>6966</v>
      </c>
      <c r="AG1059" t="s">
        <v>6966</v>
      </c>
      <c r="AH1059" t="s">
        <v>6966</v>
      </c>
      <c r="AI1059" t="s">
        <v>6966</v>
      </c>
      <c r="AJ1059" t="s">
        <v>6966</v>
      </c>
      <c r="AK1059" t="s">
        <v>6966</v>
      </c>
      <c r="AL1059" t="s">
        <v>6966</v>
      </c>
      <c r="AM1059" t="s">
        <v>6966</v>
      </c>
      <c r="AN1059" t="s">
        <v>6966</v>
      </c>
      <c r="AO1059" t="s">
        <v>6966</v>
      </c>
      <c r="AP1059" t="s">
        <v>6966</v>
      </c>
      <c r="AQ1059" t="s">
        <v>6966</v>
      </c>
      <c r="AR1059" t="s">
        <v>6966</v>
      </c>
      <c r="AS1059" t="s">
        <v>6966</v>
      </c>
      <c r="AT1059" t="s">
        <v>6966</v>
      </c>
      <c r="AU1059" t="s">
        <v>6966</v>
      </c>
      <c r="AV1059" t="s">
        <v>6966</v>
      </c>
      <c r="AW1059" t="s">
        <v>6966</v>
      </c>
      <c r="AX1059" t="s">
        <v>6966</v>
      </c>
      <c r="AY1059" t="s">
        <v>6966</v>
      </c>
      <c r="AZ1059">
        <v>9.103E-3</v>
      </c>
      <c r="BA1059">
        <v>3.9999999999999998E-6</v>
      </c>
    </row>
    <row r="1060" spans="1:53" x14ac:dyDescent="0.25">
      <c r="A1060">
        <v>1058</v>
      </c>
      <c r="B1060" t="s">
        <v>7625</v>
      </c>
      <c r="C1060">
        <v>501061</v>
      </c>
      <c r="D1060" t="s">
        <v>7971</v>
      </c>
      <c r="E1060" t="s">
        <v>1808</v>
      </c>
      <c r="F1060">
        <v>2974681.75</v>
      </c>
      <c r="G1060">
        <v>9170.6210940000001</v>
      </c>
      <c r="H1060">
        <v>1025</v>
      </c>
      <c r="I1060">
        <v>1236</v>
      </c>
      <c r="J1060">
        <v>24457</v>
      </c>
      <c r="K1060" t="s">
        <v>1848</v>
      </c>
      <c r="L1060">
        <v>5</v>
      </c>
      <c r="M1060">
        <v>5</v>
      </c>
      <c r="N1060">
        <v>24457</v>
      </c>
      <c r="O1060">
        <v>1002</v>
      </c>
      <c r="P1060" t="s">
        <v>3212</v>
      </c>
      <c r="Q1060">
        <v>3.8</v>
      </c>
      <c r="R1060">
        <v>43.18</v>
      </c>
      <c r="S1060">
        <v>1.1200000000000001</v>
      </c>
      <c r="T1060">
        <v>13</v>
      </c>
      <c r="U1060">
        <v>2974681.7031299998</v>
      </c>
      <c r="V1060">
        <v>9170.6220790000007</v>
      </c>
      <c r="W1060">
        <v>1059</v>
      </c>
      <c r="X1060">
        <v>0</v>
      </c>
      <c r="Y1060">
        <v>1058</v>
      </c>
      <c r="Z1060" t="s">
        <v>6966</v>
      </c>
      <c r="AA1060" t="s">
        <v>6966</v>
      </c>
      <c r="AB1060" t="s">
        <v>6966</v>
      </c>
      <c r="AC1060" t="s">
        <v>6966</v>
      </c>
      <c r="AD1060" t="s">
        <v>6966</v>
      </c>
      <c r="AE1060" t="s">
        <v>6966</v>
      </c>
      <c r="AF1060" t="s">
        <v>6966</v>
      </c>
      <c r="AG1060" t="s">
        <v>6966</v>
      </c>
      <c r="AH1060" t="s">
        <v>6966</v>
      </c>
      <c r="AI1060" t="s">
        <v>6966</v>
      </c>
      <c r="AJ1060" t="s">
        <v>6966</v>
      </c>
      <c r="AK1060" t="s">
        <v>6966</v>
      </c>
      <c r="AL1060" t="s">
        <v>6966</v>
      </c>
      <c r="AM1060" t="s">
        <v>6966</v>
      </c>
      <c r="AN1060" t="s">
        <v>6966</v>
      </c>
      <c r="AO1060" t="s">
        <v>6966</v>
      </c>
      <c r="AP1060" t="s">
        <v>6966</v>
      </c>
      <c r="AQ1060" t="s">
        <v>6966</v>
      </c>
      <c r="AR1060" t="s">
        <v>6966</v>
      </c>
      <c r="AS1060" t="s">
        <v>6966</v>
      </c>
      <c r="AT1060" t="s">
        <v>6966</v>
      </c>
      <c r="AU1060" t="s">
        <v>6966</v>
      </c>
      <c r="AV1060" t="s">
        <v>6966</v>
      </c>
      <c r="AW1060" t="s">
        <v>6966</v>
      </c>
      <c r="AX1060" t="s">
        <v>6966</v>
      </c>
      <c r="AY1060" t="s">
        <v>6966</v>
      </c>
      <c r="AZ1060">
        <v>9.2259999999999995E-2</v>
      </c>
      <c r="BA1060">
        <v>2.8899999999999998E-4</v>
      </c>
    </row>
    <row r="1061" spans="1:53" x14ac:dyDescent="0.25">
      <c r="A1061">
        <v>1059</v>
      </c>
      <c r="B1061" t="s">
        <v>7625</v>
      </c>
      <c r="C1061">
        <v>501020</v>
      </c>
      <c r="D1061" t="s">
        <v>343</v>
      </c>
      <c r="E1061" t="s">
        <v>1808</v>
      </c>
      <c r="F1061">
        <v>278925.59375</v>
      </c>
      <c r="G1061">
        <v>2968.0410160000001</v>
      </c>
      <c r="H1061">
        <v>1026</v>
      </c>
      <c r="I1061">
        <v>1237</v>
      </c>
      <c r="J1061">
        <v>24434</v>
      </c>
      <c r="K1061" t="s">
        <v>1842</v>
      </c>
      <c r="L1061">
        <v>5</v>
      </c>
      <c r="M1061">
        <v>5</v>
      </c>
      <c r="N1061">
        <v>24434</v>
      </c>
      <c r="O1061">
        <v>1003</v>
      </c>
      <c r="P1061" t="s">
        <v>3212</v>
      </c>
      <c r="Q1061">
        <v>29.9</v>
      </c>
      <c r="R1061">
        <v>0</v>
      </c>
      <c r="S1061">
        <v>13.31</v>
      </c>
      <c r="T1061">
        <v>11</v>
      </c>
      <c r="U1061">
        <v>278925.55269400001</v>
      </c>
      <c r="V1061">
        <v>2968.0418949999998</v>
      </c>
      <c r="W1061">
        <v>1060</v>
      </c>
      <c r="X1061">
        <v>0</v>
      </c>
      <c r="Y1061">
        <v>1059</v>
      </c>
      <c r="Z1061" t="s">
        <v>6966</v>
      </c>
      <c r="AA1061" t="s">
        <v>6966</v>
      </c>
      <c r="AB1061" t="s">
        <v>6966</v>
      </c>
      <c r="AC1061" t="s">
        <v>6966</v>
      </c>
      <c r="AD1061" t="s">
        <v>6966</v>
      </c>
      <c r="AE1061" t="s">
        <v>6966</v>
      </c>
      <c r="AF1061" t="s">
        <v>6966</v>
      </c>
      <c r="AG1061" t="s">
        <v>6966</v>
      </c>
      <c r="AH1061" t="s">
        <v>6966</v>
      </c>
      <c r="AI1061" t="s">
        <v>6966</v>
      </c>
      <c r="AJ1061" t="s">
        <v>6966</v>
      </c>
      <c r="AK1061" t="s">
        <v>6966</v>
      </c>
      <c r="AL1061" t="s">
        <v>6966</v>
      </c>
      <c r="AM1061" t="s">
        <v>6966</v>
      </c>
      <c r="AN1061" t="s">
        <v>6966</v>
      </c>
      <c r="AO1061" t="s">
        <v>6966</v>
      </c>
      <c r="AP1061" t="s">
        <v>6966</v>
      </c>
      <c r="AQ1061" t="s">
        <v>6966</v>
      </c>
      <c r="AR1061" t="s">
        <v>6966</v>
      </c>
      <c r="AS1061" t="s">
        <v>6966</v>
      </c>
      <c r="AT1061" t="s">
        <v>6966</v>
      </c>
      <c r="AU1061" t="s">
        <v>6966</v>
      </c>
      <c r="AV1061" t="s">
        <v>6966</v>
      </c>
      <c r="AW1061" t="s">
        <v>6966</v>
      </c>
      <c r="AX1061" t="s">
        <v>6966</v>
      </c>
      <c r="AY1061" t="s">
        <v>6966</v>
      </c>
      <c r="AZ1061">
        <v>2.8587000000000001E-2</v>
      </c>
      <c r="BA1061">
        <v>2.6999999999999999E-5</v>
      </c>
    </row>
    <row r="1062" spans="1:53" x14ac:dyDescent="0.25">
      <c r="A1062">
        <v>1060</v>
      </c>
      <c r="B1062" t="s">
        <v>7625</v>
      </c>
      <c r="C1062">
        <v>501050</v>
      </c>
      <c r="D1062" t="s">
        <v>349</v>
      </c>
      <c r="E1062" t="s">
        <v>1808</v>
      </c>
      <c r="F1062">
        <v>3022545</v>
      </c>
      <c r="G1062">
        <v>9661.9287110000005</v>
      </c>
      <c r="H1062">
        <v>1027</v>
      </c>
      <c r="I1062">
        <v>1239</v>
      </c>
      <c r="J1062">
        <v>24451</v>
      </c>
      <c r="K1062" t="s">
        <v>1846</v>
      </c>
      <c r="L1062">
        <v>5</v>
      </c>
      <c r="M1062">
        <v>5</v>
      </c>
      <c r="N1062">
        <v>24451</v>
      </c>
      <c r="O1062">
        <v>1004</v>
      </c>
      <c r="P1062" t="s">
        <v>3212</v>
      </c>
      <c r="Q1062">
        <v>4.0999999999999996</v>
      </c>
      <c r="R1062">
        <v>44.05</v>
      </c>
      <c r="S1062">
        <v>1.23</v>
      </c>
      <c r="T1062">
        <v>13</v>
      </c>
      <c r="U1062">
        <v>3022544.9205999998</v>
      </c>
      <c r="V1062">
        <v>9661.9287590000004</v>
      </c>
      <c r="W1062">
        <v>1061</v>
      </c>
      <c r="X1062">
        <v>0</v>
      </c>
      <c r="Y1062">
        <v>1060</v>
      </c>
      <c r="Z1062" t="s">
        <v>6966</v>
      </c>
      <c r="AA1062" t="s">
        <v>6966</v>
      </c>
      <c r="AB1062" t="s">
        <v>6966</v>
      </c>
      <c r="AC1062" t="s">
        <v>6966</v>
      </c>
      <c r="AD1062" t="s">
        <v>6966</v>
      </c>
      <c r="AE1062" t="s">
        <v>6966</v>
      </c>
      <c r="AF1062" t="s">
        <v>6966</v>
      </c>
      <c r="AG1062" t="s">
        <v>6966</v>
      </c>
      <c r="AH1062" t="s">
        <v>6966</v>
      </c>
      <c r="AI1062" t="s">
        <v>6966</v>
      </c>
      <c r="AJ1062" t="s">
        <v>6966</v>
      </c>
      <c r="AK1062" t="s">
        <v>6966</v>
      </c>
      <c r="AL1062" t="s">
        <v>6966</v>
      </c>
      <c r="AM1062" t="s">
        <v>6966</v>
      </c>
      <c r="AN1062" t="s">
        <v>6966</v>
      </c>
      <c r="AO1062" t="s">
        <v>6966</v>
      </c>
      <c r="AP1062" t="s">
        <v>6966</v>
      </c>
      <c r="AQ1062" t="s">
        <v>6966</v>
      </c>
      <c r="AR1062" t="s">
        <v>6966</v>
      </c>
      <c r="AS1062" t="s">
        <v>6966</v>
      </c>
      <c r="AT1062" t="s">
        <v>6966</v>
      </c>
      <c r="AU1062" t="s">
        <v>6966</v>
      </c>
      <c r="AV1062" t="s">
        <v>6966</v>
      </c>
      <c r="AW1062" t="s">
        <v>6966</v>
      </c>
      <c r="AX1062" t="s">
        <v>6966</v>
      </c>
      <c r="AY1062" t="s">
        <v>6966</v>
      </c>
      <c r="AZ1062">
        <v>9.7285999999999997E-2</v>
      </c>
      <c r="BA1062">
        <v>2.9399999999999999E-4</v>
      </c>
    </row>
    <row r="1063" spans="1:53" x14ac:dyDescent="0.25">
      <c r="A1063">
        <v>1061</v>
      </c>
      <c r="B1063" t="s">
        <v>7625</v>
      </c>
      <c r="C1063">
        <v>501062</v>
      </c>
      <c r="D1063" t="s">
        <v>321</v>
      </c>
      <c r="E1063" t="s">
        <v>1808</v>
      </c>
      <c r="F1063">
        <v>1633198</v>
      </c>
      <c r="G1063">
        <v>6742.5380859999996</v>
      </c>
      <c r="H1063">
        <v>1028</v>
      </c>
      <c r="I1063">
        <v>1240</v>
      </c>
      <c r="J1063">
        <v>24349</v>
      </c>
      <c r="K1063" t="s">
        <v>1826</v>
      </c>
      <c r="L1063">
        <v>5</v>
      </c>
      <c r="M1063">
        <v>5</v>
      </c>
      <c r="N1063">
        <v>24349</v>
      </c>
      <c r="O1063">
        <v>1005</v>
      </c>
      <c r="P1063" t="s">
        <v>3212</v>
      </c>
      <c r="Q1063">
        <v>10.199999999999999</v>
      </c>
      <c r="R1063">
        <v>91.83</v>
      </c>
      <c r="S1063">
        <v>3.4</v>
      </c>
      <c r="T1063">
        <v>31</v>
      </c>
      <c r="U1063">
        <v>1633197.9796200001</v>
      </c>
      <c r="V1063">
        <v>6742.5380699999996</v>
      </c>
      <c r="W1063">
        <v>1062</v>
      </c>
      <c r="X1063">
        <v>0</v>
      </c>
      <c r="Y1063">
        <v>1061</v>
      </c>
      <c r="Z1063" t="s">
        <v>6966</v>
      </c>
      <c r="AA1063" t="s">
        <v>6966</v>
      </c>
      <c r="AB1063" t="s">
        <v>6966</v>
      </c>
      <c r="AC1063" t="s">
        <v>6966</v>
      </c>
      <c r="AD1063" t="s">
        <v>6966</v>
      </c>
      <c r="AE1063" t="s">
        <v>6966</v>
      </c>
      <c r="AF1063" t="s">
        <v>6966</v>
      </c>
      <c r="AG1063" t="s">
        <v>6966</v>
      </c>
      <c r="AH1063" t="s">
        <v>6966</v>
      </c>
      <c r="AI1063" t="s">
        <v>6966</v>
      </c>
      <c r="AJ1063" t="s">
        <v>6966</v>
      </c>
      <c r="AK1063" t="s">
        <v>6966</v>
      </c>
      <c r="AL1063" t="s">
        <v>6966</v>
      </c>
      <c r="AM1063" t="s">
        <v>6966</v>
      </c>
      <c r="AN1063" t="s">
        <v>6966</v>
      </c>
      <c r="AO1063" t="s">
        <v>6966</v>
      </c>
      <c r="AP1063" t="s">
        <v>6966</v>
      </c>
      <c r="AQ1063" t="s">
        <v>6966</v>
      </c>
      <c r="AR1063" t="s">
        <v>6966</v>
      </c>
      <c r="AS1063" t="s">
        <v>6966</v>
      </c>
      <c r="AT1063" t="s">
        <v>6966</v>
      </c>
      <c r="AU1063" t="s">
        <v>6966</v>
      </c>
      <c r="AV1063" t="s">
        <v>6966</v>
      </c>
      <c r="AW1063" t="s">
        <v>6966</v>
      </c>
      <c r="AX1063" t="s">
        <v>6966</v>
      </c>
      <c r="AY1063" t="s">
        <v>6966</v>
      </c>
      <c r="AZ1063">
        <v>6.6450999999999996E-2</v>
      </c>
      <c r="BA1063">
        <v>1.5899999999999999E-4</v>
      </c>
    </row>
    <row r="1064" spans="1:53" x14ac:dyDescent="0.25">
      <c r="A1064">
        <v>1062</v>
      </c>
      <c r="B1064" t="s">
        <v>7625</v>
      </c>
      <c r="C1064">
        <v>403018</v>
      </c>
      <c r="D1064" t="s">
        <v>1005</v>
      </c>
      <c r="E1064" t="s">
        <v>3045</v>
      </c>
      <c r="F1064">
        <v>1305250.375</v>
      </c>
      <c r="G1064">
        <v>5126.6420900000003</v>
      </c>
      <c r="H1064">
        <v>1029</v>
      </c>
      <c r="I1064">
        <v>1241</v>
      </c>
      <c r="J1064">
        <v>51264</v>
      </c>
      <c r="K1064" t="s">
        <v>2358</v>
      </c>
      <c r="L1064">
        <v>15</v>
      </c>
      <c r="M1064">
        <v>15</v>
      </c>
      <c r="N1064">
        <v>51264</v>
      </c>
      <c r="O1064">
        <v>1006</v>
      </c>
      <c r="P1064" t="s">
        <v>3214</v>
      </c>
      <c r="Q1064">
        <v>0.1</v>
      </c>
      <c r="R1064">
        <v>0</v>
      </c>
      <c r="S1064">
        <v>0.02</v>
      </c>
      <c r="T1064">
        <v>0</v>
      </c>
      <c r="U1064">
        <v>1305250.3244700001</v>
      </c>
      <c r="V1064">
        <v>5126.6414599999998</v>
      </c>
      <c r="W1064">
        <v>1063</v>
      </c>
      <c r="X1064">
        <v>0</v>
      </c>
      <c r="Y1064">
        <v>1062</v>
      </c>
      <c r="Z1064" t="s">
        <v>6966</v>
      </c>
      <c r="AA1064" t="s">
        <v>6966</v>
      </c>
      <c r="AB1064" t="s">
        <v>6966</v>
      </c>
      <c r="AC1064" t="s">
        <v>6966</v>
      </c>
      <c r="AD1064" t="s">
        <v>6966</v>
      </c>
      <c r="AE1064" t="s">
        <v>6966</v>
      </c>
      <c r="AF1064" t="s">
        <v>6966</v>
      </c>
      <c r="AG1064" t="s">
        <v>6966</v>
      </c>
      <c r="AH1064" t="s">
        <v>6966</v>
      </c>
      <c r="AI1064" t="s">
        <v>6966</v>
      </c>
      <c r="AJ1064" t="s">
        <v>6966</v>
      </c>
      <c r="AK1064" t="s">
        <v>6966</v>
      </c>
      <c r="AL1064" t="s">
        <v>6966</v>
      </c>
      <c r="AM1064" t="s">
        <v>6966</v>
      </c>
      <c r="AN1064" t="s">
        <v>6966</v>
      </c>
      <c r="AO1064" t="s">
        <v>6966</v>
      </c>
      <c r="AP1064" t="s">
        <v>6966</v>
      </c>
      <c r="AQ1064" t="s">
        <v>6966</v>
      </c>
      <c r="AR1064" t="s">
        <v>6966</v>
      </c>
      <c r="AS1064" t="s">
        <v>6966</v>
      </c>
      <c r="AT1064" t="s">
        <v>6966</v>
      </c>
      <c r="AU1064" t="s">
        <v>6966</v>
      </c>
      <c r="AV1064" t="s">
        <v>6966</v>
      </c>
      <c r="AW1064" t="s">
        <v>6966</v>
      </c>
      <c r="AX1064" t="s">
        <v>6966</v>
      </c>
      <c r="AY1064" t="s">
        <v>6966</v>
      </c>
      <c r="AZ1064">
        <v>4.9886E-2</v>
      </c>
      <c r="BA1064">
        <v>1.27E-4</v>
      </c>
    </row>
    <row r="1065" spans="1:53" x14ac:dyDescent="0.25">
      <c r="A1065">
        <v>1063</v>
      </c>
      <c r="B1065" t="s">
        <v>7625</v>
      </c>
      <c r="C1065">
        <v>503088</v>
      </c>
      <c r="D1065" t="s">
        <v>7972</v>
      </c>
      <c r="E1065" t="s">
        <v>3220</v>
      </c>
      <c r="F1065">
        <v>6691762</v>
      </c>
      <c r="G1065">
        <v>16541.462890999999</v>
      </c>
      <c r="H1065">
        <v>1030</v>
      </c>
      <c r="I1065">
        <v>1242</v>
      </c>
      <c r="J1065">
        <v>23141</v>
      </c>
      <c r="K1065" t="s">
        <v>1712</v>
      </c>
      <c r="L1065">
        <v>4</v>
      </c>
      <c r="M1065">
        <v>4</v>
      </c>
      <c r="N1065">
        <v>23141</v>
      </c>
      <c r="O1065">
        <v>1007</v>
      </c>
      <c r="P1065" t="s">
        <v>3212</v>
      </c>
      <c r="Q1065">
        <v>11.1</v>
      </c>
      <c r="R1065">
        <v>59.5</v>
      </c>
      <c r="S1065">
        <v>3.26</v>
      </c>
      <c r="T1065">
        <v>18</v>
      </c>
      <c r="U1065">
        <v>6691761.7863600003</v>
      </c>
      <c r="V1065">
        <v>16541.463146999999</v>
      </c>
      <c r="W1065">
        <v>1064</v>
      </c>
      <c r="X1065">
        <v>0</v>
      </c>
      <c r="Y1065">
        <v>1063</v>
      </c>
      <c r="Z1065" t="s">
        <v>6966</v>
      </c>
      <c r="AA1065" t="s">
        <v>6966</v>
      </c>
      <c r="AB1065" t="s">
        <v>6966</v>
      </c>
      <c r="AC1065" t="s">
        <v>6966</v>
      </c>
      <c r="AD1065" t="s">
        <v>6966</v>
      </c>
      <c r="AE1065" t="s">
        <v>6966</v>
      </c>
      <c r="AF1065" t="s">
        <v>6966</v>
      </c>
      <c r="AG1065" t="s">
        <v>6966</v>
      </c>
      <c r="AH1065" t="s">
        <v>6966</v>
      </c>
      <c r="AI1065" t="s">
        <v>6966</v>
      </c>
      <c r="AJ1065" t="s">
        <v>6966</v>
      </c>
      <c r="AK1065" t="s">
        <v>6966</v>
      </c>
      <c r="AL1065" t="s">
        <v>6966</v>
      </c>
      <c r="AM1065" t="s">
        <v>6966</v>
      </c>
      <c r="AN1065" t="s">
        <v>6966</v>
      </c>
      <c r="AO1065" t="s">
        <v>6966</v>
      </c>
      <c r="AP1065" t="s">
        <v>6966</v>
      </c>
      <c r="AQ1065" t="s">
        <v>6966</v>
      </c>
      <c r="AR1065" t="s">
        <v>6966</v>
      </c>
      <c r="AS1065" t="s">
        <v>6966</v>
      </c>
      <c r="AT1065" t="s">
        <v>6966</v>
      </c>
      <c r="AU1065" t="s">
        <v>6966</v>
      </c>
      <c r="AV1065" t="s">
        <v>6966</v>
      </c>
      <c r="AW1065" t="s">
        <v>6966</v>
      </c>
      <c r="AX1065" t="s">
        <v>6966</v>
      </c>
      <c r="AY1065" t="s">
        <v>6966</v>
      </c>
      <c r="AZ1065">
        <v>0.163352</v>
      </c>
      <c r="BA1065">
        <v>6.5099999999999999E-4</v>
      </c>
    </row>
    <row r="1066" spans="1:53" x14ac:dyDescent="0.25">
      <c r="A1066">
        <v>1064</v>
      </c>
      <c r="B1066" t="s">
        <v>7625</v>
      </c>
      <c r="C1066">
        <v>403045</v>
      </c>
      <c r="D1066" t="s">
        <v>7973</v>
      </c>
      <c r="E1066" t="s">
        <v>3045</v>
      </c>
      <c r="F1066">
        <v>2810699.25</v>
      </c>
      <c r="G1066">
        <v>8814.59375</v>
      </c>
      <c r="H1066">
        <v>1031</v>
      </c>
      <c r="I1066">
        <v>1243</v>
      </c>
      <c r="J1066">
        <v>51274</v>
      </c>
      <c r="K1066" t="s">
        <v>7974</v>
      </c>
      <c r="L1066">
        <v>15</v>
      </c>
      <c r="M1066">
        <v>15</v>
      </c>
      <c r="N1066">
        <v>51274</v>
      </c>
      <c r="O1066">
        <v>1008</v>
      </c>
      <c r="P1066" t="s">
        <v>3214</v>
      </c>
      <c r="Q1066">
        <v>1.1000000000000001</v>
      </c>
      <c r="R1066">
        <v>264.89999999999998</v>
      </c>
      <c r="S1066">
        <v>0.2</v>
      </c>
      <c r="T1066">
        <v>49</v>
      </c>
      <c r="U1066">
        <v>2810699.2876900001</v>
      </c>
      <c r="V1066">
        <v>8814.5935310000004</v>
      </c>
      <c r="W1066">
        <v>1065</v>
      </c>
      <c r="X1066">
        <v>0</v>
      </c>
      <c r="Y1066">
        <v>1064</v>
      </c>
      <c r="Z1066" t="s">
        <v>6966</v>
      </c>
      <c r="AA1066" t="s">
        <v>6966</v>
      </c>
      <c r="AB1066" t="s">
        <v>6966</v>
      </c>
      <c r="AC1066" t="s">
        <v>6966</v>
      </c>
      <c r="AD1066" t="s">
        <v>6966</v>
      </c>
      <c r="AE1066" t="s">
        <v>6966</v>
      </c>
      <c r="AF1066" t="s">
        <v>6966</v>
      </c>
      <c r="AG1066" t="s">
        <v>6966</v>
      </c>
      <c r="AH1066" t="s">
        <v>6966</v>
      </c>
      <c r="AI1066" t="s">
        <v>6966</v>
      </c>
      <c r="AJ1066" t="s">
        <v>6966</v>
      </c>
      <c r="AK1066" t="s">
        <v>6966</v>
      </c>
      <c r="AL1066" t="s">
        <v>6966</v>
      </c>
      <c r="AM1066" t="s">
        <v>6966</v>
      </c>
      <c r="AN1066" t="s">
        <v>6966</v>
      </c>
      <c r="AO1066" t="s">
        <v>6966</v>
      </c>
      <c r="AP1066" t="s">
        <v>6966</v>
      </c>
      <c r="AQ1066" t="s">
        <v>6966</v>
      </c>
      <c r="AR1066" t="s">
        <v>6966</v>
      </c>
      <c r="AS1066" t="s">
        <v>6966</v>
      </c>
      <c r="AT1066" t="s">
        <v>6966</v>
      </c>
      <c r="AU1066" t="s">
        <v>6966</v>
      </c>
      <c r="AV1066" t="s">
        <v>6966</v>
      </c>
      <c r="AW1066" t="s">
        <v>6966</v>
      </c>
      <c r="AX1066" t="s">
        <v>6966</v>
      </c>
      <c r="AY1066" t="s">
        <v>6966</v>
      </c>
      <c r="AZ1066">
        <v>8.6823999999999998E-2</v>
      </c>
      <c r="BA1066">
        <v>2.7300000000000002E-4</v>
      </c>
    </row>
    <row r="1067" spans="1:53" x14ac:dyDescent="0.25">
      <c r="A1067">
        <v>1065</v>
      </c>
      <c r="B1067" t="s">
        <v>7625</v>
      </c>
      <c r="C1067">
        <v>501069</v>
      </c>
      <c r="D1067" t="s">
        <v>320</v>
      </c>
      <c r="E1067" t="s">
        <v>1808</v>
      </c>
      <c r="F1067">
        <v>2718571.5</v>
      </c>
      <c r="G1067">
        <v>10466.760742</v>
      </c>
      <c r="H1067">
        <v>1032</v>
      </c>
      <c r="I1067">
        <v>1244</v>
      </c>
      <c r="J1067">
        <v>24347</v>
      </c>
      <c r="K1067" t="s">
        <v>1825</v>
      </c>
      <c r="L1067">
        <v>5</v>
      </c>
      <c r="M1067">
        <v>5</v>
      </c>
      <c r="N1067">
        <v>24347</v>
      </c>
      <c r="O1067">
        <v>1009</v>
      </c>
      <c r="P1067" t="s">
        <v>3212</v>
      </c>
      <c r="Q1067">
        <v>0.4</v>
      </c>
      <c r="R1067">
        <v>5.38</v>
      </c>
      <c r="S1067">
        <v>0.33</v>
      </c>
      <c r="T1067">
        <v>5</v>
      </c>
      <c r="U1067">
        <v>2718571.52581</v>
      </c>
      <c r="V1067">
        <v>10466.760324999999</v>
      </c>
      <c r="W1067">
        <v>1066</v>
      </c>
      <c r="X1067">
        <v>0</v>
      </c>
      <c r="Y1067">
        <v>1065</v>
      </c>
      <c r="Z1067" t="s">
        <v>6966</v>
      </c>
      <c r="AA1067" t="s">
        <v>6966</v>
      </c>
      <c r="AB1067" t="s">
        <v>6966</v>
      </c>
      <c r="AC1067" t="s">
        <v>6966</v>
      </c>
      <c r="AD1067" t="s">
        <v>6966</v>
      </c>
      <c r="AE1067" t="s">
        <v>6966</v>
      </c>
      <c r="AF1067" t="s">
        <v>6966</v>
      </c>
      <c r="AG1067" t="s">
        <v>6966</v>
      </c>
      <c r="AH1067" t="s">
        <v>6966</v>
      </c>
      <c r="AI1067" t="s">
        <v>6966</v>
      </c>
      <c r="AJ1067" t="s">
        <v>6966</v>
      </c>
      <c r="AK1067" t="s">
        <v>6966</v>
      </c>
      <c r="AL1067" t="s">
        <v>6966</v>
      </c>
      <c r="AM1067" t="s">
        <v>6966</v>
      </c>
      <c r="AN1067" t="s">
        <v>6966</v>
      </c>
      <c r="AO1067" t="s">
        <v>6966</v>
      </c>
      <c r="AP1067" t="s">
        <v>6966</v>
      </c>
      <c r="AQ1067" t="s">
        <v>6966</v>
      </c>
      <c r="AR1067" t="s">
        <v>6966</v>
      </c>
      <c r="AS1067" t="s">
        <v>6966</v>
      </c>
      <c r="AT1067" t="s">
        <v>6966</v>
      </c>
      <c r="AU1067" t="s">
        <v>6966</v>
      </c>
      <c r="AV1067" t="s">
        <v>6966</v>
      </c>
      <c r="AW1067" t="s">
        <v>6966</v>
      </c>
      <c r="AX1067" t="s">
        <v>6966</v>
      </c>
      <c r="AY1067" t="s">
        <v>6966</v>
      </c>
      <c r="AZ1067">
        <v>0.105189</v>
      </c>
      <c r="BA1067">
        <v>2.6400000000000002E-4</v>
      </c>
    </row>
    <row r="1068" spans="1:53" x14ac:dyDescent="0.25">
      <c r="A1068">
        <v>1066</v>
      </c>
      <c r="B1068" t="s">
        <v>7625</v>
      </c>
      <c r="C1068">
        <v>403046</v>
      </c>
      <c r="D1068" t="s">
        <v>1004</v>
      </c>
      <c r="E1068" t="s">
        <v>3045</v>
      </c>
      <c r="F1068">
        <v>1981308</v>
      </c>
      <c r="G1068">
        <v>6972.8627930000002</v>
      </c>
      <c r="H1068">
        <v>1033</v>
      </c>
      <c r="I1068">
        <v>1245</v>
      </c>
      <c r="J1068">
        <v>51261</v>
      </c>
      <c r="K1068" t="s">
        <v>2357</v>
      </c>
      <c r="L1068">
        <v>15</v>
      </c>
      <c r="M1068">
        <v>15</v>
      </c>
      <c r="N1068">
        <v>51261</v>
      </c>
      <c r="O1068">
        <v>1010</v>
      </c>
      <c r="P1068" t="s">
        <v>3214</v>
      </c>
      <c r="Q1068">
        <v>0</v>
      </c>
      <c r="R1068">
        <v>0</v>
      </c>
      <c r="S1068">
        <v>0</v>
      </c>
      <c r="T1068">
        <v>0</v>
      </c>
      <c r="U1068">
        <v>1981308.0241700001</v>
      </c>
      <c r="V1068">
        <v>6972.8634760000004</v>
      </c>
      <c r="W1068">
        <v>1067</v>
      </c>
      <c r="X1068">
        <v>0</v>
      </c>
      <c r="Y1068">
        <v>1066</v>
      </c>
      <c r="Z1068" t="s">
        <v>6966</v>
      </c>
      <c r="AA1068" t="s">
        <v>6966</v>
      </c>
      <c r="AB1068" t="s">
        <v>6966</v>
      </c>
      <c r="AC1068" t="s">
        <v>6966</v>
      </c>
      <c r="AD1068" t="s">
        <v>6966</v>
      </c>
      <c r="AE1068" t="s">
        <v>6966</v>
      </c>
      <c r="AF1068" t="s">
        <v>6966</v>
      </c>
      <c r="AG1068" t="s">
        <v>6966</v>
      </c>
      <c r="AH1068" t="s">
        <v>6966</v>
      </c>
      <c r="AI1068" t="s">
        <v>6966</v>
      </c>
      <c r="AJ1068" t="s">
        <v>6966</v>
      </c>
      <c r="AK1068" t="s">
        <v>6966</v>
      </c>
      <c r="AL1068" t="s">
        <v>6966</v>
      </c>
      <c r="AM1068" t="s">
        <v>6966</v>
      </c>
      <c r="AN1068" t="s">
        <v>6966</v>
      </c>
      <c r="AO1068" t="s">
        <v>6966</v>
      </c>
      <c r="AP1068" t="s">
        <v>6966</v>
      </c>
      <c r="AQ1068" t="s">
        <v>6966</v>
      </c>
      <c r="AR1068" t="s">
        <v>6966</v>
      </c>
      <c r="AS1068" t="s">
        <v>6966</v>
      </c>
      <c r="AT1068" t="s">
        <v>6966</v>
      </c>
      <c r="AU1068" t="s">
        <v>6966</v>
      </c>
      <c r="AV1068" t="s">
        <v>6966</v>
      </c>
      <c r="AW1068" t="s">
        <v>6966</v>
      </c>
      <c r="AX1068" t="s">
        <v>6966</v>
      </c>
      <c r="AY1068" t="s">
        <v>6966</v>
      </c>
      <c r="AZ1068">
        <v>6.8177000000000001E-2</v>
      </c>
      <c r="BA1068">
        <v>1.93E-4</v>
      </c>
    </row>
    <row r="1069" spans="1:53" x14ac:dyDescent="0.25">
      <c r="A1069">
        <v>1067</v>
      </c>
      <c r="B1069" t="s">
        <v>7625</v>
      </c>
      <c r="C1069">
        <v>501078</v>
      </c>
      <c r="D1069" t="s">
        <v>87</v>
      </c>
      <c r="E1069" t="s">
        <v>1808</v>
      </c>
      <c r="F1069">
        <v>1869.493164</v>
      </c>
      <c r="G1069">
        <v>257.449432</v>
      </c>
      <c r="H1069">
        <v>1034</v>
      </c>
      <c r="I1069">
        <v>1246</v>
      </c>
      <c r="J1069">
        <v>24002</v>
      </c>
      <c r="K1069" t="s">
        <v>87</v>
      </c>
      <c r="L1069">
        <v>5</v>
      </c>
      <c r="M1069">
        <v>5</v>
      </c>
      <c r="N1069">
        <v>24002</v>
      </c>
      <c r="O1069">
        <v>1011</v>
      </c>
      <c r="P1069" t="s">
        <v>3212</v>
      </c>
      <c r="Q1069">
        <v>0</v>
      </c>
      <c r="R1069">
        <v>0</v>
      </c>
      <c r="S1069">
        <v>0</v>
      </c>
      <c r="T1069">
        <v>0</v>
      </c>
      <c r="U1069">
        <v>1869.495185</v>
      </c>
      <c r="V1069">
        <v>257.44940400000002</v>
      </c>
      <c r="W1069">
        <v>1068</v>
      </c>
      <c r="X1069">
        <v>0</v>
      </c>
      <c r="Y1069">
        <v>1067</v>
      </c>
      <c r="Z1069" t="s">
        <v>6966</v>
      </c>
      <c r="AA1069" t="s">
        <v>6966</v>
      </c>
      <c r="AB1069" t="s">
        <v>6966</v>
      </c>
      <c r="AC1069" t="s">
        <v>6966</v>
      </c>
      <c r="AD1069" t="s">
        <v>6966</v>
      </c>
      <c r="AE1069" t="s">
        <v>6966</v>
      </c>
      <c r="AF1069" t="s">
        <v>6966</v>
      </c>
      <c r="AG1069" t="s">
        <v>6966</v>
      </c>
      <c r="AH1069" t="s">
        <v>6966</v>
      </c>
      <c r="AI1069" t="s">
        <v>6966</v>
      </c>
      <c r="AJ1069" t="s">
        <v>6966</v>
      </c>
      <c r="AK1069" t="s">
        <v>6966</v>
      </c>
      <c r="AL1069" t="s">
        <v>6966</v>
      </c>
      <c r="AM1069" t="s">
        <v>6966</v>
      </c>
      <c r="AN1069" t="s">
        <v>6966</v>
      </c>
      <c r="AO1069" t="s">
        <v>6966</v>
      </c>
      <c r="AP1069" t="s">
        <v>6966</v>
      </c>
      <c r="AQ1069" t="s">
        <v>6966</v>
      </c>
      <c r="AR1069" t="s">
        <v>6966</v>
      </c>
      <c r="AS1069" t="s">
        <v>6966</v>
      </c>
      <c r="AT1069" t="s">
        <v>6966</v>
      </c>
      <c r="AU1069" t="s">
        <v>6966</v>
      </c>
      <c r="AV1069" t="s">
        <v>6966</v>
      </c>
      <c r="AW1069" t="s">
        <v>6966</v>
      </c>
      <c r="AX1069" t="s">
        <v>6966</v>
      </c>
      <c r="AY1069" t="s">
        <v>6966</v>
      </c>
      <c r="AZ1069">
        <v>2.5990000000000002E-3</v>
      </c>
      <c r="BA1069">
        <v>0</v>
      </c>
    </row>
    <row r="1070" spans="1:53" x14ac:dyDescent="0.25">
      <c r="A1070">
        <v>1068</v>
      </c>
      <c r="B1070" t="s">
        <v>7625</v>
      </c>
      <c r="C1070">
        <v>501004</v>
      </c>
      <c r="D1070" t="s">
        <v>292</v>
      </c>
      <c r="E1070" t="s">
        <v>1808</v>
      </c>
      <c r="F1070">
        <v>2745041</v>
      </c>
      <c r="G1070">
        <v>9485.328125</v>
      </c>
      <c r="H1070">
        <v>1035</v>
      </c>
      <c r="I1070">
        <v>1247</v>
      </c>
      <c r="J1070">
        <v>24219</v>
      </c>
      <c r="K1070" t="s">
        <v>7975</v>
      </c>
      <c r="L1070">
        <v>5</v>
      </c>
      <c r="M1070">
        <v>5</v>
      </c>
      <c r="N1070">
        <v>24219</v>
      </c>
      <c r="O1070">
        <v>1012</v>
      </c>
      <c r="P1070" t="s">
        <v>3212</v>
      </c>
      <c r="Q1070">
        <v>0</v>
      </c>
      <c r="R1070">
        <v>0</v>
      </c>
      <c r="S1070">
        <v>0</v>
      </c>
      <c r="T1070">
        <v>0</v>
      </c>
      <c r="U1070">
        <v>2745041.0021099998</v>
      </c>
      <c r="V1070">
        <v>9485.3282490000001</v>
      </c>
      <c r="W1070">
        <v>1069</v>
      </c>
      <c r="X1070">
        <v>0</v>
      </c>
      <c r="Y1070">
        <v>1068</v>
      </c>
      <c r="Z1070" t="s">
        <v>6966</v>
      </c>
      <c r="AA1070" t="s">
        <v>6966</v>
      </c>
      <c r="AB1070" t="s">
        <v>6966</v>
      </c>
      <c r="AC1070" t="s">
        <v>6966</v>
      </c>
      <c r="AD1070" t="s">
        <v>6966</v>
      </c>
      <c r="AE1070" t="s">
        <v>6966</v>
      </c>
      <c r="AF1070" t="s">
        <v>6966</v>
      </c>
      <c r="AG1070" t="s">
        <v>6966</v>
      </c>
      <c r="AH1070" t="s">
        <v>6966</v>
      </c>
      <c r="AI1070" t="s">
        <v>6966</v>
      </c>
      <c r="AJ1070" t="s">
        <v>6966</v>
      </c>
      <c r="AK1070" t="s">
        <v>6966</v>
      </c>
      <c r="AL1070" t="s">
        <v>6966</v>
      </c>
      <c r="AM1070" t="s">
        <v>6966</v>
      </c>
      <c r="AN1070" t="s">
        <v>6966</v>
      </c>
      <c r="AO1070" t="s">
        <v>6966</v>
      </c>
      <c r="AP1070" t="s">
        <v>6966</v>
      </c>
      <c r="AQ1070" t="s">
        <v>6966</v>
      </c>
      <c r="AR1070" t="s">
        <v>6966</v>
      </c>
      <c r="AS1070" t="s">
        <v>6966</v>
      </c>
      <c r="AT1070" t="s">
        <v>6966</v>
      </c>
      <c r="AU1070" t="s">
        <v>6966</v>
      </c>
      <c r="AV1070" t="s">
        <v>6966</v>
      </c>
      <c r="AW1070" t="s">
        <v>6966</v>
      </c>
      <c r="AX1070" t="s">
        <v>6966</v>
      </c>
      <c r="AY1070" t="s">
        <v>6966</v>
      </c>
      <c r="AZ1070">
        <v>9.5301999999999998E-2</v>
      </c>
      <c r="BA1070">
        <v>2.6699999999999998E-4</v>
      </c>
    </row>
    <row r="1071" spans="1:53" x14ac:dyDescent="0.25">
      <c r="A1071">
        <v>1069</v>
      </c>
      <c r="B1071" t="s">
        <v>7625</v>
      </c>
      <c r="C1071">
        <v>501011</v>
      </c>
      <c r="D1071" t="s">
        <v>329</v>
      </c>
      <c r="E1071" t="s">
        <v>1808</v>
      </c>
      <c r="F1071">
        <v>1498241.875</v>
      </c>
      <c r="G1071">
        <v>7797.1479490000002</v>
      </c>
      <c r="H1071">
        <v>1036</v>
      </c>
      <c r="I1071">
        <v>1248</v>
      </c>
      <c r="J1071">
        <v>24365</v>
      </c>
      <c r="K1071" t="s">
        <v>7976</v>
      </c>
      <c r="L1071">
        <v>5</v>
      </c>
      <c r="M1071">
        <v>5</v>
      </c>
      <c r="N1071">
        <v>24365</v>
      </c>
      <c r="O1071">
        <v>1013</v>
      </c>
      <c r="P1071" t="s">
        <v>3212</v>
      </c>
      <c r="Q1071">
        <v>7.5</v>
      </c>
      <c r="R1071">
        <v>30.29</v>
      </c>
      <c r="S1071">
        <v>2.73</v>
      </c>
      <c r="T1071">
        <v>11</v>
      </c>
      <c r="U1071">
        <v>1498241.7661600001</v>
      </c>
      <c r="V1071">
        <v>7797.1476560000001</v>
      </c>
      <c r="W1071">
        <v>1070</v>
      </c>
      <c r="X1071">
        <v>0</v>
      </c>
      <c r="Y1071">
        <v>1069</v>
      </c>
      <c r="Z1071" t="s">
        <v>6966</v>
      </c>
      <c r="AA1071" t="s">
        <v>6966</v>
      </c>
      <c r="AB1071" t="s">
        <v>6966</v>
      </c>
      <c r="AC1071" t="s">
        <v>6966</v>
      </c>
      <c r="AD1071" t="s">
        <v>6966</v>
      </c>
      <c r="AE1071" t="s">
        <v>6966</v>
      </c>
      <c r="AF1071" t="s">
        <v>6966</v>
      </c>
      <c r="AG1071" t="s">
        <v>6966</v>
      </c>
      <c r="AH1071" t="s">
        <v>6966</v>
      </c>
      <c r="AI1071" t="s">
        <v>6966</v>
      </c>
      <c r="AJ1071" t="s">
        <v>6966</v>
      </c>
      <c r="AK1071" t="s">
        <v>6966</v>
      </c>
      <c r="AL1071" t="s">
        <v>6966</v>
      </c>
      <c r="AM1071" t="s">
        <v>6966</v>
      </c>
      <c r="AN1071" t="s">
        <v>6966</v>
      </c>
      <c r="AO1071" t="s">
        <v>6966</v>
      </c>
      <c r="AP1071" t="s">
        <v>6966</v>
      </c>
      <c r="AQ1071" t="s">
        <v>6966</v>
      </c>
      <c r="AR1071" t="s">
        <v>6966</v>
      </c>
      <c r="AS1071" t="s">
        <v>6966</v>
      </c>
      <c r="AT1071" t="s">
        <v>6966</v>
      </c>
      <c r="AU1071" t="s">
        <v>6966</v>
      </c>
      <c r="AV1071" t="s">
        <v>6966</v>
      </c>
      <c r="AW1071" t="s">
        <v>6966</v>
      </c>
      <c r="AX1071" t="s">
        <v>6966</v>
      </c>
      <c r="AY1071" t="s">
        <v>6966</v>
      </c>
      <c r="AZ1071">
        <v>7.9236000000000001E-2</v>
      </c>
      <c r="BA1071">
        <v>1.46E-4</v>
      </c>
    </row>
    <row r="1072" spans="1:53" x14ac:dyDescent="0.25">
      <c r="A1072">
        <v>1070</v>
      </c>
      <c r="B1072" t="s">
        <v>7625</v>
      </c>
      <c r="C1072">
        <v>403009</v>
      </c>
      <c r="D1072" t="s">
        <v>1563</v>
      </c>
      <c r="E1072" t="s">
        <v>3045</v>
      </c>
      <c r="F1072">
        <v>0</v>
      </c>
      <c r="G1072">
        <v>31239.142577999999</v>
      </c>
      <c r="H1072">
        <v>1037</v>
      </c>
      <c r="I1072">
        <v>1249</v>
      </c>
      <c r="J1072">
        <v>0</v>
      </c>
      <c r="K1072" t="s">
        <v>1563</v>
      </c>
      <c r="L1072">
        <v>15</v>
      </c>
      <c r="M1072">
        <v>15</v>
      </c>
      <c r="N1072">
        <v>0</v>
      </c>
      <c r="O1072">
        <v>1639</v>
      </c>
      <c r="P1072" t="s">
        <v>3214</v>
      </c>
      <c r="Q1072">
        <v>0</v>
      </c>
      <c r="R1072">
        <v>0</v>
      </c>
      <c r="S1072">
        <v>0</v>
      </c>
      <c r="T1072">
        <v>0</v>
      </c>
      <c r="U1072">
        <v>0</v>
      </c>
      <c r="V1072">
        <v>31239.141838</v>
      </c>
      <c r="W1072">
        <v>1071</v>
      </c>
      <c r="X1072">
        <v>0</v>
      </c>
      <c r="Y1072">
        <v>1070</v>
      </c>
      <c r="Z1072" t="s">
        <v>6966</v>
      </c>
      <c r="AA1072" t="s">
        <v>6966</v>
      </c>
      <c r="AB1072" t="s">
        <v>6966</v>
      </c>
      <c r="AC1072" t="s">
        <v>6966</v>
      </c>
      <c r="AD1072" t="s">
        <v>6966</v>
      </c>
      <c r="AE1072" t="s">
        <v>6966</v>
      </c>
      <c r="AF1072" t="s">
        <v>6966</v>
      </c>
      <c r="AG1072" t="s">
        <v>6966</v>
      </c>
      <c r="AH1072" t="s">
        <v>6966</v>
      </c>
      <c r="AI1072" t="s">
        <v>6966</v>
      </c>
      <c r="AJ1072" t="s">
        <v>6966</v>
      </c>
      <c r="AK1072" t="s">
        <v>6966</v>
      </c>
      <c r="AL1072" t="s">
        <v>6966</v>
      </c>
      <c r="AM1072" t="s">
        <v>6966</v>
      </c>
      <c r="AN1072" t="s">
        <v>6966</v>
      </c>
      <c r="AO1072" t="s">
        <v>6966</v>
      </c>
      <c r="AP1072" t="s">
        <v>6966</v>
      </c>
      <c r="AQ1072" t="s">
        <v>6966</v>
      </c>
      <c r="AR1072" t="s">
        <v>6966</v>
      </c>
      <c r="AS1072" t="s">
        <v>6966</v>
      </c>
      <c r="AT1072" t="s">
        <v>6966</v>
      </c>
      <c r="AU1072" t="s">
        <v>6966</v>
      </c>
      <c r="AV1072" t="s">
        <v>6966</v>
      </c>
      <c r="AW1072" t="s">
        <v>6966</v>
      </c>
      <c r="AX1072" t="s">
        <v>6966</v>
      </c>
      <c r="AY1072" t="s">
        <v>6966</v>
      </c>
      <c r="AZ1072">
        <v>0.30649199999999999</v>
      </c>
      <c r="BA1072">
        <v>1.0950000000000001E-3</v>
      </c>
    </row>
    <row r="1073" spans="1:53" x14ac:dyDescent="0.25">
      <c r="A1073">
        <v>1071</v>
      </c>
      <c r="B1073" t="s">
        <v>7625</v>
      </c>
      <c r="C1073">
        <v>501083</v>
      </c>
      <c r="D1073" t="s">
        <v>87</v>
      </c>
      <c r="E1073" t="s">
        <v>1808</v>
      </c>
      <c r="F1073">
        <v>518571.71875</v>
      </c>
      <c r="G1073">
        <v>4636.4804690000001</v>
      </c>
      <c r="H1073">
        <v>1038</v>
      </c>
      <c r="I1073">
        <v>1250</v>
      </c>
      <c r="J1073">
        <v>24003</v>
      </c>
      <c r="K1073" t="s">
        <v>87</v>
      </c>
      <c r="L1073">
        <v>5</v>
      </c>
      <c r="M1073">
        <v>5</v>
      </c>
      <c r="N1073">
        <v>24003</v>
      </c>
      <c r="O1073">
        <v>1014</v>
      </c>
      <c r="P1073" t="s">
        <v>3212</v>
      </c>
      <c r="Q1073">
        <v>0</v>
      </c>
      <c r="R1073">
        <v>0</v>
      </c>
      <c r="S1073">
        <v>0</v>
      </c>
      <c r="T1073">
        <v>0</v>
      </c>
      <c r="U1073">
        <v>518571.75754199998</v>
      </c>
      <c r="V1073">
        <v>4636.4800930000001</v>
      </c>
      <c r="W1073">
        <v>1072</v>
      </c>
      <c r="X1073">
        <v>0</v>
      </c>
      <c r="Y1073">
        <v>1071</v>
      </c>
      <c r="Z1073" t="s">
        <v>6966</v>
      </c>
      <c r="AA1073" t="s">
        <v>6966</v>
      </c>
      <c r="AB1073" t="s">
        <v>6966</v>
      </c>
      <c r="AC1073" t="s">
        <v>6966</v>
      </c>
      <c r="AD1073" t="s">
        <v>6966</v>
      </c>
      <c r="AE1073" t="s">
        <v>6966</v>
      </c>
      <c r="AF1073" t="s">
        <v>6966</v>
      </c>
      <c r="AG1073" t="s">
        <v>6966</v>
      </c>
      <c r="AH1073" t="s">
        <v>6966</v>
      </c>
      <c r="AI1073" t="s">
        <v>6966</v>
      </c>
      <c r="AJ1073" t="s">
        <v>6966</v>
      </c>
      <c r="AK1073" t="s">
        <v>6966</v>
      </c>
      <c r="AL1073" t="s">
        <v>6966</v>
      </c>
      <c r="AM1073" t="s">
        <v>6966</v>
      </c>
      <c r="AN1073" t="s">
        <v>6966</v>
      </c>
      <c r="AO1073" t="s">
        <v>6966</v>
      </c>
      <c r="AP1073" t="s">
        <v>6966</v>
      </c>
      <c r="AQ1073" t="s">
        <v>6966</v>
      </c>
      <c r="AR1073" t="s">
        <v>6966</v>
      </c>
      <c r="AS1073" t="s">
        <v>6966</v>
      </c>
      <c r="AT1073" t="s">
        <v>6966</v>
      </c>
      <c r="AU1073" t="s">
        <v>6966</v>
      </c>
      <c r="AV1073" t="s">
        <v>6966</v>
      </c>
      <c r="AW1073" t="s">
        <v>6966</v>
      </c>
      <c r="AX1073" t="s">
        <v>6966</v>
      </c>
      <c r="AY1073" t="s">
        <v>6966</v>
      </c>
      <c r="AZ1073">
        <v>4.7341000000000001E-2</v>
      </c>
      <c r="BA1073">
        <v>5.0000000000000002E-5</v>
      </c>
    </row>
    <row r="1074" spans="1:53" x14ac:dyDescent="0.25">
      <c r="A1074">
        <v>1072</v>
      </c>
      <c r="B1074" t="s">
        <v>7625</v>
      </c>
      <c r="C1074">
        <v>501047</v>
      </c>
      <c r="D1074" t="s">
        <v>352</v>
      </c>
      <c r="E1074" t="s">
        <v>1808</v>
      </c>
      <c r="F1074">
        <v>394983.15625</v>
      </c>
      <c r="G1074">
        <v>3813.5246579999998</v>
      </c>
      <c r="H1074">
        <v>1039</v>
      </c>
      <c r="I1074">
        <v>1251</v>
      </c>
      <c r="J1074">
        <v>24461</v>
      </c>
      <c r="K1074" t="s">
        <v>352</v>
      </c>
      <c r="L1074">
        <v>5</v>
      </c>
      <c r="M1074">
        <v>5</v>
      </c>
      <c r="N1074">
        <v>24461</v>
      </c>
      <c r="O1074">
        <v>1015</v>
      </c>
      <c r="P1074" t="s">
        <v>3212</v>
      </c>
      <c r="Q1074">
        <v>0</v>
      </c>
      <c r="R1074">
        <v>0</v>
      </c>
      <c r="S1074">
        <v>0</v>
      </c>
      <c r="T1074">
        <v>0</v>
      </c>
      <c r="U1074">
        <v>394983.16644399997</v>
      </c>
      <c r="V1074">
        <v>3813.5247220000001</v>
      </c>
      <c r="W1074">
        <v>1073</v>
      </c>
      <c r="X1074">
        <v>0</v>
      </c>
      <c r="Y1074">
        <v>1072</v>
      </c>
      <c r="Z1074" t="s">
        <v>6966</v>
      </c>
      <c r="AA1074" t="s">
        <v>6966</v>
      </c>
      <c r="AB1074" t="s">
        <v>6966</v>
      </c>
      <c r="AC1074" t="s">
        <v>6966</v>
      </c>
      <c r="AD1074" t="s">
        <v>6966</v>
      </c>
      <c r="AE1074" t="s">
        <v>6966</v>
      </c>
      <c r="AF1074" t="s">
        <v>6966</v>
      </c>
      <c r="AG1074" t="s">
        <v>6966</v>
      </c>
      <c r="AH1074" t="s">
        <v>6966</v>
      </c>
      <c r="AI1074" t="s">
        <v>6966</v>
      </c>
      <c r="AJ1074" t="s">
        <v>6966</v>
      </c>
      <c r="AK1074" t="s">
        <v>6966</v>
      </c>
      <c r="AL1074" t="s">
        <v>6966</v>
      </c>
      <c r="AM1074" t="s">
        <v>6966</v>
      </c>
      <c r="AN1074" t="s">
        <v>6966</v>
      </c>
      <c r="AO1074" t="s">
        <v>6966</v>
      </c>
      <c r="AP1074" t="s">
        <v>6966</v>
      </c>
      <c r="AQ1074" t="s">
        <v>6966</v>
      </c>
      <c r="AR1074" t="s">
        <v>6966</v>
      </c>
      <c r="AS1074" t="s">
        <v>6966</v>
      </c>
      <c r="AT1074" t="s">
        <v>6966</v>
      </c>
      <c r="AU1074" t="s">
        <v>6966</v>
      </c>
      <c r="AV1074" t="s">
        <v>6966</v>
      </c>
      <c r="AW1074" t="s">
        <v>6966</v>
      </c>
      <c r="AX1074" t="s">
        <v>6966</v>
      </c>
      <c r="AY1074" t="s">
        <v>6966</v>
      </c>
      <c r="AZ1074">
        <v>3.7689E-2</v>
      </c>
      <c r="BA1074">
        <v>3.8000000000000002E-5</v>
      </c>
    </row>
    <row r="1075" spans="1:53" x14ac:dyDescent="0.25">
      <c r="A1075">
        <v>1073</v>
      </c>
      <c r="B1075" t="s">
        <v>7625</v>
      </c>
      <c r="C1075">
        <v>403033</v>
      </c>
      <c r="D1075" t="s">
        <v>7977</v>
      </c>
      <c r="E1075" t="s">
        <v>3045</v>
      </c>
      <c r="F1075">
        <v>1713355.375</v>
      </c>
      <c r="G1075">
        <v>6574.5170900000003</v>
      </c>
      <c r="H1075">
        <v>1040</v>
      </c>
      <c r="I1075">
        <v>1252</v>
      </c>
      <c r="J1075">
        <v>51287</v>
      </c>
      <c r="K1075" t="s">
        <v>7978</v>
      </c>
      <c r="L1075">
        <v>15</v>
      </c>
      <c r="M1075">
        <v>15</v>
      </c>
      <c r="N1075">
        <v>51287</v>
      </c>
      <c r="O1075">
        <v>1016</v>
      </c>
      <c r="P1075" t="s">
        <v>3214</v>
      </c>
      <c r="Q1075">
        <v>0.2</v>
      </c>
      <c r="R1075">
        <v>0</v>
      </c>
      <c r="S1075">
        <v>0.04</v>
      </c>
      <c r="T1075">
        <v>0</v>
      </c>
      <c r="U1075">
        <v>1713355.31226</v>
      </c>
      <c r="V1075">
        <v>6574.5174489999999</v>
      </c>
      <c r="W1075">
        <v>1074</v>
      </c>
      <c r="X1075">
        <v>1</v>
      </c>
      <c r="Y1075">
        <v>1073</v>
      </c>
      <c r="Z1075">
        <v>72394</v>
      </c>
      <c r="AA1075" s="76">
        <v>45939</v>
      </c>
      <c r="AB1075">
        <v>2025</v>
      </c>
      <c r="AC1075" t="s">
        <v>7473</v>
      </c>
      <c r="AD1075">
        <v>9</v>
      </c>
      <c r="AE1075" t="s">
        <v>7490</v>
      </c>
      <c r="AF1075" t="s">
        <v>3214</v>
      </c>
      <c r="AG1075" t="s">
        <v>3045</v>
      </c>
      <c r="AH1075" t="s">
        <v>7491</v>
      </c>
      <c r="AI1075" t="s">
        <v>2940</v>
      </c>
      <c r="AJ1075" t="s">
        <v>6966</v>
      </c>
      <c r="AK1075">
        <v>33.762169999999998</v>
      </c>
      <c r="AL1075">
        <v>35.857199999999999</v>
      </c>
      <c r="AM1075" t="s">
        <v>7295</v>
      </c>
      <c r="AN1075" t="s">
        <v>6966</v>
      </c>
      <c r="AO1075" t="s">
        <v>7008</v>
      </c>
      <c r="AP1075" t="s">
        <v>7492</v>
      </c>
      <c r="AQ1075" t="s">
        <v>6998</v>
      </c>
      <c r="AR1075" t="s">
        <v>6999</v>
      </c>
      <c r="AS1075" t="s">
        <v>7000</v>
      </c>
      <c r="AT1075">
        <v>0</v>
      </c>
      <c r="AU1075">
        <v>0</v>
      </c>
      <c r="AV1075" t="s">
        <v>7493</v>
      </c>
      <c r="AW1075" t="s">
        <v>7119</v>
      </c>
      <c r="AX1075" t="s">
        <v>6966</v>
      </c>
      <c r="AY1075" t="s">
        <v>7003</v>
      </c>
      <c r="AZ1075">
        <v>6.3967999999999997E-2</v>
      </c>
      <c r="BA1075">
        <v>1.6699999999999999E-4</v>
      </c>
    </row>
    <row r="1076" spans="1:53" x14ac:dyDescent="0.25">
      <c r="A1076">
        <v>1074</v>
      </c>
      <c r="B1076" t="s">
        <v>7625</v>
      </c>
      <c r="C1076">
        <v>501031</v>
      </c>
      <c r="D1076" t="s">
        <v>353</v>
      </c>
      <c r="E1076" t="s">
        <v>1808</v>
      </c>
      <c r="F1076">
        <v>587911.1875</v>
      </c>
      <c r="G1076">
        <v>3640.813232</v>
      </c>
      <c r="H1076">
        <v>1041</v>
      </c>
      <c r="I1076">
        <v>1255</v>
      </c>
      <c r="J1076">
        <v>24464</v>
      </c>
      <c r="K1076" t="s">
        <v>1849</v>
      </c>
      <c r="L1076">
        <v>5</v>
      </c>
      <c r="M1076">
        <v>5</v>
      </c>
      <c r="N1076">
        <v>24464</v>
      </c>
      <c r="O1076">
        <v>1017</v>
      </c>
      <c r="P1076" t="s">
        <v>3212</v>
      </c>
      <c r="Q1076">
        <v>2.2000000000000002</v>
      </c>
      <c r="R1076">
        <v>21.12</v>
      </c>
      <c r="S1076">
        <v>0.92</v>
      </c>
      <c r="T1076">
        <v>9</v>
      </c>
      <c r="U1076">
        <v>587911.15652900003</v>
      </c>
      <c r="V1076">
        <v>3640.8133360000002</v>
      </c>
      <c r="W1076">
        <v>1075</v>
      </c>
      <c r="X1076">
        <v>0</v>
      </c>
      <c r="Y1076">
        <v>1074</v>
      </c>
      <c r="Z1076" t="s">
        <v>6966</v>
      </c>
      <c r="AA1076" t="s">
        <v>6966</v>
      </c>
      <c r="AB1076" t="s">
        <v>6966</v>
      </c>
      <c r="AC1076" t="s">
        <v>6966</v>
      </c>
      <c r="AD1076" t="s">
        <v>6966</v>
      </c>
      <c r="AE1076" t="s">
        <v>6966</v>
      </c>
      <c r="AF1076" t="s">
        <v>6966</v>
      </c>
      <c r="AG1076" t="s">
        <v>6966</v>
      </c>
      <c r="AH1076" t="s">
        <v>6966</v>
      </c>
      <c r="AI1076" t="s">
        <v>6966</v>
      </c>
      <c r="AJ1076" t="s">
        <v>6966</v>
      </c>
      <c r="AK1076" t="s">
        <v>6966</v>
      </c>
      <c r="AL1076" t="s">
        <v>6966</v>
      </c>
      <c r="AM1076" t="s">
        <v>6966</v>
      </c>
      <c r="AN1076" t="s">
        <v>6966</v>
      </c>
      <c r="AO1076" t="s">
        <v>6966</v>
      </c>
      <c r="AP1076" t="s">
        <v>6966</v>
      </c>
      <c r="AQ1076" t="s">
        <v>6966</v>
      </c>
      <c r="AR1076" t="s">
        <v>6966</v>
      </c>
      <c r="AS1076" t="s">
        <v>6966</v>
      </c>
      <c r="AT1076" t="s">
        <v>6966</v>
      </c>
      <c r="AU1076" t="s">
        <v>6966</v>
      </c>
      <c r="AV1076" t="s">
        <v>6966</v>
      </c>
      <c r="AW1076" t="s">
        <v>6966</v>
      </c>
      <c r="AX1076" t="s">
        <v>6966</v>
      </c>
      <c r="AY1076" t="s">
        <v>6966</v>
      </c>
      <c r="AZ1076">
        <v>3.7093000000000001E-2</v>
      </c>
      <c r="BA1076">
        <v>5.7000000000000003E-5</v>
      </c>
    </row>
    <row r="1077" spans="1:53" x14ac:dyDescent="0.25">
      <c r="A1077">
        <v>1075</v>
      </c>
      <c r="B1077" t="s">
        <v>7625</v>
      </c>
      <c r="C1077">
        <v>501045</v>
      </c>
      <c r="D1077" t="s">
        <v>7979</v>
      </c>
      <c r="E1077" t="s">
        <v>1808</v>
      </c>
      <c r="F1077">
        <v>663941.3125</v>
      </c>
      <c r="G1077">
        <v>3867.5842290000001</v>
      </c>
      <c r="H1077">
        <v>1042</v>
      </c>
      <c r="I1077">
        <v>1256</v>
      </c>
      <c r="J1077">
        <v>24345</v>
      </c>
      <c r="K1077" t="s">
        <v>1824</v>
      </c>
      <c r="L1077">
        <v>5</v>
      </c>
      <c r="M1077">
        <v>5</v>
      </c>
      <c r="N1077">
        <v>24345</v>
      </c>
      <c r="O1077">
        <v>1018</v>
      </c>
      <c r="P1077" t="s">
        <v>3212</v>
      </c>
      <c r="Q1077">
        <v>0</v>
      </c>
      <c r="R1077">
        <v>0</v>
      </c>
      <c r="S1077">
        <v>0.06</v>
      </c>
      <c r="T1077">
        <v>1</v>
      </c>
      <c r="U1077">
        <v>663941.32082000002</v>
      </c>
      <c r="V1077">
        <v>3867.5841129999999</v>
      </c>
      <c r="W1077">
        <v>1076</v>
      </c>
      <c r="X1077">
        <v>0</v>
      </c>
      <c r="Y1077">
        <v>1075</v>
      </c>
      <c r="Z1077" t="s">
        <v>6966</v>
      </c>
      <c r="AA1077" t="s">
        <v>6966</v>
      </c>
      <c r="AB1077" t="s">
        <v>6966</v>
      </c>
      <c r="AC1077" t="s">
        <v>6966</v>
      </c>
      <c r="AD1077" t="s">
        <v>6966</v>
      </c>
      <c r="AE1077" t="s">
        <v>6966</v>
      </c>
      <c r="AF1077" t="s">
        <v>6966</v>
      </c>
      <c r="AG1077" t="s">
        <v>6966</v>
      </c>
      <c r="AH1077" t="s">
        <v>6966</v>
      </c>
      <c r="AI1077" t="s">
        <v>6966</v>
      </c>
      <c r="AJ1077" t="s">
        <v>6966</v>
      </c>
      <c r="AK1077" t="s">
        <v>6966</v>
      </c>
      <c r="AL1077" t="s">
        <v>6966</v>
      </c>
      <c r="AM1077" t="s">
        <v>6966</v>
      </c>
      <c r="AN1077" t="s">
        <v>6966</v>
      </c>
      <c r="AO1077" t="s">
        <v>6966</v>
      </c>
      <c r="AP1077" t="s">
        <v>6966</v>
      </c>
      <c r="AQ1077" t="s">
        <v>6966</v>
      </c>
      <c r="AR1077" t="s">
        <v>6966</v>
      </c>
      <c r="AS1077" t="s">
        <v>6966</v>
      </c>
      <c r="AT1077" t="s">
        <v>6966</v>
      </c>
      <c r="AU1077" t="s">
        <v>6966</v>
      </c>
      <c r="AV1077" t="s">
        <v>6966</v>
      </c>
      <c r="AW1077" t="s">
        <v>6966</v>
      </c>
      <c r="AX1077" t="s">
        <v>6966</v>
      </c>
      <c r="AY1077" t="s">
        <v>6966</v>
      </c>
      <c r="AZ1077">
        <v>3.8547999999999999E-2</v>
      </c>
      <c r="BA1077">
        <v>6.4999999999999994E-5</v>
      </c>
    </row>
    <row r="1078" spans="1:53" x14ac:dyDescent="0.25">
      <c r="A1078">
        <v>1076</v>
      </c>
      <c r="B1078" t="s">
        <v>7625</v>
      </c>
      <c r="C1078">
        <v>501060</v>
      </c>
      <c r="D1078" t="s">
        <v>346</v>
      </c>
      <c r="E1078" t="s">
        <v>1808</v>
      </c>
      <c r="F1078">
        <v>179581.46875</v>
      </c>
      <c r="G1078">
        <v>2193.1936040000001</v>
      </c>
      <c r="H1078">
        <v>1043</v>
      </c>
      <c r="I1078">
        <v>1257</v>
      </c>
      <c r="J1078">
        <v>24443</v>
      </c>
      <c r="K1078" t="s">
        <v>7980</v>
      </c>
      <c r="L1078">
        <v>5</v>
      </c>
      <c r="M1078">
        <v>5</v>
      </c>
      <c r="N1078">
        <v>24451</v>
      </c>
      <c r="O1078">
        <v>1019</v>
      </c>
      <c r="P1078" t="s">
        <v>3212</v>
      </c>
      <c r="Q1078">
        <v>69</v>
      </c>
      <c r="R1078">
        <v>212.22</v>
      </c>
      <c r="S1078">
        <v>20.73</v>
      </c>
      <c r="T1078">
        <v>13</v>
      </c>
      <c r="U1078">
        <v>179581.47834599999</v>
      </c>
      <c r="V1078">
        <v>2193.1936040000001</v>
      </c>
      <c r="W1078">
        <v>1077</v>
      </c>
      <c r="X1078">
        <v>0</v>
      </c>
      <c r="Y1078">
        <v>1076</v>
      </c>
      <c r="Z1078" t="s">
        <v>6966</v>
      </c>
      <c r="AA1078" t="s">
        <v>6966</v>
      </c>
      <c r="AB1078" t="s">
        <v>6966</v>
      </c>
      <c r="AC1078" t="s">
        <v>6966</v>
      </c>
      <c r="AD1078" t="s">
        <v>6966</v>
      </c>
      <c r="AE1078" t="s">
        <v>6966</v>
      </c>
      <c r="AF1078" t="s">
        <v>6966</v>
      </c>
      <c r="AG1078" t="s">
        <v>6966</v>
      </c>
      <c r="AH1078" t="s">
        <v>6966</v>
      </c>
      <c r="AI1078" t="s">
        <v>6966</v>
      </c>
      <c r="AJ1078" t="s">
        <v>6966</v>
      </c>
      <c r="AK1078" t="s">
        <v>6966</v>
      </c>
      <c r="AL1078" t="s">
        <v>6966</v>
      </c>
      <c r="AM1078" t="s">
        <v>6966</v>
      </c>
      <c r="AN1078" t="s">
        <v>6966</v>
      </c>
      <c r="AO1078" t="s">
        <v>6966</v>
      </c>
      <c r="AP1078" t="s">
        <v>6966</v>
      </c>
      <c r="AQ1078" t="s">
        <v>6966</v>
      </c>
      <c r="AR1078" t="s">
        <v>6966</v>
      </c>
      <c r="AS1078" t="s">
        <v>6966</v>
      </c>
      <c r="AT1078" t="s">
        <v>6966</v>
      </c>
      <c r="AU1078" t="s">
        <v>6966</v>
      </c>
      <c r="AV1078" t="s">
        <v>6966</v>
      </c>
      <c r="AW1078" t="s">
        <v>6966</v>
      </c>
      <c r="AX1078" t="s">
        <v>6966</v>
      </c>
      <c r="AY1078" t="s">
        <v>6966</v>
      </c>
      <c r="AZ1078">
        <v>2.1631999999999998E-2</v>
      </c>
      <c r="BA1078">
        <v>1.7E-5</v>
      </c>
    </row>
    <row r="1079" spans="1:53" x14ac:dyDescent="0.25">
      <c r="A1079">
        <v>1077</v>
      </c>
      <c r="B1079" t="s">
        <v>7625</v>
      </c>
      <c r="C1079">
        <v>501068</v>
      </c>
      <c r="D1079" t="s">
        <v>330</v>
      </c>
      <c r="E1079" t="s">
        <v>1808</v>
      </c>
      <c r="F1079">
        <v>3656038</v>
      </c>
      <c r="G1079">
        <v>14834.376953000001</v>
      </c>
      <c r="H1079">
        <v>1044</v>
      </c>
      <c r="I1079">
        <v>1258</v>
      </c>
      <c r="J1079">
        <v>24367</v>
      </c>
      <c r="K1079" t="s">
        <v>1832</v>
      </c>
      <c r="L1079">
        <v>5</v>
      </c>
      <c r="M1079">
        <v>5</v>
      </c>
      <c r="N1079">
        <v>24367</v>
      </c>
      <c r="O1079">
        <v>1020</v>
      </c>
      <c r="P1079" t="s">
        <v>3212</v>
      </c>
      <c r="Q1079">
        <v>3.2</v>
      </c>
      <c r="R1079">
        <v>16.61</v>
      </c>
      <c r="S1079">
        <v>1.18</v>
      </c>
      <c r="T1079">
        <v>6</v>
      </c>
      <c r="U1079">
        <v>3656037.9873299999</v>
      </c>
      <c r="V1079">
        <v>14834.377598999999</v>
      </c>
      <c r="W1079">
        <v>1078</v>
      </c>
      <c r="X1079">
        <v>0</v>
      </c>
      <c r="Y1079">
        <v>1077</v>
      </c>
      <c r="Z1079" t="s">
        <v>6966</v>
      </c>
      <c r="AA1079" t="s">
        <v>6966</v>
      </c>
      <c r="AB1079" t="s">
        <v>6966</v>
      </c>
      <c r="AC1079" t="s">
        <v>6966</v>
      </c>
      <c r="AD1079" t="s">
        <v>6966</v>
      </c>
      <c r="AE1079" t="s">
        <v>6966</v>
      </c>
      <c r="AF1079" t="s">
        <v>6966</v>
      </c>
      <c r="AG1079" t="s">
        <v>6966</v>
      </c>
      <c r="AH1079" t="s">
        <v>6966</v>
      </c>
      <c r="AI1079" t="s">
        <v>6966</v>
      </c>
      <c r="AJ1079" t="s">
        <v>6966</v>
      </c>
      <c r="AK1079" t="s">
        <v>6966</v>
      </c>
      <c r="AL1079" t="s">
        <v>6966</v>
      </c>
      <c r="AM1079" t="s">
        <v>6966</v>
      </c>
      <c r="AN1079" t="s">
        <v>6966</v>
      </c>
      <c r="AO1079" t="s">
        <v>6966</v>
      </c>
      <c r="AP1079" t="s">
        <v>6966</v>
      </c>
      <c r="AQ1079" t="s">
        <v>6966</v>
      </c>
      <c r="AR1079" t="s">
        <v>6966</v>
      </c>
      <c r="AS1079" t="s">
        <v>6966</v>
      </c>
      <c r="AT1079" t="s">
        <v>6966</v>
      </c>
      <c r="AU1079" t="s">
        <v>6966</v>
      </c>
      <c r="AV1079" t="s">
        <v>6966</v>
      </c>
      <c r="AW1079" t="s">
        <v>6966</v>
      </c>
      <c r="AX1079" t="s">
        <v>6966</v>
      </c>
      <c r="AY1079" t="s">
        <v>6966</v>
      </c>
      <c r="AZ1079">
        <v>0.14641599999999999</v>
      </c>
      <c r="BA1079">
        <v>3.5599999999999998E-4</v>
      </c>
    </row>
    <row r="1080" spans="1:53" x14ac:dyDescent="0.25">
      <c r="A1080">
        <v>1078</v>
      </c>
      <c r="B1080" t="s">
        <v>7625</v>
      </c>
      <c r="C1080">
        <v>501044</v>
      </c>
      <c r="D1080" t="s">
        <v>325</v>
      </c>
      <c r="E1080" t="s">
        <v>1808</v>
      </c>
      <c r="F1080">
        <v>1128324.875</v>
      </c>
      <c r="G1080">
        <v>6575.4023440000001</v>
      </c>
      <c r="H1080">
        <v>1045</v>
      </c>
      <c r="I1080">
        <v>1259</v>
      </c>
      <c r="J1080">
        <v>24357</v>
      </c>
      <c r="K1080" t="s">
        <v>325</v>
      </c>
      <c r="L1080">
        <v>5</v>
      </c>
      <c r="M1080">
        <v>5</v>
      </c>
      <c r="N1080">
        <v>24357</v>
      </c>
      <c r="O1080">
        <v>1021</v>
      </c>
      <c r="P1080" t="s">
        <v>3212</v>
      </c>
      <c r="Q1080">
        <v>1.2</v>
      </c>
      <c r="R1080">
        <v>8.4</v>
      </c>
      <c r="S1080">
        <v>1.62</v>
      </c>
      <c r="T1080">
        <v>11</v>
      </c>
      <c r="U1080">
        <v>1128324.8497200001</v>
      </c>
      <c r="V1080">
        <v>6575.4025970000002</v>
      </c>
      <c r="W1080">
        <v>1079</v>
      </c>
      <c r="X1080">
        <v>0</v>
      </c>
      <c r="Y1080">
        <v>1078</v>
      </c>
      <c r="Z1080" t="s">
        <v>6966</v>
      </c>
      <c r="AA1080" t="s">
        <v>6966</v>
      </c>
      <c r="AB1080" t="s">
        <v>6966</v>
      </c>
      <c r="AC1080" t="s">
        <v>6966</v>
      </c>
      <c r="AD1080" t="s">
        <v>6966</v>
      </c>
      <c r="AE1080" t="s">
        <v>6966</v>
      </c>
      <c r="AF1080" t="s">
        <v>6966</v>
      </c>
      <c r="AG1080" t="s">
        <v>6966</v>
      </c>
      <c r="AH1080" t="s">
        <v>6966</v>
      </c>
      <c r="AI1080" t="s">
        <v>6966</v>
      </c>
      <c r="AJ1080" t="s">
        <v>6966</v>
      </c>
      <c r="AK1080" t="s">
        <v>6966</v>
      </c>
      <c r="AL1080" t="s">
        <v>6966</v>
      </c>
      <c r="AM1080" t="s">
        <v>6966</v>
      </c>
      <c r="AN1080" t="s">
        <v>6966</v>
      </c>
      <c r="AO1080" t="s">
        <v>6966</v>
      </c>
      <c r="AP1080" t="s">
        <v>6966</v>
      </c>
      <c r="AQ1080" t="s">
        <v>6966</v>
      </c>
      <c r="AR1080" t="s">
        <v>6966</v>
      </c>
      <c r="AS1080" t="s">
        <v>6966</v>
      </c>
      <c r="AT1080" t="s">
        <v>6966</v>
      </c>
      <c r="AU1080" t="s">
        <v>6966</v>
      </c>
      <c r="AV1080" t="s">
        <v>6966</v>
      </c>
      <c r="AW1080" t="s">
        <v>6966</v>
      </c>
      <c r="AX1080" t="s">
        <v>6966</v>
      </c>
      <c r="AY1080" t="s">
        <v>6966</v>
      </c>
      <c r="AZ1080">
        <v>6.4708000000000002E-2</v>
      </c>
      <c r="BA1080">
        <v>1.1E-4</v>
      </c>
    </row>
    <row r="1081" spans="1:53" x14ac:dyDescent="0.25">
      <c r="A1081">
        <v>1079</v>
      </c>
      <c r="B1081" t="s">
        <v>7625</v>
      </c>
      <c r="C1081">
        <v>401033</v>
      </c>
      <c r="D1081" t="s">
        <v>1068</v>
      </c>
      <c r="E1081" t="s">
        <v>3221</v>
      </c>
      <c r="F1081">
        <v>5701001</v>
      </c>
      <c r="G1081">
        <v>11605.719727</v>
      </c>
      <c r="H1081">
        <v>1046</v>
      </c>
      <c r="I1081">
        <v>1260</v>
      </c>
      <c r="J1081">
        <v>52295</v>
      </c>
      <c r="K1081" t="s">
        <v>2412</v>
      </c>
      <c r="L1081">
        <v>16</v>
      </c>
      <c r="M1081">
        <v>16</v>
      </c>
      <c r="N1081">
        <v>52295</v>
      </c>
      <c r="O1081">
        <v>1022</v>
      </c>
      <c r="P1081" t="s">
        <v>3214</v>
      </c>
      <c r="Q1081">
        <v>1.2</v>
      </c>
      <c r="R1081">
        <v>120.1</v>
      </c>
      <c r="S1081">
        <v>0.31</v>
      </c>
      <c r="T1081">
        <v>31</v>
      </c>
      <c r="U1081">
        <v>5701001.2704800004</v>
      </c>
      <c r="V1081">
        <v>11605.720739</v>
      </c>
      <c r="W1081">
        <v>1080</v>
      </c>
      <c r="X1081">
        <v>0</v>
      </c>
      <c r="Y1081">
        <v>1079</v>
      </c>
      <c r="Z1081" t="s">
        <v>6966</v>
      </c>
      <c r="AA1081" t="s">
        <v>6966</v>
      </c>
      <c r="AB1081" t="s">
        <v>6966</v>
      </c>
      <c r="AC1081" t="s">
        <v>6966</v>
      </c>
      <c r="AD1081" t="s">
        <v>6966</v>
      </c>
      <c r="AE1081" t="s">
        <v>6966</v>
      </c>
      <c r="AF1081" t="s">
        <v>6966</v>
      </c>
      <c r="AG1081" t="s">
        <v>6966</v>
      </c>
      <c r="AH1081" t="s">
        <v>6966</v>
      </c>
      <c r="AI1081" t="s">
        <v>6966</v>
      </c>
      <c r="AJ1081" t="s">
        <v>6966</v>
      </c>
      <c r="AK1081" t="s">
        <v>6966</v>
      </c>
      <c r="AL1081" t="s">
        <v>6966</v>
      </c>
      <c r="AM1081" t="s">
        <v>6966</v>
      </c>
      <c r="AN1081" t="s">
        <v>6966</v>
      </c>
      <c r="AO1081" t="s">
        <v>6966</v>
      </c>
      <c r="AP1081" t="s">
        <v>6966</v>
      </c>
      <c r="AQ1081" t="s">
        <v>6966</v>
      </c>
      <c r="AR1081" t="s">
        <v>6966</v>
      </c>
      <c r="AS1081" t="s">
        <v>6966</v>
      </c>
      <c r="AT1081" t="s">
        <v>6966</v>
      </c>
      <c r="AU1081" t="s">
        <v>6966</v>
      </c>
      <c r="AV1081" t="s">
        <v>6966</v>
      </c>
      <c r="AW1081" t="s">
        <v>6966</v>
      </c>
      <c r="AX1081" t="s">
        <v>6966</v>
      </c>
      <c r="AY1081" t="s">
        <v>6966</v>
      </c>
      <c r="AZ1081">
        <v>0.114402</v>
      </c>
      <c r="BA1081">
        <v>5.5500000000000005E-4</v>
      </c>
    </row>
    <row r="1082" spans="1:53" x14ac:dyDescent="0.25">
      <c r="A1082">
        <v>1080</v>
      </c>
      <c r="B1082" t="s">
        <v>7625</v>
      </c>
      <c r="C1082">
        <v>403003</v>
      </c>
      <c r="D1082" t="s">
        <v>1010</v>
      </c>
      <c r="E1082" t="s">
        <v>3045</v>
      </c>
      <c r="F1082">
        <v>0</v>
      </c>
      <c r="G1082">
        <v>21370.630859000001</v>
      </c>
      <c r="H1082">
        <v>1047</v>
      </c>
      <c r="I1082">
        <v>1261</v>
      </c>
      <c r="J1082">
        <v>51281</v>
      </c>
      <c r="K1082" t="s">
        <v>2363</v>
      </c>
      <c r="L1082">
        <v>15</v>
      </c>
      <c r="M1082">
        <v>15</v>
      </c>
      <c r="N1082">
        <v>51281</v>
      </c>
      <c r="O1082">
        <v>1023</v>
      </c>
      <c r="P1082" t="s">
        <v>3214</v>
      </c>
      <c r="Q1082">
        <v>4.3</v>
      </c>
      <c r="R1082">
        <v>77.84</v>
      </c>
      <c r="S1082">
        <v>1.1299999999999999</v>
      </c>
      <c r="T1082">
        <v>23</v>
      </c>
      <c r="U1082">
        <v>0</v>
      </c>
      <c r="V1082">
        <v>21370.631386000001</v>
      </c>
      <c r="W1082">
        <v>1081</v>
      </c>
      <c r="X1082">
        <v>0</v>
      </c>
      <c r="Y1082">
        <v>1080</v>
      </c>
      <c r="Z1082" t="s">
        <v>6966</v>
      </c>
      <c r="AA1082" t="s">
        <v>6966</v>
      </c>
      <c r="AB1082" t="s">
        <v>6966</v>
      </c>
      <c r="AC1082" t="s">
        <v>6966</v>
      </c>
      <c r="AD1082" t="s">
        <v>6966</v>
      </c>
      <c r="AE1082" t="s">
        <v>6966</v>
      </c>
      <c r="AF1082" t="s">
        <v>6966</v>
      </c>
      <c r="AG1082" t="s">
        <v>6966</v>
      </c>
      <c r="AH1082" t="s">
        <v>6966</v>
      </c>
      <c r="AI1082" t="s">
        <v>6966</v>
      </c>
      <c r="AJ1082" t="s">
        <v>6966</v>
      </c>
      <c r="AK1082" t="s">
        <v>6966</v>
      </c>
      <c r="AL1082" t="s">
        <v>6966</v>
      </c>
      <c r="AM1082" t="s">
        <v>6966</v>
      </c>
      <c r="AN1082" t="s">
        <v>6966</v>
      </c>
      <c r="AO1082" t="s">
        <v>6966</v>
      </c>
      <c r="AP1082" t="s">
        <v>6966</v>
      </c>
      <c r="AQ1082" t="s">
        <v>6966</v>
      </c>
      <c r="AR1082" t="s">
        <v>6966</v>
      </c>
      <c r="AS1082" t="s">
        <v>6966</v>
      </c>
      <c r="AT1082" t="s">
        <v>6966</v>
      </c>
      <c r="AU1082" t="s">
        <v>6966</v>
      </c>
      <c r="AV1082" t="s">
        <v>6966</v>
      </c>
      <c r="AW1082" t="s">
        <v>6966</v>
      </c>
      <c r="AX1082" t="s">
        <v>6966</v>
      </c>
      <c r="AY1082" t="s">
        <v>6966</v>
      </c>
      <c r="AZ1082">
        <v>0.21621499999999999</v>
      </c>
      <c r="BA1082">
        <v>1.578E-3</v>
      </c>
    </row>
    <row r="1083" spans="1:53" x14ac:dyDescent="0.25">
      <c r="A1083">
        <v>1081</v>
      </c>
      <c r="B1083" t="s">
        <v>7625</v>
      </c>
      <c r="C1083">
        <v>501008</v>
      </c>
      <c r="D1083" t="s">
        <v>332</v>
      </c>
      <c r="E1083" t="s">
        <v>1808</v>
      </c>
      <c r="F1083">
        <v>1940692</v>
      </c>
      <c r="G1083">
        <v>7444.658203</v>
      </c>
      <c r="H1083">
        <v>1048</v>
      </c>
      <c r="I1083">
        <v>1262</v>
      </c>
      <c r="J1083">
        <v>24371</v>
      </c>
      <c r="K1083" t="s">
        <v>7981</v>
      </c>
      <c r="L1083">
        <v>5</v>
      </c>
      <c r="M1083">
        <v>5</v>
      </c>
      <c r="N1083">
        <v>24371</v>
      </c>
      <c r="O1083">
        <v>1024</v>
      </c>
      <c r="P1083" t="s">
        <v>3212</v>
      </c>
      <c r="Q1083">
        <v>2</v>
      </c>
      <c r="R1083">
        <v>17.07</v>
      </c>
      <c r="S1083">
        <v>0.85</v>
      </c>
      <c r="T1083">
        <v>7</v>
      </c>
      <c r="U1083">
        <v>1940692.0657200001</v>
      </c>
      <c r="V1083">
        <v>7444.6578959999997</v>
      </c>
      <c r="W1083">
        <v>1082</v>
      </c>
      <c r="X1083">
        <v>0</v>
      </c>
      <c r="Y1083">
        <v>1081</v>
      </c>
      <c r="Z1083" t="s">
        <v>6966</v>
      </c>
      <c r="AA1083" t="s">
        <v>6966</v>
      </c>
      <c r="AB1083" t="s">
        <v>6966</v>
      </c>
      <c r="AC1083" t="s">
        <v>6966</v>
      </c>
      <c r="AD1083" t="s">
        <v>6966</v>
      </c>
      <c r="AE1083" t="s">
        <v>6966</v>
      </c>
      <c r="AF1083" t="s">
        <v>6966</v>
      </c>
      <c r="AG1083" t="s">
        <v>6966</v>
      </c>
      <c r="AH1083" t="s">
        <v>6966</v>
      </c>
      <c r="AI1083" t="s">
        <v>6966</v>
      </c>
      <c r="AJ1083" t="s">
        <v>6966</v>
      </c>
      <c r="AK1083" t="s">
        <v>6966</v>
      </c>
      <c r="AL1083" t="s">
        <v>6966</v>
      </c>
      <c r="AM1083" t="s">
        <v>6966</v>
      </c>
      <c r="AN1083" t="s">
        <v>6966</v>
      </c>
      <c r="AO1083" t="s">
        <v>6966</v>
      </c>
      <c r="AP1083" t="s">
        <v>6966</v>
      </c>
      <c r="AQ1083" t="s">
        <v>6966</v>
      </c>
      <c r="AR1083" t="s">
        <v>6966</v>
      </c>
      <c r="AS1083" t="s">
        <v>6966</v>
      </c>
      <c r="AT1083" t="s">
        <v>6966</v>
      </c>
      <c r="AU1083" t="s">
        <v>6966</v>
      </c>
      <c r="AV1083" t="s">
        <v>6966</v>
      </c>
      <c r="AW1083" t="s">
        <v>6966</v>
      </c>
      <c r="AX1083" t="s">
        <v>6966</v>
      </c>
      <c r="AY1083" t="s">
        <v>6966</v>
      </c>
      <c r="AZ1083">
        <v>7.4227000000000001E-2</v>
      </c>
      <c r="BA1083">
        <v>1.8900000000000001E-4</v>
      </c>
    </row>
    <row r="1084" spans="1:53" x14ac:dyDescent="0.25">
      <c r="A1084">
        <v>1082</v>
      </c>
      <c r="B1084" t="s">
        <v>7625</v>
      </c>
      <c r="C1084">
        <v>403047</v>
      </c>
      <c r="D1084" t="s">
        <v>1009</v>
      </c>
      <c r="E1084" t="s">
        <v>3045</v>
      </c>
      <c r="F1084">
        <v>6699196.5</v>
      </c>
      <c r="G1084">
        <v>16478.310547000001</v>
      </c>
      <c r="H1084">
        <v>1049</v>
      </c>
      <c r="I1084">
        <v>1263</v>
      </c>
      <c r="J1084">
        <v>51277</v>
      </c>
      <c r="K1084" t="s">
        <v>2362</v>
      </c>
      <c r="L1084">
        <v>15</v>
      </c>
      <c r="M1084">
        <v>15</v>
      </c>
      <c r="N1084">
        <v>51277</v>
      </c>
      <c r="O1084">
        <v>1025</v>
      </c>
      <c r="P1084" t="s">
        <v>3214</v>
      </c>
      <c r="Q1084">
        <v>0.1</v>
      </c>
      <c r="R1084">
        <v>21.5</v>
      </c>
      <c r="S1084">
        <v>0.02</v>
      </c>
      <c r="T1084">
        <v>4</v>
      </c>
      <c r="U1084">
        <v>6699196.72224</v>
      </c>
      <c r="V1084">
        <v>16478.311699000002</v>
      </c>
      <c r="W1084">
        <v>1083</v>
      </c>
      <c r="X1084">
        <v>0</v>
      </c>
      <c r="Y1084">
        <v>1082</v>
      </c>
      <c r="Z1084" t="s">
        <v>6966</v>
      </c>
      <c r="AA1084" t="s">
        <v>6966</v>
      </c>
      <c r="AB1084" t="s">
        <v>6966</v>
      </c>
      <c r="AC1084" t="s">
        <v>6966</v>
      </c>
      <c r="AD1084" t="s">
        <v>6966</v>
      </c>
      <c r="AE1084" t="s">
        <v>6966</v>
      </c>
      <c r="AF1084" t="s">
        <v>6966</v>
      </c>
      <c r="AG1084" t="s">
        <v>6966</v>
      </c>
      <c r="AH1084" t="s">
        <v>6966</v>
      </c>
      <c r="AI1084" t="s">
        <v>6966</v>
      </c>
      <c r="AJ1084" t="s">
        <v>6966</v>
      </c>
      <c r="AK1084" t="s">
        <v>6966</v>
      </c>
      <c r="AL1084" t="s">
        <v>6966</v>
      </c>
      <c r="AM1084" t="s">
        <v>6966</v>
      </c>
      <c r="AN1084" t="s">
        <v>6966</v>
      </c>
      <c r="AO1084" t="s">
        <v>6966</v>
      </c>
      <c r="AP1084" t="s">
        <v>6966</v>
      </c>
      <c r="AQ1084" t="s">
        <v>6966</v>
      </c>
      <c r="AR1084" t="s">
        <v>6966</v>
      </c>
      <c r="AS1084" t="s">
        <v>6966</v>
      </c>
      <c r="AT1084" t="s">
        <v>6966</v>
      </c>
      <c r="AU1084" t="s">
        <v>6966</v>
      </c>
      <c r="AV1084" t="s">
        <v>6966</v>
      </c>
      <c r="AW1084" t="s">
        <v>6966</v>
      </c>
      <c r="AX1084" t="s">
        <v>6966</v>
      </c>
      <c r="AY1084" t="s">
        <v>6966</v>
      </c>
      <c r="AZ1084">
        <v>0.15600900000000001</v>
      </c>
      <c r="BA1084">
        <v>6.5200000000000002E-4</v>
      </c>
    </row>
    <row r="1085" spans="1:53" x14ac:dyDescent="0.25">
      <c r="A1085">
        <v>1083</v>
      </c>
      <c r="B1085" t="s">
        <v>7625</v>
      </c>
      <c r="C1085">
        <v>503003</v>
      </c>
      <c r="D1085" t="s">
        <v>258</v>
      </c>
      <c r="E1085" t="s">
        <v>3220</v>
      </c>
      <c r="F1085">
        <v>0</v>
      </c>
      <c r="G1085">
        <v>24490.326172000001</v>
      </c>
      <c r="H1085">
        <v>1050</v>
      </c>
      <c r="I1085">
        <v>1264</v>
      </c>
      <c r="J1085">
        <v>23469</v>
      </c>
      <c r="K1085" t="s">
        <v>7982</v>
      </c>
      <c r="L1085">
        <v>4</v>
      </c>
      <c r="M1085">
        <v>4</v>
      </c>
      <c r="N1085">
        <v>23469</v>
      </c>
      <c r="O1085">
        <v>1026</v>
      </c>
      <c r="P1085" t="s">
        <v>3212</v>
      </c>
      <c r="Q1085">
        <v>0.8</v>
      </c>
      <c r="R1085">
        <v>27.19</v>
      </c>
      <c r="S1085">
        <v>0.37</v>
      </c>
      <c r="T1085">
        <v>12</v>
      </c>
      <c r="U1085">
        <v>0</v>
      </c>
      <c r="V1085">
        <v>24490.326902000001</v>
      </c>
      <c r="W1085">
        <v>1084</v>
      </c>
      <c r="X1085">
        <v>0</v>
      </c>
      <c r="Y1085">
        <v>1083</v>
      </c>
      <c r="Z1085" t="s">
        <v>6966</v>
      </c>
      <c r="AA1085" t="s">
        <v>6966</v>
      </c>
      <c r="AB1085" t="s">
        <v>6966</v>
      </c>
      <c r="AC1085" t="s">
        <v>6966</v>
      </c>
      <c r="AD1085" t="s">
        <v>6966</v>
      </c>
      <c r="AE1085" t="s">
        <v>6966</v>
      </c>
      <c r="AF1085" t="s">
        <v>6966</v>
      </c>
      <c r="AG1085" t="s">
        <v>6966</v>
      </c>
      <c r="AH1085" t="s">
        <v>6966</v>
      </c>
      <c r="AI1085" t="s">
        <v>6966</v>
      </c>
      <c r="AJ1085" t="s">
        <v>6966</v>
      </c>
      <c r="AK1085" t="s">
        <v>6966</v>
      </c>
      <c r="AL1085" t="s">
        <v>6966</v>
      </c>
      <c r="AM1085" t="s">
        <v>6966</v>
      </c>
      <c r="AN1085" t="s">
        <v>6966</v>
      </c>
      <c r="AO1085" t="s">
        <v>6966</v>
      </c>
      <c r="AP1085" t="s">
        <v>6966</v>
      </c>
      <c r="AQ1085" t="s">
        <v>6966</v>
      </c>
      <c r="AR1085" t="s">
        <v>6966</v>
      </c>
      <c r="AS1085" t="s">
        <v>6966</v>
      </c>
      <c r="AT1085" t="s">
        <v>6966</v>
      </c>
      <c r="AU1085" t="s">
        <v>6966</v>
      </c>
      <c r="AV1085" t="s">
        <v>6966</v>
      </c>
      <c r="AW1085" t="s">
        <v>6966</v>
      </c>
      <c r="AX1085" t="s">
        <v>6966</v>
      </c>
      <c r="AY1085" t="s">
        <v>6966</v>
      </c>
      <c r="AZ1085">
        <v>0.24896399999999999</v>
      </c>
      <c r="BA1085">
        <v>2.0019999999999999E-3</v>
      </c>
    </row>
    <row r="1086" spans="1:53" x14ac:dyDescent="0.25">
      <c r="A1086">
        <v>1084</v>
      </c>
      <c r="B1086" t="s">
        <v>7625</v>
      </c>
      <c r="C1086">
        <v>501066</v>
      </c>
      <c r="D1086" t="s">
        <v>326</v>
      </c>
      <c r="E1086" t="s">
        <v>1808</v>
      </c>
      <c r="F1086">
        <v>6728083.5</v>
      </c>
      <c r="G1086">
        <v>17139.326172000001</v>
      </c>
      <c r="H1086">
        <v>1051</v>
      </c>
      <c r="I1086">
        <v>1265</v>
      </c>
      <c r="J1086">
        <v>24359</v>
      </c>
      <c r="K1086" t="s">
        <v>1829</v>
      </c>
      <c r="L1086">
        <v>5</v>
      </c>
      <c r="M1086">
        <v>5</v>
      </c>
      <c r="N1086">
        <v>24359</v>
      </c>
      <c r="O1086">
        <v>1027</v>
      </c>
      <c r="P1086" t="s">
        <v>3212</v>
      </c>
      <c r="Q1086">
        <v>0.4</v>
      </c>
      <c r="R1086">
        <v>13.85</v>
      </c>
      <c r="S1086">
        <v>0.76</v>
      </c>
      <c r="T1086">
        <v>24</v>
      </c>
      <c r="U1086">
        <v>6728083.6519799996</v>
      </c>
      <c r="V1086">
        <v>17139.328637999999</v>
      </c>
      <c r="W1086">
        <v>1085</v>
      </c>
      <c r="X1086">
        <v>0</v>
      </c>
      <c r="Y1086">
        <v>1084</v>
      </c>
      <c r="Z1086" t="s">
        <v>6966</v>
      </c>
      <c r="AA1086" t="s">
        <v>6966</v>
      </c>
      <c r="AB1086" t="s">
        <v>6966</v>
      </c>
      <c r="AC1086" t="s">
        <v>6966</v>
      </c>
      <c r="AD1086" t="s">
        <v>6966</v>
      </c>
      <c r="AE1086" t="s">
        <v>6966</v>
      </c>
      <c r="AF1086" t="s">
        <v>6966</v>
      </c>
      <c r="AG1086" t="s">
        <v>6966</v>
      </c>
      <c r="AH1086" t="s">
        <v>6966</v>
      </c>
      <c r="AI1086" t="s">
        <v>6966</v>
      </c>
      <c r="AJ1086" t="s">
        <v>6966</v>
      </c>
      <c r="AK1086" t="s">
        <v>6966</v>
      </c>
      <c r="AL1086" t="s">
        <v>6966</v>
      </c>
      <c r="AM1086" t="s">
        <v>6966</v>
      </c>
      <c r="AN1086" t="s">
        <v>6966</v>
      </c>
      <c r="AO1086" t="s">
        <v>6966</v>
      </c>
      <c r="AP1086" t="s">
        <v>6966</v>
      </c>
      <c r="AQ1086" t="s">
        <v>6966</v>
      </c>
      <c r="AR1086" t="s">
        <v>6966</v>
      </c>
      <c r="AS1086" t="s">
        <v>6966</v>
      </c>
      <c r="AT1086" t="s">
        <v>6966</v>
      </c>
      <c r="AU1086" t="s">
        <v>6966</v>
      </c>
      <c r="AV1086" t="s">
        <v>6966</v>
      </c>
      <c r="AW1086" t="s">
        <v>6966</v>
      </c>
      <c r="AX1086" t="s">
        <v>6966</v>
      </c>
      <c r="AY1086" t="s">
        <v>6966</v>
      </c>
      <c r="AZ1086">
        <v>0.17103099999999999</v>
      </c>
      <c r="BA1086">
        <v>6.5399999999999996E-4</v>
      </c>
    </row>
    <row r="1087" spans="1:53" x14ac:dyDescent="0.25">
      <c r="A1087">
        <v>1085</v>
      </c>
      <c r="B1087" t="s">
        <v>7625</v>
      </c>
      <c r="C1087">
        <v>501016</v>
      </c>
      <c r="D1087" t="s">
        <v>294</v>
      </c>
      <c r="E1087" t="s">
        <v>1808</v>
      </c>
      <c r="F1087">
        <v>6430049.5</v>
      </c>
      <c r="G1087">
        <v>15248.806640999999</v>
      </c>
      <c r="H1087">
        <v>1052</v>
      </c>
      <c r="I1087">
        <v>1266</v>
      </c>
      <c r="J1087">
        <v>24235</v>
      </c>
      <c r="K1087" t="s">
        <v>1801</v>
      </c>
      <c r="L1087">
        <v>5</v>
      </c>
      <c r="M1087">
        <v>5</v>
      </c>
      <c r="N1087">
        <v>24235</v>
      </c>
      <c r="O1087">
        <v>1028</v>
      </c>
      <c r="P1087" t="s">
        <v>3212</v>
      </c>
      <c r="Q1087">
        <v>0.7</v>
      </c>
      <c r="R1087">
        <v>20.350000000000001</v>
      </c>
      <c r="S1087">
        <v>0.95</v>
      </c>
      <c r="T1087">
        <v>30</v>
      </c>
      <c r="U1087">
        <v>6430049.6617900003</v>
      </c>
      <c r="V1087">
        <v>15248.806468999999</v>
      </c>
      <c r="W1087">
        <v>1086</v>
      </c>
      <c r="X1087">
        <v>0</v>
      </c>
      <c r="Y1087">
        <v>1085</v>
      </c>
      <c r="Z1087" t="s">
        <v>6966</v>
      </c>
      <c r="AA1087" t="s">
        <v>6966</v>
      </c>
      <c r="AB1087" t="s">
        <v>6966</v>
      </c>
      <c r="AC1087" t="s">
        <v>6966</v>
      </c>
      <c r="AD1087" t="s">
        <v>6966</v>
      </c>
      <c r="AE1087" t="s">
        <v>6966</v>
      </c>
      <c r="AF1087" t="s">
        <v>6966</v>
      </c>
      <c r="AG1087" t="s">
        <v>6966</v>
      </c>
      <c r="AH1087" t="s">
        <v>6966</v>
      </c>
      <c r="AI1087" t="s">
        <v>6966</v>
      </c>
      <c r="AJ1087" t="s">
        <v>6966</v>
      </c>
      <c r="AK1087" t="s">
        <v>6966</v>
      </c>
      <c r="AL1087" t="s">
        <v>6966</v>
      </c>
      <c r="AM1087" t="s">
        <v>6966</v>
      </c>
      <c r="AN1087" t="s">
        <v>6966</v>
      </c>
      <c r="AO1087" t="s">
        <v>6966</v>
      </c>
      <c r="AP1087" t="s">
        <v>6966</v>
      </c>
      <c r="AQ1087" t="s">
        <v>6966</v>
      </c>
      <c r="AR1087" t="s">
        <v>6966</v>
      </c>
      <c r="AS1087" t="s">
        <v>6966</v>
      </c>
      <c r="AT1087" t="s">
        <v>6966</v>
      </c>
      <c r="AU1087" t="s">
        <v>6966</v>
      </c>
      <c r="AV1087" t="s">
        <v>6966</v>
      </c>
      <c r="AW1087" t="s">
        <v>6966</v>
      </c>
      <c r="AX1087" t="s">
        <v>6966</v>
      </c>
      <c r="AY1087" t="s">
        <v>6966</v>
      </c>
      <c r="AZ1087">
        <v>0.15434200000000001</v>
      </c>
      <c r="BA1087">
        <v>6.2500000000000001E-4</v>
      </c>
    </row>
    <row r="1088" spans="1:53" x14ac:dyDescent="0.25">
      <c r="A1088">
        <v>1086</v>
      </c>
      <c r="B1088" t="s">
        <v>7625</v>
      </c>
      <c r="C1088">
        <v>501079</v>
      </c>
      <c r="D1088" t="s">
        <v>87</v>
      </c>
      <c r="E1088" t="s">
        <v>1808</v>
      </c>
      <c r="F1088">
        <v>84125.59375</v>
      </c>
      <c r="G1088">
        <v>1749.752808</v>
      </c>
      <c r="H1088">
        <v>1053</v>
      </c>
      <c r="I1088">
        <v>1267</v>
      </c>
      <c r="J1088">
        <v>24004</v>
      </c>
      <c r="K1088" t="s">
        <v>87</v>
      </c>
      <c r="L1088">
        <v>5</v>
      </c>
      <c r="M1088">
        <v>5</v>
      </c>
      <c r="N1088">
        <v>24004</v>
      </c>
      <c r="O1088">
        <v>1029</v>
      </c>
      <c r="P1088" t="s">
        <v>3212</v>
      </c>
      <c r="Q1088">
        <v>0</v>
      </c>
      <c r="R1088">
        <v>0</v>
      </c>
      <c r="S1088">
        <v>0</v>
      </c>
      <c r="T1088">
        <v>0</v>
      </c>
      <c r="U1088">
        <v>84125.588321999996</v>
      </c>
      <c r="V1088">
        <v>1749.752761</v>
      </c>
      <c r="W1088">
        <v>1087</v>
      </c>
      <c r="X1088">
        <v>0</v>
      </c>
      <c r="Y1088">
        <v>1086</v>
      </c>
      <c r="Z1088" t="s">
        <v>6966</v>
      </c>
      <c r="AA1088" t="s">
        <v>6966</v>
      </c>
      <c r="AB1088" t="s">
        <v>6966</v>
      </c>
      <c r="AC1088" t="s">
        <v>6966</v>
      </c>
      <c r="AD1088" t="s">
        <v>6966</v>
      </c>
      <c r="AE1088" t="s">
        <v>6966</v>
      </c>
      <c r="AF1088" t="s">
        <v>6966</v>
      </c>
      <c r="AG1088" t="s">
        <v>6966</v>
      </c>
      <c r="AH1088" t="s">
        <v>6966</v>
      </c>
      <c r="AI1088" t="s">
        <v>6966</v>
      </c>
      <c r="AJ1088" t="s">
        <v>6966</v>
      </c>
      <c r="AK1088" t="s">
        <v>6966</v>
      </c>
      <c r="AL1088" t="s">
        <v>6966</v>
      </c>
      <c r="AM1088" t="s">
        <v>6966</v>
      </c>
      <c r="AN1088" t="s">
        <v>6966</v>
      </c>
      <c r="AO1088" t="s">
        <v>6966</v>
      </c>
      <c r="AP1088" t="s">
        <v>6966</v>
      </c>
      <c r="AQ1088" t="s">
        <v>6966</v>
      </c>
      <c r="AR1088" t="s">
        <v>6966</v>
      </c>
      <c r="AS1088" t="s">
        <v>6966</v>
      </c>
      <c r="AT1088" t="s">
        <v>6966</v>
      </c>
      <c r="AU1088" t="s">
        <v>6966</v>
      </c>
      <c r="AV1088" t="s">
        <v>6966</v>
      </c>
      <c r="AW1088" t="s">
        <v>6966</v>
      </c>
      <c r="AX1088" t="s">
        <v>6966</v>
      </c>
      <c r="AY1088" t="s">
        <v>6966</v>
      </c>
      <c r="AZ1088">
        <v>1.7377E-2</v>
      </c>
      <c r="BA1088">
        <v>7.9999999999999996E-6</v>
      </c>
    </row>
    <row r="1089" spans="1:53" x14ac:dyDescent="0.25">
      <c r="A1089">
        <v>1087</v>
      </c>
      <c r="B1089" t="s">
        <v>7625</v>
      </c>
      <c r="C1089">
        <v>501065</v>
      </c>
      <c r="D1089" t="s">
        <v>7983</v>
      </c>
      <c r="E1089" t="s">
        <v>1808</v>
      </c>
      <c r="F1089">
        <v>3557948.5</v>
      </c>
      <c r="G1089">
        <v>10411.596680000001</v>
      </c>
      <c r="H1089">
        <v>1054</v>
      </c>
      <c r="I1089">
        <v>1268</v>
      </c>
      <c r="J1089">
        <v>24467</v>
      </c>
      <c r="K1089" t="s">
        <v>1850</v>
      </c>
      <c r="L1089">
        <v>5</v>
      </c>
      <c r="M1089">
        <v>5</v>
      </c>
      <c r="N1089">
        <v>24467</v>
      </c>
      <c r="O1089">
        <v>1030</v>
      </c>
      <c r="P1089" t="s">
        <v>3212</v>
      </c>
      <c r="Q1089">
        <v>2.2999999999999998</v>
      </c>
      <c r="R1089">
        <v>41.84</v>
      </c>
      <c r="S1089">
        <v>0.8</v>
      </c>
      <c r="T1089">
        <v>14</v>
      </c>
      <c r="U1089">
        <v>3557948.5655499999</v>
      </c>
      <c r="V1089">
        <v>10411.596772000001</v>
      </c>
      <c r="W1089">
        <v>1088</v>
      </c>
      <c r="X1089">
        <v>0</v>
      </c>
      <c r="Y1089">
        <v>1087</v>
      </c>
      <c r="Z1089" t="s">
        <v>6966</v>
      </c>
      <c r="AA1089" t="s">
        <v>6966</v>
      </c>
      <c r="AB1089" t="s">
        <v>6966</v>
      </c>
      <c r="AC1089" t="s">
        <v>6966</v>
      </c>
      <c r="AD1089" t="s">
        <v>6966</v>
      </c>
      <c r="AE1089" t="s">
        <v>6966</v>
      </c>
      <c r="AF1089" t="s">
        <v>6966</v>
      </c>
      <c r="AG1089" t="s">
        <v>6966</v>
      </c>
      <c r="AH1089" t="s">
        <v>6966</v>
      </c>
      <c r="AI1089" t="s">
        <v>6966</v>
      </c>
      <c r="AJ1089" t="s">
        <v>6966</v>
      </c>
      <c r="AK1089" t="s">
        <v>6966</v>
      </c>
      <c r="AL1089" t="s">
        <v>6966</v>
      </c>
      <c r="AM1089" t="s">
        <v>6966</v>
      </c>
      <c r="AN1089" t="s">
        <v>6966</v>
      </c>
      <c r="AO1089" t="s">
        <v>6966</v>
      </c>
      <c r="AP1089" t="s">
        <v>6966</v>
      </c>
      <c r="AQ1089" t="s">
        <v>6966</v>
      </c>
      <c r="AR1089" t="s">
        <v>6966</v>
      </c>
      <c r="AS1089" t="s">
        <v>6966</v>
      </c>
      <c r="AT1089" t="s">
        <v>6966</v>
      </c>
      <c r="AU1089" t="s">
        <v>6966</v>
      </c>
      <c r="AV1089" t="s">
        <v>6966</v>
      </c>
      <c r="AW1089" t="s">
        <v>6966</v>
      </c>
      <c r="AX1089" t="s">
        <v>6966</v>
      </c>
      <c r="AY1089" t="s">
        <v>6966</v>
      </c>
      <c r="AZ1089">
        <v>0.10517799999999999</v>
      </c>
      <c r="BA1089">
        <v>3.4600000000000001E-4</v>
      </c>
    </row>
    <row r="1090" spans="1:53" x14ac:dyDescent="0.25">
      <c r="A1090">
        <v>1088</v>
      </c>
      <c r="B1090" t="s">
        <v>7625</v>
      </c>
      <c r="C1090">
        <v>501056</v>
      </c>
      <c r="D1090" t="s">
        <v>355</v>
      </c>
      <c r="E1090" t="s">
        <v>1808</v>
      </c>
      <c r="F1090">
        <v>860135.0625</v>
      </c>
      <c r="G1090">
        <v>5540.5517579999996</v>
      </c>
      <c r="H1090">
        <v>1055</v>
      </c>
      <c r="I1090">
        <v>1269</v>
      </c>
      <c r="J1090">
        <v>24471</v>
      </c>
      <c r="K1090" t="s">
        <v>7984</v>
      </c>
      <c r="L1090">
        <v>5</v>
      </c>
      <c r="M1090">
        <v>5</v>
      </c>
      <c r="N1090">
        <v>24471</v>
      </c>
      <c r="O1090">
        <v>1031</v>
      </c>
      <c r="P1090" t="s">
        <v>3212</v>
      </c>
      <c r="Q1090">
        <v>4.3</v>
      </c>
      <c r="R1090">
        <v>95.17</v>
      </c>
      <c r="S1090">
        <v>1.24</v>
      </c>
      <c r="T1090">
        <v>28</v>
      </c>
      <c r="U1090">
        <v>860135.083613</v>
      </c>
      <c r="V1090">
        <v>5540.5518410000004</v>
      </c>
      <c r="W1090">
        <v>1089</v>
      </c>
      <c r="X1090">
        <v>0</v>
      </c>
      <c r="Y1090">
        <v>1088</v>
      </c>
      <c r="Z1090" t="s">
        <v>6966</v>
      </c>
      <c r="AA1090" t="s">
        <v>6966</v>
      </c>
      <c r="AB1090" t="s">
        <v>6966</v>
      </c>
      <c r="AC1090" t="s">
        <v>6966</v>
      </c>
      <c r="AD1090" t="s">
        <v>6966</v>
      </c>
      <c r="AE1090" t="s">
        <v>6966</v>
      </c>
      <c r="AF1090" t="s">
        <v>6966</v>
      </c>
      <c r="AG1090" t="s">
        <v>6966</v>
      </c>
      <c r="AH1090" t="s">
        <v>6966</v>
      </c>
      <c r="AI1090" t="s">
        <v>6966</v>
      </c>
      <c r="AJ1090" t="s">
        <v>6966</v>
      </c>
      <c r="AK1090" t="s">
        <v>6966</v>
      </c>
      <c r="AL1090" t="s">
        <v>6966</v>
      </c>
      <c r="AM1090" t="s">
        <v>6966</v>
      </c>
      <c r="AN1090" t="s">
        <v>6966</v>
      </c>
      <c r="AO1090" t="s">
        <v>6966</v>
      </c>
      <c r="AP1090" t="s">
        <v>6966</v>
      </c>
      <c r="AQ1090" t="s">
        <v>6966</v>
      </c>
      <c r="AR1090" t="s">
        <v>6966</v>
      </c>
      <c r="AS1090" t="s">
        <v>6966</v>
      </c>
      <c r="AT1090" t="s">
        <v>6966</v>
      </c>
      <c r="AU1090" t="s">
        <v>6966</v>
      </c>
      <c r="AV1090" t="s">
        <v>6966</v>
      </c>
      <c r="AW1090" t="s">
        <v>6966</v>
      </c>
      <c r="AX1090" t="s">
        <v>6966</v>
      </c>
      <c r="AY1090" t="s">
        <v>6966</v>
      </c>
      <c r="AZ1090">
        <v>5.6100999999999998E-2</v>
      </c>
      <c r="BA1090">
        <v>8.3999999999999995E-5</v>
      </c>
    </row>
    <row r="1091" spans="1:53" x14ac:dyDescent="0.25">
      <c r="A1091">
        <v>1089</v>
      </c>
      <c r="B1091" t="s">
        <v>7625</v>
      </c>
      <c r="C1091">
        <v>501059</v>
      </c>
      <c r="D1091" t="s">
        <v>356</v>
      </c>
      <c r="E1091" t="s">
        <v>1808</v>
      </c>
      <c r="F1091">
        <v>133121.3125</v>
      </c>
      <c r="G1091">
        <v>2243.5974120000001</v>
      </c>
      <c r="H1091">
        <v>1056</v>
      </c>
      <c r="I1091">
        <v>1270</v>
      </c>
      <c r="J1091">
        <v>24474</v>
      </c>
      <c r="K1091" t="s">
        <v>1852</v>
      </c>
      <c r="L1091">
        <v>5</v>
      </c>
      <c r="M1091">
        <v>5</v>
      </c>
      <c r="N1091">
        <v>24474</v>
      </c>
      <c r="O1091">
        <v>1032</v>
      </c>
      <c r="P1091" t="s">
        <v>3212</v>
      </c>
      <c r="Q1091">
        <v>0.7</v>
      </c>
      <c r="R1091">
        <v>15.03</v>
      </c>
      <c r="S1091">
        <v>1.8</v>
      </c>
      <c r="T1091">
        <v>40</v>
      </c>
      <c r="U1091">
        <v>133121.278437</v>
      </c>
      <c r="V1091">
        <v>2243.5972179999999</v>
      </c>
      <c r="W1091">
        <v>1090</v>
      </c>
      <c r="X1091">
        <v>0</v>
      </c>
      <c r="Y1091">
        <v>1089</v>
      </c>
      <c r="Z1091" t="s">
        <v>6966</v>
      </c>
      <c r="AA1091" t="s">
        <v>6966</v>
      </c>
      <c r="AB1091" t="s">
        <v>6966</v>
      </c>
      <c r="AC1091" t="s">
        <v>6966</v>
      </c>
      <c r="AD1091" t="s">
        <v>6966</v>
      </c>
      <c r="AE1091" t="s">
        <v>6966</v>
      </c>
      <c r="AF1091" t="s">
        <v>6966</v>
      </c>
      <c r="AG1091" t="s">
        <v>6966</v>
      </c>
      <c r="AH1091" t="s">
        <v>6966</v>
      </c>
      <c r="AI1091" t="s">
        <v>6966</v>
      </c>
      <c r="AJ1091" t="s">
        <v>6966</v>
      </c>
      <c r="AK1091" t="s">
        <v>6966</v>
      </c>
      <c r="AL1091" t="s">
        <v>6966</v>
      </c>
      <c r="AM1091" t="s">
        <v>6966</v>
      </c>
      <c r="AN1091" t="s">
        <v>6966</v>
      </c>
      <c r="AO1091" t="s">
        <v>6966</v>
      </c>
      <c r="AP1091" t="s">
        <v>6966</v>
      </c>
      <c r="AQ1091" t="s">
        <v>6966</v>
      </c>
      <c r="AR1091" t="s">
        <v>6966</v>
      </c>
      <c r="AS1091" t="s">
        <v>6966</v>
      </c>
      <c r="AT1091" t="s">
        <v>6966</v>
      </c>
      <c r="AU1091" t="s">
        <v>6966</v>
      </c>
      <c r="AV1091" t="s">
        <v>6966</v>
      </c>
      <c r="AW1091" t="s">
        <v>6966</v>
      </c>
      <c r="AX1091" t="s">
        <v>6966</v>
      </c>
      <c r="AY1091" t="s">
        <v>6966</v>
      </c>
      <c r="AZ1091">
        <v>2.2190999999999999E-2</v>
      </c>
      <c r="BA1091">
        <v>1.2999999999999999E-5</v>
      </c>
    </row>
    <row r="1092" spans="1:53" x14ac:dyDescent="0.25">
      <c r="A1092">
        <v>1090</v>
      </c>
      <c r="B1092" t="s">
        <v>7625</v>
      </c>
      <c r="C1092">
        <v>501030</v>
      </c>
      <c r="D1092" t="s">
        <v>7985</v>
      </c>
      <c r="E1092" t="s">
        <v>1808</v>
      </c>
      <c r="F1092">
        <v>493172.625</v>
      </c>
      <c r="G1092">
        <v>4808.2709960000002</v>
      </c>
      <c r="H1092">
        <v>1057</v>
      </c>
      <c r="I1092">
        <v>1271</v>
      </c>
      <c r="J1092">
        <v>24355</v>
      </c>
      <c r="K1092" t="s">
        <v>7986</v>
      </c>
      <c r="L1092">
        <v>5</v>
      </c>
      <c r="M1092">
        <v>5</v>
      </c>
      <c r="N1092">
        <v>24355</v>
      </c>
      <c r="O1092">
        <v>1033</v>
      </c>
      <c r="P1092" t="s">
        <v>3212</v>
      </c>
      <c r="Q1092">
        <v>0.1</v>
      </c>
      <c r="R1092">
        <v>0.82</v>
      </c>
      <c r="S1092">
        <v>0.67</v>
      </c>
      <c r="T1092">
        <v>7</v>
      </c>
      <c r="U1092">
        <v>493172.58944000001</v>
      </c>
      <c r="V1092">
        <v>4808.2710649999999</v>
      </c>
      <c r="W1092">
        <v>1091</v>
      </c>
      <c r="X1092">
        <v>0</v>
      </c>
      <c r="Y1092">
        <v>1090</v>
      </c>
      <c r="Z1092" t="s">
        <v>6966</v>
      </c>
      <c r="AA1092" t="s">
        <v>6966</v>
      </c>
      <c r="AB1092" t="s">
        <v>6966</v>
      </c>
      <c r="AC1092" t="s">
        <v>6966</v>
      </c>
      <c r="AD1092" t="s">
        <v>6966</v>
      </c>
      <c r="AE1092" t="s">
        <v>6966</v>
      </c>
      <c r="AF1092" t="s">
        <v>6966</v>
      </c>
      <c r="AG1092" t="s">
        <v>6966</v>
      </c>
      <c r="AH1092" t="s">
        <v>6966</v>
      </c>
      <c r="AI1092" t="s">
        <v>6966</v>
      </c>
      <c r="AJ1092" t="s">
        <v>6966</v>
      </c>
      <c r="AK1092" t="s">
        <v>6966</v>
      </c>
      <c r="AL1092" t="s">
        <v>6966</v>
      </c>
      <c r="AM1092" t="s">
        <v>6966</v>
      </c>
      <c r="AN1092" t="s">
        <v>6966</v>
      </c>
      <c r="AO1092" t="s">
        <v>6966</v>
      </c>
      <c r="AP1092" t="s">
        <v>6966</v>
      </c>
      <c r="AQ1092" t="s">
        <v>6966</v>
      </c>
      <c r="AR1092" t="s">
        <v>6966</v>
      </c>
      <c r="AS1092" t="s">
        <v>6966</v>
      </c>
      <c r="AT1092" t="s">
        <v>6966</v>
      </c>
      <c r="AU1092" t="s">
        <v>6966</v>
      </c>
      <c r="AV1092" t="s">
        <v>6966</v>
      </c>
      <c r="AW1092" t="s">
        <v>6966</v>
      </c>
      <c r="AX1092" t="s">
        <v>6966</v>
      </c>
      <c r="AY1092" t="s">
        <v>6966</v>
      </c>
      <c r="AZ1092">
        <v>4.5742999999999999E-2</v>
      </c>
      <c r="BA1092">
        <v>4.8000000000000001E-5</v>
      </c>
    </row>
    <row r="1093" spans="1:53" x14ac:dyDescent="0.25">
      <c r="A1093">
        <v>1091</v>
      </c>
      <c r="B1093" t="s">
        <v>7625</v>
      </c>
      <c r="C1093">
        <v>501063</v>
      </c>
      <c r="D1093" t="s">
        <v>358</v>
      </c>
      <c r="E1093" t="s">
        <v>1808</v>
      </c>
      <c r="F1093">
        <v>2575740.5</v>
      </c>
      <c r="G1093">
        <v>7892.0034180000002</v>
      </c>
      <c r="H1093">
        <v>1058</v>
      </c>
      <c r="I1093">
        <v>1272</v>
      </c>
      <c r="J1093">
        <v>24481</v>
      </c>
      <c r="K1093" t="s">
        <v>1854</v>
      </c>
      <c r="L1093">
        <v>5</v>
      </c>
      <c r="M1093">
        <v>5</v>
      </c>
      <c r="N1093">
        <v>24481</v>
      </c>
      <c r="O1093">
        <v>1034</v>
      </c>
      <c r="P1093" t="s">
        <v>3212</v>
      </c>
      <c r="Q1093">
        <v>0.2</v>
      </c>
      <c r="R1093">
        <v>4.47</v>
      </c>
      <c r="S1093">
        <v>0.16</v>
      </c>
      <c r="T1093">
        <v>4</v>
      </c>
      <c r="U1093">
        <v>2575740.5720500001</v>
      </c>
      <c r="V1093">
        <v>7892.0031049999998</v>
      </c>
      <c r="W1093">
        <v>1092</v>
      </c>
      <c r="X1093">
        <v>0</v>
      </c>
      <c r="Y1093">
        <v>1091</v>
      </c>
      <c r="Z1093" t="s">
        <v>6966</v>
      </c>
      <c r="AA1093" t="s">
        <v>6966</v>
      </c>
      <c r="AB1093" t="s">
        <v>6966</v>
      </c>
      <c r="AC1093" t="s">
        <v>6966</v>
      </c>
      <c r="AD1093" t="s">
        <v>6966</v>
      </c>
      <c r="AE1093" t="s">
        <v>6966</v>
      </c>
      <c r="AF1093" t="s">
        <v>6966</v>
      </c>
      <c r="AG1093" t="s">
        <v>6966</v>
      </c>
      <c r="AH1093" t="s">
        <v>6966</v>
      </c>
      <c r="AI1093" t="s">
        <v>6966</v>
      </c>
      <c r="AJ1093" t="s">
        <v>6966</v>
      </c>
      <c r="AK1093" t="s">
        <v>6966</v>
      </c>
      <c r="AL1093" t="s">
        <v>6966</v>
      </c>
      <c r="AM1093" t="s">
        <v>6966</v>
      </c>
      <c r="AN1093" t="s">
        <v>6966</v>
      </c>
      <c r="AO1093" t="s">
        <v>6966</v>
      </c>
      <c r="AP1093" t="s">
        <v>6966</v>
      </c>
      <c r="AQ1093" t="s">
        <v>6966</v>
      </c>
      <c r="AR1093" t="s">
        <v>6966</v>
      </c>
      <c r="AS1093" t="s">
        <v>6966</v>
      </c>
      <c r="AT1093" t="s">
        <v>6966</v>
      </c>
      <c r="AU1093" t="s">
        <v>6966</v>
      </c>
      <c r="AV1093" t="s">
        <v>6966</v>
      </c>
      <c r="AW1093" t="s">
        <v>6966</v>
      </c>
      <c r="AX1093" t="s">
        <v>6966</v>
      </c>
      <c r="AY1093" t="s">
        <v>6966</v>
      </c>
      <c r="AZ1093">
        <v>7.9278000000000001E-2</v>
      </c>
      <c r="BA1093">
        <v>2.5099999999999998E-4</v>
      </c>
    </row>
    <row r="1094" spans="1:53" x14ac:dyDescent="0.25">
      <c r="A1094">
        <v>1092</v>
      </c>
      <c r="B1094" t="s">
        <v>7625</v>
      </c>
      <c r="C1094">
        <v>501082</v>
      </c>
      <c r="D1094" t="s">
        <v>87</v>
      </c>
      <c r="E1094" t="s">
        <v>1808</v>
      </c>
      <c r="F1094">
        <v>25801.806640999999</v>
      </c>
      <c r="G1094">
        <v>794.99700900000005</v>
      </c>
      <c r="H1094">
        <v>1059</v>
      </c>
      <c r="I1094">
        <v>1273</v>
      </c>
      <c r="J1094">
        <v>24005</v>
      </c>
      <c r="K1094" t="s">
        <v>87</v>
      </c>
      <c r="L1094">
        <v>5</v>
      </c>
      <c r="M1094">
        <v>5</v>
      </c>
      <c r="N1094">
        <v>24005</v>
      </c>
      <c r="O1094">
        <v>1035</v>
      </c>
      <c r="P1094" t="s">
        <v>3212</v>
      </c>
      <c r="Q1094">
        <v>0</v>
      </c>
      <c r="R1094">
        <v>0</v>
      </c>
      <c r="S1094">
        <v>0</v>
      </c>
      <c r="T1094">
        <v>0</v>
      </c>
      <c r="U1094">
        <v>25801.818654999999</v>
      </c>
      <c r="V1094">
        <v>794.99664199999995</v>
      </c>
      <c r="W1094">
        <v>1093</v>
      </c>
      <c r="X1094">
        <v>0</v>
      </c>
      <c r="Y1094">
        <v>1092</v>
      </c>
      <c r="Z1094" t="s">
        <v>6966</v>
      </c>
      <c r="AA1094" t="s">
        <v>6966</v>
      </c>
      <c r="AB1094" t="s">
        <v>6966</v>
      </c>
      <c r="AC1094" t="s">
        <v>6966</v>
      </c>
      <c r="AD1094" t="s">
        <v>6966</v>
      </c>
      <c r="AE1094" t="s">
        <v>6966</v>
      </c>
      <c r="AF1094" t="s">
        <v>6966</v>
      </c>
      <c r="AG1094" t="s">
        <v>6966</v>
      </c>
      <c r="AH1094" t="s">
        <v>6966</v>
      </c>
      <c r="AI1094" t="s">
        <v>6966</v>
      </c>
      <c r="AJ1094" t="s">
        <v>6966</v>
      </c>
      <c r="AK1094" t="s">
        <v>6966</v>
      </c>
      <c r="AL1094" t="s">
        <v>6966</v>
      </c>
      <c r="AM1094" t="s">
        <v>6966</v>
      </c>
      <c r="AN1094" t="s">
        <v>6966</v>
      </c>
      <c r="AO1094" t="s">
        <v>6966</v>
      </c>
      <c r="AP1094" t="s">
        <v>6966</v>
      </c>
      <c r="AQ1094" t="s">
        <v>6966</v>
      </c>
      <c r="AR1094" t="s">
        <v>6966</v>
      </c>
      <c r="AS1094" t="s">
        <v>6966</v>
      </c>
      <c r="AT1094" t="s">
        <v>6966</v>
      </c>
      <c r="AU1094" t="s">
        <v>6966</v>
      </c>
      <c r="AV1094" t="s">
        <v>6966</v>
      </c>
      <c r="AW1094" t="s">
        <v>6966</v>
      </c>
      <c r="AX1094" t="s">
        <v>6966</v>
      </c>
      <c r="AY1094" t="s">
        <v>6966</v>
      </c>
      <c r="AZ1094">
        <v>7.901E-3</v>
      </c>
      <c r="BA1094">
        <v>3.0000000000000001E-6</v>
      </c>
    </row>
    <row r="1095" spans="1:53" x14ac:dyDescent="0.25">
      <c r="A1095">
        <v>1093</v>
      </c>
      <c r="B1095" t="s">
        <v>7625</v>
      </c>
      <c r="C1095">
        <v>501001</v>
      </c>
      <c r="D1095" t="s">
        <v>334</v>
      </c>
      <c r="E1095" t="s">
        <v>1808</v>
      </c>
      <c r="F1095">
        <v>4252242</v>
      </c>
      <c r="G1095">
        <v>12855.576171999999</v>
      </c>
      <c r="H1095">
        <v>1060</v>
      </c>
      <c r="I1095">
        <v>1274</v>
      </c>
      <c r="J1095">
        <v>24375</v>
      </c>
      <c r="K1095" t="s">
        <v>1836</v>
      </c>
      <c r="L1095">
        <v>5</v>
      </c>
      <c r="M1095">
        <v>5</v>
      </c>
      <c r="N1095">
        <v>24375</v>
      </c>
      <c r="O1095">
        <v>1036</v>
      </c>
      <c r="P1095" t="s">
        <v>3212</v>
      </c>
      <c r="Q1095">
        <v>3.9</v>
      </c>
      <c r="R1095">
        <v>16.52</v>
      </c>
      <c r="S1095">
        <v>1.24</v>
      </c>
      <c r="T1095">
        <v>5</v>
      </c>
      <c r="U1095">
        <v>4252242.20952</v>
      </c>
      <c r="V1095">
        <v>12855.576553000001</v>
      </c>
      <c r="W1095">
        <v>1094</v>
      </c>
      <c r="X1095">
        <v>0</v>
      </c>
      <c r="Y1095">
        <v>1093</v>
      </c>
      <c r="Z1095" t="s">
        <v>6966</v>
      </c>
      <c r="AA1095" t="s">
        <v>6966</v>
      </c>
      <c r="AB1095" t="s">
        <v>6966</v>
      </c>
      <c r="AC1095" t="s">
        <v>6966</v>
      </c>
      <c r="AD1095" t="s">
        <v>6966</v>
      </c>
      <c r="AE1095" t="s">
        <v>6966</v>
      </c>
      <c r="AF1095" t="s">
        <v>6966</v>
      </c>
      <c r="AG1095" t="s">
        <v>6966</v>
      </c>
      <c r="AH1095" t="s">
        <v>6966</v>
      </c>
      <c r="AI1095" t="s">
        <v>6966</v>
      </c>
      <c r="AJ1095" t="s">
        <v>6966</v>
      </c>
      <c r="AK1095" t="s">
        <v>6966</v>
      </c>
      <c r="AL1095" t="s">
        <v>6966</v>
      </c>
      <c r="AM1095" t="s">
        <v>6966</v>
      </c>
      <c r="AN1095" t="s">
        <v>6966</v>
      </c>
      <c r="AO1095" t="s">
        <v>6966</v>
      </c>
      <c r="AP1095" t="s">
        <v>6966</v>
      </c>
      <c r="AQ1095" t="s">
        <v>6966</v>
      </c>
      <c r="AR1095" t="s">
        <v>6966</v>
      </c>
      <c r="AS1095" t="s">
        <v>6966</v>
      </c>
      <c r="AT1095" t="s">
        <v>6966</v>
      </c>
      <c r="AU1095" t="s">
        <v>6966</v>
      </c>
      <c r="AV1095" t="s">
        <v>6966</v>
      </c>
      <c r="AW1095" t="s">
        <v>6966</v>
      </c>
      <c r="AX1095" t="s">
        <v>6966</v>
      </c>
      <c r="AY1095" t="s">
        <v>6966</v>
      </c>
      <c r="AZ1095">
        <v>0.12837999999999999</v>
      </c>
      <c r="BA1095">
        <v>4.1399999999999998E-4</v>
      </c>
    </row>
    <row r="1096" spans="1:53" x14ac:dyDescent="0.25">
      <c r="A1096">
        <v>1094</v>
      </c>
      <c r="B1096" t="s">
        <v>7625</v>
      </c>
      <c r="C1096">
        <v>401003</v>
      </c>
      <c r="D1096" t="s">
        <v>1041</v>
      </c>
      <c r="E1096" t="s">
        <v>3221</v>
      </c>
      <c r="F1096">
        <v>0</v>
      </c>
      <c r="G1096">
        <v>19365.580077999999</v>
      </c>
      <c r="H1096">
        <v>1061</v>
      </c>
      <c r="I1096">
        <v>1275</v>
      </c>
      <c r="J1096">
        <v>52176</v>
      </c>
      <c r="K1096" t="s">
        <v>2390</v>
      </c>
      <c r="L1096">
        <v>16</v>
      </c>
      <c r="M1096">
        <v>16</v>
      </c>
      <c r="N1096">
        <v>52176</v>
      </c>
      <c r="O1096">
        <v>1037</v>
      </c>
      <c r="P1096" t="s">
        <v>3214</v>
      </c>
      <c r="Q1096">
        <v>0.3</v>
      </c>
      <c r="R1096">
        <v>51.24</v>
      </c>
      <c r="S1096">
        <v>0.08</v>
      </c>
      <c r="T1096">
        <v>11</v>
      </c>
      <c r="U1096">
        <v>0</v>
      </c>
      <c r="V1096">
        <v>19365.580924000002</v>
      </c>
      <c r="W1096">
        <v>1095</v>
      </c>
      <c r="X1096">
        <v>0</v>
      </c>
      <c r="Y1096">
        <v>1094</v>
      </c>
      <c r="Z1096" t="s">
        <v>6966</v>
      </c>
      <c r="AA1096" t="s">
        <v>6966</v>
      </c>
      <c r="AB1096" t="s">
        <v>6966</v>
      </c>
      <c r="AC1096" t="s">
        <v>6966</v>
      </c>
      <c r="AD1096" t="s">
        <v>6966</v>
      </c>
      <c r="AE1096" t="s">
        <v>6966</v>
      </c>
      <c r="AF1096" t="s">
        <v>6966</v>
      </c>
      <c r="AG1096" t="s">
        <v>6966</v>
      </c>
      <c r="AH1096" t="s">
        <v>6966</v>
      </c>
      <c r="AI1096" t="s">
        <v>6966</v>
      </c>
      <c r="AJ1096" t="s">
        <v>6966</v>
      </c>
      <c r="AK1096" t="s">
        <v>6966</v>
      </c>
      <c r="AL1096" t="s">
        <v>6966</v>
      </c>
      <c r="AM1096" t="s">
        <v>6966</v>
      </c>
      <c r="AN1096" t="s">
        <v>6966</v>
      </c>
      <c r="AO1096" t="s">
        <v>6966</v>
      </c>
      <c r="AP1096" t="s">
        <v>6966</v>
      </c>
      <c r="AQ1096" t="s">
        <v>6966</v>
      </c>
      <c r="AR1096" t="s">
        <v>6966</v>
      </c>
      <c r="AS1096" t="s">
        <v>6966</v>
      </c>
      <c r="AT1096" t="s">
        <v>6966</v>
      </c>
      <c r="AU1096" t="s">
        <v>6966</v>
      </c>
      <c r="AV1096" t="s">
        <v>6966</v>
      </c>
      <c r="AW1096" t="s">
        <v>6966</v>
      </c>
      <c r="AX1096" t="s">
        <v>6966</v>
      </c>
      <c r="AY1096" t="s">
        <v>6966</v>
      </c>
      <c r="AZ1096">
        <v>0.18933</v>
      </c>
      <c r="BA1096">
        <v>1.6869999999999999E-3</v>
      </c>
    </row>
    <row r="1097" spans="1:53" x14ac:dyDescent="0.25">
      <c r="A1097">
        <v>1095</v>
      </c>
      <c r="B1097" t="s">
        <v>7625</v>
      </c>
      <c r="C1097">
        <v>501077</v>
      </c>
      <c r="D1097" t="s">
        <v>87</v>
      </c>
      <c r="E1097" t="s">
        <v>1808</v>
      </c>
      <c r="F1097">
        <v>9894.0947269999997</v>
      </c>
      <c r="G1097">
        <v>425.56793199999998</v>
      </c>
      <c r="H1097">
        <v>1062</v>
      </c>
      <c r="I1097">
        <v>1276</v>
      </c>
      <c r="J1097">
        <v>24006</v>
      </c>
      <c r="K1097" t="s">
        <v>87</v>
      </c>
      <c r="L1097">
        <v>5</v>
      </c>
      <c r="M1097">
        <v>5</v>
      </c>
      <c r="N1097">
        <v>24006</v>
      </c>
      <c r="O1097">
        <v>1038</v>
      </c>
      <c r="P1097" t="s">
        <v>3212</v>
      </c>
      <c r="Q1097">
        <v>0</v>
      </c>
      <c r="R1097">
        <v>0</v>
      </c>
      <c r="S1097">
        <v>0</v>
      </c>
      <c r="T1097">
        <v>0</v>
      </c>
      <c r="U1097">
        <v>9894.0955020000001</v>
      </c>
      <c r="V1097">
        <v>425.56793199999998</v>
      </c>
      <c r="W1097">
        <v>1096</v>
      </c>
      <c r="X1097">
        <v>0</v>
      </c>
      <c r="Y1097">
        <v>1095</v>
      </c>
      <c r="Z1097" t="s">
        <v>6966</v>
      </c>
      <c r="AA1097" t="s">
        <v>6966</v>
      </c>
      <c r="AB1097" t="s">
        <v>6966</v>
      </c>
      <c r="AC1097" t="s">
        <v>6966</v>
      </c>
      <c r="AD1097" t="s">
        <v>6966</v>
      </c>
      <c r="AE1097" t="s">
        <v>6966</v>
      </c>
      <c r="AF1097" t="s">
        <v>6966</v>
      </c>
      <c r="AG1097" t="s">
        <v>6966</v>
      </c>
      <c r="AH1097" t="s">
        <v>6966</v>
      </c>
      <c r="AI1097" t="s">
        <v>6966</v>
      </c>
      <c r="AJ1097" t="s">
        <v>6966</v>
      </c>
      <c r="AK1097" t="s">
        <v>6966</v>
      </c>
      <c r="AL1097" t="s">
        <v>6966</v>
      </c>
      <c r="AM1097" t="s">
        <v>6966</v>
      </c>
      <c r="AN1097" t="s">
        <v>6966</v>
      </c>
      <c r="AO1097" t="s">
        <v>6966</v>
      </c>
      <c r="AP1097" t="s">
        <v>6966</v>
      </c>
      <c r="AQ1097" t="s">
        <v>6966</v>
      </c>
      <c r="AR1097" t="s">
        <v>6966</v>
      </c>
      <c r="AS1097" t="s">
        <v>6966</v>
      </c>
      <c r="AT1097" t="s">
        <v>6966</v>
      </c>
      <c r="AU1097" t="s">
        <v>6966</v>
      </c>
      <c r="AV1097" t="s">
        <v>6966</v>
      </c>
      <c r="AW1097" t="s">
        <v>6966</v>
      </c>
      <c r="AX1097" t="s">
        <v>6966</v>
      </c>
      <c r="AY1097" t="s">
        <v>6966</v>
      </c>
      <c r="AZ1097">
        <v>4.2249999999999996E-3</v>
      </c>
      <c r="BA1097">
        <v>9.9999999999999995E-7</v>
      </c>
    </row>
    <row r="1098" spans="1:53" x14ac:dyDescent="0.25">
      <c r="A1098">
        <v>1096</v>
      </c>
      <c r="B1098" t="s">
        <v>7625</v>
      </c>
      <c r="C1098">
        <v>503068</v>
      </c>
      <c r="D1098" t="s">
        <v>251</v>
      </c>
      <c r="E1098" t="s">
        <v>3220</v>
      </c>
      <c r="F1098">
        <v>185712.453125</v>
      </c>
      <c r="G1098">
        <v>1938.12085</v>
      </c>
      <c r="H1098">
        <v>1063</v>
      </c>
      <c r="I1098">
        <v>1277</v>
      </c>
      <c r="J1098">
        <v>23454</v>
      </c>
      <c r="K1098" t="s">
        <v>1765</v>
      </c>
      <c r="L1098">
        <v>4</v>
      </c>
      <c r="M1098">
        <v>4</v>
      </c>
      <c r="N1098">
        <v>23454</v>
      </c>
      <c r="O1098">
        <v>1039</v>
      </c>
      <c r="P1098" t="s">
        <v>3212</v>
      </c>
      <c r="Q1098">
        <v>8.5</v>
      </c>
      <c r="R1098">
        <v>95.58</v>
      </c>
      <c r="S1098">
        <v>1.83</v>
      </c>
      <c r="T1098">
        <v>21</v>
      </c>
      <c r="U1098">
        <v>185712.510798</v>
      </c>
      <c r="V1098">
        <v>1938.120705</v>
      </c>
      <c r="W1098">
        <v>1097</v>
      </c>
      <c r="X1098">
        <v>0</v>
      </c>
      <c r="Y1098">
        <v>1096</v>
      </c>
      <c r="Z1098" t="s">
        <v>6966</v>
      </c>
      <c r="AA1098" t="s">
        <v>6966</v>
      </c>
      <c r="AB1098" t="s">
        <v>6966</v>
      </c>
      <c r="AC1098" t="s">
        <v>6966</v>
      </c>
      <c r="AD1098" t="s">
        <v>6966</v>
      </c>
      <c r="AE1098" t="s">
        <v>6966</v>
      </c>
      <c r="AF1098" t="s">
        <v>6966</v>
      </c>
      <c r="AG1098" t="s">
        <v>6966</v>
      </c>
      <c r="AH1098" t="s">
        <v>6966</v>
      </c>
      <c r="AI1098" t="s">
        <v>6966</v>
      </c>
      <c r="AJ1098" t="s">
        <v>6966</v>
      </c>
      <c r="AK1098" t="s">
        <v>6966</v>
      </c>
      <c r="AL1098" t="s">
        <v>6966</v>
      </c>
      <c r="AM1098" t="s">
        <v>6966</v>
      </c>
      <c r="AN1098" t="s">
        <v>6966</v>
      </c>
      <c r="AO1098" t="s">
        <v>6966</v>
      </c>
      <c r="AP1098" t="s">
        <v>6966</v>
      </c>
      <c r="AQ1098" t="s">
        <v>6966</v>
      </c>
      <c r="AR1098" t="s">
        <v>6966</v>
      </c>
      <c r="AS1098" t="s">
        <v>6966</v>
      </c>
      <c r="AT1098" t="s">
        <v>6966</v>
      </c>
      <c r="AU1098" t="s">
        <v>6966</v>
      </c>
      <c r="AV1098" t="s">
        <v>6966</v>
      </c>
      <c r="AW1098" t="s">
        <v>6966</v>
      </c>
      <c r="AX1098" t="s">
        <v>6966</v>
      </c>
      <c r="AY1098" t="s">
        <v>6966</v>
      </c>
      <c r="AZ1098">
        <v>1.9550000000000001E-2</v>
      </c>
      <c r="BA1098">
        <v>1.8E-5</v>
      </c>
    </row>
    <row r="1099" spans="1:53" x14ac:dyDescent="0.25">
      <c r="A1099">
        <v>1097</v>
      </c>
      <c r="B1099" t="s">
        <v>7625</v>
      </c>
      <c r="C1099">
        <v>503032</v>
      </c>
      <c r="D1099" t="s">
        <v>250</v>
      </c>
      <c r="E1099" t="s">
        <v>3220</v>
      </c>
      <c r="F1099">
        <v>1007715.5</v>
      </c>
      <c r="G1099">
        <v>6128.8618159999996</v>
      </c>
      <c r="H1099">
        <v>1064</v>
      </c>
      <c r="I1099">
        <v>1278</v>
      </c>
      <c r="J1099">
        <v>23453</v>
      </c>
      <c r="K1099" t="s">
        <v>1764</v>
      </c>
      <c r="L1099">
        <v>4</v>
      </c>
      <c r="M1099">
        <v>4</v>
      </c>
      <c r="N1099">
        <v>23453</v>
      </c>
      <c r="O1099">
        <v>1040</v>
      </c>
      <c r="P1099" t="s">
        <v>3212</v>
      </c>
      <c r="Q1099">
        <v>1.1000000000000001</v>
      </c>
      <c r="R1099">
        <v>23.47</v>
      </c>
      <c r="S1099">
        <v>0.68</v>
      </c>
      <c r="T1099">
        <v>14</v>
      </c>
      <c r="U1099">
        <v>1007715.3959</v>
      </c>
      <c r="V1099">
        <v>6128.8622230000001</v>
      </c>
      <c r="W1099">
        <v>1098</v>
      </c>
      <c r="X1099">
        <v>0</v>
      </c>
      <c r="Y1099">
        <v>1097</v>
      </c>
      <c r="Z1099" t="s">
        <v>6966</v>
      </c>
      <c r="AA1099" t="s">
        <v>6966</v>
      </c>
      <c r="AB1099" t="s">
        <v>6966</v>
      </c>
      <c r="AC1099" t="s">
        <v>6966</v>
      </c>
      <c r="AD1099" t="s">
        <v>6966</v>
      </c>
      <c r="AE1099" t="s">
        <v>6966</v>
      </c>
      <c r="AF1099" t="s">
        <v>6966</v>
      </c>
      <c r="AG1099" t="s">
        <v>6966</v>
      </c>
      <c r="AH1099" t="s">
        <v>6966</v>
      </c>
      <c r="AI1099" t="s">
        <v>6966</v>
      </c>
      <c r="AJ1099" t="s">
        <v>6966</v>
      </c>
      <c r="AK1099" t="s">
        <v>6966</v>
      </c>
      <c r="AL1099" t="s">
        <v>6966</v>
      </c>
      <c r="AM1099" t="s">
        <v>6966</v>
      </c>
      <c r="AN1099" t="s">
        <v>6966</v>
      </c>
      <c r="AO1099" t="s">
        <v>6966</v>
      </c>
      <c r="AP1099" t="s">
        <v>6966</v>
      </c>
      <c r="AQ1099" t="s">
        <v>6966</v>
      </c>
      <c r="AR1099" t="s">
        <v>6966</v>
      </c>
      <c r="AS1099" t="s">
        <v>6966</v>
      </c>
      <c r="AT1099" t="s">
        <v>6966</v>
      </c>
      <c r="AU1099" t="s">
        <v>6966</v>
      </c>
      <c r="AV1099" t="s">
        <v>6966</v>
      </c>
      <c r="AW1099" t="s">
        <v>6966</v>
      </c>
      <c r="AX1099" t="s">
        <v>6966</v>
      </c>
      <c r="AY1099" t="s">
        <v>6966</v>
      </c>
      <c r="AZ1099">
        <v>6.1254999999999997E-2</v>
      </c>
      <c r="BA1099">
        <v>9.7999999999999997E-5</v>
      </c>
    </row>
    <row r="1100" spans="1:53" x14ac:dyDescent="0.25">
      <c r="A1100">
        <v>1098</v>
      </c>
      <c r="B1100" t="s">
        <v>7625</v>
      </c>
      <c r="C1100">
        <v>501076</v>
      </c>
      <c r="D1100" t="s">
        <v>87</v>
      </c>
      <c r="E1100" t="s">
        <v>1808</v>
      </c>
      <c r="F1100">
        <v>227376.65625</v>
      </c>
      <c r="G1100">
        <v>2234.5795899999998</v>
      </c>
      <c r="H1100">
        <v>1065</v>
      </c>
      <c r="I1100">
        <v>1279</v>
      </c>
      <c r="J1100">
        <v>24007</v>
      </c>
      <c r="K1100" t="s">
        <v>87</v>
      </c>
      <c r="L1100">
        <v>5</v>
      </c>
      <c r="M1100">
        <v>5</v>
      </c>
      <c r="N1100">
        <v>24007</v>
      </c>
      <c r="O1100">
        <v>1041</v>
      </c>
      <c r="P1100" t="s">
        <v>3212</v>
      </c>
      <c r="Q1100">
        <v>0</v>
      </c>
      <c r="R1100">
        <v>0</v>
      </c>
      <c r="S1100">
        <v>0</v>
      </c>
      <c r="T1100">
        <v>0</v>
      </c>
      <c r="U1100">
        <v>227376.67909699999</v>
      </c>
      <c r="V1100">
        <v>2234.57978</v>
      </c>
      <c r="W1100">
        <v>1099</v>
      </c>
      <c r="X1100">
        <v>0</v>
      </c>
      <c r="Y1100">
        <v>1098</v>
      </c>
      <c r="Z1100" t="s">
        <v>6966</v>
      </c>
      <c r="AA1100" t="s">
        <v>6966</v>
      </c>
      <c r="AB1100" t="s">
        <v>6966</v>
      </c>
      <c r="AC1100" t="s">
        <v>6966</v>
      </c>
      <c r="AD1100" t="s">
        <v>6966</v>
      </c>
      <c r="AE1100" t="s">
        <v>6966</v>
      </c>
      <c r="AF1100" t="s">
        <v>6966</v>
      </c>
      <c r="AG1100" t="s">
        <v>6966</v>
      </c>
      <c r="AH1100" t="s">
        <v>6966</v>
      </c>
      <c r="AI1100" t="s">
        <v>6966</v>
      </c>
      <c r="AJ1100" t="s">
        <v>6966</v>
      </c>
      <c r="AK1100" t="s">
        <v>6966</v>
      </c>
      <c r="AL1100" t="s">
        <v>6966</v>
      </c>
      <c r="AM1100" t="s">
        <v>6966</v>
      </c>
      <c r="AN1100" t="s">
        <v>6966</v>
      </c>
      <c r="AO1100" t="s">
        <v>6966</v>
      </c>
      <c r="AP1100" t="s">
        <v>6966</v>
      </c>
      <c r="AQ1100" t="s">
        <v>6966</v>
      </c>
      <c r="AR1100" t="s">
        <v>6966</v>
      </c>
      <c r="AS1100" t="s">
        <v>6966</v>
      </c>
      <c r="AT1100" t="s">
        <v>6966</v>
      </c>
      <c r="AU1100" t="s">
        <v>6966</v>
      </c>
      <c r="AV1100" t="s">
        <v>6966</v>
      </c>
      <c r="AW1100" t="s">
        <v>6966</v>
      </c>
      <c r="AX1100" t="s">
        <v>6966</v>
      </c>
      <c r="AY1100" t="s">
        <v>6966</v>
      </c>
      <c r="AZ1100">
        <v>2.1991E-2</v>
      </c>
      <c r="BA1100">
        <v>2.1999999999999999E-5</v>
      </c>
    </row>
    <row r="1101" spans="1:53" x14ac:dyDescent="0.25">
      <c r="A1101">
        <v>1099</v>
      </c>
      <c r="B1101" t="s">
        <v>7625</v>
      </c>
      <c r="C1101">
        <v>501025</v>
      </c>
      <c r="D1101" t="s">
        <v>331</v>
      </c>
      <c r="E1101" t="s">
        <v>1808</v>
      </c>
      <c r="F1101">
        <v>2999821.75</v>
      </c>
      <c r="G1101">
        <v>9956.5458980000003</v>
      </c>
      <c r="H1101">
        <v>1066</v>
      </c>
      <c r="I1101">
        <v>1280</v>
      </c>
      <c r="J1101">
        <v>24369</v>
      </c>
      <c r="K1101" t="s">
        <v>7987</v>
      </c>
      <c r="L1101">
        <v>5</v>
      </c>
      <c r="M1101">
        <v>5</v>
      </c>
      <c r="N1101">
        <v>24369</v>
      </c>
      <c r="O1101">
        <v>1042</v>
      </c>
      <c r="P1101" t="s">
        <v>3212</v>
      </c>
      <c r="Q1101">
        <v>4.0999999999999996</v>
      </c>
      <c r="R1101">
        <v>29.27</v>
      </c>
      <c r="S1101">
        <v>1.22</v>
      </c>
      <c r="T1101">
        <v>9</v>
      </c>
      <c r="U1101">
        <v>2999821.8255599998</v>
      </c>
      <c r="V1101">
        <v>9956.5446479999991</v>
      </c>
      <c r="W1101">
        <v>1100</v>
      </c>
      <c r="X1101">
        <v>0</v>
      </c>
      <c r="Y1101">
        <v>1099</v>
      </c>
      <c r="Z1101" t="s">
        <v>6966</v>
      </c>
      <c r="AA1101" t="s">
        <v>6966</v>
      </c>
      <c r="AB1101" t="s">
        <v>6966</v>
      </c>
      <c r="AC1101" t="s">
        <v>6966</v>
      </c>
      <c r="AD1101" t="s">
        <v>6966</v>
      </c>
      <c r="AE1101" t="s">
        <v>6966</v>
      </c>
      <c r="AF1101" t="s">
        <v>6966</v>
      </c>
      <c r="AG1101" t="s">
        <v>6966</v>
      </c>
      <c r="AH1101" t="s">
        <v>6966</v>
      </c>
      <c r="AI1101" t="s">
        <v>6966</v>
      </c>
      <c r="AJ1101" t="s">
        <v>6966</v>
      </c>
      <c r="AK1101" t="s">
        <v>6966</v>
      </c>
      <c r="AL1101" t="s">
        <v>6966</v>
      </c>
      <c r="AM1101" t="s">
        <v>6966</v>
      </c>
      <c r="AN1101" t="s">
        <v>6966</v>
      </c>
      <c r="AO1101" t="s">
        <v>6966</v>
      </c>
      <c r="AP1101" t="s">
        <v>6966</v>
      </c>
      <c r="AQ1101" t="s">
        <v>6966</v>
      </c>
      <c r="AR1101" t="s">
        <v>6966</v>
      </c>
      <c r="AS1101" t="s">
        <v>6966</v>
      </c>
      <c r="AT1101" t="s">
        <v>6966</v>
      </c>
      <c r="AU1101" t="s">
        <v>6966</v>
      </c>
      <c r="AV1101" t="s">
        <v>6966</v>
      </c>
      <c r="AW1101" t="s">
        <v>6966</v>
      </c>
      <c r="AX1101" t="s">
        <v>6966</v>
      </c>
      <c r="AY1101" t="s">
        <v>6966</v>
      </c>
      <c r="AZ1101">
        <v>9.9020999999999998E-2</v>
      </c>
      <c r="BA1101">
        <v>2.92E-4</v>
      </c>
    </row>
    <row r="1102" spans="1:53" x14ac:dyDescent="0.25">
      <c r="A1102">
        <v>1100</v>
      </c>
      <c r="B1102" t="s">
        <v>7625</v>
      </c>
      <c r="C1102">
        <v>501009</v>
      </c>
      <c r="D1102" t="s">
        <v>327</v>
      </c>
      <c r="E1102" t="s">
        <v>1808</v>
      </c>
      <c r="F1102">
        <v>2736212.75</v>
      </c>
      <c r="G1102">
        <v>7999.4838870000003</v>
      </c>
      <c r="H1102">
        <v>1067</v>
      </c>
      <c r="I1102">
        <v>1281</v>
      </c>
      <c r="J1102">
        <v>24361</v>
      </c>
      <c r="K1102" t="s">
        <v>7988</v>
      </c>
      <c r="L1102">
        <v>5</v>
      </c>
      <c r="M1102">
        <v>5</v>
      </c>
      <c r="N1102">
        <v>24361</v>
      </c>
      <c r="O1102">
        <v>1043</v>
      </c>
      <c r="P1102" t="s">
        <v>3212</v>
      </c>
      <c r="Q1102">
        <v>0.2</v>
      </c>
      <c r="R1102">
        <v>3.63</v>
      </c>
      <c r="S1102">
        <v>0.14000000000000001</v>
      </c>
      <c r="T1102">
        <v>2</v>
      </c>
      <c r="U1102">
        <v>2736212.8777999999</v>
      </c>
      <c r="V1102">
        <v>7999.4841740000002</v>
      </c>
      <c r="W1102">
        <v>1101</v>
      </c>
      <c r="X1102">
        <v>0</v>
      </c>
      <c r="Y1102">
        <v>1100</v>
      </c>
      <c r="Z1102" t="s">
        <v>6966</v>
      </c>
      <c r="AA1102" t="s">
        <v>6966</v>
      </c>
      <c r="AB1102" t="s">
        <v>6966</v>
      </c>
      <c r="AC1102" t="s">
        <v>6966</v>
      </c>
      <c r="AD1102" t="s">
        <v>6966</v>
      </c>
      <c r="AE1102" t="s">
        <v>6966</v>
      </c>
      <c r="AF1102" t="s">
        <v>6966</v>
      </c>
      <c r="AG1102" t="s">
        <v>6966</v>
      </c>
      <c r="AH1102" t="s">
        <v>6966</v>
      </c>
      <c r="AI1102" t="s">
        <v>6966</v>
      </c>
      <c r="AJ1102" t="s">
        <v>6966</v>
      </c>
      <c r="AK1102" t="s">
        <v>6966</v>
      </c>
      <c r="AL1102" t="s">
        <v>6966</v>
      </c>
      <c r="AM1102" t="s">
        <v>6966</v>
      </c>
      <c r="AN1102" t="s">
        <v>6966</v>
      </c>
      <c r="AO1102" t="s">
        <v>6966</v>
      </c>
      <c r="AP1102" t="s">
        <v>6966</v>
      </c>
      <c r="AQ1102" t="s">
        <v>6966</v>
      </c>
      <c r="AR1102" t="s">
        <v>6966</v>
      </c>
      <c r="AS1102" t="s">
        <v>6966</v>
      </c>
      <c r="AT1102" t="s">
        <v>6966</v>
      </c>
      <c r="AU1102" t="s">
        <v>6966</v>
      </c>
      <c r="AV1102" t="s">
        <v>6966</v>
      </c>
      <c r="AW1102" t="s">
        <v>6966</v>
      </c>
      <c r="AX1102" t="s">
        <v>6966</v>
      </c>
      <c r="AY1102" t="s">
        <v>6966</v>
      </c>
      <c r="AZ1102">
        <v>7.8303999999999999E-2</v>
      </c>
      <c r="BA1102">
        <v>2.6600000000000001E-4</v>
      </c>
    </row>
    <row r="1103" spans="1:53" x14ac:dyDescent="0.25">
      <c r="A1103">
        <v>1101</v>
      </c>
      <c r="B1103" t="s">
        <v>7625</v>
      </c>
      <c r="C1103">
        <v>501080</v>
      </c>
      <c r="D1103" t="s">
        <v>87</v>
      </c>
      <c r="E1103" t="s">
        <v>1808</v>
      </c>
      <c r="F1103">
        <v>23256.931640999999</v>
      </c>
      <c r="G1103">
        <v>740.27294900000004</v>
      </c>
      <c r="H1103">
        <v>1068</v>
      </c>
      <c r="I1103">
        <v>1282</v>
      </c>
      <c r="J1103">
        <v>24008</v>
      </c>
      <c r="K1103" t="s">
        <v>87</v>
      </c>
      <c r="L1103">
        <v>5</v>
      </c>
      <c r="M1103">
        <v>5</v>
      </c>
      <c r="N1103">
        <v>24008</v>
      </c>
      <c r="O1103">
        <v>1044</v>
      </c>
      <c r="P1103" t="s">
        <v>3212</v>
      </c>
      <c r="Q1103">
        <v>0</v>
      </c>
      <c r="R1103">
        <v>0</v>
      </c>
      <c r="S1103">
        <v>0</v>
      </c>
      <c r="T1103">
        <v>0</v>
      </c>
      <c r="U1103">
        <v>23256.928038999999</v>
      </c>
      <c r="V1103">
        <v>740.272921</v>
      </c>
      <c r="W1103">
        <v>1102</v>
      </c>
      <c r="X1103">
        <v>0</v>
      </c>
      <c r="Y1103">
        <v>1101</v>
      </c>
      <c r="Z1103" t="s">
        <v>6966</v>
      </c>
      <c r="AA1103" t="s">
        <v>6966</v>
      </c>
      <c r="AB1103" t="s">
        <v>6966</v>
      </c>
      <c r="AC1103" t="s">
        <v>6966</v>
      </c>
      <c r="AD1103" t="s">
        <v>6966</v>
      </c>
      <c r="AE1103" t="s">
        <v>6966</v>
      </c>
      <c r="AF1103" t="s">
        <v>6966</v>
      </c>
      <c r="AG1103" t="s">
        <v>6966</v>
      </c>
      <c r="AH1103" t="s">
        <v>6966</v>
      </c>
      <c r="AI1103" t="s">
        <v>6966</v>
      </c>
      <c r="AJ1103" t="s">
        <v>6966</v>
      </c>
      <c r="AK1103" t="s">
        <v>6966</v>
      </c>
      <c r="AL1103" t="s">
        <v>6966</v>
      </c>
      <c r="AM1103" t="s">
        <v>6966</v>
      </c>
      <c r="AN1103" t="s">
        <v>6966</v>
      </c>
      <c r="AO1103" t="s">
        <v>6966</v>
      </c>
      <c r="AP1103" t="s">
        <v>6966</v>
      </c>
      <c r="AQ1103" t="s">
        <v>6966</v>
      </c>
      <c r="AR1103" t="s">
        <v>6966</v>
      </c>
      <c r="AS1103" t="s">
        <v>6966</v>
      </c>
      <c r="AT1103" t="s">
        <v>6966</v>
      </c>
      <c r="AU1103" t="s">
        <v>6966</v>
      </c>
      <c r="AV1103" t="s">
        <v>6966</v>
      </c>
      <c r="AW1103" t="s">
        <v>6966</v>
      </c>
      <c r="AX1103" t="s">
        <v>6966</v>
      </c>
      <c r="AY1103" t="s">
        <v>6966</v>
      </c>
      <c r="AZ1103">
        <v>7.1029999999999999E-3</v>
      </c>
      <c r="BA1103">
        <v>1.9999999999999999E-6</v>
      </c>
    </row>
    <row r="1104" spans="1:53" x14ac:dyDescent="0.25">
      <c r="A1104">
        <v>1102</v>
      </c>
      <c r="B1104" t="s">
        <v>7625</v>
      </c>
      <c r="C1104">
        <v>503107</v>
      </c>
      <c r="D1104" t="s">
        <v>87</v>
      </c>
      <c r="E1104" t="s">
        <v>3220</v>
      </c>
      <c r="F1104">
        <v>594663.1875</v>
      </c>
      <c r="G1104">
        <v>6789.1372069999998</v>
      </c>
      <c r="H1104">
        <v>1069</v>
      </c>
      <c r="I1104">
        <v>1283</v>
      </c>
      <c r="J1104">
        <v>23001</v>
      </c>
      <c r="K1104" t="s">
        <v>87</v>
      </c>
      <c r="L1104">
        <v>4</v>
      </c>
      <c r="M1104">
        <v>4</v>
      </c>
      <c r="N1104">
        <v>23001</v>
      </c>
      <c r="O1104">
        <v>1045</v>
      </c>
      <c r="P1104" t="s">
        <v>3212</v>
      </c>
      <c r="Q1104">
        <v>0</v>
      </c>
      <c r="R1104">
        <v>0</v>
      </c>
      <c r="S1104">
        <v>0</v>
      </c>
      <c r="T1104">
        <v>0</v>
      </c>
      <c r="U1104">
        <v>594663.07530300005</v>
      </c>
      <c r="V1104">
        <v>6789.1371239999999</v>
      </c>
      <c r="W1104">
        <v>1103</v>
      </c>
      <c r="X1104">
        <v>0</v>
      </c>
      <c r="Y1104">
        <v>1102</v>
      </c>
      <c r="Z1104" t="s">
        <v>6966</v>
      </c>
      <c r="AA1104" t="s">
        <v>6966</v>
      </c>
      <c r="AB1104" t="s">
        <v>6966</v>
      </c>
      <c r="AC1104" t="s">
        <v>6966</v>
      </c>
      <c r="AD1104" t="s">
        <v>6966</v>
      </c>
      <c r="AE1104" t="s">
        <v>6966</v>
      </c>
      <c r="AF1104" t="s">
        <v>6966</v>
      </c>
      <c r="AG1104" t="s">
        <v>6966</v>
      </c>
      <c r="AH1104" t="s">
        <v>6966</v>
      </c>
      <c r="AI1104" t="s">
        <v>6966</v>
      </c>
      <c r="AJ1104" t="s">
        <v>6966</v>
      </c>
      <c r="AK1104" t="s">
        <v>6966</v>
      </c>
      <c r="AL1104" t="s">
        <v>6966</v>
      </c>
      <c r="AM1104" t="s">
        <v>6966</v>
      </c>
      <c r="AN1104" t="s">
        <v>6966</v>
      </c>
      <c r="AO1104" t="s">
        <v>6966</v>
      </c>
      <c r="AP1104" t="s">
        <v>6966</v>
      </c>
      <c r="AQ1104" t="s">
        <v>6966</v>
      </c>
      <c r="AR1104" t="s">
        <v>6966</v>
      </c>
      <c r="AS1104" t="s">
        <v>6966</v>
      </c>
      <c r="AT1104" t="s">
        <v>6966</v>
      </c>
      <c r="AU1104" t="s">
        <v>6966</v>
      </c>
      <c r="AV1104" t="s">
        <v>6966</v>
      </c>
      <c r="AW1104" t="s">
        <v>6966</v>
      </c>
      <c r="AX1104" t="s">
        <v>6966</v>
      </c>
      <c r="AY1104" t="s">
        <v>6966</v>
      </c>
      <c r="AZ1104">
        <v>7.0970000000000005E-2</v>
      </c>
      <c r="BA1104">
        <v>5.8E-5</v>
      </c>
    </row>
    <row r="1105" spans="1:53" x14ac:dyDescent="0.25">
      <c r="A1105">
        <v>1103</v>
      </c>
      <c r="B1105" t="s">
        <v>7625</v>
      </c>
      <c r="C1105">
        <v>401014</v>
      </c>
      <c r="D1105" t="s">
        <v>7989</v>
      </c>
      <c r="E1105" t="s">
        <v>3221</v>
      </c>
      <c r="F1105">
        <v>4592377.5</v>
      </c>
      <c r="G1105">
        <v>9626.8603519999997</v>
      </c>
      <c r="H1105">
        <v>1070</v>
      </c>
      <c r="I1105">
        <v>1284</v>
      </c>
      <c r="J1105">
        <v>52271</v>
      </c>
      <c r="K1105" t="s">
        <v>2405</v>
      </c>
      <c r="L1105">
        <v>16</v>
      </c>
      <c r="M1105">
        <v>16</v>
      </c>
      <c r="N1105">
        <v>52271</v>
      </c>
      <c r="O1105">
        <v>1046</v>
      </c>
      <c r="P1105" t="s">
        <v>3214</v>
      </c>
      <c r="Q1105">
        <v>0.2</v>
      </c>
      <c r="R1105">
        <v>248.45</v>
      </c>
      <c r="S1105">
        <v>0.04</v>
      </c>
      <c r="T1105">
        <v>46</v>
      </c>
      <c r="U1105">
        <v>4592377.54507</v>
      </c>
      <c r="V1105">
        <v>9626.8604909999995</v>
      </c>
      <c r="W1105">
        <v>1104</v>
      </c>
      <c r="X1105">
        <v>0</v>
      </c>
      <c r="Y1105">
        <v>1103</v>
      </c>
      <c r="Z1105" t="s">
        <v>6966</v>
      </c>
      <c r="AA1105" t="s">
        <v>6966</v>
      </c>
      <c r="AB1105" t="s">
        <v>6966</v>
      </c>
      <c r="AC1105" t="s">
        <v>6966</v>
      </c>
      <c r="AD1105" t="s">
        <v>6966</v>
      </c>
      <c r="AE1105" t="s">
        <v>6966</v>
      </c>
      <c r="AF1105" t="s">
        <v>6966</v>
      </c>
      <c r="AG1105" t="s">
        <v>6966</v>
      </c>
      <c r="AH1105" t="s">
        <v>6966</v>
      </c>
      <c r="AI1105" t="s">
        <v>6966</v>
      </c>
      <c r="AJ1105" t="s">
        <v>6966</v>
      </c>
      <c r="AK1105" t="s">
        <v>6966</v>
      </c>
      <c r="AL1105" t="s">
        <v>6966</v>
      </c>
      <c r="AM1105" t="s">
        <v>6966</v>
      </c>
      <c r="AN1105" t="s">
        <v>6966</v>
      </c>
      <c r="AO1105" t="s">
        <v>6966</v>
      </c>
      <c r="AP1105" t="s">
        <v>6966</v>
      </c>
      <c r="AQ1105" t="s">
        <v>6966</v>
      </c>
      <c r="AR1105" t="s">
        <v>6966</v>
      </c>
      <c r="AS1105" t="s">
        <v>6966</v>
      </c>
      <c r="AT1105" t="s">
        <v>6966</v>
      </c>
      <c r="AU1105" t="s">
        <v>6966</v>
      </c>
      <c r="AV1105" t="s">
        <v>6966</v>
      </c>
      <c r="AW1105" t="s">
        <v>6966</v>
      </c>
      <c r="AX1105" t="s">
        <v>6966</v>
      </c>
      <c r="AY1105" t="s">
        <v>6966</v>
      </c>
      <c r="AZ1105">
        <v>9.4895999999999994E-2</v>
      </c>
      <c r="BA1105">
        <v>4.4700000000000002E-4</v>
      </c>
    </row>
    <row r="1106" spans="1:53" x14ac:dyDescent="0.25">
      <c r="A1106">
        <v>1104</v>
      </c>
      <c r="B1106" t="s">
        <v>7625</v>
      </c>
      <c r="C1106">
        <v>503066</v>
      </c>
      <c r="D1106" t="s">
        <v>252</v>
      </c>
      <c r="E1106" t="s">
        <v>3220</v>
      </c>
      <c r="F1106">
        <v>2775940.5</v>
      </c>
      <c r="G1106">
        <v>10753.974609000001</v>
      </c>
      <c r="H1106">
        <v>1071</v>
      </c>
      <c r="I1106">
        <v>1285</v>
      </c>
      <c r="J1106">
        <v>23455</v>
      </c>
      <c r="K1106" t="s">
        <v>1766</v>
      </c>
      <c r="L1106">
        <v>4</v>
      </c>
      <c r="M1106">
        <v>4</v>
      </c>
      <c r="N1106">
        <v>23455</v>
      </c>
      <c r="O1106">
        <v>1047</v>
      </c>
      <c r="P1106" t="s">
        <v>3212</v>
      </c>
      <c r="Q1106">
        <v>2.8</v>
      </c>
      <c r="R1106">
        <v>55.01</v>
      </c>
      <c r="S1106">
        <v>0.61</v>
      </c>
      <c r="T1106">
        <v>12</v>
      </c>
      <c r="U1106">
        <v>2775940.5208299998</v>
      </c>
      <c r="V1106">
        <v>10753.973512</v>
      </c>
      <c r="W1106">
        <v>1105</v>
      </c>
      <c r="X1106">
        <v>0</v>
      </c>
      <c r="Y1106">
        <v>1104</v>
      </c>
      <c r="Z1106" t="s">
        <v>6966</v>
      </c>
      <c r="AA1106" t="s">
        <v>6966</v>
      </c>
      <c r="AB1106" t="s">
        <v>6966</v>
      </c>
      <c r="AC1106" t="s">
        <v>6966</v>
      </c>
      <c r="AD1106" t="s">
        <v>6966</v>
      </c>
      <c r="AE1106" t="s">
        <v>6966</v>
      </c>
      <c r="AF1106" t="s">
        <v>6966</v>
      </c>
      <c r="AG1106" t="s">
        <v>6966</v>
      </c>
      <c r="AH1106" t="s">
        <v>6966</v>
      </c>
      <c r="AI1106" t="s">
        <v>6966</v>
      </c>
      <c r="AJ1106" t="s">
        <v>6966</v>
      </c>
      <c r="AK1106" t="s">
        <v>6966</v>
      </c>
      <c r="AL1106" t="s">
        <v>6966</v>
      </c>
      <c r="AM1106" t="s">
        <v>6966</v>
      </c>
      <c r="AN1106" t="s">
        <v>6966</v>
      </c>
      <c r="AO1106" t="s">
        <v>6966</v>
      </c>
      <c r="AP1106" t="s">
        <v>6966</v>
      </c>
      <c r="AQ1106" t="s">
        <v>6966</v>
      </c>
      <c r="AR1106" t="s">
        <v>6966</v>
      </c>
      <c r="AS1106" t="s">
        <v>6966</v>
      </c>
      <c r="AT1106" t="s">
        <v>6966</v>
      </c>
      <c r="AU1106" t="s">
        <v>6966</v>
      </c>
      <c r="AV1106" t="s">
        <v>6966</v>
      </c>
      <c r="AW1106" t="s">
        <v>6966</v>
      </c>
      <c r="AX1106" t="s">
        <v>6966</v>
      </c>
      <c r="AY1106" t="s">
        <v>6966</v>
      </c>
      <c r="AZ1106">
        <v>0.10949399999999999</v>
      </c>
      <c r="BA1106">
        <v>2.7E-4</v>
      </c>
    </row>
    <row r="1107" spans="1:53" x14ac:dyDescent="0.25">
      <c r="A1107">
        <v>1105</v>
      </c>
      <c r="B1107" t="s">
        <v>7625</v>
      </c>
      <c r="C1107">
        <v>501071</v>
      </c>
      <c r="D1107" t="s">
        <v>328</v>
      </c>
      <c r="E1107" t="s">
        <v>1808</v>
      </c>
      <c r="F1107">
        <v>1008173.75</v>
      </c>
      <c r="G1107">
        <v>6055.4916990000002</v>
      </c>
      <c r="H1107">
        <v>1072</v>
      </c>
      <c r="I1107">
        <v>1286</v>
      </c>
      <c r="J1107">
        <v>24363</v>
      </c>
      <c r="K1107" t="s">
        <v>328</v>
      </c>
      <c r="L1107">
        <v>5</v>
      </c>
      <c r="M1107">
        <v>5</v>
      </c>
      <c r="N1107">
        <v>24363</v>
      </c>
      <c r="O1107">
        <v>1048</v>
      </c>
      <c r="P1107" t="s">
        <v>3212</v>
      </c>
      <c r="Q1107">
        <v>0.1</v>
      </c>
      <c r="R1107">
        <v>0.88</v>
      </c>
      <c r="S1107">
        <v>0.14000000000000001</v>
      </c>
      <c r="T1107">
        <v>1</v>
      </c>
      <c r="U1107">
        <v>1008173.68513</v>
      </c>
      <c r="V1107">
        <v>6055.4915469999996</v>
      </c>
      <c r="W1107">
        <v>1106</v>
      </c>
      <c r="X1107">
        <v>0</v>
      </c>
      <c r="Y1107">
        <v>1105</v>
      </c>
      <c r="Z1107" t="s">
        <v>6966</v>
      </c>
      <c r="AA1107" t="s">
        <v>6966</v>
      </c>
      <c r="AB1107" t="s">
        <v>6966</v>
      </c>
      <c r="AC1107" t="s">
        <v>6966</v>
      </c>
      <c r="AD1107" t="s">
        <v>6966</v>
      </c>
      <c r="AE1107" t="s">
        <v>6966</v>
      </c>
      <c r="AF1107" t="s">
        <v>6966</v>
      </c>
      <c r="AG1107" t="s">
        <v>6966</v>
      </c>
      <c r="AH1107" t="s">
        <v>6966</v>
      </c>
      <c r="AI1107" t="s">
        <v>6966</v>
      </c>
      <c r="AJ1107" t="s">
        <v>6966</v>
      </c>
      <c r="AK1107" t="s">
        <v>6966</v>
      </c>
      <c r="AL1107" t="s">
        <v>6966</v>
      </c>
      <c r="AM1107" t="s">
        <v>6966</v>
      </c>
      <c r="AN1107" t="s">
        <v>6966</v>
      </c>
      <c r="AO1107" t="s">
        <v>6966</v>
      </c>
      <c r="AP1107" t="s">
        <v>6966</v>
      </c>
      <c r="AQ1107" t="s">
        <v>6966</v>
      </c>
      <c r="AR1107" t="s">
        <v>6966</v>
      </c>
      <c r="AS1107" t="s">
        <v>6966</v>
      </c>
      <c r="AT1107" t="s">
        <v>6966</v>
      </c>
      <c r="AU1107" t="s">
        <v>6966</v>
      </c>
      <c r="AV1107" t="s">
        <v>6966</v>
      </c>
      <c r="AW1107" t="s">
        <v>6966</v>
      </c>
      <c r="AX1107" t="s">
        <v>6966</v>
      </c>
      <c r="AY1107" t="s">
        <v>6966</v>
      </c>
      <c r="AZ1107">
        <v>5.9442000000000002E-2</v>
      </c>
      <c r="BA1107">
        <v>9.7999999999999997E-5</v>
      </c>
    </row>
    <row r="1108" spans="1:53" x14ac:dyDescent="0.25">
      <c r="A1108">
        <v>1106</v>
      </c>
      <c r="B1108" t="s">
        <v>7625</v>
      </c>
      <c r="C1108">
        <v>401044</v>
      </c>
      <c r="D1108" t="s">
        <v>87</v>
      </c>
      <c r="E1108" t="s">
        <v>3221</v>
      </c>
      <c r="F1108">
        <v>5382858.5</v>
      </c>
      <c r="G1108">
        <v>14521.094727</v>
      </c>
      <c r="H1108">
        <v>1073</v>
      </c>
      <c r="I1108">
        <v>1287</v>
      </c>
      <c r="J1108">
        <v>52001</v>
      </c>
      <c r="K1108" t="s">
        <v>87</v>
      </c>
      <c r="L1108">
        <v>16</v>
      </c>
      <c r="M1108">
        <v>16</v>
      </c>
      <c r="N1108">
        <v>52001</v>
      </c>
      <c r="O1108">
        <v>1049</v>
      </c>
      <c r="P1108" t="s">
        <v>3214</v>
      </c>
      <c r="Q1108">
        <v>0</v>
      </c>
      <c r="R1108">
        <v>0</v>
      </c>
      <c r="S1108">
        <v>0</v>
      </c>
      <c r="T1108">
        <v>0</v>
      </c>
      <c r="U1108">
        <v>5382858.3457399998</v>
      </c>
      <c r="V1108">
        <v>14521.095520999999</v>
      </c>
      <c r="W1108">
        <v>1107</v>
      </c>
      <c r="X1108">
        <v>0</v>
      </c>
      <c r="Y1108">
        <v>1106</v>
      </c>
      <c r="Z1108" t="s">
        <v>6966</v>
      </c>
      <c r="AA1108" t="s">
        <v>6966</v>
      </c>
      <c r="AB1108" t="s">
        <v>6966</v>
      </c>
      <c r="AC1108" t="s">
        <v>6966</v>
      </c>
      <c r="AD1108" t="s">
        <v>6966</v>
      </c>
      <c r="AE1108" t="s">
        <v>6966</v>
      </c>
      <c r="AF1108" t="s">
        <v>6966</v>
      </c>
      <c r="AG1108" t="s">
        <v>6966</v>
      </c>
      <c r="AH1108" t="s">
        <v>6966</v>
      </c>
      <c r="AI1108" t="s">
        <v>6966</v>
      </c>
      <c r="AJ1108" t="s">
        <v>6966</v>
      </c>
      <c r="AK1108" t="s">
        <v>6966</v>
      </c>
      <c r="AL1108" t="s">
        <v>6966</v>
      </c>
      <c r="AM1108" t="s">
        <v>6966</v>
      </c>
      <c r="AN1108" t="s">
        <v>6966</v>
      </c>
      <c r="AO1108" t="s">
        <v>6966</v>
      </c>
      <c r="AP1108" t="s">
        <v>6966</v>
      </c>
      <c r="AQ1108" t="s">
        <v>6966</v>
      </c>
      <c r="AR1108" t="s">
        <v>6966</v>
      </c>
      <c r="AS1108" t="s">
        <v>6966</v>
      </c>
      <c r="AT1108" t="s">
        <v>6966</v>
      </c>
      <c r="AU1108" t="s">
        <v>6966</v>
      </c>
      <c r="AV1108" t="s">
        <v>6966</v>
      </c>
      <c r="AW1108" t="s">
        <v>6966</v>
      </c>
      <c r="AX1108" t="s">
        <v>6966</v>
      </c>
      <c r="AY1108" t="s">
        <v>6966</v>
      </c>
      <c r="AZ1108">
        <v>0.14204800000000001</v>
      </c>
      <c r="BA1108">
        <v>5.2300000000000003E-4</v>
      </c>
    </row>
    <row r="1109" spans="1:53" x14ac:dyDescent="0.25">
      <c r="A1109">
        <v>1107</v>
      </c>
      <c r="B1109" t="s">
        <v>7625</v>
      </c>
      <c r="C1109">
        <v>401011</v>
      </c>
      <c r="D1109" t="s">
        <v>1039</v>
      </c>
      <c r="E1109" t="s">
        <v>3221</v>
      </c>
      <c r="F1109">
        <v>3892853</v>
      </c>
      <c r="G1109">
        <v>11276.311523</v>
      </c>
      <c r="H1109">
        <v>1109</v>
      </c>
      <c r="I1109">
        <v>1323</v>
      </c>
      <c r="J1109">
        <v>52166</v>
      </c>
      <c r="K1109" t="s">
        <v>2388</v>
      </c>
      <c r="L1109">
        <v>16</v>
      </c>
      <c r="M1109">
        <v>16</v>
      </c>
      <c r="N1109">
        <v>52166</v>
      </c>
      <c r="O1109">
        <v>1085</v>
      </c>
      <c r="P1109" t="s">
        <v>3214</v>
      </c>
      <c r="Q1109">
        <v>0.2</v>
      </c>
      <c r="R1109">
        <v>20.11</v>
      </c>
      <c r="S1109">
        <v>0.03</v>
      </c>
      <c r="T1109">
        <v>3</v>
      </c>
      <c r="U1109">
        <v>3892852.9416299998</v>
      </c>
      <c r="V1109">
        <v>11276.312446</v>
      </c>
      <c r="W1109">
        <v>1108</v>
      </c>
      <c r="X1109">
        <v>0</v>
      </c>
      <c r="Y1109">
        <v>1107</v>
      </c>
      <c r="Z1109" t="s">
        <v>6966</v>
      </c>
      <c r="AA1109" t="s">
        <v>6966</v>
      </c>
      <c r="AB1109" t="s">
        <v>6966</v>
      </c>
      <c r="AC1109" t="s">
        <v>6966</v>
      </c>
      <c r="AD1109" t="s">
        <v>6966</v>
      </c>
      <c r="AE1109" t="s">
        <v>6966</v>
      </c>
      <c r="AF1109" t="s">
        <v>6966</v>
      </c>
      <c r="AG1109" t="s">
        <v>6966</v>
      </c>
      <c r="AH1109" t="s">
        <v>6966</v>
      </c>
      <c r="AI1109" t="s">
        <v>6966</v>
      </c>
      <c r="AJ1109" t="s">
        <v>6966</v>
      </c>
      <c r="AK1109" t="s">
        <v>6966</v>
      </c>
      <c r="AL1109" t="s">
        <v>6966</v>
      </c>
      <c r="AM1109" t="s">
        <v>6966</v>
      </c>
      <c r="AN1109" t="s">
        <v>6966</v>
      </c>
      <c r="AO1109" t="s">
        <v>6966</v>
      </c>
      <c r="AP1109" t="s">
        <v>6966</v>
      </c>
      <c r="AQ1109" t="s">
        <v>6966</v>
      </c>
      <c r="AR1109" t="s">
        <v>6966</v>
      </c>
      <c r="AS1109" t="s">
        <v>6966</v>
      </c>
      <c r="AT1109" t="s">
        <v>6966</v>
      </c>
      <c r="AU1109" t="s">
        <v>6966</v>
      </c>
      <c r="AV1109" t="s">
        <v>6966</v>
      </c>
      <c r="AW1109" t="s">
        <v>6966</v>
      </c>
      <c r="AX1109" t="s">
        <v>6966</v>
      </c>
      <c r="AY1109" t="s">
        <v>6966</v>
      </c>
      <c r="AZ1109">
        <v>0.113427</v>
      </c>
      <c r="BA1109">
        <v>3.7800000000000003E-4</v>
      </c>
    </row>
    <row r="1110" spans="1:53" x14ac:dyDescent="0.25">
      <c r="A1110">
        <v>1108</v>
      </c>
      <c r="B1110" t="s">
        <v>7625</v>
      </c>
      <c r="C1110">
        <v>401009</v>
      </c>
      <c r="D1110" t="s">
        <v>7990</v>
      </c>
      <c r="E1110" t="s">
        <v>3221</v>
      </c>
      <c r="F1110">
        <v>7998967</v>
      </c>
      <c r="G1110">
        <v>11186.018555000001</v>
      </c>
      <c r="H1110">
        <v>1110</v>
      </c>
      <c r="I1110">
        <v>1324</v>
      </c>
      <c r="J1110">
        <v>52251</v>
      </c>
      <c r="K1110" t="s">
        <v>7990</v>
      </c>
      <c r="L1110">
        <v>16</v>
      </c>
      <c r="M1110">
        <v>16</v>
      </c>
      <c r="N1110">
        <v>52251</v>
      </c>
      <c r="O1110">
        <v>1086</v>
      </c>
      <c r="P1110" t="s">
        <v>3214</v>
      </c>
      <c r="Q1110">
        <v>0.6</v>
      </c>
      <c r="R1110">
        <v>67.72</v>
      </c>
      <c r="S1110">
        <v>0.13</v>
      </c>
      <c r="T1110">
        <v>15</v>
      </c>
      <c r="U1110">
        <v>7998966.7708400004</v>
      </c>
      <c r="V1110">
        <v>11186.018101</v>
      </c>
      <c r="W1110">
        <v>1109</v>
      </c>
      <c r="X1110">
        <v>0</v>
      </c>
      <c r="Y1110">
        <v>1108</v>
      </c>
      <c r="Z1110" t="s">
        <v>6966</v>
      </c>
      <c r="AA1110" t="s">
        <v>6966</v>
      </c>
      <c r="AB1110" t="s">
        <v>6966</v>
      </c>
      <c r="AC1110" t="s">
        <v>6966</v>
      </c>
      <c r="AD1110" t="s">
        <v>6966</v>
      </c>
      <c r="AE1110" t="s">
        <v>6966</v>
      </c>
      <c r="AF1110" t="s">
        <v>6966</v>
      </c>
      <c r="AG1110" t="s">
        <v>6966</v>
      </c>
      <c r="AH1110" t="s">
        <v>6966</v>
      </c>
      <c r="AI1110" t="s">
        <v>6966</v>
      </c>
      <c r="AJ1110" t="s">
        <v>6966</v>
      </c>
      <c r="AK1110" t="s">
        <v>6966</v>
      </c>
      <c r="AL1110" t="s">
        <v>6966</v>
      </c>
      <c r="AM1110" t="s">
        <v>6966</v>
      </c>
      <c r="AN1110" t="s">
        <v>6966</v>
      </c>
      <c r="AO1110" t="s">
        <v>6966</v>
      </c>
      <c r="AP1110" t="s">
        <v>6966</v>
      </c>
      <c r="AQ1110" t="s">
        <v>6966</v>
      </c>
      <c r="AR1110" t="s">
        <v>6966</v>
      </c>
      <c r="AS1110" t="s">
        <v>6966</v>
      </c>
      <c r="AT1110" t="s">
        <v>6966</v>
      </c>
      <c r="AU1110" t="s">
        <v>6966</v>
      </c>
      <c r="AV1110" t="s">
        <v>6966</v>
      </c>
      <c r="AW1110" t="s">
        <v>6966</v>
      </c>
      <c r="AX1110" t="s">
        <v>6966</v>
      </c>
      <c r="AY1110" t="s">
        <v>6966</v>
      </c>
      <c r="AZ1110">
        <v>0.109915</v>
      </c>
      <c r="BA1110">
        <v>7.7800000000000005E-4</v>
      </c>
    </row>
    <row r="1111" spans="1:53" x14ac:dyDescent="0.25">
      <c r="A1111">
        <v>1109</v>
      </c>
      <c r="B1111" t="s">
        <v>7625</v>
      </c>
      <c r="C1111">
        <v>503043</v>
      </c>
      <c r="D1111" t="s">
        <v>7991</v>
      </c>
      <c r="E1111" t="s">
        <v>3220</v>
      </c>
      <c r="F1111">
        <v>0</v>
      </c>
      <c r="G1111">
        <v>30357.503906000002</v>
      </c>
      <c r="H1111">
        <v>1111</v>
      </c>
      <c r="I1111">
        <v>1325</v>
      </c>
      <c r="J1111">
        <v>23259</v>
      </c>
      <c r="K1111" t="s">
        <v>1726</v>
      </c>
      <c r="L1111">
        <v>4</v>
      </c>
      <c r="M1111">
        <v>4</v>
      </c>
      <c r="N1111">
        <v>23259</v>
      </c>
      <c r="O1111">
        <v>1087</v>
      </c>
      <c r="P1111" t="s">
        <v>3212</v>
      </c>
      <c r="Q1111">
        <v>0.3</v>
      </c>
      <c r="R1111">
        <v>39.86</v>
      </c>
      <c r="S1111">
        <v>0.59</v>
      </c>
      <c r="T1111">
        <v>77</v>
      </c>
      <c r="U1111">
        <v>0</v>
      </c>
      <c r="V1111">
        <v>30357.503433000002</v>
      </c>
      <c r="W1111">
        <v>1110</v>
      </c>
      <c r="X1111">
        <v>0</v>
      </c>
      <c r="Y1111">
        <v>1109</v>
      </c>
      <c r="Z1111" t="s">
        <v>6966</v>
      </c>
      <c r="AA1111" t="s">
        <v>6966</v>
      </c>
      <c r="AB1111" t="s">
        <v>6966</v>
      </c>
      <c r="AC1111" t="s">
        <v>6966</v>
      </c>
      <c r="AD1111" t="s">
        <v>6966</v>
      </c>
      <c r="AE1111" t="s">
        <v>6966</v>
      </c>
      <c r="AF1111" t="s">
        <v>6966</v>
      </c>
      <c r="AG1111" t="s">
        <v>6966</v>
      </c>
      <c r="AH1111" t="s">
        <v>6966</v>
      </c>
      <c r="AI1111" t="s">
        <v>6966</v>
      </c>
      <c r="AJ1111" t="s">
        <v>6966</v>
      </c>
      <c r="AK1111" t="s">
        <v>6966</v>
      </c>
      <c r="AL1111" t="s">
        <v>6966</v>
      </c>
      <c r="AM1111" t="s">
        <v>6966</v>
      </c>
      <c r="AN1111" t="s">
        <v>6966</v>
      </c>
      <c r="AO1111" t="s">
        <v>6966</v>
      </c>
      <c r="AP1111" t="s">
        <v>6966</v>
      </c>
      <c r="AQ1111" t="s">
        <v>6966</v>
      </c>
      <c r="AR1111" t="s">
        <v>6966</v>
      </c>
      <c r="AS1111" t="s">
        <v>6966</v>
      </c>
      <c r="AT1111" t="s">
        <v>6966</v>
      </c>
      <c r="AU1111" t="s">
        <v>6966</v>
      </c>
      <c r="AV1111" t="s">
        <v>6966</v>
      </c>
      <c r="AW1111" t="s">
        <v>6966</v>
      </c>
      <c r="AX1111" t="s">
        <v>6966</v>
      </c>
      <c r="AY1111" t="s">
        <v>6966</v>
      </c>
      <c r="AZ1111">
        <v>0.30286200000000002</v>
      </c>
      <c r="BA1111">
        <v>1.614E-3</v>
      </c>
    </row>
    <row r="1112" spans="1:53" x14ac:dyDescent="0.25">
      <c r="A1112">
        <v>1110</v>
      </c>
      <c r="B1112" t="s">
        <v>7625</v>
      </c>
      <c r="C1112">
        <v>503073</v>
      </c>
      <c r="D1112" t="s">
        <v>233</v>
      </c>
      <c r="E1112" t="s">
        <v>3220</v>
      </c>
      <c r="F1112">
        <v>3365029.75</v>
      </c>
      <c r="G1112">
        <v>8902.3476559999999</v>
      </c>
      <c r="H1112">
        <v>1112</v>
      </c>
      <c r="I1112">
        <v>1326</v>
      </c>
      <c r="J1112">
        <v>23421</v>
      </c>
      <c r="K1112" t="s">
        <v>1750</v>
      </c>
      <c r="L1112">
        <v>4</v>
      </c>
      <c r="M1112">
        <v>4</v>
      </c>
      <c r="N1112">
        <v>23421</v>
      </c>
      <c r="O1112">
        <v>1088</v>
      </c>
      <c r="P1112" t="s">
        <v>3212</v>
      </c>
      <c r="Q1112">
        <v>2.7</v>
      </c>
      <c r="R1112">
        <v>46.02</v>
      </c>
      <c r="S1112">
        <v>0.59</v>
      </c>
      <c r="T1112">
        <v>10</v>
      </c>
      <c r="U1112">
        <v>3365029.83183</v>
      </c>
      <c r="V1112">
        <v>8902.3474860000006</v>
      </c>
      <c r="W1112">
        <v>1111</v>
      </c>
      <c r="X1112">
        <v>0</v>
      </c>
      <c r="Y1112">
        <v>1110</v>
      </c>
      <c r="Z1112" t="s">
        <v>6966</v>
      </c>
      <c r="AA1112" t="s">
        <v>6966</v>
      </c>
      <c r="AB1112" t="s">
        <v>6966</v>
      </c>
      <c r="AC1112" t="s">
        <v>6966</v>
      </c>
      <c r="AD1112" t="s">
        <v>6966</v>
      </c>
      <c r="AE1112" t="s">
        <v>6966</v>
      </c>
      <c r="AF1112" t="s">
        <v>6966</v>
      </c>
      <c r="AG1112" t="s">
        <v>6966</v>
      </c>
      <c r="AH1112" t="s">
        <v>6966</v>
      </c>
      <c r="AI1112" t="s">
        <v>6966</v>
      </c>
      <c r="AJ1112" t="s">
        <v>6966</v>
      </c>
      <c r="AK1112" t="s">
        <v>6966</v>
      </c>
      <c r="AL1112" t="s">
        <v>6966</v>
      </c>
      <c r="AM1112" t="s">
        <v>6966</v>
      </c>
      <c r="AN1112" t="s">
        <v>6966</v>
      </c>
      <c r="AO1112" t="s">
        <v>6966</v>
      </c>
      <c r="AP1112" t="s">
        <v>6966</v>
      </c>
      <c r="AQ1112" t="s">
        <v>6966</v>
      </c>
      <c r="AR1112" t="s">
        <v>6966</v>
      </c>
      <c r="AS1112" t="s">
        <v>6966</v>
      </c>
      <c r="AT1112" t="s">
        <v>6966</v>
      </c>
      <c r="AU1112" t="s">
        <v>6966</v>
      </c>
      <c r="AV1112" t="s">
        <v>6966</v>
      </c>
      <c r="AW1112" t="s">
        <v>6966</v>
      </c>
      <c r="AX1112" t="s">
        <v>6966</v>
      </c>
      <c r="AY1112" t="s">
        <v>6966</v>
      </c>
      <c r="AZ1112">
        <v>8.8644000000000001E-2</v>
      </c>
      <c r="BA1112">
        <v>3.2699999999999998E-4</v>
      </c>
    </row>
    <row r="1113" spans="1:53" x14ac:dyDescent="0.25">
      <c r="A1113">
        <v>1111</v>
      </c>
      <c r="B1113" t="s">
        <v>7625</v>
      </c>
      <c r="C1113">
        <v>503044</v>
      </c>
      <c r="D1113" t="s">
        <v>247</v>
      </c>
      <c r="E1113" t="s">
        <v>3220</v>
      </c>
      <c r="F1113">
        <v>3572712.75</v>
      </c>
      <c r="G1113">
        <v>11479.165039</v>
      </c>
      <c r="H1113">
        <v>1113</v>
      </c>
      <c r="I1113">
        <v>1327</v>
      </c>
      <c r="J1113">
        <v>23447</v>
      </c>
      <c r="K1113" t="s">
        <v>1761</v>
      </c>
      <c r="L1113">
        <v>4</v>
      </c>
      <c r="M1113">
        <v>4</v>
      </c>
      <c r="N1113">
        <v>23447</v>
      </c>
      <c r="O1113">
        <v>1089</v>
      </c>
      <c r="P1113" t="s">
        <v>3212</v>
      </c>
      <c r="Q1113">
        <v>4.0999999999999996</v>
      </c>
      <c r="R1113">
        <v>32.53</v>
      </c>
      <c r="S1113">
        <v>1.08</v>
      </c>
      <c r="T1113">
        <v>9</v>
      </c>
      <c r="U1113">
        <v>3572712.7636500001</v>
      </c>
      <c r="V1113">
        <v>11479.164825</v>
      </c>
      <c r="W1113">
        <v>1112</v>
      </c>
      <c r="X1113">
        <v>0</v>
      </c>
      <c r="Y1113">
        <v>1111</v>
      </c>
      <c r="Z1113" t="s">
        <v>6966</v>
      </c>
      <c r="AA1113" t="s">
        <v>6966</v>
      </c>
      <c r="AB1113" t="s">
        <v>6966</v>
      </c>
      <c r="AC1113" t="s">
        <v>6966</v>
      </c>
      <c r="AD1113" t="s">
        <v>6966</v>
      </c>
      <c r="AE1113" t="s">
        <v>6966</v>
      </c>
      <c r="AF1113" t="s">
        <v>6966</v>
      </c>
      <c r="AG1113" t="s">
        <v>6966</v>
      </c>
      <c r="AH1113" t="s">
        <v>6966</v>
      </c>
      <c r="AI1113" t="s">
        <v>6966</v>
      </c>
      <c r="AJ1113" t="s">
        <v>6966</v>
      </c>
      <c r="AK1113" t="s">
        <v>6966</v>
      </c>
      <c r="AL1113" t="s">
        <v>6966</v>
      </c>
      <c r="AM1113" t="s">
        <v>6966</v>
      </c>
      <c r="AN1113" t="s">
        <v>6966</v>
      </c>
      <c r="AO1113" t="s">
        <v>6966</v>
      </c>
      <c r="AP1113" t="s">
        <v>6966</v>
      </c>
      <c r="AQ1113" t="s">
        <v>6966</v>
      </c>
      <c r="AR1113" t="s">
        <v>6966</v>
      </c>
      <c r="AS1113" t="s">
        <v>6966</v>
      </c>
      <c r="AT1113" t="s">
        <v>6966</v>
      </c>
      <c r="AU1113" t="s">
        <v>6966</v>
      </c>
      <c r="AV1113" t="s">
        <v>6966</v>
      </c>
      <c r="AW1113" t="s">
        <v>6966</v>
      </c>
      <c r="AX1113" t="s">
        <v>6966</v>
      </c>
      <c r="AY1113" t="s">
        <v>6966</v>
      </c>
      <c r="AZ1113">
        <v>0.11500199999999999</v>
      </c>
      <c r="BA1113">
        <v>3.4699999999999998E-4</v>
      </c>
    </row>
    <row r="1114" spans="1:53" x14ac:dyDescent="0.25">
      <c r="A1114">
        <v>1112</v>
      </c>
      <c r="B1114" t="s">
        <v>7625</v>
      </c>
      <c r="C1114">
        <v>503019</v>
      </c>
      <c r="D1114" t="s">
        <v>228</v>
      </c>
      <c r="E1114" t="s">
        <v>3220</v>
      </c>
      <c r="F1114">
        <v>2444177.25</v>
      </c>
      <c r="G1114">
        <v>11281.794921999999</v>
      </c>
      <c r="H1114">
        <v>1114</v>
      </c>
      <c r="I1114">
        <v>1328</v>
      </c>
      <c r="J1114">
        <v>23411</v>
      </c>
      <c r="K1114" t="s">
        <v>1745</v>
      </c>
      <c r="L1114">
        <v>4</v>
      </c>
      <c r="M1114">
        <v>4</v>
      </c>
      <c r="N1114">
        <v>23411</v>
      </c>
      <c r="O1114">
        <v>1090</v>
      </c>
      <c r="P1114" t="s">
        <v>3212</v>
      </c>
      <c r="Q1114">
        <v>0.7</v>
      </c>
      <c r="R1114">
        <v>3.95</v>
      </c>
      <c r="S1114">
        <v>0.59</v>
      </c>
      <c r="T1114">
        <v>5</v>
      </c>
      <c r="U1114">
        <v>2444177.27764</v>
      </c>
      <c r="V1114">
        <v>11281.793879000001</v>
      </c>
      <c r="W1114">
        <v>1113</v>
      </c>
      <c r="X1114">
        <v>1</v>
      </c>
      <c r="Y1114">
        <v>1112</v>
      </c>
      <c r="Z1114">
        <v>70142</v>
      </c>
      <c r="AA1114" s="76">
        <v>45909</v>
      </c>
      <c r="AB1114">
        <v>2025</v>
      </c>
      <c r="AC1114" t="s">
        <v>7433</v>
      </c>
      <c r="AD1114">
        <v>9</v>
      </c>
      <c r="AE1114" t="s">
        <v>7447</v>
      </c>
      <c r="AF1114" t="s">
        <v>3212</v>
      </c>
      <c r="AG1114" t="s">
        <v>3220</v>
      </c>
      <c r="AH1114" t="s">
        <v>228</v>
      </c>
      <c r="AI1114" t="s">
        <v>7448</v>
      </c>
      <c r="AJ1114" t="s">
        <v>6966</v>
      </c>
      <c r="AK1114">
        <v>33.694670000000002</v>
      </c>
      <c r="AL1114">
        <v>35.581659999999999</v>
      </c>
      <c r="AM1114" t="s">
        <v>6995</v>
      </c>
      <c r="AN1114" t="s">
        <v>6966</v>
      </c>
      <c r="AO1114" t="s">
        <v>6996</v>
      </c>
      <c r="AP1114" t="s">
        <v>7449</v>
      </c>
      <c r="AQ1114" t="s">
        <v>6998</v>
      </c>
      <c r="AR1114" t="s">
        <v>6999</v>
      </c>
      <c r="AS1114" t="s">
        <v>7000</v>
      </c>
      <c r="AT1114">
        <v>0</v>
      </c>
      <c r="AU1114">
        <v>0</v>
      </c>
      <c r="AV1114" t="s">
        <v>7450</v>
      </c>
      <c r="AW1114" t="s">
        <v>7043</v>
      </c>
      <c r="AX1114" t="s">
        <v>6966</v>
      </c>
      <c r="AY1114" t="s">
        <v>7003</v>
      </c>
      <c r="AZ1114">
        <v>0.111688</v>
      </c>
      <c r="BA1114">
        <v>2.3800000000000001E-4</v>
      </c>
    </row>
    <row r="1115" spans="1:53" x14ac:dyDescent="0.25">
      <c r="A1115">
        <v>1113</v>
      </c>
      <c r="B1115" t="s">
        <v>7625</v>
      </c>
      <c r="C1115">
        <v>401004</v>
      </c>
      <c r="D1115" t="s">
        <v>1038</v>
      </c>
      <c r="E1115" t="s">
        <v>3221</v>
      </c>
      <c r="F1115">
        <v>0</v>
      </c>
      <c r="G1115">
        <v>24665.035156000002</v>
      </c>
      <c r="H1115">
        <v>1115</v>
      </c>
      <c r="I1115">
        <v>1329</v>
      </c>
      <c r="J1115">
        <v>52161</v>
      </c>
      <c r="K1115" t="s">
        <v>2387</v>
      </c>
      <c r="L1115">
        <v>16</v>
      </c>
      <c r="M1115">
        <v>16</v>
      </c>
      <c r="N1115">
        <v>52161</v>
      </c>
      <c r="O1115">
        <v>1091</v>
      </c>
      <c r="P1115" t="s">
        <v>3214</v>
      </c>
      <c r="Q1115">
        <v>0.7</v>
      </c>
      <c r="R1115">
        <v>31.17</v>
      </c>
      <c r="S1115">
        <v>0.14000000000000001</v>
      </c>
      <c r="T1115">
        <v>6</v>
      </c>
      <c r="U1115">
        <v>0</v>
      </c>
      <c r="V1115">
        <v>24665.035488000001</v>
      </c>
      <c r="W1115">
        <v>1114</v>
      </c>
      <c r="X1115">
        <v>0</v>
      </c>
      <c r="Y1115">
        <v>1113</v>
      </c>
      <c r="Z1115" t="s">
        <v>6966</v>
      </c>
      <c r="AA1115" t="s">
        <v>6966</v>
      </c>
      <c r="AB1115" t="s">
        <v>6966</v>
      </c>
      <c r="AC1115" t="s">
        <v>6966</v>
      </c>
      <c r="AD1115" t="s">
        <v>6966</v>
      </c>
      <c r="AE1115" t="s">
        <v>6966</v>
      </c>
      <c r="AF1115" t="s">
        <v>6966</v>
      </c>
      <c r="AG1115" t="s">
        <v>6966</v>
      </c>
      <c r="AH1115" t="s">
        <v>6966</v>
      </c>
      <c r="AI1115" t="s">
        <v>6966</v>
      </c>
      <c r="AJ1115" t="s">
        <v>6966</v>
      </c>
      <c r="AK1115" t="s">
        <v>6966</v>
      </c>
      <c r="AL1115" t="s">
        <v>6966</v>
      </c>
      <c r="AM1115" t="s">
        <v>6966</v>
      </c>
      <c r="AN1115" t="s">
        <v>6966</v>
      </c>
      <c r="AO1115" t="s">
        <v>6966</v>
      </c>
      <c r="AP1115" t="s">
        <v>6966</v>
      </c>
      <c r="AQ1115" t="s">
        <v>6966</v>
      </c>
      <c r="AR1115" t="s">
        <v>6966</v>
      </c>
      <c r="AS1115" t="s">
        <v>6966</v>
      </c>
      <c r="AT1115" t="s">
        <v>6966</v>
      </c>
      <c r="AU1115" t="s">
        <v>6966</v>
      </c>
      <c r="AV1115" t="s">
        <v>6966</v>
      </c>
      <c r="AW1115" t="s">
        <v>6966</v>
      </c>
      <c r="AX1115" t="s">
        <v>6966</v>
      </c>
      <c r="AY1115" t="s">
        <v>6966</v>
      </c>
      <c r="AZ1115">
        <v>0.24531700000000001</v>
      </c>
      <c r="BA1115">
        <v>1.4519999999999999E-3</v>
      </c>
    </row>
    <row r="1116" spans="1:53" x14ac:dyDescent="0.25">
      <c r="A1116">
        <v>1114</v>
      </c>
      <c r="B1116" t="s">
        <v>7625</v>
      </c>
      <c r="C1116">
        <v>401019</v>
      </c>
      <c r="D1116" t="s">
        <v>1050</v>
      </c>
      <c r="E1116" t="s">
        <v>3221</v>
      </c>
      <c r="F1116">
        <v>9163841</v>
      </c>
      <c r="G1116">
        <v>16713.322265999999</v>
      </c>
      <c r="H1116">
        <v>1116</v>
      </c>
      <c r="I1116">
        <v>1330</v>
      </c>
      <c r="J1116">
        <v>52234</v>
      </c>
      <c r="K1116" t="s">
        <v>2397</v>
      </c>
      <c r="L1116">
        <v>16</v>
      </c>
      <c r="M1116">
        <v>16</v>
      </c>
      <c r="N1116">
        <v>52234</v>
      </c>
      <c r="O1116">
        <v>1092</v>
      </c>
      <c r="P1116" t="s">
        <v>3214</v>
      </c>
      <c r="Q1116">
        <v>0.5</v>
      </c>
      <c r="R1116">
        <v>36.979999999999997</v>
      </c>
      <c r="S1116">
        <v>0.09</v>
      </c>
      <c r="T1116">
        <v>7</v>
      </c>
      <c r="U1116">
        <v>9163841.0972300004</v>
      </c>
      <c r="V1116">
        <v>16713.321958</v>
      </c>
      <c r="W1116">
        <v>1115</v>
      </c>
      <c r="X1116">
        <v>0</v>
      </c>
      <c r="Y1116">
        <v>1114</v>
      </c>
      <c r="Z1116" t="s">
        <v>6966</v>
      </c>
      <c r="AA1116" t="s">
        <v>6966</v>
      </c>
      <c r="AB1116" t="s">
        <v>6966</v>
      </c>
      <c r="AC1116" t="s">
        <v>6966</v>
      </c>
      <c r="AD1116" t="s">
        <v>6966</v>
      </c>
      <c r="AE1116" t="s">
        <v>6966</v>
      </c>
      <c r="AF1116" t="s">
        <v>6966</v>
      </c>
      <c r="AG1116" t="s">
        <v>6966</v>
      </c>
      <c r="AH1116" t="s">
        <v>6966</v>
      </c>
      <c r="AI1116" t="s">
        <v>6966</v>
      </c>
      <c r="AJ1116" t="s">
        <v>6966</v>
      </c>
      <c r="AK1116" t="s">
        <v>6966</v>
      </c>
      <c r="AL1116" t="s">
        <v>6966</v>
      </c>
      <c r="AM1116" t="s">
        <v>6966</v>
      </c>
      <c r="AN1116" t="s">
        <v>6966</v>
      </c>
      <c r="AO1116" t="s">
        <v>6966</v>
      </c>
      <c r="AP1116" t="s">
        <v>6966</v>
      </c>
      <c r="AQ1116" t="s">
        <v>6966</v>
      </c>
      <c r="AR1116" t="s">
        <v>6966</v>
      </c>
      <c r="AS1116" t="s">
        <v>6966</v>
      </c>
      <c r="AT1116" t="s">
        <v>6966</v>
      </c>
      <c r="AU1116" t="s">
        <v>6966</v>
      </c>
      <c r="AV1116" t="s">
        <v>6966</v>
      </c>
      <c r="AW1116" t="s">
        <v>6966</v>
      </c>
      <c r="AX1116" t="s">
        <v>6966</v>
      </c>
      <c r="AY1116" t="s">
        <v>6966</v>
      </c>
      <c r="AZ1116">
        <v>0.168207</v>
      </c>
      <c r="BA1116">
        <v>8.9099999999999997E-4</v>
      </c>
    </row>
    <row r="1117" spans="1:53" x14ac:dyDescent="0.25">
      <c r="A1117">
        <v>1115</v>
      </c>
      <c r="B1117" t="s">
        <v>7625</v>
      </c>
      <c r="C1117">
        <v>503084</v>
      </c>
      <c r="D1117" t="s">
        <v>255</v>
      </c>
      <c r="E1117" t="s">
        <v>3220</v>
      </c>
      <c r="F1117">
        <v>1101621.625</v>
      </c>
      <c r="G1117">
        <v>6259.232422</v>
      </c>
      <c r="H1117">
        <v>1117</v>
      </c>
      <c r="I1117">
        <v>1331</v>
      </c>
      <c r="J1117">
        <v>23461</v>
      </c>
      <c r="K1117" t="s">
        <v>7992</v>
      </c>
      <c r="L1117">
        <v>4</v>
      </c>
      <c r="M1117">
        <v>4</v>
      </c>
      <c r="N1117">
        <v>23461</v>
      </c>
      <c r="O1117">
        <v>1093</v>
      </c>
      <c r="P1117" t="s">
        <v>3212</v>
      </c>
      <c r="Q1117">
        <v>0</v>
      </c>
      <c r="R1117">
        <v>0</v>
      </c>
      <c r="S1117">
        <v>0.02</v>
      </c>
      <c r="T1117">
        <v>0</v>
      </c>
      <c r="U1117">
        <v>1101621.65913</v>
      </c>
      <c r="V1117">
        <v>6259.2321499999998</v>
      </c>
      <c r="W1117">
        <v>1116</v>
      </c>
      <c r="X1117">
        <v>0</v>
      </c>
      <c r="Y1117">
        <v>1115</v>
      </c>
      <c r="Z1117" t="s">
        <v>6966</v>
      </c>
      <c r="AA1117" t="s">
        <v>6966</v>
      </c>
      <c r="AB1117" t="s">
        <v>6966</v>
      </c>
      <c r="AC1117" t="s">
        <v>6966</v>
      </c>
      <c r="AD1117" t="s">
        <v>6966</v>
      </c>
      <c r="AE1117" t="s">
        <v>6966</v>
      </c>
      <c r="AF1117" t="s">
        <v>6966</v>
      </c>
      <c r="AG1117" t="s">
        <v>6966</v>
      </c>
      <c r="AH1117" t="s">
        <v>6966</v>
      </c>
      <c r="AI1117" t="s">
        <v>6966</v>
      </c>
      <c r="AJ1117" t="s">
        <v>6966</v>
      </c>
      <c r="AK1117" t="s">
        <v>6966</v>
      </c>
      <c r="AL1117" t="s">
        <v>6966</v>
      </c>
      <c r="AM1117" t="s">
        <v>6966</v>
      </c>
      <c r="AN1117" t="s">
        <v>6966</v>
      </c>
      <c r="AO1117" t="s">
        <v>6966</v>
      </c>
      <c r="AP1117" t="s">
        <v>6966</v>
      </c>
      <c r="AQ1117" t="s">
        <v>6966</v>
      </c>
      <c r="AR1117" t="s">
        <v>6966</v>
      </c>
      <c r="AS1117" t="s">
        <v>6966</v>
      </c>
      <c r="AT1117" t="s">
        <v>6966</v>
      </c>
      <c r="AU1117" t="s">
        <v>6966</v>
      </c>
      <c r="AV1117" t="s">
        <v>6966</v>
      </c>
      <c r="AW1117" t="s">
        <v>6966</v>
      </c>
      <c r="AX1117" t="s">
        <v>6966</v>
      </c>
      <c r="AY1117" t="s">
        <v>6966</v>
      </c>
      <c r="AZ1117">
        <v>6.3182000000000002E-2</v>
      </c>
      <c r="BA1117">
        <v>1.07E-4</v>
      </c>
    </row>
    <row r="1118" spans="1:53" x14ac:dyDescent="0.25">
      <c r="A1118">
        <v>1116</v>
      </c>
      <c r="B1118" t="s">
        <v>7625</v>
      </c>
      <c r="C1118">
        <v>401037</v>
      </c>
      <c r="D1118" t="s">
        <v>1059</v>
      </c>
      <c r="E1118" t="s">
        <v>3221</v>
      </c>
      <c r="F1118">
        <v>0</v>
      </c>
      <c r="G1118">
        <v>17398.533202999999</v>
      </c>
      <c r="H1118">
        <v>1118</v>
      </c>
      <c r="I1118">
        <v>1332</v>
      </c>
      <c r="J1118">
        <v>52264</v>
      </c>
      <c r="K1118" t="s">
        <v>7993</v>
      </c>
      <c r="L1118">
        <v>16</v>
      </c>
      <c r="M1118">
        <v>16</v>
      </c>
      <c r="N1118">
        <v>52264</v>
      </c>
      <c r="O1118">
        <v>1094</v>
      </c>
      <c r="P1118" t="s">
        <v>3214</v>
      </c>
      <c r="Q1118">
        <v>2.4</v>
      </c>
      <c r="R1118">
        <v>203.81</v>
      </c>
      <c r="S1118">
        <v>0.44</v>
      </c>
      <c r="T1118">
        <v>37</v>
      </c>
      <c r="U1118">
        <v>0</v>
      </c>
      <c r="V1118">
        <v>17398.531853</v>
      </c>
      <c r="W1118">
        <v>1117</v>
      </c>
      <c r="X1118">
        <v>1</v>
      </c>
      <c r="Y1118">
        <v>1116</v>
      </c>
      <c r="Z1118">
        <v>66194</v>
      </c>
      <c r="AA1118" s="76">
        <v>45859</v>
      </c>
      <c r="AB1118">
        <v>2025</v>
      </c>
      <c r="AC1118" t="s">
        <v>7313</v>
      </c>
      <c r="AD1118">
        <v>21</v>
      </c>
      <c r="AE1118" t="s">
        <v>7366</v>
      </c>
      <c r="AF1118" t="s">
        <v>3214</v>
      </c>
      <c r="AG1118" t="s">
        <v>3221</v>
      </c>
      <c r="AH1118" t="s">
        <v>1059</v>
      </c>
      <c r="AI1118" t="s">
        <v>1059</v>
      </c>
      <c r="AJ1118" t="s">
        <v>6966</v>
      </c>
      <c r="AK1118">
        <v>33.686680000000003</v>
      </c>
      <c r="AL1118">
        <v>35.912129999999998</v>
      </c>
      <c r="AM1118" t="s">
        <v>7014</v>
      </c>
      <c r="AN1118" t="s">
        <v>6966</v>
      </c>
      <c r="AO1118" t="s">
        <v>7340</v>
      </c>
      <c r="AP1118" t="s">
        <v>7367</v>
      </c>
      <c r="AQ1118" t="s">
        <v>6998</v>
      </c>
      <c r="AR1118" t="s">
        <v>7048</v>
      </c>
      <c r="AS1118" t="s">
        <v>7000</v>
      </c>
      <c r="AT1118">
        <v>1</v>
      </c>
      <c r="AU1118">
        <v>0</v>
      </c>
      <c r="AV1118" t="s">
        <v>7368</v>
      </c>
      <c r="AW1118" t="s">
        <v>6966</v>
      </c>
      <c r="AX1118" t="s">
        <v>6966</v>
      </c>
      <c r="AY1118" t="s">
        <v>7044</v>
      </c>
      <c r="AZ1118">
        <v>0.175596</v>
      </c>
      <c r="BA1118">
        <v>1.371E-3</v>
      </c>
    </row>
    <row r="1119" spans="1:53" x14ac:dyDescent="0.25">
      <c r="A1119">
        <v>1117</v>
      </c>
      <c r="B1119" t="s">
        <v>7625</v>
      </c>
      <c r="C1119">
        <v>401012</v>
      </c>
      <c r="D1119" t="s">
        <v>7994</v>
      </c>
      <c r="E1119" t="s">
        <v>3221</v>
      </c>
      <c r="F1119">
        <v>7693216.5</v>
      </c>
      <c r="G1119">
        <v>18059.916015999999</v>
      </c>
      <c r="H1119">
        <v>1119</v>
      </c>
      <c r="I1119">
        <v>1333</v>
      </c>
      <c r="J1119">
        <v>52227</v>
      </c>
      <c r="K1119" t="s">
        <v>7994</v>
      </c>
      <c r="L1119">
        <v>16</v>
      </c>
      <c r="M1119">
        <v>16</v>
      </c>
      <c r="N1119">
        <v>52227</v>
      </c>
      <c r="O1119">
        <v>1095</v>
      </c>
      <c r="P1119" t="s">
        <v>3214</v>
      </c>
      <c r="Q1119">
        <v>5.8</v>
      </c>
      <c r="R1119">
        <v>92.63</v>
      </c>
      <c r="S1119">
        <v>1.25</v>
      </c>
      <c r="T1119">
        <v>20</v>
      </c>
      <c r="U1119">
        <v>7693216.5318900002</v>
      </c>
      <c r="V1119">
        <v>18059.915809999999</v>
      </c>
      <c r="W1119">
        <v>1118</v>
      </c>
      <c r="X1119">
        <v>2</v>
      </c>
      <c r="Y1119">
        <v>1117</v>
      </c>
      <c r="Z1119">
        <v>59109</v>
      </c>
      <c r="AA1119" s="76">
        <v>45737</v>
      </c>
      <c r="AB1119">
        <v>2025</v>
      </c>
      <c r="AC1119" t="s">
        <v>7104</v>
      </c>
      <c r="AD1119">
        <v>21</v>
      </c>
      <c r="AE1119" t="s">
        <v>7153</v>
      </c>
      <c r="AF1119" t="s">
        <v>3214</v>
      </c>
      <c r="AG1119" t="s">
        <v>3221</v>
      </c>
      <c r="AH1119" t="s">
        <v>7154</v>
      </c>
      <c r="AI1119" t="s">
        <v>2946</v>
      </c>
      <c r="AJ1119" t="s">
        <v>6966</v>
      </c>
      <c r="AK1119">
        <v>33.669449999999998</v>
      </c>
      <c r="AL1119">
        <v>35.824210000000001</v>
      </c>
      <c r="AM1119" t="s">
        <v>6995</v>
      </c>
      <c r="AN1119" t="s">
        <v>6966</v>
      </c>
      <c r="AO1119" t="s">
        <v>6996</v>
      </c>
      <c r="AP1119" t="s">
        <v>7155</v>
      </c>
      <c r="AQ1119" t="s">
        <v>6998</v>
      </c>
      <c r="AR1119" t="s">
        <v>6999</v>
      </c>
      <c r="AS1119" t="s">
        <v>7036</v>
      </c>
      <c r="AT1119">
        <v>0</v>
      </c>
      <c r="AU1119">
        <v>0</v>
      </c>
      <c r="AV1119" t="s">
        <v>7312</v>
      </c>
      <c r="AW1119" t="s">
        <v>7002</v>
      </c>
      <c r="AX1119" t="s">
        <v>6966</v>
      </c>
      <c r="AY1119" t="s">
        <v>7003</v>
      </c>
      <c r="AZ1119">
        <v>0.177926</v>
      </c>
      <c r="BA1119">
        <v>7.4799999999999997E-4</v>
      </c>
    </row>
    <row r="1120" spans="1:53" x14ac:dyDescent="0.25">
      <c r="A1120">
        <v>1118</v>
      </c>
      <c r="B1120" t="s">
        <v>7625</v>
      </c>
      <c r="C1120">
        <v>401027</v>
      </c>
      <c r="D1120" t="s">
        <v>1040</v>
      </c>
      <c r="E1120" t="s">
        <v>3221</v>
      </c>
      <c r="F1120">
        <v>7808105</v>
      </c>
      <c r="G1120">
        <v>15781.097656</v>
      </c>
      <c r="H1120">
        <v>1120</v>
      </c>
      <c r="I1120">
        <v>1334</v>
      </c>
      <c r="J1120">
        <v>52171</v>
      </c>
      <c r="K1120" t="s">
        <v>2389</v>
      </c>
      <c r="L1120">
        <v>16</v>
      </c>
      <c r="M1120">
        <v>16</v>
      </c>
      <c r="N1120">
        <v>52171</v>
      </c>
      <c r="O1120">
        <v>1096</v>
      </c>
      <c r="P1120" t="s">
        <v>3214</v>
      </c>
      <c r="Q1120">
        <v>2</v>
      </c>
      <c r="R1120">
        <v>57.96</v>
      </c>
      <c r="S1120">
        <v>0.43</v>
      </c>
      <c r="T1120">
        <v>12</v>
      </c>
      <c r="U1120">
        <v>7808105.2331600003</v>
      </c>
      <c r="V1120">
        <v>15781.097856</v>
      </c>
      <c r="W1120">
        <v>1119</v>
      </c>
      <c r="X1120">
        <v>0</v>
      </c>
      <c r="Y1120">
        <v>1118</v>
      </c>
      <c r="Z1120" t="s">
        <v>6966</v>
      </c>
      <c r="AA1120" t="s">
        <v>6966</v>
      </c>
      <c r="AB1120" t="s">
        <v>6966</v>
      </c>
      <c r="AC1120" t="s">
        <v>6966</v>
      </c>
      <c r="AD1120" t="s">
        <v>6966</v>
      </c>
      <c r="AE1120" t="s">
        <v>6966</v>
      </c>
      <c r="AF1120" t="s">
        <v>6966</v>
      </c>
      <c r="AG1120" t="s">
        <v>6966</v>
      </c>
      <c r="AH1120" t="s">
        <v>6966</v>
      </c>
      <c r="AI1120" t="s">
        <v>6966</v>
      </c>
      <c r="AJ1120" t="s">
        <v>6966</v>
      </c>
      <c r="AK1120" t="s">
        <v>6966</v>
      </c>
      <c r="AL1120" t="s">
        <v>6966</v>
      </c>
      <c r="AM1120" t="s">
        <v>6966</v>
      </c>
      <c r="AN1120" t="s">
        <v>6966</v>
      </c>
      <c r="AO1120" t="s">
        <v>6966</v>
      </c>
      <c r="AP1120" t="s">
        <v>6966</v>
      </c>
      <c r="AQ1120" t="s">
        <v>6966</v>
      </c>
      <c r="AR1120" t="s">
        <v>6966</v>
      </c>
      <c r="AS1120" t="s">
        <v>6966</v>
      </c>
      <c r="AT1120" t="s">
        <v>6966</v>
      </c>
      <c r="AU1120" t="s">
        <v>6966</v>
      </c>
      <c r="AV1120" t="s">
        <v>6966</v>
      </c>
      <c r="AW1120" t="s">
        <v>6966</v>
      </c>
      <c r="AX1120" t="s">
        <v>6966</v>
      </c>
      <c r="AY1120" t="s">
        <v>6966</v>
      </c>
      <c r="AZ1120">
        <v>0.155644</v>
      </c>
      <c r="BA1120">
        <v>7.5900000000000002E-4</v>
      </c>
    </row>
    <row r="1121" spans="1:53" x14ac:dyDescent="0.25">
      <c r="A1121">
        <v>1119</v>
      </c>
      <c r="B1121" t="s">
        <v>7625</v>
      </c>
      <c r="C1121">
        <v>503047</v>
      </c>
      <c r="D1121" t="s">
        <v>242</v>
      </c>
      <c r="E1121" t="s">
        <v>3220</v>
      </c>
      <c r="F1121">
        <v>146959.59375</v>
      </c>
      <c r="G1121">
        <v>1950.8688959999999</v>
      </c>
      <c r="H1121">
        <v>1121</v>
      </c>
      <c r="I1121">
        <v>1335</v>
      </c>
      <c r="J1121">
        <v>23438</v>
      </c>
      <c r="K1121" t="s">
        <v>1756</v>
      </c>
      <c r="L1121">
        <v>4</v>
      </c>
      <c r="M1121">
        <v>4</v>
      </c>
      <c r="N1121">
        <v>23438</v>
      </c>
      <c r="O1121">
        <v>1097</v>
      </c>
      <c r="P1121" t="s">
        <v>3212</v>
      </c>
      <c r="Q1121">
        <v>3.9</v>
      </c>
      <c r="R1121">
        <v>9.3800000000000008</v>
      </c>
      <c r="S1121">
        <v>1.02</v>
      </c>
      <c r="T1121">
        <v>2</v>
      </c>
      <c r="U1121">
        <v>146959.59555999999</v>
      </c>
      <c r="V1121">
        <v>1950.868886</v>
      </c>
      <c r="W1121">
        <v>1120</v>
      </c>
      <c r="X1121">
        <v>0</v>
      </c>
      <c r="Y1121">
        <v>1119</v>
      </c>
      <c r="Z1121" t="s">
        <v>6966</v>
      </c>
      <c r="AA1121" t="s">
        <v>6966</v>
      </c>
      <c r="AB1121" t="s">
        <v>6966</v>
      </c>
      <c r="AC1121" t="s">
        <v>6966</v>
      </c>
      <c r="AD1121" t="s">
        <v>6966</v>
      </c>
      <c r="AE1121" t="s">
        <v>6966</v>
      </c>
      <c r="AF1121" t="s">
        <v>6966</v>
      </c>
      <c r="AG1121" t="s">
        <v>6966</v>
      </c>
      <c r="AH1121" t="s">
        <v>6966</v>
      </c>
      <c r="AI1121" t="s">
        <v>6966</v>
      </c>
      <c r="AJ1121" t="s">
        <v>6966</v>
      </c>
      <c r="AK1121" t="s">
        <v>6966</v>
      </c>
      <c r="AL1121" t="s">
        <v>6966</v>
      </c>
      <c r="AM1121" t="s">
        <v>6966</v>
      </c>
      <c r="AN1121" t="s">
        <v>6966</v>
      </c>
      <c r="AO1121" t="s">
        <v>6966</v>
      </c>
      <c r="AP1121" t="s">
        <v>6966</v>
      </c>
      <c r="AQ1121" t="s">
        <v>6966</v>
      </c>
      <c r="AR1121" t="s">
        <v>6966</v>
      </c>
      <c r="AS1121" t="s">
        <v>6966</v>
      </c>
      <c r="AT1121" t="s">
        <v>6966</v>
      </c>
      <c r="AU1121" t="s">
        <v>6966</v>
      </c>
      <c r="AV1121" t="s">
        <v>6966</v>
      </c>
      <c r="AW1121" t="s">
        <v>6966</v>
      </c>
      <c r="AX1121" t="s">
        <v>6966</v>
      </c>
      <c r="AY1121" t="s">
        <v>6966</v>
      </c>
      <c r="AZ1121">
        <v>1.9970000000000002E-2</v>
      </c>
      <c r="BA1121">
        <v>1.4E-5</v>
      </c>
    </row>
    <row r="1122" spans="1:53" x14ac:dyDescent="0.25">
      <c r="A1122">
        <v>1120</v>
      </c>
      <c r="B1122" t="s">
        <v>7625</v>
      </c>
      <c r="C1122">
        <v>503063</v>
      </c>
      <c r="D1122" t="s">
        <v>243</v>
      </c>
      <c r="E1122" t="s">
        <v>3220</v>
      </c>
      <c r="F1122">
        <v>1247403.5</v>
      </c>
      <c r="G1122">
        <v>6314.5195309999999</v>
      </c>
      <c r="H1122">
        <v>1122</v>
      </c>
      <c r="I1122">
        <v>1336</v>
      </c>
      <c r="J1122">
        <v>23439</v>
      </c>
      <c r="K1122" t="s">
        <v>1757</v>
      </c>
      <c r="L1122">
        <v>4</v>
      </c>
      <c r="M1122">
        <v>4</v>
      </c>
      <c r="N1122">
        <v>23439</v>
      </c>
      <c r="O1122">
        <v>1098</v>
      </c>
      <c r="P1122" t="s">
        <v>3212</v>
      </c>
      <c r="Q1122">
        <v>16.7</v>
      </c>
      <c r="R1122">
        <v>44.68</v>
      </c>
      <c r="S1122">
        <v>4.16</v>
      </c>
      <c r="T1122">
        <v>11</v>
      </c>
      <c r="U1122">
        <v>1247403.4683000001</v>
      </c>
      <c r="V1122">
        <v>6314.5194600000004</v>
      </c>
      <c r="W1122">
        <v>1121</v>
      </c>
      <c r="X1122">
        <v>0</v>
      </c>
      <c r="Y1122">
        <v>1120</v>
      </c>
      <c r="Z1122" t="s">
        <v>6966</v>
      </c>
      <c r="AA1122" t="s">
        <v>6966</v>
      </c>
      <c r="AB1122" t="s">
        <v>6966</v>
      </c>
      <c r="AC1122" t="s">
        <v>6966</v>
      </c>
      <c r="AD1122" t="s">
        <v>6966</v>
      </c>
      <c r="AE1122" t="s">
        <v>6966</v>
      </c>
      <c r="AF1122" t="s">
        <v>6966</v>
      </c>
      <c r="AG1122" t="s">
        <v>6966</v>
      </c>
      <c r="AH1122" t="s">
        <v>6966</v>
      </c>
      <c r="AI1122" t="s">
        <v>6966</v>
      </c>
      <c r="AJ1122" t="s">
        <v>6966</v>
      </c>
      <c r="AK1122" t="s">
        <v>6966</v>
      </c>
      <c r="AL1122" t="s">
        <v>6966</v>
      </c>
      <c r="AM1122" t="s">
        <v>6966</v>
      </c>
      <c r="AN1122" t="s">
        <v>6966</v>
      </c>
      <c r="AO1122" t="s">
        <v>6966</v>
      </c>
      <c r="AP1122" t="s">
        <v>6966</v>
      </c>
      <c r="AQ1122" t="s">
        <v>6966</v>
      </c>
      <c r="AR1122" t="s">
        <v>6966</v>
      </c>
      <c r="AS1122" t="s">
        <v>6966</v>
      </c>
      <c r="AT1122" t="s">
        <v>6966</v>
      </c>
      <c r="AU1122" t="s">
        <v>6966</v>
      </c>
      <c r="AV1122" t="s">
        <v>6966</v>
      </c>
      <c r="AW1122" t="s">
        <v>6966</v>
      </c>
      <c r="AX1122" t="s">
        <v>6966</v>
      </c>
      <c r="AY1122" t="s">
        <v>6966</v>
      </c>
      <c r="AZ1122">
        <v>6.3104999999999994E-2</v>
      </c>
      <c r="BA1122">
        <v>1.21E-4</v>
      </c>
    </row>
    <row r="1123" spans="1:53" x14ac:dyDescent="0.25">
      <c r="A1123">
        <v>1121</v>
      </c>
      <c r="B1123" t="s">
        <v>7625</v>
      </c>
      <c r="C1123">
        <v>503055</v>
      </c>
      <c r="D1123" t="s">
        <v>7995</v>
      </c>
      <c r="E1123" t="s">
        <v>3220</v>
      </c>
      <c r="F1123">
        <v>8123015.5</v>
      </c>
      <c r="G1123">
        <v>19723.888672000001</v>
      </c>
      <c r="H1123">
        <v>1123</v>
      </c>
      <c r="I1123">
        <v>1337</v>
      </c>
      <c r="J1123">
        <v>23267</v>
      </c>
      <c r="K1123" t="s">
        <v>1728</v>
      </c>
      <c r="L1123">
        <v>4</v>
      </c>
      <c r="M1123">
        <v>4</v>
      </c>
      <c r="N1123">
        <v>23267</v>
      </c>
      <c r="O1123">
        <v>1099</v>
      </c>
      <c r="P1123" t="s">
        <v>3212</v>
      </c>
      <c r="Q1123">
        <v>4.2</v>
      </c>
      <c r="R1123">
        <v>33.39</v>
      </c>
      <c r="S1123">
        <v>1.45</v>
      </c>
      <c r="T1123">
        <v>12</v>
      </c>
      <c r="U1123">
        <v>8123015.6283200001</v>
      </c>
      <c r="V1123">
        <v>19723.887128999999</v>
      </c>
      <c r="W1123">
        <v>1122</v>
      </c>
      <c r="X1123">
        <v>0</v>
      </c>
      <c r="Y1123">
        <v>1121</v>
      </c>
      <c r="Z1123" t="s">
        <v>6966</v>
      </c>
      <c r="AA1123" t="s">
        <v>6966</v>
      </c>
      <c r="AB1123" t="s">
        <v>6966</v>
      </c>
      <c r="AC1123" t="s">
        <v>6966</v>
      </c>
      <c r="AD1123" t="s">
        <v>6966</v>
      </c>
      <c r="AE1123" t="s">
        <v>6966</v>
      </c>
      <c r="AF1123" t="s">
        <v>6966</v>
      </c>
      <c r="AG1123" t="s">
        <v>6966</v>
      </c>
      <c r="AH1123" t="s">
        <v>6966</v>
      </c>
      <c r="AI1123" t="s">
        <v>6966</v>
      </c>
      <c r="AJ1123" t="s">
        <v>6966</v>
      </c>
      <c r="AK1123" t="s">
        <v>6966</v>
      </c>
      <c r="AL1123" t="s">
        <v>6966</v>
      </c>
      <c r="AM1123" t="s">
        <v>6966</v>
      </c>
      <c r="AN1123" t="s">
        <v>6966</v>
      </c>
      <c r="AO1123" t="s">
        <v>6966</v>
      </c>
      <c r="AP1123" t="s">
        <v>6966</v>
      </c>
      <c r="AQ1123" t="s">
        <v>6966</v>
      </c>
      <c r="AR1123" t="s">
        <v>6966</v>
      </c>
      <c r="AS1123" t="s">
        <v>6966</v>
      </c>
      <c r="AT1123" t="s">
        <v>6966</v>
      </c>
      <c r="AU1123" t="s">
        <v>6966</v>
      </c>
      <c r="AV1123" t="s">
        <v>6966</v>
      </c>
      <c r="AW1123" t="s">
        <v>6966</v>
      </c>
      <c r="AX1123" t="s">
        <v>6966</v>
      </c>
      <c r="AY1123" t="s">
        <v>6966</v>
      </c>
      <c r="AZ1123">
        <v>0.19272700000000001</v>
      </c>
      <c r="BA1123">
        <v>7.8899999999999999E-4</v>
      </c>
    </row>
    <row r="1124" spans="1:53" x14ac:dyDescent="0.25">
      <c r="A1124">
        <v>1122</v>
      </c>
      <c r="B1124" t="s">
        <v>7625</v>
      </c>
      <c r="C1124">
        <v>503100</v>
      </c>
      <c r="D1124" t="s">
        <v>241</v>
      </c>
      <c r="E1124" t="s">
        <v>3220</v>
      </c>
      <c r="F1124">
        <v>1497237.875</v>
      </c>
      <c r="G1124">
        <v>6564.1318359999996</v>
      </c>
      <c r="H1124">
        <v>1124</v>
      </c>
      <c r="I1124">
        <v>1338</v>
      </c>
      <c r="J1124">
        <v>23437</v>
      </c>
      <c r="K1124" t="s">
        <v>241</v>
      </c>
      <c r="L1124">
        <v>4</v>
      </c>
      <c r="M1124">
        <v>4</v>
      </c>
      <c r="N1124">
        <v>23437</v>
      </c>
      <c r="O1124">
        <v>1100</v>
      </c>
      <c r="P1124" t="s">
        <v>3212</v>
      </c>
      <c r="Q1124">
        <v>5.5</v>
      </c>
      <c r="R1124">
        <v>22.61</v>
      </c>
      <c r="S1124">
        <v>1.26</v>
      </c>
      <c r="T1124">
        <v>5</v>
      </c>
      <c r="U1124">
        <v>1497237.8442500001</v>
      </c>
      <c r="V1124">
        <v>6564.1319960000001</v>
      </c>
      <c r="W1124">
        <v>1123</v>
      </c>
      <c r="X1124">
        <v>0</v>
      </c>
      <c r="Y1124">
        <v>1122</v>
      </c>
      <c r="Z1124" t="s">
        <v>6966</v>
      </c>
      <c r="AA1124" t="s">
        <v>6966</v>
      </c>
      <c r="AB1124" t="s">
        <v>6966</v>
      </c>
      <c r="AC1124" t="s">
        <v>6966</v>
      </c>
      <c r="AD1124" t="s">
        <v>6966</v>
      </c>
      <c r="AE1124" t="s">
        <v>6966</v>
      </c>
      <c r="AF1124" t="s">
        <v>6966</v>
      </c>
      <c r="AG1124" t="s">
        <v>6966</v>
      </c>
      <c r="AH1124" t="s">
        <v>6966</v>
      </c>
      <c r="AI1124" t="s">
        <v>6966</v>
      </c>
      <c r="AJ1124" t="s">
        <v>6966</v>
      </c>
      <c r="AK1124" t="s">
        <v>6966</v>
      </c>
      <c r="AL1124" t="s">
        <v>6966</v>
      </c>
      <c r="AM1124" t="s">
        <v>6966</v>
      </c>
      <c r="AN1124" t="s">
        <v>6966</v>
      </c>
      <c r="AO1124" t="s">
        <v>6966</v>
      </c>
      <c r="AP1124" t="s">
        <v>6966</v>
      </c>
      <c r="AQ1124" t="s">
        <v>6966</v>
      </c>
      <c r="AR1124" t="s">
        <v>6966</v>
      </c>
      <c r="AS1124" t="s">
        <v>6966</v>
      </c>
      <c r="AT1124" t="s">
        <v>6966</v>
      </c>
      <c r="AU1124" t="s">
        <v>6966</v>
      </c>
      <c r="AV1124" t="s">
        <v>6966</v>
      </c>
      <c r="AW1124" t="s">
        <v>6966</v>
      </c>
      <c r="AX1124" t="s">
        <v>6966</v>
      </c>
      <c r="AY1124" t="s">
        <v>6966</v>
      </c>
      <c r="AZ1124">
        <v>6.5752000000000005E-2</v>
      </c>
      <c r="BA1124">
        <v>1.46E-4</v>
      </c>
    </row>
    <row r="1125" spans="1:53" x14ac:dyDescent="0.25">
      <c r="A1125">
        <v>1123</v>
      </c>
      <c r="B1125" t="s">
        <v>7625</v>
      </c>
      <c r="C1125">
        <v>503026</v>
      </c>
      <c r="D1125" t="s">
        <v>253</v>
      </c>
      <c r="E1125" t="s">
        <v>3220</v>
      </c>
      <c r="F1125">
        <v>647484.3125</v>
      </c>
      <c r="G1125">
        <v>4080.3325199999999</v>
      </c>
      <c r="H1125">
        <v>1125</v>
      </c>
      <c r="I1125">
        <v>1339</v>
      </c>
      <c r="J1125">
        <v>23457</v>
      </c>
      <c r="K1125" t="s">
        <v>1767</v>
      </c>
      <c r="L1125">
        <v>4</v>
      </c>
      <c r="M1125">
        <v>4</v>
      </c>
      <c r="N1125">
        <v>23457</v>
      </c>
      <c r="O1125">
        <v>1101</v>
      </c>
      <c r="P1125" t="s">
        <v>3212</v>
      </c>
      <c r="Q1125">
        <v>0</v>
      </c>
      <c r="R1125">
        <v>0</v>
      </c>
      <c r="S1125">
        <v>0.12</v>
      </c>
      <c r="T1125">
        <v>0</v>
      </c>
      <c r="U1125">
        <v>647484.38188</v>
      </c>
      <c r="V1125">
        <v>4080.33295</v>
      </c>
      <c r="W1125">
        <v>1124</v>
      </c>
      <c r="X1125">
        <v>0</v>
      </c>
      <c r="Y1125">
        <v>1123</v>
      </c>
      <c r="Z1125" t="s">
        <v>6966</v>
      </c>
      <c r="AA1125" t="s">
        <v>6966</v>
      </c>
      <c r="AB1125" t="s">
        <v>6966</v>
      </c>
      <c r="AC1125" t="s">
        <v>6966</v>
      </c>
      <c r="AD1125" t="s">
        <v>6966</v>
      </c>
      <c r="AE1125" t="s">
        <v>6966</v>
      </c>
      <c r="AF1125" t="s">
        <v>6966</v>
      </c>
      <c r="AG1125" t="s">
        <v>6966</v>
      </c>
      <c r="AH1125" t="s">
        <v>6966</v>
      </c>
      <c r="AI1125" t="s">
        <v>6966</v>
      </c>
      <c r="AJ1125" t="s">
        <v>6966</v>
      </c>
      <c r="AK1125" t="s">
        <v>6966</v>
      </c>
      <c r="AL1125" t="s">
        <v>6966</v>
      </c>
      <c r="AM1125" t="s">
        <v>6966</v>
      </c>
      <c r="AN1125" t="s">
        <v>6966</v>
      </c>
      <c r="AO1125" t="s">
        <v>6966</v>
      </c>
      <c r="AP1125" t="s">
        <v>6966</v>
      </c>
      <c r="AQ1125" t="s">
        <v>6966</v>
      </c>
      <c r="AR1125" t="s">
        <v>6966</v>
      </c>
      <c r="AS1125" t="s">
        <v>6966</v>
      </c>
      <c r="AT1125" t="s">
        <v>6966</v>
      </c>
      <c r="AU1125" t="s">
        <v>6966</v>
      </c>
      <c r="AV1125" t="s">
        <v>6966</v>
      </c>
      <c r="AW1125" t="s">
        <v>6966</v>
      </c>
      <c r="AX1125" t="s">
        <v>6966</v>
      </c>
      <c r="AY1125" t="s">
        <v>6966</v>
      </c>
      <c r="AZ1125">
        <v>4.1078999999999997E-2</v>
      </c>
      <c r="BA1125">
        <v>6.3E-5</v>
      </c>
    </row>
    <row r="1126" spans="1:53" x14ac:dyDescent="0.25">
      <c r="A1126">
        <v>1124</v>
      </c>
      <c r="B1126" t="s">
        <v>7625</v>
      </c>
      <c r="C1126">
        <v>503033</v>
      </c>
      <c r="D1126" t="s">
        <v>210</v>
      </c>
      <c r="E1126" t="s">
        <v>3220</v>
      </c>
      <c r="F1126">
        <v>2173093</v>
      </c>
      <c r="G1126">
        <v>7615.9453130000002</v>
      </c>
      <c r="H1126">
        <v>1126</v>
      </c>
      <c r="I1126">
        <v>1340</v>
      </c>
      <c r="J1126">
        <v>23279</v>
      </c>
      <c r="K1126" t="s">
        <v>1730</v>
      </c>
      <c r="L1126">
        <v>4</v>
      </c>
      <c r="M1126">
        <v>4</v>
      </c>
      <c r="N1126">
        <v>23279</v>
      </c>
      <c r="O1126">
        <v>1102</v>
      </c>
      <c r="P1126" t="s">
        <v>3212</v>
      </c>
      <c r="Q1126">
        <v>0.8</v>
      </c>
      <c r="R1126">
        <v>16.2</v>
      </c>
      <c r="S1126">
        <v>0.6</v>
      </c>
      <c r="T1126">
        <v>12</v>
      </c>
      <c r="U1126">
        <v>2173093.1436100001</v>
      </c>
      <c r="V1126">
        <v>7615.9462270000004</v>
      </c>
      <c r="W1126">
        <v>1125</v>
      </c>
      <c r="X1126">
        <v>0</v>
      </c>
      <c r="Y1126">
        <v>1124</v>
      </c>
      <c r="Z1126" t="s">
        <v>6966</v>
      </c>
      <c r="AA1126" t="s">
        <v>6966</v>
      </c>
      <c r="AB1126" t="s">
        <v>6966</v>
      </c>
      <c r="AC1126" t="s">
        <v>6966</v>
      </c>
      <c r="AD1126" t="s">
        <v>6966</v>
      </c>
      <c r="AE1126" t="s">
        <v>6966</v>
      </c>
      <c r="AF1126" t="s">
        <v>6966</v>
      </c>
      <c r="AG1126" t="s">
        <v>6966</v>
      </c>
      <c r="AH1126" t="s">
        <v>6966</v>
      </c>
      <c r="AI1126" t="s">
        <v>6966</v>
      </c>
      <c r="AJ1126" t="s">
        <v>6966</v>
      </c>
      <c r="AK1126" t="s">
        <v>6966</v>
      </c>
      <c r="AL1126" t="s">
        <v>6966</v>
      </c>
      <c r="AM1126" t="s">
        <v>6966</v>
      </c>
      <c r="AN1126" t="s">
        <v>6966</v>
      </c>
      <c r="AO1126" t="s">
        <v>6966</v>
      </c>
      <c r="AP1126" t="s">
        <v>6966</v>
      </c>
      <c r="AQ1126" t="s">
        <v>6966</v>
      </c>
      <c r="AR1126" t="s">
        <v>6966</v>
      </c>
      <c r="AS1126" t="s">
        <v>6966</v>
      </c>
      <c r="AT1126" t="s">
        <v>6966</v>
      </c>
      <c r="AU1126" t="s">
        <v>6966</v>
      </c>
      <c r="AV1126" t="s">
        <v>6966</v>
      </c>
      <c r="AW1126" t="s">
        <v>6966</v>
      </c>
      <c r="AX1126" t="s">
        <v>6966</v>
      </c>
      <c r="AY1126" t="s">
        <v>6966</v>
      </c>
      <c r="AZ1126">
        <v>7.5368000000000004E-2</v>
      </c>
      <c r="BA1126">
        <v>2.1100000000000001E-4</v>
      </c>
    </row>
    <row r="1127" spans="1:53" x14ac:dyDescent="0.25">
      <c r="A1127">
        <v>1125</v>
      </c>
      <c r="B1127" t="s">
        <v>7625</v>
      </c>
      <c r="C1127">
        <v>503098</v>
      </c>
      <c r="D1127" t="s">
        <v>7996</v>
      </c>
      <c r="E1127" t="s">
        <v>3220</v>
      </c>
      <c r="F1127">
        <v>5769909.5</v>
      </c>
      <c r="G1127">
        <v>11902.277344</v>
      </c>
      <c r="H1127">
        <v>1127</v>
      </c>
      <c r="I1127">
        <v>1341</v>
      </c>
      <c r="J1127">
        <v>23417</v>
      </c>
      <c r="K1127" t="s">
        <v>1748</v>
      </c>
      <c r="L1127">
        <v>4</v>
      </c>
      <c r="M1127">
        <v>4</v>
      </c>
      <c r="N1127">
        <v>23417</v>
      </c>
      <c r="O1127">
        <v>1103</v>
      </c>
      <c r="P1127" t="s">
        <v>3212</v>
      </c>
      <c r="Q1127">
        <v>5.5</v>
      </c>
      <c r="R1127">
        <v>25.53</v>
      </c>
      <c r="S1127">
        <v>1.1599999999999999</v>
      </c>
      <c r="T1127">
        <v>6</v>
      </c>
      <c r="U1127">
        <v>5769909.7094400004</v>
      </c>
      <c r="V1127">
        <v>11902.277507000001</v>
      </c>
      <c r="W1127">
        <v>1126</v>
      </c>
      <c r="X1127">
        <v>0</v>
      </c>
      <c r="Y1127">
        <v>1125</v>
      </c>
      <c r="Z1127" t="s">
        <v>6966</v>
      </c>
      <c r="AA1127" t="s">
        <v>6966</v>
      </c>
      <c r="AB1127" t="s">
        <v>6966</v>
      </c>
      <c r="AC1127" t="s">
        <v>6966</v>
      </c>
      <c r="AD1127" t="s">
        <v>6966</v>
      </c>
      <c r="AE1127" t="s">
        <v>6966</v>
      </c>
      <c r="AF1127" t="s">
        <v>6966</v>
      </c>
      <c r="AG1127" t="s">
        <v>6966</v>
      </c>
      <c r="AH1127" t="s">
        <v>6966</v>
      </c>
      <c r="AI1127" t="s">
        <v>6966</v>
      </c>
      <c r="AJ1127" t="s">
        <v>6966</v>
      </c>
      <c r="AK1127" t="s">
        <v>6966</v>
      </c>
      <c r="AL1127" t="s">
        <v>6966</v>
      </c>
      <c r="AM1127" t="s">
        <v>6966</v>
      </c>
      <c r="AN1127" t="s">
        <v>6966</v>
      </c>
      <c r="AO1127" t="s">
        <v>6966</v>
      </c>
      <c r="AP1127" t="s">
        <v>6966</v>
      </c>
      <c r="AQ1127" t="s">
        <v>6966</v>
      </c>
      <c r="AR1127" t="s">
        <v>6966</v>
      </c>
      <c r="AS1127" t="s">
        <v>6966</v>
      </c>
      <c r="AT1127" t="s">
        <v>6966</v>
      </c>
      <c r="AU1127" t="s">
        <v>6966</v>
      </c>
      <c r="AV1127" t="s">
        <v>6966</v>
      </c>
      <c r="AW1127" t="s">
        <v>6966</v>
      </c>
      <c r="AX1127" t="s">
        <v>6966</v>
      </c>
      <c r="AY1127" t="s">
        <v>6966</v>
      </c>
      <c r="AZ1127">
        <v>0.11783100000000001</v>
      </c>
      <c r="BA1127">
        <v>5.6099999999999998E-4</v>
      </c>
    </row>
    <row r="1128" spans="1:53" x14ac:dyDescent="0.25">
      <c r="A1128">
        <v>1126</v>
      </c>
      <c r="B1128" t="s">
        <v>7625</v>
      </c>
      <c r="C1128">
        <v>401043</v>
      </c>
      <c r="D1128" t="s">
        <v>87</v>
      </c>
      <c r="E1128" t="s">
        <v>3221</v>
      </c>
      <c r="F1128">
        <v>3889423</v>
      </c>
      <c r="G1128">
        <v>13844.840819999999</v>
      </c>
      <c r="H1128">
        <v>1128</v>
      </c>
      <c r="I1128">
        <v>1342</v>
      </c>
      <c r="J1128">
        <v>52002</v>
      </c>
      <c r="K1128" t="s">
        <v>87</v>
      </c>
      <c r="L1128">
        <v>16</v>
      </c>
      <c r="M1128">
        <v>16</v>
      </c>
      <c r="N1128">
        <v>52002</v>
      </c>
      <c r="O1128">
        <v>1104</v>
      </c>
      <c r="P1128" t="s">
        <v>3214</v>
      </c>
      <c r="Q1128">
        <v>0</v>
      </c>
      <c r="R1128">
        <v>0</v>
      </c>
      <c r="S1128">
        <v>0</v>
      </c>
      <c r="T1128">
        <v>0</v>
      </c>
      <c r="U1128">
        <v>3889422.98857</v>
      </c>
      <c r="V1128">
        <v>13844.840699</v>
      </c>
      <c r="W1128">
        <v>1127</v>
      </c>
      <c r="X1128">
        <v>0</v>
      </c>
      <c r="Y1128">
        <v>1126</v>
      </c>
      <c r="Z1128" t="s">
        <v>6966</v>
      </c>
      <c r="AA1128" t="s">
        <v>6966</v>
      </c>
      <c r="AB1128" t="s">
        <v>6966</v>
      </c>
      <c r="AC1128" t="s">
        <v>6966</v>
      </c>
      <c r="AD1128" t="s">
        <v>6966</v>
      </c>
      <c r="AE1128" t="s">
        <v>6966</v>
      </c>
      <c r="AF1128" t="s">
        <v>6966</v>
      </c>
      <c r="AG1128" t="s">
        <v>6966</v>
      </c>
      <c r="AH1128" t="s">
        <v>6966</v>
      </c>
      <c r="AI1128" t="s">
        <v>6966</v>
      </c>
      <c r="AJ1128" t="s">
        <v>6966</v>
      </c>
      <c r="AK1128" t="s">
        <v>6966</v>
      </c>
      <c r="AL1128" t="s">
        <v>6966</v>
      </c>
      <c r="AM1128" t="s">
        <v>6966</v>
      </c>
      <c r="AN1128" t="s">
        <v>6966</v>
      </c>
      <c r="AO1128" t="s">
        <v>6966</v>
      </c>
      <c r="AP1128" t="s">
        <v>6966</v>
      </c>
      <c r="AQ1128" t="s">
        <v>6966</v>
      </c>
      <c r="AR1128" t="s">
        <v>6966</v>
      </c>
      <c r="AS1128" t="s">
        <v>6966</v>
      </c>
      <c r="AT1128" t="s">
        <v>6966</v>
      </c>
      <c r="AU1128" t="s">
        <v>6966</v>
      </c>
      <c r="AV1128" t="s">
        <v>6966</v>
      </c>
      <c r="AW1128" t="s">
        <v>6966</v>
      </c>
      <c r="AX1128" t="s">
        <v>6966</v>
      </c>
      <c r="AY1128" t="s">
        <v>6966</v>
      </c>
      <c r="AZ1128">
        <v>0.13638900000000001</v>
      </c>
      <c r="BA1128">
        <v>3.7800000000000003E-4</v>
      </c>
    </row>
    <row r="1129" spans="1:53" x14ac:dyDescent="0.25">
      <c r="A1129">
        <v>1127</v>
      </c>
      <c r="B1129" t="s">
        <v>7625</v>
      </c>
      <c r="C1129">
        <v>503091</v>
      </c>
      <c r="D1129" t="s">
        <v>244</v>
      </c>
      <c r="E1129" t="s">
        <v>3220</v>
      </c>
      <c r="F1129">
        <v>385049.34375</v>
      </c>
      <c r="G1129">
        <v>5625.2504879999997</v>
      </c>
      <c r="H1129">
        <v>1129</v>
      </c>
      <c r="I1129">
        <v>1343</v>
      </c>
      <c r="J1129">
        <v>23441</v>
      </c>
      <c r="K1129" t="s">
        <v>1758</v>
      </c>
      <c r="L1129">
        <v>4</v>
      </c>
      <c r="M1129">
        <v>4</v>
      </c>
      <c r="N1129">
        <v>23441</v>
      </c>
      <c r="O1129">
        <v>1105</v>
      </c>
      <c r="P1129" t="s">
        <v>3212</v>
      </c>
      <c r="Q1129">
        <v>10.7</v>
      </c>
      <c r="R1129">
        <v>0</v>
      </c>
      <c r="S1129">
        <v>2.2400000000000002</v>
      </c>
      <c r="T1129">
        <v>0</v>
      </c>
      <c r="U1129">
        <v>385049.33607800002</v>
      </c>
      <c r="V1129">
        <v>5625.2501279999997</v>
      </c>
      <c r="W1129">
        <v>1128</v>
      </c>
      <c r="X1129">
        <v>0</v>
      </c>
      <c r="Y1129">
        <v>1127</v>
      </c>
      <c r="Z1129" t="s">
        <v>6966</v>
      </c>
      <c r="AA1129" t="s">
        <v>6966</v>
      </c>
      <c r="AB1129" t="s">
        <v>6966</v>
      </c>
      <c r="AC1129" t="s">
        <v>6966</v>
      </c>
      <c r="AD1129" t="s">
        <v>6966</v>
      </c>
      <c r="AE1129" t="s">
        <v>6966</v>
      </c>
      <c r="AF1129" t="s">
        <v>6966</v>
      </c>
      <c r="AG1129" t="s">
        <v>6966</v>
      </c>
      <c r="AH1129" t="s">
        <v>6966</v>
      </c>
      <c r="AI1129" t="s">
        <v>6966</v>
      </c>
      <c r="AJ1129" t="s">
        <v>6966</v>
      </c>
      <c r="AK1129" t="s">
        <v>6966</v>
      </c>
      <c r="AL1129" t="s">
        <v>6966</v>
      </c>
      <c r="AM1129" t="s">
        <v>6966</v>
      </c>
      <c r="AN1129" t="s">
        <v>6966</v>
      </c>
      <c r="AO1129" t="s">
        <v>6966</v>
      </c>
      <c r="AP1129" t="s">
        <v>6966</v>
      </c>
      <c r="AQ1129" t="s">
        <v>6966</v>
      </c>
      <c r="AR1129" t="s">
        <v>6966</v>
      </c>
      <c r="AS1129" t="s">
        <v>6966</v>
      </c>
      <c r="AT1129" t="s">
        <v>6966</v>
      </c>
      <c r="AU1129" t="s">
        <v>6966</v>
      </c>
      <c r="AV1129" t="s">
        <v>6966</v>
      </c>
      <c r="AW1129" t="s">
        <v>6966</v>
      </c>
      <c r="AX1129" t="s">
        <v>6966</v>
      </c>
      <c r="AY1129" t="s">
        <v>6966</v>
      </c>
      <c r="AZ1129">
        <v>5.7404999999999998E-2</v>
      </c>
      <c r="BA1129">
        <v>3.6999999999999998E-5</v>
      </c>
    </row>
    <row r="1130" spans="1:53" x14ac:dyDescent="0.25">
      <c r="A1130">
        <v>1128</v>
      </c>
      <c r="B1130" t="s">
        <v>7625</v>
      </c>
      <c r="C1130">
        <v>503011</v>
      </c>
      <c r="D1130" t="s">
        <v>259</v>
      </c>
      <c r="E1130" t="s">
        <v>3220</v>
      </c>
      <c r="F1130">
        <v>0</v>
      </c>
      <c r="G1130">
        <v>24102.861327999999</v>
      </c>
      <c r="H1130">
        <v>1130</v>
      </c>
      <c r="I1130">
        <v>1344</v>
      </c>
      <c r="J1130">
        <v>23511</v>
      </c>
      <c r="K1130" t="s">
        <v>1773</v>
      </c>
      <c r="L1130">
        <v>4</v>
      </c>
      <c r="M1130">
        <v>4</v>
      </c>
      <c r="N1130">
        <v>23511</v>
      </c>
      <c r="O1130">
        <v>1106</v>
      </c>
      <c r="P1130" t="s">
        <v>3212</v>
      </c>
      <c r="Q1130">
        <v>5.8</v>
      </c>
      <c r="R1130">
        <v>37.67</v>
      </c>
      <c r="S1130">
        <v>1.21</v>
      </c>
      <c r="T1130">
        <v>8</v>
      </c>
      <c r="U1130">
        <v>0</v>
      </c>
      <c r="V1130">
        <v>24102.861457999999</v>
      </c>
      <c r="W1130">
        <v>1129</v>
      </c>
      <c r="X1130">
        <v>0</v>
      </c>
      <c r="Y1130">
        <v>1128</v>
      </c>
      <c r="Z1130" t="s">
        <v>6966</v>
      </c>
      <c r="AA1130" t="s">
        <v>6966</v>
      </c>
      <c r="AB1130" t="s">
        <v>6966</v>
      </c>
      <c r="AC1130" t="s">
        <v>6966</v>
      </c>
      <c r="AD1130" t="s">
        <v>6966</v>
      </c>
      <c r="AE1130" t="s">
        <v>6966</v>
      </c>
      <c r="AF1130" t="s">
        <v>6966</v>
      </c>
      <c r="AG1130" t="s">
        <v>6966</v>
      </c>
      <c r="AH1130" t="s">
        <v>6966</v>
      </c>
      <c r="AI1130" t="s">
        <v>6966</v>
      </c>
      <c r="AJ1130" t="s">
        <v>6966</v>
      </c>
      <c r="AK1130" t="s">
        <v>6966</v>
      </c>
      <c r="AL1130" t="s">
        <v>6966</v>
      </c>
      <c r="AM1130" t="s">
        <v>6966</v>
      </c>
      <c r="AN1130" t="s">
        <v>6966</v>
      </c>
      <c r="AO1130" t="s">
        <v>6966</v>
      </c>
      <c r="AP1130" t="s">
        <v>6966</v>
      </c>
      <c r="AQ1130" t="s">
        <v>6966</v>
      </c>
      <c r="AR1130" t="s">
        <v>6966</v>
      </c>
      <c r="AS1130" t="s">
        <v>6966</v>
      </c>
      <c r="AT1130" t="s">
        <v>6966</v>
      </c>
      <c r="AU1130" t="s">
        <v>6966</v>
      </c>
      <c r="AV1130" t="s">
        <v>6966</v>
      </c>
      <c r="AW1130" t="s">
        <v>6966</v>
      </c>
      <c r="AX1130" t="s">
        <v>6966</v>
      </c>
      <c r="AY1130" t="s">
        <v>6966</v>
      </c>
      <c r="AZ1130">
        <v>0.24077699999999999</v>
      </c>
      <c r="BA1130">
        <v>1.207E-3</v>
      </c>
    </row>
    <row r="1131" spans="1:53" x14ac:dyDescent="0.25">
      <c r="A1131">
        <v>1129</v>
      </c>
      <c r="B1131" t="s">
        <v>7625</v>
      </c>
      <c r="C1131">
        <v>503001</v>
      </c>
      <c r="D1131" t="s">
        <v>272</v>
      </c>
      <c r="E1131" t="s">
        <v>3220</v>
      </c>
      <c r="F1131">
        <v>4897515.5</v>
      </c>
      <c r="G1131">
        <v>11898.532227</v>
      </c>
      <c r="H1131">
        <v>1131</v>
      </c>
      <c r="I1131">
        <v>1345</v>
      </c>
      <c r="J1131">
        <v>23627</v>
      </c>
      <c r="K1131" t="s">
        <v>7997</v>
      </c>
      <c r="L1131">
        <v>4</v>
      </c>
      <c r="M1131">
        <v>4</v>
      </c>
      <c r="N1131">
        <v>23627</v>
      </c>
      <c r="O1131">
        <v>1107</v>
      </c>
      <c r="P1131" t="s">
        <v>3212</v>
      </c>
      <c r="Q1131">
        <v>2.6</v>
      </c>
      <c r="R1131">
        <v>36.33</v>
      </c>
      <c r="S1131">
        <v>0.69</v>
      </c>
      <c r="T1131">
        <v>10</v>
      </c>
      <c r="U1131">
        <v>4897515.5291999998</v>
      </c>
      <c r="V1131">
        <v>11898.531510999999</v>
      </c>
      <c r="W1131">
        <v>1130</v>
      </c>
      <c r="X1131">
        <v>0</v>
      </c>
      <c r="Y1131">
        <v>1129</v>
      </c>
      <c r="Z1131" t="s">
        <v>6966</v>
      </c>
      <c r="AA1131" t="s">
        <v>6966</v>
      </c>
      <c r="AB1131" t="s">
        <v>6966</v>
      </c>
      <c r="AC1131" t="s">
        <v>6966</v>
      </c>
      <c r="AD1131" t="s">
        <v>6966</v>
      </c>
      <c r="AE1131" t="s">
        <v>6966</v>
      </c>
      <c r="AF1131" t="s">
        <v>6966</v>
      </c>
      <c r="AG1131" t="s">
        <v>6966</v>
      </c>
      <c r="AH1131" t="s">
        <v>6966</v>
      </c>
      <c r="AI1131" t="s">
        <v>6966</v>
      </c>
      <c r="AJ1131" t="s">
        <v>6966</v>
      </c>
      <c r="AK1131" t="s">
        <v>6966</v>
      </c>
      <c r="AL1131" t="s">
        <v>6966</v>
      </c>
      <c r="AM1131" t="s">
        <v>6966</v>
      </c>
      <c r="AN1131" t="s">
        <v>6966</v>
      </c>
      <c r="AO1131" t="s">
        <v>6966</v>
      </c>
      <c r="AP1131" t="s">
        <v>6966</v>
      </c>
      <c r="AQ1131" t="s">
        <v>6966</v>
      </c>
      <c r="AR1131" t="s">
        <v>6966</v>
      </c>
      <c r="AS1131" t="s">
        <v>6966</v>
      </c>
      <c r="AT1131" t="s">
        <v>6966</v>
      </c>
      <c r="AU1131" t="s">
        <v>6966</v>
      </c>
      <c r="AV1131" t="s">
        <v>6966</v>
      </c>
      <c r="AW1131" t="s">
        <v>6966</v>
      </c>
      <c r="AX1131" t="s">
        <v>6966</v>
      </c>
      <c r="AY1131" t="s">
        <v>6966</v>
      </c>
      <c r="AZ1131">
        <v>0.119905</v>
      </c>
      <c r="BA1131">
        <v>4.7600000000000002E-4</v>
      </c>
    </row>
    <row r="1132" spans="1:53" x14ac:dyDescent="0.25">
      <c r="A1132">
        <v>1130</v>
      </c>
      <c r="B1132" t="s">
        <v>7625</v>
      </c>
      <c r="C1132">
        <v>503039</v>
      </c>
      <c r="D1132" t="s">
        <v>260</v>
      </c>
      <c r="E1132" t="s">
        <v>3220</v>
      </c>
      <c r="F1132">
        <v>2657558.75</v>
      </c>
      <c r="G1132">
        <v>12518.776367</v>
      </c>
      <c r="H1132">
        <v>1132</v>
      </c>
      <c r="I1132">
        <v>1346</v>
      </c>
      <c r="J1132">
        <v>23522</v>
      </c>
      <c r="K1132" t="s">
        <v>1774</v>
      </c>
      <c r="L1132">
        <v>4</v>
      </c>
      <c r="M1132">
        <v>4</v>
      </c>
      <c r="N1132">
        <v>23522</v>
      </c>
      <c r="O1132">
        <v>1108</v>
      </c>
      <c r="P1132" t="s">
        <v>3212</v>
      </c>
      <c r="Q1132">
        <v>0.1</v>
      </c>
      <c r="R1132">
        <v>2.44</v>
      </c>
      <c r="S1132">
        <v>0.06</v>
      </c>
      <c r="T1132">
        <v>2</v>
      </c>
      <c r="U1132">
        <v>2657558.7034100001</v>
      </c>
      <c r="V1132">
        <v>12518.776017</v>
      </c>
      <c r="W1132">
        <v>1131</v>
      </c>
      <c r="X1132">
        <v>0</v>
      </c>
      <c r="Y1132">
        <v>1130</v>
      </c>
      <c r="Z1132" t="s">
        <v>6966</v>
      </c>
      <c r="AA1132" t="s">
        <v>6966</v>
      </c>
      <c r="AB1132" t="s">
        <v>6966</v>
      </c>
      <c r="AC1132" t="s">
        <v>6966</v>
      </c>
      <c r="AD1132" t="s">
        <v>6966</v>
      </c>
      <c r="AE1132" t="s">
        <v>6966</v>
      </c>
      <c r="AF1132" t="s">
        <v>6966</v>
      </c>
      <c r="AG1132" t="s">
        <v>6966</v>
      </c>
      <c r="AH1132" t="s">
        <v>6966</v>
      </c>
      <c r="AI1132" t="s">
        <v>6966</v>
      </c>
      <c r="AJ1132" t="s">
        <v>6966</v>
      </c>
      <c r="AK1132" t="s">
        <v>6966</v>
      </c>
      <c r="AL1132" t="s">
        <v>6966</v>
      </c>
      <c r="AM1132" t="s">
        <v>6966</v>
      </c>
      <c r="AN1132" t="s">
        <v>6966</v>
      </c>
      <c r="AO1132" t="s">
        <v>6966</v>
      </c>
      <c r="AP1132" t="s">
        <v>6966</v>
      </c>
      <c r="AQ1132" t="s">
        <v>6966</v>
      </c>
      <c r="AR1132" t="s">
        <v>6966</v>
      </c>
      <c r="AS1132" t="s">
        <v>6966</v>
      </c>
      <c r="AT1132" t="s">
        <v>6966</v>
      </c>
      <c r="AU1132" t="s">
        <v>6966</v>
      </c>
      <c r="AV1132" t="s">
        <v>6966</v>
      </c>
      <c r="AW1132" t="s">
        <v>6966</v>
      </c>
      <c r="AX1132" t="s">
        <v>6966</v>
      </c>
      <c r="AY1132" t="s">
        <v>6966</v>
      </c>
      <c r="AZ1132">
        <v>0.126781</v>
      </c>
      <c r="BA1132">
        <v>2.5799999999999998E-4</v>
      </c>
    </row>
    <row r="1133" spans="1:53" x14ac:dyDescent="0.25">
      <c r="A1133">
        <v>1131</v>
      </c>
      <c r="B1133" t="s">
        <v>7625</v>
      </c>
      <c r="C1133">
        <v>503074</v>
      </c>
      <c r="D1133" t="s">
        <v>282</v>
      </c>
      <c r="E1133" t="s">
        <v>3220</v>
      </c>
      <c r="F1133">
        <v>0</v>
      </c>
      <c r="G1133">
        <v>27114.195313</v>
      </c>
      <c r="H1133">
        <v>1133</v>
      </c>
      <c r="I1133">
        <v>1347</v>
      </c>
      <c r="J1133">
        <v>23667</v>
      </c>
      <c r="K1133" t="s">
        <v>1790</v>
      </c>
      <c r="L1133">
        <v>4</v>
      </c>
      <c r="M1133">
        <v>4</v>
      </c>
      <c r="N1133">
        <v>23667</v>
      </c>
      <c r="O1133">
        <v>1109</v>
      </c>
      <c r="P1133" t="s">
        <v>3212</v>
      </c>
      <c r="Q1133">
        <v>1.1000000000000001</v>
      </c>
      <c r="R1133">
        <v>92.2</v>
      </c>
      <c r="S1133">
        <v>0.23</v>
      </c>
      <c r="T1133">
        <v>20</v>
      </c>
      <c r="U1133">
        <v>0</v>
      </c>
      <c r="V1133">
        <v>27114.195871</v>
      </c>
      <c r="W1133">
        <v>1132</v>
      </c>
      <c r="X1133">
        <v>0</v>
      </c>
      <c r="Y1133">
        <v>1131</v>
      </c>
      <c r="Z1133" t="s">
        <v>6966</v>
      </c>
      <c r="AA1133" t="s">
        <v>6966</v>
      </c>
      <c r="AB1133" t="s">
        <v>6966</v>
      </c>
      <c r="AC1133" t="s">
        <v>6966</v>
      </c>
      <c r="AD1133" t="s">
        <v>6966</v>
      </c>
      <c r="AE1133" t="s">
        <v>6966</v>
      </c>
      <c r="AF1133" t="s">
        <v>6966</v>
      </c>
      <c r="AG1133" t="s">
        <v>6966</v>
      </c>
      <c r="AH1133" t="s">
        <v>6966</v>
      </c>
      <c r="AI1133" t="s">
        <v>6966</v>
      </c>
      <c r="AJ1133" t="s">
        <v>6966</v>
      </c>
      <c r="AK1133" t="s">
        <v>6966</v>
      </c>
      <c r="AL1133" t="s">
        <v>6966</v>
      </c>
      <c r="AM1133" t="s">
        <v>6966</v>
      </c>
      <c r="AN1133" t="s">
        <v>6966</v>
      </c>
      <c r="AO1133" t="s">
        <v>6966</v>
      </c>
      <c r="AP1133" t="s">
        <v>6966</v>
      </c>
      <c r="AQ1133" t="s">
        <v>6966</v>
      </c>
      <c r="AR1133" t="s">
        <v>6966</v>
      </c>
      <c r="AS1133" t="s">
        <v>6966</v>
      </c>
      <c r="AT1133" t="s">
        <v>6966</v>
      </c>
      <c r="AU1133" t="s">
        <v>6966</v>
      </c>
      <c r="AV1133" t="s">
        <v>6966</v>
      </c>
      <c r="AW1133" t="s">
        <v>6966</v>
      </c>
      <c r="AX1133" t="s">
        <v>6966</v>
      </c>
      <c r="AY1133" t="s">
        <v>6966</v>
      </c>
      <c r="AZ1133">
        <v>0.26740999999999998</v>
      </c>
      <c r="BA1133">
        <v>1.792E-3</v>
      </c>
    </row>
    <row r="1134" spans="1:53" x14ac:dyDescent="0.25">
      <c r="A1134">
        <v>1132</v>
      </c>
      <c r="B1134" t="s">
        <v>7625</v>
      </c>
      <c r="C1134">
        <v>503090</v>
      </c>
      <c r="D1134" t="s">
        <v>198</v>
      </c>
      <c r="E1134" t="s">
        <v>3220</v>
      </c>
      <c r="F1134">
        <v>597700.5</v>
      </c>
      <c r="G1134">
        <v>5277.2250979999999</v>
      </c>
      <c r="H1134">
        <v>1134</v>
      </c>
      <c r="I1134">
        <v>1348</v>
      </c>
      <c r="J1134">
        <v>23237</v>
      </c>
      <c r="K1134" t="s">
        <v>1721</v>
      </c>
      <c r="L1134">
        <v>4</v>
      </c>
      <c r="M1134">
        <v>4</v>
      </c>
      <c r="N1134">
        <v>23237</v>
      </c>
      <c r="O1134">
        <v>1110</v>
      </c>
      <c r="P1134" t="s">
        <v>3212</v>
      </c>
      <c r="Q1134">
        <v>0</v>
      </c>
      <c r="R1134">
        <v>0</v>
      </c>
      <c r="S1134">
        <v>7.0000000000000007E-2</v>
      </c>
      <c r="T1134">
        <v>0</v>
      </c>
      <c r="U1134">
        <v>597700.49943900004</v>
      </c>
      <c r="V1134">
        <v>5277.225606</v>
      </c>
      <c r="W1134">
        <v>1133</v>
      </c>
      <c r="X1134">
        <v>0</v>
      </c>
      <c r="Y1134">
        <v>1132</v>
      </c>
      <c r="Z1134" t="s">
        <v>6966</v>
      </c>
      <c r="AA1134" t="s">
        <v>6966</v>
      </c>
      <c r="AB1134" t="s">
        <v>6966</v>
      </c>
      <c r="AC1134" t="s">
        <v>6966</v>
      </c>
      <c r="AD1134" t="s">
        <v>6966</v>
      </c>
      <c r="AE1134" t="s">
        <v>6966</v>
      </c>
      <c r="AF1134" t="s">
        <v>6966</v>
      </c>
      <c r="AG1134" t="s">
        <v>6966</v>
      </c>
      <c r="AH1134" t="s">
        <v>6966</v>
      </c>
      <c r="AI1134" t="s">
        <v>6966</v>
      </c>
      <c r="AJ1134" t="s">
        <v>6966</v>
      </c>
      <c r="AK1134" t="s">
        <v>6966</v>
      </c>
      <c r="AL1134" t="s">
        <v>6966</v>
      </c>
      <c r="AM1134" t="s">
        <v>6966</v>
      </c>
      <c r="AN1134" t="s">
        <v>6966</v>
      </c>
      <c r="AO1134" t="s">
        <v>6966</v>
      </c>
      <c r="AP1134" t="s">
        <v>6966</v>
      </c>
      <c r="AQ1134" t="s">
        <v>6966</v>
      </c>
      <c r="AR1134" t="s">
        <v>6966</v>
      </c>
      <c r="AS1134" t="s">
        <v>6966</v>
      </c>
      <c r="AT1134" t="s">
        <v>6966</v>
      </c>
      <c r="AU1134" t="s">
        <v>6966</v>
      </c>
      <c r="AV1134" t="s">
        <v>6966</v>
      </c>
      <c r="AW1134" t="s">
        <v>6966</v>
      </c>
      <c r="AX1134" t="s">
        <v>6966</v>
      </c>
      <c r="AY1134" t="s">
        <v>6966</v>
      </c>
      <c r="AZ1134">
        <v>5.2630000000000003E-2</v>
      </c>
      <c r="BA1134">
        <v>5.8E-5</v>
      </c>
    </row>
    <row r="1135" spans="1:53" x14ac:dyDescent="0.25">
      <c r="A1135">
        <v>1133</v>
      </c>
      <c r="B1135" t="s">
        <v>7625</v>
      </c>
      <c r="C1135">
        <v>503024</v>
      </c>
      <c r="D1135" t="s">
        <v>7998</v>
      </c>
      <c r="E1135" t="s">
        <v>3220</v>
      </c>
      <c r="F1135">
        <v>5491553</v>
      </c>
      <c r="G1135">
        <v>12649.675781</v>
      </c>
      <c r="H1135">
        <v>1135</v>
      </c>
      <c r="I1135">
        <v>1349</v>
      </c>
      <c r="J1135">
        <v>23615</v>
      </c>
      <c r="K1135" t="s">
        <v>7998</v>
      </c>
      <c r="L1135">
        <v>4</v>
      </c>
      <c r="M1135">
        <v>4</v>
      </c>
      <c r="N1135">
        <v>23615</v>
      </c>
      <c r="O1135">
        <v>1111</v>
      </c>
      <c r="P1135" t="s">
        <v>3212</v>
      </c>
      <c r="Q1135">
        <v>2.1</v>
      </c>
      <c r="R1135">
        <v>38.31</v>
      </c>
      <c r="S1135">
        <v>0.44</v>
      </c>
      <c r="T1135">
        <v>8</v>
      </c>
      <c r="U1135">
        <v>5491552.7535100002</v>
      </c>
      <c r="V1135">
        <v>12649.674564999999</v>
      </c>
      <c r="W1135">
        <v>1134</v>
      </c>
      <c r="X1135">
        <v>0</v>
      </c>
      <c r="Y1135">
        <v>1133</v>
      </c>
      <c r="Z1135" t="s">
        <v>6966</v>
      </c>
      <c r="AA1135" t="s">
        <v>6966</v>
      </c>
      <c r="AB1135" t="s">
        <v>6966</v>
      </c>
      <c r="AC1135" t="s">
        <v>6966</v>
      </c>
      <c r="AD1135" t="s">
        <v>6966</v>
      </c>
      <c r="AE1135" t="s">
        <v>6966</v>
      </c>
      <c r="AF1135" t="s">
        <v>6966</v>
      </c>
      <c r="AG1135" t="s">
        <v>6966</v>
      </c>
      <c r="AH1135" t="s">
        <v>6966</v>
      </c>
      <c r="AI1135" t="s">
        <v>6966</v>
      </c>
      <c r="AJ1135" t="s">
        <v>6966</v>
      </c>
      <c r="AK1135" t="s">
        <v>6966</v>
      </c>
      <c r="AL1135" t="s">
        <v>6966</v>
      </c>
      <c r="AM1135" t="s">
        <v>6966</v>
      </c>
      <c r="AN1135" t="s">
        <v>6966</v>
      </c>
      <c r="AO1135" t="s">
        <v>6966</v>
      </c>
      <c r="AP1135" t="s">
        <v>6966</v>
      </c>
      <c r="AQ1135" t="s">
        <v>6966</v>
      </c>
      <c r="AR1135" t="s">
        <v>6966</v>
      </c>
      <c r="AS1135" t="s">
        <v>6966</v>
      </c>
      <c r="AT1135" t="s">
        <v>6966</v>
      </c>
      <c r="AU1135" t="s">
        <v>6966</v>
      </c>
      <c r="AV1135" t="s">
        <v>6966</v>
      </c>
      <c r="AW1135" t="s">
        <v>6966</v>
      </c>
      <c r="AX1135" t="s">
        <v>6966</v>
      </c>
      <c r="AY1135" t="s">
        <v>6966</v>
      </c>
      <c r="AZ1135">
        <v>0.12704399999999999</v>
      </c>
      <c r="BA1135">
        <v>5.3399999999999997E-4</v>
      </c>
    </row>
    <row r="1136" spans="1:53" x14ac:dyDescent="0.25">
      <c r="A1136">
        <v>1134</v>
      </c>
      <c r="B1136" t="s">
        <v>7625</v>
      </c>
      <c r="C1136">
        <v>503031</v>
      </c>
      <c r="D1136" t="s">
        <v>209</v>
      </c>
      <c r="E1136" t="s">
        <v>3220</v>
      </c>
      <c r="F1136">
        <v>774956.625</v>
      </c>
      <c r="G1136">
        <v>3861.3095699999999</v>
      </c>
      <c r="H1136">
        <v>1136</v>
      </c>
      <c r="I1136">
        <v>1350</v>
      </c>
      <c r="J1136">
        <v>23275</v>
      </c>
      <c r="K1136" t="s">
        <v>1729</v>
      </c>
      <c r="L1136">
        <v>4</v>
      </c>
      <c r="M1136">
        <v>4</v>
      </c>
      <c r="N1136">
        <v>23275</v>
      </c>
      <c r="O1136">
        <v>1112</v>
      </c>
      <c r="P1136" t="s">
        <v>3212</v>
      </c>
      <c r="Q1136">
        <v>0</v>
      </c>
      <c r="R1136">
        <v>0</v>
      </c>
      <c r="S1136">
        <v>0.15</v>
      </c>
      <c r="T1136">
        <v>0</v>
      </c>
      <c r="U1136">
        <v>774956.63487199997</v>
      </c>
      <c r="V1136">
        <v>3861.3094999999998</v>
      </c>
      <c r="W1136">
        <v>1135</v>
      </c>
      <c r="X1136">
        <v>0</v>
      </c>
      <c r="Y1136">
        <v>1134</v>
      </c>
      <c r="Z1136" t="s">
        <v>6966</v>
      </c>
      <c r="AA1136" t="s">
        <v>6966</v>
      </c>
      <c r="AB1136" t="s">
        <v>6966</v>
      </c>
      <c r="AC1136" t="s">
        <v>6966</v>
      </c>
      <c r="AD1136" t="s">
        <v>6966</v>
      </c>
      <c r="AE1136" t="s">
        <v>6966</v>
      </c>
      <c r="AF1136" t="s">
        <v>6966</v>
      </c>
      <c r="AG1136" t="s">
        <v>6966</v>
      </c>
      <c r="AH1136" t="s">
        <v>6966</v>
      </c>
      <c r="AI1136" t="s">
        <v>6966</v>
      </c>
      <c r="AJ1136" t="s">
        <v>6966</v>
      </c>
      <c r="AK1136" t="s">
        <v>6966</v>
      </c>
      <c r="AL1136" t="s">
        <v>6966</v>
      </c>
      <c r="AM1136" t="s">
        <v>6966</v>
      </c>
      <c r="AN1136" t="s">
        <v>6966</v>
      </c>
      <c r="AO1136" t="s">
        <v>6966</v>
      </c>
      <c r="AP1136" t="s">
        <v>6966</v>
      </c>
      <c r="AQ1136" t="s">
        <v>6966</v>
      </c>
      <c r="AR1136" t="s">
        <v>6966</v>
      </c>
      <c r="AS1136" t="s">
        <v>6966</v>
      </c>
      <c r="AT1136" t="s">
        <v>6966</v>
      </c>
      <c r="AU1136" t="s">
        <v>6966</v>
      </c>
      <c r="AV1136" t="s">
        <v>6966</v>
      </c>
      <c r="AW1136" t="s">
        <v>6966</v>
      </c>
      <c r="AX1136" t="s">
        <v>6966</v>
      </c>
      <c r="AY1136" t="s">
        <v>6966</v>
      </c>
      <c r="AZ1136">
        <v>3.8349000000000001E-2</v>
      </c>
      <c r="BA1136">
        <v>7.4999999999999993E-5</v>
      </c>
    </row>
    <row r="1137" spans="1:53" x14ac:dyDescent="0.25">
      <c r="A1137">
        <v>1135</v>
      </c>
      <c r="B1137" t="s">
        <v>7625</v>
      </c>
      <c r="C1137">
        <v>402038</v>
      </c>
      <c r="D1137" t="s">
        <v>87</v>
      </c>
      <c r="E1137" t="s">
        <v>7999</v>
      </c>
      <c r="F1137">
        <v>2644484</v>
      </c>
      <c r="G1137">
        <v>7722.1635740000002</v>
      </c>
      <c r="H1137">
        <v>1137</v>
      </c>
      <c r="I1137">
        <v>1351</v>
      </c>
      <c r="J1137">
        <v>55001</v>
      </c>
      <c r="K1137" t="s">
        <v>87</v>
      </c>
      <c r="L1137">
        <v>19</v>
      </c>
      <c r="M1137">
        <v>19</v>
      </c>
      <c r="N1137">
        <v>55001</v>
      </c>
      <c r="O1137">
        <v>1113</v>
      </c>
      <c r="P1137" t="s">
        <v>3214</v>
      </c>
      <c r="Q1137">
        <v>0</v>
      </c>
      <c r="R1137">
        <v>0</v>
      </c>
      <c r="S1137">
        <v>0</v>
      </c>
      <c r="T1137">
        <v>0</v>
      </c>
      <c r="U1137">
        <v>2644484.11295</v>
      </c>
      <c r="V1137">
        <v>7722.1628000000001</v>
      </c>
      <c r="W1137">
        <v>1136</v>
      </c>
      <c r="X1137">
        <v>0</v>
      </c>
      <c r="Y1137">
        <v>1135</v>
      </c>
      <c r="Z1137" t="s">
        <v>6966</v>
      </c>
      <c r="AA1137" t="s">
        <v>6966</v>
      </c>
      <c r="AB1137" t="s">
        <v>6966</v>
      </c>
      <c r="AC1137" t="s">
        <v>6966</v>
      </c>
      <c r="AD1137" t="s">
        <v>6966</v>
      </c>
      <c r="AE1137" t="s">
        <v>6966</v>
      </c>
      <c r="AF1137" t="s">
        <v>6966</v>
      </c>
      <c r="AG1137" t="s">
        <v>6966</v>
      </c>
      <c r="AH1137" t="s">
        <v>6966</v>
      </c>
      <c r="AI1137" t="s">
        <v>6966</v>
      </c>
      <c r="AJ1137" t="s">
        <v>6966</v>
      </c>
      <c r="AK1137" t="s">
        <v>6966</v>
      </c>
      <c r="AL1137" t="s">
        <v>6966</v>
      </c>
      <c r="AM1137" t="s">
        <v>6966</v>
      </c>
      <c r="AN1137" t="s">
        <v>6966</v>
      </c>
      <c r="AO1137" t="s">
        <v>6966</v>
      </c>
      <c r="AP1137" t="s">
        <v>6966</v>
      </c>
      <c r="AQ1137" t="s">
        <v>6966</v>
      </c>
      <c r="AR1137" t="s">
        <v>6966</v>
      </c>
      <c r="AS1137" t="s">
        <v>6966</v>
      </c>
      <c r="AT1137" t="s">
        <v>6966</v>
      </c>
      <c r="AU1137" t="s">
        <v>6966</v>
      </c>
      <c r="AV1137" t="s">
        <v>6966</v>
      </c>
      <c r="AW1137" t="s">
        <v>6966</v>
      </c>
      <c r="AX1137" t="s">
        <v>6966</v>
      </c>
      <c r="AY1137" t="s">
        <v>6966</v>
      </c>
      <c r="AZ1137">
        <v>7.5939999999999994E-2</v>
      </c>
      <c r="BA1137">
        <v>2.5700000000000001E-4</v>
      </c>
    </row>
    <row r="1138" spans="1:53" x14ac:dyDescent="0.25">
      <c r="A1138">
        <v>1136</v>
      </c>
      <c r="B1138" t="s">
        <v>7625</v>
      </c>
      <c r="C1138">
        <v>503093</v>
      </c>
      <c r="D1138" t="s">
        <v>263</v>
      </c>
      <c r="E1138" t="s">
        <v>3220</v>
      </c>
      <c r="F1138">
        <v>888848.4375</v>
      </c>
      <c r="G1138">
        <v>4402.8383789999998</v>
      </c>
      <c r="H1138">
        <v>1138</v>
      </c>
      <c r="I1138">
        <v>1352</v>
      </c>
      <c r="J1138">
        <v>23555</v>
      </c>
      <c r="K1138" t="s">
        <v>1777</v>
      </c>
      <c r="L1138">
        <v>4</v>
      </c>
      <c r="M1138">
        <v>4</v>
      </c>
      <c r="N1138">
        <v>23555</v>
      </c>
      <c r="O1138">
        <v>1114</v>
      </c>
      <c r="P1138" t="s">
        <v>3212</v>
      </c>
      <c r="Q1138">
        <v>1.7</v>
      </c>
      <c r="R1138">
        <v>23</v>
      </c>
      <c r="S1138">
        <v>0.36</v>
      </c>
      <c r="T1138">
        <v>5</v>
      </c>
      <c r="U1138">
        <v>888848.40998300002</v>
      </c>
      <c r="V1138">
        <v>4402.8383839999997</v>
      </c>
      <c r="W1138">
        <v>1137</v>
      </c>
      <c r="X1138">
        <v>0</v>
      </c>
      <c r="Y1138">
        <v>1136</v>
      </c>
      <c r="Z1138" t="s">
        <v>6966</v>
      </c>
      <c r="AA1138" t="s">
        <v>6966</v>
      </c>
      <c r="AB1138" t="s">
        <v>6966</v>
      </c>
      <c r="AC1138" t="s">
        <v>6966</v>
      </c>
      <c r="AD1138" t="s">
        <v>6966</v>
      </c>
      <c r="AE1138" t="s">
        <v>6966</v>
      </c>
      <c r="AF1138" t="s">
        <v>6966</v>
      </c>
      <c r="AG1138" t="s">
        <v>6966</v>
      </c>
      <c r="AH1138" t="s">
        <v>6966</v>
      </c>
      <c r="AI1138" t="s">
        <v>6966</v>
      </c>
      <c r="AJ1138" t="s">
        <v>6966</v>
      </c>
      <c r="AK1138" t="s">
        <v>6966</v>
      </c>
      <c r="AL1138" t="s">
        <v>6966</v>
      </c>
      <c r="AM1138" t="s">
        <v>6966</v>
      </c>
      <c r="AN1138" t="s">
        <v>6966</v>
      </c>
      <c r="AO1138" t="s">
        <v>6966</v>
      </c>
      <c r="AP1138" t="s">
        <v>6966</v>
      </c>
      <c r="AQ1138" t="s">
        <v>6966</v>
      </c>
      <c r="AR1138" t="s">
        <v>6966</v>
      </c>
      <c r="AS1138" t="s">
        <v>6966</v>
      </c>
      <c r="AT1138" t="s">
        <v>6966</v>
      </c>
      <c r="AU1138" t="s">
        <v>6966</v>
      </c>
      <c r="AV1138" t="s">
        <v>6966</v>
      </c>
      <c r="AW1138" t="s">
        <v>6966</v>
      </c>
      <c r="AX1138" t="s">
        <v>6966</v>
      </c>
      <c r="AY1138" t="s">
        <v>6966</v>
      </c>
      <c r="AZ1138">
        <v>4.428E-2</v>
      </c>
      <c r="BA1138">
        <v>8.6000000000000003E-5</v>
      </c>
    </row>
    <row r="1139" spans="1:53" x14ac:dyDescent="0.25">
      <c r="A1139">
        <v>1137</v>
      </c>
      <c r="B1139" t="s">
        <v>7625</v>
      </c>
      <c r="C1139">
        <v>401017</v>
      </c>
      <c r="D1139" t="s">
        <v>1037</v>
      </c>
      <c r="E1139" t="s">
        <v>3221</v>
      </c>
      <c r="F1139">
        <v>0</v>
      </c>
      <c r="G1139">
        <v>19434.685547000001</v>
      </c>
      <c r="H1139">
        <v>1139</v>
      </c>
      <c r="I1139">
        <v>1353</v>
      </c>
      <c r="J1139">
        <v>52156</v>
      </c>
      <c r="K1139" t="s">
        <v>2034</v>
      </c>
      <c r="L1139">
        <v>16</v>
      </c>
      <c r="M1139">
        <v>16</v>
      </c>
      <c r="N1139">
        <v>52156</v>
      </c>
      <c r="O1139">
        <v>1115</v>
      </c>
      <c r="P1139" t="s">
        <v>3214</v>
      </c>
      <c r="Q1139">
        <v>0.7</v>
      </c>
      <c r="R1139">
        <v>125.07</v>
      </c>
      <c r="S1139">
        <v>0.14000000000000001</v>
      </c>
      <c r="T1139">
        <v>26</v>
      </c>
      <c r="U1139">
        <v>0</v>
      </c>
      <c r="V1139">
        <v>19434.685516000001</v>
      </c>
      <c r="W1139">
        <v>1138</v>
      </c>
      <c r="X1139">
        <v>0</v>
      </c>
      <c r="Y1139">
        <v>1137</v>
      </c>
      <c r="Z1139" t="s">
        <v>6966</v>
      </c>
      <c r="AA1139" t="s">
        <v>6966</v>
      </c>
      <c r="AB1139" t="s">
        <v>6966</v>
      </c>
      <c r="AC1139" t="s">
        <v>6966</v>
      </c>
      <c r="AD1139" t="s">
        <v>6966</v>
      </c>
      <c r="AE1139" t="s">
        <v>6966</v>
      </c>
      <c r="AF1139" t="s">
        <v>6966</v>
      </c>
      <c r="AG1139" t="s">
        <v>6966</v>
      </c>
      <c r="AH1139" t="s">
        <v>6966</v>
      </c>
      <c r="AI1139" t="s">
        <v>6966</v>
      </c>
      <c r="AJ1139" t="s">
        <v>6966</v>
      </c>
      <c r="AK1139" t="s">
        <v>6966</v>
      </c>
      <c r="AL1139" t="s">
        <v>6966</v>
      </c>
      <c r="AM1139" t="s">
        <v>6966</v>
      </c>
      <c r="AN1139" t="s">
        <v>6966</v>
      </c>
      <c r="AO1139" t="s">
        <v>6966</v>
      </c>
      <c r="AP1139" t="s">
        <v>6966</v>
      </c>
      <c r="AQ1139" t="s">
        <v>6966</v>
      </c>
      <c r="AR1139" t="s">
        <v>6966</v>
      </c>
      <c r="AS1139" t="s">
        <v>6966</v>
      </c>
      <c r="AT1139" t="s">
        <v>6966</v>
      </c>
      <c r="AU1139" t="s">
        <v>6966</v>
      </c>
      <c r="AV1139" t="s">
        <v>6966</v>
      </c>
      <c r="AW1139" t="s">
        <v>6966</v>
      </c>
      <c r="AX1139" t="s">
        <v>6966</v>
      </c>
      <c r="AY1139" t="s">
        <v>6966</v>
      </c>
      <c r="AZ1139">
        <v>0.19151199999999999</v>
      </c>
      <c r="BA1139">
        <v>1.696E-3</v>
      </c>
    </row>
    <row r="1140" spans="1:53" x14ac:dyDescent="0.25">
      <c r="A1140">
        <v>1138</v>
      </c>
      <c r="B1140" t="s">
        <v>7625</v>
      </c>
      <c r="C1140">
        <v>503020</v>
      </c>
      <c r="D1140" t="s">
        <v>206</v>
      </c>
      <c r="E1140" t="s">
        <v>3220</v>
      </c>
      <c r="F1140">
        <v>522764.65625</v>
      </c>
      <c r="G1140">
        <v>3235.898193</v>
      </c>
      <c r="H1140">
        <v>1140</v>
      </c>
      <c r="I1140">
        <v>1354</v>
      </c>
      <c r="J1140">
        <v>23263</v>
      </c>
      <c r="K1140" t="s">
        <v>8000</v>
      </c>
      <c r="L1140">
        <v>4</v>
      </c>
      <c r="M1140">
        <v>4</v>
      </c>
      <c r="N1140">
        <v>23263</v>
      </c>
      <c r="O1140">
        <v>1116</v>
      </c>
      <c r="P1140" t="s">
        <v>3212</v>
      </c>
      <c r="Q1140">
        <v>1.7</v>
      </c>
      <c r="R1140">
        <v>21.24</v>
      </c>
      <c r="S1140">
        <v>0.34</v>
      </c>
      <c r="T1140">
        <v>4</v>
      </c>
      <c r="U1140">
        <v>522764.68710099999</v>
      </c>
      <c r="V1140">
        <v>3235.8980190000002</v>
      </c>
      <c r="W1140">
        <v>1139</v>
      </c>
      <c r="X1140">
        <v>0</v>
      </c>
      <c r="Y1140">
        <v>1138</v>
      </c>
      <c r="Z1140" t="s">
        <v>6966</v>
      </c>
      <c r="AA1140" t="s">
        <v>6966</v>
      </c>
      <c r="AB1140" t="s">
        <v>6966</v>
      </c>
      <c r="AC1140" t="s">
        <v>6966</v>
      </c>
      <c r="AD1140" t="s">
        <v>6966</v>
      </c>
      <c r="AE1140" t="s">
        <v>6966</v>
      </c>
      <c r="AF1140" t="s">
        <v>6966</v>
      </c>
      <c r="AG1140" t="s">
        <v>6966</v>
      </c>
      <c r="AH1140" t="s">
        <v>6966</v>
      </c>
      <c r="AI1140" t="s">
        <v>6966</v>
      </c>
      <c r="AJ1140" t="s">
        <v>6966</v>
      </c>
      <c r="AK1140" t="s">
        <v>6966</v>
      </c>
      <c r="AL1140" t="s">
        <v>6966</v>
      </c>
      <c r="AM1140" t="s">
        <v>6966</v>
      </c>
      <c r="AN1140" t="s">
        <v>6966</v>
      </c>
      <c r="AO1140" t="s">
        <v>6966</v>
      </c>
      <c r="AP1140" t="s">
        <v>6966</v>
      </c>
      <c r="AQ1140" t="s">
        <v>6966</v>
      </c>
      <c r="AR1140" t="s">
        <v>6966</v>
      </c>
      <c r="AS1140" t="s">
        <v>6966</v>
      </c>
      <c r="AT1140" t="s">
        <v>6966</v>
      </c>
      <c r="AU1140" t="s">
        <v>6966</v>
      </c>
      <c r="AV1140" t="s">
        <v>6966</v>
      </c>
      <c r="AW1140" t="s">
        <v>6966</v>
      </c>
      <c r="AX1140" t="s">
        <v>6966</v>
      </c>
      <c r="AY1140" t="s">
        <v>6966</v>
      </c>
      <c r="AZ1140">
        <v>3.2106999999999997E-2</v>
      </c>
      <c r="BA1140">
        <v>5.1E-5</v>
      </c>
    </row>
    <row r="1141" spans="1:53" x14ac:dyDescent="0.25">
      <c r="A1141">
        <v>1139</v>
      </c>
      <c r="B1141" t="s">
        <v>7625</v>
      </c>
      <c r="C1141">
        <v>402006</v>
      </c>
      <c r="D1141" t="s">
        <v>1188</v>
      </c>
      <c r="E1141" t="s">
        <v>7999</v>
      </c>
      <c r="F1141">
        <v>0</v>
      </c>
      <c r="G1141">
        <v>34341.496094000002</v>
      </c>
      <c r="H1141">
        <v>1141</v>
      </c>
      <c r="I1141">
        <v>1355</v>
      </c>
      <c r="J1141">
        <v>55194</v>
      </c>
      <c r="K1141" t="s">
        <v>8001</v>
      </c>
      <c r="L1141">
        <v>19</v>
      </c>
      <c r="M1141">
        <v>19</v>
      </c>
      <c r="N1141">
        <v>55194</v>
      </c>
      <c r="O1141">
        <v>1117</v>
      </c>
      <c r="P1141" t="s">
        <v>3214</v>
      </c>
      <c r="Q1141">
        <v>0.6</v>
      </c>
      <c r="R1141">
        <v>67.150000000000006</v>
      </c>
      <c r="S1141">
        <v>0.13</v>
      </c>
      <c r="T1141">
        <v>15</v>
      </c>
      <c r="U1141">
        <v>0</v>
      </c>
      <c r="V1141">
        <v>34341.494629000001</v>
      </c>
      <c r="W1141">
        <v>1140</v>
      </c>
      <c r="X1141">
        <v>1</v>
      </c>
      <c r="Y1141">
        <v>1139</v>
      </c>
      <c r="Z1141">
        <v>72341</v>
      </c>
      <c r="AA1141" s="76">
        <v>45938</v>
      </c>
      <c r="AB1141">
        <v>2025</v>
      </c>
      <c r="AC1141" t="s">
        <v>7473</v>
      </c>
      <c r="AD1141">
        <v>8</v>
      </c>
      <c r="AE1141" t="s">
        <v>7486</v>
      </c>
      <c r="AF1141" t="s">
        <v>3214</v>
      </c>
      <c r="AG1141" t="s">
        <v>3222</v>
      </c>
      <c r="AH1141" t="s">
        <v>1188</v>
      </c>
      <c r="AI1141" t="s">
        <v>7487</v>
      </c>
      <c r="AJ1141" t="s">
        <v>6966</v>
      </c>
      <c r="AK1141">
        <v>33.635509999999996</v>
      </c>
      <c r="AL1141">
        <v>35.871969999999997</v>
      </c>
      <c r="AM1141" t="s">
        <v>7059</v>
      </c>
      <c r="AN1141" t="s">
        <v>6966</v>
      </c>
      <c r="AO1141" t="s">
        <v>7301</v>
      </c>
      <c r="AP1141" t="s">
        <v>7488</v>
      </c>
      <c r="AQ1141" t="s">
        <v>6998</v>
      </c>
      <c r="AR1141" t="s">
        <v>6999</v>
      </c>
      <c r="AS1141" t="s">
        <v>7000</v>
      </c>
      <c r="AT1141">
        <v>0</v>
      </c>
      <c r="AU1141">
        <v>0</v>
      </c>
      <c r="AV1141" t="s">
        <v>7489</v>
      </c>
      <c r="AW1141" t="s">
        <v>7043</v>
      </c>
      <c r="AX1141" t="s">
        <v>6966</v>
      </c>
      <c r="AY1141" t="s">
        <v>7003</v>
      </c>
      <c r="AZ1141">
        <v>0.34281</v>
      </c>
      <c r="BA1141">
        <v>2.5100000000000001E-3</v>
      </c>
    </row>
    <row r="1142" spans="1:53" x14ac:dyDescent="0.25">
      <c r="A1142">
        <v>1140</v>
      </c>
      <c r="B1142" t="s">
        <v>7625</v>
      </c>
      <c r="C1142">
        <v>503022</v>
      </c>
      <c r="D1142" t="s">
        <v>203</v>
      </c>
      <c r="E1142" t="s">
        <v>3220</v>
      </c>
      <c r="F1142">
        <v>1217968.875</v>
      </c>
      <c r="G1142">
        <v>7694.8837890000004</v>
      </c>
      <c r="H1142">
        <v>1142</v>
      </c>
      <c r="I1142">
        <v>1356</v>
      </c>
      <c r="J1142">
        <v>23253</v>
      </c>
      <c r="K1142" t="s">
        <v>1725</v>
      </c>
      <c r="L1142">
        <v>4</v>
      </c>
      <c r="M1142">
        <v>4</v>
      </c>
      <c r="N1142">
        <v>23253</v>
      </c>
      <c r="O1142">
        <v>1118</v>
      </c>
      <c r="P1142" t="s">
        <v>3212</v>
      </c>
      <c r="Q1142">
        <v>0</v>
      </c>
      <c r="R1142">
        <v>0</v>
      </c>
      <c r="S1142">
        <v>7.0000000000000007E-2</v>
      </c>
      <c r="T1142">
        <v>11</v>
      </c>
      <c r="U1142">
        <v>1217968.90909</v>
      </c>
      <c r="V1142">
        <v>7694.8833869999999</v>
      </c>
      <c r="W1142">
        <v>1141</v>
      </c>
      <c r="X1142">
        <v>0</v>
      </c>
      <c r="Y1142">
        <v>1140</v>
      </c>
      <c r="Z1142" t="s">
        <v>6966</v>
      </c>
      <c r="AA1142" t="s">
        <v>6966</v>
      </c>
      <c r="AB1142" t="s">
        <v>6966</v>
      </c>
      <c r="AC1142" t="s">
        <v>6966</v>
      </c>
      <c r="AD1142" t="s">
        <v>6966</v>
      </c>
      <c r="AE1142" t="s">
        <v>6966</v>
      </c>
      <c r="AF1142" t="s">
        <v>6966</v>
      </c>
      <c r="AG1142" t="s">
        <v>6966</v>
      </c>
      <c r="AH1142" t="s">
        <v>6966</v>
      </c>
      <c r="AI1142" t="s">
        <v>6966</v>
      </c>
      <c r="AJ1142" t="s">
        <v>6966</v>
      </c>
      <c r="AK1142" t="s">
        <v>6966</v>
      </c>
      <c r="AL1142" t="s">
        <v>6966</v>
      </c>
      <c r="AM1142" t="s">
        <v>6966</v>
      </c>
      <c r="AN1142" t="s">
        <v>6966</v>
      </c>
      <c r="AO1142" t="s">
        <v>6966</v>
      </c>
      <c r="AP1142" t="s">
        <v>6966</v>
      </c>
      <c r="AQ1142" t="s">
        <v>6966</v>
      </c>
      <c r="AR1142" t="s">
        <v>6966</v>
      </c>
      <c r="AS1142" t="s">
        <v>6966</v>
      </c>
      <c r="AT1142" t="s">
        <v>6966</v>
      </c>
      <c r="AU1142" t="s">
        <v>6966</v>
      </c>
      <c r="AV1142" t="s">
        <v>6966</v>
      </c>
      <c r="AW1142" t="s">
        <v>6966</v>
      </c>
      <c r="AX1142" t="s">
        <v>6966</v>
      </c>
      <c r="AY1142" t="s">
        <v>6966</v>
      </c>
      <c r="AZ1142">
        <v>7.5966000000000006E-2</v>
      </c>
      <c r="BA1142">
        <v>1.18E-4</v>
      </c>
    </row>
    <row r="1143" spans="1:53" x14ac:dyDescent="0.25">
      <c r="A1143">
        <v>1141</v>
      </c>
      <c r="B1143" t="s">
        <v>7625</v>
      </c>
      <c r="C1143">
        <v>503054</v>
      </c>
      <c r="D1143" t="s">
        <v>270</v>
      </c>
      <c r="E1143" t="s">
        <v>3220</v>
      </c>
      <c r="F1143">
        <v>3578624.75</v>
      </c>
      <c r="G1143">
        <v>13987.663086</v>
      </c>
      <c r="H1143">
        <v>1143</v>
      </c>
      <c r="I1143">
        <v>1357</v>
      </c>
      <c r="J1143">
        <v>23623</v>
      </c>
      <c r="K1143" t="s">
        <v>8002</v>
      </c>
      <c r="L1143">
        <v>4</v>
      </c>
      <c r="M1143">
        <v>4</v>
      </c>
      <c r="N1143">
        <v>23623</v>
      </c>
      <c r="O1143">
        <v>1119</v>
      </c>
      <c r="P1143" t="s">
        <v>3212</v>
      </c>
      <c r="Q1143">
        <v>12.9</v>
      </c>
      <c r="R1143">
        <v>38.479999999999997</v>
      </c>
      <c r="S1143">
        <v>3.26</v>
      </c>
      <c r="T1143">
        <v>10</v>
      </c>
      <c r="U1143">
        <v>3578624.8347800002</v>
      </c>
      <c r="V1143">
        <v>13987.661928</v>
      </c>
      <c r="W1143">
        <v>1142</v>
      </c>
      <c r="X1143">
        <v>0</v>
      </c>
      <c r="Y1143">
        <v>1141</v>
      </c>
      <c r="Z1143" t="s">
        <v>6966</v>
      </c>
      <c r="AA1143" t="s">
        <v>6966</v>
      </c>
      <c r="AB1143" t="s">
        <v>6966</v>
      </c>
      <c r="AC1143" t="s">
        <v>6966</v>
      </c>
      <c r="AD1143" t="s">
        <v>6966</v>
      </c>
      <c r="AE1143" t="s">
        <v>6966</v>
      </c>
      <c r="AF1143" t="s">
        <v>6966</v>
      </c>
      <c r="AG1143" t="s">
        <v>6966</v>
      </c>
      <c r="AH1143" t="s">
        <v>6966</v>
      </c>
      <c r="AI1143" t="s">
        <v>6966</v>
      </c>
      <c r="AJ1143" t="s">
        <v>6966</v>
      </c>
      <c r="AK1143" t="s">
        <v>6966</v>
      </c>
      <c r="AL1143" t="s">
        <v>6966</v>
      </c>
      <c r="AM1143" t="s">
        <v>6966</v>
      </c>
      <c r="AN1143" t="s">
        <v>6966</v>
      </c>
      <c r="AO1143" t="s">
        <v>6966</v>
      </c>
      <c r="AP1143" t="s">
        <v>6966</v>
      </c>
      <c r="AQ1143" t="s">
        <v>6966</v>
      </c>
      <c r="AR1143" t="s">
        <v>6966</v>
      </c>
      <c r="AS1143" t="s">
        <v>6966</v>
      </c>
      <c r="AT1143" t="s">
        <v>6966</v>
      </c>
      <c r="AU1143" t="s">
        <v>6966</v>
      </c>
      <c r="AV1143" t="s">
        <v>6966</v>
      </c>
      <c r="AW1143" t="s">
        <v>6966</v>
      </c>
      <c r="AX1143" t="s">
        <v>6966</v>
      </c>
      <c r="AY1143" t="s">
        <v>6966</v>
      </c>
      <c r="AZ1143">
        <v>0.141176</v>
      </c>
      <c r="BA1143">
        <v>3.48E-4</v>
      </c>
    </row>
    <row r="1144" spans="1:53" x14ac:dyDescent="0.25">
      <c r="A1144">
        <v>1142</v>
      </c>
      <c r="B1144" t="s">
        <v>7625</v>
      </c>
      <c r="C1144">
        <v>503012</v>
      </c>
      <c r="D1144" t="s">
        <v>204</v>
      </c>
      <c r="E1144" t="s">
        <v>3220</v>
      </c>
      <c r="F1144">
        <v>5563961.5</v>
      </c>
      <c r="G1144">
        <v>13232.188477</v>
      </c>
      <c r="H1144">
        <v>1144</v>
      </c>
      <c r="I1144">
        <v>1358</v>
      </c>
      <c r="J1144">
        <v>23255</v>
      </c>
      <c r="K1144" t="s">
        <v>204</v>
      </c>
      <c r="L1144">
        <v>4</v>
      </c>
      <c r="M1144">
        <v>4</v>
      </c>
      <c r="N1144">
        <v>23255</v>
      </c>
      <c r="O1144">
        <v>1120</v>
      </c>
      <c r="P1144" t="s">
        <v>3212</v>
      </c>
      <c r="Q1144">
        <v>5.2</v>
      </c>
      <c r="R1144">
        <v>20.64</v>
      </c>
      <c r="S1144">
        <v>1.91</v>
      </c>
      <c r="T1144">
        <v>8</v>
      </c>
      <c r="U1144">
        <v>5563961.2088299999</v>
      </c>
      <c r="V1144">
        <v>13232.187916999999</v>
      </c>
      <c r="W1144">
        <v>1143</v>
      </c>
      <c r="X1144">
        <v>0</v>
      </c>
      <c r="Y1144">
        <v>1142</v>
      </c>
      <c r="Z1144" t="s">
        <v>6966</v>
      </c>
      <c r="AA1144" t="s">
        <v>6966</v>
      </c>
      <c r="AB1144" t="s">
        <v>6966</v>
      </c>
      <c r="AC1144" t="s">
        <v>6966</v>
      </c>
      <c r="AD1144" t="s">
        <v>6966</v>
      </c>
      <c r="AE1144" t="s">
        <v>6966</v>
      </c>
      <c r="AF1144" t="s">
        <v>6966</v>
      </c>
      <c r="AG1144" t="s">
        <v>6966</v>
      </c>
      <c r="AH1144" t="s">
        <v>6966</v>
      </c>
      <c r="AI1144" t="s">
        <v>6966</v>
      </c>
      <c r="AJ1144" t="s">
        <v>6966</v>
      </c>
      <c r="AK1144" t="s">
        <v>6966</v>
      </c>
      <c r="AL1144" t="s">
        <v>6966</v>
      </c>
      <c r="AM1144" t="s">
        <v>6966</v>
      </c>
      <c r="AN1144" t="s">
        <v>6966</v>
      </c>
      <c r="AO1144" t="s">
        <v>6966</v>
      </c>
      <c r="AP1144" t="s">
        <v>6966</v>
      </c>
      <c r="AQ1144" t="s">
        <v>6966</v>
      </c>
      <c r="AR1144" t="s">
        <v>6966</v>
      </c>
      <c r="AS1144" t="s">
        <v>6966</v>
      </c>
      <c r="AT1144" t="s">
        <v>6966</v>
      </c>
      <c r="AU1144" t="s">
        <v>6966</v>
      </c>
      <c r="AV1144" t="s">
        <v>6966</v>
      </c>
      <c r="AW1144" t="s">
        <v>6966</v>
      </c>
      <c r="AX1144" t="s">
        <v>6966</v>
      </c>
      <c r="AY1144" t="s">
        <v>6966</v>
      </c>
      <c r="AZ1144">
        <v>0.13089100000000001</v>
      </c>
      <c r="BA1144">
        <v>5.4100000000000003E-4</v>
      </c>
    </row>
    <row r="1145" spans="1:53" x14ac:dyDescent="0.25">
      <c r="A1145">
        <v>1143</v>
      </c>
      <c r="B1145" t="s">
        <v>7625</v>
      </c>
      <c r="C1145">
        <v>401036</v>
      </c>
      <c r="D1145" t="s">
        <v>1052</v>
      </c>
      <c r="E1145" t="s">
        <v>3221</v>
      </c>
      <c r="F1145">
        <v>1704103.125</v>
      </c>
      <c r="G1145">
        <v>6192.8847660000001</v>
      </c>
      <c r="H1145">
        <v>1145</v>
      </c>
      <c r="I1145">
        <v>1359</v>
      </c>
      <c r="J1145">
        <v>52241</v>
      </c>
      <c r="K1145" t="s">
        <v>1835</v>
      </c>
      <c r="L1145">
        <v>16</v>
      </c>
      <c r="M1145">
        <v>16</v>
      </c>
      <c r="N1145">
        <v>52241</v>
      </c>
      <c r="O1145">
        <v>1121</v>
      </c>
      <c r="P1145" t="s">
        <v>3214</v>
      </c>
      <c r="Q1145">
        <v>0.2</v>
      </c>
      <c r="R1145">
        <v>49.85</v>
      </c>
      <c r="S1145">
        <v>0.05</v>
      </c>
      <c r="T1145">
        <v>11</v>
      </c>
      <c r="U1145">
        <v>1704103.18245</v>
      </c>
      <c r="V1145">
        <v>6192.8854199999996</v>
      </c>
      <c r="W1145">
        <v>1144</v>
      </c>
      <c r="X1145">
        <v>0</v>
      </c>
      <c r="Y1145">
        <v>1143</v>
      </c>
      <c r="Z1145" t="s">
        <v>6966</v>
      </c>
      <c r="AA1145" t="s">
        <v>6966</v>
      </c>
      <c r="AB1145" t="s">
        <v>6966</v>
      </c>
      <c r="AC1145" t="s">
        <v>6966</v>
      </c>
      <c r="AD1145" t="s">
        <v>6966</v>
      </c>
      <c r="AE1145" t="s">
        <v>6966</v>
      </c>
      <c r="AF1145" t="s">
        <v>6966</v>
      </c>
      <c r="AG1145" t="s">
        <v>6966</v>
      </c>
      <c r="AH1145" t="s">
        <v>6966</v>
      </c>
      <c r="AI1145" t="s">
        <v>6966</v>
      </c>
      <c r="AJ1145" t="s">
        <v>6966</v>
      </c>
      <c r="AK1145" t="s">
        <v>6966</v>
      </c>
      <c r="AL1145" t="s">
        <v>6966</v>
      </c>
      <c r="AM1145" t="s">
        <v>6966</v>
      </c>
      <c r="AN1145" t="s">
        <v>6966</v>
      </c>
      <c r="AO1145" t="s">
        <v>6966</v>
      </c>
      <c r="AP1145" t="s">
        <v>6966</v>
      </c>
      <c r="AQ1145" t="s">
        <v>6966</v>
      </c>
      <c r="AR1145" t="s">
        <v>6966</v>
      </c>
      <c r="AS1145" t="s">
        <v>6966</v>
      </c>
      <c r="AT1145" t="s">
        <v>6966</v>
      </c>
      <c r="AU1145" t="s">
        <v>6966</v>
      </c>
      <c r="AV1145" t="s">
        <v>6966</v>
      </c>
      <c r="AW1145" t="s">
        <v>6966</v>
      </c>
      <c r="AX1145" t="s">
        <v>6966</v>
      </c>
      <c r="AY1145" t="s">
        <v>6966</v>
      </c>
      <c r="AZ1145">
        <v>6.1712999999999997E-2</v>
      </c>
      <c r="BA1145">
        <v>1.66E-4</v>
      </c>
    </row>
    <row r="1146" spans="1:53" x14ac:dyDescent="0.25">
      <c r="A1146">
        <v>1144</v>
      </c>
      <c r="B1146" t="s">
        <v>7625</v>
      </c>
      <c r="C1146">
        <v>503052</v>
      </c>
      <c r="D1146" t="s">
        <v>8003</v>
      </c>
      <c r="E1146" t="s">
        <v>3220</v>
      </c>
      <c r="F1146">
        <v>3297103.25</v>
      </c>
      <c r="G1146">
        <v>10904.586914</v>
      </c>
      <c r="H1146">
        <v>1146</v>
      </c>
      <c r="I1146">
        <v>1360</v>
      </c>
      <c r="J1146">
        <v>23577</v>
      </c>
      <c r="K1146" t="s">
        <v>1778</v>
      </c>
      <c r="L1146">
        <v>4</v>
      </c>
      <c r="M1146">
        <v>4</v>
      </c>
      <c r="N1146">
        <v>23577</v>
      </c>
      <c r="O1146">
        <v>1122</v>
      </c>
      <c r="P1146" t="s">
        <v>3212</v>
      </c>
      <c r="Q1146">
        <v>7.6</v>
      </c>
      <c r="R1146">
        <v>46.63</v>
      </c>
      <c r="S1146">
        <v>1.98</v>
      </c>
      <c r="T1146">
        <v>12</v>
      </c>
      <c r="U1146">
        <v>3297103.1271600001</v>
      </c>
      <c r="V1146">
        <v>10904.587702999999</v>
      </c>
      <c r="W1146">
        <v>1145</v>
      </c>
      <c r="X1146">
        <v>0</v>
      </c>
      <c r="Y1146">
        <v>1144</v>
      </c>
      <c r="Z1146" t="s">
        <v>6966</v>
      </c>
      <c r="AA1146" t="s">
        <v>6966</v>
      </c>
      <c r="AB1146" t="s">
        <v>6966</v>
      </c>
      <c r="AC1146" t="s">
        <v>6966</v>
      </c>
      <c r="AD1146" t="s">
        <v>6966</v>
      </c>
      <c r="AE1146" t="s">
        <v>6966</v>
      </c>
      <c r="AF1146" t="s">
        <v>6966</v>
      </c>
      <c r="AG1146" t="s">
        <v>6966</v>
      </c>
      <c r="AH1146" t="s">
        <v>6966</v>
      </c>
      <c r="AI1146" t="s">
        <v>6966</v>
      </c>
      <c r="AJ1146" t="s">
        <v>6966</v>
      </c>
      <c r="AK1146" t="s">
        <v>6966</v>
      </c>
      <c r="AL1146" t="s">
        <v>6966</v>
      </c>
      <c r="AM1146" t="s">
        <v>6966</v>
      </c>
      <c r="AN1146" t="s">
        <v>6966</v>
      </c>
      <c r="AO1146" t="s">
        <v>6966</v>
      </c>
      <c r="AP1146" t="s">
        <v>6966</v>
      </c>
      <c r="AQ1146" t="s">
        <v>6966</v>
      </c>
      <c r="AR1146" t="s">
        <v>6966</v>
      </c>
      <c r="AS1146" t="s">
        <v>6966</v>
      </c>
      <c r="AT1146" t="s">
        <v>6966</v>
      </c>
      <c r="AU1146" t="s">
        <v>6966</v>
      </c>
      <c r="AV1146" t="s">
        <v>6966</v>
      </c>
      <c r="AW1146" t="s">
        <v>6966</v>
      </c>
      <c r="AX1146" t="s">
        <v>6966</v>
      </c>
      <c r="AY1146" t="s">
        <v>6966</v>
      </c>
      <c r="AZ1146">
        <v>0.107305</v>
      </c>
      <c r="BA1146">
        <v>3.2000000000000003E-4</v>
      </c>
    </row>
    <row r="1147" spans="1:53" x14ac:dyDescent="0.25">
      <c r="A1147">
        <v>1145</v>
      </c>
      <c r="B1147" t="s">
        <v>7625</v>
      </c>
      <c r="C1147">
        <v>503009</v>
      </c>
      <c r="D1147" t="s">
        <v>262</v>
      </c>
      <c r="E1147" t="s">
        <v>3220</v>
      </c>
      <c r="F1147">
        <v>3605755</v>
      </c>
      <c r="G1147">
        <v>10121.089844</v>
      </c>
      <c r="H1147">
        <v>1147</v>
      </c>
      <c r="I1147">
        <v>1361</v>
      </c>
      <c r="J1147">
        <v>23544</v>
      </c>
      <c r="K1147" t="s">
        <v>1776</v>
      </c>
      <c r="L1147">
        <v>4</v>
      </c>
      <c r="M1147">
        <v>4</v>
      </c>
      <c r="N1147">
        <v>23544</v>
      </c>
      <c r="O1147">
        <v>1123</v>
      </c>
      <c r="P1147" t="s">
        <v>3212</v>
      </c>
      <c r="Q1147">
        <v>1.5</v>
      </c>
      <c r="R1147">
        <v>18.829999999999998</v>
      </c>
      <c r="S1147">
        <v>0.31</v>
      </c>
      <c r="T1147">
        <v>4</v>
      </c>
      <c r="U1147">
        <v>3605755.0598499998</v>
      </c>
      <c r="V1147">
        <v>10121.089954999999</v>
      </c>
      <c r="W1147">
        <v>1146</v>
      </c>
      <c r="X1147">
        <v>0</v>
      </c>
      <c r="Y1147">
        <v>1145</v>
      </c>
      <c r="Z1147" t="s">
        <v>6966</v>
      </c>
      <c r="AA1147" t="s">
        <v>6966</v>
      </c>
      <c r="AB1147" t="s">
        <v>6966</v>
      </c>
      <c r="AC1147" t="s">
        <v>6966</v>
      </c>
      <c r="AD1147" t="s">
        <v>6966</v>
      </c>
      <c r="AE1147" t="s">
        <v>6966</v>
      </c>
      <c r="AF1147" t="s">
        <v>6966</v>
      </c>
      <c r="AG1147" t="s">
        <v>6966</v>
      </c>
      <c r="AH1147" t="s">
        <v>6966</v>
      </c>
      <c r="AI1147" t="s">
        <v>6966</v>
      </c>
      <c r="AJ1147" t="s">
        <v>6966</v>
      </c>
      <c r="AK1147" t="s">
        <v>6966</v>
      </c>
      <c r="AL1147" t="s">
        <v>6966</v>
      </c>
      <c r="AM1147" t="s">
        <v>6966</v>
      </c>
      <c r="AN1147" t="s">
        <v>6966</v>
      </c>
      <c r="AO1147" t="s">
        <v>6966</v>
      </c>
      <c r="AP1147" t="s">
        <v>6966</v>
      </c>
      <c r="AQ1147" t="s">
        <v>6966</v>
      </c>
      <c r="AR1147" t="s">
        <v>6966</v>
      </c>
      <c r="AS1147" t="s">
        <v>6966</v>
      </c>
      <c r="AT1147" t="s">
        <v>6966</v>
      </c>
      <c r="AU1147" t="s">
        <v>6966</v>
      </c>
      <c r="AV1147" t="s">
        <v>6966</v>
      </c>
      <c r="AW1147" t="s">
        <v>6966</v>
      </c>
      <c r="AX1147" t="s">
        <v>6966</v>
      </c>
      <c r="AY1147" t="s">
        <v>6966</v>
      </c>
      <c r="AZ1147">
        <v>0.100259</v>
      </c>
      <c r="BA1147">
        <v>3.5E-4</v>
      </c>
    </row>
    <row r="1148" spans="1:53" x14ac:dyDescent="0.25">
      <c r="A1148">
        <v>1146</v>
      </c>
      <c r="B1148" t="s">
        <v>7625</v>
      </c>
      <c r="C1148">
        <v>401038</v>
      </c>
      <c r="D1148" t="s">
        <v>1049</v>
      </c>
      <c r="E1148" t="s">
        <v>3221</v>
      </c>
      <c r="F1148">
        <v>0</v>
      </c>
      <c r="G1148">
        <v>14702.284180000001</v>
      </c>
      <c r="H1148">
        <v>1148</v>
      </c>
      <c r="I1148">
        <v>1362</v>
      </c>
      <c r="J1148">
        <v>52231</v>
      </c>
      <c r="K1148" t="s">
        <v>2396</v>
      </c>
      <c r="L1148">
        <v>16</v>
      </c>
      <c r="M1148">
        <v>16</v>
      </c>
      <c r="N1148">
        <v>52231</v>
      </c>
      <c r="O1148">
        <v>1124</v>
      </c>
      <c r="P1148" t="s">
        <v>3214</v>
      </c>
      <c r="Q1148">
        <v>1.7</v>
      </c>
      <c r="R1148">
        <v>38.21</v>
      </c>
      <c r="S1148">
        <v>0.47</v>
      </c>
      <c r="T1148">
        <v>11</v>
      </c>
      <c r="U1148">
        <v>0</v>
      </c>
      <c r="V1148">
        <v>14702.283696</v>
      </c>
      <c r="W1148">
        <v>1147</v>
      </c>
      <c r="X1148">
        <v>1</v>
      </c>
      <c r="Y1148">
        <v>1146</v>
      </c>
      <c r="Z1148">
        <v>79924</v>
      </c>
      <c r="AA1148" s="76">
        <v>46043</v>
      </c>
      <c r="AB1148">
        <v>2026</v>
      </c>
      <c r="AC1148" t="s">
        <v>6992</v>
      </c>
      <c r="AD1148">
        <v>21</v>
      </c>
      <c r="AE1148" t="s">
        <v>7582</v>
      </c>
      <c r="AF1148" t="s">
        <v>3214</v>
      </c>
      <c r="AG1148" t="s">
        <v>3221</v>
      </c>
      <c r="AH1148" t="s">
        <v>1049</v>
      </c>
      <c r="AI1148" t="s">
        <v>7583</v>
      </c>
      <c r="AJ1148" t="s">
        <v>6966</v>
      </c>
      <c r="AK1148">
        <v>33.642690000000002</v>
      </c>
      <c r="AL1148">
        <v>35.841050000000003</v>
      </c>
      <c r="AM1148" t="s">
        <v>7013</v>
      </c>
      <c r="AN1148" t="s">
        <v>6966</v>
      </c>
      <c r="AO1148" t="s">
        <v>7008</v>
      </c>
      <c r="AP1148" t="s">
        <v>7584</v>
      </c>
      <c r="AQ1148" t="s">
        <v>6998</v>
      </c>
      <c r="AR1148" t="s">
        <v>6999</v>
      </c>
      <c r="AS1148" t="s">
        <v>7000</v>
      </c>
      <c r="AT1148">
        <v>0</v>
      </c>
      <c r="AU1148">
        <v>0</v>
      </c>
      <c r="AV1148" t="s">
        <v>7585</v>
      </c>
      <c r="AW1148" t="s">
        <v>7043</v>
      </c>
      <c r="AX1148" t="s">
        <v>6966</v>
      </c>
      <c r="AY1148" t="s">
        <v>7003</v>
      </c>
      <c r="AZ1148">
        <v>0.14494799999999999</v>
      </c>
      <c r="BA1148">
        <v>1.132E-3</v>
      </c>
    </row>
    <row r="1149" spans="1:53" x14ac:dyDescent="0.25">
      <c r="A1149">
        <v>1147</v>
      </c>
      <c r="B1149" t="s">
        <v>7625</v>
      </c>
      <c r="C1149">
        <v>401039</v>
      </c>
      <c r="D1149" t="s">
        <v>1046</v>
      </c>
      <c r="E1149" t="s">
        <v>3221</v>
      </c>
      <c r="F1149">
        <v>7795967</v>
      </c>
      <c r="G1149">
        <v>12161.34375</v>
      </c>
      <c r="H1149">
        <v>1149</v>
      </c>
      <c r="I1149">
        <v>1363</v>
      </c>
      <c r="J1149">
        <v>52221</v>
      </c>
      <c r="K1149" t="s">
        <v>2394</v>
      </c>
      <c r="L1149">
        <v>16</v>
      </c>
      <c r="M1149">
        <v>16</v>
      </c>
      <c r="N1149">
        <v>52221</v>
      </c>
      <c r="O1149">
        <v>1125</v>
      </c>
      <c r="P1149" t="s">
        <v>3214</v>
      </c>
      <c r="Q1149">
        <v>0.4</v>
      </c>
      <c r="R1149">
        <v>26.54</v>
      </c>
      <c r="S1149">
        <v>0.1</v>
      </c>
      <c r="T1149">
        <v>8</v>
      </c>
      <c r="U1149">
        <v>7795966.7462600004</v>
      </c>
      <c r="V1149">
        <v>12161.344169</v>
      </c>
      <c r="W1149">
        <v>1148</v>
      </c>
      <c r="X1149">
        <v>0</v>
      </c>
      <c r="Y1149">
        <v>1147</v>
      </c>
      <c r="Z1149" t="s">
        <v>6966</v>
      </c>
      <c r="AA1149" t="s">
        <v>6966</v>
      </c>
      <c r="AB1149" t="s">
        <v>6966</v>
      </c>
      <c r="AC1149" t="s">
        <v>6966</v>
      </c>
      <c r="AD1149" t="s">
        <v>6966</v>
      </c>
      <c r="AE1149" t="s">
        <v>6966</v>
      </c>
      <c r="AF1149" t="s">
        <v>6966</v>
      </c>
      <c r="AG1149" t="s">
        <v>6966</v>
      </c>
      <c r="AH1149" t="s">
        <v>6966</v>
      </c>
      <c r="AI1149" t="s">
        <v>6966</v>
      </c>
      <c r="AJ1149" t="s">
        <v>6966</v>
      </c>
      <c r="AK1149" t="s">
        <v>6966</v>
      </c>
      <c r="AL1149" t="s">
        <v>6966</v>
      </c>
      <c r="AM1149" t="s">
        <v>6966</v>
      </c>
      <c r="AN1149" t="s">
        <v>6966</v>
      </c>
      <c r="AO1149" t="s">
        <v>6966</v>
      </c>
      <c r="AP1149" t="s">
        <v>6966</v>
      </c>
      <c r="AQ1149" t="s">
        <v>6966</v>
      </c>
      <c r="AR1149" t="s">
        <v>6966</v>
      </c>
      <c r="AS1149" t="s">
        <v>6966</v>
      </c>
      <c r="AT1149" t="s">
        <v>6966</v>
      </c>
      <c r="AU1149" t="s">
        <v>6966</v>
      </c>
      <c r="AV1149" t="s">
        <v>6966</v>
      </c>
      <c r="AW1149" t="s">
        <v>6966</v>
      </c>
      <c r="AX1149" t="s">
        <v>6966</v>
      </c>
      <c r="AY1149" t="s">
        <v>6966</v>
      </c>
      <c r="AZ1149">
        <v>0.120891</v>
      </c>
      <c r="BA1149">
        <v>7.5799999999999999E-4</v>
      </c>
    </row>
    <row r="1150" spans="1:53" x14ac:dyDescent="0.25">
      <c r="A1150">
        <v>1148</v>
      </c>
      <c r="B1150" t="s">
        <v>7625</v>
      </c>
      <c r="C1150">
        <v>503004</v>
      </c>
      <c r="D1150" t="s">
        <v>261</v>
      </c>
      <c r="E1150" t="s">
        <v>3220</v>
      </c>
      <c r="F1150">
        <v>3591648.75</v>
      </c>
      <c r="G1150">
        <v>11940.217773</v>
      </c>
      <c r="H1150">
        <v>1150</v>
      </c>
      <c r="I1150">
        <v>1364</v>
      </c>
      <c r="J1150">
        <v>23533</v>
      </c>
      <c r="K1150" t="s">
        <v>1775</v>
      </c>
      <c r="L1150">
        <v>4</v>
      </c>
      <c r="M1150">
        <v>4</v>
      </c>
      <c r="N1150">
        <v>23533</v>
      </c>
      <c r="O1150">
        <v>1126</v>
      </c>
      <c r="P1150" t="s">
        <v>3212</v>
      </c>
      <c r="Q1150">
        <v>2.2999999999999998</v>
      </c>
      <c r="R1150">
        <v>27.91</v>
      </c>
      <c r="S1150">
        <v>0.56000000000000005</v>
      </c>
      <c r="T1150">
        <v>7</v>
      </c>
      <c r="U1150">
        <v>3591648.8954799999</v>
      </c>
      <c r="V1150">
        <v>11940.218751</v>
      </c>
      <c r="W1150">
        <v>1149</v>
      </c>
      <c r="X1150">
        <v>0</v>
      </c>
      <c r="Y1150">
        <v>1148</v>
      </c>
      <c r="Z1150" t="s">
        <v>6966</v>
      </c>
      <c r="AA1150" t="s">
        <v>6966</v>
      </c>
      <c r="AB1150" t="s">
        <v>6966</v>
      </c>
      <c r="AC1150" t="s">
        <v>6966</v>
      </c>
      <c r="AD1150" t="s">
        <v>6966</v>
      </c>
      <c r="AE1150" t="s">
        <v>6966</v>
      </c>
      <c r="AF1150" t="s">
        <v>6966</v>
      </c>
      <c r="AG1150" t="s">
        <v>6966</v>
      </c>
      <c r="AH1150" t="s">
        <v>6966</v>
      </c>
      <c r="AI1150" t="s">
        <v>6966</v>
      </c>
      <c r="AJ1150" t="s">
        <v>6966</v>
      </c>
      <c r="AK1150" t="s">
        <v>6966</v>
      </c>
      <c r="AL1150" t="s">
        <v>6966</v>
      </c>
      <c r="AM1150" t="s">
        <v>6966</v>
      </c>
      <c r="AN1150" t="s">
        <v>6966</v>
      </c>
      <c r="AO1150" t="s">
        <v>6966</v>
      </c>
      <c r="AP1150" t="s">
        <v>6966</v>
      </c>
      <c r="AQ1150" t="s">
        <v>6966</v>
      </c>
      <c r="AR1150" t="s">
        <v>6966</v>
      </c>
      <c r="AS1150" t="s">
        <v>6966</v>
      </c>
      <c r="AT1150" t="s">
        <v>6966</v>
      </c>
      <c r="AU1150" t="s">
        <v>6966</v>
      </c>
      <c r="AV1150" t="s">
        <v>6966</v>
      </c>
      <c r="AW1150" t="s">
        <v>6966</v>
      </c>
      <c r="AX1150" t="s">
        <v>6966</v>
      </c>
      <c r="AY1150" t="s">
        <v>6966</v>
      </c>
      <c r="AZ1150">
        <v>0.11890199999999999</v>
      </c>
      <c r="BA1150">
        <v>3.4900000000000003E-4</v>
      </c>
    </row>
    <row r="1151" spans="1:53" x14ac:dyDescent="0.25">
      <c r="A1151">
        <v>1149</v>
      </c>
      <c r="B1151" t="s">
        <v>7625</v>
      </c>
      <c r="C1151">
        <v>401026</v>
      </c>
      <c r="D1151" t="s">
        <v>1053</v>
      </c>
      <c r="E1151" t="s">
        <v>3221</v>
      </c>
      <c r="F1151">
        <v>0</v>
      </c>
      <c r="G1151">
        <v>18475.949218999998</v>
      </c>
      <c r="H1151">
        <v>1151</v>
      </c>
      <c r="I1151">
        <v>1365</v>
      </c>
      <c r="J1151">
        <v>52244</v>
      </c>
      <c r="K1151" t="s">
        <v>2399</v>
      </c>
      <c r="L1151">
        <v>16</v>
      </c>
      <c r="M1151">
        <v>16</v>
      </c>
      <c r="N1151">
        <v>52244</v>
      </c>
      <c r="O1151">
        <v>1127</v>
      </c>
      <c r="P1151" t="s">
        <v>3214</v>
      </c>
      <c r="Q1151">
        <v>2.4</v>
      </c>
      <c r="R1151">
        <v>80.02</v>
      </c>
      <c r="S1151">
        <v>0.47</v>
      </c>
      <c r="T1151">
        <v>16</v>
      </c>
      <c r="U1151">
        <v>0</v>
      </c>
      <c r="V1151">
        <v>18475.948466000002</v>
      </c>
      <c r="W1151">
        <v>1150</v>
      </c>
      <c r="X1151">
        <v>0</v>
      </c>
      <c r="Y1151">
        <v>1149</v>
      </c>
      <c r="Z1151" t="s">
        <v>6966</v>
      </c>
      <c r="AA1151" t="s">
        <v>6966</v>
      </c>
      <c r="AB1151" t="s">
        <v>6966</v>
      </c>
      <c r="AC1151" t="s">
        <v>6966</v>
      </c>
      <c r="AD1151" t="s">
        <v>6966</v>
      </c>
      <c r="AE1151" t="s">
        <v>6966</v>
      </c>
      <c r="AF1151" t="s">
        <v>6966</v>
      </c>
      <c r="AG1151" t="s">
        <v>6966</v>
      </c>
      <c r="AH1151" t="s">
        <v>6966</v>
      </c>
      <c r="AI1151" t="s">
        <v>6966</v>
      </c>
      <c r="AJ1151" t="s">
        <v>6966</v>
      </c>
      <c r="AK1151" t="s">
        <v>6966</v>
      </c>
      <c r="AL1151" t="s">
        <v>6966</v>
      </c>
      <c r="AM1151" t="s">
        <v>6966</v>
      </c>
      <c r="AN1151" t="s">
        <v>6966</v>
      </c>
      <c r="AO1151" t="s">
        <v>6966</v>
      </c>
      <c r="AP1151" t="s">
        <v>6966</v>
      </c>
      <c r="AQ1151" t="s">
        <v>6966</v>
      </c>
      <c r="AR1151" t="s">
        <v>6966</v>
      </c>
      <c r="AS1151" t="s">
        <v>6966</v>
      </c>
      <c r="AT1151" t="s">
        <v>6966</v>
      </c>
      <c r="AU1151" t="s">
        <v>6966</v>
      </c>
      <c r="AV1151" t="s">
        <v>6966</v>
      </c>
      <c r="AW1151" t="s">
        <v>6966</v>
      </c>
      <c r="AX1151" t="s">
        <v>6966</v>
      </c>
      <c r="AY1151" t="s">
        <v>6966</v>
      </c>
      <c r="AZ1151">
        <v>0.18481600000000001</v>
      </c>
      <c r="BA1151">
        <v>1.3730000000000001E-3</v>
      </c>
    </row>
    <row r="1152" spans="1:53" x14ac:dyDescent="0.25">
      <c r="A1152">
        <v>1150</v>
      </c>
      <c r="B1152" t="s">
        <v>7625</v>
      </c>
      <c r="C1152">
        <v>503104</v>
      </c>
      <c r="D1152" t="s">
        <v>87</v>
      </c>
      <c r="E1152" t="s">
        <v>3220</v>
      </c>
      <c r="F1152">
        <v>12744.363281</v>
      </c>
      <c r="G1152">
        <v>635.00976600000001</v>
      </c>
      <c r="H1152">
        <v>1152</v>
      </c>
      <c r="I1152">
        <v>1368</v>
      </c>
      <c r="J1152">
        <v>23003</v>
      </c>
      <c r="K1152" t="s">
        <v>87</v>
      </c>
      <c r="L1152">
        <v>4</v>
      </c>
      <c r="M1152">
        <v>4</v>
      </c>
      <c r="N1152">
        <v>23003</v>
      </c>
      <c r="O1152">
        <v>1128</v>
      </c>
      <c r="P1152" t="s">
        <v>3212</v>
      </c>
      <c r="Q1152">
        <v>0</v>
      </c>
      <c r="R1152">
        <v>0</v>
      </c>
      <c r="S1152">
        <v>0</v>
      </c>
      <c r="T1152">
        <v>0</v>
      </c>
      <c r="U1152">
        <v>12744.36802</v>
      </c>
      <c r="V1152">
        <v>635.01000199999999</v>
      </c>
      <c r="W1152">
        <v>1151</v>
      </c>
      <c r="X1152">
        <v>0</v>
      </c>
      <c r="Y1152">
        <v>1150</v>
      </c>
      <c r="Z1152" t="s">
        <v>6966</v>
      </c>
      <c r="AA1152" t="s">
        <v>6966</v>
      </c>
      <c r="AB1152" t="s">
        <v>6966</v>
      </c>
      <c r="AC1152" t="s">
        <v>6966</v>
      </c>
      <c r="AD1152" t="s">
        <v>6966</v>
      </c>
      <c r="AE1152" t="s">
        <v>6966</v>
      </c>
      <c r="AF1152" t="s">
        <v>6966</v>
      </c>
      <c r="AG1152" t="s">
        <v>6966</v>
      </c>
      <c r="AH1152" t="s">
        <v>6966</v>
      </c>
      <c r="AI1152" t="s">
        <v>6966</v>
      </c>
      <c r="AJ1152" t="s">
        <v>6966</v>
      </c>
      <c r="AK1152" t="s">
        <v>6966</v>
      </c>
      <c r="AL1152" t="s">
        <v>6966</v>
      </c>
      <c r="AM1152" t="s">
        <v>6966</v>
      </c>
      <c r="AN1152" t="s">
        <v>6966</v>
      </c>
      <c r="AO1152" t="s">
        <v>6966</v>
      </c>
      <c r="AP1152" t="s">
        <v>6966</v>
      </c>
      <c r="AQ1152" t="s">
        <v>6966</v>
      </c>
      <c r="AR1152" t="s">
        <v>6966</v>
      </c>
      <c r="AS1152" t="s">
        <v>6966</v>
      </c>
      <c r="AT1152" t="s">
        <v>6966</v>
      </c>
      <c r="AU1152" t="s">
        <v>6966</v>
      </c>
      <c r="AV1152" t="s">
        <v>6966</v>
      </c>
      <c r="AW1152" t="s">
        <v>6966</v>
      </c>
      <c r="AX1152" t="s">
        <v>6966</v>
      </c>
      <c r="AY1152" t="s">
        <v>6966</v>
      </c>
      <c r="AZ1152">
        <v>6.3049999999999998E-3</v>
      </c>
      <c r="BA1152">
        <v>9.9999999999999995E-7</v>
      </c>
    </row>
    <row r="1153" spans="1:53" x14ac:dyDescent="0.25">
      <c r="A1153">
        <v>1151</v>
      </c>
      <c r="B1153" t="s">
        <v>7625</v>
      </c>
      <c r="C1153">
        <v>401021</v>
      </c>
      <c r="D1153" t="s">
        <v>1036</v>
      </c>
      <c r="E1153" t="s">
        <v>3221</v>
      </c>
      <c r="F1153">
        <v>0</v>
      </c>
      <c r="G1153">
        <v>32711.701172000001</v>
      </c>
      <c r="H1153">
        <v>1153</v>
      </c>
      <c r="I1153">
        <v>1370</v>
      </c>
      <c r="J1153">
        <v>52151</v>
      </c>
      <c r="K1153" t="s">
        <v>2386</v>
      </c>
      <c r="L1153">
        <v>16</v>
      </c>
      <c r="M1153">
        <v>16</v>
      </c>
      <c r="N1153">
        <v>52151</v>
      </c>
      <c r="O1153">
        <v>1129</v>
      </c>
      <c r="P1153" t="s">
        <v>3214</v>
      </c>
      <c r="Q1153">
        <v>1.4</v>
      </c>
      <c r="R1153">
        <v>78.23</v>
      </c>
      <c r="S1153">
        <v>0.28000000000000003</v>
      </c>
      <c r="T1153">
        <v>19</v>
      </c>
      <c r="U1153">
        <v>0</v>
      </c>
      <c r="V1153">
        <v>32711.700923</v>
      </c>
      <c r="W1153">
        <v>1152</v>
      </c>
      <c r="X1153">
        <v>0</v>
      </c>
      <c r="Y1153">
        <v>1151</v>
      </c>
      <c r="Z1153" t="s">
        <v>6966</v>
      </c>
      <c r="AA1153" t="s">
        <v>6966</v>
      </c>
      <c r="AB1153" t="s">
        <v>6966</v>
      </c>
      <c r="AC1153" t="s">
        <v>6966</v>
      </c>
      <c r="AD1153" t="s">
        <v>6966</v>
      </c>
      <c r="AE1153" t="s">
        <v>6966</v>
      </c>
      <c r="AF1153" t="s">
        <v>6966</v>
      </c>
      <c r="AG1153" t="s">
        <v>6966</v>
      </c>
      <c r="AH1153" t="s">
        <v>6966</v>
      </c>
      <c r="AI1153" t="s">
        <v>6966</v>
      </c>
      <c r="AJ1153" t="s">
        <v>6966</v>
      </c>
      <c r="AK1153" t="s">
        <v>6966</v>
      </c>
      <c r="AL1153" t="s">
        <v>6966</v>
      </c>
      <c r="AM1153" t="s">
        <v>6966</v>
      </c>
      <c r="AN1153" t="s">
        <v>6966</v>
      </c>
      <c r="AO1153" t="s">
        <v>6966</v>
      </c>
      <c r="AP1153" t="s">
        <v>6966</v>
      </c>
      <c r="AQ1153" t="s">
        <v>6966</v>
      </c>
      <c r="AR1153" t="s">
        <v>6966</v>
      </c>
      <c r="AS1153" t="s">
        <v>6966</v>
      </c>
      <c r="AT1153" t="s">
        <v>6966</v>
      </c>
      <c r="AU1153" t="s">
        <v>6966</v>
      </c>
      <c r="AV1153" t="s">
        <v>6966</v>
      </c>
      <c r="AW1153" t="s">
        <v>6966</v>
      </c>
      <c r="AX1153" t="s">
        <v>6966</v>
      </c>
      <c r="AY1153" t="s">
        <v>6966</v>
      </c>
      <c r="AZ1153">
        <v>0.323513</v>
      </c>
      <c r="BA1153">
        <v>2.0820000000000001E-3</v>
      </c>
    </row>
    <row r="1154" spans="1:53" x14ac:dyDescent="0.25">
      <c r="A1154">
        <v>1152</v>
      </c>
      <c r="B1154" t="s">
        <v>7625</v>
      </c>
      <c r="C1154">
        <v>503025</v>
      </c>
      <c r="D1154" t="s">
        <v>201</v>
      </c>
      <c r="E1154" t="s">
        <v>3220</v>
      </c>
      <c r="F1154">
        <v>4284047.5</v>
      </c>
      <c r="G1154">
        <v>11257.061523</v>
      </c>
      <c r="H1154">
        <v>1154</v>
      </c>
      <c r="I1154">
        <v>1371</v>
      </c>
      <c r="J1154">
        <v>23247</v>
      </c>
      <c r="K1154" t="s">
        <v>1724</v>
      </c>
      <c r="L1154">
        <v>4</v>
      </c>
      <c r="M1154">
        <v>4</v>
      </c>
      <c r="N1154">
        <v>23247</v>
      </c>
      <c r="O1154">
        <v>1130</v>
      </c>
      <c r="P1154" t="s">
        <v>3212</v>
      </c>
      <c r="Q1154">
        <v>3.2</v>
      </c>
      <c r="R1154">
        <v>93.14</v>
      </c>
      <c r="S1154">
        <v>1.17</v>
      </c>
      <c r="T1154">
        <v>34</v>
      </c>
      <c r="U1154">
        <v>4284047.6235199999</v>
      </c>
      <c r="V1154">
        <v>11257.060613</v>
      </c>
      <c r="W1154">
        <v>1153</v>
      </c>
      <c r="X1154">
        <v>0</v>
      </c>
      <c r="Y1154">
        <v>1152</v>
      </c>
      <c r="Z1154" t="s">
        <v>6966</v>
      </c>
      <c r="AA1154" t="s">
        <v>6966</v>
      </c>
      <c r="AB1154" t="s">
        <v>6966</v>
      </c>
      <c r="AC1154" t="s">
        <v>6966</v>
      </c>
      <c r="AD1154" t="s">
        <v>6966</v>
      </c>
      <c r="AE1154" t="s">
        <v>6966</v>
      </c>
      <c r="AF1154" t="s">
        <v>6966</v>
      </c>
      <c r="AG1154" t="s">
        <v>6966</v>
      </c>
      <c r="AH1154" t="s">
        <v>6966</v>
      </c>
      <c r="AI1154" t="s">
        <v>6966</v>
      </c>
      <c r="AJ1154" t="s">
        <v>6966</v>
      </c>
      <c r="AK1154" t="s">
        <v>6966</v>
      </c>
      <c r="AL1154" t="s">
        <v>6966</v>
      </c>
      <c r="AM1154" t="s">
        <v>6966</v>
      </c>
      <c r="AN1154" t="s">
        <v>6966</v>
      </c>
      <c r="AO1154" t="s">
        <v>6966</v>
      </c>
      <c r="AP1154" t="s">
        <v>6966</v>
      </c>
      <c r="AQ1154" t="s">
        <v>6966</v>
      </c>
      <c r="AR1154" t="s">
        <v>6966</v>
      </c>
      <c r="AS1154" t="s">
        <v>6966</v>
      </c>
      <c r="AT1154" t="s">
        <v>6966</v>
      </c>
      <c r="AU1154" t="s">
        <v>6966</v>
      </c>
      <c r="AV1154" t="s">
        <v>6966</v>
      </c>
      <c r="AW1154" t="s">
        <v>6966</v>
      </c>
      <c r="AX1154" t="s">
        <v>6966</v>
      </c>
      <c r="AY1154" t="s">
        <v>6966</v>
      </c>
      <c r="AZ1154">
        <v>0.112743</v>
      </c>
      <c r="BA1154">
        <v>4.1599999999999997E-4</v>
      </c>
    </row>
    <row r="1155" spans="1:53" x14ac:dyDescent="0.25">
      <c r="A1155">
        <v>1153</v>
      </c>
      <c r="B1155" t="s">
        <v>7625</v>
      </c>
      <c r="C1155">
        <v>503085</v>
      </c>
      <c r="D1155" t="s">
        <v>267</v>
      </c>
      <c r="E1155" t="s">
        <v>3220</v>
      </c>
      <c r="F1155">
        <v>2597855</v>
      </c>
      <c r="G1155">
        <v>13144.484375</v>
      </c>
      <c r="H1155">
        <v>1155</v>
      </c>
      <c r="I1155">
        <v>1372</v>
      </c>
      <c r="J1155">
        <v>23611</v>
      </c>
      <c r="K1155" t="s">
        <v>1780</v>
      </c>
      <c r="L1155">
        <v>4</v>
      </c>
      <c r="M1155">
        <v>4</v>
      </c>
      <c r="N1155">
        <v>23611</v>
      </c>
      <c r="O1155">
        <v>1131</v>
      </c>
      <c r="P1155" t="s">
        <v>3212</v>
      </c>
      <c r="Q1155">
        <v>2.9</v>
      </c>
      <c r="R1155">
        <v>42.43</v>
      </c>
      <c r="S1155">
        <v>0.64</v>
      </c>
      <c r="T1155">
        <v>9</v>
      </c>
      <c r="U1155">
        <v>2597855.0743399998</v>
      </c>
      <c r="V1155">
        <v>13144.484431000001</v>
      </c>
      <c r="W1155">
        <v>1154</v>
      </c>
      <c r="X1155">
        <v>0</v>
      </c>
      <c r="Y1155">
        <v>1153</v>
      </c>
      <c r="Z1155" t="s">
        <v>6966</v>
      </c>
      <c r="AA1155" t="s">
        <v>6966</v>
      </c>
      <c r="AB1155" t="s">
        <v>6966</v>
      </c>
      <c r="AC1155" t="s">
        <v>6966</v>
      </c>
      <c r="AD1155" t="s">
        <v>6966</v>
      </c>
      <c r="AE1155" t="s">
        <v>6966</v>
      </c>
      <c r="AF1155" t="s">
        <v>6966</v>
      </c>
      <c r="AG1155" t="s">
        <v>6966</v>
      </c>
      <c r="AH1155" t="s">
        <v>6966</v>
      </c>
      <c r="AI1155" t="s">
        <v>6966</v>
      </c>
      <c r="AJ1155" t="s">
        <v>6966</v>
      </c>
      <c r="AK1155" t="s">
        <v>6966</v>
      </c>
      <c r="AL1155" t="s">
        <v>6966</v>
      </c>
      <c r="AM1155" t="s">
        <v>6966</v>
      </c>
      <c r="AN1155" t="s">
        <v>6966</v>
      </c>
      <c r="AO1155" t="s">
        <v>6966</v>
      </c>
      <c r="AP1155" t="s">
        <v>6966</v>
      </c>
      <c r="AQ1155" t="s">
        <v>6966</v>
      </c>
      <c r="AR1155" t="s">
        <v>6966</v>
      </c>
      <c r="AS1155" t="s">
        <v>6966</v>
      </c>
      <c r="AT1155" t="s">
        <v>6966</v>
      </c>
      <c r="AU1155" t="s">
        <v>6966</v>
      </c>
      <c r="AV1155" t="s">
        <v>6966</v>
      </c>
      <c r="AW1155" t="s">
        <v>6966</v>
      </c>
      <c r="AX1155" t="s">
        <v>6966</v>
      </c>
      <c r="AY1155" t="s">
        <v>6966</v>
      </c>
      <c r="AZ1155">
        <v>0.134435</v>
      </c>
      <c r="BA1155">
        <v>2.52E-4</v>
      </c>
    </row>
    <row r="1156" spans="1:53" x14ac:dyDescent="0.25">
      <c r="A1156">
        <v>1154</v>
      </c>
      <c r="B1156" t="s">
        <v>7625</v>
      </c>
      <c r="C1156">
        <v>401016</v>
      </c>
      <c r="D1156" t="s">
        <v>1043</v>
      </c>
      <c r="E1156" t="s">
        <v>3221</v>
      </c>
      <c r="F1156">
        <v>0</v>
      </c>
      <c r="G1156">
        <v>27105.742188</v>
      </c>
      <c r="H1156">
        <v>1156</v>
      </c>
      <c r="I1156">
        <v>1373</v>
      </c>
      <c r="J1156">
        <v>52211</v>
      </c>
      <c r="K1156" t="s">
        <v>8004</v>
      </c>
      <c r="L1156">
        <v>16</v>
      </c>
      <c r="M1156">
        <v>16</v>
      </c>
      <c r="N1156">
        <v>52211</v>
      </c>
      <c r="O1156">
        <v>1132</v>
      </c>
      <c r="P1156" t="s">
        <v>3214</v>
      </c>
      <c r="Q1156">
        <v>3.6</v>
      </c>
      <c r="R1156">
        <v>86.07</v>
      </c>
      <c r="S1156">
        <v>0.95</v>
      </c>
      <c r="T1156">
        <v>23</v>
      </c>
      <c r="U1156">
        <v>0</v>
      </c>
      <c r="V1156">
        <v>27105.742963000001</v>
      </c>
      <c r="W1156">
        <v>1155</v>
      </c>
      <c r="X1156">
        <v>0</v>
      </c>
      <c r="Y1156">
        <v>1154</v>
      </c>
      <c r="Z1156" t="s">
        <v>6966</v>
      </c>
      <c r="AA1156" t="s">
        <v>6966</v>
      </c>
      <c r="AB1156" t="s">
        <v>6966</v>
      </c>
      <c r="AC1156" t="s">
        <v>6966</v>
      </c>
      <c r="AD1156" t="s">
        <v>6966</v>
      </c>
      <c r="AE1156" t="s">
        <v>6966</v>
      </c>
      <c r="AF1156" t="s">
        <v>6966</v>
      </c>
      <c r="AG1156" t="s">
        <v>6966</v>
      </c>
      <c r="AH1156" t="s">
        <v>6966</v>
      </c>
      <c r="AI1156" t="s">
        <v>6966</v>
      </c>
      <c r="AJ1156" t="s">
        <v>6966</v>
      </c>
      <c r="AK1156" t="s">
        <v>6966</v>
      </c>
      <c r="AL1156" t="s">
        <v>6966</v>
      </c>
      <c r="AM1156" t="s">
        <v>6966</v>
      </c>
      <c r="AN1156" t="s">
        <v>6966</v>
      </c>
      <c r="AO1156" t="s">
        <v>6966</v>
      </c>
      <c r="AP1156" t="s">
        <v>6966</v>
      </c>
      <c r="AQ1156" t="s">
        <v>6966</v>
      </c>
      <c r="AR1156" t="s">
        <v>6966</v>
      </c>
      <c r="AS1156" t="s">
        <v>6966</v>
      </c>
      <c r="AT1156" t="s">
        <v>6966</v>
      </c>
      <c r="AU1156" t="s">
        <v>6966</v>
      </c>
      <c r="AV1156" t="s">
        <v>6966</v>
      </c>
      <c r="AW1156" t="s">
        <v>6966</v>
      </c>
      <c r="AX1156" t="s">
        <v>6966</v>
      </c>
      <c r="AY1156" t="s">
        <v>6966</v>
      </c>
      <c r="AZ1156">
        <v>0.26855299999999999</v>
      </c>
      <c r="BA1156">
        <v>1.5299999999999999E-3</v>
      </c>
    </row>
    <row r="1157" spans="1:53" x14ac:dyDescent="0.25">
      <c r="A1157">
        <v>1155</v>
      </c>
      <c r="B1157" t="s">
        <v>7625</v>
      </c>
      <c r="C1157">
        <v>503036</v>
      </c>
      <c r="D1157" t="s">
        <v>195</v>
      </c>
      <c r="E1157" t="s">
        <v>3220</v>
      </c>
      <c r="F1157">
        <v>4717410.5</v>
      </c>
      <c r="G1157">
        <v>16555.677734000001</v>
      </c>
      <c r="H1157">
        <v>1157</v>
      </c>
      <c r="I1157">
        <v>1374</v>
      </c>
      <c r="J1157">
        <v>23227</v>
      </c>
      <c r="K1157" t="s">
        <v>1718</v>
      </c>
      <c r="L1157">
        <v>4</v>
      </c>
      <c r="M1157">
        <v>4</v>
      </c>
      <c r="N1157">
        <v>23227</v>
      </c>
      <c r="O1157">
        <v>1133</v>
      </c>
      <c r="P1157" t="s">
        <v>3212</v>
      </c>
      <c r="Q1157">
        <v>6.1</v>
      </c>
      <c r="R1157">
        <v>27.62</v>
      </c>
      <c r="S1157">
        <v>1.95</v>
      </c>
      <c r="T1157">
        <v>9</v>
      </c>
      <c r="U1157">
        <v>4717410.4704600004</v>
      </c>
      <c r="V1157">
        <v>16555.677369000001</v>
      </c>
      <c r="W1157">
        <v>1156</v>
      </c>
      <c r="X1157">
        <v>0</v>
      </c>
      <c r="Y1157">
        <v>1155</v>
      </c>
      <c r="Z1157" t="s">
        <v>6966</v>
      </c>
      <c r="AA1157" t="s">
        <v>6966</v>
      </c>
      <c r="AB1157" t="s">
        <v>6966</v>
      </c>
      <c r="AC1157" t="s">
        <v>6966</v>
      </c>
      <c r="AD1157" t="s">
        <v>6966</v>
      </c>
      <c r="AE1157" t="s">
        <v>6966</v>
      </c>
      <c r="AF1157" t="s">
        <v>6966</v>
      </c>
      <c r="AG1157" t="s">
        <v>6966</v>
      </c>
      <c r="AH1157" t="s">
        <v>6966</v>
      </c>
      <c r="AI1157" t="s">
        <v>6966</v>
      </c>
      <c r="AJ1157" t="s">
        <v>6966</v>
      </c>
      <c r="AK1157" t="s">
        <v>6966</v>
      </c>
      <c r="AL1157" t="s">
        <v>6966</v>
      </c>
      <c r="AM1157" t="s">
        <v>6966</v>
      </c>
      <c r="AN1157" t="s">
        <v>6966</v>
      </c>
      <c r="AO1157" t="s">
        <v>6966</v>
      </c>
      <c r="AP1157" t="s">
        <v>6966</v>
      </c>
      <c r="AQ1157" t="s">
        <v>6966</v>
      </c>
      <c r="AR1157" t="s">
        <v>6966</v>
      </c>
      <c r="AS1157" t="s">
        <v>6966</v>
      </c>
      <c r="AT1157" t="s">
        <v>6966</v>
      </c>
      <c r="AU1157" t="s">
        <v>6966</v>
      </c>
      <c r="AV1157" t="s">
        <v>6966</v>
      </c>
      <c r="AW1157" t="s">
        <v>6966</v>
      </c>
      <c r="AX1157" t="s">
        <v>6966</v>
      </c>
      <c r="AY1157" t="s">
        <v>6966</v>
      </c>
      <c r="AZ1157">
        <v>0.16486200000000001</v>
      </c>
      <c r="BA1157">
        <v>4.5800000000000002E-4</v>
      </c>
    </row>
    <row r="1158" spans="1:53" x14ac:dyDescent="0.25">
      <c r="A1158">
        <v>1156</v>
      </c>
      <c r="B1158" t="s">
        <v>7625</v>
      </c>
      <c r="C1158">
        <v>503042</v>
      </c>
      <c r="D1158" t="s">
        <v>7991</v>
      </c>
      <c r="E1158" t="s">
        <v>3220</v>
      </c>
      <c r="F1158">
        <v>1433483.5</v>
      </c>
      <c r="G1158">
        <v>5325.4038090000004</v>
      </c>
      <c r="H1158">
        <v>1158</v>
      </c>
      <c r="I1158">
        <v>1375</v>
      </c>
      <c r="J1158">
        <v>23259</v>
      </c>
      <c r="K1158" t="s">
        <v>8005</v>
      </c>
      <c r="L1158">
        <v>4</v>
      </c>
      <c r="M1158">
        <v>4</v>
      </c>
      <c r="N1158">
        <v>23259</v>
      </c>
      <c r="O1158">
        <v>1134</v>
      </c>
      <c r="P1158" t="s">
        <v>3212</v>
      </c>
      <c r="Q1158">
        <v>3.1</v>
      </c>
      <c r="R1158">
        <v>325.73</v>
      </c>
      <c r="S1158">
        <v>6.78</v>
      </c>
      <c r="T1158">
        <v>77</v>
      </c>
      <c r="U1158">
        <v>1433483.55265</v>
      </c>
      <c r="V1158">
        <v>5325.4039590000002</v>
      </c>
      <c r="W1158">
        <v>1157</v>
      </c>
      <c r="X1158">
        <v>0</v>
      </c>
      <c r="Y1158">
        <v>1156</v>
      </c>
      <c r="Z1158" t="s">
        <v>6966</v>
      </c>
      <c r="AA1158" t="s">
        <v>6966</v>
      </c>
      <c r="AB1158" t="s">
        <v>6966</v>
      </c>
      <c r="AC1158" t="s">
        <v>6966</v>
      </c>
      <c r="AD1158" t="s">
        <v>6966</v>
      </c>
      <c r="AE1158" t="s">
        <v>6966</v>
      </c>
      <c r="AF1158" t="s">
        <v>6966</v>
      </c>
      <c r="AG1158" t="s">
        <v>6966</v>
      </c>
      <c r="AH1158" t="s">
        <v>6966</v>
      </c>
      <c r="AI1158" t="s">
        <v>6966</v>
      </c>
      <c r="AJ1158" t="s">
        <v>6966</v>
      </c>
      <c r="AK1158" t="s">
        <v>6966</v>
      </c>
      <c r="AL1158" t="s">
        <v>6966</v>
      </c>
      <c r="AM1158" t="s">
        <v>6966</v>
      </c>
      <c r="AN1158" t="s">
        <v>6966</v>
      </c>
      <c r="AO1158" t="s">
        <v>6966</v>
      </c>
      <c r="AP1158" t="s">
        <v>6966</v>
      </c>
      <c r="AQ1158" t="s">
        <v>6966</v>
      </c>
      <c r="AR1158" t="s">
        <v>6966</v>
      </c>
      <c r="AS1158" t="s">
        <v>6966</v>
      </c>
      <c r="AT1158" t="s">
        <v>6966</v>
      </c>
      <c r="AU1158" t="s">
        <v>6966</v>
      </c>
      <c r="AV1158" t="s">
        <v>6966</v>
      </c>
      <c r="AW1158" t="s">
        <v>6966</v>
      </c>
      <c r="AX1158" t="s">
        <v>6966</v>
      </c>
      <c r="AY1158" t="s">
        <v>6966</v>
      </c>
      <c r="AZ1158">
        <v>5.2699000000000003E-2</v>
      </c>
      <c r="BA1158">
        <v>1.3899999999999999E-4</v>
      </c>
    </row>
    <row r="1159" spans="1:53" x14ac:dyDescent="0.25">
      <c r="A1159">
        <v>1157</v>
      </c>
      <c r="B1159" t="s">
        <v>7625</v>
      </c>
      <c r="C1159">
        <v>503059</v>
      </c>
      <c r="D1159" t="s">
        <v>276</v>
      </c>
      <c r="E1159" t="s">
        <v>3220</v>
      </c>
      <c r="F1159">
        <v>3372324.75</v>
      </c>
      <c r="G1159">
        <v>11791.504883</v>
      </c>
      <c r="H1159">
        <v>1159</v>
      </c>
      <c r="I1159">
        <v>1376</v>
      </c>
      <c r="J1159">
        <v>23643</v>
      </c>
      <c r="K1159" t="s">
        <v>1786</v>
      </c>
      <c r="L1159">
        <v>4</v>
      </c>
      <c r="M1159">
        <v>4</v>
      </c>
      <c r="N1159">
        <v>23643</v>
      </c>
      <c r="O1159">
        <v>1135</v>
      </c>
      <c r="P1159" t="s">
        <v>3212</v>
      </c>
      <c r="Q1159">
        <v>3.7</v>
      </c>
      <c r="R1159">
        <v>45.92</v>
      </c>
      <c r="S1159">
        <v>0.96</v>
      </c>
      <c r="T1159">
        <v>12</v>
      </c>
      <c r="U1159">
        <v>3372324.9020099998</v>
      </c>
      <c r="V1159">
        <v>11791.504677999999</v>
      </c>
      <c r="W1159">
        <v>1158</v>
      </c>
      <c r="X1159">
        <v>0</v>
      </c>
      <c r="Y1159">
        <v>1157</v>
      </c>
      <c r="Z1159" t="s">
        <v>6966</v>
      </c>
      <c r="AA1159" t="s">
        <v>6966</v>
      </c>
      <c r="AB1159" t="s">
        <v>6966</v>
      </c>
      <c r="AC1159" t="s">
        <v>6966</v>
      </c>
      <c r="AD1159" t="s">
        <v>6966</v>
      </c>
      <c r="AE1159" t="s">
        <v>6966</v>
      </c>
      <c r="AF1159" t="s">
        <v>6966</v>
      </c>
      <c r="AG1159" t="s">
        <v>6966</v>
      </c>
      <c r="AH1159" t="s">
        <v>6966</v>
      </c>
      <c r="AI1159" t="s">
        <v>6966</v>
      </c>
      <c r="AJ1159" t="s">
        <v>6966</v>
      </c>
      <c r="AK1159" t="s">
        <v>6966</v>
      </c>
      <c r="AL1159" t="s">
        <v>6966</v>
      </c>
      <c r="AM1159" t="s">
        <v>6966</v>
      </c>
      <c r="AN1159" t="s">
        <v>6966</v>
      </c>
      <c r="AO1159" t="s">
        <v>6966</v>
      </c>
      <c r="AP1159" t="s">
        <v>6966</v>
      </c>
      <c r="AQ1159" t="s">
        <v>6966</v>
      </c>
      <c r="AR1159" t="s">
        <v>6966</v>
      </c>
      <c r="AS1159" t="s">
        <v>6966</v>
      </c>
      <c r="AT1159" t="s">
        <v>6966</v>
      </c>
      <c r="AU1159" t="s">
        <v>6966</v>
      </c>
      <c r="AV1159" t="s">
        <v>6966</v>
      </c>
      <c r="AW1159" t="s">
        <v>6966</v>
      </c>
      <c r="AX1159" t="s">
        <v>6966</v>
      </c>
      <c r="AY1159" t="s">
        <v>6966</v>
      </c>
      <c r="AZ1159">
        <v>0.1177</v>
      </c>
      <c r="BA1159">
        <v>3.28E-4</v>
      </c>
    </row>
    <row r="1160" spans="1:53" x14ac:dyDescent="0.25">
      <c r="A1160">
        <v>1158</v>
      </c>
      <c r="B1160" t="s">
        <v>7625</v>
      </c>
      <c r="C1160">
        <v>503013</v>
      </c>
      <c r="D1160" t="s">
        <v>202</v>
      </c>
      <c r="E1160" t="s">
        <v>3220</v>
      </c>
      <c r="F1160">
        <v>7283553.5</v>
      </c>
      <c r="G1160">
        <v>18107.908202999999</v>
      </c>
      <c r="H1160">
        <v>1160</v>
      </c>
      <c r="I1160">
        <v>1377</v>
      </c>
      <c r="J1160">
        <v>23251</v>
      </c>
      <c r="K1160" t="s">
        <v>202</v>
      </c>
      <c r="L1160">
        <v>4</v>
      </c>
      <c r="M1160">
        <v>4</v>
      </c>
      <c r="N1160">
        <v>23251</v>
      </c>
      <c r="O1160">
        <v>1136</v>
      </c>
      <c r="P1160" t="s">
        <v>3212</v>
      </c>
      <c r="Q1160">
        <v>16.2</v>
      </c>
      <c r="R1160">
        <v>50.81</v>
      </c>
      <c r="S1160">
        <v>4.78</v>
      </c>
      <c r="T1160">
        <v>15</v>
      </c>
      <c r="U1160">
        <v>7283553.1632399997</v>
      </c>
      <c r="V1160">
        <v>18107.907392000001</v>
      </c>
      <c r="W1160">
        <v>1159</v>
      </c>
      <c r="X1160">
        <v>2</v>
      </c>
      <c r="Y1160">
        <v>1158</v>
      </c>
      <c r="Z1160">
        <v>60708</v>
      </c>
      <c r="AA1160" s="76">
        <v>45764</v>
      </c>
      <c r="AB1160">
        <v>2025</v>
      </c>
      <c r="AC1160" t="s">
        <v>7183</v>
      </c>
      <c r="AD1160">
        <v>17</v>
      </c>
      <c r="AE1160" t="s">
        <v>7206</v>
      </c>
      <c r="AF1160" t="s">
        <v>3212</v>
      </c>
      <c r="AG1160" t="s">
        <v>3220</v>
      </c>
      <c r="AH1160" t="s">
        <v>202</v>
      </c>
      <c r="AI1160" t="s">
        <v>202</v>
      </c>
      <c r="AJ1160" t="s">
        <v>6966</v>
      </c>
      <c r="AK1160">
        <v>33.649659999999997</v>
      </c>
      <c r="AL1160">
        <v>35.441760000000002</v>
      </c>
      <c r="AM1160" t="s">
        <v>6995</v>
      </c>
      <c r="AN1160" t="s">
        <v>6995</v>
      </c>
      <c r="AO1160" t="s">
        <v>7086</v>
      </c>
      <c r="AP1160" t="s">
        <v>7207</v>
      </c>
      <c r="AQ1160" t="s">
        <v>6998</v>
      </c>
      <c r="AR1160" t="s">
        <v>7048</v>
      </c>
      <c r="AS1160" t="s">
        <v>7036</v>
      </c>
      <c r="AT1160">
        <v>0</v>
      </c>
      <c r="AU1160">
        <v>3</v>
      </c>
      <c r="AV1160" t="s">
        <v>7213</v>
      </c>
      <c r="AW1160" t="s">
        <v>7178</v>
      </c>
      <c r="AX1160" t="s">
        <v>6966</v>
      </c>
      <c r="AY1160" t="s">
        <v>7114</v>
      </c>
      <c r="AZ1160">
        <v>0.183366</v>
      </c>
      <c r="BA1160">
        <v>7.0799999999999997E-4</v>
      </c>
    </row>
    <row r="1161" spans="1:53" x14ac:dyDescent="0.25">
      <c r="A1161">
        <v>1159</v>
      </c>
      <c r="B1161" t="s">
        <v>7625</v>
      </c>
      <c r="C1161">
        <v>503069</v>
      </c>
      <c r="D1161" t="s">
        <v>274</v>
      </c>
      <c r="E1161" t="s">
        <v>3220</v>
      </c>
      <c r="F1161">
        <v>7424417</v>
      </c>
      <c r="G1161">
        <v>18468.828125</v>
      </c>
      <c r="H1161">
        <v>1161</v>
      </c>
      <c r="I1161">
        <v>1378</v>
      </c>
      <c r="J1161">
        <v>23635</v>
      </c>
      <c r="K1161" t="s">
        <v>7936</v>
      </c>
      <c r="L1161">
        <v>4</v>
      </c>
      <c r="M1161">
        <v>4</v>
      </c>
      <c r="N1161">
        <v>23635</v>
      </c>
      <c r="O1161">
        <v>1137</v>
      </c>
      <c r="P1161" t="s">
        <v>3212</v>
      </c>
      <c r="Q1161">
        <v>1.8</v>
      </c>
      <c r="R1161">
        <v>46.93</v>
      </c>
      <c r="S1161">
        <v>0.46</v>
      </c>
      <c r="T1161">
        <v>12</v>
      </c>
      <c r="U1161">
        <v>7424416.7214900004</v>
      </c>
      <c r="V1161">
        <v>18468.827061</v>
      </c>
      <c r="W1161">
        <v>1160</v>
      </c>
      <c r="X1161">
        <v>0</v>
      </c>
      <c r="Y1161">
        <v>1159</v>
      </c>
      <c r="Z1161" t="s">
        <v>6966</v>
      </c>
      <c r="AA1161" t="s">
        <v>6966</v>
      </c>
      <c r="AB1161" t="s">
        <v>6966</v>
      </c>
      <c r="AC1161" t="s">
        <v>6966</v>
      </c>
      <c r="AD1161" t="s">
        <v>6966</v>
      </c>
      <c r="AE1161" t="s">
        <v>6966</v>
      </c>
      <c r="AF1161" t="s">
        <v>6966</v>
      </c>
      <c r="AG1161" t="s">
        <v>6966</v>
      </c>
      <c r="AH1161" t="s">
        <v>6966</v>
      </c>
      <c r="AI1161" t="s">
        <v>6966</v>
      </c>
      <c r="AJ1161" t="s">
        <v>6966</v>
      </c>
      <c r="AK1161" t="s">
        <v>6966</v>
      </c>
      <c r="AL1161" t="s">
        <v>6966</v>
      </c>
      <c r="AM1161" t="s">
        <v>6966</v>
      </c>
      <c r="AN1161" t="s">
        <v>6966</v>
      </c>
      <c r="AO1161" t="s">
        <v>6966</v>
      </c>
      <c r="AP1161" t="s">
        <v>6966</v>
      </c>
      <c r="AQ1161" t="s">
        <v>6966</v>
      </c>
      <c r="AR1161" t="s">
        <v>6966</v>
      </c>
      <c r="AS1161" t="s">
        <v>6966</v>
      </c>
      <c r="AT1161" t="s">
        <v>6966</v>
      </c>
      <c r="AU1161" t="s">
        <v>6966</v>
      </c>
      <c r="AV1161" t="s">
        <v>6966</v>
      </c>
      <c r="AW1161" t="s">
        <v>6966</v>
      </c>
      <c r="AX1161" t="s">
        <v>6966</v>
      </c>
      <c r="AY1161" t="s">
        <v>6966</v>
      </c>
      <c r="AZ1161">
        <v>0.185949</v>
      </c>
      <c r="BA1161">
        <v>7.2099999999999996E-4</v>
      </c>
    </row>
    <row r="1162" spans="1:53" x14ac:dyDescent="0.25">
      <c r="A1162">
        <v>1160</v>
      </c>
      <c r="B1162" t="s">
        <v>7625</v>
      </c>
      <c r="C1162">
        <v>503002</v>
      </c>
      <c r="D1162" t="s">
        <v>269</v>
      </c>
      <c r="E1162" t="s">
        <v>3220</v>
      </c>
      <c r="F1162">
        <v>1617429.5</v>
      </c>
      <c r="G1162">
        <v>9916.4453130000002</v>
      </c>
      <c r="H1162">
        <v>1162</v>
      </c>
      <c r="I1162">
        <v>1379</v>
      </c>
      <c r="J1162">
        <v>23619</v>
      </c>
      <c r="K1162" t="s">
        <v>8006</v>
      </c>
      <c r="L1162">
        <v>4</v>
      </c>
      <c r="M1162">
        <v>4</v>
      </c>
      <c r="N1162">
        <v>23619</v>
      </c>
      <c r="O1162">
        <v>1138</v>
      </c>
      <c r="P1162" t="s">
        <v>3212</v>
      </c>
      <c r="Q1162">
        <v>6.3</v>
      </c>
      <c r="R1162">
        <v>97.34</v>
      </c>
      <c r="S1162">
        <v>1.58</v>
      </c>
      <c r="T1162">
        <v>24</v>
      </c>
      <c r="U1162">
        <v>1617429.4347699999</v>
      </c>
      <c r="V1162">
        <v>9916.4439409999995</v>
      </c>
      <c r="W1162">
        <v>1161</v>
      </c>
      <c r="X1162">
        <v>0</v>
      </c>
      <c r="Y1162">
        <v>1160</v>
      </c>
      <c r="Z1162" t="s">
        <v>6966</v>
      </c>
      <c r="AA1162" t="s">
        <v>6966</v>
      </c>
      <c r="AB1162" t="s">
        <v>6966</v>
      </c>
      <c r="AC1162" t="s">
        <v>6966</v>
      </c>
      <c r="AD1162" t="s">
        <v>6966</v>
      </c>
      <c r="AE1162" t="s">
        <v>6966</v>
      </c>
      <c r="AF1162" t="s">
        <v>6966</v>
      </c>
      <c r="AG1162" t="s">
        <v>6966</v>
      </c>
      <c r="AH1162" t="s">
        <v>6966</v>
      </c>
      <c r="AI1162" t="s">
        <v>6966</v>
      </c>
      <c r="AJ1162" t="s">
        <v>6966</v>
      </c>
      <c r="AK1162" t="s">
        <v>6966</v>
      </c>
      <c r="AL1162" t="s">
        <v>6966</v>
      </c>
      <c r="AM1162" t="s">
        <v>6966</v>
      </c>
      <c r="AN1162" t="s">
        <v>6966</v>
      </c>
      <c r="AO1162" t="s">
        <v>6966</v>
      </c>
      <c r="AP1162" t="s">
        <v>6966</v>
      </c>
      <c r="AQ1162" t="s">
        <v>6966</v>
      </c>
      <c r="AR1162" t="s">
        <v>6966</v>
      </c>
      <c r="AS1162" t="s">
        <v>6966</v>
      </c>
      <c r="AT1162" t="s">
        <v>6966</v>
      </c>
      <c r="AU1162" t="s">
        <v>6966</v>
      </c>
      <c r="AV1162" t="s">
        <v>6966</v>
      </c>
      <c r="AW1162" t="s">
        <v>6966</v>
      </c>
      <c r="AX1162" t="s">
        <v>6966</v>
      </c>
      <c r="AY1162" t="s">
        <v>6966</v>
      </c>
      <c r="AZ1162">
        <v>9.8715999999999998E-2</v>
      </c>
      <c r="BA1162">
        <v>1.5699999999999999E-4</v>
      </c>
    </row>
    <row r="1163" spans="1:53" x14ac:dyDescent="0.25">
      <c r="A1163">
        <v>1161</v>
      </c>
      <c r="B1163" t="s">
        <v>7625</v>
      </c>
      <c r="C1163">
        <v>503079</v>
      </c>
      <c r="D1163" t="s">
        <v>278</v>
      </c>
      <c r="E1163" t="s">
        <v>3220</v>
      </c>
      <c r="F1163">
        <v>0</v>
      </c>
      <c r="G1163">
        <v>35103.167969000002</v>
      </c>
      <c r="H1163">
        <v>1163</v>
      </c>
      <c r="I1163">
        <v>1380</v>
      </c>
      <c r="J1163">
        <v>23651</v>
      </c>
      <c r="K1163" t="s">
        <v>1787</v>
      </c>
      <c r="L1163">
        <v>4</v>
      </c>
      <c r="M1163">
        <v>4</v>
      </c>
      <c r="N1163">
        <v>23651</v>
      </c>
      <c r="O1163">
        <v>1139</v>
      </c>
      <c r="P1163" t="s">
        <v>3212</v>
      </c>
      <c r="Q1163">
        <v>1.6</v>
      </c>
      <c r="R1163">
        <v>50.17</v>
      </c>
      <c r="S1163">
        <v>0.51</v>
      </c>
      <c r="T1163">
        <v>16</v>
      </c>
      <c r="U1163">
        <v>0</v>
      </c>
      <c r="V1163">
        <v>35103.166426999996</v>
      </c>
      <c r="W1163">
        <v>1162</v>
      </c>
      <c r="X1163">
        <v>0</v>
      </c>
      <c r="Y1163">
        <v>1161</v>
      </c>
      <c r="Z1163" t="s">
        <v>6966</v>
      </c>
      <c r="AA1163" t="s">
        <v>6966</v>
      </c>
      <c r="AB1163" t="s">
        <v>6966</v>
      </c>
      <c r="AC1163" t="s">
        <v>6966</v>
      </c>
      <c r="AD1163" t="s">
        <v>6966</v>
      </c>
      <c r="AE1163" t="s">
        <v>6966</v>
      </c>
      <c r="AF1163" t="s">
        <v>6966</v>
      </c>
      <c r="AG1163" t="s">
        <v>6966</v>
      </c>
      <c r="AH1163" t="s">
        <v>6966</v>
      </c>
      <c r="AI1163" t="s">
        <v>6966</v>
      </c>
      <c r="AJ1163" t="s">
        <v>6966</v>
      </c>
      <c r="AK1163" t="s">
        <v>6966</v>
      </c>
      <c r="AL1163" t="s">
        <v>6966</v>
      </c>
      <c r="AM1163" t="s">
        <v>6966</v>
      </c>
      <c r="AN1163" t="s">
        <v>6966</v>
      </c>
      <c r="AO1163" t="s">
        <v>6966</v>
      </c>
      <c r="AP1163" t="s">
        <v>6966</v>
      </c>
      <c r="AQ1163" t="s">
        <v>6966</v>
      </c>
      <c r="AR1163" t="s">
        <v>6966</v>
      </c>
      <c r="AS1163" t="s">
        <v>6966</v>
      </c>
      <c r="AT1163" t="s">
        <v>6966</v>
      </c>
      <c r="AU1163" t="s">
        <v>6966</v>
      </c>
      <c r="AV1163" t="s">
        <v>6966</v>
      </c>
      <c r="AW1163" t="s">
        <v>6966</v>
      </c>
      <c r="AX1163" t="s">
        <v>6966</v>
      </c>
      <c r="AY1163" t="s">
        <v>6966</v>
      </c>
      <c r="AZ1163">
        <v>0.35010400000000003</v>
      </c>
      <c r="BA1163">
        <v>1.3190000000000001E-3</v>
      </c>
    </row>
    <row r="1164" spans="1:53" x14ac:dyDescent="0.25">
      <c r="A1164">
        <v>1162</v>
      </c>
      <c r="B1164" t="s">
        <v>7625</v>
      </c>
      <c r="C1164">
        <v>503048</v>
      </c>
      <c r="D1164" t="s">
        <v>8007</v>
      </c>
      <c r="E1164" t="s">
        <v>3220</v>
      </c>
      <c r="F1164">
        <v>9468517</v>
      </c>
      <c r="G1164">
        <v>20147.121093999998</v>
      </c>
      <c r="H1164">
        <v>1164</v>
      </c>
      <c r="I1164">
        <v>1381</v>
      </c>
      <c r="J1164">
        <v>23566</v>
      </c>
      <c r="K1164" t="s">
        <v>8007</v>
      </c>
      <c r="L1164">
        <v>4</v>
      </c>
      <c r="M1164">
        <v>4</v>
      </c>
      <c r="N1164">
        <v>23566</v>
      </c>
      <c r="O1164">
        <v>1140</v>
      </c>
      <c r="P1164" t="s">
        <v>3212</v>
      </c>
      <c r="Q1164">
        <v>2.6</v>
      </c>
      <c r="R1164">
        <v>33.520000000000003</v>
      </c>
      <c r="S1164">
        <v>0.69</v>
      </c>
      <c r="T1164">
        <v>9</v>
      </c>
      <c r="U1164">
        <v>9468516.7504099999</v>
      </c>
      <c r="V1164">
        <v>20147.121096999999</v>
      </c>
      <c r="W1164">
        <v>1163</v>
      </c>
      <c r="X1164">
        <v>0</v>
      </c>
      <c r="Y1164">
        <v>1162</v>
      </c>
      <c r="Z1164" t="s">
        <v>6966</v>
      </c>
      <c r="AA1164" t="s">
        <v>6966</v>
      </c>
      <c r="AB1164" t="s">
        <v>6966</v>
      </c>
      <c r="AC1164" t="s">
        <v>6966</v>
      </c>
      <c r="AD1164" t="s">
        <v>6966</v>
      </c>
      <c r="AE1164" t="s">
        <v>6966</v>
      </c>
      <c r="AF1164" t="s">
        <v>6966</v>
      </c>
      <c r="AG1164" t="s">
        <v>6966</v>
      </c>
      <c r="AH1164" t="s">
        <v>6966</v>
      </c>
      <c r="AI1164" t="s">
        <v>6966</v>
      </c>
      <c r="AJ1164" t="s">
        <v>6966</v>
      </c>
      <c r="AK1164" t="s">
        <v>6966</v>
      </c>
      <c r="AL1164" t="s">
        <v>6966</v>
      </c>
      <c r="AM1164" t="s">
        <v>6966</v>
      </c>
      <c r="AN1164" t="s">
        <v>6966</v>
      </c>
      <c r="AO1164" t="s">
        <v>6966</v>
      </c>
      <c r="AP1164" t="s">
        <v>6966</v>
      </c>
      <c r="AQ1164" t="s">
        <v>6966</v>
      </c>
      <c r="AR1164" t="s">
        <v>6966</v>
      </c>
      <c r="AS1164" t="s">
        <v>6966</v>
      </c>
      <c r="AT1164" t="s">
        <v>6966</v>
      </c>
      <c r="AU1164" t="s">
        <v>6966</v>
      </c>
      <c r="AV1164" t="s">
        <v>6966</v>
      </c>
      <c r="AW1164" t="s">
        <v>6966</v>
      </c>
      <c r="AX1164" t="s">
        <v>6966</v>
      </c>
      <c r="AY1164" t="s">
        <v>6966</v>
      </c>
      <c r="AZ1164">
        <v>0.20080700000000001</v>
      </c>
      <c r="BA1164">
        <v>9.2000000000000003E-4</v>
      </c>
    </row>
    <row r="1165" spans="1:53" x14ac:dyDescent="0.25">
      <c r="A1165">
        <v>1163</v>
      </c>
      <c r="B1165" t="s">
        <v>7625</v>
      </c>
      <c r="C1165">
        <v>503010</v>
      </c>
      <c r="D1165" t="s">
        <v>273</v>
      </c>
      <c r="E1165" t="s">
        <v>3220</v>
      </c>
      <c r="F1165">
        <v>8204936.5</v>
      </c>
      <c r="G1165">
        <v>16597.490234000001</v>
      </c>
      <c r="H1165">
        <v>1165</v>
      </c>
      <c r="I1165">
        <v>1383</v>
      </c>
      <c r="J1165">
        <v>23631</v>
      </c>
      <c r="K1165" t="s">
        <v>273</v>
      </c>
      <c r="L1165">
        <v>4</v>
      </c>
      <c r="M1165">
        <v>4</v>
      </c>
      <c r="N1165">
        <v>23631</v>
      </c>
      <c r="O1165">
        <v>1141</v>
      </c>
      <c r="P1165" t="s">
        <v>3212</v>
      </c>
      <c r="Q1165">
        <v>1.9</v>
      </c>
      <c r="R1165">
        <v>21.82</v>
      </c>
      <c r="S1165">
        <v>0.5</v>
      </c>
      <c r="T1165">
        <v>6</v>
      </c>
      <c r="U1165">
        <v>8204936.6469799997</v>
      </c>
      <c r="V1165">
        <v>16597.490099999999</v>
      </c>
      <c r="W1165">
        <v>1164</v>
      </c>
      <c r="X1165">
        <v>0</v>
      </c>
      <c r="Y1165">
        <v>1163</v>
      </c>
      <c r="Z1165" t="s">
        <v>6966</v>
      </c>
      <c r="AA1165" t="s">
        <v>6966</v>
      </c>
      <c r="AB1165" t="s">
        <v>6966</v>
      </c>
      <c r="AC1165" t="s">
        <v>6966</v>
      </c>
      <c r="AD1165" t="s">
        <v>6966</v>
      </c>
      <c r="AE1165" t="s">
        <v>6966</v>
      </c>
      <c r="AF1165" t="s">
        <v>6966</v>
      </c>
      <c r="AG1165" t="s">
        <v>6966</v>
      </c>
      <c r="AH1165" t="s">
        <v>6966</v>
      </c>
      <c r="AI1165" t="s">
        <v>6966</v>
      </c>
      <c r="AJ1165" t="s">
        <v>6966</v>
      </c>
      <c r="AK1165" t="s">
        <v>6966</v>
      </c>
      <c r="AL1165" t="s">
        <v>6966</v>
      </c>
      <c r="AM1165" t="s">
        <v>6966</v>
      </c>
      <c r="AN1165" t="s">
        <v>6966</v>
      </c>
      <c r="AO1165" t="s">
        <v>6966</v>
      </c>
      <c r="AP1165" t="s">
        <v>6966</v>
      </c>
      <c r="AQ1165" t="s">
        <v>6966</v>
      </c>
      <c r="AR1165" t="s">
        <v>6966</v>
      </c>
      <c r="AS1165" t="s">
        <v>6966</v>
      </c>
      <c r="AT1165" t="s">
        <v>6966</v>
      </c>
      <c r="AU1165" t="s">
        <v>6966</v>
      </c>
      <c r="AV1165" t="s">
        <v>6966</v>
      </c>
      <c r="AW1165" t="s">
        <v>6966</v>
      </c>
      <c r="AX1165" t="s">
        <v>6966</v>
      </c>
      <c r="AY1165" t="s">
        <v>6966</v>
      </c>
      <c r="AZ1165">
        <v>0.16438700000000001</v>
      </c>
      <c r="BA1165">
        <v>7.9699999999999997E-4</v>
      </c>
    </row>
    <row r="1166" spans="1:53" x14ac:dyDescent="0.25">
      <c r="A1166">
        <v>1164</v>
      </c>
      <c r="B1166" t="s">
        <v>7625</v>
      </c>
      <c r="C1166">
        <v>503029</v>
      </c>
      <c r="D1166" t="s">
        <v>194</v>
      </c>
      <c r="E1166" t="s">
        <v>3220</v>
      </c>
      <c r="F1166">
        <v>1914530</v>
      </c>
      <c r="G1166">
        <v>6417.0180659999996</v>
      </c>
      <c r="H1166">
        <v>1166</v>
      </c>
      <c r="I1166">
        <v>1384</v>
      </c>
      <c r="J1166">
        <v>23223</v>
      </c>
      <c r="K1166" t="s">
        <v>8008</v>
      </c>
      <c r="L1166">
        <v>4</v>
      </c>
      <c r="M1166">
        <v>4</v>
      </c>
      <c r="N1166">
        <v>23223</v>
      </c>
      <c r="O1166">
        <v>1142</v>
      </c>
      <c r="P1166" t="s">
        <v>3212</v>
      </c>
      <c r="Q1166">
        <v>0.7</v>
      </c>
      <c r="R1166">
        <v>6.05</v>
      </c>
      <c r="S1166">
        <v>0.23</v>
      </c>
      <c r="T1166">
        <v>2</v>
      </c>
      <c r="U1166">
        <v>1914529.96942</v>
      </c>
      <c r="V1166">
        <v>6417.0180049999999</v>
      </c>
      <c r="W1166">
        <v>1165</v>
      </c>
      <c r="X1166">
        <v>0</v>
      </c>
      <c r="Y1166">
        <v>1164</v>
      </c>
      <c r="Z1166" t="s">
        <v>6966</v>
      </c>
      <c r="AA1166" t="s">
        <v>6966</v>
      </c>
      <c r="AB1166" t="s">
        <v>6966</v>
      </c>
      <c r="AC1166" t="s">
        <v>6966</v>
      </c>
      <c r="AD1166" t="s">
        <v>6966</v>
      </c>
      <c r="AE1166" t="s">
        <v>6966</v>
      </c>
      <c r="AF1166" t="s">
        <v>6966</v>
      </c>
      <c r="AG1166" t="s">
        <v>6966</v>
      </c>
      <c r="AH1166" t="s">
        <v>6966</v>
      </c>
      <c r="AI1166" t="s">
        <v>6966</v>
      </c>
      <c r="AJ1166" t="s">
        <v>6966</v>
      </c>
      <c r="AK1166" t="s">
        <v>6966</v>
      </c>
      <c r="AL1166" t="s">
        <v>6966</v>
      </c>
      <c r="AM1166" t="s">
        <v>6966</v>
      </c>
      <c r="AN1166" t="s">
        <v>6966</v>
      </c>
      <c r="AO1166" t="s">
        <v>6966</v>
      </c>
      <c r="AP1166" t="s">
        <v>6966</v>
      </c>
      <c r="AQ1166" t="s">
        <v>6966</v>
      </c>
      <c r="AR1166" t="s">
        <v>6966</v>
      </c>
      <c r="AS1166" t="s">
        <v>6966</v>
      </c>
      <c r="AT1166" t="s">
        <v>6966</v>
      </c>
      <c r="AU1166" t="s">
        <v>6966</v>
      </c>
      <c r="AV1166" t="s">
        <v>6966</v>
      </c>
      <c r="AW1166" t="s">
        <v>6966</v>
      </c>
      <c r="AX1166" t="s">
        <v>6966</v>
      </c>
      <c r="AY1166" t="s">
        <v>6966</v>
      </c>
      <c r="AZ1166">
        <v>6.4075999999999994E-2</v>
      </c>
      <c r="BA1166">
        <v>1.8599999999999999E-4</v>
      </c>
    </row>
    <row r="1167" spans="1:53" x14ac:dyDescent="0.25">
      <c r="A1167">
        <v>1165</v>
      </c>
      <c r="B1167" t="s">
        <v>7625</v>
      </c>
      <c r="C1167">
        <v>401018</v>
      </c>
      <c r="D1167" t="s">
        <v>1045</v>
      </c>
      <c r="E1167" t="s">
        <v>3221</v>
      </c>
      <c r="F1167">
        <v>0</v>
      </c>
      <c r="G1167">
        <v>20915.689452999999</v>
      </c>
      <c r="H1167">
        <v>1167</v>
      </c>
      <c r="I1167">
        <v>1385</v>
      </c>
      <c r="J1167">
        <v>52217</v>
      </c>
      <c r="K1167" t="s">
        <v>2393</v>
      </c>
      <c r="L1167">
        <v>16</v>
      </c>
      <c r="M1167">
        <v>16</v>
      </c>
      <c r="N1167">
        <v>52217</v>
      </c>
      <c r="O1167">
        <v>1143</v>
      </c>
      <c r="P1167" t="s">
        <v>3214</v>
      </c>
      <c r="Q1167">
        <v>2.7</v>
      </c>
      <c r="R1167">
        <v>100</v>
      </c>
      <c r="S1167">
        <v>0.65</v>
      </c>
      <c r="T1167">
        <v>24</v>
      </c>
      <c r="U1167">
        <v>0</v>
      </c>
      <c r="V1167">
        <v>20915.688200000001</v>
      </c>
      <c r="W1167">
        <v>1166</v>
      </c>
      <c r="X1167">
        <v>0</v>
      </c>
      <c r="Y1167">
        <v>1165</v>
      </c>
      <c r="Z1167" t="s">
        <v>6966</v>
      </c>
      <c r="AA1167" t="s">
        <v>6966</v>
      </c>
      <c r="AB1167" t="s">
        <v>6966</v>
      </c>
      <c r="AC1167" t="s">
        <v>6966</v>
      </c>
      <c r="AD1167" t="s">
        <v>6966</v>
      </c>
      <c r="AE1167" t="s">
        <v>6966</v>
      </c>
      <c r="AF1167" t="s">
        <v>6966</v>
      </c>
      <c r="AG1167" t="s">
        <v>6966</v>
      </c>
      <c r="AH1167" t="s">
        <v>6966</v>
      </c>
      <c r="AI1167" t="s">
        <v>6966</v>
      </c>
      <c r="AJ1167" t="s">
        <v>6966</v>
      </c>
      <c r="AK1167" t="s">
        <v>6966</v>
      </c>
      <c r="AL1167" t="s">
        <v>6966</v>
      </c>
      <c r="AM1167" t="s">
        <v>6966</v>
      </c>
      <c r="AN1167" t="s">
        <v>6966</v>
      </c>
      <c r="AO1167" t="s">
        <v>6966</v>
      </c>
      <c r="AP1167" t="s">
        <v>6966</v>
      </c>
      <c r="AQ1167" t="s">
        <v>6966</v>
      </c>
      <c r="AR1167" t="s">
        <v>6966</v>
      </c>
      <c r="AS1167" t="s">
        <v>6966</v>
      </c>
      <c r="AT1167" t="s">
        <v>6966</v>
      </c>
      <c r="AU1167" t="s">
        <v>6966</v>
      </c>
      <c r="AV1167" t="s">
        <v>6966</v>
      </c>
      <c r="AW1167" t="s">
        <v>6966</v>
      </c>
      <c r="AX1167" t="s">
        <v>6966</v>
      </c>
      <c r="AY1167" t="s">
        <v>6966</v>
      </c>
      <c r="AZ1167">
        <v>0.207564</v>
      </c>
      <c r="BA1167">
        <v>1.506E-3</v>
      </c>
    </row>
    <row r="1168" spans="1:53" x14ac:dyDescent="0.25">
      <c r="A1168">
        <v>1166</v>
      </c>
      <c r="B1168" t="s">
        <v>7625</v>
      </c>
      <c r="C1168">
        <v>503030</v>
      </c>
      <c r="D1168" t="s">
        <v>191</v>
      </c>
      <c r="E1168" t="s">
        <v>3220</v>
      </c>
      <c r="F1168">
        <v>8538183</v>
      </c>
      <c r="G1168">
        <v>17792.537109000001</v>
      </c>
      <c r="H1168">
        <v>1168</v>
      </c>
      <c r="I1168">
        <v>1386</v>
      </c>
      <c r="J1168">
        <v>23211</v>
      </c>
      <c r="K1168" t="s">
        <v>1714</v>
      </c>
      <c r="L1168">
        <v>4</v>
      </c>
      <c r="M1168">
        <v>4</v>
      </c>
      <c r="N1168">
        <v>23211</v>
      </c>
      <c r="O1168">
        <v>1144</v>
      </c>
      <c r="P1168" t="s">
        <v>3212</v>
      </c>
      <c r="Q1168">
        <v>15.9</v>
      </c>
      <c r="R1168">
        <v>55.8</v>
      </c>
      <c r="S1168">
        <v>4.95</v>
      </c>
      <c r="T1168">
        <v>17</v>
      </c>
      <c r="U1168">
        <v>8538182.5603599995</v>
      </c>
      <c r="V1168">
        <v>17792.537898999999</v>
      </c>
      <c r="W1168">
        <v>1167</v>
      </c>
      <c r="X1168">
        <v>0</v>
      </c>
      <c r="Y1168">
        <v>1166</v>
      </c>
      <c r="Z1168" t="s">
        <v>6966</v>
      </c>
      <c r="AA1168" t="s">
        <v>6966</v>
      </c>
      <c r="AB1168" t="s">
        <v>6966</v>
      </c>
      <c r="AC1168" t="s">
        <v>6966</v>
      </c>
      <c r="AD1168" t="s">
        <v>6966</v>
      </c>
      <c r="AE1168" t="s">
        <v>6966</v>
      </c>
      <c r="AF1168" t="s">
        <v>6966</v>
      </c>
      <c r="AG1168" t="s">
        <v>6966</v>
      </c>
      <c r="AH1168" t="s">
        <v>6966</v>
      </c>
      <c r="AI1168" t="s">
        <v>6966</v>
      </c>
      <c r="AJ1168" t="s">
        <v>6966</v>
      </c>
      <c r="AK1168" t="s">
        <v>6966</v>
      </c>
      <c r="AL1168" t="s">
        <v>6966</v>
      </c>
      <c r="AM1168" t="s">
        <v>6966</v>
      </c>
      <c r="AN1168" t="s">
        <v>6966</v>
      </c>
      <c r="AO1168" t="s">
        <v>6966</v>
      </c>
      <c r="AP1168" t="s">
        <v>6966</v>
      </c>
      <c r="AQ1168" t="s">
        <v>6966</v>
      </c>
      <c r="AR1168" t="s">
        <v>6966</v>
      </c>
      <c r="AS1168" t="s">
        <v>6966</v>
      </c>
      <c r="AT1168" t="s">
        <v>6966</v>
      </c>
      <c r="AU1168" t="s">
        <v>6966</v>
      </c>
      <c r="AV1168" t="s">
        <v>6966</v>
      </c>
      <c r="AW1168" t="s">
        <v>6966</v>
      </c>
      <c r="AX1168" t="s">
        <v>6966</v>
      </c>
      <c r="AY1168" t="s">
        <v>6966</v>
      </c>
      <c r="AZ1168">
        <v>0.17679400000000001</v>
      </c>
      <c r="BA1168">
        <v>8.2899999999999998E-4</v>
      </c>
    </row>
    <row r="1169" spans="1:53" x14ac:dyDescent="0.25">
      <c r="A1169">
        <v>1167</v>
      </c>
      <c r="B1169" t="s">
        <v>7625</v>
      </c>
      <c r="C1169">
        <v>503006</v>
      </c>
      <c r="D1169" t="s">
        <v>275</v>
      </c>
      <c r="E1169" t="s">
        <v>3220</v>
      </c>
      <c r="F1169">
        <v>5775437</v>
      </c>
      <c r="G1169">
        <v>26295.113281000002</v>
      </c>
      <c r="H1169">
        <v>1169</v>
      </c>
      <c r="I1169">
        <v>1387</v>
      </c>
      <c r="J1169">
        <v>23639</v>
      </c>
      <c r="K1169" t="s">
        <v>1785</v>
      </c>
      <c r="L1169">
        <v>4</v>
      </c>
      <c r="M1169">
        <v>4</v>
      </c>
      <c r="N1169">
        <v>23639</v>
      </c>
      <c r="O1169">
        <v>1145</v>
      </c>
      <c r="P1169" t="s">
        <v>3212</v>
      </c>
      <c r="Q1169">
        <v>3.1</v>
      </c>
      <c r="R1169">
        <v>93.26</v>
      </c>
      <c r="S1169">
        <v>0.82</v>
      </c>
      <c r="T1169">
        <v>25</v>
      </c>
      <c r="U1169">
        <v>5775436.8707299996</v>
      </c>
      <c r="V1169">
        <v>26295.113754000002</v>
      </c>
      <c r="W1169">
        <v>1168</v>
      </c>
      <c r="X1169">
        <v>0</v>
      </c>
      <c r="Y1169">
        <v>1167</v>
      </c>
      <c r="Z1169" t="s">
        <v>6966</v>
      </c>
      <c r="AA1169" t="s">
        <v>6966</v>
      </c>
      <c r="AB1169" t="s">
        <v>6966</v>
      </c>
      <c r="AC1169" t="s">
        <v>6966</v>
      </c>
      <c r="AD1169" t="s">
        <v>6966</v>
      </c>
      <c r="AE1169" t="s">
        <v>6966</v>
      </c>
      <c r="AF1169" t="s">
        <v>6966</v>
      </c>
      <c r="AG1169" t="s">
        <v>6966</v>
      </c>
      <c r="AH1169" t="s">
        <v>6966</v>
      </c>
      <c r="AI1169" t="s">
        <v>6966</v>
      </c>
      <c r="AJ1169" t="s">
        <v>6966</v>
      </c>
      <c r="AK1169" t="s">
        <v>6966</v>
      </c>
      <c r="AL1169" t="s">
        <v>6966</v>
      </c>
      <c r="AM1169" t="s">
        <v>6966</v>
      </c>
      <c r="AN1169" t="s">
        <v>6966</v>
      </c>
      <c r="AO1169" t="s">
        <v>6966</v>
      </c>
      <c r="AP1169" t="s">
        <v>6966</v>
      </c>
      <c r="AQ1169" t="s">
        <v>6966</v>
      </c>
      <c r="AR1169" t="s">
        <v>6966</v>
      </c>
      <c r="AS1169" t="s">
        <v>6966</v>
      </c>
      <c r="AT1169" t="s">
        <v>6966</v>
      </c>
      <c r="AU1169" t="s">
        <v>6966</v>
      </c>
      <c r="AV1169" t="s">
        <v>6966</v>
      </c>
      <c r="AW1169" t="s">
        <v>6966</v>
      </c>
      <c r="AX1169" t="s">
        <v>6966</v>
      </c>
      <c r="AY1169" t="s">
        <v>6966</v>
      </c>
      <c r="AZ1169">
        <v>0.25830599999999998</v>
      </c>
      <c r="BA1169">
        <v>5.6099999999999998E-4</v>
      </c>
    </row>
    <row r="1170" spans="1:53" x14ac:dyDescent="0.25">
      <c r="A1170">
        <v>1168</v>
      </c>
      <c r="B1170" t="s">
        <v>7625</v>
      </c>
      <c r="C1170">
        <v>503051</v>
      </c>
      <c r="D1170" t="s">
        <v>208</v>
      </c>
      <c r="E1170" t="s">
        <v>3220</v>
      </c>
      <c r="F1170">
        <v>3171070.25</v>
      </c>
      <c r="G1170">
        <v>8545.234375</v>
      </c>
      <c r="H1170">
        <v>1170</v>
      </c>
      <c r="I1170">
        <v>1388</v>
      </c>
      <c r="J1170">
        <v>23271</v>
      </c>
      <c r="K1170" t="s">
        <v>208</v>
      </c>
      <c r="L1170">
        <v>4</v>
      </c>
      <c r="M1170">
        <v>4</v>
      </c>
      <c r="N1170">
        <v>23271</v>
      </c>
      <c r="O1170">
        <v>1146</v>
      </c>
      <c r="P1170" t="s">
        <v>3212</v>
      </c>
      <c r="Q1170">
        <v>1.6</v>
      </c>
      <c r="R1170">
        <v>14.3</v>
      </c>
      <c r="S1170">
        <v>0.46</v>
      </c>
      <c r="T1170">
        <v>5</v>
      </c>
      <c r="U1170">
        <v>3171070.1900399998</v>
      </c>
      <c r="V1170">
        <v>8545.2343130000008</v>
      </c>
      <c r="W1170">
        <v>1169</v>
      </c>
      <c r="X1170">
        <v>0</v>
      </c>
      <c r="Y1170">
        <v>1168</v>
      </c>
      <c r="Z1170" t="s">
        <v>6966</v>
      </c>
      <c r="AA1170" t="s">
        <v>6966</v>
      </c>
      <c r="AB1170" t="s">
        <v>6966</v>
      </c>
      <c r="AC1170" t="s">
        <v>6966</v>
      </c>
      <c r="AD1170" t="s">
        <v>6966</v>
      </c>
      <c r="AE1170" t="s">
        <v>6966</v>
      </c>
      <c r="AF1170" t="s">
        <v>6966</v>
      </c>
      <c r="AG1170" t="s">
        <v>6966</v>
      </c>
      <c r="AH1170" t="s">
        <v>6966</v>
      </c>
      <c r="AI1170" t="s">
        <v>6966</v>
      </c>
      <c r="AJ1170" t="s">
        <v>6966</v>
      </c>
      <c r="AK1170" t="s">
        <v>6966</v>
      </c>
      <c r="AL1170" t="s">
        <v>6966</v>
      </c>
      <c r="AM1170" t="s">
        <v>6966</v>
      </c>
      <c r="AN1170" t="s">
        <v>6966</v>
      </c>
      <c r="AO1170" t="s">
        <v>6966</v>
      </c>
      <c r="AP1170" t="s">
        <v>6966</v>
      </c>
      <c r="AQ1170" t="s">
        <v>6966</v>
      </c>
      <c r="AR1170" t="s">
        <v>6966</v>
      </c>
      <c r="AS1170" t="s">
        <v>6966</v>
      </c>
      <c r="AT1170" t="s">
        <v>6966</v>
      </c>
      <c r="AU1170" t="s">
        <v>6966</v>
      </c>
      <c r="AV1170" t="s">
        <v>6966</v>
      </c>
      <c r="AW1170" t="s">
        <v>6966</v>
      </c>
      <c r="AX1170" t="s">
        <v>6966</v>
      </c>
      <c r="AY1170" t="s">
        <v>6966</v>
      </c>
      <c r="AZ1170">
        <v>8.6018999999999998E-2</v>
      </c>
      <c r="BA1170">
        <v>3.0800000000000001E-4</v>
      </c>
    </row>
    <row r="1171" spans="1:53" x14ac:dyDescent="0.25">
      <c r="A1171">
        <v>1169</v>
      </c>
      <c r="B1171" t="s">
        <v>7625</v>
      </c>
      <c r="C1171">
        <v>503008</v>
      </c>
      <c r="D1171" t="s">
        <v>199</v>
      </c>
      <c r="E1171" t="s">
        <v>3220</v>
      </c>
      <c r="F1171">
        <v>7887065</v>
      </c>
      <c r="G1171">
        <v>16865.482422000001</v>
      </c>
      <c r="H1171">
        <v>1171</v>
      </c>
      <c r="I1171">
        <v>1389</v>
      </c>
      <c r="J1171">
        <v>23239</v>
      </c>
      <c r="K1171" t="s">
        <v>1722</v>
      </c>
      <c r="L1171">
        <v>4</v>
      </c>
      <c r="M1171">
        <v>4</v>
      </c>
      <c r="N1171">
        <v>23239</v>
      </c>
      <c r="O1171">
        <v>1147</v>
      </c>
      <c r="P1171" t="s">
        <v>3212</v>
      </c>
      <c r="Q1171">
        <v>4.7</v>
      </c>
      <c r="R1171">
        <v>31.09</v>
      </c>
      <c r="S1171">
        <v>1.68</v>
      </c>
      <c r="T1171">
        <v>11</v>
      </c>
      <c r="U1171">
        <v>7887064.7652700003</v>
      </c>
      <c r="V1171">
        <v>16865.481863000001</v>
      </c>
      <c r="W1171">
        <v>1170</v>
      </c>
      <c r="X1171">
        <v>1</v>
      </c>
      <c r="Y1171">
        <v>1169</v>
      </c>
      <c r="Z1171">
        <v>64482</v>
      </c>
      <c r="AA1171" s="76">
        <v>45829</v>
      </c>
      <c r="AB1171">
        <v>2025</v>
      </c>
      <c r="AC1171" t="s">
        <v>7298</v>
      </c>
      <c r="AD1171">
        <v>21</v>
      </c>
      <c r="AE1171" t="s">
        <v>7306</v>
      </c>
      <c r="AF1171" t="s">
        <v>3212</v>
      </c>
      <c r="AG1171" t="s">
        <v>3220</v>
      </c>
      <c r="AH1171" t="s">
        <v>199</v>
      </c>
      <c r="AI1171" t="s">
        <v>199</v>
      </c>
      <c r="AJ1171" t="s">
        <v>6966</v>
      </c>
      <c r="AK1171">
        <v>33.630760000000002</v>
      </c>
      <c r="AL1171">
        <v>35.513420000000004</v>
      </c>
      <c r="AM1171" t="s">
        <v>6995</v>
      </c>
      <c r="AN1171" t="s">
        <v>6966</v>
      </c>
      <c r="AO1171" t="s">
        <v>6996</v>
      </c>
      <c r="AP1171" t="s">
        <v>7307</v>
      </c>
      <c r="AQ1171" t="s">
        <v>6998</v>
      </c>
      <c r="AR1171" t="s">
        <v>6999</v>
      </c>
      <c r="AS1171" t="s">
        <v>7000</v>
      </c>
      <c r="AT1171">
        <v>0</v>
      </c>
      <c r="AU1171">
        <v>0</v>
      </c>
      <c r="AV1171" t="s">
        <v>7308</v>
      </c>
      <c r="AW1171" t="s">
        <v>7032</v>
      </c>
      <c r="AX1171" t="s">
        <v>6966</v>
      </c>
      <c r="AY1171" t="s">
        <v>7003</v>
      </c>
      <c r="AZ1171">
        <v>0.165405</v>
      </c>
      <c r="BA1171">
        <v>7.6599999999999997E-4</v>
      </c>
    </row>
    <row r="1172" spans="1:53" x14ac:dyDescent="0.25">
      <c r="A1172">
        <v>1170</v>
      </c>
      <c r="B1172" t="s">
        <v>7625</v>
      </c>
      <c r="C1172">
        <v>503050</v>
      </c>
      <c r="D1172" t="s">
        <v>266</v>
      </c>
      <c r="E1172" t="s">
        <v>3220</v>
      </c>
      <c r="F1172">
        <v>3745097.25</v>
      </c>
      <c r="G1172">
        <v>11317.731444999999</v>
      </c>
      <c r="H1172">
        <v>1172</v>
      </c>
      <c r="I1172">
        <v>1391</v>
      </c>
      <c r="J1172">
        <v>23588</v>
      </c>
      <c r="K1172" t="s">
        <v>1779</v>
      </c>
      <c r="L1172">
        <v>4</v>
      </c>
      <c r="M1172">
        <v>4</v>
      </c>
      <c r="N1172">
        <v>23588</v>
      </c>
      <c r="O1172">
        <v>1148</v>
      </c>
      <c r="P1172" t="s">
        <v>3212</v>
      </c>
      <c r="Q1172">
        <v>2.1</v>
      </c>
      <c r="R1172">
        <v>37.65</v>
      </c>
      <c r="S1172">
        <v>0.68</v>
      </c>
      <c r="T1172">
        <v>12</v>
      </c>
      <c r="U1172">
        <v>3745097.25018</v>
      </c>
      <c r="V1172">
        <v>11317.730955000001</v>
      </c>
      <c r="W1172">
        <v>1171</v>
      </c>
      <c r="X1172">
        <v>0</v>
      </c>
      <c r="Y1172">
        <v>1170</v>
      </c>
      <c r="Z1172" t="s">
        <v>6966</v>
      </c>
      <c r="AA1172" t="s">
        <v>6966</v>
      </c>
      <c r="AB1172" t="s">
        <v>6966</v>
      </c>
      <c r="AC1172" t="s">
        <v>6966</v>
      </c>
      <c r="AD1172" t="s">
        <v>6966</v>
      </c>
      <c r="AE1172" t="s">
        <v>6966</v>
      </c>
      <c r="AF1172" t="s">
        <v>6966</v>
      </c>
      <c r="AG1172" t="s">
        <v>6966</v>
      </c>
      <c r="AH1172" t="s">
        <v>6966</v>
      </c>
      <c r="AI1172" t="s">
        <v>6966</v>
      </c>
      <c r="AJ1172" t="s">
        <v>6966</v>
      </c>
      <c r="AK1172" t="s">
        <v>6966</v>
      </c>
      <c r="AL1172" t="s">
        <v>6966</v>
      </c>
      <c r="AM1172" t="s">
        <v>6966</v>
      </c>
      <c r="AN1172" t="s">
        <v>6966</v>
      </c>
      <c r="AO1172" t="s">
        <v>6966</v>
      </c>
      <c r="AP1172" t="s">
        <v>6966</v>
      </c>
      <c r="AQ1172" t="s">
        <v>6966</v>
      </c>
      <c r="AR1172" t="s">
        <v>6966</v>
      </c>
      <c r="AS1172" t="s">
        <v>6966</v>
      </c>
      <c r="AT1172" t="s">
        <v>6966</v>
      </c>
      <c r="AU1172" t="s">
        <v>6966</v>
      </c>
      <c r="AV1172" t="s">
        <v>6966</v>
      </c>
      <c r="AW1172" t="s">
        <v>6966</v>
      </c>
      <c r="AX1172" t="s">
        <v>6966</v>
      </c>
      <c r="AY1172" t="s">
        <v>6966</v>
      </c>
      <c r="AZ1172">
        <v>0.110628</v>
      </c>
      <c r="BA1172">
        <v>3.6400000000000001E-4</v>
      </c>
    </row>
    <row r="1173" spans="1:53" x14ac:dyDescent="0.25">
      <c r="A1173">
        <v>1171</v>
      </c>
      <c r="B1173" t="s">
        <v>7625</v>
      </c>
      <c r="C1173">
        <v>503072</v>
      </c>
      <c r="D1173" t="s">
        <v>8009</v>
      </c>
      <c r="E1173" t="s">
        <v>3220</v>
      </c>
      <c r="F1173">
        <v>2001011.125</v>
      </c>
      <c r="G1173">
        <v>7236.248047</v>
      </c>
      <c r="H1173">
        <v>1173</v>
      </c>
      <c r="I1173">
        <v>1392</v>
      </c>
      <c r="J1173">
        <v>23235</v>
      </c>
      <c r="K1173" t="s">
        <v>1720</v>
      </c>
      <c r="L1173">
        <v>4</v>
      </c>
      <c r="M1173">
        <v>4</v>
      </c>
      <c r="N1173">
        <v>23235</v>
      </c>
      <c r="O1173">
        <v>1149</v>
      </c>
      <c r="P1173" t="s">
        <v>3212</v>
      </c>
      <c r="Q1173">
        <v>0.3</v>
      </c>
      <c r="R1173">
        <v>7.93</v>
      </c>
      <c r="S1173">
        <v>0.41</v>
      </c>
      <c r="T1173">
        <v>11</v>
      </c>
      <c r="U1173">
        <v>2001011.1170600001</v>
      </c>
      <c r="V1173">
        <v>7236.2484649999997</v>
      </c>
      <c r="W1173">
        <v>1172</v>
      </c>
      <c r="X1173">
        <v>0</v>
      </c>
      <c r="Y1173">
        <v>1171</v>
      </c>
      <c r="Z1173" t="s">
        <v>6966</v>
      </c>
      <c r="AA1173" t="s">
        <v>6966</v>
      </c>
      <c r="AB1173" t="s">
        <v>6966</v>
      </c>
      <c r="AC1173" t="s">
        <v>6966</v>
      </c>
      <c r="AD1173" t="s">
        <v>6966</v>
      </c>
      <c r="AE1173" t="s">
        <v>6966</v>
      </c>
      <c r="AF1173" t="s">
        <v>6966</v>
      </c>
      <c r="AG1173" t="s">
        <v>6966</v>
      </c>
      <c r="AH1173" t="s">
        <v>6966</v>
      </c>
      <c r="AI1173" t="s">
        <v>6966</v>
      </c>
      <c r="AJ1173" t="s">
        <v>6966</v>
      </c>
      <c r="AK1173" t="s">
        <v>6966</v>
      </c>
      <c r="AL1173" t="s">
        <v>6966</v>
      </c>
      <c r="AM1173" t="s">
        <v>6966</v>
      </c>
      <c r="AN1173" t="s">
        <v>6966</v>
      </c>
      <c r="AO1173" t="s">
        <v>6966</v>
      </c>
      <c r="AP1173" t="s">
        <v>6966</v>
      </c>
      <c r="AQ1173" t="s">
        <v>6966</v>
      </c>
      <c r="AR1173" t="s">
        <v>6966</v>
      </c>
      <c r="AS1173" t="s">
        <v>6966</v>
      </c>
      <c r="AT1173" t="s">
        <v>6966</v>
      </c>
      <c r="AU1173" t="s">
        <v>6966</v>
      </c>
      <c r="AV1173" t="s">
        <v>6966</v>
      </c>
      <c r="AW1173" t="s">
        <v>6966</v>
      </c>
      <c r="AX1173" t="s">
        <v>6966</v>
      </c>
      <c r="AY1173" t="s">
        <v>6966</v>
      </c>
      <c r="AZ1173">
        <v>7.2002999999999998E-2</v>
      </c>
      <c r="BA1173">
        <v>1.94E-4</v>
      </c>
    </row>
    <row r="1174" spans="1:53" x14ac:dyDescent="0.25">
      <c r="A1174">
        <v>1172</v>
      </c>
      <c r="B1174" t="s">
        <v>7625</v>
      </c>
      <c r="C1174">
        <v>401042</v>
      </c>
      <c r="D1174" t="s">
        <v>87</v>
      </c>
      <c r="E1174" t="s">
        <v>3221</v>
      </c>
      <c r="F1174">
        <v>225334.25</v>
      </c>
      <c r="G1174">
        <v>3010.0349120000001</v>
      </c>
      <c r="H1174">
        <v>1174</v>
      </c>
      <c r="I1174">
        <v>1393</v>
      </c>
      <c r="J1174">
        <v>52003</v>
      </c>
      <c r="K1174" t="s">
        <v>87</v>
      </c>
      <c r="L1174">
        <v>16</v>
      </c>
      <c r="M1174">
        <v>16</v>
      </c>
      <c r="N1174">
        <v>52003</v>
      </c>
      <c r="O1174">
        <v>1150</v>
      </c>
      <c r="P1174" t="s">
        <v>3214</v>
      </c>
      <c r="Q1174">
        <v>0</v>
      </c>
      <c r="R1174">
        <v>0</v>
      </c>
      <c r="S1174">
        <v>0</v>
      </c>
      <c r="T1174">
        <v>0</v>
      </c>
      <c r="U1174">
        <v>225334.26526700001</v>
      </c>
      <c r="V1174">
        <v>3010.0349070000002</v>
      </c>
      <c r="W1174">
        <v>1173</v>
      </c>
      <c r="X1174">
        <v>0</v>
      </c>
      <c r="Y1174">
        <v>1172</v>
      </c>
      <c r="Z1174" t="s">
        <v>6966</v>
      </c>
      <c r="AA1174" t="s">
        <v>6966</v>
      </c>
      <c r="AB1174" t="s">
        <v>6966</v>
      </c>
      <c r="AC1174" t="s">
        <v>6966</v>
      </c>
      <c r="AD1174" t="s">
        <v>6966</v>
      </c>
      <c r="AE1174" t="s">
        <v>6966</v>
      </c>
      <c r="AF1174" t="s">
        <v>6966</v>
      </c>
      <c r="AG1174" t="s">
        <v>6966</v>
      </c>
      <c r="AH1174" t="s">
        <v>6966</v>
      </c>
      <c r="AI1174" t="s">
        <v>6966</v>
      </c>
      <c r="AJ1174" t="s">
        <v>6966</v>
      </c>
      <c r="AK1174" t="s">
        <v>6966</v>
      </c>
      <c r="AL1174" t="s">
        <v>6966</v>
      </c>
      <c r="AM1174" t="s">
        <v>6966</v>
      </c>
      <c r="AN1174" t="s">
        <v>6966</v>
      </c>
      <c r="AO1174" t="s">
        <v>6966</v>
      </c>
      <c r="AP1174" t="s">
        <v>6966</v>
      </c>
      <c r="AQ1174" t="s">
        <v>6966</v>
      </c>
      <c r="AR1174" t="s">
        <v>6966</v>
      </c>
      <c r="AS1174" t="s">
        <v>6966</v>
      </c>
      <c r="AT1174" t="s">
        <v>6966</v>
      </c>
      <c r="AU1174" t="s">
        <v>6966</v>
      </c>
      <c r="AV1174" t="s">
        <v>6966</v>
      </c>
      <c r="AW1174" t="s">
        <v>6966</v>
      </c>
      <c r="AX1174" t="s">
        <v>6966</v>
      </c>
      <c r="AY1174" t="s">
        <v>6966</v>
      </c>
      <c r="AZ1174">
        <v>3.0114999999999999E-2</v>
      </c>
      <c r="BA1174">
        <v>2.1999999999999999E-5</v>
      </c>
    </row>
    <row r="1175" spans="1:53" x14ac:dyDescent="0.25">
      <c r="A1175">
        <v>1173</v>
      </c>
      <c r="B1175" t="s">
        <v>7625</v>
      </c>
      <c r="C1175">
        <v>503099</v>
      </c>
      <c r="D1175" t="s">
        <v>200</v>
      </c>
      <c r="E1175" t="s">
        <v>3220</v>
      </c>
      <c r="F1175">
        <v>5722646</v>
      </c>
      <c r="G1175">
        <v>13057.112305000001</v>
      </c>
      <c r="H1175">
        <v>1175</v>
      </c>
      <c r="I1175">
        <v>1394</v>
      </c>
      <c r="J1175">
        <v>23243</v>
      </c>
      <c r="K1175" t="s">
        <v>1723</v>
      </c>
      <c r="L1175">
        <v>4</v>
      </c>
      <c r="M1175">
        <v>4</v>
      </c>
      <c r="N1175">
        <v>23243</v>
      </c>
      <c r="O1175">
        <v>1151</v>
      </c>
      <c r="P1175" t="s">
        <v>3212</v>
      </c>
      <c r="Q1175">
        <v>9.1</v>
      </c>
      <c r="R1175">
        <v>54.07</v>
      </c>
      <c r="S1175">
        <v>2.64</v>
      </c>
      <c r="T1175">
        <v>16</v>
      </c>
      <c r="U1175">
        <v>5722646.1035900004</v>
      </c>
      <c r="V1175">
        <v>13057.111333999999</v>
      </c>
      <c r="W1175">
        <v>1174</v>
      </c>
      <c r="X1175">
        <v>0</v>
      </c>
      <c r="Y1175">
        <v>1173</v>
      </c>
      <c r="Z1175" t="s">
        <v>6966</v>
      </c>
      <c r="AA1175" t="s">
        <v>6966</v>
      </c>
      <c r="AB1175" t="s">
        <v>6966</v>
      </c>
      <c r="AC1175" t="s">
        <v>6966</v>
      </c>
      <c r="AD1175" t="s">
        <v>6966</v>
      </c>
      <c r="AE1175" t="s">
        <v>6966</v>
      </c>
      <c r="AF1175" t="s">
        <v>6966</v>
      </c>
      <c r="AG1175" t="s">
        <v>6966</v>
      </c>
      <c r="AH1175" t="s">
        <v>6966</v>
      </c>
      <c r="AI1175" t="s">
        <v>6966</v>
      </c>
      <c r="AJ1175" t="s">
        <v>6966</v>
      </c>
      <c r="AK1175" t="s">
        <v>6966</v>
      </c>
      <c r="AL1175" t="s">
        <v>6966</v>
      </c>
      <c r="AM1175" t="s">
        <v>6966</v>
      </c>
      <c r="AN1175" t="s">
        <v>6966</v>
      </c>
      <c r="AO1175" t="s">
        <v>6966</v>
      </c>
      <c r="AP1175" t="s">
        <v>6966</v>
      </c>
      <c r="AQ1175" t="s">
        <v>6966</v>
      </c>
      <c r="AR1175" t="s">
        <v>6966</v>
      </c>
      <c r="AS1175" t="s">
        <v>6966</v>
      </c>
      <c r="AT1175" t="s">
        <v>6966</v>
      </c>
      <c r="AU1175" t="s">
        <v>6966</v>
      </c>
      <c r="AV1175" t="s">
        <v>6966</v>
      </c>
      <c r="AW1175" t="s">
        <v>6966</v>
      </c>
      <c r="AX1175" t="s">
        <v>6966</v>
      </c>
      <c r="AY1175" t="s">
        <v>6966</v>
      </c>
      <c r="AZ1175">
        <v>0.13226599999999999</v>
      </c>
      <c r="BA1175">
        <v>5.5599999999999996E-4</v>
      </c>
    </row>
    <row r="1176" spans="1:53" x14ac:dyDescent="0.25">
      <c r="A1176">
        <v>1174</v>
      </c>
      <c r="B1176" t="s">
        <v>7625</v>
      </c>
      <c r="C1176">
        <v>401002</v>
      </c>
      <c r="D1176" t="s">
        <v>8010</v>
      </c>
      <c r="E1176" t="s">
        <v>3221</v>
      </c>
      <c r="F1176">
        <v>5232801.5</v>
      </c>
      <c r="G1176">
        <v>12250.376953000001</v>
      </c>
      <c r="H1176">
        <v>1176</v>
      </c>
      <c r="I1176">
        <v>1395</v>
      </c>
      <c r="J1176">
        <v>52146</v>
      </c>
      <c r="K1176" t="s">
        <v>8011</v>
      </c>
      <c r="L1176">
        <v>16</v>
      </c>
      <c r="M1176">
        <v>16</v>
      </c>
      <c r="N1176">
        <v>52146</v>
      </c>
      <c r="O1176">
        <v>1152</v>
      </c>
      <c r="P1176" t="s">
        <v>3214</v>
      </c>
      <c r="Q1176">
        <v>1.8</v>
      </c>
      <c r="R1176">
        <v>123.01</v>
      </c>
      <c r="S1176">
        <v>0.37</v>
      </c>
      <c r="T1176">
        <v>25</v>
      </c>
      <c r="U1176">
        <v>5232801.2990800003</v>
      </c>
      <c r="V1176">
        <v>12250.376978</v>
      </c>
      <c r="W1176">
        <v>1175</v>
      </c>
      <c r="X1176">
        <v>1</v>
      </c>
      <c r="Y1176">
        <v>1174</v>
      </c>
      <c r="Z1176">
        <v>59122</v>
      </c>
      <c r="AA1176" s="76">
        <v>45738</v>
      </c>
      <c r="AB1176">
        <v>2025</v>
      </c>
      <c r="AC1176" t="s">
        <v>7104</v>
      </c>
      <c r="AD1176">
        <v>22</v>
      </c>
      <c r="AE1176" t="s">
        <v>7156</v>
      </c>
      <c r="AF1176" t="s">
        <v>3214</v>
      </c>
      <c r="AG1176" t="s">
        <v>3221</v>
      </c>
      <c r="AH1176" t="s">
        <v>7157</v>
      </c>
      <c r="AI1176" t="s">
        <v>7158</v>
      </c>
      <c r="AJ1176" t="s">
        <v>6966</v>
      </c>
      <c r="AK1176">
        <v>33.622410000000002</v>
      </c>
      <c r="AL1176">
        <v>35.700270000000003</v>
      </c>
      <c r="AM1176" t="s">
        <v>6995</v>
      </c>
      <c r="AN1176" t="s">
        <v>6966</v>
      </c>
      <c r="AO1176" t="s">
        <v>6996</v>
      </c>
      <c r="AP1176" t="s">
        <v>7159</v>
      </c>
      <c r="AQ1176" t="s">
        <v>6998</v>
      </c>
      <c r="AR1176" t="s">
        <v>6999</v>
      </c>
      <c r="AS1176" t="s">
        <v>7036</v>
      </c>
      <c r="AT1176">
        <v>0</v>
      </c>
      <c r="AU1176">
        <v>0</v>
      </c>
      <c r="AV1176" t="s">
        <v>6966</v>
      </c>
      <c r="AW1176" t="s">
        <v>7002</v>
      </c>
      <c r="AX1176" t="s">
        <v>6966</v>
      </c>
      <c r="AY1176" t="s">
        <v>7003</v>
      </c>
      <c r="AZ1176">
        <v>0.123253</v>
      </c>
      <c r="BA1176">
        <v>5.0799999999999999E-4</v>
      </c>
    </row>
    <row r="1177" spans="1:53" x14ac:dyDescent="0.25">
      <c r="A1177">
        <v>1175</v>
      </c>
      <c r="B1177" t="s">
        <v>7625</v>
      </c>
      <c r="C1177">
        <v>503034</v>
      </c>
      <c r="D1177" t="s">
        <v>193</v>
      </c>
      <c r="E1177" t="s">
        <v>3220</v>
      </c>
      <c r="F1177">
        <v>2965305.5</v>
      </c>
      <c r="G1177">
        <v>8135.6059569999998</v>
      </c>
      <c r="H1177">
        <v>1177</v>
      </c>
      <c r="I1177">
        <v>1396</v>
      </c>
      <c r="J1177">
        <v>23219</v>
      </c>
      <c r="K1177" t="s">
        <v>1716</v>
      </c>
      <c r="L1177">
        <v>4</v>
      </c>
      <c r="M1177">
        <v>4</v>
      </c>
      <c r="N1177">
        <v>23219</v>
      </c>
      <c r="O1177">
        <v>1153</v>
      </c>
      <c r="P1177" t="s">
        <v>3212</v>
      </c>
      <c r="Q1177">
        <v>6.1</v>
      </c>
      <c r="R1177">
        <v>40.22</v>
      </c>
      <c r="S1177">
        <v>1.87</v>
      </c>
      <c r="T1177">
        <v>12</v>
      </c>
      <c r="U1177">
        <v>2965305.4572700001</v>
      </c>
      <c r="V1177">
        <v>8135.606898</v>
      </c>
      <c r="W1177">
        <v>1176</v>
      </c>
      <c r="X1177">
        <v>0</v>
      </c>
      <c r="Y1177">
        <v>1175</v>
      </c>
      <c r="Z1177" t="s">
        <v>6966</v>
      </c>
      <c r="AA1177" t="s">
        <v>6966</v>
      </c>
      <c r="AB1177" t="s">
        <v>6966</v>
      </c>
      <c r="AC1177" t="s">
        <v>6966</v>
      </c>
      <c r="AD1177" t="s">
        <v>6966</v>
      </c>
      <c r="AE1177" t="s">
        <v>6966</v>
      </c>
      <c r="AF1177" t="s">
        <v>6966</v>
      </c>
      <c r="AG1177" t="s">
        <v>6966</v>
      </c>
      <c r="AH1177" t="s">
        <v>6966</v>
      </c>
      <c r="AI1177" t="s">
        <v>6966</v>
      </c>
      <c r="AJ1177" t="s">
        <v>6966</v>
      </c>
      <c r="AK1177" t="s">
        <v>6966</v>
      </c>
      <c r="AL1177" t="s">
        <v>6966</v>
      </c>
      <c r="AM1177" t="s">
        <v>6966</v>
      </c>
      <c r="AN1177" t="s">
        <v>6966</v>
      </c>
      <c r="AO1177" t="s">
        <v>6966</v>
      </c>
      <c r="AP1177" t="s">
        <v>6966</v>
      </c>
      <c r="AQ1177" t="s">
        <v>6966</v>
      </c>
      <c r="AR1177" t="s">
        <v>6966</v>
      </c>
      <c r="AS1177" t="s">
        <v>6966</v>
      </c>
      <c r="AT1177" t="s">
        <v>6966</v>
      </c>
      <c r="AU1177" t="s">
        <v>6966</v>
      </c>
      <c r="AV1177" t="s">
        <v>6966</v>
      </c>
      <c r="AW1177" t="s">
        <v>6966</v>
      </c>
      <c r="AX1177" t="s">
        <v>6966</v>
      </c>
      <c r="AY1177" t="s">
        <v>6966</v>
      </c>
      <c r="AZ1177">
        <v>8.1761E-2</v>
      </c>
      <c r="BA1177">
        <v>2.8800000000000001E-4</v>
      </c>
    </row>
    <row r="1178" spans="1:53" x14ac:dyDescent="0.25">
      <c r="A1178">
        <v>1176</v>
      </c>
      <c r="B1178" t="s">
        <v>7625</v>
      </c>
      <c r="C1178">
        <v>503086</v>
      </c>
      <c r="D1178" t="s">
        <v>280</v>
      </c>
      <c r="E1178" t="s">
        <v>3220</v>
      </c>
      <c r="F1178">
        <v>6504411</v>
      </c>
      <c r="G1178">
        <v>10719.115234000001</v>
      </c>
      <c r="H1178">
        <v>1178</v>
      </c>
      <c r="I1178">
        <v>1397</v>
      </c>
      <c r="J1178">
        <v>23659</v>
      </c>
      <c r="K1178" t="s">
        <v>8012</v>
      </c>
      <c r="L1178">
        <v>4</v>
      </c>
      <c r="M1178">
        <v>4</v>
      </c>
      <c r="N1178">
        <v>23659</v>
      </c>
      <c r="O1178">
        <v>1154</v>
      </c>
      <c r="P1178" t="s">
        <v>3212</v>
      </c>
      <c r="Q1178">
        <v>1.6</v>
      </c>
      <c r="R1178">
        <v>62.51</v>
      </c>
      <c r="S1178">
        <v>0.48</v>
      </c>
      <c r="T1178">
        <v>19</v>
      </c>
      <c r="U1178">
        <v>6504411.2354199998</v>
      </c>
      <c r="V1178">
        <v>10719.115565</v>
      </c>
      <c r="W1178">
        <v>1177</v>
      </c>
      <c r="X1178">
        <v>0</v>
      </c>
      <c r="Y1178">
        <v>1176</v>
      </c>
      <c r="Z1178" t="s">
        <v>6966</v>
      </c>
      <c r="AA1178" t="s">
        <v>6966</v>
      </c>
      <c r="AB1178" t="s">
        <v>6966</v>
      </c>
      <c r="AC1178" t="s">
        <v>6966</v>
      </c>
      <c r="AD1178" t="s">
        <v>6966</v>
      </c>
      <c r="AE1178" t="s">
        <v>6966</v>
      </c>
      <c r="AF1178" t="s">
        <v>6966</v>
      </c>
      <c r="AG1178" t="s">
        <v>6966</v>
      </c>
      <c r="AH1178" t="s">
        <v>6966</v>
      </c>
      <c r="AI1178" t="s">
        <v>6966</v>
      </c>
      <c r="AJ1178" t="s">
        <v>6966</v>
      </c>
      <c r="AK1178" t="s">
        <v>6966</v>
      </c>
      <c r="AL1178" t="s">
        <v>6966</v>
      </c>
      <c r="AM1178" t="s">
        <v>6966</v>
      </c>
      <c r="AN1178" t="s">
        <v>6966</v>
      </c>
      <c r="AO1178" t="s">
        <v>6966</v>
      </c>
      <c r="AP1178" t="s">
        <v>6966</v>
      </c>
      <c r="AQ1178" t="s">
        <v>6966</v>
      </c>
      <c r="AR1178" t="s">
        <v>6966</v>
      </c>
      <c r="AS1178" t="s">
        <v>6966</v>
      </c>
      <c r="AT1178" t="s">
        <v>6966</v>
      </c>
      <c r="AU1178" t="s">
        <v>6966</v>
      </c>
      <c r="AV1178" t="s">
        <v>6966</v>
      </c>
      <c r="AW1178" t="s">
        <v>6966</v>
      </c>
      <c r="AX1178" t="s">
        <v>6966</v>
      </c>
      <c r="AY1178" t="s">
        <v>6966</v>
      </c>
      <c r="AZ1178">
        <v>0.105585</v>
      </c>
      <c r="BA1178">
        <v>6.3199999999999997E-4</v>
      </c>
    </row>
    <row r="1179" spans="1:53" x14ac:dyDescent="0.25">
      <c r="A1179">
        <v>1177</v>
      </c>
      <c r="B1179" t="s">
        <v>7625</v>
      </c>
      <c r="C1179">
        <v>402032</v>
      </c>
      <c r="D1179" t="s">
        <v>1185</v>
      </c>
      <c r="E1179" t="s">
        <v>7999</v>
      </c>
      <c r="F1179">
        <v>0</v>
      </c>
      <c r="G1179">
        <v>31008.572265999999</v>
      </c>
      <c r="H1179">
        <v>1179</v>
      </c>
      <c r="I1179">
        <v>1399</v>
      </c>
      <c r="J1179">
        <v>55184</v>
      </c>
      <c r="K1179" t="s">
        <v>1185</v>
      </c>
      <c r="L1179">
        <v>19</v>
      </c>
      <c r="M1179">
        <v>19</v>
      </c>
      <c r="N1179">
        <v>55184</v>
      </c>
      <c r="O1179">
        <v>1155</v>
      </c>
      <c r="P1179" t="s">
        <v>3214</v>
      </c>
      <c r="Q1179">
        <v>0.6</v>
      </c>
      <c r="R1179">
        <v>48.12</v>
      </c>
      <c r="S1179">
        <v>0.11</v>
      </c>
      <c r="T1179">
        <v>9</v>
      </c>
      <c r="U1179">
        <v>0</v>
      </c>
      <c r="V1179">
        <v>31008.572886000002</v>
      </c>
      <c r="W1179">
        <v>1178</v>
      </c>
      <c r="X1179">
        <v>0</v>
      </c>
      <c r="Y1179">
        <v>1177</v>
      </c>
      <c r="Z1179" t="s">
        <v>6966</v>
      </c>
      <c r="AA1179" t="s">
        <v>6966</v>
      </c>
      <c r="AB1179" t="s">
        <v>6966</v>
      </c>
      <c r="AC1179" t="s">
        <v>6966</v>
      </c>
      <c r="AD1179" t="s">
        <v>6966</v>
      </c>
      <c r="AE1179" t="s">
        <v>6966</v>
      </c>
      <c r="AF1179" t="s">
        <v>6966</v>
      </c>
      <c r="AG1179" t="s">
        <v>6966</v>
      </c>
      <c r="AH1179" t="s">
        <v>6966</v>
      </c>
      <c r="AI1179" t="s">
        <v>6966</v>
      </c>
      <c r="AJ1179" t="s">
        <v>6966</v>
      </c>
      <c r="AK1179" t="s">
        <v>6966</v>
      </c>
      <c r="AL1179" t="s">
        <v>6966</v>
      </c>
      <c r="AM1179" t="s">
        <v>6966</v>
      </c>
      <c r="AN1179" t="s">
        <v>6966</v>
      </c>
      <c r="AO1179" t="s">
        <v>6966</v>
      </c>
      <c r="AP1179" t="s">
        <v>6966</v>
      </c>
      <c r="AQ1179" t="s">
        <v>6966</v>
      </c>
      <c r="AR1179" t="s">
        <v>6966</v>
      </c>
      <c r="AS1179" t="s">
        <v>6966</v>
      </c>
      <c r="AT1179" t="s">
        <v>6966</v>
      </c>
      <c r="AU1179" t="s">
        <v>6966</v>
      </c>
      <c r="AV1179" t="s">
        <v>6966</v>
      </c>
      <c r="AW1179" t="s">
        <v>6966</v>
      </c>
      <c r="AX1179" t="s">
        <v>6966</v>
      </c>
      <c r="AY1179" t="s">
        <v>6966</v>
      </c>
      <c r="AZ1179">
        <v>0.30773800000000001</v>
      </c>
      <c r="BA1179">
        <v>3.0200000000000001E-3</v>
      </c>
    </row>
    <row r="1180" spans="1:53" x14ac:dyDescent="0.25">
      <c r="A1180">
        <v>1178</v>
      </c>
      <c r="B1180" t="s">
        <v>7625</v>
      </c>
      <c r="C1180">
        <v>503049</v>
      </c>
      <c r="D1180" t="s">
        <v>277</v>
      </c>
      <c r="E1180" t="s">
        <v>3220</v>
      </c>
      <c r="F1180">
        <v>2941520</v>
      </c>
      <c r="G1180">
        <v>14026.064453000001</v>
      </c>
      <c r="H1180">
        <v>1180</v>
      </c>
      <c r="I1180">
        <v>1400</v>
      </c>
      <c r="J1180">
        <v>23647</v>
      </c>
      <c r="K1180" t="s">
        <v>277</v>
      </c>
      <c r="L1180">
        <v>4</v>
      </c>
      <c r="M1180">
        <v>4</v>
      </c>
      <c r="N1180">
        <v>23647</v>
      </c>
      <c r="O1180">
        <v>1156</v>
      </c>
      <c r="P1180" t="s">
        <v>3212</v>
      </c>
      <c r="Q1180">
        <v>1.4</v>
      </c>
      <c r="R1180">
        <v>41.85</v>
      </c>
      <c r="S1180">
        <v>0.37</v>
      </c>
      <c r="T1180">
        <v>12</v>
      </c>
      <c r="U1180">
        <v>2941520.10109</v>
      </c>
      <c r="V1180">
        <v>14026.065381</v>
      </c>
      <c r="W1180">
        <v>1179</v>
      </c>
      <c r="X1180">
        <v>0</v>
      </c>
      <c r="Y1180">
        <v>1178</v>
      </c>
      <c r="Z1180" t="s">
        <v>6966</v>
      </c>
      <c r="AA1180" t="s">
        <v>6966</v>
      </c>
      <c r="AB1180" t="s">
        <v>6966</v>
      </c>
      <c r="AC1180" t="s">
        <v>6966</v>
      </c>
      <c r="AD1180" t="s">
        <v>6966</v>
      </c>
      <c r="AE1180" t="s">
        <v>6966</v>
      </c>
      <c r="AF1180" t="s">
        <v>6966</v>
      </c>
      <c r="AG1180" t="s">
        <v>6966</v>
      </c>
      <c r="AH1180" t="s">
        <v>6966</v>
      </c>
      <c r="AI1180" t="s">
        <v>6966</v>
      </c>
      <c r="AJ1180" t="s">
        <v>6966</v>
      </c>
      <c r="AK1180" t="s">
        <v>6966</v>
      </c>
      <c r="AL1180" t="s">
        <v>6966</v>
      </c>
      <c r="AM1180" t="s">
        <v>6966</v>
      </c>
      <c r="AN1180" t="s">
        <v>6966</v>
      </c>
      <c r="AO1180" t="s">
        <v>6966</v>
      </c>
      <c r="AP1180" t="s">
        <v>6966</v>
      </c>
      <c r="AQ1180" t="s">
        <v>6966</v>
      </c>
      <c r="AR1180" t="s">
        <v>6966</v>
      </c>
      <c r="AS1180" t="s">
        <v>6966</v>
      </c>
      <c r="AT1180" t="s">
        <v>6966</v>
      </c>
      <c r="AU1180" t="s">
        <v>6966</v>
      </c>
      <c r="AV1180" t="s">
        <v>6966</v>
      </c>
      <c r="AW1180" t="s">
        <v>6966</v>
      </c>
      <c r="AX1180" t="s">
        <v>6966</v>
      </c>
      <c r="AY1180" t="s">
        <v>6966</v>
      </c>
      <c r="AZ1180">
        <v>0.14172399999999999</v>
      </c>
      <c r="BA1180">
        <v>2.8600000000000001E-4</v>
      </c>
    </row>
    <row r="1181" spans="1:53" x14ac:dyDescent="0.25">
      <c r="A1181">
        <v>1179</v>
      </c>
      <c r="B1181" t="s">
        <v>7625</v>
      </c>
      <c r="C1181">
        <v>402017</v>
      </c>
      <c r="D1181" t="s">
        <v>1189</v>
      </c>
      <c r="E1181" t="s">
        <v>7999</v>
      </c>
      <c r="F1181">
        <v>0</v>
      </c>
      <c r="G1181">
        <v>22406.033202999999</v>
      </c>
      <c r="H1181">
        <v>1181</v>
      </c>
      <c r="I1181">
        <v>1403</v>
      </c>
      <c r="J1181">
        <v>55197</v>
      </c>
      <c r="K1181" t="s">
        <v>8013</v>
      </c>
      <c r="L1181">
        <v>19</v>
      </c>
      <c r="M1181">
        <v>19</v>
      </c>
      <c r="N1181">
        <v>55197</v>
      </c>
      <c r="O1181">
        <v>1157</v>
      </c>
      <c r="P1181" t="s">
        <v>3214</v>
      </c>
      <c r="Q1181">
        <v>0</v>
      </c>
      <c r="R1181">
        <v>18.850000000000001</v>
      </c>
      <c r="S1181">
        <v>0.01</v>
      </c>
      <c r="T1181">
        <v>3</v>
      </c>
      <c r="U1181">
        <v>0</v>
      </c>
      <c r="V1181">
        <v>22406.033868999999</v>
      </c>
      <c r="W1181">
        <v>1180</v>
      </c>
      <c r="X1181">
        <v>0</v>
      </c>
      <c r="Y1181">
        <v>1179</v>
      </c>
      <c r="Z1181" t="s">
        <v>6966</v>
      </c>
      <c r="AA1181" t="s">
        <v>6966</v>
      </c>
      <c r="AB1181" t="s">
        <v>6966</v>
      </c>
      <c r="AC1181" t="s">
        <v>6966</v>
      </c>
      <c r="AD1181" t="s">
        <v>6966</v>
      </c>
      <c r="AE1181" t="s">
        <v>6966</v>
      </c>
      <c r="AF1181" t="s">
        <v>6966</v>
      </c>
      <c r="AG1181" t="s">
        <v>6966</v>
      </c>
      <c r="AH1181" t="s">
        <v>6966</v>
      </c>
      <c r="AI1181" t="s">
        <v>6966</v>
      </c>
      <c r="AJ1181" t="s">
        <v>6966</v>
      </c>
      <c r="AK1181" t="s">
        <v>6966</v>
      </c>
      <c r="AL1181" t="s">
        <v>6966</v>
      </c>
      <c r="AM1181" t="s">
        <v>6966</v>
      </c>
      <c r="AN1181" t="s">
        <v>6966</v>
      </c>
      <c r="AO1181" t="s">
        <v>6966</v>
      </c>
      <c r="AP1181" t="s">
        <v>6966</v>
      </c>
      <c r="AQ1181" t="s">
        <v>6966</v>
      </c>
      <c r="AR1181" t="s">
        <v>6966</v>
      </c>
      <c r="AS1181" t="s">
        <v>6966</v>
      </c>
      <c r="AT1181" t="s">
        <v>6966</v>
      </c>
      <c r="AU1181" t="s">
        <v>6966</v>
      </c>
      <c r="AV1181" t="s">
        <v>6966</v>
      </c>
      <c r="AW1181" t="s">
        <v>6966</v>
      </c>
      <c r="AX1181" t="s">
        <v>6966</v>
      </c>
      <c r="AY1181" t="s">
        <v>6966</v>
      </c>
      <c r="AZ1181">
        <v>0.22605900000000001</v>
      </c>
      <c r="BA1181">
        <v>1.774E-3</v>
      </c>
    </row>
    <row r="1182" spans="1:53" x14ac:dyDescent="0.25">
      <c r="A1182">
        <v>1180</v>
      </c>
      <c r="B1182" t="s">
        <v>7625</v>
      </c>
      <c r="C1182">
        <v>503103</v>
      </c>
      <c r="D1182" t="s">
        <v>87</v>
      </c>
      <c r="E1182" t="s">
        <v>3220</v>
      </c>
      <c r="F1182">
        <v>258218.921875</v>
      </c>
      <c r="G1182">
        <v>2071.6291500000002</v>
      </c>
      <c r="H1182">
        <v>1182</v>
      </c>
      <c r="I1182">
        <v>1404</v>
      </c>
      <c r="J1182">
        <v>23004</v>
      </c>
      <c r="K1182" t="s">
        <v>87</v>
      </c>
      <c r="L1182">
        <v>4</v>
      </c>
      <c r="M1182">
        <v>4</v>
      </c>
      <c r="N1182">
        <v>23004</v>
      </c>
      <c r="O1182">
        <v>1158</v>
      </c>
      <c r="P1182" t="s">
        <v>3212</v>
      </c>
      <c r="Q1182">
        <v>0</v>
      </c>
      <c r="R1182">
        <v>0</v>
      </c>
      <c r="S1182">
        <v>0</v>
      </c>
      <c r="T1182">
        <v>0</v>
      </c>
      <c r="U1182">
        <v>258218.98507299999</v>
      </c>
      <c r="V1182">
        <v>2071.6293580000001</v>
      </c>
      <c r="W1182">
        <v>1181</v>
      </c>
      <c r="X1182">
        <v>0</v>
      </c>
      <c r="Y1182">
        <v>1180</v>
      </c>
      <c r="Z1182" t="s">
        <v>6966</v>
      </c>
      <c r="AA1182" t="s">
        <v>6966</v>
      </c>
      <c r="AB1182" t="s">
        <v>6966</v>
      </c>
      <c r="AC1182" t="s">
        <v>6966</v>
      </c>
      <c r="AD1182" t="s">
        <v>6966</v>
      </c>
      <c r="AE1182" t="s">
        <v>6966</v>
      </c>
      <c r="AF1182" t="s">
        <v>6966</v>
      </c>
      <c r="AG1182" t="s">
        <v>6966</v>
      </c>
      <c r="AH1182" t="s">
        <v>6966</v>
      </c>
      <c r="AI1182" t="s">
        <v>6966</v>
      </c>
      <c r="AJ1182" t="s">
        <v>6966</v>
      </c>
      <c r="AK1182" t="s">
        <v>6966</v>
      </c>
      <c r="AL1182" t="s">
        <v>6966</v>
      </c>
      <c r="AM1182" t="s">
        <v>6966</v>
      </c>
      <c r="AN1182" t="s">
        <v>6966</v>
      </c>
      <c r="AO1182" t="s">
        <v>6966</v>
      </c>
      <c r="AP1182" t="s">
        <v>6966</v>
      </c>
      <c r="AQ1182" t="s">
        <v>6966</v>
      </c>
      <c r="AR1182" t="s">
        <v>6966</v>
      </c>
      <c r="AS1182" t="s">
        <v>6966</v>
      </c>
      <c r="AT1182" t="s">
        <v>6966</v>
      </c>
      <c r="AU1182" t="s">
        <v>6966</v>
      </c>
      <c r="AV1182" t="s">
        <v>6966</v>
      </c>
      <c r="AW1182" t="s">
        <v>6966</v>
      </c>
      <c r="AX1182" t="s">
        <v>6966</v>
      </c>
      <c r="AY1182" t="s">
        <v>6966</v>
      </c>
      <c r="AZ1182">
        <v>2.0412E-2</v>
      </c>
      <c r="BA1182">
        <v>2.5000000000000001E-5</v>
      </c>
    </row>
    <row r="1183" spans="1:53" x14ac:dyDescent="0.25">
      <c r="A1183">
        <v>1181</v>
      </c>
      <c r="B1183" t="s">
        <v>7625</v>
      </c>
      <c r="C1183">
        <v>401034</v>
      </c>
      <c r="D1183" t="s">
        <v>1033</v>
      </c>
      <c r="E1183" t="s">
        <v>3221</v>
      </c>
      <c r="F1183">
        <v>0</v>
      </c>
      <c r="G1183">
        <v>22917.310547000001</v>
      </c>
      <c r="H1183">
        <v>1183</v>
      </c>
      <c r="I1183">
        <v>1405</v>
      </c>
      <c r="J1183">
        <v>52136</v>
      </c>
      <c r="K1183" t="s">
        <v>1033</v>
      </c>
      <c r="L1183">
        <v>16</v>
      </c>
      <c r="M1183">
        <v>16</v>
      </c>
      <c r="N1183">
        <v>52136</v>
      </c>
      <c r="O1183">
        <v>1159</v>
      </c>
      <c r="P1183" t="s">
        <v>3214</v>
      </c>
      <c r="Q1183">
        <v>1.1000000000000001</v>
      </c>
      <c r="R1183">
        <v>84.09</v>
      </c>
      <c r="S1183">
        <v>0.22</v>
      </c>
      <c r="T1183">
        <v>16</v>
      </c>
      <c r="U1183">
        <v>0</v>
      </c>
      <c r="V1183">
        <v>22917.310103</v>
      </c>
      <c r="W1183">
        <v>1182</v>
      </c>
      <c r="X1183">
        <v>0</v>
      </c>
      <c r="Y1183">
        <v>1181</v>
      </c>
      <c r="Z1183" t="s">
        <v>6966</v>
      </c>
      <c r="AA1183" t="s">
        <v>6966</v>
      </c>
      <c r="AB1183" t="s">
        <v>6966</v>
      </c>
      <c r="AC1183" t="s">
        <v>6966</v>
      </c>
      <c r="AD1183" t="s">
        <v>6966</v>
      </c>
      <c r="AE1183" t="s">
        <v>6966</v>
      </c>
      <c r="AF1183" t="s">
        <v>6966</v>
      </c>
      <c r="AG1183" t="s">
        <v>6966</v>
      </c>
      <c r="AH1183" t="s">
        <v>6966</v>
      </c>
      <c r="AI1183" t="s">
        <v>6966</v>
      </c>
      <c r="AJ1183" t="s">
        <v>6966</v>
      </c>
      <c r="AK1183" t="s">
        <v>6966</v>
      </c>
      <c r="AL1183" t="s">
        <v>6966</v>
      </c>
      <c r="AM1183" t="s">
        <v>6966</v>
      </c>
      <c r="AN1183" t="s">
        <v>6966</v>
      </c>
      <c r="AO1183" t="s">
        <v>6966</v>
      </c>
      <c r="AP1183" t="s">
        <v>6966</v>
      </c>
      <c r="AQ1183" t="s">
        <v>6966</v>
      </c>
      <c r="AR1183" t="s">
        <v>6966</v>
      </c>
      <c r="AS1183" t="s">
        <v>6966</v>
      </c>
      <c r="AT1183" t="s">
        <v>6966</v>
      </c>
      <c r="AU1183" t="s">
        <v>6966</v>
      </c>
      <c r="AV1183" t="s">
        <v>6966</v>
      </c>
      <c r="AW1183" t="s">
        <v>6966</v>
      </c>
      <c r="AX1183" t="s">
        <v>6966</v>
      </c>
      <c r="AY1183" t="s">
        <v>6966</v>
      </c>
      <c r="AZ1183">
        <v>0.22756100000000001</v>
      </c>
      <c r="BA1183">
        <v>1.423E-3</v>
      </c>
    </row>
    <row r="1184" spans="1:53" x14ac:dyDescent="0.25">
      <c r="A1184">
        <v>1182</v>
      </c>
      <c r="B1184" t="s">
        <v>7625</v>
      </c>
      <c r="C1184">
        <v>401022</v>
      </c>
      <c r="D1184" t="s">
        <v>1044</v>
      </c>
      <c r="E1184" t="s">
        <v>3221</v>
      </c>
      <c r="F1184">
        <v>0</v>
      </c>
      <c r="G1184">
        <v>19788.507813</v>
      </c>
      <c r="H1184">
        <v>1184</v>
      </c>
      <c r="I1184">
        <v>1408</v>
      </c>
      <c r="J1184">
        <v>52214</v>
      </c>
      <c r="K1184" t="s">
        <v>1044</v>
      </c>
      <c r="L1184">
        <v>16</v>
      </c>
      <c r="M1184">
        <v>16</v>
      </c>
      <c r="N1184">
        <v>52214</v>
      </c>
      <c r="O1184">
        <v>1160</v>
      </c>
      <c r="P1184" t="s">
        <v>3214</v>
      </c>
      <c r="Q1184">
        <v>1.7</v>
      </c>
      <c r="R1184">
        <v>38.01</v>
      </c>
      <c r="S1184">
        <v>0.48</v>
      </c>
      <c r="T1184">
        <v>11</v>
      </c>
      <c r="U1184">
        <v>0</v>
      </c>
      <c r="V1184">
        <v>19788.509099999999</v>
      </c>
      <c r="W1184">
        <v>1183</v>
      </c>
      <c r="X1184">
        <v>1</v>
      </c>
      <c r="Y1184">
        <v>1182</v>
      </c>
      <c r="Z1184">
        <v>59012</v>
      </c>
      <c r="AA1184" s="76">
        <v>45735</v>
      </c>
      <c r="AB1184">
        <v>2025</v>
      </c>
      <c r="AC1184" t="s">
        <v>7104</v>
      </c>
      <c r="AD1184">
        <v>19</v>
      </c>
      <c r="AE1184" t="s">
        <v>7140</v>
      </c>
      <c r="AF1184" t="s">
        <v>3214</v>
      </c>
      <c r="AG1184" t="s">
        <v>3221</v>
      </c>
      <c r="AH1184" t="s">
        <v>1044</v>
      </c>
      <c r="AI1184" t="s">
        <v>1044</v>
      </c>
      <c r="AJ1184" t="s">
        <v>6966</v>
      </c>
      <c r="AK1184">
        <v>33.598280000000003</v>
      </c>
      <c r="AL1184">
        <v>35.761690000000002</v>
      </c>
      <c r="AM1184" t="s">
        <v>6995</v>
      </c>
      <c r="AN1184" t="s">
        <v>6966</v>
      </c>
      <c r="AO1184" t="s">
        <v>6996</v>
      </c>
      <c r="AP1184" t="s">
        <v>7141</v>
      </c>
      <c r="AQ1184" t="s">
        <v>6998</v>
      </c>
      <c r="AR1184" t="s">
        <v>6999</v>
      </c>
      <c r="AS1184" t="s">
        <v>7036</v>
      </c>
      <c r="AT1184">
        <v>0</v>
      </c>
      <c r="AU1184">
        <v>0</v>
      </c>
      <c r="AV1184" t="s">
        <v>6966</v>
      </c>
      <c r="AW1184" t="s">
        <v>7002</v>
      </c>
      <c r="AX1184" t="s">
        <v>6966</v>
      </c>
      <c r="AY1184" t="s">
        <v>7003</v>
      </c>
      <c r="AZ1184">
        <v>0.19708000000000001</v>
      </c>
      <c r="BA1184">
        <v>1.335E-3</v>
      </c>
    </row>
    <row r="1185" spans="1:53" x14ac:dyDescent="0.25">
      <c r="A1185">
        <v>1183</v>
      </c>
      <c r="B1185" t="s">
        <v>7625</v>
      </c>
      <c r="C1185">
        <v>402010</v>
      </c>
      <c r="D1185" t="s">
        <v>1179</v>
      </c>
      <c r="E1185" t="s">
        <v>7999</v>
      </c>
      <c r="F1185">
        <v>0</v>
      </c>
      <c r="G1185">
        <v>32383.705077999999</v>
      </c>
      <c r="H1185">
        <v>1185</v>
      </c>
      <c r="I1185">
        <v>1409</v>
      </c>
      <c r="J1185">
        <v>55164</v>
      </c>
      <c r="K1185" t="s">
        <v>7652</v>
      </c>
      <c r="L1185">
        <v>19</v>
      </c>
      <c r="M1185">
        <v>19</v>
      </c>
      <c r="N1185">
        <v>55164</v>
      </c>
      <c r="O1185">
        <v>1161</v>
      </c>
      <c r="P1185" t="s">
        <v>3214</v>
      </c>
      <c r="Q1185">
        <v>0.7</v>
      </c>
      <c r="R1185">
        <v>33.43</v>
      </c>
      <c r="S1185">
        <v>0.15</v>
      </c>
      <c r="T1185">
        <v>7</v>
      </c>
      <c r="U1185">
        <v>0</v>
      </c>
      <c r="V1185">
        <v>32383.703540999999</v>
      </c>
      <c r="W1185">
        <v>1184</v>
      </c>
      <c r="X1185">
        <v>0</v>
      </c>
      <c r="Y1185">
        <v>1183</v>
      </c>
      <c r="Z1185" t="s">
        <v>6966</v>
      </c>
      <c r="AA1185" t="s">
        <v>6966</v>
      </c>
      <c r="AB1185" t="s">
        <v>6966</v>
      </c>
      <c r="AC1185" t="s">
        <v>6966</v>
      </c>
      <c r="AD1185" t="s">
        <v>6966</v>
      </c>
      <c r="AE1185" t="s">
        <v>6966</v>
      </c>
      <c r="AF1185" t="s">
        <v>6966</v>
      </c>
      <c r="AG1185" t="s">
        <v>6966</v>
      </c>
      <c r="AH1185" t="s">
        <v>6966</v>
      </c>
      <c r="AI1185" t="s">
        <v>6966</v>
      </c>
      <c r="AJ1185" t="s">
        <v>6966</v>
      </c>
      <c r="AK1185" t="s">
        <v>6966</v>
      </c>
      <c r="AL1185" t="s">
        <v>6966</v>
      </c>
      <c r="AM1185" t="s">
        <v>6966</v>
      </c>
      <c r="AN1185" t="s">
        <v>6966</v>
      </c>
      <c r="AO1185" t="s">
        <v>6966</v>
      </c>
      <c r="AP1185" t="s">
        <v>6966</v>
      </c>
      <c r="AQ1185" t="s">
        <v>6966</v>
      </c>
      <c r="AR1185" t="s">
        <v>6966</v>
      </c>
      <c r="AS1185" t="s">
        <v>6966</v>
      </c>
      <c r="AT1185" t="s">
        <v>6966</v>
      </c>
      <c r="AU1185" t="s">
        <v>6966</v>
      </c>
      <c r="AV1185" t="s">
        <v>6966</v>
      </c>
      <c r="AW1185" t="s">
        <v>6966</v>
      </c>
      <c r="AX1185" t="s">
        <v>6966</v>
      </c>
      <c r="AY1185" t="s">
        <v>6966</v>
      </c>
      <c r="AZ1185">
        <v>0.32255</v>
      </c>
      <c r="BA1185">
        <v>1.9499999999999999E-3</v>
      </c>
    </row>
    <row r="1186" spans="1:53" x14ac:dyDescent="0.25">
      <c r="A1186">
        <v>1184</v>
      </c>
      <c r="B1186" t="s">
        <v>7625</v>
      </c>
      <c r="C1186">
        <v>503060</v>
      </c>
      <c r="D1186" t="s">
        <v>196</v>
      </c>
      <c r="E1186" t="s">
        <v>3220</v>
      </c>
      <c r="F1186">
        <v>2738246</v>
      </c>
      <c r="G1186">
        <v>8328.8496090000008</v>
      </c>
      <c r="H1186">
        <v>1186</v>
      </c>
      <c r="I1186">
        <v>1410</v>
      </c>
      <c r="J1186">
        <v>23231</v>
      </c>
      <c r="K1186" t="s">
        <v>1719</v>
      </c>
      <c r="L1186">
        <v>4</v>
      </c>
      <c r="M1186">
        <v>4</v>
      </c>
      <c r="N1186">
        <v>23231</v>
      </c>
      <c r="O1186">
        <v>1162</v>
      </c>
      <c r="P1186" t="s">
        <v>3212</v>
      </c>
      <c r="Q1186">
        <v>14.5</v>
      </c>
      <c r="R1186">
        <v>41.48</v>
      </c>
      <c r="S1186">
        <v>5.03</v>
      </c>
      <c r="T1186">
        <v>14</v>
      </c>
      <c r="U1186">
        <v>2738245.98123</v>
      </c>
      <c r="V1186">
        <v>8328.8496770000002</v>
      </c>
      <c r="W1186">
        <v>1185</v>
      </c>
      <c r="X1186">
        <v>0</v>
      </c>
      <c r="Y1186">
        <v>1184</v>
      </c>
      <c r="Z1186" t="s">
        <v>6966</v>
      </c>
      <c r="AA1186" t="s">
        <v>6966</v>
      </c>
      <c r="AB1186" t="s">
        <v>6966</v>
      </c>
      <c r="AC1186" t="s">
        <v>6966</v>
      </c>
      <c r="AD1186" t="s">
        <v>6966</v>
      </c>
      <c r="AE1186" t="s">
        <v>6966</v>
      </c>
      <c r="AF1186" t="s">
        <v>6966</v>
      </c>
      <c r="AG1186" t="s">
        <v>6966</v>
      </c>
      <c r="AH1186" t="s">
        <v>6966</v>
      </c>
      <c r="AI1186" t="s">
        <v>6966</v>
      </c>
      <c r="AJ1186" t="s">
        <v>6966</v>
      </c>
      <c r="AK1186" t="s">
        <v>6966</v>
      </c>
      <c r="AL1186" t="s">
        <v>6966</v>
      </c>
      <c r="AM1186" t="s">
        <v>6966</v>
      </c>
      <c r="AN1186" t="s">
        <v>6966</v>
      </c>
      <c r="AO1186" t="s">
        <v>6966</v>
      </c>
      <c r="AP1186" t="s">
        <v>6966</v>
      </c>
      <c r="AQ1186" t="s">
        <v>6966</v>
      </c>
      <c r="AR1186" t="s">
        <v>6966</v>
      </c>
      <c r="AS1186" t="s">
        <v>6966</v>
      </c>
      <c r="AT1186" t="s">
        <v>6966</v>
      </c>
      <c r="AU1186" t="s">
        <v>6966</v>
      </c>
      <c r="AV1186" t="s">
        <v>6966</v>
      </c>
      <c r="AW1186" t="s">
        <v>6966</v>
      </c>
      <c r="AX1186" t="s">
        <v>6966</v>
      </c>
      <c r="AY1186" t="s">
        <v>6966</v>
      </c>
      <c r="AZ1186">
        <v>8.4880999999999998E-2</v>
      </c>
      <c r="BA1186">
        <v>2.6600000000000001E-4</v>
      </c>
    </row>
    <row r="1187" spans="1:53" x14ac:dyDescent="0.25">
      <c r="A1187">
        <v>1185</v>
      </c>
      <c r="B1187" t="s">
        <v>7625</v>
      </c>
      <c r="C1187">
        <v>402024</v>
      </c>
      <c r="D1187" t="s">
        <v>1184</v>
      </c>
      <c r="E1187" t="s">
        <v>7999</v>
      </c>
      <c r="F1187">
        <v>0</v>
      </c>
      <c r="G1187">
        <v>23747.998047000001</v>
      </c>
      <c r="H1187">
        <v>1187</v>
      </c>
      <c r="I1187">
        <v>1411</v>
      </c>
      <c r="J1187">
        <v>55181</v>
      </c>
      <c r="K1187" t="s">
        <v>1184</v>
      </c>
      <c r="L1187">
        <v>19</v>
      </c>
      <c r="M1187">
        <v>19</v>
      </c>
      <c r="N1187">
        <v>55181</v>
      </c>
      <c r="O1187">
        <v>1163</v>
      </c>
      <c r="P1187" t="s">
        <v>3214</v>
      </c>
      <c r="Q1187">
        <v>0.5</v>
      </c>
      <c r="R1187">
        <v>60.23</v>
      </c>
      <c r="S1187">
        <v>0.13</v>
      </c>
      <c r="T1187">
        <v>15</v>
      </c>
      <c r="U1187">
        <v>0</v>
      </c>
      <c r="V1187">
        <v>23747.996360000001</v>
      </c>
      <c r="W1187">
        <v>1186</v>
      </c>
      <c r="X1187">
        <v>0</v>
      </c>
      <c r="Y1187">
        <v>1185</v>
      </c>
      <c r="Z1187" t="s">
        <v>6966</v>
      </c>
      <c r="AA1187" t="s">
        <v>6966</v>
      </c>
      <c r="AB1187" t="s">
        <v>6966</v>
      </c>
      <c r="AC1187" t="s">
        <v>6966</v>
      </c>
      <c r="AD1187" t="s">
        <v>6966</v>
      </c>
      <c r="AE1187" t="s">
        <v>6966</v>
      </c>
      <c r="AF1187" t="s">
        <v>6966</v>
      </c>
      <c r="AG1187" t="s">
        <v>6966</v>
      </c>
      <c r="AH1187" t="s">
        <v>6966</v>
      </c>
      <c r="AI1187" t="s">
        <v>6966</v>
      </c>
      <c r="AJ1187" t="s">
        <v>6966</v>
      </c>
      <c r="AK1187" t="s">
        <v>6966</v>
      </c>
      <c r="AL1187" t="s">
        <v>6966</v>
      </c>
      <c r="AM1187" t="s">
        <v>6966</v>
      </c>
      <c r="AN1187" t="s">
        <v>6966</v>
      </c>
      <c r="AO1187" t="s">
        <v>6966</v>
      </c>
      <c r="AP1187" t="s">
        <v>6966</v>
      </c>
      <c r="AQ1187" t="s">
        <v>6966</v>
      </c>
      <c r="AR1187" t="s">
        <v>6966</v>
      </c>
      <c r="AS1187" t="s">
        <v>6966</v>
      </c>
      <c r="AT1187" t="s">
        <v>6966</v>
      </c>
      <c r="AU1187" t="s">
        <v>6966</v>
      </c>
      <c r="AV1187" t="s">
        <v>6966</v>
      </c>
      <c r="AW1187" t="s">
        <v>6966</v>
      </c>
      <c r="AX1187" t="s">
        <v>6966</v>
      </c>
      <c r="AY1187" t="s">
        <v>6966</v>
      </c>
      <c r="AZ1187">
        <v>0.24093899999999999</v>
      </c>
      <c r="BA1187">
        <v>1.475E-3</v>
      </c>
    </row>
    <row r="1188" spans="1:53" x14ac:dyDescent="0.25">
      <c r="A1188">
        <v>1186</v>
      </c>
      <c r="B1188" t="s">
        <v>7625</v>
      </c>
      <c r="C1188">
        <v>503105</v>
      </c>
      <c r="D1188" t="s">
        <v>87</v>
      </c>
      <c r="E1188" t="s">
        <v>3220</v>
      </c>
      <c r="F1188">
        <v>1912.6762699999999</v>
      </c>
      <c r="G1188">
        <v>201.984283</v>
      </c>
      <c r="H1188">
        <v>1188</v>
      </c>
      <c r="I1188">
        <v>1412</v>
      </c>
      <c r="J1188">
        <v>23005</v>
      </c>
      <c r="K1188" t="s">
        <v>87</v>
      </c>
      <c r="L1188">
        <v>4</v>
      </c>
      <c r="M1188">
        <v>4</v>
      </c>
      <c r="N1188">
        <v>23005</v>
      </c>
      <c r="O1188">
        <v>1164</v>
      </c>
      <c r="P1188" t="s">
        <v>3212</v>
      </c>
      <c r="Q1188">
        <v>0</v>
      </c>
      <c r="R1188">
        <v>0</v>
      </c>
      <c r="S1188">
        <v>0</v>
      </c>
      <c r="T1188">
        <v>0</v>
      </c>
      <c r="U1188">
        <v>1912.6749380000001</v>
      </c>
      <c r="V1188">
        <v>201.98406800000001</v>
      </c>
      <c r="W1188">
        <v>1187</v>
      </c>
      <c r="X1188">
        <v>0</v>
      </c>
      <c r="Y1188">
        <v>1186</v>
      </c>
      <c r="Z1188" t="s">
        <v>6966</v>
      </c>
      <c r="AA1188" t="s">
        <v>6966</v>
      </c>
      <c r="AB1188" t="s">
        <v>6966</v>
      </c>
      <c r="AC1188" t="s">
        <v>6966</v>
      </c>
      <c r="AD1188" t="s">
        <v>6966</v>
      </c>
      <c r="AE1188" t="s">
        <v>6966</v>
      </c>
      <c r="AF1188" t="s">
        <v>6966</v>
      </c>
      <c r="AG1188" t="s">
        <v>6966</v>
      </c>
      <c r="AH1188" t="s">
        <v>6966</v>
      </c>
      <c r="AI1188" t="s">
        <v>6966</v>
      </c>
      <c r="AJ1188" t="s">
        <v>6966</v>
      </c>
      <c r="AK1188" t="s">
        <v>6966</v>
      </c>
      <c r="AL1188" t="s">
        <v>6966</v>
      </c>
      <c r="AM1188" t="s">
        <v>6966</v>
      </c>
      <c r="AN1188" t="s">
        <v>6966</v>
      </c>
      <c r="AO1188" t="s">
        <v>6966</v>
      </c>
      <c r="AP1188" t="s">
        <v>6966</v>
      </c>
      <c r="AQ1188" t="s">
        <v>6966</v>
      </c>
      <c r="AR1188" t="s">
        <v>6966</v>
      </c>
      <c r="AS1188" t="s">
        <v>6966</v>
      </c>
      <c r="AT1188" t="s">
        <v>6966</v>
      </c>
      <c r="AU1188" t="s">
        <v>6966</v>
      </c>
      <c r="AV1188" t="s">
        <v>6966</v>
      </c>
      <c r="AW1188" t="s">
        <v>6966</v>
      </c>
      <c r="AX1188" t="s">
        <v>6966</v>
      </c>
      <c r="AY1188" t="s">
        <v>6966</v>
      </c>
      <c r="AZ1188">
        <v>1.9580000000000001E-3</v>
      </c>
      <c r="BA1188">
        <v>0</v>
      </c>
    </row>
    <row r="1189" spans="1:53" x14ac:dyDescent="0.25">
      <c r="A1189">
        <v>1187</v>
      </c>
      <c r="B1189" t="s">
        <v>7625</v>
      </c>
      <c r="C1189">
        <v>503094</v>
      </c>
      <c r="D1189" t="s">
        <v>8014</v>
      </c>
      <c r="E1189" t="s">
        <v>3220</v>
      </c>
      <c r="F1189">
        <v>3878350.75</v>
      </c>
      <c r="G1189">
        <v>10283.036133</v>
      </c>
      <c r="H1189">
        <v>1189</v>
      </c>
      <c r="I1189">
        <v>1413</v>
      </c>
      <c r="J1189">
        <v>23331</v>
      </c>
      <c r="K1189" t="s">
        <v>1734</v>
      </c>
      <c r="L1189">
        <v>4</v>
      </c>
      <c r="M1189">
        <v>4</v>
      </c>
      <c r="N1189">
        <v>23331</v>
      </c>
      <c r="O1189">
        <v>1165</v>
      </c>
      <c r="P1189" t="s">
        <v>3212</v>
      </c>
      <c r="Q1189">
        <v>5.8</v>
      </c>
      <c r="R1189">
        <v>24.07</v>
      </c>
      <c r="S1189">
        <v>1.79</v>
      </c>
      <c r="T1189">
        <v>7</v>
      </c>
      <c r="U1189">
        <v>3878350.6220100001</v>
      </c>
      <c r="V1189">
        <v>10283.036419</v>
      </c>
      <c r="W1189">
        <v>1188</v>
      </c>
      <c r="X1189">
        <v>0</v>
      </c>
      <c r="Y1189">
        <v>1187</v>
      </c>
      <c r="Z1189" t="s">
        <v>6966</v>
      </c>
      <c r="AA1189" t="s">
        <v>6966</v>
      </c>
      <c r="AB1189" t="s">
        <v>6966</v>
      </c>
      <c r="AC1189" t="s">
        <v>6966</v>
      </c>
      <c r="AD1189" t="s">
        <v>6966</v>
      </c>
      <c r="AE1189" t="s">
        <v>6966</v>
      </c>
      <c r="AF1189" t="s">
        <v>6966</v>
      </c>
      <c r="AG1189" t="s">
        <v>6966</v>
      </c>
      <c r="AH1189" t="s">
        <v>6966</v>
      </c>
      <c r="AI1189" t="s">
        <v>6966</v>
      </c>
      <c r="AJ1189" t="s">
        <v>6966</v>
      </c>
      <c r="AK1189" t="s">
        <v>6966</v>
      </c>
      <c r="AL1189" t="s">
        <v>6966</v>
      </c>
      <c r="AM1189" t="s">
        <v>6966</v>
      </c>
      <c r="AN1189" t="s">
        <v>6966</v>
      </c>
      <c r="AO1189" t="s">
        <v>6966</v>
      </c>
      <c r="AP1189" t="s">
        <v>6966</v>
      </c>
      <c r="AQ1189" t="s">
        <v>6966</v>
      </c>
      <c r="AR1189" t="s">
        <v>6966</v>
      </c>
      <c r="AS1189" t="s">
        <v>6966</v>
      </c>
      <c r="AT1189" t="s">
        <v>6966</v>
      </c>
      <c r="AU1189" t="s">
        <v>6966</v>
      </c>
      <c r="AV1189" t="s">
        <v>6966</v>
      </c>
      <c r="AW1189" t="s">
        <v>6966</v>
      </c>
      <c r="AX1189" t="s">
        <v>6966</v>
      </c>
      <c r="AY1189" t="s">
        <v>6966</v>
      </c>
      <c r="AZ1189">
        <v>0.10398499999999999</v>
      </c>
      <c r="BA1189">
        <v>3.77E-4</v>
      </c>
    </row>
    <row r="1190" spans="1:53" x14ac:dyDescent="0.25">
      <c r="A1190">
        <v>1188</v>
      </c>
      <c r="B1190" t="s">
        <v>7625</v>
      </c>
      <c r="C1190">
        <v>503017</v>
      </c>
      <c r="D1190" t="s">
        <v>286</v>
      </c>
      <c r="E1190" t="s">
        <v>3220</v>
      </c>
      <c r="F1190">
        <v>2658763.25</v>
      </c>
      <c r="G1190">
        <v>7850.2260740000002</v>
      </c>
      <c r="H1190">
        <v>1190</v>
      </c>
      <c r="I1190">
        <v>1414</v>
      </c>
      <c r="J1190">
        <v>23687</v>
      </c>
      <c r="K1190" t="s">
        <v>8015</v>
      </c>
      <c r="L1190">
        <v>4</v>
      </c>
      <c r="M1190">
        <v>4</v>
      </c>
      <c r="N1190">
        <v>23687</v>
      </c>
      <c r="O1190">
        <v>1166</v>
      </c>
      <c r="P1190" t="s">
        <v>3212</v>
      </c>
      <c r="Q1190">
        <v>0.5</v>
      </c>
      <c r="R1190">
        <v>47.08</v>
      </c>
      <c r="S1190">
        <v>0.15</v>
      </c>
      <c r="T1190">
        <v>14</v>
      </c>
      <c r="U1190">
        <v>2658763.30002</v>
      </c>
      <c r="V1190">
        <v>7850.2248579999996</v>
      </c>
      <c r="W1190">
        <v>1189</v>
      </c>
      <c r="X1190">
        <v>0</v>
      </c>
      <c r="Y1190">
        <v>1188</v>
      </c>
      <c r="Z1190" t="s">
        <v>6966</v>
      </c>
      <c r="AA1190" t="s">
        <v>6966</v>
      </c>
      <c r="AB1190" t="s">
        <v>6966</v>
      </c>
      <c r="AC1190" t="s">
        <v>6966</v>
      </c>
      <c r="AD1190" t="s">
        <v>6966</v>
      </c>
      <c r="AE1190" t="s">
        <v>6966</v>
      </c>
      <c r="AF1190" t="s">
        <v>6966</v>
      </c>
      <c r="AG1190" t="s">
        <v>6966</v>
      </c>
      <c r="AH1190" t="s">
        <v>6966</v>
      </c>
      <c r="AI1190" t="s">
        <v>6966</v>
      </c>
      <c r="AJ1190" t="s">
        <v>6966</v>
      </c>
      <c r="AK1190" t="s">
        <v>6966</v>
      </c>
      <c r="AL1190" t="s">
        <v>6966</v>
      </c>
      <c r="AM1190" t="s">
        <v>6966</v>
      </c>
      <c r="AN1190" t="s">
        <v>6966</v>
      </c>
      <c r="AO1190" t="s">
        <v>6966</v>
      </c>
      <c r="AP1190" t="s">
        <v>6966</v>
      </c>
      <c r="AQ1190" t="s">
        <v>6966</v>
      </c>
      <c r="AR1190" t="s">
        <v>6966</v>
      </c>
      <c r="AS1190" t="s">
        <v>6966</v>
      </c>
      <c r="AT1190" t="s">
        <v>6966</v>
      </c>
      <c r="AU1190" t="s">
        <v>6966</v>
      </c>
      <c r="AV1190" t="s">
        <v>6966</v>
      </c>
      <c r="AW1190" t="s">
        <v>6966</v>
      </c>
      <c r="AX1190" t="s">
        <v>6966</v>
      </c>
      <c r="AY1190" t="s">
        <v>6966</v>
      </c>
      <c r="AZ1190">
        <v>7.8730999999999995E-2</v>
      </c>
      <c r="BA1190">
        <v>2.5799999999999998E-4</v>
      </c>
    </row>
    <row r="1191" spans="1:53" x14ac:dyDescent="0.25">
      <c r="A1191">
        <v>1189</v>
      </c>
      <c r="B1191" t="s">
        <v>7625</v>
      </c>
      <c r="C1191">
        <v>503077</v>
      </c>
      <c r="D1191" t="s">
        <v>1715</v>
      </c>
      <c r="E1191" t="s">
        <v>3220</v>
      </c>
      <c r="F1191">
        <v>4264479.5</v>
      </c>
      <c r="G1191">
        <v>12370.873046999999</v>
      </c>
      <c r="H1191">
        <v>1191</v>
      </c>
      <c r="I1191">
        <v>1415</v>
      </c>
      <c r="J1191">
        <v>23215</v>
      </c>
      <c r="K1191" t="s">
        <v>1715</v>
      </c>
      <c r="L1191">
        <v>4</v>
      </c>
      <c r="M1191">
        <v>4</v>
      </c>
      <c r="N1191">
        <v>23215</v>
      </c>
      <c r="O1191">
        <v>1167</v>
      </c>
      <c r="P1191" t="s">
        <v>3212</v>
      </c>
      <c r="Q1191">
        <v>6.2</v>
      </c>
      <c r="R1191">
        <v>24.01</v>
      </c>
      <c r="S1191">
        <v>1.79</v>
      </c>
      <c r="T1191">
        <v>7</v>
      </c>
      <c r="U1191">
        <v>4264479.4359299997</v>
      </c>
      <c r="V1191">
        <v>12370.873436</v>
      </c>
      <c r="W1191">
        <v>1190</v>
      </c>
      <c r="X1191">
        <v>0</v>
      </c>
      <c r="Y1191">
        <v>1189</v>
      </c>
      <c r="Z1191" t="s">
        <v>6966</v>
      </c>
      <c r="AA1191" t="s">
        <v>6966</v>
      </c>
      <c r="AB1191" t="s">
        <v>6966</v>
      </c>
      <c r="AC1191" t="s">
        <v>6966</v>
      </c>
      <c r="AD1191" t="s">
        <v>6966</v>
      </c>
      <c r="AE1191" t="s">
        <v>6966</v>
      </c>
      <c r="AF1191" t="s">
        <v>6966</v>
      </c>
      <c r="AG1191" t="s">
        <v>6966</v>
      </c>
      <c r="AH1191" t="s">
        <v>6966</v>
      </c>
      <c r="AI1191" t="s">
        <v>6966</v>
      </c>
      <c r="AJ1191" t="s">
        <v>6966</v>
      </c>
      <c r="AK1191" t="s">
        <v>6966</v>
      </c>
      <c r="AL1191" t="s">
        <v>6966</v>
      </c>
      <c r="AM1191" t="s">
        <v>6966</v>
      </c>
      <c r="AN1191" t="s">
        <v>6966</v>
      </c>
      <c r="AO1191" t="s">
        <v>6966</v>
      </c>
      <c r="AP1191" t="s">
        <v>6966</v>
      </c>
      <c r="AQ1191" t="s">
        <v>6966</v>
      </c>
      <c r="AR1191" t="s">
        <v>6966</v>
      </c>
      <c r="AS1191" t="s">
        <v>6966</v>
      </c>
      <c r="AT1191" t="s">
        <v>6966</v>
      </c>
      <c r="AU1191" t="s">
        <v>6966</v>
      </c>
      <c r="AV1191" t="s">
        <v>6966</v>
      </c>
      <c r="AW1191" t="s">
        <v>6966</v>
      </c>
      <c r="AX1191" t="s">
        <v>6966</v>
      </c>
      <c r="AY1191" t="s">
        <v>6966</v>
      </c>
      <c r="AZ1191">
        <v>0.12305000000000001</v>
      </c>
      <c r="BA1191">
        <v>4.1399999999999998E-4</v>
      </c>
    </row>
    <row r="1192" spans="1:53" x14ac:dyDescent="0.25">
      <c r="A1192">
        <v>1190</v>
      </c>
      <c r="B1192" t="s">
        <v>7625</v>
      </c>
      <c r="C1192">
        <v>503097</v>
      </c>
      <c r="D1192" t="s">
        <v>213</v>
      </c>
      <c r="E1192" t="s">
        <v>3220</v>
      </c>
      <c r="F1192">
        <v>5361206.5</v>
      </c>
      <c r="G1192">
        <v>13539.081055000001</v>
      </c>
      <c r="H1192">
        <v>1192</v>
      </c>
      <c r="I1192">
        <v>1416</v>
      </c>
      <c r="J1192">
        <v>23321</v>
      </c>
      <c r="K1192" t="s">
        <v>1733</v>
      </c>
      <c r="L1192">
        <v>4</v>
      </c>
      <c r="M1192">
        <v>4</v>
      </c>
      <c r="N1192">
        <v>23321</v>
      </c>
      <c r="O1192">
        <v>1168</v>
      </c>
      <c r="P1192" t="s">
        <v>3212</v>
      </c>
      <c r="Q1192">
        <v>4.5</v>
      </c>
      <c r="R1192">
        <v>48.87</v>
      </c>
      <c r="S1192">
        <v>1.56</v>
      </c>
      <c r="T1192">
        <v>20</v>
      </c>
      <c r="U1192">
        <v>5361206.7048699996</v>
      </c>
      <c r="V1192">
        <v>13539.080829</v>
      </c>
      <c r="W1192">
        <v>1191</v>
      </c>
      <c r="X1192">
        <v>0</v>
      </c>
      <c r="Y1192">
        <v>1190</v>
      </c>
      <c r="Z1192" t="s">
        <v>6966</v>
      </c>
      <c r="AA1192" t="s">
        <v>6966</v>
      </c>
      <c r="AB1192" t="s">
        <v>6966</v>
      </c>
      <c r="AC1192" t="s">
        <v>6966</v>
      </c>
      <c r="AD1192" t="s">
        <v>6966</v>
      </c>
      <c r="AE1192" t="s">
        <v>6966</v>
      </c>
      <c r="AF1192" t="s">
        <v>6966</v>
      </c>
      <c r="AG1192" t="s">
        <v>6966</v>
      </c>
      <c r="AH1192" t="s">
        <v>6966</v>
      </c>
      <c r="AI1192" t="s">
        <v>6966</v>
      </c>
      <c r="AJ1192" t="s">
        <v>6966</v>
      </c>
      <c r="AK1192" t="s">
        <v>6966</v>
      </c>
      <c r="AL1192" t="s">
        <v>6966</v>
      </c>
      <c r="AM1192" t="s">
        <v>6966</v>
      </c>
      <c r="AN1192" t="s">
        <v>6966</v>
      </c>
      <c r="AO1192" t="s">
        <v>6966</v>
      </c>
      <c r="AP1192" t="s">
        <v>6966</v>
      </c>
      <c r="AQ1192" t="s">
        <v>6966</v>
      </c>
      <c r="AR1192" t="s">
        <v>6966</v>
      </c>
      <c r="AS1192" t="s">
        <v>6966</v>
      </c>
      <c r="AT1192" t="s">
        <v>6966</v>
      </c>
      <c r="AU1192" t="s">
        <v>6966</v>
      </c>
      <c r="AV1192" t="s">
        <v>6966</v>
      </c>
      <c r="AW1192" t="s">
        <v>6966</v>
      </c>
      <c r="AX1192" t="s">
        <v>6966</v>
      </c>
      <c r="AY1192" t="s">
        <v>6966</v>
      </c>
      <c r="AZ1192">
        <v>0.13402</v>
      </c>
      <c r="BA1192">
        <v>5.2099999999999998E-4</v>
      </c>
    </row>
    <row r="1193" spans="1:53" x14ac:dyDescent="0.25">
      <c r="A1193">
        <v>1191</v>
      </c>
      <c r="B1193" t="s">
        <v>7625</v>
      </c>
      <c r="C1193">
        <v>503101</v>
      </c>
      <c r="D1193" t="s">
        <v>8016</v>
      </c>
      <c r="E1193" t="s">
        <v>3220</v>
      </c>
      <c r="F1193">
        <v>2625479</v>
      </c>
      <c r="G1193">
        <v>12148.143555000001</v>
      </c>
      <c r="H1193">
        <v>1193</v>
      </c>
      <c r="I1193">
        <v>1417</v>
      </c>
      <c r="J1193">
        <v>23381</v>
      </c>
      <c r="K1193" t="s">
        <v>1743</v>
      </c>
      <c r="L1193">
        <v>4</v>
      </c>
      <c r="M1193">
        <v>4</v>
      </c>
      <c r="N1193">
        <v>23381</v>
      </c>
      <c r="O1193">
        <v>1169</v>
      </c>
      <c r="P1193" t="s">
        <v>3212</v>
      </c>
      <c r="Q1193">
        <v>3.4</v>
      </c>
      <c r="R1193">
        <v>37.700000000000003</v>
      </c>
      <c r="S1193">
        <v>1.3</v>
      </c>
      <c r="T1193">
        <v>14</v>
      </c>
      <c r="U1193">
        <v>2625478.9024700001</v>
      </c>
      <c r="V1193">
        <v>12148.143556999999</v>
      </c>
      <c r="W1193">
        <v>1192</v>
      </c>
      <c r="X1193">
        <v>0</v>
      </c>
      <c r="Y1193">
        <v>1191</v>
      </c>
      <c r="Z1193" t="s">
        <v>6966</v>
      </c>
      <c r="AA1193" t="s">
        <v>6966</v>
      </c>
      <c r="AB1193" t="s">
        <v>6966</v>
      </c>
      <c r="AC1193" t="s">
        <v>6966</v>
      </c>
      <c r="AD1193" t="s">
        <v>6966</v>
      </c>
      <c r="AE1193" t="s">
        <v>6966</v>
      </c>
      <c r="AF1193" t="s">
        <v>6966</v>
      </c>
      <c r="AG1193" t="s">
        <v>6966</v>
      </c>
      <c r="AH1193" t="s">
        <v>6966</v>
      </c>
      <c r="AI1193" t="s">
        <v>6966</v>
      </c>
      <c r="AJ1193" t="s">
        <v>6966</v>
      </c>
      <c r="AK1193" t="s">
        <v>6966</v>
      </c>
      <c r="AL1193" t="s">
        <v>6966</v>
      </c>
      <c r="AM1193" t="s">
        <v>6966</v>
      </c>
      <c r="AN1193" t="s">
        <v>6966</v>
      </c>
      <c r="AO1193" t="s">
        <v>6966</v>
      </c>
      <c r="AP1193" t="s">
        <v>6966</v>
      </c>
      <c r="AQ1193" t="s">
        <v>6966</v>
      </c>
      <c r="AR1193" t="s">
        <v>6966</v>
      </c>
      <c r="AS1193" t="s">
        <v>6966</v>
      </c>
      <c r="AT1193" t="s">
        <v>6966</v>
      </c>
      <c r="AU1193" t="s">
        <v>6966</v>
      </c>
      <c r="AV1193" t="s">
        <v>6966</v>
      </c>
      <c r="AW1193" t="s">
        <v>6966</v>
      </c>
      <c r="AX1193" t="s">
        <v>6966</v>
      </c>
      <c r="AY1193" t="s">
        <v>6966</v>
      </c>
      <c r="AZ1193">
        <v>0.12185799999999999</v>
      </c>
      <c r="BA1193">
        <v>2.5500000000000002E-4</v>
      </c>
    </row>
    <row r="1194" spans="1:53" x14ac:dyDescent="0.25">
      <c r="A1194">
        <v>1192</v>
      </c>
      <c r="B1194" t="s">
        <v>7625</v>
      </c>
      <c r="C1194">
        <v>503053</v>
      </c>
      <c r="D1194" t="s">
        <v>283</v>
      </c>
      <c r="E1194" t="s">
        <v>3220</v>
      </c>
      <c r="F1194">
        <v>5730946</v>
      </c>
      <c r="G1194">
        <v>14582.896484000001</v>
      </c>
      <c r="H1194">
        <v>1194</v>
      </c>
      <c r="I1194">
        <v>1418</v>
      </c>
      <c r="J1194">
        <v>23671</v>
      </c>
      <c r="K1194" t="s">
        <v>1791</v>
      </c>
      <c r="L1194">
        <v>4</v>
      </c>
      <c r="M1194">
        <v>4</v>
      </c>
      <c r="N1194">
        <v>23671</v>
      </c>
      <c r="O1194">
        <v>1170</v>
      </c>
      <c r="P1194" t="s">
        <v>3212</v>
      </c>
      <c r="Q1194">
        <v>1.5</v>
      </c>
      <c r="R1194">
        <v>26.52</v>
      </c>
      <c r="S1194">
        <v>0.41</v>
      </c>
      <c r="T1194">
        <v>7</v>
      </c>
      <c r="U1194">
        <v>5730946.0954299998</v>
      </c>
      <c r="V1194">
        <v>14582.897129999999</v>
      </c>
      <c r="W1194">
        <v>1193</v>
      </c>
      <c r="X1194">
        <v>0</v>
      </c>
      <c r="Y1194">
        <v>1192</v>
      </c>
      <c r="Z1194" t="s">
        <v>6966</v>
      </c>
      <c r="AA1194" t="s">
        <v>6966</v>
      </c>
      <c r="AB1194" t="s">
        <v>6966</v>
      </c>
      <c r="AC1194" t="s">
        <v>6966</v>
      </c>
      <c r="AD1194" t="s">
        <v>6966</v>
      </c>
      <c r="AE1194" t="s">
        <v>6966</v>
      </c>
      <c r="AF1194" t="s">
        <v>6966</v>
      </c>
      <c r="AG1194" t="s">
        <v>6966</v>
      </c>
      <c r="AH1194" t="s">
        <v>6966</v>
      </c>
      <c r="AI1194" t="s">
        <v>6966</v>
      </c>
      <c r="AJ1194" t="s">
        <v>6966</v>
      </c>
      <c r="AK1194" t="s">
        <v>6966</v>
      </c>
      <c r="AL1194" t="s">
        <v>6966</v>
      </c>
      <c r="AM1194" t="s">
        <v>6966</v>
      </c>
      <c r="AN1194" t="s">
        <v>6966</v>
      </c>
      <c r="AO1194" t="s">
        <v>6966</v>
      </c>
      <c r="AP1194" t="s">
        <v>6966</v>
      </c>
      <c r="AQ1194" t="s">
        <v>6966</v>
      </c>
      <c r="AR1194" t="s">
        <v>6966</v>
      </c>
      <c r="AS1194" t="s">
        <v>6966</v>
      </c>
      <c r="AT1194" t="s">
        <v>6966</v>
      </c>
      <c r="AU1194" t="s">
        <v>6966</v>
      </c>
      <c r="AV1194" t="s">
        <v>6966</v>
      </c>
      <c r="AW1194" t="s">
        <v>6966</v>
      </c>
      <c r="AX1194" t="s">
        <v>6966</v>
      </c>
      <c r="AY1194" t="s">
        <v>6966</v>
      </c>
      <c r="AZ1194">
        <v>0.14721899999999999</v>
      </c>
      <c r="BA1194">
        <v>5.5699999999999999E-4</v>
      </c>
    </row>
    <row r="1195" spans="1:53" x14ac:dyDescent="0.25">
      <c r="A1195">
        <v>1193</v>
      </c>
      <c r="B1195" t="s">
        <v>7625</v>
      </c>
      <c r="C1195">
        <v>402007</v>
      </c>
      <c r="D1195" t="s">
        <v>1183</v>
      </c>
      <c r="E1195" t="s">
        <v>7999</v>
      </c>
      <c r="F1195">
        <v>6176709.5</v>
      </c>
      <c r="G1195">
        <v>15047.072265999999</v>
      </c>
      <c r="H1195">
        <v>1195</v>
      </c>
      <c r="I1195">
        <v>1420</v>
      </c>
      <c r="J1195">
        <v>55177</v>
      </c>
      <c r="K1195" t="s">
        <v>1183</v>
      </c>
      <c r="L1195">
        <v>19</v>
      </c>
      <c r="M1195">
        <v>19</v>
      </c>
      <c r="N1195">
        <v>55177</v>
      </c>
      <c r="O1195">
        <v>1171</v>
      </c>
      <c r="P1195" t="s">
        <v>3214</v>
      </c>
      <c r="Q1195">
        <v>0.8</v>
      </c>
      <c r="R1195">
        <v>35.4</v>
      </c>
      <c r="S1195">
        <v>0.22</v>
      </c>
      <c r="T1195">
        <v>10</v>
      </c>
      <c r="U1195">
        <v>6176709.3238199996</v>
      </c>
      <c r="V1195">
        <v>15047.072936</v>
      </c>
      <c r="W1195">
        <v>1194</v>
      </c>
      <c r="X1195">
        <v>0</v>
      </c>
      <c r="Y1195">
        <v>1193</v>
      </c>
      <c r="Z1195" t="s">
        <v>6966</v>
      </c>
      <c r="AA1195" t="s">
        <v>6966</v>
      </c>
      <c r="AB1195" t="s">
        <v>6966</v>
      </c>
      <c r="AC1195" t="s">
        <v>6966</v>
      </c>
      <c r="AD1195" t="s">
        <v>6966</v>
      </c>
      <c r="AE1195" t="s">
        <v>6966</v>
      </c>
      <c r="AF1195" t="s">
        <v>6966</v>
      </c>
      <c r="AG1195" t="s">
        <v>6966</v>
      </c>
      <c r="AH1195" t="s">
        <v>6966</v>
      </c>
      <c r="AI1195" t="s">
        <v>6966</v>
      </c>
      <c r="AJ1195" t="s">
        <v>6966</v>
      </c>
      <c r="AK1195" t="s">
        <v>6966</v>
      </c>
      <c r="AL1195" t="s">
        <v>6966</v>
      </c>
      <c r="AM1195" t="s">
        <v>6966</v>
      </c>
      <c r="AN1195" t="s">
        <v>6966</v>
      </c>
      <c r="AO1195" t="s">
        <v>6966</v>
      </c>
      <c r="AP1195" t="s">
        <v>6966</v>
      </c>
      <c r="AQ1195" t="s">
        <v>6966</v>
      </c>
      <c r="AR1195" t="s">
        <v>6966</v>
      </c>
      <c r="AS1195" t="s">
        <v>6966</v>
      </c>
      <c r="AT1195" t="s">
        <v>6966</v>
      </c>
      <c r="AU1195" t="s">
        <v>6966</v>
      </c>
      <c r="AV1195" t="s">
        <v>6966</v>
      </c>
      <c r="AW1195" t="s">
        <v>6966</v>
      </c>
      <c r="AX1195" t="s">
        <v>6966</v>
      </c>
      <c r="AY1195" t="s">
        <v>6966</v>
      </c>
      <c r="AZ1195">
        <v>0.148891</v>
      </c>
      <c r="BA1195">
        <v>5.9999999999999995E-4</v>
      </c>
    </row>
    <row r="1196" spans="1:53" x14ac:dyDescent="0.25">
      <c r="A1196">
        <v>1194</v>
      </c>
      <c r="B1196" t="s">
        <v>7625</v>
      </c>
      <c r="C1196">
        <v>503056</v>
      </c>
      <c r="D1196" t="s">
        <v>8017</v>
      </c>
      <c r="E1196" t="s">
        <v>3220</v>
      </c>
      <c r="F1196">
        <v>1693340.5</v>
      </c>
      <c r="G1196">
        <v>6937.5126950000003</v>
      </c>
      <c r="H1196">
        <v>1196</v>
      </c>
      <c r="I1196">
        <v>1423</v>
      </c>
      <c r="J1196">
        <v>23376</v>
      </c>
      <c r="K1196" t="s">
        <v>1742</v>
      </c>
      <c r="L1196">
        <v>4</v>
      </c>
      <c r="M1196">
        <v>4</v>
      </c>
      <c r="N1196">
        <v>23376</v>
      </c>
      <c r="O1196">
        <v>1172</v>
      </c>
      <c r="P1196" t="s">
        <v>3212</v>
      </c>
      <c r="Q1196">
        <v>0.1</v>
      </c>
      <c r="R1196">
        <v>3.52</v>
      </c>
      <c r="S1196">
        <v>7.0000000000000007E-2</v>
      </c>
      <c r="T1196">
        <v>2</v>
      </c>
      <c r="U1196">
        <v>1693340.4743900001</v>
      </c>
      <c r="V1196">
        <v>6937.5130509999999</v>
      </c>
      <c r="W1196">
        <v>1195</v>
      </c>
      <c r="X1196">
        <v>0</v>
      </c>
      <c r="Y1196">
        <v>1194</v>
      </c>
      <c r="Z1196" t="s">
        <v>6966</v>
      </c>
      <c r="AA1196" t="s">
        <v>6966</v>
      </c>
      <c r="AB1196" t="s">
        <v>6966</v>
      </c>
      <c r="AC1196" t="s">
        <v>6966</v>
      </c>
      <c r="AD1196" t="s">
        <v>6966</v>
      </c>
      <c r="AE1196" t="s">
        <v>6966</v>
      </c>
      <c r="AF1196" t="s">
        <v>6966</v>
      </c>
      <c r="AG1196" t="s">
        <v>6966</v>
      </c>
      <c r="AH1196" t="s">
        <v>6966</v>
      </c>
      <c r="AI1196" t="s">
        <v>6966</v>
      </c>
      <c r="AJ1196" t="s">
        <v>6966</v>
      </c>
      <c r="AK1196" t="s">
        <v>6966</v>
      </c>
      <c r="AL1196" t="s">
        <v>6966</v>
      </c>
      <c r="AM1196" t="s">
        <v>6966</v>
      </c>
      <c r="AN1196" t="s">
        <v>6966</v>
      </c>
      <c r="AO1196" t="s">
        <v>6966</v>
      </c>
      <c r="AP1196" t="s">
        <v>6966</v>
      </c>
      <c r="AQ1196" t="s">
        <v>6966</v>
      </c>
      <c r="AR1196" t="s">
        <v>6966</v>
      </c>
      <c r="AS1196" t="s">
        <v>6966</v>
      </c>
      <c r="AT1196" t="s">
        <v>6966</v>
      </c>
      <c r="AU1196" t="s">
        <v>6966</v>
      </c>
      <c r="AV1196" t="s">
        <v>6966</v>
      </c>
      <c r="AW1196" t="s">
        <v>6966</v>
      </c>
      <c r="AX1196" t="s">
        <v>6966</v>
      </c>
      <c r="AY1196" t="s">
        <v>6966</v>
      </c>
      <c r="AZ1196">
        <v>6.9833999999999993E-2</v>
      </c>
      <c r="BA1196">
        <v>1.64E-4</v>
      </c>
    </row>
    <row r="1197" spans="1:53" x14ac:dyDescent="0.25">
      <c r="A1197">
        <v>1195</v>
      </c>
      <c r="B1197" t="s">
        <v>7625</v>
      </c>
      <c r="C1197">
        <v>503028</v>
      </c>
      <c r="D1197" t="s">
        <v>227</v>
      </c>
      <c r="E1197" t="s">
        <v>3220</v>
      </c>
      <c r="F1197">
        <v>4608400.5</v>
      </c>
      <c r="G1197">
        <v>13675.113281</v>
      </c>
      <c r="H1197">
        <v>1197</v>
      </c>
      <c r="I1197">
        <v>1424</v>
      </c>
      <c r="J1197">
        <v>23386</v>
      </c>
      <c r="K1197" t="s">
        <v>1744</v>
      </c>
      <c r="L1197">
        <v>4</v>
      </c>
      <c r="M1197">
        <v>4</v>
      </c>
      <c r="N1197">
        <v>23386</v>
      </c>
      <c r="O1197">
        <v>1173</v>
      </c>
      <c r="P1197" t="s">
        <v>3212</v>
      </c>
      <c r="Q1197">
        <v>2.5</v>
      </c>
      <c r="R1197">
        <v>33.450000000000003</v>
      </c>
      <c r="S1197">
        <v>0.54</v>
      </c>
      <c r="T1197">
        <v>7</v>
      </c>
      <c r="U1197">
        <v>4608400.6227900004</v>
      </c>
      <c r="V1197">
        <v>13675.114172</v>
      </c>
      <c r="W1197">
        <v>1196</v>
      </c>
      <c r="X1197">
        <v>0</v>
      </c>
      <c r="Y1197">
        <v>1195</v>
      </c>
      <c r="Z1197" t="s">
        <v>6966</v>
      </c>
      <c r="AA1197" t="s">
        <v>6966</v>
      </c>
      <c r="AB1197" t="s">
        <v>6966</v>
      </c>
      <c r="AC1197" t="s">
        <v>6966</v>
      </c>
      <c r="AD1197" t="s">
        <v>6966</v>
      </c>
      <c r="AE1197" t="s">
        <v>6966</v>
      </c>
      <c r="AF1197" t="s">
        <v>6966</v>
      </c>
      <c r="AG1197" t="s">
        <v>6966</v>
      </c>
      <c r="AH1197" t="s">
        <v>6966</v>
      </c>
      <c r="AI1197" t="s">
        <v>6966</v>
      </c>
      <c r="AJ1197" t="s">
        <v>6966</v>
      </c>
      <c r="AK1197" t="s">
        <v>6966</v>
      </c>
      <c r="AL1197" t="s">
        <v>6966</v>
      </c>
      <c r="AM1197" t="s">
        <v>6966</v>
      </c>
      <c r="AN1197" t="s">
        <v>6966</v>
      </c>
      <c r="AO1197" t="s">
        <v>6966</v>
      </c>
      <c r="AP1197" t="s">
        <v>6966</v>
      </c>
      <c r="AQ1197" t="s">
        <v>6966</v>
      </c>
      <c r="AR1197" t="s">
        <v>6966</v>
      </c>
      <c r="AS1197" t="s">
        <v>6966</v>
      </c>
      <c r="AT1197" t="s">
        <v>6966</v>
      </c>
      <c r="AU1197" t="s">
        <v>6966</v>
      </c>
      <c r="AV1197" t="s">
        <v>6966</v>
      </c>
      <c r="AW1197" t="s">
        <v>6966</v>
      </c>
      <c r="AX1197" t="s">
        <v>6966</v>
      </c>
      <c r="AY1197" t="s">
        <v>6966</v>
      </c>
      <c r="AZ1197">
        <v>0.136069</v>
      </c>
      <c r="BA1197">
        <v>4.4700000000000002E-4</v>
      </c>
    </row>
    <row r="1198" spans="1:53" x14ac:dyDescent="0.25">
      <c r="A1198">
        <v>1196</v>
      </c>
      <c r="B1198" t="s">
        <v>7625</v>
      </c>
      <c r="C1198">
        <v>503087</v>
      </c>
      <c r="D1198" t="s">
        <v>8018</v>
      </c>
      <c r="E1198" t="s">
        <v>3220</v>
      </c>
      <c r="F1198">
        <v>1049948.5</v>
      </c>
      <c r="G1198">
        <v>5973.3754879999997</v>
      </c>
      <c r="H1198">
        <v>1198</v>
      </c>
      <c r="I1198">
        <v>1425</v>
      </c>
      <c r="J1198">
        <v>23365</v>
      </c>
      <c r="K1198" t="s">
        <v>8019</v>
      </c>
      <c r="L1198">
        <v>4</v>
      </c>
      <c r="M1198">
        <v>4</v>
      </c>
      <c r="N1198">
        <v>23365</v>
      </c>
      <c r="O1198">
        <v>1174</v>
      </c>
      <c r="P1198" t="s">
        <v>3212</v>
      </c>
      <c r="Q1198">
        <v>0.1</v>
      </c>
      <c r="R1198">
        <v>0.49</v>
      </c>
      <c r="S1198">
        <v>0.54</v>
      </c>
      <c r="T1198">
        <v>3</v>
      </c>
      <c r="U1198">
        <v>1049948.5264999999</v>
      </c>
      <c r="V1198">
        <v>5973.3755430000001</v>
      </c>
      <c r="W1198">
        <v>1197</v>
      </c>
      <c r="X1198">
        <v>0</v>
      </c>
      <c r="Y1198">
        <v>1196</v>
      </c>
      <c r="Z1198" t="s">
        <v>6966</v>
      </c>
      <c r="AA1198" t="s">
        <v>6966</v>
      </c>
      <c r="AB1198" t="s">
        <v>6966</v>
      </c>
      <c r="AC1198" t="s">
        <v>6966</v>
      </c>
      <c r="AD1198" t="s">
        <v>6966</v>
      </c>
      <c r="AE1198" t="s">
        <v>6966</v>
      </c>
      <c r="AF1198" t="s">
        <v>6966</v>
      </c>
      <c r="AG1198" t="s">
        <v>6966</v>
      </c>
      <c r="AH1198" t="s">
        <v>6966</v>
      </c>
      <c r="AI1198" t="s">
        <v>6966</v>
      </c>
      <c r="AJ1198" t="s">
        <v>6966</v>
      </c>
      <c r="AK1198" t="s">
        <v>6966</v>
      </c>
      <c r="AL1198" t="s">
        <v>6966</v>
      </c>
      <c r="AM1198" t="s">
        <v>6966</v>
      </c>
      <c r="AN1198" t="s">
        <v>6966</v>
      </c>
      <c r="AO1198" t="s">
        <v>6966</v>
      </c>
      <c r="AP1198" t="s">
        <v>6966</v>
      </c>
      <c r="AQ1198" t="s">
        <v>6966</v>
      </c>
      <c r="AR1198" t="s">
        <v>6966</v>
      </c>
      <c r="AS1198" t="s">
        <v>6966</v>
      </c>
      <c r="AT1198" t="s">
        <v>6966</v>
      </c>
      <c r="AU1198" t="s">
        <v>6966</v>
      </c>
      <c r="AV1198" t="s">
        <v>6966</v>
      </c>
      <c r="AW1198" t="s">
        <v>6966</v>
      </c>
      <c r="AX1198" t="s">
        <v>6966</v>
      </c>
      <c r="AY1198" t="s">
        <v>6966</v>
      </c>
      <c r="AZ1198">
        <v>5.9639999999999999E-2</v>
      </c>
      <c r="BA1198">
        <v>1.02E-4</v>
      </c>
    </row>
    <row r="1199" spans="1:53" x14ac:dyDescent="0.25">
      <c r="A1199">
        <v>1197</v>
      </c>
      <c r="B1199" t="s">
        <v>7625</v>
      </c>
      <c r="C1199">
        <v>503083</v>
      </c>
      <c r="D1199" t="s">
        <v>8020</v>
      </c>
      <c r="E1199" t="s">
        <v>3220</v>
      </c>
      <c r="F1199">
        <v>4682198</v>
      </c>
      <c r="G1199">
        <v>11699.479492</v>
      </c>
      <c r="H1199">
        <v>1199</v>
      </c>
      <c r="I1199">
        <v>1426</v>
      </c>
      <c r="J1199">
        <v>23341</v>
      </c>
      <c r="K1199" t="s">
        <v>8021</v>
      </c>
      <c r="L1199">
        <v>4</v>
      </c>
      <c r="M1199">
        <v>4</v>
      </c>
      <c r="N1199">
        <v>23341</v>
      </c>
      <c r="O1199">
        <v>1175</v>
      </c>
      <c r="P1199" t="s">
        <v>3212</v>
      </c>
      <c r="Q1199">
        <v>4.5999999999999996</v>
      </c>
      <c r="R1199">
        <v>19.649999999999999</v>
      </c>
      <c r="S1199">
        <v>1.52</v>
      </c>
      <c r="T1199">
        <v>7</v>
      </c>
      <c r="U1199">
        <v>4682198.1131999996</v>
      </c>
      <c r="V1199">
        <v>11699.480602</v>
      </c>
      <c r="W1199">
        <v>1198</v>
      </c>
      <c r="X1199">
        <v>0</v>
      </c>
      <c r="Y1199">
        <v>1197</v>
      </c>
      <c r="Z1199" t="s">
        <v>6966</v>
      </c>
      <c r="AA1199" t="s">
        <v>6966</v>
      </c>
      <c r="AB1199" t="s">
        <v>6966</v>
      </c>
      <c r="AC1199" t="s">
        <v>6966</v>
      </c>
      <c r="AD1199" t="s">
        <v>6966</v>
      </c>
      <c r="AE1199" t="s">
        <v>6966</v>
      </c>
      <c r="AF1199" t="s">
        <v>6966</v>
      </c>
      <c r="AG1199" t="s">
        <v>6966</v>
      </c>
      <c r="AH1199" t="s">
        <v>6966</v>
      </c>
      <c r="AI1199" t="s">
        <v>6966</v>
      </c>
      <c r="AJ1199" t="s">
        <v>6966</v>
      </c>
      <c r="AK1199" t="s">
        <v>6966</v>
      </c>
      <c r="AL1199" t="s">
        <v>6966</v>
      </c>
      <c r="AM1199" t="s">
        <v>6966</v>
      </c>
      <c r="AN1199" t="s">
        <v>6966</v>
      </c>
      <c r="AO1199" t="s">
        <v>6966</v>
      </c>
      <c r="AP1199" t="s">
        <v>6966</v>
      </c>
      <c r="AQ1199" t="s">
        <v>6966</v>
      </c>
      <c r="AR1199" t="s">
        <v>6966</v>
      </c>
      <c r="AS1199" t="s">
        <v>6966</v>
      </c>
      <c r="AT1199" t="s">
        <v>6966</v>
      </c>
      <c r="AU1199" t="s">
        <v>6966</v>
      </c>
      <c r="AV1199" t="s">
        <v>6966</v>
      </c>
      <c r="AW1199" t="s">
        <v>6966</v>
      </c>
      <c r="AX1199" t="s">
        <v>6966</v>
      </c>
      <c r="AY1199" t="s">
        <v>6966</v>
      </c>
      <c r="AZ1199">
        <v>0.118135</v>
      </c>
      <c r="BA1199">
        <v>4.55E-4</v>
      </c>
    </row>
    <row r="1200" spans="1:53" x14ac:dyDescent="0.25">
      <c r="A1200">
        <v>1198</v>
      </c>
      <c r="B1200" t="s">
        <v>7625</v>
      </c>
      <c r="C1200">
        <v>402033</v>
      </c>
      <c r="D1200" t="s">
        <v>1185</v>
      </c>
      <c r="E1200" t="s">
        <v>7999</v>
      </c>
      <c r="F1200">
        <v>2672841</v>
      </c>
      <c r="G1200">
        <v>9327.0234380000002</v>
      </c>
      <c r="H1200">
        <v>1200</v>
      </c>
      <c r="I1200">
        <v>1428</v>
      </c>
      <c r="J1200">
        <v>55184</v>
      </c>
      <c r="K1200" t="s">
        <v>1185</v>
      </c>
      <c r="L1200">
        <v>19</v>
      </c>
      <c r="M1200">
        <v>19</v>
      </c>
      <c r="N1200">
        <v>55184</v>
      </c>
      <c r="O1200">
        <v>1176</v>
      </c>
      <c r="P1200" t="s">
        <v>3214</v>
      </c>
      <c r="Q1200">
        <v>7</v>
      </c>
      <c r="R1200">
        <v>0</v>
      </c>
      <c r="S1200">
        <v>1.32</v>
      </c>
      <c r="T1200">
        <v>9</v>
      </c>
      <c r="U1200">
        <v>2672840.9577600001</v>
      </c>
      <c r="V1200">
        <v>9327.0240720000002</v>
      </c>
      <c r="W1200">
        <v>1199</v>
      </c>
      <c r="X1200">
        <v>0</v>
      </c>
      <c r="Y1200">
        <v>1198</v>
      </c>
      <c r="Z1200" t="s">
        <v>6966</v>
      </c>
      <c r="AA1200" t="s">
        <v>6966</v>
      </c>
      <c r="AB1200" t="s">
        <v>6966</v>
      </c>
      <c r="AC1200" t="s">
        <v>6966</v>
      </c>
      <c r="AD1200" t="s">
        <v>6966</v>
      </c>
      <c r="AE1200" t="s">
        <v>6966</v>
      </c>
      <c r="AF1200" t="s">
        <v>6966</v>
      </c>
      <c r="AG1200" t="s">
        <v>6966</v>
      </c>
      <c r="AH1200" t="s">
        <v>6966</v>
      </c>
      <c r="AI1200" t="s">
        <v>6966</v>
      </c>
      <c r="AJ1200" t="s">
        <v>6966</v>
      </c>
      <c r="AK1200" t="s">
        <v>6966</v>
      </c>
      <c r="AL1200" t="s">
        <v>6966</v>
      </c>
      <c r="AM1200" t="s">
        <v>6966</v>
      </c>
      <c r="AN1200" t="s">
        <v>6966</v>
      </c>
      <c r="AO1200" t="s">
        <v>6966</v>
      </c>
      <c r="AP1200" t="s">
        <v>6966</v>
      </c>
      <c r="AQ1200" t="s">
        <v>6966</v>
      </c>
      <c r="AR1200" t="s">
        <v>6966</v>
      </c>
      <c r="AS1200" t="s">
        <v>6966</v>
      </c>
      <c r="AT1200" t="s">
        <v>6966</v>
      </c>
      <c r="AU1200" t="s">
        <v>6966</v>
      </c>
      <c r="AV1200" t="s">
        <v>6966</v>
      </c>
      <c r="AW1200" t="s">
        <v>6966</v>
      </c>
      <c r="AX1200" t="s">
        <v>6966</v>
      </c>
      <c r="AY1200" t="s">
        <v>6966</v>
      </c>
      <c r="AZ1200">
        <v>9.4646999999999995E-2</v>
      </c>
      <c r="BA1200">
        <v>2.5999999999999998E-4</v>
      </c>
    </row>
    <row r="1201" spans="1:53" x14ac:dyDescent="0.25">
      <c r="A1201">
        <v>1199</v>
      </c>
      <c r="B1201" t="s">
        <v>7625</v>
      </c>
      <c r="C1201">
        <v>503015</v>
      </c>
      <c r="D1201" t="s">
        <v>284</v>
      </c>
      <c r="E1201" t="s">
        <v>3220</v>
      </c>
      <c r="F1201">
        <v>5307715</v>
      </c>
      <c r="G1201">
        <v>16452.103515999999</v>
      </c>
      <c r="H1201">
        <v>1201</v>
      </c>
      <c r="I1201">
        <v>1429</v>
      </c>
      <c r="J1201">
        <v>23675</v>
      </c>
      <c r="K1201" t="s">
        <v>284</v>
      </c>
      <c r="L1201">
        <v>4</v>
      </c>
      <c r="M1201">
        <v>4</v>
      </c>
      <c r="N1201">
        <v>23675</v>
      </c>
      <c r="O1201">
        <v>1177</v>
      </c>
      <c r="P1201" t="s">
        <v>3212</v>
      </c>
      <c r="Q1201">
        <v>3.7</v>
      </c>
      <c r="R1201">
        <v>36.020000000000003</v>
      </c>
      <c r="S1201">
        <v>0.96</v>
      </c>
      <c r="T1201">
        <v>9</v>
      </c>
      <c r="U1201">
        <v>5307714.65221</v>
      </c>
      <c r="V1201">
        <v>16452.104454</v>
      </c>
      <c r="W1201">
        <v>1200</v>
      </c>
      <c r="X1201">
        <v>0</v>
      </c>
      <c r="Y1201">
        <v>1199</v>
      </c>
      <c r="Z1201" t="s">
        <v>6966</v>
      </c>
      <c r="AA1201" t="s">
        <v>6966</v>
      </c>
      <c r="AB1201" t="s">
        <v>6966</v>
      </c>
      <c r="AC1201" t="s">
        <v>6966</v>
      </c>
      <c r="AD1201" t="s">
        <v>6966</v>
      </c>
      <c r="AE1201" t="s">
        <v>6966</v>
      </c>
      <c r="AF1201" t="s">
        <v>6966</v>
      </c>
      <c r="AG1201" t="s">
        <v>6966</v>
      </c>
      <c r="AH1201" t="s">
        <v>6966</v>
      </c>
      <c r="AI1201" t="s">
        <v>6966</v>
      </c>
      <c r="AJ1201" t="s">
        <v>6966</v>
      </c>
      <c r="AK1201" t="s">
        <v>6966</v>
      </c>
      <c r="AL1201" t="s">
        <v>6966</v>
      </c>
      <c r="AM1201" t="s">
        <v>6966</v>
      </c>
      <c r="AN1201" t="s">
        <v>6966</v>
      </c>
      <c r="AO1201" t="s">
        <v>6966</v>
      </c>
      <c r="AP1201" t="s">
        <v>6966</v>
      </c>
      <c r="AQ1201" t="s">
        <v>6966</v>
      </c>
      <c r="AR1201" t="s">
        <v>6966</v>
      </c>
      <c r="AS1201" t="s">
        <v>6966</v>
      </c>
      <c r="AT1201" t="s">
        <v>6966</v>
      </c>
      <c r="AU1201" t="s">
        <v>6966</v>
      </c>
      <c r="AV1201" t="s">
        <v>6966</v>
      </c>
      <c r="AW1201" t="s">
        <v>6966</v>
      </c>
      <c r="AX1201" t="s">
        <v>6966</v>
      </c>
      <c r="AY1201" t="s">
        <v>6966</v>
      </c>
      <c r="AZ1201">
        <v>0.16081999999999999</v>
      </c>
      <c r="BA1201">
        <v>5.1500000000000005E-4</v>
      </c>
    </row>
    <row r="1202" spans="1:53" x14ac:dyDescent="0.25">
      <c r="A1202">
        <v>1200</v>
      </c>
      <c r="B1202" t="s">
        <v>7625</v>
      </c>
      <c r="C1202">
        <v>503075</v>
      </c>
      <c r="D1202" t="s">
        <v>214</v>
      </c>
      <c r="E1202" t="s">
        <v>3220</v>
      </c>
      <c r="F1202">
        <v>1774994.25</v>
      </c>
      <c r="G1202">
        <v>8003.6142579999996</v>
      </c>
      <c r="H1202">
        <v>1202</v>
      </c>
      <c r="I1202">
        <v>1430</v>
      </c>
      <c r="J1202">
        <v>23326</v>
      </c>
      <c r="K1202" t="s">
        <v>214</v>
      </c>
      <c r="L1202">
        <v>4</v>
      </c>
      <c r="M1202">
        <v>4</v>
      </c>
      <c r="N1202">
        <v>23326</v>
      </c>
      <c r="O1202">
        <v>1178</v>
      </c>
      <c r="P1202" t="s">
        <v>3212</v>
      </c>
      <c r="Q1202">
        <v>0</v>
      </c>
      <c r="R1202">
        <v>0</v>
      </c>
      <c r="S1202">
        <v>0.04</v>
      </c>
      <c r="T1202">
        <v>0</v>
      </c>
      <c r="U1202">
        <v>1774994.3075600001</v>
      </c>
      <c r="V1202">
        <v>8003.6144100000001</v>
      </c>
      <c r="W1202">
        <v>1201</v>
      </c>
      <c r="X1202">
        <v>0</v>
      </c>
      <c r="Y1202">
        <v>1200</v>
      </c>
      <c r="Z1202" t="s">
        <v>6966</v>
      </c>
      <c r="AA1202" t="s">
        <v>6966</v>
      </c>
      <c r="AB1202" t="s">
        <v>6966</v>
      </c>
      <c r="AC1202" t="s">
        <v>6966</v>
      </c>
      <c r="AD1202" t="s">
        <v>6966</v>
      </c>
      <c r="AE1202" t="s">
        <v>6966</v>
      </c>
      <c r="AF1202" t="s">
        <v>6966</v>
      </c>
      <c r="AG1202" t="s">
        <v>6966</v>
      </c>
      <c r="AH1202" t="s">
        <v>6966</v>
      </c>
      <c r="AI1202" t="s">
        <v>6966</v>
      </c>
      <c r="AJ1202" t="s">
        <v>6966</v>
      </c>
      <c r="AK1202" t="s">
        <v>6966</v>
      </c>
      <c r="AL1202" t="s">
        <v>6966</v>
      </c>
      <c r="AM1202" t="s">
        <v>6966</v>
      </c>
      <c r="AN1202" t="s">
        <v>6966</v>
      </c>
      <c r="AO1202" t="s">
        <v>6966</v>
      </c>
      <c r="AP1202" t="s">
        <v>6966</v>
      </c>
      <c r="AQ1202" t="s">
        <v>6966</v>
      </c>
      <c r="AR1202" t="s">
        <v>6966</v>
      </c>
      <c r="AS1202" t="s">
        <v>6966</v>
      </c>
      <c r="AT1202" t="s">
        <v>6966</v>
      </c>
      <c r="AU1202" t="s">
        <v>6966</v>
      </c>
      <c r="AV1202" t="s">
        <v>6966</v>
      </c>
      <c r="AW1202" t="s">
        <v>6966</v>
      </c>
      <c r="AX1202" t="s">
        <v>6966</v>
      </c>
      <c r="AY1202" t="s">
        <v>6966</v>
      </c>
      <c r="AZ1202">
        <v>7.9721E-2</v>
      </c>
      <c r="BA1202">
        <v>1.7200000000000001E-4</v>
      </c>
    </row>
    <row r="1203" spans="1:53" x14ac:dyDescent="0.25">
      <c r="A1203">
        <v>1201</v>
      </c>
      <c r="B1203" t="s">
        <v>7625</v>
      </c>
      <c r="C1203">
        <v>401006</v>
      </c>
      <c r="D1203" t="s">
        <v>1047</v>
      </c>
      <c r="E1203" t="s">
        <v>3221</v>
      </c>
      <c r="F1203">
        <v>0</v>
      </c>
      <c r="G1203">
        <v>17867.904297000001</v>
      </c>
      <c r="H1203">
        <v>1203</v>
      </c>
      <c r="I1203">
        <v>1431</v>
      </c>
      <c r="J1203">
        <v>52224</v>
      </c>
      <c r="K1203" t="s">
        <v>2395</v>
      </c>
      <c r="L1203">
        <v>16</v>
      </c>
      <c r="M1203">
        <v>16</v>
      </c>
      <c r="N1203">
        <v>52224</v>
      </c>
      <c r="O1203">
        <v>1179</v>
      </c>
      <c r="P1203" t="s">
        <v>3214</v>
      </c>
      <c r="Q1203">
        <v>1</v>
      </c>
      <c r="R1203">
        <v>55.18</v>
      </c>
      <c r="S1203">
        <v>0.25</v>
      </c>
      <c r="T1203">
        <v>14</v>
      </c>
      <c r="U1203">
        <v>0</v>
      </c>
      <c r="V1203">
        <v>17867.904196</v>
      </c>
      <c r="W1203">
        <v>1202</v>
      </c>
      <c r="X1203">
        <v>0</v>
      </c>
      <c r="Y1203">
        <v>1201</v>
      </c>
      <c r="Z1203" t="s">
        <v>6966</v>
      </c>
      <c r="AA1203" t="s">
        <v>6966</v>
      </c>
      <c r="AB1203" t="s">
        <v>6966</v>
      </c>
      <c r="AC1203" t="s">
        <v>6966</v>
      </c>
      <c r="AD1203" t="s">
        <v>6966</v>
      </c>
      <c r="AE1203" t="s">
        <v>6966</v>
      </c>
      <c r="AF1203" t="s">
        <v>6966</v>
      </c>
      <c r="AG1203" t="s">
        <v>6966</v>
      </c>
      <c r="AH1203" t="s">
        <v>6966</v>
      </c>
      <c r="AI1203" t="s">
        <v>6966</v>
      </c>
      <c r="AJ1203" t="s">
        <v>6966</v>
      </c>
      <c r="AK1203" t="s">
        <v>6966</v>
      </c>
      <c r="AL1203" t="s">
        <v>6966</v>
      </c>
      <c r="AM1203" t="s">
        <v>6966</v>
      </c>
      <c r="AN1203" t="s">
        <v>6966</v>
      </c>
      <c r="AO1203" t="s">
        <v>6966</v>
      </c>
      <c r="AP1203" t="s">
        <v>6966</v>
      </c>
      <c r="AQ1203" t="s">
        <v>6966</v>
      </c>
      <c r="AR1203" t="s">
        <v>6966</v>
      </c>
      <c r="AS1203" t="s">
        <v>6966</v>
      </c>
      <c r="AT1203" t="s">
        <v>6966</v>
      </c>
      <c r="AU1203" t="s">
        <v>6966</v>
      </c>
      <c r="AV1203" t="s">
        <v>6966</v>
      </c>
      <c r="AW1203" t="s">
        <v>6966</v>
      </c>
      <c r="AX1203" t="s">
        <v>6966</v>
      </c>
      <c r="AY1203" t="s">
        <v>6966</v>
      </c>
      <c r="AZ1203">
        <v>0.17841699999999999</v>
      </c>
      <c r="BA1203">
        <v>1.2149999999999999E-3</v>
      </c>
    </row>
    <row r="1204" spans="1:53" x14ac:dyDescent="0.25">
      <c r="A1204">
        <v>1202</v>
      </c>
      <c r="B1204" t="s">
        <v>7625</v>
      </c>
      <c r="C1204">
        <v>503057</v>
      </c>
      <c r="D1204" t="s">
        <v>8022</v>
      </c>
      <c r="E1204" t="s">
        <v>3220</v>
      </c>
      <c r="F1204">
        <v>1685273.5</v>
      </c>
      <c r="G1204">
        <v>6733.8691410000001</v>
      </c>
      <c r="H1204">
        <v>1204</v>
      </c>
      <c r="I1204">
        <v>1432</v>
      </c>
      <c r="J1204">
        <v>23316</v>
      </c>
      <c r="K1204" t="s">
        <v>1732</v>
      </c>
      <c r="L1204">
        <v>4</v>
      </c>
      <c r="M1204">
        <v>4</v>
      </c>
      <c r="N1204">
        <v>23316</v>
      </c>
      <c r="O1204">
        <v>1180</v>
      </c>
      <c r="P1204" t="s">
        <v>3212</v>
      </c>
      <c r="Q1204">
        <v>0.5</v>
      </c>
      <c r="R1204">
        <v>5.99</v>
      </c>
      <c r="S1204">
        <v>0.3</v>
      </c>
      <c r="T1204">
        <v>4</v>
      </c>
      <c r="U1204">
        <v>1685273.4864699999</v>
      </c>
      <c r="V1204">
        <v>6733.8690610000003</v>
      </c>
      <c r="W1204">
        <v>1203</v>
      </c>
      <c r="X1204">
        <v>0</v>
      </c>
      <c r="Y1204">
        <v>1202</v>
      </c>
      <c r="Z1204" t="s">
        <v>6966</v>
      </c>
      <c r="AA1204" t="s">
        <v>6966</v>
      </c>
      <c r="AB1204" t="s">
        <v>6966</v>
      </c>
      <c r="AC1204" t="s">
        <v>6966</v>
      </c>
      <c r="AD1204" t="s">
        <v>6966</v>
      </c>
      <c r="AE1204" t="s">
        <v>6966</v>
      </c>
      <c r="AF1204" t="s">
        <v>6966</v>
      </c>
      <c r="AG1204" t="s">
        <v>6966</v>
      </c>
      <c r="AH1204" t="s">
        <v>6966</v>
      </c>
      <c r="AI1204" t="s">
        <v>6966</v>
      </c>
      <c r="AJ1204" t="s">
        <v>6966</v>
      </c>
      <c r="AK1204" t="s">
        <v>6966</v>
      </c>
      <c r="AL1204" t="s">
        <v>6966</v>
      </c>
      <c r="AM1204" t="s">
        <v>6966</v>
      </c>
      <c r="AN1204" t="s">
        <v>6966</v>
      </c>
      <c r="AO1204" t="s">
        <v>6966</v>
      </c>
      <c r="AP1204" t="s">
        <v>6966</v>
      </c>
      <c r="AQ1204" t="s">
        <v>6966</v>
      </c>
      <c r="AR1204" t="s">
        <v>6966</v>
      </c>
      <c r="AS1204" t="s">
        <v>6966</v>
      </c>
      <c r="AT1204" t="s">
        <v>6966</v>
      </c>
      <c r="AU1204" t="s">
        <v>6966</v>
      </c>
      <c r="AV1204" t="s">
        <v>6966</v>
      </c>
      <c r="AW1204" t="s">
        <v>6966</v>
      </c>
      <c r="AX1204" t="s">
        <v>6966</v>
      </c>
      <c r="AY1204" t="s">
        <v>6966</v>
      </c>
      <c r="AZ1204">
        <v>6.7687999999999998E-2</v>
      </c>
      <c r="BA1204">
        <v>1.64E-4</v>
      </c>
    </row>
    <row r="1205" spans="1:53" x14ac:dyDescent="0.25">
      <c r="A1205">
        <v>1203</v>
      </c>
      <c r="B1205" t="s">
        <v>7625</v>
      </c>
      <c r="C1205">
        <v>503005</v>
      </c>
      <c r="D1205" t="s">
        <v>211</v>
      </c>
      <c r="E1205" t="s">
        <v>3220</v>
      </c>
      <c r="F1205">
        <v>3985551.5</v>
      </c>
      <c r="G1205">
        <v>10735.927734000001</v>
      </c>
      <c r="H1205">
        <v>1205</v>
      </c>
      <c r="I1205">
        <v>1433</v>
      </c>
      <c r="J1205">
        <v>23311</v>
      </c>
      <c r="K1205" t="s">
        <v>1731</v>
      </c>
      <c r="L1205">
        <v>4</v>
      </c>
      <c r="M1205">
        <v>4</v>
      </c>
      <c r="N1205">
        <v>23311</v>
      </c>
      <c r="O1205">
        <v>1181</v>
      </c>
      <c r="P1205" t="s">
        <v>3212</v>
      </c>
      <c r="Q1205">
        <v>1.3</v>
      </c>
      <c r="R1205">
        <v>17.45</v>
      </c>
      <c r="S1205">
        <v>0.48</v>
      </c>
      <c r="T1205">
        <v>6</v>
      </c>
      <c r="U1205">
        <v>3985551.5554399998</v>
      </c>
      <c r="V1205">
        <v>10735.927696000001</v>
      </c>
      <c r="W1205">
        <v>1204</v>
      </c>
      <c r="X1205">
        <v>0</v>
      </c>
      <c r="Y1205">
        <v>1203</v>
      </c>
      <c r="Z1205" t="s">
        <v>6966</v>
      </c>
      <c r="AA1205" t="s">
        <v>6966</v>
      </c>
      <c r="AB1205" t="s">
        <v>6966</v>
      </c>
      <c r="AC1205" t="s">
        <v>6966</v>
      </c>
      <c r="AD1205" t="s">
        <v>6966</v>
      </c>
      <c r="AE1205" t="s">
        <v>6966</v>
      </c>
      <c r="AF1205" t="s">
        <v>6966</v>
      </c>
      <c r="AG1205" t="s">
        <v>6966</v>
      </c>
      <c r="AH1205" t="s">
        <v>6966</v>
      </c>
      <c r="AI1205" t="s">
        <v>6966</v>
      </c>
      <c r="AJ1205" t="s">
        <v>6966</v>
      </c>
      <c r="AK1205" t="s">
        <v>6966</v>
      </c>
      <c r="AL1205" t="s">
        <v>6966</v>
      </c>
      <c r="AM1205" t="s">
        <v>6966</v>
      </c>
      <c r="AN1205" t="s">
        <v>6966</v>
      </c>
      <c r="AO1205" t="s">
        <v>6966</v>
      </c>
      <c r="AP1205" t="s">
        <v>6966</v>
      </c>
      <c r="AQ1205" t="s">
        <v>6966</v>
      </c>
      <c r="AR1205" t="s">
        <v>6966</v>
      </c>
      <c r="AS1205" t="s">
        <v>6966</v>
      </c>
      <c r="AT1205" t="s">
        <v>6966</v>
      </c>
      <c r="AU1205" t="s">
        <v>6966</v>
      </c>
      <c r="AV1205" t="s">
        <v>6966</v>
      </c>
      <c r="AW1205" t="s">
        <v>6966</v>
      </c>
      <c r="AX1205" t="s">
        <v>6966</v>
      </c>
      <c r="AY1205" t="s">
        <v>6966</v>
      </c>
      <c r="AZ1205">
        <v>0.106465</v>
      </c>
      <c r="BA1205">
        <v>3.8699999999999997E-4</v>
      </c>
    </row>
    <row r="1206" spans="1:53" x14ac:dyDescent="0.25">
      <c r="A1206">
        <v>1204</v>
      </c>
      <c r="B1206" t="s">
        <v>7625</v>
      </c>
      <c r="C1206">
        <v>503096</v>
      </c>
      <c r="D1206" t="s">
        <v>219</v>
      </c>
      <c r="E1206" t="s">
        <v>3220</v>
      </c>
      <c r="F1206">
        <v>1964865.75</v>
      </c>
      <c r="G1206">
        <v>7268.4497069999998</v>
      </c>
      <c r="H1206">
        <v>1206</v>
      </c>
      <c r="I1206">
        <v>1434</v>
      </c>
      <c r="J1206">
        <v>23351</v>
      </c>
      <c r="K1206" t="s">
        <v>1737</v>
      </c>
      <c r="L1206">
        <v>4</v>
      </c>
      <c r="M1206">
        <v>4</v>
      </c>
      <c r="N1206">
        <v>23351</v>
      </c>
      <c r="O1206">
        <v>1182</v>
      </c>
      <c r="P1206" t="s">
        <v>3212</v>
      </c>
      <c r="Q1206">
        <v>0</v>
      </c>
      <c r="R1206">
        <v>0</v>
      </c>
      <c r="S1206">
        <v>0.05</v>
      </c>
      <c r="T1206">
        <v>0</v>
      </c>
      <c r="U1206">
        <v>1964865.65435</v>
      </c>
      <c r="V1206">
        <v>7268.4491340000004</v>
      </c>
      <c r="W1206">
        <v>1205</v>
      </c>
      <c r="X1206">
        <v>0</v>
      </c>
      <c r="Y1206">
        <v>1204</v>
      </c>
      <c r="Z1206" t="s">
        <v>6966</v>
      </c>
      <c r="AA1206" t="s">
        <v>6966</v>
      </c>
      <c r="AB1206" t="s">
        <v>6966</v>
      </c>
      <c r="AC1206" t="s">
        <v>6966</v>
      </c>
      <c r="AD1206" t="s">
        <v>6966</v>
      </c>
      <c r="AE1206" t="s">
        <v>6966</v>
      </c>
      <c r="AF1206" t="s">
        <v>6966</v>
      </c>
      <c r="AG1206" t="s">
        <v>6966</v>
      </c>
      <c r="AH1206" t="s">
        <v>6966</v>
      </c>
      <c r="AI1206" t="s">
        <v>6966</v>
      </c>
      <c r="AJ1206" t="s">
        <v>6966</v>
      </c>
      <c r="AK1206" t="s">
        <v>6966</v>
      </c>
      <c r="AL1206" t="s">
        <v>6966</v>
      </c>
      <c r="AM1206" t="s">
        <v>6966</v>
      </c>
      <c r="AN1206" t="s">
        <v>6966</v>
      </c>
      <c r="AO1206" t="s">
        <v>6966</v>
      </c>
      <c r="AP1206" t="s">
        <v>6966</v>
      </c>
      <c r="AQ1206" t="s">
        <v>6966</v>
      </c>
      <c r="AR1206" t="s">
        <v>6966</v>
      </c>
      <c r="AS1206" t="s">
        <v>6966</v>
      </c>
      <c r="AT1206" t="s">
        <v>6966</v>
      </c>
      <c r="AU1206" t="s">
        <v>6966</v>
      </c>
      <c r="AV1206" t="s">
        <v>6966</v>
      </c>
      <c r="AW1206" t="s">
        <v>6966</v>
      </c>
      <c r="AX1206" t="s">
        <v>6966</v>
      </c>
      <c r="AY1206" t="s">
        <v>6966</v>
      </c>
      <c r="AZ1206">
        <v>7.3410000000000003E-2</v>
      </c>
      <c r="BA1206">
        <v>1.9100000000000001E-4</v>
      </c>
    </row>
    <row r="1207" spans="1:53" x14ac:dyDescent="0.25">
      <c r="A1207">
        <v>1205</v>
      </c>
      <c r="B1207" t="s">
        <v>7625</v>
      </c>
      <c r="C1207">
        <v>503081</v>
      </c>
      <c r="D1207" t="s">
        <v>223</v>
      </c>
      <c r="E1207" t="s">
        <v>3220</v>
      </c>
      <c r="F1207">
        <v>4743123</v>
      </c>
      <c r="G1207">
        <v>14675.247069999999</v>
      </c>
      <c r="H1207">
        <v>1207</v>
      </c>
      <c r="I1207">
        <v>1436</v>
      </c>
      <c r="J1207">
        <v>23366</v>
      </c>
      <c r="K1207" t="s">
        <v>1740</v>
      </c>
      <c r="L1207">
        <v>4</v>
      </c>
      <c r="M1207">
        <v>4</v>
      </c>
      <c r="N1207">
        <v>23366</v>
      </c>
      <c r="O1207">
        <v>1183</v>
      </c>
      <c r="P1207" t="s">
        <v>3212</v>
      </c>
      <c r="Q1207">
        <v>0.5</v>
      </c>
      <c r="R1207">
        <v>11.83</v>
      </c>
      <c r="S1207">
        <v>0.28000000000000003</v>
      </c>
      <c r="T1207">
        <v>6</v>
      </c>
      <c r="U1207">
        <v>4743122.9776699999</v>
      </c>
      <c r="V1207">
        <v>14675.247808</v>
      </c>
      <c r="W1207">
        <v>1206</v>
      </c>
      <c r="X1207">
        <v>0</v>
      </c>
      <c r="Y1207">
        <v>1205</v>
      </c>
      <c r="Z1207" t="s">
        <v>6966</v>
      </c>
      <c r="AA1207" t="s">
        <v>6966</v>
      </c>
      <c r="AB1207" t="s">
        <v>6966</v>
      </c>
      <c r="AC1207" t="s">
        <v>6966</v>
      </c>
      <c r="AD1207" t="s">
        <v>6966</v>
      </c>
      <c r="AE1207" t="s">
        <v>6966</v>
      </c>
      <c r="AF1207" t="s">
        <v>6966</v>
      </c>
      <c r="AG1207" t="s">
        <v>6966</v>
      </c>
      <c r="AH1207" t="s">
        <v>6966</v>
      </c>
      <c r="AI1207" t="s">
        <v>6966</v>
      </c>
      <c r="AJ1207" t="s">
        <v>6966</v>
      </c>
      <c r="AK1207" t="s">
        <v>6966</v>
      </c>
      <c r="AL1207" t="s">
        <v>6966</v>
      </c>
      <c r="AM1207" t="s">
        <v>6966</v>
      </c>
      <c r="AN1207" t="s">
        <v>6966</v>
      </c>
      <c r="AO1207" t="s">
        <v>6966</v>
      </c>
      <c r="AP1207" t="s">
        <v>6966</v>
      </c>
      <c r="AQ1207" t="s">
        <v>6966</v>
      </c>
      <c r="AR1207" t="s">
        <v>6966</v>
      </c>
      <c r="AS1207" t="s">
        <v>6966</v>
      </c>
      <c r="AT1207" t="s">
        <v>6966</v>
      </c>
      <c r="AU1207" t="s">
        <v>6966</v>
      </c>
      <c r="AV1207" t="s">
        <v>6966</v>
      </c>
      <c r="AW1207" t="s">
        <v>6966</v>
      </c>
      <c r="AX1207" t="s">
        <v>6966</v>
      </c>
      <c r="AY1207" t="s">
        <v>6966</v>
      </c>
      <c r="AZ1207">
        <v>0.14779300000000001</v>
      </c>
      <c r="BA1207">
        <v>4.6099999999999998E-4</v>
      </c>
    </row>
    <row r="1208" spans="1:53" x14ac:dyDescent="0.25">
      <c r="A1208">
        <v>1206</v>
      </c>
      <c r="B1208" t="s">
        <v>7625</v>
      </c>
      <c r="C1208">
        <v>503089</v>
      </c>
      <c r="D1208" t="s">
        <v>271</v>
      </c>
      <c r="E1208" t="s">
        <v>3220</v>
      </c>
      <c r="F1208">
        <v>0</v>
      </c>
      <c r="G1208">
        <v>36577.824219000002</v>
      </c>
      <c r="H1208">
        <v>1208</v>
      </c>
      <c r="I1208">
        <v>1437</v>
      </c>
      <c r="J1208">
        <v>23625</v>
      </c>
      <c r="K1208" t="s">
        <v>1783</v>
      </c>
      <c r="L1208">
        <v>4</v>
      </c>
      <c r="M1208">
        <v>4</v>
      </c>
      <c r="N1208">
        <v>23625</v>
      </c>
      <c r="O1208">
        <v>1184</v>
      </c>
      <c r="P1208" t="s">
        <v>3212</v>
      </c>
      <c r="Q1208">
        <v>0.7</v>
      </c>
      <c r="R1208">
        <v>32.090000000000003</v>
      </c>
      <c r="S1208">
        <v>0.19</v>
      </c>
      <c r="T1208">
        <v>9</v>
      </c>
      <c r="U1208">
        <v>0</v>
      </c>
      <c r="V1208">
        <v>36577.824544000003</v>
      </c>
      <c r="W1208">
        <v>1207</v>
      </c>
      <c r="X1208">
        <v>0</v>
      </c>
      <c r="Y1208">
        <v>1206</v>
      </c>
      <c r="Z1208" t="s">
        <v>6966</v>
      </c>
      <c r="AA1208" t="s">
        <v>6966</v>
      </c>
      <c r="AB1208" t="s">
        <v>6966</v>
      </c>
      <c r="AC1208" t="s">
        <v>6966</v>
      </c>
      <c r="AD1208" t="s">
        <v>6966</v>
      </c>
      <c r="AE1208" t="s">
        <v>6966</v>
      </c>
      <c r="AF1208" t="s">
        <v>6966</v>
      </c>
      <c r="AG1208" t="s">
        <v>6966</v>
      </c>
      <c r="AH1208" t="s">
        <v>6966</v>
      </c>
      <c r="AI1208" t="s">
        <v>6966</v>
      </c>
      <c r="AJ1208" t="s">
        <v>6966</v>
      </c>
      <c r="AK1208" t="s">
        <v>6966</v>
      </c>
      <c r="AL1208" t="s">
        <v>6966</v>
      </c>
      <c r="AM1208" t="s">
        <v>6966</v>
      </c>
      <c r="AN1208" t="s">
        <v>6966</v>
      </c>
      <c r="AO1208" t="s">
        <v>6966</v>
      </c>
      <c r="AP1208" t="s">
        <v>6966</v>
      </c>
      <c r="AQ1208" t="s">
        <v>6966</v>
      </c>
      <c r="AR1208" t="s">
        <v>6966</v>
      </c>
      <c r="AS1208" t="s">
        <v>6966</v>
      </c>
      <c r="AT1208" t="s">
        <v>6966</v>
      </c>
      <c r="AU1208" t="s">
        <v>6966</v>
      </c>
      <c r="AV1208" t="s">
        <v>6966</v>
      </c>
      <c r="AW1208" t="s">
        <v>6966</v>
      </c>
      <c r="AX1208" t="s">
        <v>6966</v>
      </c>
      <c r="AY1208" t="s">
        <v>6966</v>
      </c>
      <c r="AZ1208">
        <v>0.35348000000000002</v>
      </c>
      <c r="BA1208">
        <v>3.6319999999999998E-3</v>
      </c>
    </row>
    <row r="1209" spans="1:53" x14ac:dyDescent="0.25">
      <c r="A1209">
        <v>1207</v>
      </c>
      <c r="B1209" t="s">
        <v>7625</v>
      </c>
      <c r="C1209">
        <v>503078</v>
      </c>
      <c r="D1209" t="s">
        <v>221</v>
      </c>
      <c r="E1209" t="s">
        <v>3220</v>
      </c>
      <c r="F1209">
        <v>654566.9375</v>
      </c>
      <c r="G1209">
        <v>4299.263672</v>
      </c>
      <c r="H1209">
        <v>1209</v>
      </c>
      <c r="I1209">
        <v>1438</v>
      </c>
      <c r="J1209">
        <v>23361</v>
      </c>
      <c r="K1209" t="s">
        <v>221</v>
      </c>
      <c r="L1209">
        <v>4</v>
      </c>
      <c r="M1209">
        <v>4</v>
      </c>
      <c r="N1209">
        <v>23361</v>
      </c>
      <c r="O1209">
        <v>1185</v>
      </c>
      <c r="P1209" t="s">
        <v>3212</v>
      </c>
      <c r="Q1209">
        <v>6.8</v>
      </c>
      <c r="R1209">
        <v>27.92</v>
      </c>
      <c r="S1209">
        <v>1.42</v>
      </c>
      <c r="T1209">
        <v>6</v>
      </c>
      <c r="U1209">
        <v>654566.90998800006</v>
      </c>
      <c r="V1209">
        <v>4299.2631600000004</v>
      </c>
      <c r="W1209">
        <v>1208</v>
      </c>
      <c r="X1209">
        <v>0</v>
      </c>
      <c r="Y1209">
        <v>1207</v>
      </c>
      <c r="Z1209" t="s">
        <v>6966</v>
      </c>
      <c r="AA1209" t="s">
        <v>6966</v>
      </c>
      <c r="AB1209" t="s">
        <v>6966</v>
      </c>
      <c r="AC1209" t="s">
        <v>6966</v>
      </c>
      <c r="AD1209" t="s">
        <v>6966</v>
      </c>
      <c r="AE1209" t="s">
        <v>6966</v>
      </c>
      <c r="AF1209" t="s">
        <v>6966</v>
      </c>
      <c r="AG1209" t="s">
        <v>6966</v>
      </c>
      <c r="AH1209" t="s">
        <v>6966</v>
      </c>
      <c r="AI1209" t="s">
        <v>6966</v>
      </c>
      <c r="AJ1209" t="s">
        <v>6966</v>
      </c>
      <c r="AK1209" t="s">
        <v>6966</v>
      </c>
      <c r="AL1209" t="s">
        <v>6966</v>
      </c>
      <c r="AM1209" t="s">
        <v>6966</v>
      </c>
      <c r="AN1209" t="s">
        <v>6966</v>
      </c>
      <c r="AO1209" t="s">
        <v>6966</v>
      </c>
      <c r="AP1209" t="s">
        <v>6966</v>
      </c>
      <c r="AQ1209" t="s">
        <v>6966</v>
      </c>
      <c r="AR1209" t="s">
        <v>6966</v>
      </c>
      <c r="AS1209" t="s">
        <v>6966</v>
      </c>
      <c r="AT1209" t="s">
        <v>6966</v>
      </c>
      <c r="AU1209" t="s">
        <v>6966</v>
      </c>
      <c r="AV1209" t="s">
        <v>6966</v>
      </c>
      <c r="AW1209" t="s">
        <v>6966</v>
      </c>
      <c r="AX1209" t="s">
        <v>6966</v>
      </c>
      <c r="AY1209" t="s">
        <v>6966</v>
      </c>
      <c r="AZ1209">
        <v>4.2344E-2</v>
      </c>
      <c r="BA1209">
        <v>6.3999999999999997E-5</v>
      </c>
    </row>
    <row r="1210" spans="1:53" x14ac:dyDescent="0.25">
      <c r="A1210">
        <v>1208</v>
      </c>
      <c r="B1210" t="s">
        <v>7625</v>
      </c>
      <c r="C1210">
        <v>401010</v>
      </c>
      <c r="D1210" t="s">
        <v>8023</v>
      </c>
      <c r="E1210" t="s">
        <v>3221</v>
      </c>
      <c r="F1210">
        <v>3082746.75</v>
      </c>
      <c r="G1210">
        <v>11972.173828000001</v>
      </c>
      <c r="H1210">
        <v>1210</v>
      </c>
      <c r="I1210">
        <v>1439</v>
      </c>
      <c r="J1210">
        <v>52131</v>
      </c>
      <c r="K1210" t="s">
        <v>8024</v>
      </c>
      <c r="L1210">
        <v>16</v>
      </c>
      <c r="M1210">
        <v>16</v>
      </c>
      <c r="N1210">
        <v>52131</v>
      </c>
      <c r="O1210">
        <v>1186</v>
      </c>
      <c r="P1210" t="s">
        <v>3214</v>
      </c>
      <c r="Q1210">
        <v>0</v>
      </c>
      <c r="R1210">
        <v>3.84</v>
      </c>
      <c r="S1210">
        <v>0.01</v>
      </c>
      <c r="T1210">
        <v>1</v>
      </c>
      <c r="U1210">
        <v>3082746.69471</v>
      </c>
      <c r="V1210">
        <v>11972.172855999999</v>
      </c>
      <c r="W1210">
        <v>1209</v>
      </c>
      <c r="X1210">
        <v>0</v>
      </c>
      <c r="Y1210">
        <v>1208</v>
      </c>
      <c r="Z1210" t="s">
        <v>6966</v>
      </c>
      <c r="AA1210" t="s">
        <v>6966</v>
      </c>
      <c r="AB1210" t="s">
        <v>6966</v>
      </c>
      <c r="AC1210" t="s">
        <v>6966</v>
      </c>
      <c r="AD1210" t="s">
        <v>6966</v>
      </c>
      <c r="AE1210" t="s">
        <v>6966</v>
      </c>
      <c r="AF1210" t="s">
        <v>6966</v>
      </c>
      <c r="AG1210" t="s">
        <v>6966</v>
      </c>
      <c r="AH1210" t="s">
        <v>6966</v>
      </c>
      <c r="AI1210" t="s">
        <v>6966</v>
      </c>
      <c r="AJ1210" t="s">
        <v>6966</v>
      </c>
      <c r="AK1210" t="s">
        <v>6966</v>
      </c>
      <c r="AL1210" t="s">
        <v>6966</v>
      </c>
      <c r="AM1210" t="s">
        <v>6966</v>
      </c>
      <c r="AN1210" t="s">
        <v>6966</v>
      </c>
      <c r="AO1210" t="s">
        <v>6966</v>
      </c>
      <c r="AP1210" t="s">
        <v>6966</v>
      </c>
      <c r="AQ1210" t="s">
        <v>6966</v>
      </c>
      <c r="AR1210" t="s">
        <v>6966</v>
      </c>
      <c r="AS1210" t="s">
        <v>6966</v>
      </c>
      <c r="AT1210" t="s">
        <v>6966</v>
      </c>
      <c r="AU1210" t="s">
        <v>6966</v>
      </c>
      <c r="AV1210" t="s">
        <v>6966</v>
      </c>
      <c r="AW1210" t="s">
        <v>6966</v>
      </c>
      <c r="AX1210" t="s">
        <v>6966</v>
      </c>
      <c r="AY1210" t="s">
        <v>6966</v>
      </c>
      <c r="AZ1210">
        <v>0.120182</v>
      </c>
      <c r="BA1210">
        <v>2.99E-4</v>
      </c>
    </row>
    <row r="1211" spans="1:53" x14ac:dyDescent="0.25">
      <c r="A1211">
        <v>1209</v>
      </c>
      <c r="B1211" t="s">
        <v>7625</v>
      </c>
      <c r="C1211">
        <v>503023</v>
      </c>
      <c r="D1211" t="s">
        <v>220</v>
      </c>
      <c r="E1211" t="s">
        <v>3220</v>
      </c>
      <c r="F1211">
        <v>2767409.5</v>
      </c>
      <c r="G1211">
        <v>8312.9208980000003</v>
      </c>
      <c r="H1211">
        <v>1211</v>
      </c>
      <c r="I1211">
        <v>1440</v>
      </c>
      <c r="J1211">
        <v>23356</v>
      </c>
      <c r="K1211" t="s">
        <v>1738</v>
      </c>
      <c r="L1211">
        <v>4</v>
      </c>
      <c r="M1211">
        <v>4</v>
      </c>
      <c r="N1211">
        <v>23356</v>
      </c>
      <c r="O1211">
        <v>1187</v>
      </c>
      <c r="P1211" t="s">
        <v>3212</v>
      </c>
      <c r="Q1211">
        <v>0.1</v>
      </c>
      <c r="R1211">
        <v>6.48</v>
      </c>
      <c r="S1211">
        <v>0.1</v>
      </c>
      <c r="T1211">
        <v>5</v>
      </c>
      <c r="U1211">
        <v>2767409.5384999998</v>
      </c>
      <c r="V1211">
        <v>8312.9210540000004</v>
      </c>
      <c r="W1211">
        <v>1210</v>
      </c>
      <c r="X1211">
        <v>0</v>
      </c>
      <c r="Y1211">
        <v>1209</v>
      </c>
      <c r="Z1211" t="s">
        <v>6966</v>
      </c>
      <c r="AA1211" t="s">
        <v>6966</v>
      </c>
      <c r="AB1211" t="s">
        <v>6966</v>
      </c>
      <c r="AC1211" t="s">
        <v>6966</v>
      </c>
      <c r="AD1211" t="s">
        <v>6966</v>
      </c>
      <c r="AE1211" t="s">
        <v>6966</v>
      </c>
      <c r="AF1211" t="s">
        <v>6966</v>
      </c>
      <c r="AG1211" t="s">
        <v>6966</v>
      </c>
      <c r="AH1211" t="s">
        <v>6966</v>
      </c>
      <c r="AI1211" t="s">
        <v>6966</v>
      </c>
      <c r="AJ1211" t="s">
        <v>6966</v>
      </c>
      <c r="AK1211" t="s">
        <v>6966</v>
      </c>
      <c r="AL1211" t="s">
        <v>6966</v>
      </c>
      <c r="AM1211" t="s">
        <v>6966</v>
      </c>
      <c r="AN1211" t="s">
        <v>6966</v>
      </c>
      <c r="AO1211" t="s">
        <v>6966</v>
      </c>
      <c r="AP1211" t="s">
        <v>6966</v>
      </c>
      <c r="AQ1211" t="s">
        <v>6966</v>
      </c>
      <c r="AR1211" t="s">
        <v>6966</v>
      </c>
      <c r="AS1211" t="s">
        <v>6966</v>
      </c>
      <c r="AT1211" t="s">
        <v>6966</v>
      </c>
      <c r="AU1211" t="s">
        <v>6966</v>
      </c>
      <c r="AV1211" t="s">
        <v>6966</v>
      </c>
      <c r="AW1211" t="s">
        <v>6966</v>
      </c>
      <c r="AX1211" t="s">
        <v>6966</v>
      </c>
      <c r="AY1211" t="s">
        <v>6966</v>
      </c>
      <c r="AZ1211">
        <v>8.3842E-2</v>
      </c>
      <c r="BA1211">
        <v>2.6899999999999998E-4</v>
      </c>
    </row>
    <row r="1212" spans="1:53" x14ac:dyDescent="0.25">
      <c r="A1212">
        <v>1210</v>
      </c>
      <c r="B1212" t="s">
        <v>7625</v>
      </c>
      <c r="C1212">
        <v>401007</v>
      </c>
      <c r="D1212" t="s">
        <v>1031</v>
      </c>
      <c r="E1212" t="s">
        <v>3221</v>
      </c>
      <c r="F1212">
        <v>6346755</v>
      </c>
      <c r="G1212">
        <v>12252.135742</v>
      </c>
      <c r="H1212">
        <v>1212</v>
      </c>
      <c r="I1212">
        <v>1441</v>
      </c>
      <c r="J1212">
        <v>52126</v>
      </c>
      <c r="K1212" t="s">
        <v>2382</v>
      </c>
      <c r="L1212">
        <v>16</v>
      </c>
      <c r="M1212">
        <v>16</v>
      </c>
      <c r="N1212">
        <v>52126</v>
      </c>
      <c r="O1212">
        <v>1188</v>
      </c>
      <c r="P1212" t="s">
        <v>3214</v>
      </c>
      <c r="Q1212">
        <v>0.7</v>
      </c>
      <c r="R1212">
        <v>62.72</v>
      </c>
      <c r="S1212">
        <v>0.12</v>
      </c>
      <c r="T1212">
        <v>12</v>
      </c>
      <c r="U1212">
        <v>6346754.8496599998</v>
      </c>
      <c r="V1212">
        <v>12252.136218</v>
      </c>
      <c r="W1212">
        <v>1211</v>
      </c>
      <c r="X1212">
        <v>0</v>
      </c>
      <c r="Y1212">
        <v>1210</v>
      </c>
      <c r="Z1212" t="s">
        <v>6966</v>
      </c>
      <c r="AA1212" t="s">
        <v>6966</v>
      </c>
      <c r="AB1212" t="s">
        <v>6966</v>
      </c>
      <c r="AC1212" t="s">
        <v>6966</v>
      </c>
      <c r="AD1212" t="s">
        <v>6966</v>
      </c>
      <c r="AE1212" t="s">
        <v>6966</v>
      </c>
      <c r="AF1212" t="s">
        <v>6966</v>
      </c>
      <c r="AG1212" t="s">
        <v>6966</v>
      </c>
      <c r="AH1212" t="s">
        <v>6966</v>
      </c>
      <c r="AI1212" t="s">
        <v>6966</v>
      </c>
      <c r="AJ1212" t="s">
        <v>6966</v>
      </c>
      <c r="AK1212" t="s">
        <v>6966</v>
      </c>
      <c r="AL1212" t="s">
        <v>6966</v>
      </c>
      <c r="AM1212" t="s">
        <v>6966</v>
      </c>
      <c r="AN1212" t="s">
        <v>6966</v>
      </c>
      <c r="AO1212" t="s">
        <v>6966</v>
      </c>
      <c r="AP1212" t="s">
        <v>6966</v>
      </c>
      <c r="AQ1212" t="s">
        <v>6966</v>
      </c>
      <c r="AR1212" t="s">
        <v>6966</v>
      </c>
      <c r="AS1212" t="s">
        <v>6966</v>
      </c>
      <c r="AT1212" t="s">
        <v>6966</v>
      </c>
      <c r="AU1212" t="s">
        <v>6966</v>
      </c>
      <c r="AV1212" t="s">
        <v>6966</v>
      </c>
      <c r="AW1212" t="s">
        <v>6966</v>
      </c>
      <c r="AX1212" t="s">
        <v>6966</v>
      </c>
      <c r="AY1212" t="s">
        <v>6966</v>
      </c>
      <c r="AZ1212">
        <v>0.123848</v>
      </c>
      <c r="BA1212">
        <v>6.1600000000000001E-4</v>
      </c>
    </row>
    <row r="1213" spans="1:53" x14ac:dyDescent="0.25">
      <c r="A1213">
        <v>1211</v>
      </c>
      <c r="B1213" t="s">
        <v>7625</v>
      </c>
      <c r="C1213">
        <v>402022</v>
      </c>
      <c r="D1213" t="s">
        <v>1175</v>
      </c>
      <c r="E1213" t="s">
        <v>7999</v>
      </c>
      <c r="F1213">
        <v>0</v>
      </c>
      <c r="G1213">
        <v>19783.291015999999</v>
      </c>
      <c r="H1213">
        <v>1213</v>
      </c>
      <c r="I1213">
        <v>1443</v>
      </c>
      <c r="J1213">
        <v>55151</v>
      </c>
      <c r="K1213" t="s">
        <v>2496</v>
      </c>
      <c r="L1213">
        <v>19</v>
      </c>
      <c r="M1213">
        <v>19</v>
      </c>
      <c r="N1213">
        <v>55151</v>
      </c>
      <c r="O1213">
        <v>1189</v>
      </c>
      <c r="P1213" t="s">
        <v>3214</v>
      </c>
      <c r="Q1213">
        <v>1.3</v>
      </c>
      <c r="R1213">
        <v>52.71</v>
      </c>
      <c r="S1213">
        <v>0.34</v>
      </c>
      <c r="T1213">
        <v>15</v>
      </c>
      <c r="U1213">
        <v>0</v>
      </c>
      <c r="V1213">
        <v>19783.291196999999</v>
      </c>
      <c r="W1213">
        <v>1212</v>
      </c>
      <c r="X1213">
        <v>0</v>
      </c>
      <c r="Y1213">
        <v>1211</v>
      </c>
      <c r="Z1213" t="s">
        <v>6966</v>
      </c>
      <c r="AA1213" t="s">
        <v>6966</v>
      </c>
      <c r="AB1213" t="s">
        <v>6966</v>
      </c>
      <c r="AC1213" t="s">
        <v>6966</v>
      </c>
      <c r="AD1213" t="s">
        <v>6966</v>
      </c>
      <c r="AE1213" t="s">
        <v>6966</v>
      </c>
      <c r="AF1213" t="s">
        <v>6966</v>
      </c>
      <c r="AG1213" t="s">
        <v>6966</v>
      </c>
      <c r="AH1213" t="s">
        <v>6966</v>
      </c>
      <c r="AI1213" t="s">
        <v>6966</v>
      </c>
      <c r="AJ1213" t="s">
        <v>6966</v>
      </c>
      <c r="AK1213" t="s">
        <v>6966</v>
      </c>
      <c r="AL1213" t="s">
        <v>6966</v>
      </c>
      <c r="AM1213" t="s">
        <v>6966</v>
      </c>
      <c r="AN1213" t="s">
        <v>6966</v>
      </c>
      <c r="AO1213" t="s">
        <v>6966</v>
      </c>
      <c r="AP1213" t="s">
        <v>6966</v>
      </c>
      <c r="AQ1213" t="s">
        <v>6966</v>
      </c>
      <c r="AR1213" t="s">
        <v>6966</v>
      </c>
      <c r="AS1213" t="s">
        <v>6966</v>
      </c>
      <c r="AT1213" t="s">
        <v>6966</v>
      </c>
      <c r="AU1213" t="s">
        <v>6966</v>
      </c>
      <c r="AV1213" t="s">
        <v>6966</v>
      </c>
      <c r="AW1213" t="s">
        <v>6966</v>
      </c>
      <c r="AX1213" t="s">
        <v>6966</v>
      </c>
      <c r="AY1213" t="s">
        <v>6966</v>
      </c>
      <c r="AZ1213">
        <v>0.19569400000000001</v>
      </c>
      <c r="BA1213">
        <v>1.395E-3</v>
      </c>
    </row>
    <row r="1214" spans="1:53" x14ac:dyDescent="0.25">
      <c r="A1214">
        <v>1212</v>
      </c>
      <c r="B1214" t="s">
        <v>7625</v>
      </c>
      <c r="C1214">
        <v>801054</v>
      </c>
      <c r="D1214" t="s">
        <v>1357</v>
      </c>
      <c r="E1214" t="s">
        <v>1342</v>
      </c>
      <c r="F1214">
        <v>2731982.5</v>
      </c>
      <c r="G1214">
        <v>10787.957031</v>
      </c>
      <c r="H1214">
        <v>1214</v>
      </c>
      <c r="I1214">
        <v>1444</v>
      </c>
      <c r="J1214">
        <v>63161</v>
      </c>
      <c r="K1214" t="s">
        <v>2643</v>
      </c>
      <c r="L1214">
        <v>22</v>
      </c>
      <c r="M1214">
        <v>22</v>
      </c>
      <c r="N1214">
        <v>63161</v>
      </c>
      <c r="O1214">
        <v>1190</v>
      </c>
      <c r="P1214" t="s">
        <v>3213</v>
      </c>
      <c r="Q1214">
        <v>0.5</v>
      </c>
      <c r="R1214">
        <v>205.66</v>
      </c>
      <c r="S1214">
        <v>0.34</v>
      </c>
      <c r="T1214">
        <v>139</v>
      </c>
      <c r="U1214">
        <v>2731982.4039500002</v>
      </c>
      <c r="V1214">
        <v>10787.956356999999</v>
      </c>
      <c r="W1214">
        <v>1213</v>
      </c>
      <c r="X1214">
        <v>0</v>
      </c>
      <c r="Y1214">
        <v>1212</v>
      </c>
      <c r="Z1214" t="s">
        <v>6966</v>
      </c>
      <c r="AA1214" t="s">
        <v>6966</v>
      </c>
      <c r="AB1214" t="s">
        <v>6966</v>
      </c>
      <c r="AC1214" t="s">
        <v>6966</v>
      </c>
      <c r="AD1214" t="s">
        <v>6966</v>
      </c>
      <c r="AE1214" t="s">
        <v>6966</v>
      </c>
      <c r="AF1214" t="s">
        <v>6966</v>
      </c>
      <c r="AG1214" t="s">
        <v>6966</v>
      </c>
      <c r="AH1214" t="s">
        <v>6966</v>
      </c>
      <c r="AI1214" t="s">
        <v>6966</v>
      </c>
      <c r="AJ1214" t="s">
        <v>6966</v>
      </c>
      <c r="AK1214" t="s">
        <v>6966</v>
      </c>
      <c r="AL1214" t="s">
        <v>6966</v>
      </c>
      <c r="AM1214" t="s">
        <v>6966</v>
      </c>
      <c r="AN1214" t="s">
        <v>6966</v>
      </c>
      <c r="AO1214" t="s">
        <v>6966</v>
      </c>
      <c r="AP1214" t="s">
        <v>6966</v>
      </c>
      <c r="AQ1214" t="s">
        <v>6966</v>
      </c>
      <c r="AR1214" t="s">
        <v>6966</v>
      </c>
      <c r="AS1214" t="s">
        <v>6966</v>
      </c>
      <c r="AT1214" t="s">
        <v>6966</v>
      </c>
      <c r="AU1214" t="s">
        <v>6966</v>
      </c>
      <c r="AV1214" t="s">
        <v>6966</v>
      </c>
      <c r="AW1214" t="s">
        <v>6966</v>
      </c>
      <c r="AX1214" t="s">
        <v>6966</v>
      </c>
      <c r="AY1214" t="s">
        <v>6966</v>
      </c>
      <c r="AZ1214">
        <v>0.10680099999999999</v>
      </c>
      <c r="BA1214">
        <v>2.6499999999999999E-4</v>
      </c>
    </row>
    <row r="1215" spans="1:53" x14ac:dyDescent="0.25">
      <c r="A1215">
        <v>1213</v>
      </c>
      <c r="B1215" t="s">
        <v>7625</v>
      </c>
      <c r="C1215">
        <v>503102</v>
      </c>
      <c r="D1215" t="s">
        <v>87</v>
      </c>
      <c r="E1215" t="s">
        <v>3220</v>
      </c>
      <c r="F1215">
        <v>496725.65625</v>
      </c>
      <c r="G1215">
        <v>4410.423828</v>
      </c>
      <c r="H1215">
        <v>1215</v>
      </c>
      <c r="I1215">
        <v>1445</v>
      </c>
      <c r="J1215">
        <v>23006</v>
      </c>
      <c r="K1215" t="s">
        <v>87</v>
      </c>
      <c r="L1215">
        <v>4</v>
      </c>
      <c r="M1215">
        <v>4</v>
      </c>
      <c r="N1215">
        <v>23006</v>
      </c>
      <c r="O1215">
        <v>1191</v>
      </c>
      <c r="P1215" t="s">
        <v>3212</v>
      </c>
      <c r="Q1215">
        <v>0</v>
      </c>
      <c r="R1215">
        <v>0</v>
      </c>
      <c r="S1215">
        <v>0</v>
      </c>
      <c r="T1215">
        <v>0</v>
      </c>
      <c r="U1215">
        <v>496725.69563999999</v>
      </c>
      <c r="V1215">
        <v>4410.4239770000004</v>
      </c>
      <c r="W1215">
        <v>1214</v>
      </c>
      <c r="X1215">
        <v>0</v>
      </c>
      <c r="Y1215">
        <v>1213</v>
      </c>
      <c r="Z1215" t="s">
        <v>6966</v>
      </c>
      <c r="AA1215" t="s">
        <v>6966</v>
      </c>
      <c r="AB1215" t="s">
        <v>6966</v>
      </c>
      <c r="AC1215" t="s">
        <v>6966</v>
      </c>
      <c r="AD1215" t="s">
        <v>6966</v>
      </c>
      <c r="AE1215" t="s">
        <v>6966</v>
      </c>
      <c r="AF1215" t="s">
        <v>6966</v>
      </c>
      <c r="AG1215" t="s">
        <v>6966</v>
      </c>
      <c r="AH1215" t="s">
        <v>6966</v>
      </c>
      <c r="AI1215" t="s">
        <v>6966</v>
      </c>
      <c r="AJ1215" t="s">
        <v>6966</v>
      </c>
      <c r="AK1215" t="s">
        <v>6966</v>
      </c>
      <c r="AL1215" t="s">
        <v>6966</v>
      </c>
      <c r="AM1215" t="s">
        <v>6966</v>
      </c>
      <c r="AN1215" t="s">
        <v>6966</v>
      </c>
      <c r="AO1215" t="s">
        <v>6966</v>
      </c>
      <c r="AP1215" t="s">
        <v>6966</v>
      </c>
      <c r="AQ1215" t="s">
        <v>6966</v>
      </c>
      <c r="AR1215" t="s">
        <v>6966</v>
      </c>
      <c r="AS1215" t="s">
        <v>6966</v>
      </c>
      <c r="AT1215" t="s">
        <v>6966</v>
      </c>
      <c r="AU1215" t="s">
        <v>6966</v>
      </c>
      <c r="AV1215" t="s">
        <v>6966</v>
      </c>
      <c r="AW1215" t="s">
        <v>6966</v>
      </c>
      <c r="AX1215" t="s">
        <v>6966</v>
      </c>
      <c r="AY1215" t="s">
        <v>6966</v>
      </c>
      <c r="AZ1215">
        <v>4.3734000000000002E-2</v>
      </c>
      <c r="BA1215">
        <v>4.8000000000000001E-5</v>
      </c>
    </row>
    <row r="1216" spans="1:53" x14ac:dyDescent="0.25">
      <c r="A1216">
        <v>1214</v>
      </c>
      <c r="B1216" t="s">
        <v>7625</v>
      </c>
      <c r="C1216">
        <v>503037</v>
      </c>
      <c r="D1216" t="s">
        <v>218</v>
      </c>
      <c r="E1216" t="s">
        <v>3220</v>
      </c>
      <c r="F1216">
        <v>4340783.5</v>
      </c>
      <c r="G1216">
        <v>14947.990234000001</v>
      </c>
      <c r="H1216">
        <v>1216</v>
      </c>
      <c r="I1216">
        <v>1446</v>
      </c>
      <c r="J1216">
        <v>23346</v>
      </c>
      <c r="K1216" t="s">
        <v>1736</v>
      </c>
      <c r="L1216">
        <v>4</v>
      </c>
      <c r="M1216">
        <v>4</v>
      </c>
      <c r="N1216">
        <v>23346</v>
      </c>
      <c r="O1216">
        <v>1192</v>
      </c>
      <c r="P1216" t="s">
        <v>3212</v>
      </c>
      <c r="Q1216">
        <v>0.2</v>
      </c>
      <c r="R1216">
        <v>4.58</v>
      </c>
      <c r="S1216">
        <v>0.09</v>
      </c>
      <c r="T1216">
        <v>9</v>
      </c>
      <c r="U1216">
        <v>4340783.3420000002</v>
      </c>
      <c r="V1216">
        <v>14947.989416</v>
      </c>
      <c r="W1216">
        <v>1215</v>
      </c>
      <c r="X1216">
        <v>0</v>
      </c>
      <c r="Y1216">
        <v>1214</v>
      </c>
      <c r="Z1216" t="s">
        <v>6966</v>
      </c>
      <c r="AA1216" t="s">
        <v>6966</v>
      </c>
      <c r="AB1216" t="s">
        <v>6966</v>
      </c>
      <c r="AC1216" t="s">
        <v>6966</v>
      </c>
      <c r="AD1216" t="s">
        <v>6966</v>
      </c>
      <c r="AE1216" t="s">
        <v>6966</v>
      </c>
      <c r="AF1216" t="s">
        <v>6966</v>
      </c>
      <c r="AG1216" t="s">
        <v>6966</v>
      </c>
      <c r="AH1216" t="s">
        <v>6966</v>
      </c>
      <c r="AI1216" t="s">
        <v>6966</v>
      </c>
      <c r="AJ1216" t="s">
        <v>6966</v>
      </c>
      <c r="AK1216" t="s">
        <v>6966</v>
      </c>
      <c r="AL1216" t="s">
        <v>6966</v>
      </c>
      <c r="AM1216" t="s">
        <v>6966</v>
      </c>
      <c r="AN1216" t="s">
        <v>6966</v>
      </c>
      <c r="AO1216" t="s">
        <v>6966</v>
      </c>
      <c r="AP1216" t="s">
        <v>6966</v>
      </c>
      <c r="AQ1216" t="s">
        <v>6966</v>
      </c>
      <c r="AR1216" t="s">
        <v>6966</v>
      </c>
      <c r="AS1216" t="s">
        <v>6966</v>
      </c>
      <c r="AT1216" t="s">
        <v>6966</v>
      </c>
      <c r="AU1216" t="s">
        <v>6966</v>
      </c>
      <c r="AV1216" t="s">
        <v>6966</v>
      </c>
      <c r="AW1216" t="s">
        <v>6966</v>
      </c>
      <c r="AX1216" t="s">
        <v>6966</v>
      </c>
      <c r="AY1216" t="s">
        <v>6966</v>
      </c>
      <c r="AZ1216">
        <v>0.150447</v>
      </c>
      <c r="BA1216">
        <v>4.2099999999999999E-4</v>
      </c>
    </row>
    <row r="1217" spans="1:53" x14ac:dyDescent="0.25">
      <c r="A1217">
        <v>1215</v>
      </c>
      <c r="B1217" t="s">
        <v>7625</v>
      </c>
      <c r="C1217">
        <v>503058</v>
      </c>
      <c r="D1217" t="s">
        <v>216</v>
      </c>
      <c r="E1217" t="s">
        <v>3220</v>
      </c>
      <c r="F1217">
        <v>0</v>
      </c>
      <c r="G1217">
        <v>22509.615234000001</v>
      </c>
      <c r="H1217">
        <v>1217</v>
      </c>
      <c r="I1217">
        <v>1447</v>
      </c>
      <c r="J1217">
        <v>23336</v>
      </c>
      <c r="K1217" t="s">
        <v>216</v>
      </c>
      <c r="L1217">
        <v>4</v>
      </c>
      <c r="M1217">
        <v>4</v>
      </c>
      <c r="N1217">
        <v>23336</v>
      </c>
      <c r="O1217">
        <v>1193</v>
      </c>
      <c r="P1217" t="s">
        <v>3212</v>
      </c>
      <c r="Q1217">
        <v>2</v>
      </c>
      <c r="R1217">
        <v>20.49</v>
      </c>
      <c r="S1217">
        <v>0.64</v>
      </c>
      <c r="T1217">
        <v>7</v>
      </c>
      <c r="U1217">
        <v>0</v>
      </c>
      <c r="V1217">
        <v>22509.615150000001</v>
      </c>
      <c r="W1217">
        <v>1216</v>
      </c>
      <c r="X1217">
        <v>0</v>
      </c>
      <c r="Y1217">
        <v>1215</v>
      </c>
      <c r="Z1217" t="s">
        <v>6966</v>
      </c>
      <c r="AA1217" t="s">
        <v>6966</v>
      </c>
      <c r="AB1217" t="s">
        <v>6966</v>
      </c>
      <c r="AC1217" t="s">
        <v>6966</v>
      </c>
      <c r="AD1217" t="s">
        <v>6966</v>
      </c>
      <c r="AE1217" t="s">
        <v>6966</v>
      </c>
      <c r="AF1217" t="s">
        <v>6966</v>
      </c>
      <c r="AG1217" t="s">
        <v>6966</v>
      </c>
      <c r="AH1217" t="s">
        <v>6966</v>
      </c>
      <c r="AI1217" t="s">
        <v>6966</v>
      </c>
      <c r="AJ1217" t="s">
        <v>6966</v>
      </c>
      <c r="AK1217" t="s">
        <v>6966</v>
      </c>
      <c r="AL1217" t="s">
        <v>6966</v>
      </c>
      <c r="AM1217" t="s">
        <v>6966</v>
      </c>
      <c r="AN1217" t="s">
        <v>6966</v>
      </c>
      <c r="AO1217" t="s">
        <v>6966</v>
      </c>
      <c r="AP1217" t="s">
        <v>6966</v>
      </c>
      <c r="AQ1217" t="s">
        <v>6966</v>
      </c>
      <c r="AR1217" t="s">
        <v>6966</v>
      </c>
      <c r="AS1217" t="s">
        <v>6966</v>
      </c>
      <c r="AT1217" t="s">
        <v>6966</v>
      </c>
      <c r="AU1217" t="s">
        <v>6966</v>
      </c>
      <c r="AV1217" t="s">
        <v>6966</v>
      </c>
      <c r="AW1217" t="s">
        <v>6966</v>
      </c>
      <c r="AX1217" t="s">
        <v>6966</v>
      </c>
      <c r="AY1217" t="s">
        <v>6966</v>
      </c>
      <c r="AZ1217">
        <v>0.22389500000000001</v>
      </c>
      <c r="BA1217">
        <v>1.1609999999999999E-3</v>
      </c>
    </row>
    <row r="1218" spans="1:53" x14ac:dyDescent="0.25">
      <c r="A1218">
        <v>1216</v>
      </c>
      <c r="B1218" t="s">
        <v>7625</v>
      </c>
      <c r="C1218">
        <v>402001</v>
      </c>
      <c r="D1218" t="s">
        <v>1180</v>
      </c>
      <c r="E1218" t="s">
        <v>7999</v>
      </c>
      <c r="F1218">
        <v>0</v>
      </c>
      <c r="G1218">
        <v>16709.330077999999</v>
      </c>
      <c r="H1218">
        <v>1218</v>
      </c>
      <c r="I1218">
        <v>1448</v>
      </c>
      <c r="J1218">
        <v>55167</v>
      </c>
      <c r="K1218" t="s">
        <v>8025</v>
      </c>
      <c r="L1218">
        <v>19</v>
      </c>
      <c r="M1218">
        <v>19</v>
      </c>
      <c r="N1218">
        <v>55167</v>
      </c>
      <c r="O1218">
        <v>1194</v>
      </c>
      <c r="P1218" t="s">
        <v>3214</v>
      </c>
      <c r="Q1218">
        <v>0.2</v>
      </c>
      <c r="R1218">
        <v>28.75</v>
      </c>
      <c r="S1218">
        <v>0.05</v>
      </c>
      <c r="T1218">
        <v>6</v>
      </c>
      <c r="U1218">
        <v>0</v>
      </c>
      <c r="V1218">
        <v>16709.329555</v>
      </c>
      <c r="W1218">
        <v>1217</v>
      </c>
      <c r="X1218">
        <v>0</v>
      </c>
      <c r="Y1218">
        <v>1216</v>
      </c>
      <c r="Z1218" t="s">
        <v>6966</v>
      </c>
      <c r="AA1218" t="s">
        <v>6966</v>
      </c>
      <c r="AB1218" t="s">
        <v>6966</v>
      </c>
      <c r="AC1218" t="s">
        <v>6966</v>
      </c>
      <c r="AD1218" t="s">
        <v>6966</v>
      </c>
      <c r="AE1218" t="s">
        <v>6966</v>
      </c>
      <c r="AF1218" t="s">
        <v>6966</v>
      </c>
      <c r="AG1218" t="s">
        <v>6966</v>
      </c>
      <c r="AH1218" t="s">
        <v>6966</v>
      </c>
      <c r="AI1218" t="s">
        <v>6966</v>
      </c>
      <c r="AJ1218" t="s">
        <v>6966</v>
      </c>
      <c r="AK1218" t="s">
        <v>6966</v>
      </c>
      <c r="AL1218" t="s">
        <v>6966</v>
      </c>
      <c r="AM1218" t="s">
        <v>6966</v>
      </c>
      <c r="AN1218" t="s">
        <v>6966</v>
      </c>
      <c r="AO1218" t="s">
        <v>6966</v>
      </c>
      <c r="AP1218" t="s">
        <v>6966</v>
      </c>
      <c r="AQ1218" t="s">
        <v>6966</v>
      </c>
      <c r="AR1218" t="s">
        <v>6966</v>
      </c>
      <c r="AS1218" t="s">
        <v>6966</v>
      </c>
      <c r="AT1218" t="s">
        <v>6966</v>
      </c>
      <c r="AU1218" t="s">
        <v>6966</v>
      </c>
      <c r="AV1218" t="s">
        <v>6966</v>
      </c>
      <c r="AW1218" t="s">
        <v>6966</v>
      </c>
      <c r="AX1218" t="s">
        <v>6966</v>
      </c>
      <c r="AY1218" t="s">
        <v>6966</v>
      </c>
      <c r="AZ1218">
        <v>0.16653200000000001</v>
      </c>
      <c r="BA1218">
        <v>1.073E-3</v>
      </c>
    </row>
    <row r="1219" spans="1:53" x14ac:dyDescent="0.25">
      <c r="A1219">
        <v>1217</v>
      </c>
      <c r="B1219" t="s">
        <v>7625</v>
      </c>
      <c r="C1219">
        <v>801022</v>
      </c>
      <c r="D1219" t="s">
        <v>1360</v>
      </c>
      <c r="E1219" t="s">
        <v>1342</v>
      </c>
      <c r="F1219">
        <v>2078135.375</v>
      </c>
      <c r="G1219">
        <v>11574.074219</v>
      </c>
      <c r="H1219">
        <v>1219</v>
      </c>
      <c r="I1219">
        <v>1449</v>
      </c>
      <c r="J1219">
        <v>63171</v>
      </c>
      <c r="K1219" t="s">
        <v>2645</v>
      </c>
      <c r="L1219">
        <v>22</v>
      </c>
      <c r="M1219">
        <v>22</v>
      </c>
      <c r="N1219">
        <v>63171</v>
      </c>
      <c r="O1219">
        <v>1195</v>
      </c>
      <c r="P1219" t="s">
        <v>3213</v>
      </c>
      <c r="Q1219">
        <v>0.7</v>
      </c>
      <c r="R1219">
        <v>12.96</v>
      </c>
      <c r="S1219">
        <v>0.22</v>
      </c>
      <c r="T1219">
        <v>7</v>
      </c>
      <c r="U1219">
        <v>2078135.2833</v>
      </c>
      <c r="V1219">
        <v>11574.074486</v>
      </c>
      <c r="W1219">
        <v>1218</v>
      </c>
      <c r="X1219">
        <v>0</v>
      </c>
      <c r="Y1219">
        <v>1217</v>
      </c>
      <c r="Z1219" t="s">
        <v>6966</v>
      </c>
      <c r="AA1219" t="s">
        <v>6966</v>
      </c>
      <c r="AB1219" t="s">
        <v>6966</v>
      </c>
      <c r="AC1219" t="s">
        <v>6966</v>
      </c>
      <c r="AD1219" t="s">
        <v>6966</v>
      </c>
      <c r="AE1219" t="s">
        <v>6966</v>
      </c>
      <c r="AF1219" t="s">
        <v>6966</v>
      </c>
      <c r="AG1219" t="s">
        <v>6966</v>
      </c>
      <c r="AH1219" t="s">
        <v>6966</v>
      </c>
      <c r="AI1219" t="s">
        <v>6966</v>
      </c>
      <c r="AJ1219" t="s">
        <v>6966</v>
      </c>
      <c r="AK1219" t="s">
        <v>6966</v>
      </c>
      <c r="AL1219" t="s">
        <v>6966</v>
      </c>
      <c r="AM1219" t="s">
        <v>6966</v>
      </c>
      <c r="AN1219" t="s">
        <v>6966</v>
      </c>
      <c r="AO1219" t="s">
        <v>6966</v>
      </c>
      <c r="AP1219" t="s">
        <v>6966</v>
      </c>
      <c r="AQ1219" t="s">
        <v>6966</v>
      </c>
      <c r="AR1219" t="s">
        <v>6966</v>
      </c>
      <c r="AS1219" t="s">
        <v>6966</v>
      </c>
      <c r="AT1219" t="s">
        <v>6966</v>
      </c>
      <c r="AU1219" t="s">
        <v>6966</v>
      </c>
      <c r="AV1219" t="s">
        <v>6966</v>
      </c>
      <c r="AW1219" t="s">
        <v>6966</v>
      </c>
      <c r="AX1219" t="s">
        <v>6966</v>
      </c>
      <c r="AY1219" t="s">
        <v>6966</v>
      </c>
      <c r="AZ1219">
        <v>0.112861</v>
      </c>
      <c r="BA1219">
        <v>2.02E-4</v>
      </c>
    </row>
    <row r="1220" spans="1:53" x14ac:dyDescent="0.25">
      <c r="A1220">
        <v>1218</v>
      </c>
      <c r="B1220" t="s">
        <v>7625</v>
      </c>
      <c r="C1220">
        <v>402029</v>
      </c>
      <c r="D1220" t="s">
        <v>1177</v>
      </c>
      <c r="E1220" t="s">
        <v>7999</v>
      </c>
      <c r="F1220">
        <v>8004867</v>
      </c>
      <c r="G1220">
        <v>17665.570313</v>
      </c>
      <c r="H1220">
        <v>1220</v>
      </c>
      <c r="I1220">
        <v>1450</v>
      </c>
      <c r="J1220">
        <v>55157</v>
      </c>
      <c r="K1220" t="s">
        <v>2498</v>
      </c>
      <c r="L1220">
        <v>19</v>
      </c>
      <c r="M1220">
        <v>19</v>
      </c>
      <c r="N1220">
        <v>55157</v>
      </c>
      <c r="O1220">
        <v>1196</v>
      </c>
      <c r="P1220" t="s">
        <v>3214</v>
      </c>
      <c r="Q1220">
        <v>2.7</v>
      </c>
      <c r="R1220">
        <v>55.71</v>
      </c>
      <c r="S1220">
        <v>0.75</v>
      </c>
      <c r="T1220">
        <v>15</v>
      </c>
      <c r="U1220">
        <v>8004866.90809</v>
      </c>
      <c r="V1220">
        <v>17665.570663999999</v>
      </c>
      <c r="W1220">
        <v>1219</v>
      </c>
      <c r="X1220">
        <v>0</v>
      </c>
      <c r="Y1220">
        <v>1218</v>
      </c>
      <c r="Z1220" t="s">
        <v>6966</v>
      </c>
      <c r="AA1220" t="s">
        <v>6966</v>
      </c>
      <c r="AB1220" t="s">
        <v>6966</v>
      </c>
      <c r="AC1220" t="s">
        <v>6966</v>
      </c>
      <c r="AD1220" t="s">
        <v>6966</v>
      </c>
      <c r="AE1220" t="s">
        <v>6966</v>
      </c>
      <c r="AF1220" t="s">
        <v>6966</v>
      </c>
      <c r="AG1220" t="s">
        <v>6966</v>
      </c>
      <c r="AH1220" t="s">
        <v>6966</v>
      </c>
      <c r="AI1220" t="s">
        <v>6966</v>
      </c>
      <c r="AJ1220" t="s">
        <v>6966</v>
      </c>
      <c r="AK1220" t="s">
        <v>6966</v>
      </c>
      <c r="AL1220" t="s">
        <v>6966</v>
      </c>
      <c r="AM1220" t="s">
        <v>6966</v>
      </c>
      <c r="AN1220" t="s">
        <v>6966</v>
      </c>
      <c r="AO1220" t="s">
        <v>6966</v>
      </c>
      <c r="AP1220" t="s">
        <v>6966</v>
      </c>
      <c r="AQ1220" t="s">
        <v>6966</v>
      </c>
      <c r="AR1220" t="s">
        <v>6966</v>
      </c>
      <c r="AS1220" t="s">
        <v>6966</v>
      </c>
      <c r="AT1220" t="s">
        <v>6966</v>
      </c>
      <c r="AU1220" t="s">
        <v>6966</v>
      </c>
      <c r="AV1220" t="s">
        <v>6966</v>
      </c>
      <c r="AW1220" t="s">
        <v>6966</v>
      </c>
      <c r="AX1220" t="s">
        <v>6966</v>
      </c>
      <c r="AY1220" t="s">
        <v>6966</v>
      </c>
      <c r="AZ1220">
        <v>0.174873</v>
      </c>
      <c r="BA1220">
        <v>7.7700000000000002E-4</v>
      </c>
    </row>
    <row r="1221" spans="1:53" x14ac:dyDescent="0.25">
      <c r="A1221">
        <v>1219</v>
      </c>
      <c r="B1221" t="s">
        <v>7625</v>
      </c>
      <c r="C1221">
        <v>802066</v>
      </c>
      <c r="D1221" t="s">
        <v>1191</v>
      </c>
      <c r="E1221" t="s">
        <v>3039</v>
      </c>
      <c r="F1221">
        <v>2556919.25</v>
      </c>
      <c r="G1221">
        <v>8635.8251949999994</v>
      </c>
      <c r="H1221">
        <v>1221</v>
      </c>
      <c r="I1221">
        <v>1451</v>
      </c>
      <c r="J1221">
        <v>61111</v>
      </c>
      <c r="K1221" t="s">
        <v>8026</v>
      </c>
      <c r="L1221">
        <v>20</v>
      </c>
      <c r="M1221">
        <v>20</v>
      </c>
      <c r="N1221">
        <v>61111</v>
      </c>
      <c r="O1221">
        <v>1197</v>
      </c>
      <c r="P1221" t="s">
        <v>3213</v>
      </c>
      <c r="Q1221">
        <v>35.200000000000003</v>
      </c>
      <c r="R1221">
        <v>231.46</v>
      </c>
      <c r="S1221">
        <v>69.84</v>
      </c>
      <c r="T1221">
        <v>78</v>
      </c>
      <c r="U1221">
        <v>2556919.2060600002</v>
      </c>
      <c r="V1221">
        <v>8635.8251550000004</v>
      </c>
      <c r="W1221">
        <v>1220</v>
      </c>
      <c r="X1221">
        <v>0</v>
      </c>
      <c r="Y1221">
        <v>1219</v>
      </c>
      <c r="Z1221" t="s">
        <v>6966</v>
      </c>
      <c r="AA1221" t="s">
        <v>6966</v>
      </c>
      <c r="AB1221" t="s">
        <v>6966</v>
      </c>
      <c r="AC1221" t="s">
        <v>6966</v>
      </c>
      <c r="AD1221" t="s">
        <v>6966</v>
      </c>
      <c r="AE1221" t="s">
        <v>6966</v>
      </c>
      <c r="AF1221" t="s">
        <v>6966</v>
      </c>
      <c r="AG1221" t="s">
        <v>6966</v>
      </c>
      <c r="AH1221" t="s">
        <v>6966</v>
      </c>
      <c r="AI1221" t="s">
        <v>6966</v>
      </c>
      <c r="AJ1221" t="s">
        <v>6966</v>
      </c>
      <c r="AK1221" t="s">
        <v>6966</v>
      </c>
      <c r="AL1221" t="s">
        <v>6966</v>
      </c>
      <c r="AM1221" t="s">
        <v>6966</v>
      </c>
      <c r="AN1221" t="s">
        <v>6966</v>
      </c>
      <c r="AO1221" t="s">
        <v>6966</v>
      </c>
      <c r="AP1221" t="s">
        <v>6966</v>
      </c>
      <c r="AQ1221" t="s">
        <v>6966</v>
      </c>
      <c r="AR1221" t="s">
        <v>6966</v>
      </c>
      <c r="AS1221" t="s">
        <v>6966</v>
      </c>
      <c r="AT1221" t="s">
        <v>6966</v>
      </c>
      <c r="AU1221" t="s">
        <v>6966</v>
      </c>
      <c r="AV1221" t="s">
        <v>6966</v>
      </c>
      <c r="AW1221" t="s">
        <v>6966</v>
      </c>
      <c r="AX1221" t="s">
        <v>6966</v>
      </c>
      <c r="AY1221" t="s">
        <v>6966</v>
      </c>
      <c r="AZ1221">
        <v>8.3779999999999993E-2</v>
      </c>
      <c r="BA1221">
        <v>2.4800000000000001E-4</v>
      </c>
    </row>
    <row r="1222" spans="1:53" x14ac:dyDescent="0.25">
      <c r="A1222">
        <v>1220</v>
      </c>
      <c r="B1222" t="s">
        <v>7625</v>
      </c>
      <c r="C1222">
        <v>801010</v>
      </c>
      <c r="D1222" t="s">
        <v>1363</v>
      </c>
      <c r="E1222" t="s">
        <v>1342</v>
      </c>
      <c r="F1222">
        <v>1721339.5</v>
      </c>
      <c r="G1222">
        <v>7102.4130859999996</v>
      </c>
      <c r="H1222">
        <v>1222</v>
      </c>
      <c r="I1222">
        <v>1452</v>
      </c>
      <c r="J1222">
        <v>63181</v>
      </c>
      <c r="K1222" t="s">
        <v>2648</v>
      </c>
      <c r="L1222">
        <v>22</v>
      </c>
      <c r="M1222">
        <v>22</v>
      </c>
      <c r="N1222">
        <v>63181</v>
      </c>
      <c r="O1222">
        <v>1198</v>
      </c>
      <c r="P1222" t="s">
        <v>3213</v>
      </c>
      <c r="Q1222">
        <v>0.3</v>
      </c>
      <c r="R1222">
        <v>0</v>
      </c>
      <c r="S1222">
        <v>0.11</v>
      </c>
      <c r="T1222">
        <v>0</v>
      </c>
      <c r="U1222">
        <v>1721339.51679</v>
      </c>
      <c r="V1222">
        <v>7102.4128490000003</v>
      </c>
      <c r="W1222">
        <v>1221</v>
      </c>
      <c r="X1222">
        <v>0</v>
      </c>
      <c r="Y1222">
        <v>1220</v>
      </c>
      <c r="Z1222" t="s">
        <v>6966</v>
      </c>
      <c r="AA1222" t="s">
        <v>6966</v>
      </c>
      <c r="AB1222" t="s">
        <v>6966</v>
      </c>
      <c r="AC1222" t="s">
        <v>6966</v>
      </c>
      <c r="AD1222" t="s">
        <v>6966</v>
      </c>
      <c r="AE1222" t="s">
        <v>6966</v>
      </c>
      <c r="AF1222" t="s">
        <v>6966</v>
      </c>
      <c r="AG1222" t="s">
        <v>6966</v>
      </c>
      <c r="AH1222" t="s">
        <v>6966</v>
      </c>
      <c r="AI1222" t="s">
        <v>6966</v>
      </c>
      <c r="AJ1222" t="s">
        <v>6966</v>
      </c>
      <c r="AK1222" t="s">
        <v>6966</v>
      </c>
      <c r="AL1222" t="s">
        <v>6966</v>
      </c>
      <c r="AM1222" t="s">
        <v>6966</v>
      </c>
      <c r="AN1222" t="s">
        <v>6966</v>
      </c>
      <c r="AO1222" t="s">
        <v>6966</v>
      </c>
      <c r="AP1222" t="s">
        <v>6966</v>
      </c>
      <c r="AQ1222" t="s">
        <v>6966</v>
      </c>
      <c r="AR1222" t="s">
        <v>6966</v>
      </c>
      <c r="AS1222" t="s">
        <v>6966</v>
      </c>
      <c r="AT1222" t="s">
        <v>6966</v>
      </c>
      <c r="AU1222" t="s">
        <v>6966</v>
      </c>
      <c r="AV1222" t="s">
        <v>6966</v>
      </c>
      <c r="AW1222" t="s">
        <v>6966</v>
      </c>
      <c r="AX1222" t="s">
        <v>6966</v>
      </c>
      <c r="AY1222" t="s">
        <v>6966</v>
      </c>
      <c r="AZ1222">
        <v>6.8947999999999995E-2</v>
      </c>
      <c r="BA1222">
        <v>1.6699999999999999E-4</v>
      </c>
    </row>
    <row r="1223" spans="1:53" x14ac:dyDescent="0.25">
      <c r="A1223">
        <v>1221</v>
      </c>
      <c r="B1223" t="s">
        <v>7625</v>
      </c>
      <c r="C1223">
        <v>503106</v>
      </c>
      <c r="D1223" t="s">
        <v>87</v>
      </c>
      <c r="E1223" t="s">
        <v>3220</v>
      </c>
      <c r="F1223">
        <v>189057</v>
      </c>
      <c r="G1223">
        <v>2598.4580080000001</v>
      </c>
      <c r="H1223">
        <v>1223</v>
      </c>
      <c r="I1223">
        <v>1453</v>
      </c>
      <c r="J1223">
        <v>23007</v>
      </c>
      <c r="K1223" t="s">
        <v>87</v>
      </c>
      <c r="L1223">
        <v>4</v>
      </c>
      <c r="M1223">
        <v>4</v>
      </c>
      <c r="N1223">
        <v>23007</v>
      </c>
      <c r="O1223">
        <v>1199</v>
      </c>
      <c r="P1223" t="s">
        <v>3212</v>
      </c>
      <c r="Q1223">
        <v>0</v>
      </c>
      <c r="R1223">
        <v>0</v>
      </c>
      <c r="S1223">
        <v>0</v>
      </c>
      <c r="T1223">
        <v>0</v>
      </c>
      <c r="U1223">
        <v>189057.00993500001</v>
      </c>
      <c r="V1223">
        <v>2598.4576480000001</v>
      </c>
      <c r="W1223">
        <v>1222</v>
      </c>
      <c r="X1223">
        <v>0</v>
      </c>
      <c r="Y1223">
        <v>1221</v>
      </c>
      <c r="Z1223" t="s">
        <v>6966</v>
      </c>
      <c r="AA1223" t="s">
        <v>6966</v>
      </c>
      <c r="AB1223" t="s">
        <v>6966</v>
      </c>
      <c r="AC1223" t="s">
        <v>6966</v>
      </c>
      <c r="AD1223" t="s">
        <v>6966</v>
      </c>
      <c r="AE1223" t="s">
        <v>6966</v>
      </c>
      <c r="AF1223" t="s">
        <v>6966</v>
      </c>
      <c r="AG1223" t="s">
        <v>6966</v>
      </c>
      <c r="AH1223" t="s">
        <v>6966</v>
      </c>
      <c r="AI1223" t="s">
        <v>6966</v>
      </c>
      <c r="AJ1223" t="s">
        <v>6966</v>
      </c>
      <c r="AK1223" t="s">
        <v>6966</v>
      </c>
      <c r="AL1223" t="s">
        <v>6966</v>
      </c>
      <c r="AM1223" t="s">
        <v>6966</v>
      </c>
      <c r="AN1223" t="s">
        <v>6966</v>
      </c>
      <c r="AO1223" t="s">
        <v>6966</v>
      </c>
      <c r="AP1223" t="s">
        <v>6966</v>
      </c>
      <c r="AQ1223" t="s">
        <v>6966</v>
      </c>
      <c r="AR1223" t="s">
        <v>6966</v>
      </c>
      <c r="AS1223" t="s">
        <v>6966</v>
      </c>
      <c r="AT1223" t="s">
        <v>6966</v>
      </c>
      <c r="AU1223" t="s">
        <v>6966</v>
      </c>
      <c r="AV1223" t="s">
        <v>6966</v>
      </c>
      <c r="AW1223" t="s">
        <v>6966</v>
      </c>
      <c r="AX1223" t="s">
        <v>6966</v>
      </c>
      <c r="AY1223" t="s">
        <v>6966</v>
      </c>
      <c r="AZ1223">
        <v>2.6273000000000001E-2</v>
      </c>
      <c r="BA1223">
        <v>1.8E-5</v>
      </c>
    </row>
    <row r="1224" spans="1:53" x14ac:dyDescent="0.25">
      <c r="A1224">
        <v>1222</v>
      </c>
      <c r="B1224" t="s">
        <v>7625</v>
      </c>
      <c r="C1224">
        <v>802014</v>
      </c>
      <c r="D1224" t="s">
        <v>1203</v>
      </c>
      <c r="E1224" t="s">
        <v>3039</v>
      </c>
      <c r="F1224">
        <v>5334442</v>
      </c>
      <c r="G1224">
        <v>14448.019531</v>
      </c>
      <c r="H1224">
        <v>1224</v>
      </c>
      <c r="I1224">
        <v>1454</v>
      </c>
      <c r="J1224">
        <v>61266</v>
      </c>
      <c r="K1224" t="s">
        <v>1203</v>
      </c>
      <c r="L1224">
        <v>20</v>
      </c>
      <c r="M1224">
        <v>20</v>
      </c>
      <c r="N1224">
        <v>61266</v>
      </c>
      <c r="O1224">
        <v>1200</v>
      </c>
      <c r="P1224" t="s">
        <v>3213</v>
      </c>
      <c r="Q1224">
        <v>0.2</v>
      </c>
      <c r="R1224">
        <v>5.54</v>
      </c>
      <c r="S1224">
        <v>0.09</v>
      </c>
      <c r="T1224">
        <v>3</v>
      </c>
      <c r="U1224">
        <v>5334442.2945800005</v>
      </c>
      <c r="V1224">
        <v>14448.019605</v>
      </c>
      <c r="W1224">
        <v>1223</v>
      </c>
      <c r="X1224">
        <v>0</v>
      </c>
      <c r="Y1224">
        <v>1222</v>
      </c>
      <c r="Z1224" t="s">
        <v>6966</v>
      </c>
      <c r="AA1224" t="s">
        <v>6966</v>
      </c>
      <c r="AB1224" t="s">
        <v>6966</v>
      </c>
      <c r="AC1224" t="s">
        <v>6966</v>
      </c>
      <c r="AD1224" t="s">
        <v>6966</v>
      </c>
      <c r="AE1224" t="s">
        <v>6966</v>
      </c>
      <c r="AF1224" t="s">
        <v>6966</v>
      </c>
      <c r="AG1224" t="s">
        <v>6966</v>
      </c>
      <c r="AH1224" t="s">
        <v>6966</v>
      </c>
      <c r="AI1224" t="s">
        <v>6966</v>
      </c>
      <c r="AJ1224" t="s">
        <v>6966</v>
      </c>
      <c r="AK1224" t="s">
        <v>6966</v>
      </c>
      <c r="AL1224" t="s">
        <v>6966</v>
      </c>
      <c r="AM1224" t="s">
        <v>6966</v>
      </c>
      <c r="AN1224" t="s">
        <v>6966</v>
      </c>
      <c r="AO1224" t="s">
        <v>6966</v>
      </c>
      <c r="AP1224" t="s">
        <v>6966</v>
      </c>
      <c r="AQ1224" t="s">
        <v>6966</v>
      </c>
      <c r="AR1224" t="s">
        <v>6966</v>
      </c>
      <c r="AS1224" t="s">
        <v>6966</v>
      </c>
      <c r="AT1224" t="s">
        <v>6966</v>
      </c>
      <c r="AU1224" t="s">
        <v>6966</v>
      </c>
      <c r="AV1224" t="s">
        <v>6966</v>
      </c>
      <c r="AW1224" t="s">
        <v>6966</v>
      </c>
      <c r="AX1224" t="s">
        <v>6966</v>
      </c>
      <c r="AY1224" t="s">
        <v>6966</v>
      </c>
      <c r="AZ1224">
        <v>0.14488500000000001</v>
      </c>
      <c r="BA1224">
        <v>5.1800000000000001E-4</v>
      </c>
    </row>
    <row r="1225" spans="1:53" x14ac:dyDescent="0.25">
      <c r="A1225">
        <v>1223</v>
      </c>
      <c r="B1225" t="s">
        <v>7625</v>
      </c>
      <c r="C1225">
        <v>801021</v>
      </c>
      <c r="D1225" t="s">
        <v>8027</v>
      </c>
      <c r="E1225" t="s">
        <v>1342</v>
      </c>
      <c r="F1225">
        <v>973512.4375</v>
      </c>
      <c r="G1225">
        <v>5705.6381840000004</v>
      </c>
      <c r="H1225">
        <v>1225</v>
      </c>
      <c r="I1225">
        <v>1455</v>
      </c>
      <c r="J1225">
        <v>63141</v>
      </c>
      <c r="K1225" t="s">
        <v>2638</v>
      </c>
      <c r="L1225">
        <v>22</v>
      </c>
      <c r="M1225">
        <v>22</v>
      </c>
      <c r="N1225">
        <v>63141</v>
      </c>
      <c r="O1225">
        <v>1201</v>
      </c>
      <c r="P1225" t="s">
        <v>3213</v>
      </c>
      <c r="Q1225">
        <v>0.1</v>
      </c>
      <c r="R1225">
        <v>593.47</v>
      </c>
      <c r="S1225">
        <v>0.03</v>
      </c>
      <c r="T1225">
        <v>223</v>
      </c>
      <c r="U1225">
        <v>973512.45994500001</v>
      </c>
      <c r="V1225">
        <v>5705.6385719999998</v>
      </c>
      <c r="W1225">
        <v>1224</v>
      </c>
      <c r="X1225">
        <v>0</v>
      </c>
      <c r="Y1225">
        <v>1223</v>
      </c>
      <c r="Z1225" t="s">
        <v>6966</v>
      </c>
      <c r="AA1225" t="s">
        <v>6966</v>
      </c>
      <c r="AB1225" t="s">
        <v>6966</v>
      </c>
      <c r="AC1225" t="s">
        <v>6966</v>
      </c>
      <c r="AD1225" t="s">
        <v>6966</v>
      </c>
      <c r="AE1225" t="s">
        <v>6966</v>
      </c>
      <c r="AF1225" t="s">
        <v>6966</v>
      </c>
      <c r="AG1225" t="s">
        <v>6966</v>
      </c>
      <c r="AH1225" t="s">
        <v>6966</v>
      </c>
      <c r="AI1225" t="s">
        <v>6966</v>
      </c>
      <c r="AJ1225" t="s">
        <v>6966</v>
      </c>
      <c r="AK1225" t="s">
        <v>6966</v>
      </c>
      <c r="AL1225" t="s">
        <v>6966</v>
      </c>
      <c r="AM1225" t="s">
        <v>6966</v>
      </c>
      <c r="AN1225" t="s">
        <v>6966</v>
      </c>
      <c r="AO1225" t="s">
        <v>6966</v>
      </c>
      <c r="AP1225" t="s">
        <v>6966</v>
      </c>
      <c r="AQ1225" t="s">
        <v>6966</v>
      </c>
      <c r="AR1225" t="s">
        <v>6966</v>
      </c>
      <c r="AS1225" t="s">
        <v>6966</v>
      </c>
      <c r="AT1225" t="s">
        <v>6966</v>
      </c>
      <c r="AU1225" t="s">
        <v>6966</v>
      </c>
      <c r="AV1225" t="s">
        <v>6966</v>
      </c>
      <c r="AW1225" t="s">
        <v>6966</v>
      </c>
      <c r="AX1225" t="s">
        <v>6966</v>
      </c>
      <c r="AY1225" t="s">
        <v>6966</v>
      </c>
      <c r="AZ1225">
        <v>5.7498E-2</v>
      </c>
      <c r="BA1225">
        <v>9.5000000000000005E-5</v>
      </c>
    </row>
    <row r="1226" spans="1:53" x14ac:dyDescent="0.25">
      <c r="A1226">
        <v>1224</v>
      </c>
      <c r="B1226" t="s">
        <v>7625</v>
      </c>
      <c r="C1226">
        <v>402030</v>
      </c>
      <c r="D1226" t="s">
        <v>1187</v>
      </c>
      <c r="E1226" t="s">
        <v>7999</v>
      </c>
      <c r="F1226">
        <v>2540072</v>
      </c>
      <c r="G1226">
        <v>8608.7724610000005</v>
      </c>
      <c r="H1226">
        <v>1226</v>
      </c>
      <c r="I1226">
        <v>1456</v>
      </c>
      <c r="J1226">
        <v>55191</v>
      </c>
      <c r="K1226" t="s">
        <v>2504</v>
      </c>
      <c r="L1226">
        <v>19</v>
      </c>
      <c r="M1226">
        <v>19</v>
      </c>
      <c r="N1226">
        <v>55191</v>
      </c>
      <c r="O1226">
        <v>1202</v>
      </c>
      <c r="P1226" t="s">
        <v>3214</v>
      </c>
      <c r="Q1226">
        <v>0</v>
      </c>
      <c r="R1226">
        <v>0</v>
      </c>
      <c r="S1226">
        <v>0</v>
      </c>
      <c r="T1226">
        <v>0</v>
      </c>
      <c r="U1226">
        <v>2540071.9987499998</v>
      </c>
      <c r="V1226">
        <v>8608.7724799999996</v>
      </c>
      <c r="W1226">
        <v>1225</v>
      </c>
      <c r="X1226">
        <v>0</v>
      </c>
      <c r="Y1226">
        <v>1224</v>
      </c>
      <c r="Z1226" t="s">
        <v>6966</v>
      </c>
      <c r="AA1226" t="s">
        <v>6966</v>
      </c>
      <c r="AB1226" t="s">
        <v>6966</v>
      </c>
      <c r="AC1226" t="s">
        <v>6966</v>
      </c>
      <c r="AD1226" t="s">
        <v>6966</v>
      </c>
      <c r="AE1226" t="s">
        <v>6966</v>
      </c>
      <c r="AF1226" t="s">
        <v>6966</v>
      </c>
      <c r="AG1226" t="s">
        <v>6966</v>
      </c>
      <c r="AH1226" t="s">
        <v>6966</v>
      </c>
      <c r="AI1226" t="s">
        <v>6966</v>
      </c>
      <c r="AJ1226" t="s">
        <v>6966</v>
      </c>
      <c r="AK1226" t="s">
        <v>6966</v>
      </c>
      <c r="AL1226" t="s">
        <v>6966</v>
      </c>
      <c r="AM1226" t="s">
        <v>6966</v>
      </c>
      <c r="AN1226" t="s">
        <v>6966</v>
      </c>
      <c r="AO1226" t="s">
        <v>6966</v>
      </c>
      <c r="AP1226" t="s">
        <v>6966</v>
      </c>
      <c r="AQ1226" t="s">
        <v>6966</v>
      </c>
      <c r="AR1226" t="s">
        <v>6966</v>
      </c>
      <c r="AS1226" t="s">
        <v>6966</v>
      </c>
      <c r="AT1226" t="s">
        <v>6966</v>
      </c>
      <c r="AU1226" t="s">
        <v>6966</v>
      </c>
      <c r="AV1226" t="s">
        <v>6966</v>
      </c>
      <c r="AW1226" t="s">
        <v>6966</v>
      </c>
      <c r="AX1226" t="s">
        <v>6966</v>
      </c>
      <c r="AY1226" t="s">
        <v>6966</v>
      </c>
      <c r="AZ1226">
        <v>8.4873000000000004E-2</v>
      </c>
      <c r="BA1226">
        <v>2.4699999999999999E-4</v>
      </c>
    </row>
    <row r="1227" spans="1:53" x14ac:dyDescent="0.25">
      <c r="A1227">
        <v>1225</v>
      </c>
      <c r="B1227" t="s">
        <v>7625</v>
      </c>
      <c r="C1227">
        <v>503070</v>
      </c>
      <c r="D1227" t="s">
        <v>224</v>
      </c>
      <c r="E1227" t="s">
        <v>3220</v>
      </c>
      <c r="F1227">
        <v>1699761</v>
      </c>
      <c r="G1227">
        <v>8673.8925780000009</v>
      </c>
      <c r="H1227">
        <v>1227</v>
      </c>
      <c r="I1227">
        <v>1457</v>
      </c>
      <c r="J1227">
        <v>23371</v>
      </c>
      <c r="K1227" t="s">
        <v>1741</v>
      </c>
      <c r="L1227">
        <v>4</v>
      </c>
      <c r="M1227">
        <v>4</v>
      </c>
      <c r="N1227">
        <v>23371</v>
      </c>
      <c r="O1227">
        <v>1203</v>
      </c>
      <c r="P1227" t="s">
        <v>3212</v>
      </c>
      <c r="Q1227">
        <v>0.2</v>
      </c>
      <c r="R1227">
        <v>60.57</v>
      </c>
      <c r="S1227">
        <v>0.05</v>
      </c>
      <c r="T1227">
        <v>12</v>
      </c>
      <c r="U1227">
        <v>1699761.0695499999</v>
      </c>
      <c r="V1227">
        <v>8673.893129</v>
      </c>
      <c r="W1227">
        <v>1226</v>
      </c>
      <c r="X1227">
        <v>0</v>
      </c>
      <c r="Y1227">
        <v>1225</v>
      </c>
      <c r="Z1227" t="s">
        <v>6966</v>
      </c>
      <c r="AA1227" t="s">
        <v>6966</v>
      </c>
      <c r="AB1227" t="s">
        <v>6966</v>
      </c>
      <c r="AC1227" t="s">
        <v>6966</v>
      </c>
      <c r="AD1227" t="s">
        <v>6966</v>
      </c>
      <c r="AE1227" t="s">
        <v>6966</v>
      </c>
      <c r="AF1227" t="s">
        <v>6966</v>
      </c>
      <c r="AG1227" t="s">
        <v>6966</v>
      </c>
      <c r="AH1227" t="s">
        <v>6966</v>
      </c>
      <c r="AI1227" t="s">
        <v>6966</v>
      </c>
      <c r="AJ1227" t="s">
        <v>6966</v>
      </c>
      <c r="AK1227" t="s">
        <v>6966</v>
      </c>
      <c r="AL1227" t="s">
        <v>6966</v>
      </c>
      <c r="AM1227" t="s">
        <v>6966</v>
      </c>
      <c r="AN1227" t="s">
        <v>6966</v>
      </c>
      <c r="AO1227" t="s">
        <v>6966</v>
      </c>
      <c r="AP1227" t="s">
        <v>6966</v>
      </c>
      <c r="AQ1227" t="s">
        <v>6966</v>
      </c>
      <c r="AR1227" t="s">
        <v>6966</v>
      </c>
      <c r="AS1227" t="s">
        <v>6966</v>
      </c>
      <c r="AT1227" t="s">
        <v>6966</v>
      </c>
      <c r="AU1227" t="s">
        <v>6966</v>
      </c>
      <c r="AV1227" t="s">
        <v>6966</v>
      </c>
      <c r="AW1227" t="s">
        <v>6966</v>
      </c>
      <c r="AX1227" t="s">
        <v>6966</v>
      </c>
      <c r="AY1227" t="s">
        <v>6966</v>
      </c>
      <c r="AZ1227">
        <v>8.9222999999999997E-2</v>
      </c>
      <c r="BA1227">
        <v>1.65E-4</v>
      </c>
    </row>
    <row r="1228" spans="1:53" x14ac:dyDescent="0.25">
      <c r="A1228">
        <v>1226</v>
      </c>
      <c r="B1228" t="s">
        <v>7625</v>
      </c>
      <c r="C1228">
        <v>402039</v>
      </c>
      <c r="D1228" t="s">
        <v>87</v>
      </c>
      <c r="E1228" t="s">
        <v>7999</v>
      </c>
      <c r="F1228">
        <v>0</v>
      </c>
      <c r="G1228">
        <v>22605.78125</v>
      </c>
      <c r="H1228">
        <v>1228</v>
      </c>
      <c r="I1228">
        <v>1458</v>
      </c>
      <c r="J1228">
        <v>55002</v>
      </c>
      <c r="K1228" t="s">
        <v>87</v>
      </c>
      <c r="L1228">
        <v>19</v>
      </c>
      <c r="M1228">
        <v>19</v>
      </c>
      <c r="N1228">
        <v>55002</v>
      </c>
      <c r="O1228">
        <v>1204</v>
      </c>
      <c r="P1228" t="s">
        <v>3214</v>
      </c>
      <c r="Q1228">
        <v>0</v>
      </c>
      <c r="R1228">
        <v>0</v>
      </c>
      <c r="S1228">
        <v>0</v>
      </c>
      <c r="T1228">
        <v>0</v>
      </c>
      <c r="U1228">
        <v>0</v>
      </c>
      <c r="V1228">
        <v>22605.782382000001</v>
      </c>
      <c r="W1228">
        <v>1227</v>
      </c>
      <c r="X1228">
        <v>0</v>
      </c>
      <c r="Y1228">
        <v>1226</v>
      </c>
      <c r="Z1228" t="s">
        <v>6966</v>
      </c>
      <c r="AA1228" t="s">
        <v>6966</v>
      </c>
      <c r="AB1228" t="s">
        <v>6966</v>
      </c>
      <c r="AC1228" t="s">
        <v>6966</v>
      </c>
      <c r="AD1228" t="s">
        <v>6966</v>
      </c>
      <c r="AE1228" t="s">
        <v>6966</v>
      </c>
      <c r="AF1228" t="s">
        <v>6966</v>
      </c>
      <c r="AG1228" t="s">
        <v>6966</v>
      </c>
      <c r="AH1228" t="s">
        <v>6966</v>
      </c>
      <c r="AI1228" t="s">
        <v>6966</v>
      </c>
      <c r="AJ1228" t="s">
        <v>6966</v>
      </c>
      <c r="AK1228" t="s">
        <v>6966</v>
      </c>
      <c r="AL1228" t="s">
        <v>6966</v>
      </c>
      <c r="AM1228" t="s">
        <v>6966</v>
      </c>
      <c r="AN1228" t="s">
        <v>6966</v>
      </c>
      <c r="AO1228" t="s">
        <v>6966</v>
      </c>
      <c r="AP1228" t="s">
        <v>6966</v>
      </c>
      <c r="AQ1228" t="s">
        <v>6966</v>
      </c>
      <c r="AR1228" t="s">
        <v>6966</v>
      </c>
      <c r="AS1228" t="s">
        <v>6966</v>
      </c>
      <c r="AT1228" t="s">
        <v>6966</v>
      </c>
      <c r="AU1228" t="s">
        <v>6966</v>
      </c>
      <c r="AV1228" t="s">
        <v>6966</v>
      </c>
      <c r="AW1228" t="s">
        <v>6966</v>
      </c>
      <c r="AX1228" t="s">
        <v>6966</v>
      </c>
      <c r="AY1228" t="s">
        <v>6966</v>
      </c>
      <c r="AZ1228">
        <v>0.228356</v>
      </c>
      <c r="BA1228">
        <v>1.224E-3</v>
      </c>
    </row>
    <row r="1229" spans="1:53" x14ac:dyDescent="0.25">
      <c r="A1229">
        <v>1227</v>
      </c>
      <c r="B1229" t="s">
        <v>7625</v>
      </c>
      <c r="C1229">
        <v>401031</v>
      </c>
      <c r="D1229" t="s">
        <v>1051</v>
      </c>
      <c r="E1229" t="s">
        <v>3221</v>
      </c>
      <c r="F1229">
        <v>0</v>
      </c>
      <c r="G1229">
        <v>28660.953125</v>
      </c>
      <c r="H1229">
        <v>1229</v>
      </c>
      <c r="I1229">
        <v>1459</v>
      </c>
      <c r="J1229">
        <v>52237</v>
      </c>
      <c r="K1229" t="s">
        <v>2398</v>
      </c>
      <c r="L1229">
        <v>16</v>
      </c>
      <c r="M1229">
        <v>16</v>
      </c>
      <c r="N1229">
        <v>52237</v>
      </c>
      <c r="O1229">
        <v>1205</v>
      </c>
      <c r="P1229" t="s">
        <v>3214</v>
      </c>
      <c r="Q1229">
        <v>1.6</v>
      </c>
      <c r="R1229">
        <v>96.42</v>
      </c>
      <c r="S1229">
        <v>0.38</v>
      </c>
      <c r="T1229">
        <v>24</v>
      </c>
      <c r="U1229">
        <v>0</v>
      </c>
      <c r="V1229">
        <v>28660.952631</v>
      </c>
      <c r="W1229">
        <v>1228</v>
      </c>
      <c r="X1229">
        <v>1</v>
      </c>
      <c r="Y1229">
        <v>1227</v>
      </c>
      <c r="Z1229">
        <v>59142</v>
      </c>
      <c r="AA1229" s="76">
        <v>45738</v>
      </c>
      <c r="AB1229">
        <v>2025</v>
      </c>
      <c r="AC1229" t="s">
        <v>7104</v>
      </c>
      <c r="AD1229">
        <v>22</v>
      </c>
      <c r="AE1229" t="s">
        <v>7160</v>
      </c>
      <c r="AF1229" t="s">
        <v>3214</v>
      </c>
      <c r="AG1229" t="s">
        <v>3221</v>
      </c>
      <c r="AH1229" t="s">
        <v>1051</v>
      </c>
      <c r="AI1229" t="s">
        <v>3043</v>
      </c>
      <c r="AJ1229" t="s">
        <v>6966</v>
      </c>
      <c r="AK1229">
        <v>33.56268</v>
      </c>
      <c r="AL1229">
        <v>35.724040000000002</v>
      </c>
      <c r="AM1229" t="s">
        <v>6995</v>
      </c>
      <c r="AN1229" t="s">
        <v>6966</v>
      </c>
      <c r="AO1229" t="s">
        <v>6996</v>
      </c>
      <c r="AP1229" t="s">
        <v>7161</v>
      </c>
      <c r="AQ1229" t="s">
        <v>6998</v>
      </c>
      <c r="AR1229" t="s">
        <v>6999</v>
      </c>
      <c r="AS1229" t="s">
        <v>7000</v>
      </c>
      <c r="AT1229">
        <v>0</v>
      </c>
      <c r="AU1229">
        <v>0</v>
      </c>
      <c r="AV1229" t="s">
        <v>7162</v>
      </c>
      <c r="AW1229" t="s">
        <v>7002</v>
      </c>
      <c r="AX1229" t="s">
        <v>6966</v>
      </c>
      <c r="AY1229" t="s">
        <v>7003</v>
      </c>
      <c r="AZ1229">
        <v>0.28634700000000002</v>
      </c>
      <c r="BA1229">
        <v>2.4840000000000001E-3</v>
      </c>
    </row>
    <row r="1230" spans="1:53" x14ac:dyDescent="0.25">
      <c r="A1230">
        <v>1228</v>
      </c>
      <c r="B1230" t="s">
        <v>7625</v>
      </c>
      <c r="C1230">
        <v>801011</v>
      </c>
      <c r="D1230" t="s">
        <v>1366</v>
      </c>
      <c r="E1230" t="s">
        <v>1342</v>
      </c>
      <c r="F1230">
        <v>3209007</v>
      </c>
      <c r="G1230">
        <v>11854.186523</v>
      </c>
      <c r="H1230">
        <v>1230</v>
      </c>
      <c r="I1230">
        <v>1460</v>
      </c>
      <c r="J1230">
        <v>63191</v>
      </c>
      <c r="K1230" t="s">
        <v>1366</v>
      </c>
      <c r="L1230">
        <v>22</v>
      </c>
      <c r="M1230">
        <v>22</v>
      </c>
      <c r="N1230">
        <v>63191</v>
      </c>
      <c r="O1230">
        <v>1206</v>
      </c>
      <c r="P1230" t="s">
        <v>3213</v>
      </c>
      <c r="Q1230">
        <v>0.3</v>
      </c>
      <c r="R1230">
        <v>53.84</v>
      </c>
      <c r="S1230">
        <v>0.17</v>
      </c>
      <c r="T1230">
        <v>31</v>
      </c>
      <c r="U1230">
        <v>3209007.0455299998</v>
      </c>
      <c r="V1230">
        <v>11854.187461</v>
      </c>
      <c r="W1230">
        <v>1229</v>
      </c>
      <c r="X1230">
        <v>0</v>
      </c>
      <c r="Y1230">
        <v>1228</v>
      </c>
      <c r="Z1230" t="s">
        <v>6966</v>
      </c>
      <c r="AA1230" t="s">
        <v>6966</v>
      </c>
      <c r="AB1230" t="s">
        <v>6966</v>
      </c>
      <c r="AC1230" t="s">
        <v>6966</v>
      </c>
      <c r="AD1230" t="s">
        <v>6966</v>
      </c>
      <c r="AE1230" t="s">
        <v>6966</v>
      </c>
      <c r="AF1230" t="s">
        <v>6966</v>
      </c>
      <c r="AG1230" t="s">
        <v>6966</v>
      </c>
      <c r="AH1230" t="s">
        <v>6966</v>
      </c>
      <c r="AI1230" t="s">
        <v>6966</v>
      </c>
      <c r="AJ1230" t="s">
        <v>6966</v>
      </c>
      <c r="AK1230" t="s">
        <v>6966</v>
      </c>
      <c r="AL1230" t="s">
        <v>6966</v>
      </c>
      <c r="AM1230" t="s">
        <v>6966</v>
      </c>
      <c r="AN1230" t="s">
        <v>6966</v>
      </c>
      <c r="AO1230" t="s">
        <v>6966</v>
      </c>
      <c r="AP1230" t="s">
        <v>6966</v>
      </c>
      <c r="AQ1230" t="s">
        <v>6966</v>
      </c>
      <c r="AR1230" t="s">
        <v>6966</v>
      </c>
      <c r="AS1230" t="s">
        <v>6966</v>
      </c>
      <c r="AT1230" t="s">
        <v>6966</v>
      </c>
      <c r="AU1230" t="s">
        <v>6966</v>
      </c>
      <c r="AV1230" t="s">
        <v>6966</v>
      </c>
      <c r="AW1230" t="s">
        <v>6966</v>
      </c>
      <c r="AX1230" t="s">
        <v>6966</v>
      </c>
      <c r="AY1230" t="s">
        <v>6966</v>
      </c>
      <c r="AZ1230">
        <v>0.11876</v>
      </c>
      <c r="BA1230">
        <v>3.1100000000000002E-4</v>
      </c>
    </row>
    <row r="1231" spans="1:53" x14ac:dyDescent="0.25">
      <c r="A1231">
        <v>1229</v>
      </c>
      <c r="B1231" t="s">
        <v>7625</v>
      </c>
      <c r="C1231">
        <v>801079</v>
      </c>
      <c r="D1231" t="s">
        <v>87</v>
      </c>
      <c r="E1231" t="s">
        <v>1342</v>
      </c>
      <c r="F1231">
        <v>72706.117188000004</v>
      </c>
      <c r="G1231">
        <v>1350.8542480000001</v>
      </c>
      <c r="H1231">
        <v>1231</v>
      </c>
      <c r="I1231">
        <v>1461</v>
      </c>
      <c r="J1231">
        <v>63001</v>
      </c>
      <c r="K1231" t="s">
        <v>87</v>
      </c>
      <c r="L1231">
        <v>22</v>
      </c>
      <c r="M1231">
        <v>22</v>
      </c>
      <c r="N1231">
        <v>63001</v>
      </c>
      <c r="O1231">
        <v>1207</v>
      </c>
      <c r="P1231" t="s">
        <v>3213</v>
      </c>
      <c r="Q1231">
        <v>0</v>
      </c>
      <c r="R1231">
        <v>0</v>
      </c>
      <c r="S1231">
        <v>0</v>
      </c>
      <c r="T1231">
        <v>0</v>
      </c>
      <c r="U1231">
        <v>72706.109106999997</v>
      </c>
      <c r="V1231">
        <v>1350.8540109999999</v>
      </c>
      <c r="W1231">
        <v>1230</v>
      </c>
      <c r="X1231">
        <v>0</v>
      </c>
      <c r="Y1231">
        <v>1229</v>
      </c>
      <c r="Z1231" t="s">
        <v>6966</v>
      </c>
      <c r="AA1231" t="s">
        <v>6966</v>
      </c>
      <c r="AB1231" t="s">
        <v>6966</v>
      </c>
      <c r="AC1231" t="s">
        <v>6966</v>
      </c>
      <c r="AD1231" t="s">
        <v>6966</v>
      </c>
      <c r="AE1231" t="s">
        <v>6966</v>
      </c>
      <c r="AF1231" t="s">
        <v>6966</v>
      </c>
      <c r="AG1231" t="s">
        <v>6966</v>
      </c>
      <c r="AH1231" t="s">
        <v>6966</v>
      </c>
      <c r="AI1231" t="s">
        <v>6966</v>
      </c>
      <c r="AJ1231" t="s">
        <v>6966</v>
      </c>
      <c r="AK1231" t="s">
        <v>6966</v>
      </c>
      <c r="AL1231" t="s">
        <v>6966</v>
      </c>
      <c r="AM1231" t="s">
        <v>6966</v>
      </c>
      <c r="AN1231" t="s">
        <v>6966</v>
      </c>
      <c r="AO1231" t="s">
        <v>6966</v>
      </c>
      <c r="AP1231" t="s">
        <v>6966</v>
      </c>
      <c r="AQ1231" t="s">
        <v>6966</v>
      </c>
      <c r="AR1231" t="s">
        <v>6966</v>
      </c>
      <c r="AS1231" t="s">
        <v>6966</v>
      </c>
      <c r="AT1231" t="s">
        <v>6966</v>
      </c>
      <c r="AU1231" t="s">
        <v>6966</v>
      </c>
      <c r="AV1231" t="s">
        <v>6966</v>
      </c>
      <c r="AW1231" t="s">
        <v>6966</v>
      </c>
      <c r="AX1231" t="s">
        <v>6966</v>
      </c>
      <c r="AY1231" t="s">
        <v>6966</v>
      </c>
      <c r="AZ1231">
        <v>1.3768000000000001E-2</v>
      </c>
      <c r="BA1231">
        <v>6.9999999999999999E-6</v>
      </c>
    </row>
    <row r="1232" spans="1:53" x14ac:dyDescent="0.25">
      <c r="A1232">
        <v>1230</v>
      </c>
      <c r="B1232" t="s">
        <v>7625</v>
      </c>
      <c r="C1232">
        <v>801039</v>
      </c>
      <c r="D1232" t="s">
        <v>8028</v>
      </c>
      <c r="E1232" t="s">
        <v>1342</v>
      </c>
      <c r="F1232">
        <v>470152.875</v>
      </c>
      <c r="G1232">
        <v>3477.7221679999998</v>
      </c>
      <c r="H1232">
        <v>1232</v>
      </c>
      <c r="I1232">
        <v>1463</v>
      </c>
      <c r="J1232">
        <v>63157</v>
      </c>
      <c r="K1232" t="s">
        <v>8028</v>
      </c>
      <c r="L1232">
        <v>22</v>
      </c>
      <c r="M1232">
        <v>22</v>
      </c>
      <c r="N1232">
        <v>63157</v>
      </c>
      <c r="O1232">
        <v>1208</v>
      </c>
      <c r="P1232" t="s">
        <v>3213</v>
      </c>
      <c r="Q1232">
        <v>2.6</v>
      </c>
      <c r="R1232">
        <v>35</v>
      </c>
      <c r="S1232">
        <v>0.85</v>
      </c>
      <c r="T1232">
        <v>11</v>
      </c>
      <c r="U1232">
        <v>470152.89326600003</v>
      </c>
      <c r="V1232">
        <v>3477.7219060000002</v>
      </c>
      <c r="W1232">
        <v>1231</v>
      </c>
      <c r="X1232">
        <v>0</v>
      </c>
      <c r="Y1232">
        <v>1230</v>
      </c>
      <c r="Z1232" t="s">
        <v>6966</v>
      </c>
      <c r="AA1232" t="s">
        <v>6966</v>
      </c>
      <c r="AB1232" t="s">
        <v>6966</v>
      </c>
      <c r="AC1232" t="s">
        <v>6966</v>
      </c>
      <c r="AD1232" t="s">
        <v>6966</v>
      </c>
      <c r="AE1232" t="s">
        <v>6966</v>
      </c>
      <c r="AF1232" t="s">
        <v>6966</v>
      </c>
      <c r="AG1232" t="s">
        <v>6966</v>
      </c>
      <c r="AH1232" t="s">
        <v>6966</v>
      </c>
      <c r="AI1232" t="s">
        <v>6966</v>
      </c>
      <c r="AJ1232" t="s">
        <v>6966</v>
      </c>
      <c r="AK1232" t="s">
        <v>6966</v>
      </c>
      <c r="AL1232" t="s">
        <v>6966</v>
      </c>
      <c r="AM1232" t="s">
        <v>6966</v>
      </c>
      <c r="AN1232" t="s">
        <v>6966</v>
      </c>
      <c r="AO1232" t="s">
        <v>6966</v>
      </c>
      <c r="AP1232" t="s">
        <v>6966</v>
      </c>
      <c r="AQ1232" t="s">
        <v>6966</v>
      </c>
      <c r="AR1232" t="s">
        <v>6966</v>
      </c>
      <c r="AS1232" t="s">
        <v>6966</v>
      </c>
      <c r="AT1232" t="s">
        <v>6966</v>
      </c>
      <c r="AU1232" t="s">
        <v>6966</v>
      </c>
      <c r="AV1232" t="s">
        <v>6966</v>
      </c>
      <c r="AW1232" t="s">
        <v>6966</v>
      </c>
      <c r="AX1232" t="s">
        <v>6966</v>
      </c>
      <c r="AY1232" t="s">
        <v>6966</v>
      </c>
      <c r="AZ1232">
        <v>3.4336999999999999E-2</v>
      </c>
      <c r="BA1232">
        <v>4.6E-5</v>
      </c>
    </row>
    <row r="1233" spans="1:53" x14ac:dyDescent="0.25">
      <c r="A1233">
        <v>1231</v>
      </c>
      <c r="B1233" t="s">
        <v>7625</v>
      </c>
      <c r="C1233">
        <v>402025</v>
      </c>
      <c r="D1233" t="s">
        <v>8029</v>
      </c>
      <c r="E1233" t="s">
        <v>7999</v>
      </c>
      <c r="F1233">
        <v>0</v>
      </c>
      <c r="G1233">
        <v>20834.119140999999</v>
      </c>
      <c r="H1233">
        <v>1233</v>
      </c>
      <c r="I1233">
        <v>1465</v>
      </c>
      <c r="J1233">
        <v>55141</v>
      </c>
      <c r="K1233" t="s">
        <v>8030</v>
      </c>
      <c r="L1233">
        <v>19</v>
      </c>
      <c r="M1233">
        <v>19</v>
      </c>
      <c r="N1233">
        <v>55141</v>
      </c>
      <c r="O1233">
        <v>1209</v>
      </c>
      <c r="P1233" t="s">
        <v>3214</v>
      </c>
      <c r="Q1233">
        <v>0.6</v>
      </c>
      <c r="R1233">
        <v>66.790000000000006</v>
      </c>
      <c r="S1233">
        <v>0.12</v>
      </c>
      <c r="T1233">
        <v>13</v>
      </c>
      <c r="U1233">
        <v>0</v>
      </c>
      <c r="V1233">
        <v>20834.118598000001</v>
      </c>
      <c r="W1233">
        <v>1232</v>
      </c>
      <c r="X1233">
        <v>0</v>
      </c>
      <c r="Y1233">
        <v>1231</v>
      </c>
      <c r="Z1233" t="s">
        <v>6966</v>
      </c>
      <c r="AA1233" t="s">
        <v>6966</v>
      </c>
      <c r="AB1233" t="s">
        <v>6966</v>
      </c>
      <c r="AC1233" t="s">
        <v>6966</v>
      </c>
      <c r="AD1233" t="s">
        <v>6966</v>
      </c>
      <c r="AE1233" t="s">
        <v>6966</v>
      </c>
      <c r="AF1233" t="s">
        <v>6966</v>
      </c>
      <c r="AG1233" t="s">
        <v>6966</v>
      </c>
      <c r="AH1233" t="s">
        <v>6966</v>
      </c>
      <c r="AI1233" t="s">
        <v>6966</v>
      </c>
      <c r="AJ1233" t="s">
        <v>6966</v>
      </c>
      <c r="AK1233" t="s">
        <v>6966</v>
      </c>
      <c r="AL1233" t="s">
        <v>6966</v>
      </c>
      <c r="AM1233" t="s">
        <v>6966</v>
      </c>
      <c r="AN1233" t="s">
        <v>6966</v>
      </c>
      <c r="AO1233" t="s">
        <v>6966</v>
      </c>
      <c r="AP1233" t="s">
        <v>6966</v>
      </c>
      <c r="AQ1233" t="s">
        <v>6966</v>
      </c>
      <c r="AR1233" t="s">
        <v>6966</v>
      </c>
      <c r="AS1233" t="s">
        <v>6966</v>
      </c>
      <c r="AT1233" t="s">
        <v>6966</v>
      </c>
      <c r="AU1233" t="s">
        <v>6966</v>
      </c>
      <c r="AV1233" t="s">
        <v>6966</v>
      </c>
      <c r="AW1233" t="s">
        <v>6966</v>
      </c>
      <c r="AX1233" t="s">
        <v>6966</v>
      </c>
      <c r="AY1233" t="s">
        <v>6966</v>
      </c>
      <c r="AZ1233">
        <v>0.20512</v>
      </c>
      <c r="BA1233">
        <v>1.3829999999999999E-3</v>
      </c>
    </row>
    <row r="1234" spans="1:53" x14ac:dyDescent="0.25">
      <c r="A1234">
        <v>1232</v>
      </c>
      <c r="B1234" t="s">
        <v>7625</v>
      </c>
      <c r="C1234">
        <v>801046</v>
      </c>
      <c r="D1234" t="s">
        <v>1394</v>
      </c>
      <c r="E1234" t="s">
        <v>1342</v>
      </c>
      <c r="F1234">
        <v>645790.375</v>
      </c>
      <c r="G1234">
        <v>3986.5268550000001</v>
      </c>
      <c r="H1234">
        <v>1234</v>
      </c>
      <c r="I1234">
        <v>1466</v>
      </c>
      <c r="J1234">
        <v>63297</v>
      </c>
      <c r="K1234" t="s">
        <v>8031</v>
      </c>
      <c r="L1234">
        <v>22</v>
      </c>
      <c r="M1234">
        <v>22</v>
      </c>
      <c r="N1234">
        <v>63297</v>
      </c>
      <c r="O1234">
        <v>1210</v>
      </c>
      <c r="P1234" t="s">
        <v>3213</v>
      </c>
      <c r="Q1234">
        <v>3.8</v>
      </c>
      <c r="R1234">
        <v>71.95</v>
      </c>
      <c r="S1234">
        <v>1.08</v>
      </c>
      <c r="T1234">
        <v>21</v>
      </c>
      <c r="U1234">
        <v>645790.37427699997</v>
      </c>
      <c r="V1234">
        <v>3986.5276990000002</v>
      </c>
      <c r="W1234">
        <v>1233</v>
      </c>
      <c r="X1234">
        <v>0</v>
      </c>
      <c r="Y1234">
        <v>1232</v>
      </c>
      <c r="Z1234" t="s">
        <v>6966</v>
      </c>
      <c r="AA1234" t="s">
        <v>6966</v>
      </c>
      <c r="AB1234" t="s">
        <v>6966</v>
      </c>
      <c r="AC1234" t="s">
        <v>6966</v>
      </c>
      <c r="AD1234" t="s">
        <v>6966</v>
      </c>
      <c r="AE1234" t="s">
        <v>6966</v>
      </c>
      <c r="AF1234" t="s">
        <v>6966</v>
      </c>
      <c r="AG1234" t="s">
        <v>6966</v>
      </c>
      <c r="AH1234" t="s">
        <v>6966</v>
      </c>
      <c r="AI1234" t="s">
        <v>6966</v>
      </c>
      <c r="AJ1234" t="s">
        <v>6966</v>
      </c>
      <c r="AK1234" t="s">
        <v>6966</v>
      </c>
      <c r="AL1234" t="s">
        <v>6966</v>
      </c>
      <c r="AM1234" t="s">
        <v>6966</v>
      </c>
      <c r="AN1234" t="s">
        <v>6966</v>
      </c>
      <c r="AO1234" t="s">
        <v>6966</v>
      </c>
      <c r="AP1234" t="s">
        <v>6966</v>
      </c>
      <c r="AQ1234" t="s">
        <v>6966</v>
      </c>
      <c r="AR1234" t="s">
        <v>6966</v>
      </c>
      <c r="AS1234" t="s">
        <v>6966</v>
      </c>
      <c r="AT1234" t="s">
        <v>6966</v>
      </c>
      <c r="AU1234" t="s">
        <v>6966</v>
      </c>
      <c r="AV1234" t="s">
        <v>6966</v>
      </c>
      <c r="AW1234" t="s">
        <v>6966</v>
      </c>
      <c r="AX1234" t="s">
        <v>6966</v>
      </c>
      <c r="AY1234" t="s">
        <v>6966</v>
      </c>
      <c r="AZ1234">
        <v>4.0133000000000002E-2</v>
      </c>
      <c r="BA1234">
        <v>6.3E-5</v>
      </c>
    </row>
    <row r="1235" spans="1:53" x14ac:dyDescent="0.25">
      <c r="A1235">
        <v>1233</v>
      </c>
      <c r="B1235" t="s">
        <v>7625</v>
      </c>
      <c r="C1235">
        <v>401005</v>
      </c>
      <c r="D1235" t="s">
        <v>1030</v>
      </c>
      <c r="E1235" t="s">
        <v>3221</v>
      </c>
      <c r="F1235">
        <v>0</v>
      </c>
      <c r="G1235">
        <v>19191.240234000001</v>
      </c>
      <c r="H1235">
        <v>1235</v>
      </c>
      <c r="I1235">
        <v>1467</v>
      </c>
      <c r="J1235">
        <v>52121</v>
      </c>
      <c r="K1235" t="s">
        <v>8032</v>
      </c>
      <c r="L1235">
        <v>16</v>
      </c>
      <c r="M1235">
        <v>16</v>
      </c>
      <c r="N1235">
        <v>52121</v>
      </c>
      <c r="O1235">
        <v>1211</v>
      </c>
      <c r="P1235" t="s">
        <v>3214</v>
      </c>
      <c r="Q1235">
        <v>0.5</v>
      </c>
      <c r="R1235">
        <v>36.270000000000003</v>
      </c>
      <c r="S1235">
        <v>0.14000000000000001</v>
      </c>
      <c r="T1235">
        <v>16</v>
      </c>
      <c r="U1235">
        <v>0</v>
      </c>
      <c r="V1235">
        <v>19191.239991999999</v>
      </c>
      <c r="W1235">
        <v>1234</v>
      </c>
      <c r="X1235">
        <v>0</v>
      </c>
      <c r="Y1235">
        <v>1233</v>
      </c>
      <c r="Z1235" t="s">
        <v>6966</v>
      </c>
      <c r="AA1235" t="s">
        <v>6966</v>
      </c>
      <c r="AB1235" t="s">
        <v>6966</v>
      </c>
      <c r="AC1235" t="s">
        <v>6966</v>
      </c>
      <c r="AD1235" t="s">
        <v>6966</v>
      </c>
      <c r="AE1235" t="s">
        <v>6966</v>
      </c>
      <c r="AF1235" t="s">
        <v>6966</v>
      </c>
      <c r="AG1235" t="s">
        <v>6966</v>
      </c>
      <c r="AH1235" t="s">
        <v>6966</v>
      </c>
      <c r="AI1235" t="s">
        <v>6966</v>
      </c>
      <c r="AJ1235" t="s">
        <v>6966</v>
      </c>
      <c r="AK1235" t="s">
        <v>6966</v>
      </c>
      <c r="AL1235" t="s">
        <v>6966</v>
      </c>
      <c r="AM1235" t="s">
        <v>6966</v>
      </c>
      <c r="AN1235" t="s">
        <v>6966</v>
      </c>
      <c r="AO1235" t="s">
        <v>6966</v>
      </c>
      <c r="AP1235" t="s">
        <v>6966</v>
      </c>
      <c r="AQ1235" t="s">
        <v>6966</v>
      </c>
      <c r="AR1235" t="s">
        <v>6966</v>
      </c>
      <c r="AS1235" t="s">
        <v>6966</v>
      </c>
      <c r="AT1235" t="s">
        <v>6966</v>
      </c>
      <c r="AU1235" t="s">
        <v>6966</v>
      </c>
      <c r="AV1235" t="s">
        <v>6966</v>
      </c>
      <c r="AW1235" t="s">
        <v>6966</v>
      </c>
      <c r="AX1235" t="s">
        <v>6966</v>
      </c>
      <c r="AY1235" t="s">
        <v>6966</v>
      </c>
      <c r="AZ1235">
        <v>0.190914</v>
      </c>
      <c r="BA1235">
        <v>1.34E-3</v>
      </c>
    </row>
    <row r="1236" spans="1:53" x14ac:dyDescent="0.25">
      <c r="A1236">
        <v>1234</v>
      </c>
      <c r="B1236" t="s">
        <v>7625</v>
      </c>
      <c r="C1236">
        <v>801009</v>
      </c>
      <c r="D1236" t="s">
        <v>1352</v>
      </c>
      <c r="E1236" t="s">
        <v>1342</v>
      </c>
      <c r="F1236">
        <v>1675381.75</v>
      </c>
      <c r="G1236">
        <v>7724.0766599999997</v>
      </c>
      <c r="H1236">
        <v>1236</v>
      </c>
      <c r="I1236">
        <v>1468</v>
      </c>
      <c r="J1236">
        <v>63144</v>
      </c>
      <c r="K1236" t="s">
        <v>2639</v>
      </c>
      <c r="L1236">
        <v>22</v>
      </c>
      <c r="M1236">
        <v>22</v>
      </c>
      <c r="N1236">
        <v>63144</v>
      </c>
      <c r="O1236">
        <v>1212</v>
      </c>
      <c r="P1236" t="s">
        <v>3213</v>
      </c>
      <c r="Q1236">
        <v>3</v>
      </c>
      <c r="R1236">
        <v>19.63</v>
      </c>
      <c r="S1236">
        <v>1.05</v>
      </c>
      <c r="T1236">
        <v>7</v>
      </c>
      <c r="U1236">
        <v>1675381.71958</v>
      </c>
      <c r="V1236">
        <v>7724.0758759999999</v>
      </c>
      <c r="W1236">
        <v>1235</v>
      </c>
      <c r="X1236">
        <v>0</v>
      </c>
      <c r="Y1236">
        <v>1234</v>
      </c>
      <c r="Z1236" t="s">
        <v>6966</v>
      </c>
      <c r="AA1236" t="s">
        <v>6966</v>
      </c>
      <c r="AB1236" t="s">
        <v>6966</v>
      </c>
      <c r="AC1236" t="s">
        <v>6966</v>
      </c>
      <c r="AD1236" t="s">
        <v>6966</v>
      </c>
      <c r="AE1236" t="s">
        <v>6966</v>
      </c>
      <c r="AF1236" t="s">
        <v>6966</v>
      </c>
      <c r="AG1236" t="s">
        <v>6966</v>
      </c>
      <c r="AH1236" t="s">
        <v>6966</v>
      </c>
      <c r="AI1236" t="s">
        <v>6966</v>
      </c>
      <c r="AJ1236" t="s">
        <v>6966</v>
      </c>
      <c r="AK1236" t="s">
        <v>6966</v>
      </c>
      <c r="AL1236" t="s">
        <v>6966</v>
      </c>
      <c r="AM1236" t="s">
        <v>6966</v>
      </c>
      <c r="AN1236" t="s">
        <v>6966</v>
      </c>
      <c r="AO1236" t="s">
        <v>6966</v>
      </c>
      <c r="AP1236" t="s">
        <v>6966</v>
      </c>
      <c r="AQ1236" t="s">
        <v>6966</v>
      </c>
      <c r="AR1236" t="s">
        <v>6966</v>
      </c>
      <c r="AS1236" t="s">
        <v>6966</v>
      </c>
      <c r="AT1236" t="s">
        <v>6966</v>
      </c>
      <c r="AU1236" t="s">
        <v>6966</v>
      </c>
      <c r="AV1236" t="s">
        <v>6966</v>
      </c>
      <c r="AW1236" t="s">
        <v>6966</v>
      </c>
      <c r="AX1236" t="s">
        <v>6966</v>
      </c>
      <c r="AY1236" t="s">
        <v>6966</v>
      </c>
      <c r="AZ1236">
        <v>7.7987000000000001E-2</v>
      </c>
      <c r="BA1236">
        <v>1.63E-4</v>
      </c>
    </row>
    <row r="1237" spans="1:53" x14ac:dyDescent="0.25">
      <c r="A1237">
        <v>1235</v>
      </c>
      <c r="B1237" t="s">
        <v>7625</v>
      </c>
      <c r="C1237">
        <v>802015</v>
      </c>
      <c r="D1237" t="s">
        <v>8033</v>
      </c>
      <c r="E1237" t="s">
        <v>3039</v>
      </c>
      <c r="F1237">
        <v>513653.03125</v>
      </c>
      <c r="G1237">
        <v>3805.5737300000001</v>
      </c>
      <c r="H1237">
        <v>1237</v>
      </c>
      <c r="I1237">
        <v>1469</v>
      </c>
      <c r="J1237">
        <v>61123</v>
      </c>
      <c r="K1237" t="s">
        <v>2510</v>
      </c>
      <c r="L1237">
        <v>20</v>
      </c>
      <c r="M1237">
        <v>20</v>
      </c>
      <c r="N1237">
        <v>61123</v>
      </c>
      <c r="O1237">
        <v>1213</v>
      </c>
      <c r="P1237" t="s">
        <v>3213</v>
      </c>
      <c r="Q1237">
        <v>15.5</v>
      </c>
      <c r="R1237">
        <v>68.38</v>
      </c>
      <c r="S1237">
        <v>4.8899999999999997</v>
      </c>
      <c r="T1237">
        <v>22</v>
      </c>
      <c r="U1237">
        <v>513653.01751999999</v>
      </c>
      <c r="V1237">
        <v>3805.5737589999999</v>
      </c>
      <c r="W1237">
        <v>1236</v>
      </c>
      <c r="X1237">
        <v>0</v>
      </c>
      <c r="Y1237">
        <v>1235</v>
      </c>
      <c r="Z1237" t="s">
        <v>6966</v>
      </c>
      <c r="AA1237" t="s">
        <v>6966</v>
      </c>
      <c r="AB1237" t="s">
        <v>6966</v>
      </c>
      <c r="AC1237" t="s">
        <v>6966</v>
      </c>
      <c r="AD1237" t="s">
        <v>6966</v>
      </c>
      <c r="AE1237" t="s">
        <v>6966</v>
      </c>
      <c r="AF1237" t="s">
        <v>6966</v>
      </c>
      <c r="AG1237" t="s">
        <v>6966</v>
      </c>
      <c r="AH1237" t="s">
        <v>6966</v>
      </c>
      <c r="AI1237" t="s">
        <v>6966</v>
      </c>
      <c r="AJ1237" t="s">
        <v>6966</v>
      </c>
      <c r="AK1237" t="s">
        <v>6966</v>
      </c>
      <c r="AL1237" t="s">
        <v>6966</v>
      </c>
      <c r="AM1237" t="s">
        <v>6966</v>
      </c>
      <c r="AN1237" t="s">
        <v>6966</v>
      </c>
      <c r="AO1237" t="s">
        <v>6966</v>
      </c>
      <c r="AP1237" t="s">
        <v>6966</v>
      </c>
      <c r="AQ1237" t="s">
        <v>6966</v>
      </c>
      <c r="AR1237" t="s">
        <v>6966</v>
      </c>
      <c r="AS1237" t="s">
        <v>6966</v>
      </c>
      <c r="AT1237" t="s">
        <v>6966</v>
      </c>
      <c r="AU1237" t="s">
        <v>6966</v>
      </c>
      <c r="AV1237" t="s">
        <v>6966</v>
      </c>
      <c r="AW1237" t="s">
        <v>6966</v>
      </c>
      <c r="AX1237" t="s">
        <v>6966</v>
      </c>
      <c r="AY1237" t="s">
        <v>6966</v>
      </c>
      <c r="AZ1237">
        <v>3.7011000000000002E-2</v>
      </c>
      <c r="BA1237">
        <v>5.0000000000000002E-5</v>
      </c>
    </row>
    <row r="1238" spans="1:53" x14ac:dyDescent="0.25">
      <c r="A1238">
        <v>1236</v>
      </c>
      <c r="B1238" t="s">
        <v>7625</v>
      </c>
      <c r="C1238">
        <v>402021</v>
      </c>
      <c r="D1238" t="s">
        <v>1170</v>
      </c>
      <c r="E1238" t="s">
        <v>7999</v>
      </c>
      <c r="F1238">
        <v>0</v>
      </c>
      <c r="G1238">
        <v>38800.566405999998</v>
      </c>
      <c r="H1238">
        <v>1238</v>
      </c>
      <c r="I1238">
        <v>1470</v>
      </c>
      <c r="J1238">
        <v>55134</v>
      </c>
      <c r="K1238" t="s">
        <v>2491</v>
      </c>
      <c r="L1238">
        <v>19</v>
      </c>
      <c r="M1238">
        <v>19</v>
      </c>
      <c r="N1238">
        <v>55134</v>
      </c>
      <c r="O1238">
        <v>1214</v>
      </c>
      <c r="P1238" t="s">
        <v>3214</v>
      </c>
      <c r="Q1238">
        <v>0.4</v>
      </c>
      <c r="R1238">
        <v>81.13</v>
      </c>
      <c r="S1238">
        <v>7.0000000000000007E-2</v>
      </c>
      <c r="T1238">
        <v>15</v>
      </c>
      <c r="U1238">
        <v>0</v>
      </c>
      <c r="V1238">
        <v>38800.566031000002</v>
      </c>
      <c r="W1238">
        <v>1237</v>
      </c>
      <c r="X1238">
        <v>0</v>
      </c>
      <c r="Y1238">
        <v>1236</v>
      </c>
      <c r="Z1238" t="s">
        <v>6966</v>
      </c>
      <c r="AA1238" t="s">
        <v>6966</v>
      </c>
      <c r="AB1238" t="s">
        <v>6966</v>
      </c>
      <c r="AC1238" t="s">
        <v>6966</v>
      </c>
      <c r="AD1238" t="s">
        <v>6966</v>
      </c>
      <c r="AE1238" t="s">
        <v>6966</v>
      </c>
      <c r="AF1238" t="s">
        <v>6966</v>
      </c>
      <c r="AG1238" t="s">
        <v>6966</v>
      </c>
      <c r="AH1238" t="s">
        <v>6966</v>
      </c>
      <c r="AI1238" t="s">
        <v>6966</v>
      </c>
      <c r="AJ1238" t="s">
        <v>6966</v>
      </c>
      <c r="AK1238" t="s">
        <v>6966</v>
      </c>
      <c r="AL1238" t="s">
        <v>6966</v>
      </c>
      <c r="AM1238" t="s">
        <v>6966</v>
      </c>
      <c r="AN1238" t="s">
        <v>6966</v>
      </c>
      <c r="AO1238" t="s">
        <v>6966</v>
      </c>
      <c r="AP1238" t="s">
        <v>6966</v>
      </c>
      <c r="AQ1238" t="s">
        <v>6966</v>
      </c>
      <c r="AR1238" t="s">
        <v>6966</v>
      </c>
      <c r="AS1238" t="s">
        <v>6966</v>
      </c>
      <c r="AT1238" t="s">
        <v>6966</v>
      </c>
      <c r="AU1238" t="s">
        <v>6966</v>
      </c>
      <c r="AV1238" t="s">
        <v>6966</v>
      </c>
      <c r="AW1238" t="s">
        <v>6966</v>
      </c>
      <c r="AX1238" t="s">
        <v>6966</v>
      </c>
      <c r="AY1238" t="s">
        <v>6966</v>
      </c>
      <c r="AZ1238">
        <v>0.38814500000000002</v>
      </c>
      <c r="BA1238">
        <v>5.3839999999999999E-3</v>
      </c>
    </row>
    <row r="1239" spans="1:53" x14ac:dyDescent="0.25">
      <c r="A1239">
        <v>1237</v>
      </c>
      <c r="B1239" t="s">
        <v>7625</v>
      </c>
      <c r="C1239">
        <v>801014</v>
      </c>
      <c r="D1239" t="s">
        <v>1354</v>
      </c>
      <c r="E1239" t="s">
        <v>1342</v>
      </c>
      <c r="F1239">
        <v>3199952.5</v>
      </c>
      <c r="G1239">
        <v>10819.569336</v>
      </c>
      <c r="H1239">
        <v>1239</v>
      </c>
      <c r="I1239">
        <v>1471</v>
      </c>
      <c r="J1239">
        <v>63151</v>
      </c>
      <c r="K1239" t="s">
        <v>2641</v>
      </c>
      <c r="L1239">
        <v>22</v>
      </c>
      <c r="M1239">
        <v>22</v>
      </c>
      <c r="N1239">
        <v>63151</v>
      </c>
      <c r="O1239">
        <v>1215</v>
      </c>
      <c r="P1239" t="s">
        <v>3213</v>
      </c>
      <c r="Q1239">
        <v>0.8</v>
      </c>
      <c r="R1239">
        <v>12.57</v>
      </c>
      <c r="S1239">
        <v>0.37</v>
      </c>
      <c r="T1239">
        <v>5</v>
      </c>
      <c r="U1239">
        <v>3199952.59406</v>
      </c>
      <c r="V1239">
        <v>10819.568076</v>
      </c>
      <c r="W1239">
        <v>1238</v>
      </c>
      <c r="X1239">
        <v>0</v>
      </c>
      <c r="Y1239">
        <v>1237</v>
      </c>
      <c r="Z1239" t="s">
        <v>6966</v>
      </c>
      <c r="AA1239" t="s">
        <v>6966</v>
      </c>
      <c r="AB1239" t="s">
        <v>6966</v>
      </c>
      <c r="AC1239" t="s">
        <v>6966</v>
      </c>
      <c r="AD1239" t="s">
        <v>6966</v>
      </c>
      <c r="AE1239" t="s">
        <v>6966</v>
      </c>
      <c r="AF1239" t="s">
        <v>6966</v>
      </c>
      <c r="AG1239" t="s">
        <v>6966</v>
      </c>
      <c r="AH1239" t="s">
        <v>6966</v>
      </c>
      <c r="AI1239" t="s">
        <v>6966</v>
      </c>
      <c r="AJ1239" t="s">
        <v>6966</v>
      </c>
      <c r="AK1239" t="s">
        <v>6966</v>
      </c>
      <c r="AL1239" t="s">
        <v>6966</v>
      </c>
      <c r="AM1239" t="s">
        <v>6966</v>
      </c>
      <c r="AN1239" t="s">
        <v>6966</v>
      </c>
      <c r="AO1239" t="s">
        <v>6966</v>
      </c>
      <c r="AP1239" t="s">
        <v>6966</v>
      </c>
      <c r="AQ1239" t="s">
        <v>6966</v>
      </c>
      <c r="AR1239" t="s">
        <v>6966</v>
      </c>
      <c r="AS1239" t="s">
        <v>6966</v>
      </c>
      <c r="AT1239" t="s">
        <v>6966</v>
      </c>
      <c r="AU1239" t="s">
        <v>6966</v>
      </c>
      <c r="AV1239" t="s">
        <v>6966</v>
      </c>
      <c r="AW1239" t="s">
        <v>6966</v>
      </c>
      <c r="AX1239" t="s">
        <v>6966</v>
      </c>
      <c r="AY1239" t="s">
        <v>6966</v>
      </c>
      <c r="AZ1239">
        <v>0.107794</v>
      </c>
      <c r="BA1239">
        <v>3.1100000000000002E-4</v>
      </c>
    </row>
    <row r="1240" spans="1:53" x14ac:dyDescent="0.25">
      <c r="A1240">
        <v>1238</v>
      </c>
      <c r="B1240" t="s">
        <v>7625</v>
      </c>
      <c r="C1240">
        <v>801064</v>
      </c>
      <c r="D1240" t="s">
        <v>8034</v>
      </c>
      <c r="E1240" t="s">
        <v>1342</v>
      </c>
      <c r="F1240">
        <v>2091402.25</v>
      </c>
      <c r="G1240">
        <v>9574.9101559999999</v>
      </c>
      <c r="H1240">
        <v>1240</v>
      </c>
      <c r="I1240">
        <v>1472</v>
      </c>
      <c r="J1240">
        <v>63291</v>
      </c>
      <c r="K1240" t="s">
        <v>7938</v>
      </c>
      <c r="L1240">
        <v>22</v>
      </c>
      <c r="M1240">
        <v>22</v>
      </c>
      <c r="N1240">
        <v>63291</v>
      </c>
      <c r="O1240">
        <v>1216</v>
      </c>
      <c r="P1240" t="s">
        <v>3213</v>
      </c>
      <c r="Q1240">
        <v>0.2</v>
      </c>
      <c r="R1240">
        <v>10.97</v>
      </c>
      <c r="S1240">
        <v>0.21</v>
      </c>
      <c r="T1240">
        <v>13</v>
      </c>
      <c r="U1240">
        <v>2091402.29666</v>
      </c>
      <c r="V1240">
        <v>9574.90942</v>
      </c>
      <c r="W1240">
        <v>1239</v>
      </c>
      <c r="X1240">
        <v>0</v>
      </c>
      <c r="Y1240">
        <v>1238</v>
      </c>
      <c r="Z1240" t="s">
        <v>6966</v>
      </c>
      <c r="AA1240" t="s">
        <v>6966</v>
      </c>
      <c r="AB1240" t="s">
        <v>6966</v>
      </c>
      <c r="AC1240" t="s">
        <v>6966</v>
      </c>
      <c r="AD1240" t="s">
        <v>6966</v>
      </c>
      <c r="AE1240" t="s">
        <v>6966</v>
      </c>
      <c r="AF1240" t="s">
        <v>6966</v>
      </c>
      <c r="AG1240" t="s">
        <v>6966</v>
      </c>
      <c r="AH1240" t="s">
        <v>6966</v>
      </c>
      <c r="AI1240" t="s">
        <v>6966</v>
      </c>
      <c r="AJ1240" t="s">
        <v>6966</v>
      </c>
      <c r="AK1240" t="s">
        <v>6966</v>
      </c>
      <c r="AL1240" t="s">
        <v>6966</v>
      </c>
      <c r="AM1240" t="s">
        <v>6966</v>
      </c>
      <c r="AN1240" t="s">
        <v>6966</v>
      </c>
      <c r="AO1240" t="s">
        <v>6966</v>
      </c>
      <c r="AP1240" t="s">
        <v>6966</v>
      </c>
      <c r="AQ1240" t="s">
        <v>6966</v>
      </c>
      <c r="AR1240" t="s">
        <v>6966</v>
      </c>
      <c r="AS1240" t="s">
        <v>6966</v>
      </c>
      <c r="AT1240" t="s">
        <v>6966</v>
      </c>
      <c r="AU1240" t="s">
        <v>6966</v>
      </c>
      <c r="AV1240" t="s">
        <v>6966</v>
      </c>
      <c r="AW1240" t="s">
        <v>6966</v>
      </c>
      <c r="AX1240" t="s">
        <v>6966</v>
      </c>
      <c r="AY1240" t="s">
        <v>6966</v>
      </c>
      <c r="AZ1240">
        <v>9.7919000000000006E-2</v>
      </c>
      <c r="BA1240">
        <v>2.03E-4</v>
      </c>
    </row>
    <row r="1241" spans="1:53" x14ac:dyDescent="0.25">
      <c r="A1241">
        <v>1239</v>
      </c>
      <c r="B1241" t="s">
        <v>7625</v>
      </c>
      <c r="C1241">
        <v>801075</v>
      </c>
      <c r="D1241" t="s">
        <v>1365</v>
      </c>
      <c r="E1241" t="s">
        <v>1342</v>
      </c>
      <c r="F1241">
        <v>222339.578125</v>
      </c>
      <c r="G1241">
        <v>2442.4167480000001</v>
      </c>
      <c r="H1241">
        <v>1241</v>
      </c>
      <c r="I1241">
        <v>1473</v>
      </c>
      <c r="J1241">
        <v>63187</v>
      </c>
      <c r="K1241" t="s">
        <v>8035</v>
      </c>
      <c r="L1241">
        <v>22</v>
      </c>
      <c r="M1241">
        <v>22</v>
      </c>
      <c r="N1241">
        <v>63187</v>
      </c>
      <c r="O1241">
        <v>1217</v>
      </c>
      <c r="P1241" t="s">
        <v>3213</v>
      </c>
      <c r="Q1241">
        <v>2.2000000000000002</v>
      </c>
      <c r="R1241">
        <v>0</v>
      </c>
      <c r="S1241">
        <v>1.1299999999999999</v>
      </c>
      <c r="T1241">
        <v>0</v>
      </c>
      <c r="U1241">
        <v>222339.59807499999</v>
      </c>
      <c r="V1241">
        <v>2442.4168869999999</v>
      </c>
      <c r="W1241">
        <v>1240</v>
      </c>
      <c r="X1241">
        <v>0</v>
      </c>
      <c r="Y1241">
        <v>1239</v>
      </c>
      <c r="Z1241" t="s">
        <v>6966</v>
      </c>
      <c r="AA1241" t="s">
        <v>6966</v>
      </c>
      <c r="AB1241" t="s">
        <v>6966</v>
      </c>
      <c r="AC1241" t="s">
        <v>6966</v>
      </c>
      <c r="AD1241" t="s">
        <v>6966</v>
      </c>
      <c r="AE1241" t="s">
        <v>6966</v>
      </c>
      <c r="AF1241" t="s">
        <v>6966</v>
      </c>
      <c r="AG1241" t="s">
        <v>6966</v>
      </c>
      <c r="AH1241" t="s">
        <v>6966</v>
      </c>
      <c r="AI1241" t="s">
        <v>6966</v>
      </c>
      <c r="AJ1241" t="s">
        <v>6966</v>
      </c>
      <c r="AK1241" t="s">
        <v>6966</v>
      </c>
      <c r="AL1241" t="s">
        <v>6966</v>
      </c>
      <c r="AM1241" t="s">
        <v>6966</v>
      </c>
      <c r="AN1241" t="s">
        <v>6966</v>
      </c>
      <c r="AO1241" t="s">
        <v>6966</v>
      </c>
      <c r="AP1241" t="s">
        <v>6966</v>
      </c>
      <c r="AQ1241" t="s">
        <v>6966</v>
      </c>
      <c r="AR1241" t="s">
        <v>6966</v>
      </c>
      <c r="AS1241" t="s">
        <v>6966</v>
      </c>
      <c r="AT1241" t="s">
        <v>6966</v>
      </c>
      <c r="AU1241" t="s">
        <v>6966</v>
      </c>
      <c r="AV1241" t="s">
        <v>6966</v>
      </c>
      <c r="AW1241" t="s">
        <v>6966</v>
      </c>
      <c r="AX1241" t="s">
        <v>6966</v>
      </c>
      <c r="AY1241" t="s">
        <v>6966</v>
      </c>
      <c r="AZ1241">
        <v>2.3803999999999999E-2</v>
      </c>
      <c r="BA1241">
        <v>2.1999999999999999E-5</v>
      </c>
    </row>
    <row r="1242" spans="1:53" x14ac:dyDescent="0.25">
      <c r="A1242">
        <v>1240</v>
      </c>
      <c r="B1242" t="s">
        <v>7625</v>
      </c>
      <c r="C1242">
        <v>802001</v>
      </c>
      <c r="D1242" t="s">
        <v>1201</v>
      </c>
      <c r="E1242" t="s">
        <v>3039</v>
      </c>
      <c r="F1242">
        <v>1961233.25</v>
      </c>
      <c r="G1242">
        <v>8696.3837889999995</v>
      </c>
      <c r="H1242">
        <v>1242</v>
      </c>
      <c r="I1242">
        <v>1474</v>
      </c>
      <c r="J1242">
        <v>61244</v>
      </c>
      <c r="K1242" t="s">
        <v>2516</v>
      </c>
      <c r="L1242">
        <v>20</v>
      </c>
      <c r="M1242">
        <v>20</v>
      </c>
      <c r="N1242">
        <v>61244</v>
      </c>
      <c r="O1242">
        <v>1218</v>
      </c>
      <c r="P1242" t="s">
        <v>3213</v>
      </c>
      <c r="Q1242">
        <v>46.2</v>
      </c>
      <c r="R1242">
        <v>148.88</v>
      </c>
      <c r="S1242">
        <v>11.81</v>
      </c>
      <c r="T1242">
        <v>38</v>
      </c>
      <c r="U1242">
        <v>1961233.2760999999</v>
      </c>
      <c r="V1242">
        <v>8696.3832550000006</v>
      </c>
      <c r="W1242">
        <v>1241</v>
      </c>
      <c r="X1242">
        <v>2</v>
      </c>
      <c r="Y1242">
        <v>1240</v>
      </c>
      <c r="Z1242">
        <v>61695</v>
      </c>
      <c r="AA1242" s="76">
        <v>45782</v>
      </c>
      <c r="AB1242">
        <v>2025</v>
      </c>
      <c r="AC1242" t="s">
        <v>7215</v>
      </c>
      <c r="AD1242">
        <v>5</v>
      </c>
      <c r="AE1242" t="s">
        <v>7220</v>
      </c>
      <c r="AF1242" t="s">
        <v>3213</v>
      </c>
      <c r="AG1242" t="s">
        <v>3039</v>
      </c>
      <c r="AH1242" t="s">
        <v>1201</v>
      </c>
      <c r="AI1242" t="s">
        <v>3041</v>
      </c>
      <c r="AJ1242" t="s">
        <v>6966</v>
      </c>
      <c r="AK1242">
        <v>33.566809999999997</v>
      </c>
      <c r="AL1242">
        <v>35.405740000000002</v>
      </c>
      <c r="AM1242" t="s">
        <v>7013</v>
      </c>
      <c r="AN1242" t="s">
        <v>6995</v>
      </c>
      <c r="AO1242" t="s">
        <v>7008</v>
      </c>
      <c r="AP1242" t="s">
        <v>7221</v>
      </c>
      <c r="AQ1242" t="s">
        <v>6998</v>
      </c>
      <c r="AR1242" t="s">
        <v>6999</v>
      </c>
      <c r="AS1242" t="s">
        <v>7000</v>
      </c>
      <c r="AT1242">
        <v>0</v>
      </c>
      <c r="AU1242">
        <v>0</v>
      </c>
      <c r="AV1242" t="s">
        <v>7219</v>
      </c>
      <c r="AW1242" t="s">
        <v>7018</v>
      </c>
      <c r="AX1242" t="s">
        <v>6966</v>
      </c>
      <c r="AY1242" t="s">
        <v>7003</v>
      </c>
      <c r="AZ1242">
        <v>8.7110999999999994E-2</v>
      </c>
      <c r="BA1242">
        <v>1.9000000000000001E-4</v>
      </c>
    </row>
    <row r="1243" spans="1:53" x14ac:dyDescent="0.25">
      <c r="A1243">
        <v>1241</v>
      </c>
      <c r="B1243" t="s">
        <v>7625</v>
      </c>
      <c r="C1243">
        <v>801033</v>
      </c>
      <c r="D1243" t="s">
        <v>1378</v>
      </c>
      <c r="E1243" t="s">
        <v>1342</v>
      </c>
      <c r="F1243">
        <v>3247630.75</v>
      </c>
      <c r="G1243">
        <v>10658.926758</v>
      </c>
      <c r="H1243">
        <v>1243</v>
      </c>
      <c r="I1243">
        <v>1475</v>
      </c>
      <c r="J1243">
        <v>63244</v>
      </c>
      <c r="K1243" t="s">
        <v>1378</v>
      </c>
      <c r="L1243">
        <v>22</v>
      </c>
      <c r="M1243">
        <v>22</v>
      </c>
      <c r="N1243">
        <v>63244</v>
      </c>
      <c r="O1243">
        <v>1219</v>
      </c>
      <c r="P1243" t="s">
        <v>3213</v>
      </c>
      <c r="Q1243">
        <v>0.4</v>
      </c>
      <c r="R1243">
        <v>4.68</v>
      </c>
      <c r="S1243">
        <v>0.31</v>
      </c>
      <c r="T1243">
        <v>4</v>
      </c>
      <c r="U1243">
        <v>3247630.7959500002</v>
      </c>
      <c r="V1243">
        <v>10658.927485</v>
      </c>
      <c r="W1243">
        <v>1242</v>
      </c>
      <c r="X1243">
        <v>0</v>
      </c>
      <c r="Y1243">
        <v>1241</v>
      </c>
      <c r="Z1243" t="s">
        <v>6966</v>
      </c>
      <c r="AA1243" t="s">
        <v>6966</v>
      </c>
      <c r="AB1243" t="s">
        <v>6966</v>
      </c>
      <c r="AC1243" t="s">
        <v>6966</v>
      </c>
      <c r="AD1243" t="s">
        <v>6966</v>
      </c>
      <c r="AE1243" t="s">
        <v>6966</v>
      </c>
      <c r="AF1243" t="s">
        <v>6966</v>
      </c>
      <c r="AG1243" t="s">
        <v>6966</v>
      </c>
      <c r="AH1243" t="s">
        <v>6966</v>
      </c>
      <c r="AI1243" t="s">
        <v>6966</v>
      </c>
      <c r="AJ1243" t="s">
        <v>6966</v>
      </c>
      <c r="AK1243" t="s">
        <v>6966</v>
      </c>
      <c r="AL1243" t="s">
        <v>6966</v>
      </c>
      <c r="AM1243" t="s">
        <v>6966</v>
      </c>
      <c r="AN1243" t="s">
        <v>6966</v>
      </c>
      <c r="AO1243" t="s">
        <v>6966</v>
      </c>
      <c r="AP1243" t="s">
        <v>6966</v>
      </c>
      <c r="AQ1243" t="s">
        <v>6966</v>
      </c>
      <c r="AR1243" t="s">
        <v>6966</v>
      </c>
      <c r="AS1243" t="s">
        <v>6966</v>
      </c>
      <c r="AT1243" t="s">
        <v>6966</v>
      </c>
      <c r="AU1243" t="s">
        <v>6966</v>
      </c>
      <c r="AV1243" t="s">
        <v>6966</v>
      </c>
      <c r="AW1243" t="s">
        <v>6966</v>
      </c>
      <c r="AX1243" t="s">
        <v>6966</v>
      </c>
      <c r="AY1243" t="s">
        <v>6966</v>
      </c>
      <c r="AZ1243">
        <v>0.106923</v>
      </c>
      <c r="BA1243">
        <v>3.1500000000000001E-4</v>
      </c>
    </row>
    <row r="1244" spans="1:53" x14ac:dyDescent="0.25">
      <c r="A1244">
        <v>1242</v>
      </c>
      <c r="B1244" t="s">
        <v>7625</v>
      </c>
      <c r="C1244">
        <v>801003</v>
      </c>
      <c r="D1244" t="s">
        <v>1348</v>
      </c>
      <c r="E1244" t="s">
        <v>1342</v>
      </c>
      <c r="F1244">
        <v>2256097.75</v>
      </c>
      <c r="G1244">
        <v>9661.3613280000009</v>
      </c>
      <c r="H1244">
        <v>1244</v>
      </c>
      <c r="I1244">
        <v>1476</v>
      </c>
      <c r="J1244">
        <v>63131</v>
      </c>
      <c r="K1244" t="s">
        <v>2636</v>
      </c>
      <c r="L1244">
        <v>22</v>
      </c>
      <c r="M1244">
        <v>22</v>
      </c>
      <c r="N1244">
        <v>63131</v>
      </c>
      <c r="O1244">
        <v>1220</v>
      </c>
      <c r="P1244" t="s">
        <v>3213</v>
      </c>
      <c r="Q1244">
        <v>2</v>
      </c>
      <c r="R1244">
        <v>23.46</v>
      </c>
      <c r="S1244">
        <v>0.63</v>
      </c>
      <c r="T1244">
        <v>7</v>
      </c>
      <c r="U1244">
        <v>2256097.8953200001</v>
      </c>
      <c r="V1244">
        <v>9661.3613819999991</v>
      </c>
      <c r="W1244">
        <v>1243</v>
      </c>
      <c r="X1244">
        <v>1</v>
      </c>
      <c r="Y1244">
        <v>1242</v>
      </c>
      <c r="Z1244">
        <v>75456</v>
      </c>
      <c r="AA1244" s="76">
        <v>45981</v>
      </c>
      <c r="AB1244">
        <v>2025</v>
      </c>
      <c r="AC1244" t="s">
        <v>7516</v>
      </c>
      <c r="AD1244">
        <v>20</v>
      </c>
      <c r="AE1244" t="s">
        <v>7547</v>
      </c>
      <c r="AF1244" t="s">
        <v>3213</v>
      </c>
      <c r="AG1244" t="s">
        <v>1342</v>
      </c>
      <c r="AH1244" t="s">
        <v>1348</v>
      </c>
      <c r="AI1244" t="s">
        <v>7548</v>
      </c>
      <c r="AJ1244" t="s">
        <v>6966</v>
      </c>
      <c r="AK1244">
        <v>33.57047</v>
      </c>
      <c r="AL1244">
        <v>35.592849999999999</v>
      </c>
      <c r="AM1244" t="s">
        <v>7013</v>
      </c>
      <c r="AN1244" t="s">
        <v>7014</v>
      </c>
      <c r="AO1244" t="s">
        <v>7008</v>
      </c>
      <c r="AP1244" t="s">
        <v>7549</v>
      </c>
      <c r="AQ1244" t="s">
        <v>6998</v>
      </c>
      <c r="AR1244" t="s">
        <v>6999</v>
      </c>
      <c r="AS1244" t="s">
        <v>7000</v>
      </c>
      <c r="AT1244">
        <v>0</v>
      </c>
      <c r="AU1244">
        <v>0</v>
      </c>
      <c r="AV1244" t="s">
        <v>7533</v>
      </c>
      <c r="AW1244" t="s">
        <v>7018</v>
      </c>
      <c r="AX1244" t="s">
        <v>6966</v>
      </c>
      <c r="AY1244" t="s">
        <v>7003</v>
      </c>
      <c r="AZ1244">
        <v>9.3881000000000006E-2</v>
      </c>
      <c r="BA1244">
        <v>2.1900000000000001E-4</v>
      </c>
    </row>
    <row r="1245" spans="1:53" x14ac:dyDescent="0.25">
      <c r="A1245">
        <v>1243</v>
      </c>
      <c r="B1245" t="s">
        <v>7625</v>
      </c>
      <c r="C1245">
        <v>801012</v>
      </c>
      <c r="D1245" t="s">
        <v>1346</v>
      </c>
      <c r="E1245" t="s">
        <v>1342</v>
      </c>
      <c r="F1245">
        <v>5065927.5</v>
      </c>
      <c r="G1245">
        <v>12478.439453000001</v>
      </c>
      <c r="H1245">
        <v>1245</v>
      </c>
      <c r="I1245">
        <v>1477</v>
      </c>
      <c r="J1245">
        <v>63124</v>
      </c>
      <c r="K1245" t="s">
        <v>2634</v>
      </c>
      <c r="L1245">
        <v>22</v>
      </c>
      <c r="M1245">
        <v>22</v>
      </c>
      <c r="N1245">
        <v>63124</v>
      </c>
      <c r="O1245">
        <v>1221</v>
      </c>
      <c r="P1245" t="s">
        <v>3213</v>
      </c>
      <c r="Q1245">
        <v>1.6</v>
      </c>
      <c r="R1245">
        <v>23.61</v>
      </c>
      <c r="S1245">
        <v>0.64</v>
      </c>
      <c r="T1245">
        <v>10</v>
      </c>
      <c r="U1245">
        <v>5065927.2997000003</v>
      </c>
      <c r="V1245">
        <v>12478.439192</v>
      </c>
      <c r="W1245">
        <v>1244</v>
      </c>
      <c r="X1245">
        <v>0</v>
      </c>
      <c r="Y1245">
        <v>1243</v>
      </c>
      <c r="Z1245" t="s">
        <v>6966</v>
      </c>
      <c r="AA1245" t="s">
        <v>6966</v>
      </c>
      <c r="AB1245" t="s">
        <v>6966</v>
      </c>
      <c r="AC1245" t="s">
        <v>6966</v>
      </c>
      <c r="AD1245" t="s">
        <v>6966</v>
      </c>
      <c r="AE1245" t="s">
        <v>6966</v>
      </c>
      <c r="AF1245" t="s">
        <v>6966</v>
      </c>
      <c r="AG1245" t="s">
        <v>6966</v>
      </c>
      <c r="AH1245" t="s">
        <v>6966</v>
      </c>
      <c r="AI1245" t="s">
        <v>6966</v>
      </c>
      <c r="AJ1245" t="s">
        <v>6966</v>
      </c>
      <c r="AK1245" t="s">
        <v>6966</v>
      </c>
      <c r="AL1245" t="s">
        <v>6966</v>
      </c>
      <c r="AM1245" t="s">
        <v>6966</v>
      </c>
      <c r="AN1245" t="s">
        <v>6966</v>
      </c>
      <c r="AO1245" t="s">
        <v>6966</v>
      </c>
      <c r="AP1245" t="s">
        <v>6966</v>
      </c>
      <c r="AQ1245" t="s">
        <v>6966</v>
      </c>
      <c r="AR1245" t="s">
        <v>6966</v>
      </c>
      <c r="AS1245" t="s">
        <v>6966</v>
      </c>
      <c r="AT1245" t="s">
        <v>6966</v>
      </c>
      <c r="AU1245" t="s">
        <v>6966</v>
      </c>
      <c r="AV1245" t="s">
        <v>6966</v>
      </c>
      <c r="AW1245" t="s">
        <v>6966</v>
      </c>
      <c r="AX1245" t="s">
        <v>6966</v>
      </c>
      <c r="AY1245" t="s">
        <v>6966</v>
      </c>
      <c r="AZ1245">
        <v>0.123543</v>
      </c>
      <c r="BA1245">
        <v>4.9200000000000003E-4</v>
      </c>
    </row>
    <row r="1246" spans="1:53" x14ac:dyDescent="0.25">
      <c r="A1246">
        <v>1244</v>
      </c>
      <c r="B1246" t="s">
        <v>7625</v>
      </c>
      <c r="C1246">
        <v>801006</v>
      </c>
      <c r="D1246" t="s">
        <v>1387</v>
      </c>
      <c r="E1246" t="s">
        <v>1342</v>
      </c>
      <c r="F1246">
        <v>1072688.125</v>
      </c>
      <c r="G1246">
        <v>6475.8002930000002</v>
      </c>
      <c r="H1246">
        <v>1246</v>
      </c>
      <c r="I1246">
        <v>1478</v>
      </c>
      <c r="J1246">
        <v>63274</v>
      </c>
      <c r="K1246" t="s">
        <v>1387</v>
      </c>
      <c r="L1246">
        <v>22</v>
      </c>
      <c r="M1246">
        <v>22</v>
      </c>
      <c r="N1246">
        <v>63274</v>
      </c>
      <c r="O1246">
        <v>1222</v>
      </c>
      <c r="P1246" t="s">
        <v>3213</v>
      </c>
      <c r="Q1246">
        <v>4.2</v>
      </c>
      <c r="R1246">
        <v>0</v>
      </c>
      <c r="S1246">
        <v>1.65</v>
      </c>
      <c r="T1246">
        <v>10</v>
      </c>
      <c r="U1246">
        <v>1072688.0477100001</v>
      </c>
      <c r="V1246">
        <v>6475.8008099999997</v>
      </c>
      <c r="W1246">
        <v>1245</v>
      </c>
      <c r="X1246">
        <v>0</v>
      </c>
      <c r="Y1246">
        <v>1244</v>
      </c>
      <c r="Z1246" t="s">
        <v>6966</v>
      </c>
      <c r="AA1246" t="s">
        <v>6966</v>
      </c>
      <c r="AB1246" t="s">
        <v>6966</v>
      </c>
      <c r="AC1246" t="s">
        <v>6966</v>
      </c>
      <c r="AD1246" t="s">
        <v>6966</v>
      </c>
      <c r="AE1246" t="s">
        <v>6966</v>
      </c>
      <c r="AF1246" t="s">
        <v>6966</v>
      </c>
      <c r="AG1246" t="s">
        <v>6966</v>
      </c>
      <c r="AH1246" t="s">
        <v>6966</v>
      </c>
      <c r="AI1246" t="s">
        <v>6966</v>
      </c>
      <c r="AJ1246" t="s">
        <v>6966</v>
      </c>
      <c r="AK1246" t="s">
        <v>6966</v>
      </c>
      <c r="AL1246" t="s">
        <v>6966</v>
      </c>
      <c r="AM1246" t="s">
        <v>6966</v>
      </c>
      <c r="AN1246" t="s">
        <v>6966</v>
      </c>
      <c r="AO1246" t="s">
        <v>6966</v>
      </c>
      <c r="AP1246" t="s">
        <v>6966</v>
      </c>
      <c r="AQ1246" t="s">
        <v>6966</v>
      </c>
      <c r="AR1246" t="s">
        <v>6966</v>
      </c>
      <c r="AS1246" t="s">
        <v>6966</v>
      </c>
      <c r="AT1246" t="s">
        <v>6966</v>
      </c>
      <c r="AU1246" t="s">
        <v>6966</v>
      </c>
      <c r="AV1246" t="s">
        <v>6966</v>
      </c>
      <c r="AW1246" t="s">
        <v>6966</v>
      </c>
      <c r="AX1246" t="s">
        <v>6966</v>
      </c>
      <c r="AY1246" t="s">
        <v>6966</v>
      </c>
      <c r="AZ1246">
        <v>6.4443E-2</v>
      </c>
      <c r="BA1246">
        <v>1.0399999999999999E-4</v>
      </c>
    </row>
    <row r="1247" spans="1:53" x14ac:dyDescent="0.25">
      <c r="A1247">
        <v>1245</v>
      </c>
      <c r="B1247" t="s">
        <v>7625</v>
      </c>
      <c r="C1247">
        <v>402015</v>
      </c>
      <c r="D1247" t="s">
        <v>1186</v>
      </c>
      <c r="E1247" t="s">
        <v>7999</v>
      </c>
      <c r="F1247">
        <v>0</v>
      </c>
      <c r="G1247">
        <v>25535.423827999999</v>
      </c>
      <c r="H1247">
        <v>1247</v>
      </c>
      <c r="I1247">
        <v>1481</v>
      </c>
      <c r="J1247">
        <v>55187</v>
      </c>
      <c r="K1247" t="s">
        <v>2503</v>
      </c>
      <c r="L1247">
        <v>19</v>
      </c>
      <c r="M1247">
        <v>19</v>
      </c>
      <c r="N1247">
        <v>55187</v>
      </c>
      <c r="O1247">
        <v>1223</v>
      </c>
      <c r="P1247" t="s">
        <v>3214</v>
      </c>
      <c r="Q1247">
        <v>0.3</v>
      </c>
      <c r="R1247">
        <v>68.44</v>
      </c>
      <c r="S1247">
        <v>0.06</v>
      </c>
      <c r="T1247">
        <v>15</v>
      </c>
      <c r="U1247">
        <v>0</v>
      </c>
      <c r="V1247">
        <v>25535.424127999999</v>
      </c>
      <c r="W1247">
        <v>1246</v>
      </c>
      <c r="X1247">
        <v>0</v>
      </c>
      <c r="Y1247">
        <v>1245</v>
      </c>
      <c r="Z1247" t="s">
        <v>6966</v>
      </c>
      <c r="AA1247" t="s">
        <v>6966</v>
      </c>
      <c r="AB1247" t="s">
        <v>6966</v>
      </c>
      <c r="AC1247" t="s">
        <v>6966</v>
      </c>
      <c r="AD1247" t="s">
        <v>6966</v>
      </c>
      <c r="AE1247" t="s">
        <v>6966</v>
      </c>
      <c r="AF1247" t="s">
        <v>6966</v>
      </c>
      <c r="AG1247" t="s">
        <v>6966</v>
      </c>
      <c r="AH1247" t="s">
        <v>6966</v>
      </c>
      <c r="AI1247" t="s">
        <v>6966</v>
      </c>
      <c r="AJ1247" t="s">
        <v>6966</v>
      </c>
      <c r="AK1247" t="s">
        <v>6966</v>
      </c>
      <c r="AL1247" t="s">
        <v>6966</v>
      </c>
      <c r="AM1247" t="s">
        <v>6966</v>
      </c>
      <c r="AN1247" t="s">
        <v>6966</v>
      </c>
      <c r="AO1247" t="s">
        <v>6966</v>
      </c>
      <c r="AP1247" t="s">
        <v>6966</v>
      </c>
      <c r="AQ1247" t="s">
        <v>6966</v>
      </c>
      <c r="AR1247" t="s">
        <v>6966</v>
      </c>
      <c r="AS1247" t="s">
        <v>6966</v>
      </c>
      <c r="AT1247" t="s">
        <v>6966</v>
      </c>
      <c r="AU1247" t="s">
        <v>6966</v>
      </c>
      <c r="AV1247" t="s">
        <v>6966</v>
      </c>
      <c r="AW1247" t="s">
        <v>6966</v>
      </c>
      <c r="AX1247" t="s">
        <v>6966</v>
      </c>
      <c r="AY1247" t="s">
        <v>6966</v>
      </c>
      <c r="AZ1247">
        <v>0.258297</v>
      </c>
      <c r="BA1247">
        <v>2.2360000000000001E-3</v>
      </c>
    </row>
    <row r="1248" spans="1:53" x14ac:dyDescent="0.25">
      <c r="A1248">
        <v>1246</v>
      </c>
      <c r="B1248" t="s">
        <v>7625</v>
      </c>
      <c r="C1248">
        <v>802025</v>
      </c>
      <c r="D1248" t="s">
        <v>8036</v>
      </c>
      <c r="E1248" t="s">
        <v>3039</v>
      </c>
      <c r="F1248">
        <v>912842.375</v>
      </c>
      <c r="G1248">
        <v>5235.2529299999997</v>
      </c>
      <c r="H1248">
        <v>1248</v>
      </c>
      <c r="I1248">
        <v>1482</v>
      </c>
      <c r="J1248">
        <v>61147</v>
      </c>
      <c r="K1248" t="s">
        <v>2511</v>
      </c>
      <c r="L1248">
        <v>20</v>
      </c>
      <c r="M1248">
        <v>20</v>
      </c>
      <c r="N1248">
        <v>61147</v>
      </c>
      <c r="O1248">
        <v>1224</v>
      </c>
      <c r="P1248" t="s">
        <v>3213</v>
      </c>
      <c r="Q1248">
        <v>130.6</v>
      </c>
      <c r="R1248">
        <v>212.42</v>
      </c>
      <c r="S1248">
        <v>30.69</v>
      </c>
      <c r="T1248">
        <v>50</v>
      </c>
      <c r="U1248">
        <v>912842.40693299996</v>
      </c>
      <c r="V1248">
        <v>5235.2530749999996</v>
      </c>
      <c r="W1248">
        <v>1247</v>
      </c>
      <c r="X1248">
        <v>2</v>
      </c>
      <c r="Y1248">
        <v>1246</v>
      </c>
      <c r="Z1248">
        <v>61694</v>
      </c>
      <c r="AA1248" s="76">
        <v>45782</v>
      </c>
      <c r="AB1248">
        <v>2025</v>
      </c>
      <c r="AC1248" t="s">
        <v>7215</v>
      </c>
      <c r="AD1248">
        <v>5</v>
      </c>
      <c r="AE1248" t="s">
        <v>7216</v>
      </c>
      <c r="AF1248" t="s">
        <v>3213</v>
      </c>
      <c r="AG1248" t="s">
        <v>3039</v>
      </c>
      <c r="AH1248" t="s">
        <v>7217</v>
      </c>
      <c r="AI1248" t="s">
        <v>2962</v>
      </c>
      <c r="AJ1248" t="s">
        <v>6966</v>
      </c>
      <c r="AK1248">
        <v>33.566580000000002</v>
      </c>
      <c r="AL1248">
        <v>35.392870000000002</v>
      </c>
      <c r="AM1248" t="s">
        <v>7013</v>
      </c>
      <c r="AN1248" t="s">
        <v>6995</v>
      </c>
      <c r="AO1248" t="s">
        <v>7008</v>
      </c>
      <c r="AP1248" t="s">
        <v>7218</v>
      </c>
      <c r="AQ1248" t="s">
        <v>6998</v>
      </c>
      <c r="AR1248" t="s">
        <v>6999</v>
      </c>
      <c r="AS1248" t="s">
        <v>7000</v>
      </c>
      <c r="AT1248">
        <v>0</v>
      </c>
      <c r="AU1248">
        <v>0</v>
      </c>
      <c r="AV1248" t="s">
        <v>7219</v>
      </c>
      <c r="AW1248" t="s">
        <v>7018</v>
      </c>
      <c r="AX1248" t="s">
        <v>6966</v>
      </c>
      <c r="AY1248" t="s">
        <v>7003</v>
      </c>
      <c r="AZ1248">
        <v>5.1590999999999998E-2</v>
      </c>
      <c r="BA1248">
        <v>8.8999999999999995E-5</v>
      </c>
    </row>
    <row r="1249" spans="1:53" x14ac:dyDescent="0.25">
      <c r="A1249">
        <v>1247</v>
      </c>
      <c r="B1249" t="s">
        <v>7625</v>
      </c>
      <c r="C1249">
        <v>801007</v>
      </c>
      <c r="D1249" t="s">
        <v>1387</v>
      </c>
      <c r="E1249" t="s">
        <v>1342</v>
      </c>
      <c r="F1249">
        <v>2355059</v>
      </c>
      <c r="G1249">
        <v>7713.0273440000001</v>
      </c>
      <c r="H1249">
        <v>1249</v>
      </c>
      <c r="I1249">
        <v>1483</v>
      </c>
      <c r="J1249">
        <v>63274</v>
      </c>
      <c r="K1249" t="s">
        <v>1387</v>
      </c>
      <c r="L1249">
        <v>22</v>
      </c>
      <c r="M1249">
        <v>22</v>
      </c>
      <c r="N1249">
        <v>63274</v>
      </c>
      <c r="O1249">
        <v>1225</v>
      </c>
      <c r="P1249" t="s">
        <v>3213</v>
      </c>
      <c r="Q1249">
        <v>1.9</v>
      </c>
      <c r="R1249">
        <v>24.2</v>
      </c>
      <c r="S1249">
        <v>0.75</v>
      </c>
      <c r="T1249">
        <v>10</v>
      </c>
      <c r="U1249">
        <v>2355059.0696100001</v>
      </c>
      <c r="V1249">
        <v>7713.0279170000003</v>
      </c>
      <c r="W1249">
        <v>1248</v>
      </c>
      <c r="X1249">
        <v>0</v>
      </c>
      <c r="Y1249">
        <v>1247</v>
      </c>
      <c r="Z1249" t="s">
        <v>6966</v>
      </c>
      <c r="AA1249" t="s">
        <v>6966</v>
      </c>
      <c r="AB1249" t="s">
        <v>6966</v>
      </c>
      <c r="AC1249" t="s">
        <v>6966</v>
      </c>
      <c r="AD1249" t="s">
        <v>6966</v>
      </c>
      <c r="AE1249" t="s">
        <v>6966</v>
      </c>
      <c r="AF1249" t="s">
        <v>6966</v>
      </c>
      <c r="AG1249" t="s">
        <v>6966</v>
      </c>
      <c r="AH1249" t="s">
        <v>6966</v>
      </c>
      <c r="AI1249" t="s">
        <v>6966</v>
      </c>
      <c r="AJ1249" t="s">
        <v>6966</v>
      </c>
      <c r="AK1249" t="s">
        <v>6966</v>
      </c>
      <c r="AL1249" t="s">
        <v>6966</v>
      </c>
      <c r="AM1249" t="s">
        <v>6966</v>
      </c>
      <c r="AN1249" t="s">
        <v>6966</v>
      </c>
      <c r="AO1249" t="s">
        <v>6966</v>
      </c>
      <c r="AP1249" t="s">
        <v>6966</v>
      </c>
      <c r="AQ1249" t="s">
        <v>6966</v>
      </c>
      <c r="AR1249" t="s">
        <v>6966</v>
      </c>
      <c r="AS1249" t="s">
        <v>6966</v>
      </c>
      <c r="AT1249" t="s">
        <v>6966</v>
      </c>
      <c r="AU1249" t="s">
        <v>6966</v>
      </c>
      <c r="AV1249" t="s">
        <v>6966</v>
      </c>
      <c r="AW1249" t="s">
        <v>6966</v>
      </c>
      <c r="AX1249" t="s">
        <v>6966</v>
      </c>
      <c r="AY1249" t="s">
        <v>6966</v>
      </c>
      <c r="AZ1249">
        <v>7.6641000000000001E-2</v>
      </c>
      <c r="BA1249">
        <v>2.2900000000000001E-4</v>
      </c>
    </row>
    <row r="1250" spans="1:53" x14ac:dyDescent="0.25">
      <c r="A1250">
        <v>1248</v>
      </c>
      <c r="B1250" t="s">
        <v>7625</v>
      </c>
      <c r="C1250">
        <v>801005</v>
      </c>
      <c r="D1250" t="s">
        <v>1364</v>
      </c>
      <c r="E1250" t="s">
        <v>1342</v>
      </c>
      <c r="F1250">
        <v>2631780</v>
      </c>
      <c r="G1250">
        <v>9164.9912110000005</v>
      </c>
      <c r="H1250">
        <v>1250</v>
      </c>
      <c r="I1250">
        <v>1485</v>
      </c>
      <c r="J1250">
        <v>63184</v>
      </c>
      <c r="K1250" t="s">
        <v>2649</v>
      </c>
      <c r="L1250">
        <v>22</v>
      </c>
      <c r="M1250">
        <v>22</v>
      </c>
      <c r="N1250">
        <v>63184</v>
      </c>
      <c r="O1250">
        <v>1226</v>
      </c>
      <c r="P1250" t="s">
        <v>3213</v>
      </c>
      <c r="Q1250">
        <v>1.1000000000000001</v>
      </c>
      <c r="R1250">
        <v>16.41</v>
      </c>
      <c r="S1250">
        <v>0.49</v>
      </c>
      <c r="T1250">
        <v>7</v>
      </c>
      <c r="U1250">
        <v>2631779.9756700001</v>
      </c>
      <c r="V1250">
        <v>9164.9920270000002</v>
      </c>
      <c r="W1250">
        <v>1249</v>
      </c>
      <c r="X1250">
        <v>0</v>
      </c>
      <c r="Y1250">
        <v>1248</v>
      </c>
      <c r="Z1250" t="s">
        <v>6966</v>
      </c>
      <c r="AA1250" t="s">
        <v>6966</v>
      </c>
      <c r="AB1250" t="s">
        <v>6966</v>
      </c>
      <c r="AC1250" t="s">
        <v>6966</v>
      </c>
      <c r="AD1250" t="s">
        <v>6966</v>
      </c>
      <c r="AE1250" t="s">
        <v>6966</v>
      </c>
      <c r="AF1250" t="s">
        <v>6966</v>
      </c>
      <c r="AG1250" t="s">
        <v>6966</v>
      </c>
      <c r="AH1250" t="s">
        <v>6966</v>
      </c>
      <c r="AI1250" t="s">
        <v>6966</v>
      </c>
      <c r="AJ1250" t="s">
        <v>6966</v>
      </c>
      <c r="AK1250" t="s">
        <v>6966</v>
      </c>
      <c r="AL1250" t="s">
        <v>6966</v>
      </c>
      <c r="AM1250" t="s">
        <v>6966</v>
      </c>
      <c r="AN1250" t="s">
        <v>6966</v>
      </c>
      <c r="AO1250" t="s">
        <v>6966</v>
      </c>
      <c r="AP1250" t="s">
        <v>6966</v>
      </c>
      <c r="AQ1250" t="s">
        <v>6966</v>
      </c>
      <c r="AR1250" t="s">
        <v>6966</v>
      </c>
      <c r="AS1250" t="s">
        <v>6966</v>
      </c>
      <c r="AT1250" t="s">
        <v>6966</v>
      </c>
      <c r="AU1250" t="s">
        <v>6966</v>
      </c>
      <c r="AV1250" t="s">
        <v>6966</v>
      </c>
      <c r="AW1250" t="s">
        <v>6966</v>
      </c>
      <c r="AX1250" t="s">
        <v>6966</v>
      </c>
      <c r="AY1250" t="s">
        <v>6966</v>
      </c>
      <c r="AZ1250">
        <v>9.1079999999999994E-2</v>
      </c>
      <c r="BA1250">
        <v>2.5500000000000002E-4</v>
      </c>
    </row>
    <row r="1251" spans="1:53" x14ac:dyDescent="0.25">
      <c r="A1251">
        <v>1249</v>
      </c>
      <c r="B1251" t="s">
        <v>7625</v>
      </c>
      <c r="C1251">
        <v>801069</v>
      </c>
      <c r="D1251" t="s">
        <v>1349</v>
      </c>
      <c r="E1251" t="s">
        <v>1342</v>
      </c>
      <c r="F1251">
        <v>344854.46875</v>
      </c>
      <c r="G1251">
        <v>2990.4184570000002</v>
      </c>
      <c r="H1251">
        <v>1251</v>
      </c>
      <c r="I1251">
        <v>1486</v>
      </c>
      <c r="J1251">
        <v>63134</v>
      </c>
      <c r="K1251" t="s">
        <v>1349</v>
      </c>
      <c r="L1251">
        <v>22</v>
      </c>
      <c r="M1251">
        <v>22</v>
      </c>
      <c r="N1251">
        <v>63134</v>
      </c>
      <c r="O1251">
        <v>1227</v>
      </c>
      <c r="P1251" t="s">
        <v>3213</v>
      </c>
      <c r="Q1251">
        <v>3.2</v>
      </c>
      <c r="R1251">
        <v>17.989999999999998</v>
      </c>
      <c r="S1251">
        <v>2.5</v>
      </c>
      <c r="T1251">
        <v>14</v>
      </c>
      <c r="U1251">
        <v>344854.41398299998</v>
      </c>
      <c r="V1251">
        <v>2990.417895</v>
      </c>
      <c r="W1251">
        <v>1250</v>
      </c>
      <c r="X1251">
        <v>0</v>
      </c>
      <c r="Y1251">
        <v>1249</v>
      </c>
      <c r="Z1251" t="s">
        <v>6966</v>
      </c>
      <c r="AA1251" t="s">
        <v>6966</v>
      </c>
      <c r="AB1251" t="s">
        <v>6966</v>
      </c>
      <c r="AC1251" t="s">
        <v>6966</v>
      </c>
      <c r="AD1251" t="s">
        <v>6966</v>
      </c>
      <c r="AE1251" t="s">
        <v>6966</v>
      </c>
      <c r="AF1251" t="s">
        <v>6966</v>
      </c>
      <c r="AG1251" t="s">
        <v>6966</v>
      </c>
      <c r="AH1251" t="s">
        <v>6966</v>
      </c>
      <c r="AI1251" t="s">
        <v>6966</v>
      </c>
      <c r="AJ1251" t="s">
        <v>6966</v>
      </c>
      <c r="AK1251" t="s">
        <v>6966</v>
      </c>
      <c r="AL1251" t="s">
        <v>6966</v>
      </c>
      <c r="AM1251" t="s">
        <v>6966</v>
      </c>
      <c r="AN1251" t="s">
        <v>6966</v>
      </c>
      <c r="AO1251" t="s">
        <v>6966</v>
      </c>
      <c r="AP1251" t="s">
        <v>6966</v>
      </c>
      <c r="AQ1251" t="s">
        <v>6966</v>
      </c>
      <c r="AR1251" t="s">
        <v>6966</v>
      </c>
      <c r="AS1251" t="s">
        <v>6966</v>
      </c>
      <c r="AT1251" t="s">
        <v>6966</v>
      </c>
      <c r="AU1251" t="s">
        <v>6966</v>
      </c>
      <c r="AV1251" t="s">
        <v>6966</v>
      </c>
      <c r="AW1251" t="s">
        <v>6966</v>
      </c>
      <c r="AX1251" t="s">
        <v>6966</v>
      </c>
      <c r="AY1251" t="s">
        <v>6966</v>
      </c>
      <c r="AZ1251">
        <v>2.8760000000000001E-2</v>
      </c>
      <c r="BA1251">
        <v>3.3000000000000003E-5</v>
      </c>
    </row>
    <row r="1252" spans="1:53" x14ac:dyDescent="0.25">
      <c r="A1252">
        <v>1250</v>
      </c>
      <c r="B1252" t="s">
        <v>7625</v>
      </c>
      <c r="C1252">
        <v>802065</v>
      </c>
      <c r="D1252" t="s">
        <v>1193</v>
      </c>
      <c r="E1252" t="s">
        <v>3039</v>
      </c>
      <c r="F1252">
        <v>5131349.5</v>
      </c>
      <c r="G1252">
        <v>11671.201171999999</v>
      </c>
      <c r="H1252">
        <v>1252</v>
      </c>
      <c r="I1252">
        <v>1487</v>
      </c>
      <c r="J1252">
        <v>61119</v>
      </c>
      <c r="K1252" t="s">
        <v>8037</v>
      </c>
      <c r="L1252">
        <v>20</v>
      </c>
      <c r="M1252">
        <v>20</v>
      </c>
      <c r="N1252">
        <v>61171</v>
      </c>
      <c r="O1252">
        <v>1228</v>
      </c>
      <c r="P1252" t="s">
        <v>3213</v>
      </c>
      <c r="Q1252">
        <v>117.9</v>
      </c>
      <c r="R1252">
        <v>347.59</v>
      </c>
      <c r="S1252">
        <v>0</v>
      </c>
      <c r="T1252">
        <v>0</v>
      </c>
      <c r="U1252">
        <v>5131349.3708199998</v>
      </c>
      <c r="V1252">
        <v>11671.201238</v>
      </c>
      <c r="W1252">
        <v>1251</v>
      </c>
      <c r="X1252">
        <v>0</v>
      </c>
      <c r="Y1252">
        <v>1250</v>
      </c>
      <c r="Z1252" t="s">
        <v>6966</v>
      </c>
      <c r="AA1252" t="s">
        <v>6966</v>
      </c>
      <c r="AB1252" t="s">
        <v>6966</v>
      </c>
      <c r="AC1252" t="s">
        <v>6966</v>
      </c>
      <c r="AD1252" t="s">
        <v>6966</v>
      </c>
      <c r="AE1252" t="s">
        <v>6966</v>
      </c>
      <c r="AF1252" t="s">
        <v>6966</v>
      </c>
      <c r="AG1252" t="s">
        <v>6966</v>
      </c>
      <c r="AH1252" t="s">
        <v>6966</v>
      </c>
      <c r="AI1252" t="s">
        <v>6966</v>
      </c>
      <c r="AJ1252" t="s">
        <v>6966</v>
      </c>
      <c r="AK1252" t="s">
        <v>6966</v>
      </c>
      <c r="AL1252" t="s">
        <v>6966</v>
      </c>
      <c r="AM1252" t="s">
        <v>6966</v>
      </c>
      <c r="AN1252" t="s">
        <v>6966</v>
      </c>
      <c r="AO1252" t="s">
        <v>6966</v>
      </c>
      <c r="AP1252" t="s">
        <v>6966</v>
      </c>
      <c r="AQ1252" t="s">
        <v>6966</v>
      </c>
      <c r="AR1252" t="s">
        <v>6966</v>
      </c>
      <c r="AS1252" t="s">
        <v>6966</v>
      </c>
      <c r="AT1252" t="s">
        <v>6966</v>
      </c>
      <c r="AU1252" t="s">
        <v>6966</v>
      </c>
      <c r="AV1252" t="s">
        <v>6966</v>
      </c>
      <c r="AW1252" t="s">
        <v>6966</v>
      </c>
      <c r="AX1252" t="s">
        <v>6966</v>
      </c>
      <c r="AY1252" t="s">
        <v>6966</v>
      </c>
      <c r="AZ1252">
        <v>0.112909</v>
      </c>
      <c r="BA1252">
        <v>4.9799999999999996E-4</v>
      </c>
    </row>
    <row r="1253" spans="1:53" ht="315" x14ac:dyDescent="0.25">
      <c r="A1253">
        <v>1251</v>
      </c>
      <c r="B1253" t="s">
        <v>7625</v>
      </c>
      <c r="C1253">
        <v>802067</v>
      </c>
      <c r="D1253" t="s">
        <v>1192</v>
      </c>
      <c r="E1253" t="s">
        <v>3039</v>
      </c>
      <c r="F1253">
        <v>312724.78125</v>
      </c>
      <c r="G1253">
        <v>3755.7895509999998</v>
      </c>
      <c r="H1253">
        <v>1253</v>
      </c>
      <c r="I1253">
        <v>1492</v>
      </c>
      <c r="J1253">
        <v>61115</v>
      </c>
      <c r="K1253" t="s">
        <v>8038</v>
      </c>
      <c r="L1253">
        <v>20</v>
      </c>
      <c r="M1253">
        <v>20</v>
      </c>
      <c r="N1253">
        <v>61135</v>
      </c>
      <c r="O1253">
        <v>1233</v>
      </c>
      <c r="P1253" t="s">
        <v>3213</v>
      </c>
      <c r="Q1253">
        <v>288.89999999999998</v>
      </c>
      <c r="R1253">
        <v>473.43</v>
      </c>
      <c r="S1253">
        <v>0</v>
      </c>
      <c r="T1253">
        <v>0</v>
      </c>
      <c r="U1253">
        <v>312724.79394200002</v>
      </c>
      <c r="V1253">
        <v>3755.78971</v>
      </c>
      <c r="W1253">
        <v>1252</v>
      </c>
      <c r="X1253">
        <v>23</v>
      </c>
      <c r="Y1253">
        <v>1251</v>
      </c>
      <c r="Z1253">
        <v>55960</v>
      </c>
      <c r="AA1253" s="76">
        <v>45681</v>
      </c>
      <c r="AB1253">
        <v>2025</v>
      </c>
      <c r="AC1253" t="s">
        <v>6992</v>
      </c>
      <c r="AD1253">
        <v>24</v>
      </c>
      <c r="AE1253" t="s">
        <v>7065</v>
      </c>
      <c r="AF1253" t="s">
        <v>3213</v>
      </c>
      <c r="AG1253" t="s">
        <v>3039</v>
      </c>
      <c r="AH1253" t="s">
        <v>1192</v>
      </c>
      <c r="AI1253" t="s">
        <v>3039</v>
      </c>
      <c r="AJ1253" t="s">
        <v>6966</v>
      </c>
      <c r="AK1253">
        <v>33.562600000000003</v>
      </c>
      <c r="AL1253">
        <v>35.367789999999999</v>
      </c>
      <c r="AM1253" t="s">
        <v>7028</v>
      </c>
      <c r="AN1253" t="s">
        <v>6995</v>
      </c>
      <c r="AO1253" t="s">
        <v>6996</v>
      </c>
      <c r="AP1253" s="77" t="s">
        <v>7066</v>
      </c>
      <c r="AQ1253" t="s">
        <v>6998</v>
      </c>
      <c r="AR1253" t="s">
        <v>6999</v>
      </c>
      <c r="AS1253" t="s">
        <v>7036</v>
      </c>
      <c r="AT1253">
        <v>0</v>
      </c>
      <c r="AU1253">
        <v>0</v>
      </c>
      <c r="AV1253" t="s">
        <v>7241</v>
      </c>
      <c r="AW1253" t="s">
        <v>7031</v>
      </c>
      <c r="AX1253" t="s">
        <v>6966</v>
      </c>
      <c r="AY1253" t="s">
        <v>7003</v>
      </c>
      <c r="AZ1253">
        <v>3.6187999999999998E-2</v>
      </c>
      <c r="BA1253">
        <v>3.0000000000000001E-5</v>
      </c>
    </row>
    <row r="1254" spans="1:53" x14ac:dyDescent="0.25">
      <c r="A1254">
        <v>1252</v>
      </c>
      <c r="B1254" t="s">
        <v>7625</v>
      </c>
      <c r="C1254">
        <v>801067</v>
      </c>
      <c r="D1254" t="s">
        <v>1388</v>
      </c>
      <c r="E1254" t="s">
        <v>1342</v>
      </c>
      <c r="F1254">
        <v>9674119</v>
      </c>
      <c r="G1254">
        <v>15745.214844</v>
      </c>
      <c r="H1254">
        <v>1254</v>
      </c>
      <c r="I1254">
        <v>1488</v>
      </c>
      <c r="J1254">
        <v>63277</v>
      </c>
      <c r="K1254" t="s">
        <v>1388</v>
      </c>
      <c r="L1254">
        <v>22</v>
      </c>
      <c r="M1254">
        <v>22</v>
      </c>
      <c r="N1254">
        <v>63277</v>
      </c>
      <c r="O1254">
        <v>1229</v>
      </c>
      <c r="P1254" t="s">
        <v>3213</v>
      </c>
      <c r="Q1254">
        <v>1.2</v>
      </c>
      <c r="R1254">
        <v>32.67</v>
      </c>
      <c r="S1254">
        <v>0.39</v>
      </c>
      <c r="T1254">
        <v>10</v>
      </c>
      <c r="U1254">
        <v>9674119.4410800003</v>
      </c>
      <c r="V1254">
        <v>15745.214995</v>
      </c>
      <c r="W1254">
        <v>1253</v>
      </c>
      <c r="X1254">
        <v>1</v>
      </c>
      <c r="Y1254">
        <v>1252</v>
      </c>
      <c r="Z1254">
        <v>75455</v>
      </c>
      <c r="AA1254" s="76">
        <v>45981</v>
      </c>
      <c r="AB1254">
        <v>2025</v>
      </c>
      <c r="AC1254" t="s">
        <v>7516</v>
      </c>
      <c r="AD1254">
        <v>20</v>
      </c>
      <c r="AE1254" t="s">
        <v>7545</v>
      </c>
      <c r="AF1254" t="s">
        <v>3213</v>
      </c>
      <c r="AG1254" t="s">
        <v>1342</v>
      </c>
      <c r="AH1254" t="s">
        <v>1388</v>
      </c>
      <c r="AI1254" t="s">
        <v>1388</v>
      </c>
      <c r="AJ1254" t="s">
        <v>6966</v>
      </c>
      <c r="AK1254">
        <v>33.549799999999998</v>
      </c>
      <c r="AL1254">
        <v>35.526600000000002</v>
      </c>
      <c r="AM1254" t="s">
        <v>7013</v>
      </c>
      <c r="AN1254" t="s">
        <v>7014</v>
      </c>
      <c r="AO1254" t="s">
        <v>7008</v>
      </c>
      <c r="AP1254" t="s">
        <v>7546</v>
      </c>
      <c r="AQ1254" t="s">
        <v>6998</v>
      </c>
      <c r="AR1254" t="s">
        <v>6999</v>
      </c>
      <c r="AS1254" t="s">
        <v>7000</v>
      </c>
      <c r="AT1254">
        <v>0</v>
      </c>
      <c r="AU1254">
        <v>0</v>
      </c>
      <c r="AV1254" t="s">
        <v>7533</v>
      </c>
      <c r="AW1254" t="s">
        <v>7018</v>
      </c>
      <c r="AX1254" t="s">
        <v>6966</v>
      </c>
      <c r="AY1254" t="s">
        <v>7003</v>
      </c>
      <c r="AZ1254">
        <v>0.15775600000000001</v>
      </c>
      <c r="BA1254">
        <v>9.3899999999999995E-4</v>
      </c>
    </row>
    <row r="1255" spans="1:53" x14ac:dyDescent="0.25">
      <c r="A1255">
        <v>1253</v>
      </c>
      <c r="B1255" t="s">
        <v>7625</v>
      </c>
      <c r="C1255">
        <v>801034</v>
      </c>
      <c r="D1255" t="s">
        <v>1368</v>
      </c>
      <c r="E1255" t="s">
        <v>1342</v>
      </c>
      <c r="F1255">
        <v>7035947</v>
      </c>
      <c r="G1255">
        <v>18316.492188</v>
      </c>
      <c r="H1255">
        <v>1255</v>
      </c>
      <c r="I1255">
        <v>1489</v>
      </c>
      <c r="J1255">
        <v>63211</v>
      </c>
      <c r="K1255" t="s">
        <v>2652</v>
      </c>
      <c r="L1255">
        <v>22</v>
      </c>
      <c r="M1255">
        <v>22</v>
      </c>
      <c r="N1255">
        <v>63211</v>
      </c>
      <c r="O1255">
        <v>1230</v>
      </c>
      <c r="P1255" t="s">
        <v>3213</v>
      </c>
      <c r="Q1255">
        <v>0.2</v>
      </c>
      <c r="R1255">
        <v>2.08</v>
      </c>
      <c r="S1255">
        <v>7.0000000000000007E-2</v>
      </c>
      <c r="T1255">
        <v>1</v>
      </c>
      <c r="U1255">
        <v>7035947.0248600002</v>
      </c>
      <c r="V1255">
        <v>18316.492270999999</v>
      </c>
      <c r="W1255">
        <v>1254</v>
      </c>
      <c r="X1255">
        <v>0</v>
      </c>
      <c r="Y1255">
        <v>1253</v>
      </c>
      <c r="Z1255" t="s">
        <v>6966</v>
      </c>
      <c r="AA1255" t="s">
        <v>6966</v>
      </c>
      <c r="AB1255" t="s">
        <v>6966</v>
      </c>
      <c r="AC1255" t="s">
        <v>6966</v>
      </c>
      <c r="AD1255" t="s">
        <v>6966</v>
      </c>
      <c r="AE1255" t="s">
        <v>6966</v>
      </c>
      <c r="AF1255" t="s">
        <v>6966</v>
      </c>
      <c r="AG1255" t="s">
        <v>6966</v>
      </c>
      <c r="AH1255" t="s">
        <v>6966</v>
      </c>
      <c r="AI1255" t="s">
        <v>6966</v>
      </c>
      <c r="AJ1255" t="s">
        <v>6966</v>
      </c>
      <c r="AK1255" t="s">
        <v>6966</v>
      </c>
      <c r="AL1255" t="s">
        <v>6966</v>
      </c>
      <c r="AM1255" t="s">
        <v>6966</v>
      </c>
      <c r="AN1255" t="s">
        <v>6966</v>
      </c>
      <c r="AO1255" t="s">
        <v>6966</v>
      </c>
      <c r="AP1255" t="s">
        <v>6966</v>
      </c>
      <c r="AQ1255" t="s">
        <v>6966</v>
      </c>
      <c r="AR1255" t="s">
        <v>6966</v>
      </c>
      <c r="AS1255" t="s">
        <v>6966</v>
      </c>
      <c r="AT1255" t="s">
        <v>6966</v>
      </c>
      <c r="AU1255" t="s">
        <v>6966</v>
      </c>
      <c r="AV1255" t="s">
        <v>6966</v>
      </c>
      <c r="AW1255" t="s">
        <v>6966</v>
      </c>
      <c r="AX1255" t="s">
        <v>6966</v>
      </c>
      <c r="AY1255" t="s">
        <v>6966</v>
      </c>
      <c r="AZ1255">
        <v>0.182586</v>
      </c>
      <c r="BA1255">
        <v>6.8300000000000001E-4</v>
      </c>
    </row>
    <row r="1256" spans="1:53" x14ac:dyDescent="0.25">
      <c r="A1256">
        <v>1254</v>
      </c>
      <c r="B1256" t="s">
        <v>7625</v>
      </c>
      <c r="C1256">
        <v>801015</v>
      </c>
      <c r="D1256" t="s">
        <v>8039</v>
      </c>
      <c r="E1256" t="s">
        <v>1342</v>
      </c>
      <c r="F1256">
        <v>514387.5625</v>
      </c>
      <c r="G1256">
        <v>4315.4594729999999</v>
      </c>
      <c r="H1256">
        <v>1256</v>
      </c>
      <c r="I1256">
        <v>1490</v>
      </c>
      <c r="J1256">
        <v>63174</v>
      </c>
      <c r="K1256" t="s">
        <v>2646</v>
      </c>
      <c r="L1256">
        <v>22</v>
      </c>
      <c r="M1256">
        <v>22</v>
      </c>
      <c r="N1256">
        <v>63174</v>
      </c>
      <c r="O1256">
        <v>1231</v>
      </c>
      <c r="P1256" t="s">
        <v>3213</v>
      </c>
      <c r="Q1256">
        <v>0.3</v>
      </c>
      <c r="R1256">
        <v>0</v>
      </c>
      <c r="S1256">
        <v>0.35</v>
      </c>
      <c r="T1256">
        <v>0</v>
      </c>
      <c r="U1256">
        <v>514387.50908599998</v>
      </c>
      <c r="V1256">
        <v>4315.4586570000001</v>
      </c>
      <c r="W1256">
        <v>1255</v>
      </c>
      <c r="X1256">
        <v>0</v>
      </c>
      <c r="Y1256">
        <v>1254</v>
      </c>
      <c r="Z1256" t="s">
        <v>6966</v>
      </c>
      <c r="AA1256" t="s">
        <v>6966</v>
      </c>
      <c r="AB1256" t="s">
        <v>6966</v>
      </c>
      <c r="AC1256" t="s">
        <v>6966</v>
      </c>
      <c r="AD1256" t="s">
        <v>6966</v>
      </c>
      <c r="AE1256" t="s">
        <v>6966</v>
      </c>
      <c r="AF1256" t="s">
        <v>6966</v>
      </c>
      <c r="AG1256" t="s">
        <v>6966</v>
      </c>
      <c r="AH1256" t="s">
        <v>6966</v>
      </c>
      <c r="AI1256" t="s">
        <v>6966</v>
      </c>
      <c r="AJ1256" t="s">
        <v>6966</v>
      </c>
      <c r="AK1256" t="s">
        <v>6966</v>
      </c>
      <c r="AL1256" t="s">
        <v>6966</v>
      </c>
      <c r="AM1256" t="s">
        <v>6966</v>
      </c>
      <c r="AN1256" t="s">
        <v>6966</v>
      </c>
      <c r="AO1256" t="s">
        <v>6966</v>
      </c>
      <c r="AP1256" t="s">
        <v>6966</v>
      </c>
      <c r="AQ1256" t="s">
        <v>6966</v>
      </c>
      <c r="AR1256" t="s">
        <v>6966</v>
      </c>
      <c r="AS1256" t="s">
        <v>6966</v>
      </c>
      <c r="AT1256" t="s">
        <v>6966</v>
      </c>
      <c r="AU1256" t="s">
        <v>6966</v>
      </c>
      <c r="AV1256" t="s">
        <v>6966</v>
      </c>
      <c r="AW1256" t="s">
        <v>6966</v>
      </c>
      <c r="AX1256" t="s">
        <v>6966</v>
      </c>
      <c r="AY1256" t="s">
        <v>6966</v>
      </c>
      <c r="AZ1256">
        <v>4.2495999999999999E-2</v>
      </c>
      <c r="BA1256">
        <v>5.0000000000000002E-5</v>
      </c>
    </row>
    <row r="1257" spans="1:53" x14ac:dyDescent="0.25">
      <c r="A1257">
        <v>1255</v>
      </c>
      <c r="B1257" t="s">
        <v>7625</v>
      </c>
      <c r="C1257">
        <v>801072</v>
      </c>
      <c r="D1257" t="s">
        <v>1376</v>
      </c>
      <c r="E1257" t="s">
        <v>1342</v>
      </c>
      <c r="F1257">
        <v>4612259.5</v>
      </c>
      <c r="G1257">
        <v>10405.124023</v>
      </c>
      <c r="H1257">
        <v>1257</v>
      </c>
      <c r="I1257">
        <v>1491</v>
      </c>
      <c r="J1257">
        <v>63237</v>
      </c>
      <c r="K1257" t="s">
        <v>2659</v>
      </c>
      <c r="L1257">
        <v>22</v>
      </c>
      <c r="M1257">
        <v>22</v>
      </c>
      <c r="N1257">
        <v>63237</v>
      </c>
      <c r="O1257">
        <v>1232</v>
      </c>
      <c r="P1257" t="s">
        <v>3213</v>
      </c>
      <c r="Q1257">
        <v>0.8</v>
      </c>
      <c r="R1257">
        <v>35.450000000000003</v>
      </c>
      <c r="S1257">
        <v>0.31</v>
      </c>
      <c r="T1257">
        <v>14</v>
      </c>
      <c r="U1257">
        <v>4612259.6415299997</v>
      </c>
      <c r="V1257">
        <v>10405.124517</v>
      </c>
      <c r="W1257">
        <v>1256</v>
      </c>
      <c r="X1257">
        <v>0</v>
      </c>
      <c r="Y1257">
        <v>1255</v>
      </c>
      <c r="Z1257" t="s">
        <v>6966</v>
      </c>
      <c r="AA1257" t="s">
        <v>6966</v>
      </c>
      <c r="AB1257" t="s">
        <v>6966</v>
      </c>
      <c r="AC1257" t="s">
        <v>6966</v>
      </c>
      <c r="AD1257" t="s">
        <v>6966</v>
      </c>
      <c r="AE1257" t="s">
        <v>6966</v>
      </c>
      <c r="AF1257" t="s">
        <v>6966</v>
      </c>
      <c r="AG1257" t="s">
        <v>6966</v>
      </c>
      <c r="AH1257" t="s">
        <v>6966</v>
      </c>
      <c r="AI1257" t="s">
        <v>6966</v>
      </c>
      <c r="AJ1257" t="s">
        <v>6966</v>
      </c>
      <c r="AK1257" t="s">
        <v>6966</v>
      </c>
      <c r="AL1257" t="s">
        <v>6966</v>
      </c>
      <c r="AM1257" t="s">
        <v>6966</v>
      </c>
      <c r="AN1257" t="s">
        <v>6966</v>
      </c>
      <c r="AO1257" t="s">
        <v>6966</v>
      </c>
      <c r="AP1257" t="s">
        <v>6966</v>
      </c>
      <c r="AQ1257" t="s">
        <v>6966</v>
      </c>
      <c r="AR1257" t="s">
        <v>6966</v>
      </c>
      <c r="AS1257" t="s">
        <v>6966</v>
      </c>
      <c r="AT1257" t="s">
        <v>6966</v>
      </c>
      <c r="AU1257" t="s">
        <v>6966</v>
      </c>
      <c r="AV1257" t="s">
        <v>6966</v>
      </c>
      <c r="AW1257" t="s">
        <v>6966</v>
      </c>
      <c r="AX1257" t="s">
        <v>6966</v>
      </c>
      <c r="AY1257" t="s">
        <v>6966</v>
      </c>
      <c r="AZ1257">
        <v>0.102686</v>
      </c>
      <c r="BA1257">
        <v>4.4799999999999999E-4</v>
      </c>
    </row>
    <row r="1258" spans="1:53" x14ac:dyDescent="0.25">
      <c r="A1258">
        <v>1256</v>
      </c>
      <c r="B1258" t="s">
        <v>7625</v>
      </c>
      <c r="C1258">
        <v>802070</v>
      </c>
      <c r="D1258" t="s">
        <v>1198</v>
      </c>
      <c r="E1258" t="s">
        <v>3039</v>
      </c>
      <c r="F1258">
        <v>1446088</v>
      </c>
      <c r="G1258">
        <v>5986.705078</v>
      </c>
      <c r="H1258">
        <v>1258</v>
      </c>
      <c r="I1258">
        <v>1493</v>
      </c>
      <c r="J1258">
        <v>61211</v>
      </c>
      <c r="K1258" t="s">
        <v>2514</v>
      </c>
      <c r="L1258">
        <v>20</v>
      </c>
      <c r="M1258">
        <v>20</v>
      </c>
      <c r="N1258">
        <v>61211</v>
      </c>
      <c r="O1258">
        <v>1234</v>
      </c>
      <c r="P1258" t="s">
        <v>3213</v>
      </c>
      <c r="Q1258">
        <v>3.3</v>
      </c>
      <c r="R1258">
        <v>18.649999999999999</v>
      </c>
      <c r="S1258">
        <v>0.89</v>
      </c>
      <c r="T1258">
        <v>5</v>
      </c>
      <c r="U1258">
        <v>1446088.0053099999</v>
      </c>
      <c r="V1258">
        <v>5986.7047430000002</v>
      </c>
      <c r="W1258">
        <v>1257</v>
      </c>
      <c r="X1258">
        <v>0</v>
      </c>
      <c r="Y1258">
        <v>1256</v>
      </c>
      <c r="Z1258" t="s">
        <v>6966</v>
      </c>
      <c r="AA1258" t="s">
        <v>6966</v>
      </c>
      <c r="AB1258" t="s">
        <v>6966</v>
      </c>
      <c r="AC1258" t="s">
        <v>6966</v>
      </c>
      <c r="AD1258" t="s">
        <v>6966</v>
      </c>
      <c r="AE1258" t="s">
        <v>6966</v>
      </c>
      <c r="AF1258" t="s">
        <v>6966</v>
      </c>
      <c r="AG1258" t="s">
        <v>6966</v>
      </c>
      <c r="AH1258" t="s">
        <v>6966</v>
      </c>
      <c r="AI1258" t="s">
        <v>6966</v>
      </c>
      <c r="AJ1258" t="s">
        <v>6966</v>
      </c>
      <c r="AK1258" t="s">
        <v>6966</v>
      </c>
      <c r="AL1258" t="s">
        <v>6966</v>
      </c>
      <c r="AM1258" t="s">
        <v>6966</v>
      </c>
      <c r="AN1258" t="s">
        <v>6966</v>
      </c>
      <c r="AO1258" t="s">
        <v>6966</v>
      </c>
      <c r="AP1258" t="s">
        <v>6966</v>
      </c>
      <c r="AQ1258" t="s">
        <v>6966</v>
      </c>
      <c r="AR1258" t="s">
        <v>6966</v>
      </c>
      <c r="AS1258" t="s">
        <v>6966</v>
      </c>
      <c r="AT1258" t="s">
        <v>6966</v>
      </c>
      <c r="AU1258" t="s">
        <v>6966</v>
      </c>
      <c r="AV1258" t="s">
        <v>6966</v>
      </c>
      <c r="AW1258" t="s">
        <v>6966</v>
      </c>
      <c r="AX1258" t="s">
        <v>6966</v>
      </c>
      <c r="AY1258" t="s">
        <v>6966</v>
      </c>
      <c r="AZ1258">
        <v>5.9255000000000002E-2</v>
      </c>
      <c r="BA1258">
        <v>1.3999999999999999E-4</v>
      </c>
    </row>
    <row r="1259" spans="1:53" x14ac:dyDescent="0.25">
      <c r="A1259">
        <v>1257</v>
      </c>
      <c r="B1259" t="s">
        <v>7625</v>
      </c>
      <c r="C1259">
        <v>801032</v>
      </c>
      <c r="D1259" t="s">
        <v>1342</v>
      </c>
      <c r="E1259" t="s">
        <v>1342</v>
      </c>
      <c r="F1259">
        <v>0</v>
      </c>
      <c r="G1259">
        <v>27467.302734000001</v>
      </c>
      <c r="H1259">
        <v>1259</v>
      </c>
      <c r="I1259">
        <v>1494</v>
      </c>
      <c r="J1259">
        <v>63111</v>
      </c>
      <c r="K1259" t="s">
        <v>2630</v>
      </c>
      <c r="L1259">
        <v>22</v>
      </c>
      <c r="M1259">
        <v>22</v>
      </c>
      <c r="N1259">
        <v>63111</v>
      </c>
      <c r="O1259">
        <v>1235</v>
      </c>
      <c r="P1259" t="s">
        <v>3213</v>
      </c>
      <c r="Q1259">
        <v>2.2999999999999998</v>
      </c>
      <c r="R1259">
        <v>54.39</v>
      </c>
      <c r="S1259">
        <v>0.95</v>
      </c>
      <c r="T1259">
        <v>22</v>
      </c>
      <c r="U1259">
        <v>0</v>
      </c>
      <c r="V1259">
        <v>27467.301822000001</v>
      </c>
      <c r="W1259">
        <v>1258</v>
      </c>
      <c r="X1259">
        <v>4</v>
      </c>
      <c r="Y1259">
        <v>1257</v>
      </c>
      <c r="Z1259">
        <v>71780</v>
      </c>
      <c r="AA1259" s="76">
        <v>45929</v>
      </c>
      <c r="AB1259">
        <v>2025</v>
      </c>
      <c r="AC1259" t="s">
        <v>7433</v>
      </c>
      <c r="AD1259">
        <v>29</v>
      </c>
      <c r="AE1259" t="s">
        <v>7471</v>
      </c>
      <c r="AF1259" t="s">
        <v>3213</v>
      </c>
      <c r="AG1259" t="s">
        <v>1342</v>
      </c>
      <c r="AH1259" t="s">
        <v>1342</v>
      </c>
      <c r="AI1259" t="s">
        <v>1342</v>
      </c>
      <c r="AJ1259" t="s">
        <v>6966</v>
      </c>
      <c r="AK1259">
        <v>33.542319999999997</v>
      </c>
      <c r="AL1259">
        <v>35.585970000000003</v>
      </c>
      <c r="AM1259" t="s">
        <v>6995</v>
      </c>
      <c r="AN1259" t="s">
        <v>6995</v>
      </c>
      <c r="AO1259" t="s">
        <v>7086</v>
      </c>
      <c r="AP1259" t="s">
        <v>7472</v>
      </c>
      <c r="AQ1259" t="s">
        <v>6998</v>
      </c>
      <c r="AR1259" t="s">
        <v>6999</v>
      </c>
      <c r="AS1259" t="s">
        <v>7071</v>
      </c>
      <c r="AT1259">
        <v>0</v>
      </c>
      <c r="AU1259">
        <v>0</v>
      </c>
      <c r="AV1259" t="s">
        <v>7533</v>
      </c>
      <c r="AW1259" t="s">
        <v>7119</v>
      </c>
      <c r="AX1259" t="s">
        <v>6966</v>
      </c>
      <c r="AY1259" t="s">
        <v>7044</v>
      </c>
      <c r="AZ1259">
        <v>0.26786100000000002</v>
      </c>
      <c r="BA1259">
        <v>2.1900000000000001E-3</v>
      </c>
    </row>
    <row r="1260" spans="1:53" x14ac:dyDescent="0.25">
      <c r="A1260">
        <v>1258</v>
      </c>
      <c r="B1260" t="s">
        <v>7625</v>
      </c>
      <c r="C1260">
        <v>802023</v>
      </c>
      <c r="D1260" t="s">
        <v>1196</v>
      </c>
      <c r="E1260" t="s">
        <v>3039</v>
      </c>
      <c r="F1260">
        <v>3258133</v>
      </c>
      <c r="G1260">
        <v>9180.8730469999991</v>
      </c>
      <c r="H1260">
        <v>1260</v>
      </c>
      <c r="I1260">
        <v>1495</v>
      </c>
      <c r="J1260">
        <v>61159</v>
      </c>
      <c r="K1260" t="s">
        <v>8040</v>
      </c>
      <c r="L1260">
        <v>20</v>
      </c>
      <c r="M1260">
        <v>20</v>
      </c>
      <c r="N1260">
        <v>61159</v>
      </c>
      <c r="O1260">
        <v>1236</v>
      </c>
      <c r="P1260" t="s">
        <v>3213</v>
      </c>
      <c r="Q1260">
        <v>40.9</v>
      </c>
      <c r="R1260">
        <v>139.26</v>
      </c>
      <c r="S1260">
        <v>9.14</v>
      </c>
      <c r="T1260">
        <v>32</v>
      </c>
      <c r="U1260">
        <v>3258132.9782400001</v>
      </c>
      <c r="V1260">
        <v>9180.8731150000003</v>
      </c>
      <c r="W1260">
        <v>1259</v>
      </c>
      <c r="X1260">
        <v>3</v>
      </c>
      <c r="Y1260">
        <v>1258</v>
      </c>
      <c r="Z1260">
        <v>71813</v>
      </c>
      <c r="AA1260" s="76">
        <v>45932</v>
      </c>
      <c r="AB1260">
        <v>2025</v>
      </c>
      <c r="AC1260" t="s">
        <v>7473</v>
      </c>
      <c r="AD1260">
        <v>2</v>
      </c>
      <c r="AE1260" t="s">
        <v>7475</v>
      </c>
      <c r="AF1260" t="s">
        <v>3213</v>
      </c>
      <c r="AG1260" t="s">
        <v>3039</v>
      </c>
      <c r="AH1260" t="s">
        <v>1196</v>
      </c>
      <c r="AI1260" t="s">
        <v>7476</v>
      </c>
      <c r="AJ1260" t="s">
        <v>6966</v>
      </c>
      <c r="AK1260">
        <v>33.55688</v>
      </c>
      <c r="AL1260">
        <v>35.385890000000003</v>
      </c>
      <c r="AM1260" t="s">
        <v>7013</v>
      </c>
      <c r="AN1260" t="s">
        <v>6995</v>
      </c>
      <c r="AO1260" t="s">
        <v>7008</v>
      </c>
      <c r="AP1260" t="s">
        <v>7477</v>
      </c>
      <c r="AQ1260" t="s">
        <v>6998</v>
      </c>
      <c r="AR1260" t="s">
        <v>6999</v>
      </c>
      <c r="AS1260" t="s">
        <v>7000</v>
      </c>
      <c r="AT1260">
        <v>0</v>
      </c>
      <c r="AU1260">
        <v>0</v>
      </c>
      <c r="AV1260" t="s">
        <v>7474</v>
      </c>
      <c r="AW1260" t="s">
        <v>7018</v>
      </c>
      <c r="AX1260" t="s">
        <v>6966</v>
      </c>
      <c r="AY1260" t="s">
        <v>7003</v>
      </c>
      <c r="AZ1260">
        <v>9.2097999999999999E-2</v>
      </c>
      <c r="BA1260">
        <v>3.1599999999999998E-4</v>
      </c>
    </row>
    <row r="1261" spans="1:53" x14ac:dyDescent="0.25">
      <c r="A1261">
        <v>1259</v>
      </c>
      <c r="B1261" t="s">
        <v>7625</v>
      </c>
      <c r="C1261">
        <v>802042</v>
      </c>
      <c r="D1261" t="s">
        <v>1200</v>
      </c>
      <c r="E1261" t="s">
        <v>3039</v>
      </c>
      <c r="F1261">
        <v>1626772.5</v>
      </c>
      <c r="G1261">
        <v>7079.9418949999999</v>
      </c>
      <c r="H1261">
        <v>1261</v>
      </c>
      <c r="I1261">
        <v>1496</v>
      </c>
      <c r="J1261">
        <v>61233</v>
      </c>
      <c r="K1261" t="s">
        <v>2515</v>
      </c>
      <c r="L1261">
        <v>20</v>
      </c>
      <c r="M1261">
        <v>20</v>
      </c>
      <c r="N1261">
        <v>61233</v>
      </c>
      <c r="O1261">
        <v>1237</v>
      </c>
      <c r="P1261" t="s">
        <v>3213</v>
      </c>
      <c r="Q1261">
        <v>9.6999999999999993</v>
      </c>
      <c r="R1261">
        <v>45.37</v>
      </c>
      <c r="S1261">
        <v>2.58</v>
      </c>
      <c r="T1261">
        <v>12</v>
      </c>
      <c r="U1261">
        <v>1626772.5884100001</v>
      </c>
      <c r="V1261">
        <v>7079.9412400000001</v>
      </c>
      <c r="W1261">
        <v>1260</v>
      </c>
      <c r="X1261">
        <v>1</v>
      </c>
      <c r="Y1261">
        <v>1259</v>
      </c>
      <c r="Z1261">
        <v>61696</v>
      </c>
      <c r="AA1261" s="76">
        <v>45782</v>
      </c>
      <c r="AB1261">
        <v>2025</v>
      </c>
      <c r="AC1261" t="s">
        <v>7215</v>
      </c>
      <c r="AD1261">
        <v>5</v>
      </c>
      <c r="AE1261" t="s">
        <v>7222</v>
      </c>
      <c r="AF1261" t="s">
        <v>3213</v>
      </c>
      <c r="AG1261" t="s">
        <v>3039</v>
      </c>
      <c r="AH1261" t="s">
        <v>1200</v>
      </c>
      <c r="AI1261" t="s">
        <v>1200</v>
      </c>
      <c r="AJ1261" t="s">
        <v>6966</v>
      </c>
      <c r="AK1261">
        <v>33.55977</v>
      </c>
      <c r="AL1261">
        <v>35.410939999999997</v>
      </c>
      <c r="AM1261" t="s">
        <v>7013</v>
      </c>
      <c r="AN1261" t="s">
        <v>6995</v>
      </c>
      <c r="AO1261" t="s">
        <v>7008</v>
      </c>
      <c r="AP1261" t="s">
        <v>7223</v>
      </c>
      <c r="AQ1261" t="s">
        <v>6998</v>
      </c>
      <c r="AR1261" t="s">
        <v>6999</v>
      </c>
      <c r="AS1261" t="s">
        <v>7000</v>
      </c>
      <c r="AT1261">
        <v>0</v>
      </c>
      <c r="AU1261">
        <v>0</v>
      </c>
      <c r="AV1261" t="s">
        <v>7219</v>
      </c>
      <c r="AW1261" t="s">
        <v>7018</v>
      </c>
      <c r="AX1261" t="s">
        <v>6966</v>
      </c>
      <c r="AY1261" t="s">
        <v>7003</v>
      </c>
      <c r="AZ1261">
        <v>7.0068000000000005E-2</v>
      </c>
      <c r="BA1261">
        <v>1.5799999999999999E-4</v>
      </c>
    </row>
    <row r="1262" spans="1:53" x14ac:dyDescent="0.25">
      <c r="A1262">
        <v>1260</v>
      </c>
      <c r="B1262" t="s">
        <v>7625</v>
      </c>
      <c r="C1262">
        <v>802068</v>
      </c>
      <c r="D1262" t="s">
        <v>1199</v>
      </c>
      <c r="E1262" t="s">
        <v>3039</v>
      </c>
      <c r="F1262">
        <v>736269.6875</v>
      </c>
      <c r="G1262">
        <v>4930.404297</v>
      </c>
      <c r="H1262">
        <v>1262</v>
      </c>
      <c r="I1262">
        <v>1497</v>
      </c>
      <c r="J1262">
        <v>61222</v>
      </c>
      <c r="K1262" t="s">
        <v>2034</v>
      </c>
      <c r="L1262">
        <v>20</v>
      </c>
      <c r="M1262">
        <v>20</v>
      </c>
      <c r="N1262">
        <v>61222</v>
      </c>
      <c r="O1262">
        <v>1238</v>
      </c>
      <c r="P1262" t="s">
        <v>3213</v>
      </c>
      <c r="Q1262">
        <v>4.9000000000000004</v>
      </c>
      <c r="R1262">
        <v>0</v>
      </c>
      <c r="S1262">
        <v>1.22</v>
      </c>
      <c r="T1262">
        <v>0</v>
      </c>
      <c r="U1262">
        <v>736269.63143199997</v>
      </c>
      <c r="V1262">
        <v>4930.4043810000003</v>
      </c>
      <c r="W1262">
        <v>1261</v>
      </c>
      <c r="X1262">
        <v>0</v>
      </c>
      <c r="Y1262">
        <v>1260</v>
      </c>
      <c r="Z1262" t="s">
        <v>6966</v>
      </c>
      <c r="AA1262" t="s">
        <v>6966</v>
      </c>
      <c r="AB1262" t="s">
        <v>6966</v>
      </c>
      <c r="AC1262" t="s">
        <v>6966</v>
      </c>
      <c r="AD1262" t="s">
        <v>6966</v>
      </c>
      <c r="AE1262" t="s">
        <v>6966</v>
      </c>
      <c r="AF1262" t="s">
        <v>6966</v>
      </c>
      <c r="AG1262" t="s">
        <v>6966</v>
      </c>
      <c r="AH1262" t="s">
        <v>6966</v>
      </c>
      <c r="AI1262" t="s">
        <v>6966</v>
      </c>
      <c r="AJ1262" t="s">
        <v>6966</v>
      </c>
      <c r="AK1262" t="s">
        <v>6966</v>
      </c>
      <c r="AL1262" t="s">
        <v>6966</v>
      </c>
      <c r="AM1262" t="s">
        <v>6966</v>
      </c>
      <c r="AN1262" t="s">
        <v>6966</v>
      </c>
      <c r="AO1262" t="s">
        <v>6966</v>
      </c>
      <c r="AP1262" t="s">
        <v>6966</v>
      </c>
      <c r="AQ1262" t="s">
        <v>6966</v>
      </c>
      <c r="AR1262" t="s">
        <v>6966</v>
      </c>
      <c r="AS1262" t="s">
        <v>6966</v>
      </c>
      <c r="AT1262" t="s">
        <v>6966</v>
      </c>
      <c r="AU1262" t="s">
        <v>6966</v>
      </c>
      <c r="AV1262" t="s">
        <v>6966</v>
      </c>
      <c r="AW1262" t="s">
        <v>6966</v>
      </c>
      <c r="AX1262" t="s">
        <v>6966</v>
      </c>
      <c r="AY1262" t="s">
        <v>6966</v>
      </c>
      <c r="AZ1262">
        <v>4.9602E-2</v>
      </c>
      <c r="BA1262">
        <v>7.1000000000000005E-5</v>
      </c>
    </row>
    <row r="1263" spans="1:53" x14ac:dyDescent="0.25">
      <c r="A1263">
        <v>1261</v>
      </c>
      <c r="B1263" t="s">
        <v>7625</v>
      </c>
      <c r="C1263">
        <v>801037</v>
      </c>
      <c r="D1263" t="s">
        <v>1373</v>
      </c>
      <c r="E1263" t="s">
        <v>1342</v>
      </c>
      <c r="F1263">
        <v>2772351.75</v>
      </c>
      <c r="G1263">
        <v>9041.7929690000001</v>
      </c>
      <c r="H1263">
        <v>1263</v>
      </c>
      <c r="I1263">
        <v>1498</v>
      </c>
      <c r="J1263">
        <v>63227</v>
      </c>
      <c r="K1263" t="s">
        <v>1373</v>
      </c>
      <c r="L1263">
        <v>22</v>
      </c>
      <c r="M1263">
        <v>22</v>
      </c>
      <c r="N1263">
        <v>63227</v>
      </c>
      <c r="O1263">
        <v>1239</v>
      </c>
      <c r="P1263" t="s">
        <v>3213</v>
      </c>
      <c r="Q1263">
        <v>1.6</v>
      </c>
      <c r="R1263">
        <v>10.91</v>
      </c>
      <c r="S1263">
        <v>0.98</v>
      </c>
      <c r="T1263">
        <v>7</v>
      </c>
      <c r="U1263">
        <v>2772351.68029</v>
      </c>
      <c r="V1263">
        <v>9041.7913239999998</v>
      </c>
      <c r="W1263">
        <v>1262</v>
      </c>
      <c r="X1263">
        <v>0</v>
      </c>
      <c r="Y1263">
        <v>1261</v>
      </c>
      <c r="Z1263" t="s">
        <v>6966</v>
      </c>
      <c r="AA1263" t="s">
        <v>6966</v>
      </c>
      <c r="AB1263" t="s">
        <v>6966</v>
      </c>
      <c r="AC1263" t="s">
        <v>6966</v>
      </c>
      <c r="AD1263" t="s">
        <v>6966</v>
      </c>
      <c r="AE1263" t="s">
        <v>6966</v>
      </c>
      <c r="AF1263" t="s">
        <v>6966</v>
      </c>
      <c r="AG1263" t="s">
        <v>6966</v>
      </c>
      <c r="AH1263" t="s">
        <v>6966</v>
      </c>
      <c r="AI1263" t="s">
        <v>6966</v>
      </c>
      <c r="AJ1263" t="s">
        <v>6966</v>
      </c>
      <c r="AK1263" t="s">
        <v>6966</v>
      </c>
      <c r="AL1263" t="s">
        <v>6966</v>
      </c>
      <c r="AM1263" t="s">
        <v>6966</v>
      </c>
      <c r="AN1263" t="s">
        <v>6966</v>
      </c>
      <c r="AO1263" t="s">
        <v>6966</v>
      </c>
      <c r="AP1263" t="s">
        <v>6966</v>
      </c>
      <c r="AQ1263" t="s">
        <v>6966</v>
      </c>
      <c r="AR1263" t="s">
        <v>6966</v>
      </c>
      <c r="AS1263" t="s">
        <v>6966</v>
      </c>
      <c r="AT1263" t="s">
        <v>6966</v>
      </c>
      <c r="AU1263" t="s">
        <v>6966</v>
      </c>
      <c r="AV1263" t="s">
        <v>6966</v>
      </c>
      <c r="AW1263" t="s">
        <v>6966</v>
      </c>
      <c r="AX1263" t="s">
        <v>6966</v>
      </c>
      <c r="AY1263" t="s">
        <v>6966</v>
      </c>
      <c r="AZ1263">
        <v>8.9852000000000001E-2</v>
      </c>
      <c r="BA1263">
        <v>2.6899999999999998E-4</v>
      </c>
    </row>
    <row r="1264" spans="1:53" x14ac:dyDescent="0.25">
      <c r="A1264">
        <v>1262</v>
      </c>
      <c r="B1264" t="s">
        <v>7625</v>
      </c>
      <c r="C1264">
        <v>402019</v>
      </c>
      <c r="D1264" t="s">
        <v>1171</v>
      </c>
      <c r="E1264" t="s">
        <v>7999</v>
      </c>
      <c r="F1264">
        <v>7021407.5</v>
      </c>
      <c r="G1264">
        <v>15566.122069999999</v>
      </c>
      <c r="H1264">
        <v>1264</v>
      </c>
      <c r="I1264">
        <v>1499</v>
      </c>
      <c r="J1264">
        <v>55137</v>
      </c>
      <c r="K1264" t="s">
        <v>8041</v>
      </c>
      <c r="L1264">
        <v>19</v>
      </c>
      <c r="M1264">
        <v>19</v>
      </c>
      <c r="N1264">
        <v>55137</v>
      </c>
      <c r="O1264">
        <v>1240</v>
      </c>
      <c r="P1264" t="s">
        <v>3214</v>
      </c>
      <c r="Q1264">
        <v>1.3</v>
      </c>
      <c r="R1264">
        <v>66.78</v>
      </c>
      <c r="S1264">
        <v>0.28000000000000003</v>
      </c>
      <c r="T1264">
        <v>15</v>
      </c>
      <c r="U1264">
        <v>7021407.6225800002</v>
      </c>
      <c r="V1264">
        <v>15566.122627000001</v>
      </c>
      <c r="W1264">
        <v>1263</v>
      </c>
      <c r="X1264">
        <v>0</v>
      </c>
      <c r="Y1264">
        <v>1262</v>
      </c>
      <c r="Z1264" t="s">
        <v>6966</v>
      </c>
      <c r="AA1264" t="s">
        <v>6966</v>
      </c>
      <c r="AB1264" t="s">
        <v>6966</v>
      </c>
      <c r="AC1264" t="s">
        <v>6966</v>
      </c>
      <c r="AD1264" t="s">
        <v>6966</v>
      </c>
      <c r="AE1264" t="s">
        <v>6966</v>
      </c>
      <c r="AF1264" t="s">
        <v>6966</v>
      </c>
      <c r="AG1264" t="s">
        <v>6966</v>
      </c>
      <c r="AH1264" t="s">
        <v>6966</v>
      </c>
      <c r="AI1264" t="s">
        <v>6966</v>
      </c>
      <c r="AJ1264" t="s">
        <v>6966</v>
      </c>
      <c r="AK1264" t="s">
        <v>6966</v>
      </c>
      <c r="AL1264" t="s">
        <v>6966</v>
      </c>
      <c r="AM1264" t="s">
        <v>6966</v>
      </c>
      <c r="AN1264" t="s">
        <v>6966</v>
      </c>
      <c r="AO1264" t="s">
        <v>6966</v>
      </c>
      <c r="AP1264" t="s">
        <v>6966</v>
      </c>
      <c r="AQ1264" t="s">
        <v>6966</v>
      </c>
      <c r="AR1264" t="s">
        <v>6966</v>
      </c>
      <c r="AS1264" t="s">
        <v>6966</v>
      </c>
      <c r="AT1264" t="s">
        <v>6966</v>
      </c>
      <c r="AU1264" t="s">
        <v>6966</v>
      </c>
      <c r="AV1264" t="s">
        <v>6966</v>
      </c>
      <c r="AW1264" t="s">
        <v>6966</v>
      </c>
      <c r="AX1264" t="s">
        <v>6966</v>
      </c>
      <c r="AY1264" t="s">
        <v>6966</v>
      </c>
      <c r="AZ1264">
        <v>0.15595400000000001</v>
      </c>
      <c r="BA1264">
        <v>6.8199999999999999E-4</v>
      </c>
    </row>
    <row r="1265" spans="1:53" x14ac:dyDescent="0.25">
      <c r="A1265">
        <v>1263</v>
      </c>
      <c r="B1265" t="s">
        <v>7625</v>
      </c>
      <c r="C1265">
        <v>801017</v>
      </c>
      <c r="D1265" t="s">
        <v>1379</v>
      </c>
      <c r="E1265" t="s">
        <v>1342</v>
      </c>
      <c r="F1265">
        <v>950779</v>
      </c>
      <c r="G1265">
        <v>4635.9858400000003</v>
      </c>
      <c r="H1265">
        <v>1265</v>
      </c>
      <c r="I1265">
        <v>1500</v>
      </c>
      <c r="J1265">
        <v>63247</v>
      </c>
      <c r="K1265" t="s">
        <v>2660</v>
      </c>
      <c r="L1265">
        <v>22</v>
      </c>
      <c r="M1265">
        <v>22</v>
      </c>
      <c r="N1265">
        <v>63247</v>
      </c>
      <c r="O1265">
        <v>1241</v>
      </c>
      <c r="P1265" t="s">
        <v>3213</v>
      </c>
      <c r="Q1265">
        <v>2</v>
      </c>
      <c r="R1265">
        <v>244.38</v>
      </c>
      <c r="S1265">
        <v>1.1599999999999999</v>
      </c>
      <c r="T1265">
        <v>144</v>
      </c>
      <c r="U1265">
        <v>950778.98372200003</v>
      </c>
      <c r="V1265">
        <v>4635.9850399999996</v>
      </c>
      <c r="W1265">
        <v>1264</v>
      </c>
      <c r="X1265">
        <v>1</v>
      </c>
      <c r="Y1265">
        <v>1263</v>
      </c>
      <c r="Z1265">
        <v>75453</v>
      </c>
      <c r="AA1265" s="76">
        <v>45981</v>
      </c>
      <c r="AB1265">
        <v>2025</v>
      </c>
      <c r="AC1265" t="s">
        <v>7516</v>
      </c>
      <c r="AD1265">
        <v>20</v>
      </c>
      <c r="AE1265" t="s">
        <v>7539</v>
      </c>
      <c r="AF1265" t="s">
        <v>3213</v>
      </c>
      <c r="AG1265" t="s">
        <v>1342</v>
      </c>
      <c r="AH1265" t="s">
        <v>1379</v>
      </c>
      <c r="AI1265" t="s">
        <v>7540</v>
      </c>
      <c r="AJ1265" t="s">
        <v>6966</v>
      </c>
      <c r="AK1265">
        <v>33.553539999999998</v>
      </c>
      <c r="AL1265">
        <v>35.436309999999999</v>
      </c>
      <c r="AM1265" t="s">
        <v>7013</v>
      </c>
      <c r="AN1265" t="s">
        <v>7014</v>
      </c>
      <c r="AO1265" t="s">
        <v>7008</v>
      </c>
      <c r="AP1265" t="s">
        <v>7541</v>
      </c>
      <c r="AQ1265" t="s">
        <v>6998</v>
      </c>
      <c r="AR1265" t="s">
        <v>6999</v>
      </c>
      <c r="AS1265" t="s">
        <v>7000</v>
      </c>
      <c r="AT1265">
        <v>0</v>
      </c>
      <c r="AU1265">
        <v>0</v>
      </c>
      <c r="AV1265" t="s">
        <v>7533</v>
      </c>
      <c r="AW1265" t="s">
        <v>7018</v>
      </c>
      <c r="AX1265" t="s">
        <v>6966</v>
      </c>
      <c r="AY1265" t="s">
        <v>7003</v>
      </c>
      <c r="AZ1265">
        <v>4.6973000000000001E-2</v>
      </c>
      <c r="BA1265">
        <v>9.2E-5</v>
      </c>
    </row>
    <row r="1266" spans="1:53" x14ac:dyDescent="0.25">
      <c r="A1266">
        <v>1264</v>
      </c>
      <c r="B1266" t="s">
        <v>7625</v>
      </c>
      <c r="C1266">
        <v>801027</v>
      </c>
      <c r="D1266" t="s">
        <v>8042</v>
      </c>
      <c r="E1266" t="s">
        <v>1342</v>
      </c>
      <c r="F1266">
        <v>1268361</v>
      </c>
      <c r="G1266">
        <v>7001.9487300000001</v>
      </c>
      <c r="H1266">
        <v>1266</v>
      </c>
      <c r="I1266">
        <v>1501</v>
      </c>
      <c r="J1266">
        <v>63127</v>
      </c>
      <c r="K1266" t="s">
        <v>8043</v>
      </c>
      <c r="L1266">
        <v>22</v>
      </c>
      <c r="M1266">
        <v>22</v>
      </c>
      <c r="N1266">
        <v>63127</v>
      </c>
      <c r="O1266">
        <v>1242</v>
      </c>
      <c r="P1266" t="s">
        <v>3213</v>
      </c>
      <c r="Q1266">
        <v>2.4</v>
      </c>
      <c r="R1266">
        <v>32.22</v>
      </c>
      <c r="S1266">
        <v>0.8</v>
      </c>
      <c r="T1266">
        <v>11</v>
      </c>
      <c r="U1266">
        <v>1268361.0281700001</v>
      </c>
      <c r="V1266">
        <v>7001.947983</v>
      </c>
      <c r="W1266">
        <v>1265</v>
      </c>
      <c r="X1266">
        <v>0</v>
      </c>
      <c r="Y1266">
        <v>1264</v>
      </c>
      <c r="Z1266" t="s">
        <v>6966</v>
      </c>
      <c r="AA1266" t="s">
        <v>6966</v>
      </c>
      <c r="AB1266" t="s">
        <v>6966</v>
      </c>
      <c r="AC1266" t="s">
        <v>6966</v>
      </c>
      <c r="AD1266" t="s">
        <v>6966</v>
      </c>
      <c r="AE1266" t="s">
        <v>6966</v>
      </c>
      <c r="AF1266" t="s">
        <v>6966</v>
      </c>
      <c r="AG1266" t="s">
        <v>6966</v>
      </c>
      <c r="AH1266" t="s">
        <v>6966</v>
      </c>
      <c r="AI1266" t="s">
        <v>6966</v>
      </c>
      <c r="AJ1266" t="s">
        <v>6966</v>
      </c>
      <c r="AK1266" t="s">
        <v>6966</v>
      </c>
      <c r="AL1266" t="s">
        <v>6966</v>
      </c>
      <c r="AM1266" t="s">
        <v>6966</v>
      </c>
      <c r="AN1266" t="s">
        <v>6966</v>
      </c>
      <c r="AO1266" t="s">
        <v>6966</v>
      </c>
      <c r="AP1266" t="s">
        <v>6966</v>
      </c>
      <c r="AQ1266" t="s">
        <v>6966</v>
      </c>
      <c r="AR1266" t="s">
        <v>6966</v>
      </c>
      <c r="AS1266" t="s">
        <v>6966</v>
      </c>
      <c r="AT1266" t="s">
        <v>6966</v>
      </c>
      <c r="AU1266" t="s">
        <v>6966</v>
      </c>
      <c r="AV1266" t="s">
        <v>6966</v>
      </c>
      <c r="AW1266" t="s">
        <v>6966</v>
      </c>
      <c r="AX1266" t="s">
        <v>6966</v>
      </c>
      <c r="AY1266" t="s">
        <v>6966</v>
      </c>
      <c r="AZ1266">
        <v>6.8997000000000003E-2</v>
      </c>
      <c r="BA1266">
        <v>1.2300000000000001E-4</v>
      </c>
    </row>
    <row r="1267" spans="1:53" x14ac:dyDescent="0.25">
      <c r="A1267">
        <v>1265</v>
      </c>
      <c r="B1267" t="s">
        <v>7625</v>
      </c>
      <c r="C1267">
        <v>402023</v>
      </c>
      <c r="D1267" t="s">
        <v>1182</v>
      </c>
      <c r="E1267" t="s">
        <v>7999</v>
      </c>
      <c r="F1267">
        <v>0</v>
      </c>
      <c r="G1267">
        <v>26638.304688</v>
      </c>
      <c r="H1267">
        <v>1267</v>
      </c>
      <c r="I1267">
        <v>1502</v>
      </c>
      <c r="J1267">
        <v>55174</v>
      </c>
      <c r="K1267" t="s">
        <v>2502</v>
      </c>
      <c r="L1267">
        <v>19</v>
      </c>
      <c r="M1267">
        <v>19</v>
      </c>
      <c r="N1267">
        <v>55174</v>
      </c>
      <c r="O1267">
        <v>1243</v>
      </c>
      <c r="P1267" t="s">
        <v>3214</v>
      </c>
      <c r="Q1267">
        <v>0.6</v>
      </c>
      <c r="R1267">
        <v>53.6</v>
      </c>
      <c r="S1267">
        <v>0.1</v>
      </c>
      <c r="T1267">
        <v>9</v>
      </c>
      <c r="U1267">
        <v>0</v>
      </c>
      <c r="V1267">
        <v>26638.304355</v>
      </c>
      <c r="W1267">
        <v>1266</v>
      </c>
      <c r="X1267">
        <v>0</v>
      </c>
      <c r="Y1267">
        <v>1265</v>
      </c>
      <c r="Z1267" t="s">
        <v>6966</v>
      </c>
      <c r="AA1267" t="s">
        <v>6966</v>
      </c>
      <c r="AB1267" t="s">
        <v>6966</v>
      </c>
      <c r="AC1267" t="s">
        <v>6966</v>
      </c>
      <c r="AD1267" t="s">
        <v>6966</v>
      </c>
      <c r="AE1267" t="s">
        <v>6966</v>
      </c>
      <c r="AF1267" t="s">
        <v>6966</v>
      </c>
      <c r="AG1267" t="s">
        <v>6966</v>
      </c>
      <c r="AH1267" t="s">
        <v>6966</v>
      </c>
      <c r="AI1267" t="s">
        <v>6966</v>
      </c>
      <c r="AJ1267" t="s">
        <v>6966</v>
      </c>
      <c r="AK1267" t="s">
        <v>6966</v>
      </c>
      <c r="AL1267" t="s">
        <v>6966</v>
      </c>
      <c r="AM1267" t="s">
        <v>6966</v>
      </c>
      <c r="AN1267" t="s">
        <v>6966</v>
      </c>
      <c r="AO1267" t="s">
        <v>6966</v>
      </c>
      <c r="AP1267" t="s">
        <v>6966</v>
      </c>
      <c r="AQ1267" t="s">
        <v>6966</v>
      </c>
      <c r="AR1267" t="s">
        <v>6966</v>
      </c>
      <c r="AS1267" t="s">
        <v>6966</v>
      </c>
      <c r="AT1267" t="s">
        <v>6966</v>
      </c>
      <c r="AU1267" t="s">
        <v>6966</v>
      </c>
      <c r="AV1267" t="s">
        <v>6966</v>
      </c>
      <c r="AW1267" t="s">
        <v>6966</v>
      </c>
      <c r="AX1267" t="s">
        <v>6966</v>
      </c>
      <c r="AY1267" t="s">
        <v>6966</v>
      </c>
      <c r="AZ1267">
        <v>0.26664900000000002</v>
      </c>
      <c r="BA1267">
        <v>1.9449999999999999E-3</v>
      </c>
    </row>
    <row r="1268" spans="1:53" x14ac:dyDescent="0.25">
      <c r="A1268">
        <v>1266</v>
      </c>
      <c r="B1268" t="s">
        <v>7625</v>
      </c>
      <c r="C1268">
        <v>801057</v>
      </c>
      <c r="D1268" t="s">
        <v>1370</v>
      </c>
      <c r="E1268" t="s">
        <v>1342</v>
      </c>
      <c r="F1268">
        <v>751243.125</v>
      </c>
      <c r="G1268">
        <v>5016.3774409999996</v>
      </c>
      <c r="H1268">
        <v>1268</v>
      </c>
      <c r="I1268">
        <v>1503</v>
      </c>
      <c r="J1268">
        <v>63217</v>
      </c>
      <c r="K1268" t="s">
        <v>2654</v>
      </c>
      <c r="L1268">
        <v>22</v>
      </c>
      <c r="M1268">
        <v>22</v>
      </c>
      <c r="N1268">
        <v>63217</v>
      </c>
      <c r="O1268">
        <v>1244</v>
      </c>
      <c r="P1268" t="s">
        <v>3213</v>
      </c>
      <c r="Q1268">
        <v>1.9</v>
      </c>
      <c r="R1268">
        <v>0</v>
      </c>
      <c r="S1268">
        <v>0.79</v>
      </c>
      <c r="T1268">
        <v>0</v>
      </c>
      <c r="U1268">
        <v>751243.10567700001</v>
      </c>
      <c r="V1268">
        <v>5016.3767930000004</v>
      </c>
      <c r="W1268">
        <v>1267</v>
      </c>
      <c r="X1268">
        <v>0</v>
      </c>
      <c r="Y1268">
        <v>1266</v>
      </c>
      <c r="Z1268" t="s">
        <v>6966</v>
      </c>
      <c r="AA1268" t="s">
        <v>6966</v>
      </c>
      <c r="AB1268" t="s">
        <v>6966</v>
      </c>
      <c r="AC1268" t="s">
        <v>6966</v>
      </c>
      <c r="AD1268" t="s">
        <v>6966</v>
      </c>
      <c r="AE1268" t="s">
        <v>6966</v>
      </c>
      <c r="AF1268" t="s">
        <v>6966</v>
      </c>
      <c r="AG1268" t="s">
        <v>6966</v>
      </c>
      <c r="AH1268" t="s">
        <v>6966</v>
      </c>
      <c r="AI1268" t="s">
        <v>6966</v>
      </c>
      <c r="AJ1268" t="s">
        <v>6966</v>
      </c>
      <c r="AK1268" t="s">
        <v>6966</v>
      </c>
      <c r="AL1268" t="s">
        <v>6966</v>
      </c>
      <c r="AM1268" t="s">
        <v>6966</v>
      </c>
      <c r="AN1268" t="s">
        <v>6966</v>
      </c>
      <c r="AO1268" t="s">
        <v>6966</v>
      </c>
      <c r="AP1268" t="s">
        <v>6966</v>
      </c>
      <c r="AQ1268" t="s">
        <v>6966</v>
      </c>
      <c r="AR1268" t="s">
        <v>6966</v>
      </c>
      <c r="AS1268" t="s">
        <v>6966</v>
      </c>
      <c r="AT1268" t="s">
        <v>6966</v>
      </c>
      <c r="AU1268" t="s">
        <v>6966</v>
      </c>
      <c r="AV1268" t="s">
        <v>6966</v>
      </c>
      <c r="AW1268" t="s">
        <v>6966</v>
      </c>
      <c r="AX1268" t="s">
        <v>6966</v>
      </c>
      <c r="AY1268" t="s">
        <v>6966</v>
      </c>
      <c r="AZ1268">
        <v>4.9196999999999998E-2</v>
      </c>
      <c r="BA1268">
        <v>7.2999999999999999E-5</v>
      </c>
    </row>
    <row r="1269" spans="1:53" x14ac:dyDescent="0.25">
      <c r="A1269">
        <v>1267</v>
      </c>
      <c r="B1269" t="s">
        <v>7625</v>
      </c>
      <c r="C1269">
        <v>402040</v>
      </c>
      <c r="D1269" t="s">
        <v>87</v>
      </c>
      <c r="E1269" t="s">
        <v>7999</v>
      </c>
      <c r="F1269">
        <v>42100.847655999998</v>
      </c>
      <c r="G1269">
        <v>1119.1457519999999</v>
      </c>
      <c r="H1269">
        <v>1269</v>
      </c>
      <c r="I1269">
        <v>1504</v>
      </c>
      <c r="J1269">
        <v>55003</v>
      </c>
      <c r="K1269" t="s">
        <v>87</v>
      </c>
      <c r="L1269">
        <v>19</v>
      </c>
      <c r="M1269">
        <v>19</v>
      </c>
      <c r="N1269">
        <v>55003</v>
      </c>
      <c r="O1269">
        <v>1245</v>
      </c>
      <c r="P1269" t="s">
        <v>3214</v>
      </c>
      <c r="Q1269">
        <v>0</v>
      </c>
      <c r="R1269">
        <v>0</v>
      </c>
      <c r="S1269">
        <v>0</v>
      </c>
      <c r="T1269">
        <v>0</v>
      </c>
      <c r="U1269">
        <v>42100.865671</v>
      </c>
      <c r="V1269">
        <v>1119.145876</v>
      </c>
      <c r="W1269">
        <v>1268</v>
      </c>
      <c r="X1269">
        <v>0</v>
      </c>
      <c r="Y1269">
        <v>1267</v>
      </c>
      <c r="Z1269" t="s">
        <v>6966</v>
      </c>
      <c r="AA1269" t="s">
        <v>6966</v>
      </c>
      <c r="AB1269" t="s">
        <v>6966</v>
      </c>
      <c r="AC1269" t="s">
        <v>6966</v>
      </c>
      <c r="AD1269" t="s">
        <v>6966</v>
      </c>
      <c r="AE1269" t="s">
        <v>6966</v>
      </c>
      <c r="AF1269" t="s">
        <v>6966</v>
      </c>
      <c r="AG1269" t="s">
        <v>6966</v>
      </c>
      <c r="AH1269" t="s">
        <v>6966</v>
      </c>
      <c r="AI1269" t="s">
        <v>6966</v>
      </c>
      <c r="AJ1269" t="s">
        <v>6966</v>
      </c>
      <c r="AK1269" t="s">
        <v>6966</v>
      </c>
      <c r="AL1269" t="s">
        <v>6966</v>
      </c>
      <c r="AM1269" t="s">
        <v>6966</v>
      </c>
      <c r="AN1269" t="s">
        <v>6966</v>
      </c>
      <c r="AO1269" t="s">
        <v>6966</v>
      </c>
      <c r="AP1269" t="s">
        <v>6966</v>
      </c>
      <c r="AQ1269" t="s">
        <v>6966</v>
      </c>
      <c r="AR1269" t="s">
        <v>6966</v>
      </c>
      <c r="AS1269" t="s">
        <v>6966</v>
      </c>
      <c r="AT1269" t="s">
        <v>6966</v>
      </c>
      <c r="AU1269" t="s">
        <v>6966</v>
      </c>
      <c r="AV1269" t="s">
        <v>6966</v>
      </c>
      <c r="AW1269" t="s">
        <v>6966</v>
      </c>
      <c r="AX1269" t="s">
        <v>6966</v>
      </c>
      <c r="AY1269" t="s">
        <v>6966</v>
      </c>
      <c r="AZ1269">
        <v>1.1556E-2</v>
      </c>
      <c r="BA1269">
        <v>3.9999999999999998E-6</v>
      </c>
    </row>
    <row r="1270" spans="1:53" x14ac:dyDescent="0.25">
      <c r="A1270">
        <v>1268</v>
      </c>
      <c r="B1270" t="s">
        <v>7625</v>
      </c>
      <c r="C1270">
        <v>801076</v>
      </c>
      <c r="D1270" t="s">
        <v>1343</v>
      </c>
      <c r="E1270" t="s">
        <v>1342</v>
      </c>
      <c r="F1270">
        <v>1098351.375</v>
      </c>
      <c r="G1270">
        <v>5107.7260740000002</v>
      </c>
      <c r="H1270">
        <v>1270</v>
      </c>
      <c r="I1270">
        <v>1505</v>
      </c>
      <c r="J1270">
        <v>63114</v>
      </c>
      <c r="K1270" t="s">
        <v>2631</v>
      </c>
      <c r="L1270">
        <v>22</v>
      </c>
      <c r="M1270">
        <v>22</v>
      </c>
      <c r="N1270">
        <v>63114</v>
      </c>
      <c r="O1270">
        <v>1246</v>
      </c>
      <c r="P1270" t="s">
        <v>3213</v>
      </c>
      <c r="Q1270">
        <v>3.7</v>
      </c>
      <c r="R1270">
        <v>22.88</v>
      </c>
      <c r="S1270">
        <v>1.26</v>
      </c>
      <c r="T1270">
        <v>8</v>
      </c>
      <c r="U1270">
        <v>1098351.3046899999</v>
      </c>
      <c r="V1270">
        <v>5107.7250889999996</v>
      </c>
      <c r="W1270">
        <v>1269</v>
      </c>
      <c r="X1270">
        <v>0</v>
      </c>
      <c r="Y1270">
        <v>1268</v>
      </c>
      <c r="Z1270" t="s">
        <v>6966</v>
      </c>
      <c r="AA1270" t="s">
        <v>6966</v>
      </c>
      <c r="AB1270" t="s">
        <v>6966</v>
      </c>
      <c r="AC1270" t="s">
        <v>6966</v>
      </c>
      <c r="AD1270" t="s">
        <v>6966</v>
      </c>
      <c r="AE1270" t="s">
        <v>6966</v>
      </c>
      <c r="AF1270" t="s">
        <v>6966</v>
      </c>
      <c r="AG1270" t="s">
        <v>6966</v>
      </c>
      <c r="AH1270" t="s">
        <v>6966</v>
      </c>
      <c r="AI1270" t="s">
        <v>6966</v>
      </c>
      <c r="AJ1270" t="s">
        <v>6966</v>
      </c>
      <c r="AK1270" t="s">
        <v>6966</v>
      </c>
      <c r="AL1270" t="s">
        <v>6966</v>
      </c>
      <c r="AM1270" t="s">
        <v>6966</v>
      </c>
      <c r="AN1270" t="s">
        <v>6966</v>
      </c>
      <c r="AO1270" t="s">
        <v>6966</v>
      </c>
      <c r="AP1270" t="s">
        <v>6966</v>
      </c>
      <c r="AQ1270" t="s">
        <v>6966</v>
      </c>
      <c r="AR1270" t="s">
        <v>6966</v>
      </c>
      <c r="AS1270" t="s">
        <v>6966</v>
      </c>
      <c r="AT1270" t="s">
        <v>6966</v>
      </c>
      <c r="AU1270" t="s">
        <v>6966</v>
      </c>
      <c r="AV1270" t="s">
        <v>6966</v>
      </c>
      <c r="AW1270" t="s">
        <v>6966</v>
      </c>
      <c r="AX1270" t="s">
        <v>6966</v>
      </c>
      <c r="AY1270" t="s">
        <v>6966</v>
      </c>
      <c r="AZ1270">
        <v>5.1186000000000002E-2</v>
      </c>
      <c r="BA1270">
        <v>1.07E-4</v>
      </c>
    </row>
    <row r="1271" spans="1:53" x14ac:dyDescent="0.25">
      <c r="A1271">
        <v>1269</v>
      </c>
      <c r="B1271" t="s">
        <v>7625</v>
      </c>
      <c r="C1271">
        <v>401025</v>
      </c>
      <c r="D1271" t="s">
        <v>1028</v>
      </c>
      <c r="E1271" t="s">
        <v>3221</v>
      </c>
      <c r="F1271">
        <v>0</v>
      </c>
      <c r="G1271">
        <v>28957.181640999999</v>
      </c>
      <c r="H1271">
        <v>1271</v>
      </c>
      <c r="I1271">
        <v>1506</v>
      </c>
      <c r="J1271">
        <v>52111</v>
      </c>
      <c r="K1271" t="s">
        <v>1028</v>
      </c>
      <c r="L1271">
        <v>16</v>
      </c>
      <c r="M1271">
        <v>16</v>
      </c>
      <c r="N1271">
        <v>52111</v>
      </c>
      <c r="O1271">
        <v>1247</v>
      </c>
      <c r="P1271" t="s">
        <v>3214</v>
      </c>
      <c r="Q1271">
        <v>2.8</v>
      </c>
      <c r="R1271">
        <v>113.1</v>
      </c>
      <c r="S1271">
        <v>0.86</v>
      </c>
      <c r="T1271">
        <v>35</v>
      </c>
      <c r="U1271">
        <v>0</v>
      </c>
      <c r="V1271">
        <v>28957.17973</v>
      </c>
      <c r="W1271">
        <v>1270</v>
      </c>
      <c r="X1271">
        <v>5</v>
      </c>
      <c r="Y1271">
        <v>1269</v>
      </c>
      <c r="Z1271">
        <v>59037</v>
      </c>
      <c r="AA1271" s="76">
        <v>45736</v>
      </c>
      <c r="AB1271">
        <v>2025</v>
      </c>
      <c r="AC1271" t="s">
        <v>7104</v>
      </c>
      <c r="AD1271">
        <v>20</v>
      </c>
      <c r="AE1271" t="s">
        <v>7145</v>
      </c>
      <c r="AF1271" t="s">
        <v>3214</v>
      </c>
      <c r="AG1271" t="s">
        <v>3221</v>
      </c>
      <c r="AH1271" t="s">
        <v>1028</v>
      </c>
      <c r="AI1271" t="s">
        <v>7146</v>
      </c>
      <c r="AJ1271" t="s">
        <v>6966</v>
      </c>
      <c r="AK1271">
        <v>33.533630000000002</v>
      </c>
      <c r="AL1271">
        <v>35.655769999999997</v>
      </c>
      <c r="AM1271" t="s">
        <v>6995</v>
      </c>
      <c r="AN1271" t="s">
        <v>6966</v>
      </c>
      <c r="AO1271" t="s">
        <v>7147</v>
      </c>
      <c r="AP1271" t="s">
        <v>7148</v>
      </c>
      <c r="AQ1271" t="s">
        <v>6998</v>
      </c>
      <c r="AR1271" t="s">
        <v>6999</v>
      </c>
      <c r="AS1271" t="s">
        <v>7000</v>
      </c>
      <c r="AT1271">
        <v>0</v>
      </c>
      <c r="AU1271">
        <v>0</v>
      </c>
      <c r="AV1271" t="s">
        <v>7149</v>
      </c>
      <c r="AW1271" t="s">
        <v>7002</v>
      </c>
      <c r="AX1271" t="s">
        <v>6966</v>
      </c>
      <c r="AY1271" t="s">
        <v>7003</v>
      </c>
      <c r="AZ1271">
        <v>0.28410200000000002</v>
      </c>
      <c r="BA1271">
        <v>2.3579999999999999E-3</v>
      </c>
    </row>
    <row r="1272" spans="1:53" x14ac:dyDescent="0.25">
      <c r="A1272">
        <v>1270</v>
      </c>
      <c r="B1272" t="s">
        <v>7625</v>
      </c>
      <c r="C1272">
        <v>802004</v>
      </c>
      <c r="D1272" t="s">
        <v>1204</v>
      </c>
      <c r="E1272" t="s">
        <v>3039</v>
      </c>
      <c r="F1272">
        <v>918742.25</v>
      </c>
      <c r="G1272">
        <v>5880.9975590000004</v>
      </c>
      <c r="H1272">
        <v>1272</v>
      </c>
      <c r="I1272">
        <v>1507</v>
      </c>
      <c r="J1272">
        <v>61277</v>
      </c>
      <c r="K1272" t="s">
        <v>8044</v>
      </c>
      <c r="L1272">
        <v>20</v>
      </c>
      <c r="M1272">
        <v>20</v>
      </c>
      <c r="N1272">
        <v>61277</v>
      </c>
      <c r="O1272">
        <v>1248</v>
      </c>
      <c r="P1272" t="s">
        <v>3213</v>
      </c>
      <c r="Q1272">
        <v>11.9</v>
      </c>
      <c r="R1272">
        <v>72.55</v>
      </c>
      <c r="S1272">
        <v>3.13</v>
      </c>
      <c r="T1272">
        <v>19</v>
      </c>
      <c r="U1272">
        <v>918742.22723900003</v>
      </c>
      <c r="V1272">
        <v>5880.997292</v>
      </c>
      <c r="W1272">
        <v>1271</v>
      </c>
      <c r="X1272">
        <v>1</v>
      </c>
      <c r="Y1272">
        <v>1270</v>
      </c>
      <c r="Z1272">
        <v>62147</v>
      </c>
      <c r="AA1272" s="76">
        <v>45789</v>
      </c>
      <c r="AB1272">
        <v>2025</v>
      </c>
      <c r="AC1272" t="s">
        <v>7215</v>
      </c>
      <c r="AD1272">
        <v>12</v>
      </c>
      <c r="AE1272" t="s">
        <v>7242</v>
      </c>
      <c r="AF1272" t="s">
        <v>3213</v>
      </c>
      <c r="AG1272" t="s">
        <v>3039</v>
      </c>
      <c r="AH1272" t="s">
        <v>1204</v>
      </c>
      <c r="AI1272" t="s">
        <v>7243</v>
      </c>
      <c r="AJ1272" t="s">
        <v>6966</v>
      </c>
      <c r="AK1272">
        <v>33.5411</v>
      </c>
      <c r="AL1272">
        <v>35.404890000000002</v>
      </c>
      <c r="AM1272" t="s">
        <v>7013</v>
      </c>
      <c r="AN1272" t="s">
        <v>6995</v>
      </c>
      <c r="AO1272" t="s">
        <v>7008</v>
      </c>
      <c r="AP1272" t="s">
        <v>7244</v>
      </c>
      <c r="AQ1272" t="s">
        <v>6998</v>
      </c>
      <c r="AR1272" t="s">
        <v>6999</v>
      </c>
      <c r="AS1272" t="s">
        <v>7000</v>
      </c>
      <c r="AT1272">
        <v>0</v>
      </c>
      <c r="AU1272">
        <v>0</v>
      </c>
      <c r="AV1272" t="s">
        <v>7241</v>
      </c>
      <c r="AW1272" t="s">
        <v>7018</v>
      </c>
      <c r="AX1272" t="s">
        <v>6966</v>
      </c>
      <c r="AY1272" t="s">
        <v>7003</v>
      </c>
      <c r="AZ1272">
        <v>5.7329999999999999E-2</v>
      </c>
      <c r="BA1272">
        <v>8.8999999999999995E-5</v>
      </c>
    </row>
    <row r="1273" spans="1:53" ht="270" x14ac:dyDescent="0.25">
      <c r="A1273">
        <v>1271</v>
      </c>
      <c r="B1273" t="s">
        <v>7625</v>
      </c>
      <c r="C1273">
        <v>802064</v>
      </c>
      <c r="D1273" t="s">
        <v>1202</v>
      </c>
      <c r="E1273" t="s">
        <v>3039</v>
      </c>
      <c r="F1273">
        <v>4685062.5</v>
      </c>
      <c r="G1273">
        <v>14826.873046999999</v>
      </c>
      <c r="H1273">
        <v>1273</v>
      </c>
      <c r="I1273">
        <v>1508</v>
      </c>
      <c r="J1273">
        <v>61255</v>
      </c>
      <c r="K1273" t="s">
        <v>8045</v>
      </c>
      <c r="L1273">
        <v>20</v>
      </c>
      <c r="M1273">
        <v>20</v>
      </c>
      <c r="N1273">
        <v>61255</v>
      </c>
      <c r="O1273">
        <v>1249</v>
      </c>
      <c r="P1273" t="s">
        <v>3213</v>
      </c>
      <c r="Q1273">
        <v>4.8</v>
      </c>
      <c r="R1273">
        <v>118.15</v>
      </c>
      <c r="S1273">
        <v>1.17</v>
      </c>
      <c r="T1273">
        <v>29</v>
      </c>
      <c r="U1273">
        <v>4685062.6993800001</v>
      </c>
      <c r="V1273">
        <v>14826.872332000001</v>
      </c>
      <c r="W1273">
        <v>1272</v>
      </c>
      <c r="X1273">
        <v>1</v>
      </c>
      <c r="Y1273">
        <v>1271</v>
      </c>
      <c r="Z1273">
        <v>57136</v>
      </c>
      <c r="AA1273" s="76">
        <v>45699</v>
      </c>
      <c r="AB1273">
        <v>2025</v>
      </c>
      <c r="AC1273" t="s">
        <v>7081</v>
      </c>
      <c r="AD1273">
        <v>11</v>
      </c>
      <c r="AE1273" t="s">
        <v>7095</v>
      </c>
      <c r="AF1273" t="s">
        <v>3213</v>
      </c>
      <c r="AG1273" t="s">
        <v>3039</v>
      </c>
      <c r="AH1273" t="s">
        <v>1202</v>
      </c>
      <c r="AI1273" t="s">
        <v>3057</v>
      </c>
      <c r="AJ1273" t="s">
        <v>6966</v>
      </c>
      <c r="AK1273">
        <v>33.538580000000003</v>
      </c>
      <c r="AL1273">
        <v>35.416269999999997</v>
      </c>
      <c r="AM1273" t="s">
        <v>6995</v>
      </c>
      <c r="AN1273" t="s">
        <v>6966</v>
      </c>
      <c r="AO1273" t="s">
        <v>7096</v>
      </c>
      <c r="AP1273" s="77" t="s">
        <v>7097</v>
      </c>
      <c r="AQ1273" t="s">
        <v>6998</v>
      </c>
      <c r="AR1273" t="s">
        <v>6999</v>
      </c>
      <c r="AS1273" t="s">
        <v>7000</v>
      </c>
      <c r="AT1273">
        <v>0</v>
      </c>
      <c r="AU1273">
        <v>0</v>
      </c>
      <c r="AV1273" s="77" t="s">
        <v>7098</v>
      </c>
      <c r="AW1273" t="s">
        <v>7002</v>
      </c>
      <c r="AX1273" t="s">
        <v>6966</v>
      </c>
      <c r="AY1273" t="s">
        <v>7003</v>
      </c>
      <c r="AZ1273">
        <v>0.147179</v>
      </c>
      <c r="BA1273">
        <v>4.55E-4</v>
      </c>
    </row>
    <row r="1274" spans="1:53" x14ac:dyDescent="0.25">
      <c r="A1274">
        <v>1272</v>
      </c>
      <c r="B1274" t="s">
        <v>7625</v>
      </c>
      <c r="C1274">
        <v>801036</v>
      </c>
      <c r="D1274" t="s">
        <v>1385</v>
      </c>
      <c r="E1274" t="s">
        <v>1342</v>
      </c>
      <c r="F1274">
        <v>1067152.5</v>
      </c>
      <c r="G1274">
        <v>5097.9887699999999</v>
      </c>
      <c r="H1274">
        <v>1274</v>
      </c>
      <c r="I1274">
        <v>1509</v>
      </c>
      <c r="J1274">
        <v>63267</v>
      </c>
      <c r="K1274" t="s">
        <v>2665</v>
      </c>
      <c r="L1274">
        <v>22</v>
      </c>
      <c r="M1274">
        <v>22</v>
      </c>
      <c r="N1274">
        <v>63267</v>
      </c>
      <c r="O1274">
        <v>1250</v>
      </c>
      <c r="P1274" t="s">
        <v>3213</v>
      </c>
      <c r="Q1274">
        <v>1.8</v>
      </c>
      <c r="R1274">
        <v>675.9</v>
      </c>
      <c r="S1274">
        <v>1.1299999999999999</v>
      </c>
      <c r="T1274">
        <v>419</v>
      </c>
      <c r="U1274">
        <v>1067152.44096</v>
      </c>
      <c r="V1274">
        <v>5097.9890150000001</v>
      </c>
      <c r="W1274">
        <v>1273</v>
      </c>
      <c r="X1274">
        <v>1</v>
      </c>
      <c r="Y1274">
        <v>1272</v>
      </c>
      <c r="Z1274">
        <v>75451</v>
      </c>
      <c r="AA1274" s="76">
        <v>45981</v>
      </c>
      <c r="AB1274">
        <v>2025</v>
      </c>
      <c r="AC1274" t="s">
        <v>7516</v>
      </c>
      <c r="AD1274">
        <v>20</v>
      </c>
      <c r="AE1274" t="s">
        <v>7534</v>
      </c>
      <c r="AF1274" t="s">
        <v>3213</v>
      </c>
      <c r="AG1274" t="s">
        <v>1342</v>
      </c>
      <c r="AH1274" t="s">
        <v>1385</v>
      </c>
      <c r="AI1274" t="s">
        <v>1385</v>
      </c>
      <c r="AJ1274" t="s">
        <v>6966</v>
      </c>
      <c r="AK1274">
        <v>33.546100000000003</v>
      </c>
      <c r="AL1274">
        <v>35.430030000000002</v>
      </c>
      <c r="AM1274" t="s">
        <v>7013</v>
      </c>
      <c r="AN1274" t="s">
        <v>7014</v>
      </c>
      <c r="AO1274" t="s">
        <v>7008</v>
      </c>
      <c r="AP1274" t="s">
        <v>7535</v>
      </c>
      <c r="AQ1274" t="s">
        <v>6998</v>
      </c>
      <c r="AR1274" t="s">
        <v>6999</v>
      </c>
      <c r="AS1274" t="s">
        <v>7000</v>
      </c>
      <c r="AT1274">
        <v>0</v>
      </c>
      <c r="AU1274">
        <v>0</v>
      </c>
      <c r="AV1274" t="s">
        <v>7533</v>
      </c>
      <c r="AW1274" t="s">
        <v>7018</v>
      </c>
      <c r="AX1274" t="s">
        <v>6966</v>
      </c>
      <c r="AY1274" t="s">
        <v>7003</v>
      </c>
      <c r="AZ1274">
        <v>5.1166999999999997E-2</v>
      </c>
      <c r="BA1274">
        <v>1.0399999999999999E-4</v>
      </c>
    </row>
    <row r="1275" spans="1:53" x14ac:dyDescent="0.25">
      <c r="A1275">
        <v>1273</v>
      </c>
      <c r="B1275" t="s">
        <v>7625</v>
      </c>
      <c r="C1275">
        <v>402014</v>
      </c>
      <c r="D1275" t="s">
        <v>1167</v>
      </c>
      <c r="E1275" t="s">
        <v>7999</v>
      </c>
      <c r="F1275">
        <v>9983765</v>
      </c>
      <c r="G1275">
        <v>20666.039063</v>
      </c>
      <c r="H1275">
        <v>1275</v>
      </c>
      <c r="I1275">
        <v>1510</v>
      </c>
      <c r="J1275">
        <v>55124</v>
      </c>
      <c r="K1275" t="s">
        <v>1167</v>
      </c>
      <c r="L1275">
        <v>19</v>
      </c>
      <c r="M1275">
        <v>19</v>
      </c>
      <c r="N1275">
        <v>55124</v>
      </c>
      <c r="O1275">
        <v>1251</v>
      </c>
      <c r="P1275" t="s">
        <v>3214</v>
      </c>
      <c r="Q1275">
        <v>1.4</v>
      </c>
      <c r="R1275">
        <v>42.79</v>
      </c>
      <c r="S1275">
        <v>0.33</v>
      </c>
      <c r="T1275">
        <v>10</v>
      </c>
      <c r="U1275">
        <v>9983764.9650400002</v>
      </c>
      <c r="V1275">
        <v>20666.040719000001</v>
      </c>
      <c r="W1275">
        <v>1274</v>
      </c>
      <c r="X1275">
        <v>0</v>
      </c>
      <c r="Y1275">
        <v>1273</v>
      </c>
      <c r="Z1275" t="s">
        <v>6966</v>
      </c>
      <c r="AA1275" t="s">
        <v>6966</v>
      </c>
      <c r="AB1275" t="s">
        <v>6966</v>
      </c>
      <c r="AC1275" t="s">
        <v>6966</v>
      </c>
      <c r="AD1275" t="s">
        <v>6966</v>
      </c>
      <c r="AE1275" t="s">
        <v>6966</v>
      </c>
      <c r="AF1275" t="s">
        <v>6966</v>
      </c>
      <c r="AG1275" t="s">
        <v>6966</v>
      </c>
      <c r="AH1275" t="s">
        <v>6966</v>
      </c>
      <c r="AI1275" t="s">
        <v>6966</v>
      </c>
      <c r="AJ1275" t="s">
        <v>6966</v>
      </c>
      <c r="AK1275" t="s">
        <v>6966</v>
      </c>
      <c r="AL1275" t="s">
        <v>6966</v>
      </c>
      <c r="AM1275" t="s">
        <v>6966</v>
      </c>
      <c r="AN1275" t="s">
        <v>6966</v>
      </c>
      <c r="AO1275" t="s">
        <v>6966</v>
      </c>
      <c r="AP1275" t="s">
        <v>6966</v>
      </c>
      <c r="AQ1275" t="s">
        <v>6966</v>
      </c>
      <c r="AR1275" t="s">
        <v>6966</v>
      </c>
      <c r="AS1275" t="s">
        <v>6966</v>
      </c>
      <c r="AT1275" t="s">
        <v>6966</v>
      </c>
      <c r="AU1275" t="s">
        <v>6966</v>
      </c>
      <c r="AV1275" t="s">
        <v>6966</v>
      </c>
      <c r="AW1275" t="s">
        <v>6966</v>
      </c>
      <c r="AX1275" t="s">
        <v>6966</v>
      </c>
      <c r="AY1275" t="s">
        <v>6966</v>
      </c>
      <c r="AZ1275">
        <v>0.20460300000000001</v>
      </c>
      <c r="BA1275">
        <v>9.6900000000000003E-4</v>
      </c>
    </row>
    <row r="1276" spans="1:53" x14ac:dyDescent="0.25">
      <c r="A1276">
        <v>1274</v>
      </c>
      <c r="B1276" t="s">
        <v>7625</v>
      </c>
      <c r="C1276">
        <v>802058</v>
      </c>
      <c r="D1276" t="s">
        <v>8046</v>
      </c>
      <c r="E1276" t="s">
        <v>3039</v>
      </c>
      <c r="F1276">
        <v>2300185</v>
      </c>
      <c r="G1276">
        <v>7079.1977539999998</v>
      </c>
      <c r="H1276">
        <v>1276</v>
      </c>
      <c r="I1276">
        <v>1511</v>
      </c>
      <c r="J1276">
        <v>61183</v>
      </c>
      <c r="K1276" t="s">
        <v>8047</v>
      </c>
      <c r="L1276">
        <v>20</v>
      </c>
      <c r="M1276">
        <v>20</v>
      </c>
      <c r="N1276">
        <v>61183</v>
      </c>
      <c r="O1276">
        <v>1252</v>
      </c>
      <c r="P1276" t="s">
        <v>3213</v>
      </c>
      <c r="Q1276">
        <v>100.9</v>
      </c>
      <c r="R1276">
        <v>281.33999999999997</v>
      </c>
      <c r="S1276">
        <v>20.66</v>
      </c>
      <c r="T1276">
        <v>58</v>
      </c>
      <c r="U1276">
        <v>2300184.8701200001</v>
      </c>
      <c r="V1276">
        <v>7079.197365</v>
      </c>
      <c r="W1276">
        <v>1275</v>
      </c>
      <c r="X1276">
        <v>10</v>
      </c>
      <c r="Y1276">
        <v>1274</v>
      </c>
      <c r="Z1276">
        <v>55572</v>
      </c>
      <c r="AA1276" s="76">
        <v>45674</v>
      </c>
      <c r="AB1276">
        <v>2025</v>
      </c>
      <c r="AC1276" t="s">
        <v>6992</v>
      </c>
      <c r="AD1276">
        <v>17</v>
      </c>
      <c r="AE1276" t="s">
        <v>7060</v>
      </c>
      <c r="AF1276" t="s">
        <v>3213</v>
      </c>
      <c r="AG1276" t="s">
        <v>3039</v>
      </c>
      <c r="AH1276" t="s">
        <v>3065</v>
      </c>
      <c r="AI1276" t="s">
        <v>3111</v>
      </c>
      <c r="AJ1276" t="s">
        <v>6966</v>
      </c>
      <c r="AK1276">
        <v>33.547449999999998</v>
      </c>
      <c r="AL1276">
        <v>35.38458</v>
      </c>
      <c r="AM1276" t="s">
        <v>7028</v>
      </c>
      <c r="AN1276" t="s">
        <v>7056</v>
      </c>
      <c r="AO1276" t="s">
        <v>6996</v>
      </c>
      <c r="AP1276" t="s">
        <v>7061</v>
      </c>
      <c r="AQ1276" t="s">
        <v>6998</v>
      </c>
      <c r="AR1276" t="s">
        <v>6999</v>
      </c>
      <c r="AS1276" t="s">
        <v>7000</v>
      </c>
      <c r="AT1276">
        <v>0</v>
      </c>
      <c r="AU1276">
        <v>0</v>
      </c>
      <c r="AV1276" t="s">
        <v>7062</v>
      </c>
      <c r="AW1276" t="s">
        <v>7031</v>
      </c>
      <c r="AX1276" t="s">
        <v>6966</v>
      </c>
      <c r="AY1276" t="s">
        <v>7003</v>
      </c>
      <c r="AZ1276">
        <v>7.1211999999999998E-2</v>
      </c>
      <c r="BA1276">
        <v>2.23E-4</v>
      </c>
    </row>
    <row r="1277" spans="1:53" x14ac:dyDescent="0.25">
      <c r="A1277">
        <v>1275</v>
      </c>
      <c r="B1277" t="s">
        <v>7625</v>
      </c>
      <c r="C1277">
        <v>801058</v>
      </c>
      <c r="D1277" t="s">
        <v>1380</v>
      </c>
      <c r="E1277" t="s">
        <v>1342</v>
      </c>
      <c r="F1277">
        <v>809015.9375</v>
      </c>
      <c r="G1277">
        <v>5751.326172</v>
      </c>
      <c r="H1277">
        <v>1277</v>
      </c>
      <c r="I1277">
        <v>1512</v>
      </c>
      <c r="J1277">
        <v>63251</v>
      </c>
      <c r="K1277" t="s">
        <v>2661</v>
      </c>
      <c r="L1277">
        <v>22</v>
      </c>
      <c r="M1277">
        <v>22</v>
      </c>
      <c r="N1277">
        <v>63251</v>
      </c>
      <c r="O1277">
        <v>1253</v>
      </c>
      <c r="P1277" t="s">
        <v>3213</v>
      </c>
      <c r="Q1277">
        <v>4.5999999999999996</v>
      </c>
      <c r="R1277">
        <v>23.93</v>
      </c>
      <c r="S1277">
        <v>1.98</v>
      </c>
      <c r="T1277">
        <v>10</v>
      </c>
      <c r="U1277">
        <v>809015.96152400004</v>
      </c>
      <c r="V1277">
        <v>5751.3258480000004</v>
      </c>
      <c r="W1277">
        <v>1276</v>
      </c>
      <c r="X1277">
        <v>1</v>
      </c>
      <c r="Y1277">
        <v>1275</v>
      </c>
      <c r="Z1277">
        <v>75452</v>
      </c>
      <c r="AA1277" s="76">
        <v>45981</v>
      </c>
      <c r="AB1277">
        <v>2025</v>
      </c>
      <c r="AC1277" t="s">
        <v>7516</v>
      </c>
      <c r="AD1277">
        <v>20</v>
      </c>
      <c r="AE1277" t="s">
        <v>7536</v>
      </c>
      <c r="AF1277" t="s">
        <v>3213</v>
      </c>
      <c r="AG1277" t="s">
        <v>1342</v>
      </c>
      <c r="AH1277" t="s">
        <v>1380</v>
      </c>
      <c r="AI1277" t="s">
        <v>7537</v>
      </c>
      <c r="AJ1277" t="s">
        <v>6966</v>
      </c>
      <c r="AK1277">
        <v>33.545340000000003</v>
      </c>
      <c r="AL1277">
        <v>35.439720000000001</v>
      </c>
      <c r="AM1277" t="s">
        <v>7013</v>
      </c>
      <c r="AN1277" t="s">
        <v>7014</v>
      </c>
      <c r="AO1277" t="s">
        <v>7008</v>
      </c>
      <c r="AP1277" t="s">
        <v>7538</v>
      </c>
      <c r="AQ1277" t="s">
        <v>6998</v>
      </c>
      <c r="AR1277" t="s">
        <v>6999</v>
      </c>
      <c r="AS1277" t="s">
        <v>7000</v>
      </c>
      <c r="AT1277">
        <v>0</v>
      </c>
      <c r="AU1277">
        <v>0</v>
      </c>
      <c r="AV1277" t="s">
        <v>7533</v>
      </c>
      <c r="AW1277" t="s">
        <v>7018</v>
      </c>
      <c r="AX1277" t="s">
        <v>6966</v>
      </c>
      <c r="AY1277" t="s">
        <v>7003</v>
      </c>
      <c r="AZ1277">
        <v>5.8417999999999998E-2</v>
      </c>
      <c r="BA1277">
        <v>7.7999999999999999E-5</v>
      </c>
    </row>
    <row r="1278" spans="1:53" x14ac:dyDescent="0.25">
      <c r="A1278">
        <v>1276</v>
      </c>
      <c r="B1278" t="s">
        <v>7625</v>
      </c>
      <c r="C1278">
        <v>801063</v>
      </c>
      <c r="D1278" t="s">
        <v>8048</v>
      </c>
      <c r="E1278" t="s">
        <v>1342</v>
      </c>
      <c r="F1278">
        <v>3106529</v>
      </c>
      <c r="G1278">
        <v>9793.9941409999992</v>
      </c>
      <c r="H1278">
        <v>1278</v>
      </c>
      <c r="I1278">
        <v>1513</v>
      </c>
      <c r="J1278">
        <v>63121</v>
      </c>
      <c r="K1278" t="s">
        <v>8049</v>
      </c>
      <c r="L1278">
        <v>22</v>
      </c>
      <c r="M1278">
        <v>22</v>
      </c>
      <c r="N1278">
        <v>63121</v>
      </c>
      <c r="O1278">
        <v>1254</v>
      </c>
      <c r="P1278" t="s">
        <v>3213</v>
      </c>
      <c r="Q1278">
        <v>0.7</v>
      </c>
      <c r="R1278">
        <v>9.23</v>
      </c>
      <c r="S1278">
        <v>0.67</v>
      </c>
      <c r="T1278">
        <v>9</v>
      </c>
      <c r="U1278">
        <v>3106528.95517</v>
      </c>
      <c r="V1278">
        <v>9793.9941920000001</v>
      </c>
      <c r="W1278">
        <v>1277</v>
      </c>
      <c r="X1278">
        <v>0</v>
      </c>
      <c r="Y1278">
        <v>1276</v>
      </c>
      <c r="Z1278" t="s">
        <v>6966</v>
      </c>
      <c r="AA1278" t="s">
        <v>6966</v>
      </c>
      <c r="AB1278" t="s">
        <v>6966</v>
      </c>
      <c r="AC1278" t="s">
        <v>6966</v>
      </c>
      <c r="AD1278" t="s">
        <v>6966</v>
      </c>
      <c r="AE1278" t="s">
        <v>6966</v>
      </c>
      <c r="AF1278" t="s">
        <v>6966</v>
      </c>
      <c r="AG1278" t="s">
        <v>6966</v>
      </c>
      <c r="AH1278" t="s">
        <v>6966</v>
      </c>
      <c r="AI1278" t="s">
        <v>6966</v>
      </c>
      <c r="AJ1278" t="s">
        <v>6966</v>
      </c>
      <c r="AK1278" t="s">
        <v>6966</v>
      </c>
      <c r="AL1278" t="s">
        <v>6966</v>
      </c>
      <c r="AM1278" t="s">
        <v>6966</v>
      </c>
      <c r="AN1278" t="s">
        <v>6966</v>
      </c>
      <c r="AO1278" t="s">
        <v>6966</v>
      </c>
      <c r="AP1278" t="s">
        <v>6966</v>
      </c>
      <c r="AQ1278" t="s">
        <v>6966</v>
      </c>
      <c r="AR1278" t="s">
        <v>6966</v>
      </c>
      <c r="AS1278" t="s">
        <v>6966</v>
      </c>
      <c r="AT1278" t="s">
        <v>6966</v>
      </c>
      <c r="AU1278" t="s">
        <v>6966</v>
      </c>
      <c r="AV1278" t="s">
        <v>6966</v>
      </c>
      <c r="AW1278" t="s">
        <v>6966</v>
      </c>
      <c r="AX1278" t="s">
        <v>6966</v>
      </c>
      <c r="AY1278" t="s">
        <v>6966</v>
      </c>
      <c r="AZ1278">
        <v>9.7029000000000004E-2</v>
      </c>
      <c r="BA1278">
        <v>3.01E-4</v>
      </c>
    </row>
    <row r="1279" spans="1:53" x14ac:dyDescent="0.25">
      <c r="A1279">
        <v>1277</v>
      </c>
      <c r="B1279" t="s">
        <v>7625</v>
      </c>
      <c r="C1279">
        <v>402034</v>
      </c>
      <c r="D1279" t="s">
        <v>87</v>
      </c>
      <c r="E1279" t="s">
        <v>7999</v>
      </c>
      <c r="F1279">
        <v>17144.84375</v>
      </c>
      <c r="G1279">
        <v>630.89904799999999</v>
      </c>
      <c r="H1279">
        <v>1279</v>
      </c>
      <c r="I1279">
        <v>1514</v>
      </c>
      <c r="J1279">
        <v>55004</v>
      </c>
      <c r="K1279" t="s">
        <v>87</v>
      </c>
      <c r="L1279">
        <v>19</v>
      </c>
      <c r="M1279">
        <v>19</v>
      </c>
      <c r="N1279">
        <v>55004</v>
      </c>
      <c r="O1279">
        <v>1255</v>
      </c>
      <c r="P1279" t="s">
        <v>3214</v>
      </c>
      <c r="Q1279">
        <v>0</v>
      </c>
      <c r="R1279">
        <v>0</v>
      </c>
      <c r="S1279">
        <v>0</v>
      </c>
      <c r="T1279">
        <v>0</v>
      </c>
      <c r="U1279">
        <v>17144.847034999999</v>
      </c>
      <c r="V1279">
        <v>630.89917800000001</v>
      </c>
      <c r="W1279">
        <v>1278</v>
      </c>
      <c r="X1279">
        <v>0</v>
      </c>
      <c r="Y1279">
        <v>1277</v>
      </c>
      <c r="Z1279" t="s">
        <v>6966</v>
      </c>
      <c r="AA1279" t="s">
        <v>6966</v>
      </c>
      <c r="AB1279" t="s">
        <v>6966</v>
      </c>
      <c r="AC1279" t="s">
        <v>6966</v>
      </c>
      <c r="AD1279" t="s">
        <v>6966</v>
      </c>
      <c r="AE1279" t="s">
        <v>6966</v>
      </c>
      <c r="AF1279" t="s">
        <v>6966</v>
      </c>
      <c r="AG1279" t="s">
        <v>6966</v>
      </c>
      <c r="AH1279" t="s">
        <v>6966</v>
      </c>
      <c r="AI1279" t="s">
        <v>6966</v>
      </c>
      <c r="AJ1279" t="s">
        <v>6966</v>
      </c>
      <c r="AK1279" t="s">
        <v>6966</v>
      </c>
      <c r="AL1279" t="s">
        <v>6966</v>
      </c>
      <c r="AM1279" t="s">
        <v>6966</v>
      </c>
      <c r="AN1279" t="s">
        <v>6966</v>
      </c>
      <c r="AO1279" t="s">
        <v>6966</v>
      </c>
      <c r="AP1279" t="s">
        <v>6966</v>
      </c>
      <c r="AQ1279" t="s">
        <v>6966</v>
      </c>
      <c r="AR1279" t="s">
        <v>6966</v>
      </c>
      <c r="AS1279" t="s">
        <v>6966</v>
      </c>
      <c r="AT1279" t="s">
        <v>6966</v>
      </c>
      <c r="AU1279" t="s">
        <v>6966</v>
      </c>
      <c r="AV1279" t="s">
        <v>6966</v>
      </c>
      <c r="AW1279" t="s">
        <v>6966</v>
      </c>
      <c r="AX1279" t="s">
        <v>6966</v>
      </c>
      <c r="AY1279" t="s">
        <v>6966</v>
      </c>
      <c r="AZ1279">
        <v>6.0179999999999999E-3</v>
      </c>
      <c r="BA1279">
        <v>1.9999999999999999E-6</v>
      </c>
    </row>
    <row r="1280" spans="1:53" x14ac:dyDescent="0.25">
      <c r="A1280">
        <v>1278</v>
      </c>
      <c r="B1280" t="s">
        <v>7625</v>
      </c>
      <c r="C1280">
        <v>801061</v>
      </c>
      <c r="D1280" t="s">
        <v>1344</v>
      </c>
      <c r="E1280" t="s">
        <v>1342</v>
      </c>
      <c r="F1280">
        <v>551918.3125</v>
      </c>
      <c r="G1280">
        <v>4916.1743159999996</v>
      </c>
      <c r="H1280">
        <v>1280</v>
      </c>
      <c r="I1280">
        <v>1515</v>
      </c>
      <c r="J1280">
        <v>63117</v>
      </c>
      <c r="K1280" t="s">
        <v>2632</v>
      </c>
      <c r="L1280">
        <v>22</v>
      </c>
      <c r="M1280">
        <v>22</v>
      </c>
      <c r="N1280">
        <v>63117</v>
      </c>
      <c r="O1280">
        <v>1256</v>
      </c>
      <c r="P1280" t="s">
        <v>3213</v>
      </c>
      <c r="Q1280">
        <v>0.1</v>
      </c>
      <c r="R1280">
        <v>1.98</v>
      </c>
      <c r="S1280">
        <v>0.28999999999999998</v>
      </c>
      <c r="T1280">
        <v>11</v>
      </c>
      <c r="U1280">
        <v>551918.28015899996</v>
      </c>
      <c r="V1280">
        <v>4916.1741529999999</v>
      </c>
      <c r="W1280">
        <v>1279</v>
      </c>
      <c r="X1280">
        <v>0</v>
      </c>
      <c r="Y1280">
        <v>1278</v>
      </c>
      <c r="Z1280" t="s">
        <v>6966</v>
      </c>
      <c r="AA1280" t="s">
        <v>6966</v>
      </c>
      <c r="AB1280" t="s">
        <v>6966</v>
      </c>
      <c r="AC1280" t="s">
        <v>6966</v>
      </c>
      <c r="AD1280" t="s">
        <v>6966</v>
      </c>
      <c r="AE1280" t="s">
        <v>6966</v>
      </c>
      <c r="AF1280" t="s">
        <v>6966</v>
      </c>
      <c r="AG1280" t="s">
        <v>6966</v>
      </c>
      <c r="AH1280" t="s">
        <v>6966</v>
      </c>
      <c r="AI1280" t="s">
        <v>6966</v>
      </c>
      <c r="AJ1280" t="s">
        <v>6966</v>
      </c>
      <c r="AK1280" t="s">
        <v>6966</v>
      </c>
      <c r="AL1280" t="s">
        <v>6966</v>
      </c>
      <c r="AM1280" t="s">
        <v>6966</v>
      </c>
      <c r="AN1280" t="s">
        <v>6966</v>
      </c>
      <c r="AO1280" t="s">
        <v>6966</v>
      </c>
      <c r="AP1280" t="s">
        <v>6966</v>
      </c>
      <c r="AQ1280" t="s">
        <v>6966</v>
      </c>
      <c r="AR1280" t="s">
        <v>6966</v>
      </c>
      <c r="AS1280" t="s">
        <v>6966</v>
      </c>
      <c r="AT1280" t="s">
        <v>6966</v>
      </c>
      <c r="AU1280" t="s">
        <v>6966</v>
      </c>
      <c r="AV1280" t="s">
        <v>6966</v>
      </c>
      <c r="AW1280" t="s">
        <v>6966</v>
      </c>
      <c r="AX1280" t="s">
        <v>6966</v>
      </c>
      <c r="AY1280" t="s">
        <v>6966</v>
      </c>
      <c r="AZ1280">
        <v>4.8913999999999999E-2</v>
      </c>
      <c r="BA1280">
        <v>5.3999999999999998E-5</v>
      </c>
    </row>
    <row r="1281" spans="1:53" x14ac:dyDescent="0.25">
      <c r="A1281">
        <v>1279</v>
      </c>
      <c r="B1281" t="s">
        <v>7625</v>
      </c>
      <c r="C1281">
        <v>402018</v>
      </c>
      <c r="D1281" t="s">
        <v>1173</v>
      </c>
      <c r="E1281" t="s">
        <v>7999</v>
      </c>
      <c r="F1281">
        <v>5072742</v>
      </c>
      <c r="G1281">
        <v>11236.774414</v>
      </c>
      <c r="H1281">
        <v>1281</v>
      </c>
      <c r="I1281">
        <v>1516</v>
      </c>
      <c r="J1281">
        <v>55144</v>
      </c>
      <c r="K1281" t="s">
        <v>2494</v>
      </c>
      <c r="L1281">
        <v>19</v>
      </c>
      <c r="M1281">
        <v>19</v>
      </c>
      <c r="N1281">
        <v>55144</v>
      </c>
      <c r="O1281">
        <v>1257</v>
      </c>
      <c r="P1281" t="s">
        <v>3214</v>
      </c>
      <c r="Q1281">
        <v>1.5</v>
      </c>
      <c r="R1281">
        <v>60.94</v>
      </c>
      <c r="S1281">
        <v>0.27</v>
      </c>
      <c r="T1281">
        <v>11</v>
      </c>
      <c r="U1281">
        <v>5072741.9730200004</v>
      </c>
      <c r="V1281">
        <v>11236.773046</v>
      </c>
      <c r="W1281">
        <v>1280</v>
      </c>
      <c r="X1281">
        <v>0</v>
      </c>
      <c r="Y1281">
        <v>1279</v>
      </c>
      <c r="Z1281" t="s">
        <v>6966</v>
      </c>
      <c r="AA1281" t="s">
        <v>6966</v>
      </c>
      <c r="AB1281" t="s">
        <v>6966</v>
      </c>
      <c r="AC1281" t="s">
        <v>6966</v>
      </c>
      <c r="AD1281" t="s">
        <v>6966</v>
      </c>
      <c r="AE1281" t="s">
        <v>6966</v>
      </c>
      <c r="AF1281" t="s">
        <v>6966</v>
      </c>
      <c r="AG1281" t="s">
        <v>6966</v>
      </c>
      <c r="AH1281" t="s">
        <v>6966</v>
      </c>
      <c r="AI1281" t="s">
        <v>6966</v>
      </c>
      <c r="AJ1281" t="s">
        <v>6966</v>
      </c>
      <c r="AK1281" t="s">
        <v>6966</v>
      </c>
      <c r="AL1281" t="s">
        <v>6966</v>
      </c>
      <c r="AM1281" t="s">
        <v>6966</v>
      </c>
      <c r="AN1281" t="s">
        <v>6966</v>
      </c>
      <c r="AO1281" t="s">
        <v>6966</v>
      </c>
      <c r="AP1281" t="s">
        <v>6966</v>
      </c>
      <c r="AQ1281" t="s">
        <v>6966</v>
      </c>
      <c r="AR1281" t="s">
        <v>6966</v>
      </c>
      <c r="AS1281" t="s">
        <v>6966</v>
      </c>
      <c r="AT1281" t="s">
        <v>6966</v>
      </c>
      <c r="AU1281" t="s">
        <v>6966</v>
      </c>
      <c r="AV1281" t="s">
        <v>6966</v>
      </c>
      <c r="AW1281" t="s">
        <v>6966</v>
      </c>
      <c r="AX1281" t="s">
        <v>6966</v>
      </c>
      <c r="AY1281" t="s">
        <v>6966</v>
      </c>
      <c r="AZ1281">
        <v>0.110943</v>
      </c>
      <c r="BA1281">
        <v>4.9200000000000003E-4</v>
      </c>
    </row>
    <row r="1282" spans="1:53" ht="285" x14ac:dyDescent="0.25">
      <c r="A1282">
        <v>1280</v>
      </c>
      <c r="B1282" t="s">
        <v>7625</v>
      </c>
      <c r="C1282">
        <v>801030</v>
      </c>
      <c r="D1282" t="s">
        <v>1383</v>
      </c>
      <c r="E1282" t="s">
        <v>1342</v>
      </c>
      <c r="F1282">
        <v>2028147.375</v>
      </c>
      <c r="G1282">
        <v>6817.8183589999999</v>
      </c>
      <c r="H1282">
        <v>1282</v>
      </c>
      <c r="I1282">
        <v>1517</v>
      </c>
      <c r="J1282">
        <v>63261</v>
      </c>
      <c r="K1282" t="s">
        <v>1383</v>
      </c>
      <c r="L1282">
        <v>22</v>
      </c>
      <c r="M1282">
        <v>22</v>
      </c>
      <c r="N1282">
        <v>63261</v>
      </c>
      <c r="O1282">
        <v>1258</v>
      </c>
      <c r="P1282" t="s">
        <v>3213</v>
      </c>
      <c r="Q1282">
        <v>1.3</v>
      </c>
      <c r="R1282">
        <v>14.35</v>
      </c>
      <c r="S1282">
        <v>0.46</v>
      </c>
      <c r="T1282">
        <v>5</v>
      </c>
      <c r="U1282">
        <v>2028147.3743</v>
      </c>
      <c r="V1282">
        <v>6817.8193250000004</v>
      </c>
      <c r="W1282">
        <v>1281</v>
      </c>
      <c r="X1282">
        <v>1</v>
      </c>
      <c r="Y1282">
        <v>1280</v>
      </c>
      <c r="Z1282">
        <v>57135</v>
      </c>
      <c r="AA1282" s="76">
        <v>45699</v>
      </c>
      <c r="AB1282">
        <v>2025</v>
      </c>
      <c r="AC1282" t="s">
        <v>7081</v>
      </c>
      <c r="AD1282">
        <v>11</v>
      </c>
      <c r="AE1282" t="s">
        <v>7092</v>
      </c>
      <c r="AF1282" t="s">
        <v>3213</v>
      </c>
      <c r="AG1282" t="s">
        <v>1342</v>
      </c>
      <c r="AH1282" t="s">
        <v>1383</v>
      </c>
      <c r="AI1282" t="s">
        <v>1383</v>
      </c>
      <c r="AJ1282" t="s">
        <v>6966</v>
      </c>
      <c r="AK1282">
        <v>33.536470000000001</v>
      </c>
      <c r="AL1282">
        <v>35.431539999999998</v>
      </c>
      <c r="AM1282" t="s">
        <v>6995</v>
      </c>
      <c r="AN1282" t="s">
        <v>6966</v>
      </c>
      <c r="AO1282" t="s">
        <v>6996</v>
      </c>
      <c r="AP1282" s="77" t="s">
        <v>7093</v>
      </c>
      <c r="AQ1282" t="s">
        <v>6998</v>
      </c>
      <c r="AR1282" t="s">
        <v>6999</v>
      </c>
      <c r="AS1282" t="s">
        <v>7000</v>
      </c>
      <c r="AT1282">
        <v>0</v>
      </c>
      <c r="AU1282">
        <v>0</v>
      </c>
      <c r="AV1282" s="77" t="s">
        <v>7094</v>
      </c>
      <c r="AW1282" t="s">
        <v>7002</v>
      </c>
      <c r="AX1282" t="s">
        <v>6966</v>
      </c>
      <c r="AY1282" t="s">
        <v>7003</v>
      </c>
      <c r="AZ1282">
        <v>6.9327E-2</v>
      </c>
      <c r="BA1282">
        <v>1.9699999999999999E-4</v>
      </c>
    </row>
    <row r="1283" spans="1:53" x14ac:dyDescent="0.25">
      <c r="A1283">
        <v>1281</v>
      </c>
      <c r="B1283" t="s">
        <v>7625</v>
      </c>
      <c r="C1283">
        <v>802017</v>
      </c>
      <c r="D1283" t="s">
        <v>1207</v>
      </c>
      <c r="E1283" t="s">
        <v>3039</v>
      </c>
      <c r="F1283">
        <v>3211135.25</v>
      </c>
      <c r="G1283">
        <v>9349.0898440000001</v>
      </c>
      <c r="H1283">
        <v>1283</v>
      </c>
      <c r="I1283">
        <v>1518</v>
      </c>
      <c r="J1283">
        <v>61335</v>
      </c>
      <c r="K1283" t="s">
        <v>2520</v>
      </c>
      <c r="L1283">
        <v>20</v>
      </c>
      <c r="M1283">
        <v>20</v>
      </c>
      <c r="N1283">
        <v>61335</v>
      </c>
      <c r="O1283">
        <v>1259</v>
      </c>
      <c r="P1283" t="s">
        <v>3213</v>
      </c>
      <c r="Q1283">
        <v>18.899999999999999</v>
      </c>
      <c r="R1283">
        <v>154.44999999999999</v>
      </c>
      <c r="S1283">
        <v>3.99</v>
      </c>
      <c r="T1283">
        <v>33</v>
      </c>
      <c r="U1283">
        <v>3211135.38454</v>
      </c>
      <c r="V1283">
        <v>9349.0899759999993</v>
      </c>
      <c r="W1283">
        <v>1282</v>
      </c>
      <c r="X1283">
        <v>0</v>
      </c>
      <c r="Y1283">
        <v>1281</v>
      </c>
      <c r="Z1283" t="s">
        <v>6966</v>
      </c>
      <c r="AA1283" t="s">
        <v>6966</v>
      </c>
      <c r="AB1283" t="s">
        <v>6966</v>
      </c>
      <c r="AC1283" t="s">
        <v>6966</v>
      </c>
      <c r="AD1283" t="s">
        <v>6966</v>
      </c>
      <c r="AE1283" t="s">
        <v>6966</v>
      </c>
      <c r="AF1283" t="s">
        <v>6966</v>
      </c>
      <c r="AG1283" t="s">
        <v>6966</v>
      </c>
      <c r="AH1283" t="s">
        <v>6966</v>
      </c>
      <c r="AI1283" t="s">
        <v>6966</v>
      </c>
      <c r="AJ1283" t="s">
        <v>6966</v>
      </c>
      <c r="AK1283" t="s">
        <v>6966</v>
      </c>
      <c r="AL1283" t="s">
        <v>6966</v>
      </c>
      <c r="AM1283" t="s">
        <v>6966</v>
      </c>
      <c r="AN1283" t="s">
        <v>6966</v>
      </c>
      <c r="AO1283" t="s">
        <v>6966</v>
      </c>
      <c r="AP1283" t="s">
        <v>6966</v>
      </c>
      <c r="AQ1283" t="s">
        <v>6966</v>
      </c>
      <c r="AR1283" t="s">
        <v>6966</v>
      </c>
      <c r="AS1283" t="s">
        <v>6966</v>
      </c>
      <c r="AT1283" t="s">
        <v>6966</v>
      </c>
      <c r="AU1283" t="s">
        <v>6966</v>
      </c>
      <c r="AV1283" t="s">
        <v>6966</v>
      </c>
      <c r="AW1283" t="s">
        <v>6966</v>
      </c>
      <c r="AX1283" t="s">
        <v>6966</v>
      </c>
      <c r="AY1283" t="s">
        <v>6966</v>
      </c>
      <c r="AZ1283">
        <v>9.4159000000000007E-2</v>
      </c>
      <c r="BA1283">
        <v>3.1199999999999999E-4</v>
      </c>
    </row>
    <row r="1284" spans="1:53" x14ac:dyDescent="0.25">
      <c r="A1284">
        <v>1282</v>
      </c>
      <c r="B1284" t="s">
        <v>7625</v>
      </c>
      <c r="C1284">
        <v>801001</v>
      </c>
      <c r="D1284" t="s">
        <v>1369</v>
      </c>
      <c r="E1284" t="s">
        <v>1342</v>
      </c>
      <c r="F1284">
        <v>1949554.875</v>
      </c>
      <c r="G1284">
        <v>8048.5336909999996</v>
      </c>
      <c r="H1284">
        <v>1284</v>
      </c>
      <c r="I1284">
        <v>1519</v>
      </c>
      <c r="J1284">
        <v>63214</v>
      </c>
      <c r="K1284" t="s">
        <v>8050</v>
      </c>
      <c r="L1284">
        <v>22</v>
      </c>
      <c r="M1284">
        <v>22</v>
      </c>
      <c r="N1284">
        <v>63214</v>
      </c>
      <c r="O1284">
        <v>1260</v>
      </c>
      <c r="P1284" t="s">
        <v>3213</v>
      </c>
      <c r="Q1284">
        <v>1.9</v>
      </c>
      <c r="R1284">
        <v>6.39</v>
      </c>
      <c r="S1284">
        <v>0.72</v>
      </c>
      <c r="T1284">
        <v>2</v>
      </c>
      <c r="U1284">
        <v>1949554.90839</v>
      </c>
      <c r="V1284">
        <v>8048.533676</v>
      </c>
      <c r="W1284">
        <v>1283</v>
      </c>
      <c r="X1284">
        <v>1</v>
      </c>
      <c r="Y1284">
        <v>1282</v>
      </c>
      <c r="Z1284">
        <v>75454</v>
      </c>
      <c r="AA1284" s="76">
        <v>45981</v>
      </c>
      <c r="AB1284">
        <v>2025</v>
      </c>
      <c r="AC1284" t="s">
        <v>7516</v>
      </c>
      <c r="AD1284">
        <v>20</v>
      </c>
      <c r="AE1284" t="s">
        <v>7542</v>
      </c>
      <c r="AF1284" t="s">
        <v>3213</v>
      </c>
      <c r="AG1284" t="s">
        <v>1342</v>
      </c>
      <c r="AH1284" t="s">
        <v>1369</v>
      </c>
      <c r="AI1284" t="s">
        <v>7543</v>
      </c>
      <c r="AJ1284" t="s">
        <v>6966</v>
      </c>
      <c r="AK1284">
        <v>33.53519</v>
      </c>
      <c r="AL1284">
        <v>35.462409999999998</v>
      </c>
      <c r="AM1284" t="s">
        <v>7013</v>
      </c>
      <c r="AN1284" t="s">
        <v>7014</v>
      </c>
      <c r="AO1284" t="s">
        <v>7008</v>
      </c>
      <c r="AP1284" t="s">
        <v>7544</v>
      </c>
      <c r="AQ1284" t="s">
        <v>6998</v>
      </c>
      <c r="AR1284" t="s">
        <v>6999</v>
      </c>
      <c r="AS1284" t="s">
        <v>7000</v>
      </c>
      <c r="AT1284">
        <v>0</v>
      </c>
      <c r="AU1284">
        <v>0</v>
      </c>
      <c r="AV1284" t="s">
        <v>7533</v>
      </c>
      <c r="AW1284" t="s">
        <v>7018</v>
      </c>
      <c r="AX1284" t="s">
        <v>6966</v>
      </c>
      <c r="AY1284" t="s">
        <v>7003</v>
      </c>
      <c r="AZ1284">
        <v>8.2406999999999994E-2</v>
      </c>
      <c r="BA1284">
        <v>1.8900000000000001E-4</v>
      </c>
    </row>
    <row r="1285" spans="1:53" x14ac:dyDescent="0.25">
      <c r="A1285">
        <v>1283</v>
      </c>
      <c r="B1285" t="s">
        <v>7625</v>
      </c>
      <c r="C1285">
        <v>402011</v>
      </c>
      <c r="D1285" t="s">
        <v>1563</v>
      </c>
      <c r="E1285" t="s">
        <v>7999</v>
      </c>
      <c r="F1285">
        <v>2750351.5</v>
      </c>
      <c r="G1285">
        <v>7436.7275390000004</v>
      </c>
      <c r="H1285">
        <v>1285</v>
      </c>
      <c r="I1285">
        <v>1520</v>
      </c>
      <c r="J1285">
        <v>0</v>
      </c>
      <c r="K1285" t="s">
        <v>1563</v>
      </c>
      <c r="L1285">
        <v>19</v>
      </c>
      <c r="M1285">
        <v>19</v>
      </c>
      <c r="N1285">
        <v>0</v>
      </c>
      <c r="O1285">
        <v>1640</v>
      </c>
      <c r="P1285" t="s">
        <v>3214</v>
      </c>
      <c r="Q1285">
        <v>0</v>
      </c>
      <c r="R1285">
        <v>0</v>
      </c>
      <c r="S1285">
        <v>0</v>
      </c>
      <c r="T1285">
        <v>0</v>
      </c>
      <c r="U1285">
        <v>2750351.5200399999</v>
      </c>
      <c r="V1285">
        <v>7436.7270989999997</v>
      </c>
      <c r="W1285">
        <v>1284</v>
      </c>
      <c r="X1285">
        <v>0</v>
      </c>
      <c r="Y1285">
        <v>1283</v>
      </c>
      <c r="Z1285" t="s">
        <v>6966</v>
      </c>
      <c r="AA1285" t="s">
        <v>6966</v>
      </c>
      <c r="AB1285" t="s">
        <v>6966</v>
      </c>
      <c r="AC1285" t="s">
        <v>6966</v>
      </c>
      <c r="AD1285" t="s">
        <v>6966</v>
      </c>
      <c r="AE1285" t="s">
        <v>6966</v>
      </c>
      <c r="AF1285" t="s">
        <v>6966</v>
      </c>
      <c r="AG1285" t="s">
        <v>6966</v>
      </c>
      <c r="AH1285" t="s">
        <v>6966</v>
      </c>
      <c r="AI1285" t="s">
        <v>6966</v>
      </c>
      <c r="AJ1285" t="s">
        <v>6966</v>
      </c>
      <c r="AK1285" t="s">
        <v>6966</v>
      </c>
      <c r="AL1285" t="s">
        <v>6966</v>
      </c>
      <c r="AM1285" t="s">
        <v>6966</v>
      </c>
      <c r="AN1285" t="s">
        <v>6966</v>
      </c>
      <c r="AO1285" t="s">
        <v>6966</v>
      </c>
      <c r="AP1285" t="s">
        <v>6966</v>
      </c>
      <c r="AQ1285" t="s">
        <v>6966</v>
      </c>
      <c r="AR1285" t="s">
        <v>6966</v>
      </c>
      <c r="AS1285" t="s">
        <v>6966</v>
      </c>
      <c r="AT1285" t="s">
        <v>6966</v>
      </c>
      <c r="AU1285" t="s">
        <v>6966</v>
      </c>
      <c r="AV1285" t="s">
        <v>6966</v>
      </c>
      <c r="AW1285" t="s">
        <v>6966</v>
      </c>
      <c r="AX1285" t="s">
        <v>6966</v>
      </c>
      <c r="AY1285" t="s">
        <v>6966</v>
      </c>
      <c r="AZ1285">
        <v>7.6129000000000002E-2</v>
      </c>
      <c r="BA1285">
        <v>2.6699999999999998E-4</v>
      </c>
    </row>
    <row r="1286" spans="1:53" x14ac:dyDescent="0.25">
      <c r="A1286">
        <v>1284</v>
      </c>
      <c r="B1286" t="s">
        <v>7625</v>
      </c>
      <c r="C1286">
        <v>801008</v>
      </c>
      <c r="D1286" t="s">
        <v>1371</v>
      </c>
      <c r="E1286" t="s">
        <v>1342</v>
      </c>
      <c r="F1286">
        <v>699647.3125</v>
      </c>
      <c r="G1286">
        <v>3653.4201659999999</v>
      </c>
      <c r="H1286">
        <v>1286</v>
      </c>
      <c r="I1286">
        <v>1521</v>
      </c>
      <c r="J1286">
        <v>63221</v>
      </c>
      <c r="K1286" t="s">
        <v>2655</v>
      </c>
      <c r="L1286">
        <v>22</v>
      </c>
      <c r="M1286">
        <v>22</v>
      </c>
      <c r="N1286">
        <v>63221</v>
      </c>
      <c r="O1286">
        <v>1261</v>
      </c>
      <c r="P1286" t="s">
        <v>3213</v>
      </c>
      <c r="Q1286">
        <v>3.5</v>
      </c>
      <c r="R1286">
        <v>16761.669999999998</v>
      </c>
      <c r="S1286">
        <v>1.36</v>
      </c>
      <c r="T1286">
        <v>6580</v>
      </c>
      <c r="U1286">
        <v>699647.27716199995</v>
      </c>
      <c r="V1286">
        <v>3653.4206939999999</v>
      </c>
      <c r="W1286">
        <v>1285</v>
      </c>
      <c r="X1286">
        <v>0</v>
      </c>
      <c r="Y1286">
        <v>1284</v>
      </c>
      <c r="Z1286" t="s">
        <v>6966</v>
      </c>
      <c r="AA1286" t="s">
        <v>6966</v>
      </c>
      <c r="AB1286" t="s">
        <v>6966</v>
      </c>
      <c r="AC1286" t="s">
        <v>6966</v>
      </c>
      <c r="AD1286" t="s">
        <v>6966</v>
      </c>
      <c r="AE1286" t="s">
        <v>6966</v>
      </c>
      <c r="AF1286" t="s">
        <v>6966</v>
      </c>
      <c r="AG1286" t="s">
        <v>6966</v>
      </c>
      <c r="AH1286" t="s">
        <v>6966</v>
      </c>
      <c r="AI1286" t="s">
        <v>6966</v>
      </c>
      <c r="AJ1286" t="s">
        <v>6966</v>
      </c>
      <c r="AK1286" t="s">
        <v>6966</v>
      </c>
      <c r="AL1286" t="s">
        <v>6966</v>
      </c>
      <c r="AM1286" t="s">
        <v>6966</v>
      </c>
      <c r="AN1286" t="s">
        <v>6966</v>
      </c>
      <c r="AO1286" t="s">
        <v>6966</v>
      </c>
      <c r="AP1286" t="s">
        <v>6966</v>
      </c>
      <c r="AQ1286" t="s">
        <v>6966</v>
      </c>
      <c r="AR1286" t="s">
        <v>6966</v>
      </c>
      <c r="AS1286" t="s">
        <v>6966</v>
      </c>
      <c r="AT1286" t="s">
        <v>6966</v>
      </c>
      <c r="AU1286" t="s">
        <v>6966</v>
      </c>
      <c r="AV1286" t="s">
        <v>6966</v>
      </c>
      <c r="AW1286" t="s">
        <v>6966</v>
      </c>
      <c r="AX1286" t="s">
        <v>6966</v>
      </c>
      <c r="AY1286" t="s">
        <v>6966</v>
      </c>
      <c r="AZ1286">
        <v>3.6884E-2</v>
      </c>
      <c r="BA1286">
        <v>6.7999999999999999E-5</v>
      </c>
    </row>
    <row r="1287" spans="1:53" x14ac:dyDescent="0.25">
      <c r="A1287">
        <v>1285</v>
      </c>
      <c r="B1287" t="s">
        <v>7625</v>
      </c>
      <c r="C1287">
        <v>402028</v>
      </c>
      <c r="D1287" t="s">
        <v>1163</v>
      </c>
      <c r="E1287" t="s">
        <v>7999</v>
      </c>
      <c r="F1287">
        <v>0</v>
      </c>
      <c r="G1287">
        <v>58645.011719000002</v>
      </c>
      <c r="H1287">
        <v>1287</v>
      </c>
      <c r="I1287">
        <v>1522</v>
      </c>
      <c r="J1287">
        <v>55111</v>
      </c>
      <c r="K1287" t="s">
        <v>2487</v>
      </c>
      <c r="L1287">
        <v>19</v>
      </c>
      <c r="M1287">
        <v>19</v>
      </c>
      <c r="N1287">
        <v>55111</v>
      </c>
      <c r="O1287">
        <v>1262</v>
      </c>
      <c r="P1287" t="s">
        <v>3214</v>
      </c>
      <c r="Q1287">
        <v>0.9</v>
      </c>
      <c r="R1287">
        <v>78.38</v>
      </c>
      <c r="S1287">
        <v>0.19</v>
      </c>
      <c r="T1287">
        <v>15</v>
      </c>
      <c r="U1287">
        <v>0</v>
      </c>
      <c r="V1287">
        <v>58645.012766</v>
      </c>
      <c r="W1287">
        <v>1286</v>
      </c>
      <c r="X1287">
        <v>1</v>
      </c>
      <c r="Y1287">
        <v>1285</v>
      </c>
      <c r="Z1287">
        <v>59312</v>
      </c>
      <c r="AA1287" s="76">
        <v>45740</v>
      </c>
      <c r="AB1287">
        <v>2025</v>
      </c>
      <c r="AC1287" t="s">
        <v>7104</v>
      </c>
      <c r="AD1287">
        <v>24</v>
      </c>
      <c r="AE1287" t="s">
        <v>7169</v>
      </c>
      <c r="AF1287" t="s">
        <v>3214</v>
      </c>
      <c r="AG1287" t="s">
        <v>3222</v>
      </c>
      <c r="AH1287" t="s">
        <v>1163</v>
      </c>
      <c r="AI1287" t="s">
        <v>1163</v>
      </c>
      <c r="AJ1287" t="s">
        <v>6966</v>
      </c>
      <c r="AK1287">
        <v>33.499139999999997</v>
      </c>
      <c r="AL1287">
        <v>35.837820000000001</v>
      </c>
      <c r="AM1287" t="s">
        <v>6995</v>
      </c>
      <c r="AN1287" t="s">
        <v>6966</v>
      </c>
      <c r="AO1287" t="s">
        <v>6996</v>
      </c>
      <c r="AP1287" t="s">
        <v>7170</v>
      </c>
      <c r="AQ1287" t="s">
        <v>6998</v>
      </c>
      <c r="AR1287" t="s">
        <v>6999</v>
      </c>
      <c r="AS1287" t="s">
        <v>7036</v>
      </c>
      <c r="AT1287">
        <v>0</v>
      </c>
      <c r="AU1287">
        <v>0</v>
      </c>
      <c r="AV1287" t="s">
        <v>6966</v>
      </c>
      <c r="AW1287" t="s">
        <v>7002</v>
      </c>
      <c r="AX1287" t="s">
        <v>6966</v>
      </c>
      <c r="AY1287" t="s">
        <v>7003</v>
      </c>
      <c r="AZ1287">
        <v>0.58102799999999999</v>
      </c>
      <c r="BA1287">
        <v>5.855E-3</v>
      </c>
    </row>
    <row r="1288" spans="1:53" x14ac:dyDescent="0.25">
      <c r="A1288">
        <v>1286</v>
      </c>
      <c r="B1288" t="s">
        <v>7625</v>
      </c>
      <c r="C1288">
        <v>801066</v>
      </c>
      <c r="D1288" t="s">
        <v>1384</v>
      </c>
      <c r="E1288" t="s">
        <v>1342</v>
      </c>
      <c r="F1288">
        <v>3494688.75</v>
      </c>
      <c r="G1288">
        <v>10745.897461</v>
      </c>
      <c r="H1288">
        <v>1288</v>
      </c>
      <c r="I1288">
        <v>1523</v>
      </c>
      <c r="J1288">
        <v>63264</v>
      </c>
      <c r="K1288" t="s">
        <v>2664</v>
      </c>
      <c r="L1288">
        <v>22</v>
      </c>
      <c r="M1288">
        <v>22</v>
      </c>
      <c r="N1288">
        <v>63264</v>
      </c>
      <c r="O1288">
        <v>1263</v>
      </c>
      <c r="P1288" t="s">
        <v>3213</v>
      </c>
      <c r="Q1288">
        <v>0.2</v>
      </c>
      <c r="R1288">
        <v>9.7799999999999994</v>
      </c>
      <c r="S1288">
        <v>0.13</v>
      </c>
      <c r="T1288">
        <v>8</v>
      </c>
      <c r="U1288">
        <v>3494688.85837</v>
      </c>
      <c r="V1288">
        <v>10745.897702</v>
      </c>
      <c r="W1288">
        <v>1287</v>
      </c>
      <c r="X1288">
        <v>0</v>
      </c>
      <c r="Y1288">
        <v>1286</v>
      </c>
      <c r="Z1288" t="s">
        <v>6966</v>
      </c>
      <c r="AA1288" t="s">
        <v>6966</v>
      </c>
      <c r="AB1288" t="s">
        <v>6966</v>
      </c>
      <c r="AC1288" t="s">
        <v>6966</v>
      </c>
      <c r="AD1288" t="s">
        <v>6966</v>
      </c>
      <c r="AE1288" t="s">
        <v>6966</v>
      </c>
      <c r="AF1288" t="s">
        <v>6966</v>
      </c>
      <c r="AG1288" t="s">
        <v>6966</v>
      </c>
      <c r="AH1288" t="s">
        <v>6966</v>
      </c>
      <c r="AI1288" t="s">
        <v>6966</v>
      </c>
      <c r="AJ1288" t="s">
        <v>6966</v>
      </c>
      <c r="AK1288" t="s">
        <v>6966</v>
      </c>
      <c r="AL1288" t="s">
        <v>6966</v>
      </c>
      <c r="AM1288" t="s">
        <v>6966</v>
      </c>
      <c r="AN1288" t="s">
        <v>6966</v>
      </c>
      <c r="AO1288" t="s">
        <v>6966</v>
      </c>
      <c r="AP1288" t="s">
        <v>6966</v>
      </c>
      <c r="AQ1288" t="s">
        <v>6966</v>
      </c>
      <c r="AR1288" t="s">
        <v>6966</v>
      </c>
      <c r="AS1288" t="s">
        <v>6966</v>
      </c>
      <c r="AT1288" t="s">
        <v>6966</v>
      </c>
      <c r="AU1288" t="s">
        <v>6966</v>
      </c>
      <c r="AV1288" t="s">
        <v>6966</v>
      </c>
      <c r="AW1288" t="s">
        <v>6966</v>
      </c>
      <c r="AX1288" t="s">
        <v>6966</v>
      </c>
      <c r="AY1288" t="s">
        <v>6966</v>
      </c>
      <c r="AZ1288">
        <v>0.10932799999999999</v>
      </c>
      <c r="BA1288">
        <v>3.39E-4</v>
      </c>
    </row>
    <row r="1289" spans="1:53" x14ac:dyDescent="0.25">
      <c r="A1289">
        <v>1287</v>
      </c>
      <c r="B1289" t="s">
        <v>7625</v>
      </c>
      <c r="C1289">
        <v>402042</v>
      </c>
      <c r="D1289" t="s">
        <v>87</v>
      </c>
      <c r="E1289" t="s">
        <v>7999</v>
      </c>
      <c r="F1289">
        <v>160745.578125</v>
      </c>
      <c r="G1289">
        <v>2834.4172359999998</v>
      </c>
      <c r="H1289">
        <v>1289</v>
      </c>
      <c r="I1289">
        <v>1524</v>
      </c>
      <c r="J1289">
        <v>55005</v>
      </c>
      <c r="K1289" t="s">
        <v>87</v>
      </c>
      <c r="L1289">
        <v>19</v>
      </c>
      <c r="M1289">
        <v>19</v>
      </c>
      <c r="N1289">
        <v>55005</v>
      </c>
      <c r="O1289">
        <v>1264</v>
      </c>
      <c r="P1289" t="s">
        <v>3214</v>
      </c>
      <c r="Q1289">
        <v>0</v>
      </c>
      <c r="R1289">
        <v>0</v>
      </c>
      <c r="S1289">
        <v>0</v>
      </c>
      <c r="T1289">
        <v>0</v>
      </c>
      <c r="U1289">
        <v>160745.54382300001</v>
      </c>
      <c r="V1289">
        <v>2834.41725</v>
      </c>
      <c r="W1289">
        <v>1288</v>
      </c>
      <c r="X1289">
        <v>0</v>
      </c>
      <c r="Y1289">
        <v>1287</v>
      </c>
      <c r="Z1289" t="s">
        <v>6966</v>
      </c>
      <c r="AA1289" t="s">
        <v>6966</v>
      </c>
      <c r="AB1289" t="s">
        <v>6966</v>
      </c>
      <c r="AC1289" t="s">
        <v>6966</v>
      </c>
      <c r="AD1289" t="s">
        <v>6966</v>
      </c>
      <c r="AE1289" t="s">
        <v>6966</v>
      </c>
      <c r="AF1289" t="s">
        <v>6966</v>
      </c>
      <c r="AG1289" t="s">
        <v>6966</v>
      </c>
      <c r="AH1289" t="s">
        <v>6966</v>
      </c>
      <c r="AI1289" t="s">
        <v>6966</v>
      </c>
      <c r="AJ1289" t="s">
        <v>6966</v>
      </c>
      <c r="AK1289" t="s">
        <v>6966</v>
      </c>
      <c r="AL1289" t="s">
        <v>6966</v>
      </c>
      <c r="AM1289" t="s">
        <v>6966</v>
      </c>
      <c r="AN1289" t="s">
        <v>6966</v>
      </c>
      <c r="AO1289" t="s">
        <v>6966</v>
      </c>
      <c r="AP1289" t="s">
        <v>6966</v>
      </c>
      <c r="AQ1289" t="s">
        <v>6966</v>
      </c>
      <c r="AR1289" t="s">
        <v>6966</v>
      </c>
      <c r="AS1289" t="s">
        <v>6966</v>
      </c>
      <c r="AT1289" t="s">
        <v>6966</v>
      </c>
      <c r="AU1289" t="s">
        <v>6966</v>
      </c>
      <c r="AV1289" t="s">
        <v>6966</v>
      </c>
      <c r="AW1289" t="s">
        <v>6966</v>
      </c>
      <c r="AX1289" t="s">
        <v>6966</v>
      </c>
      <c r="AY1289" t="s">
        <v>6966</v>
      </c>
      <c r="AZ1289">
        <v>2.7775999999999999E-2</v>
      </c>
      <c r="BA1289">
        <v>1.5999999999999999E-5</v>
      </c>
    </row>
    <row r="1290" spans="1:53" x14ac:dyDescent="0.25">
      <c r="A1290">
        <v>1288</v>
      </c>
      <c r="B1290" t="s">
        <v>7625</v>
      </c>
      <c r="C1290">
        <v>802021</v>
      </c>
      <c r="D1290" t="s">
        <v>8051</v>
      </c>
      <c r="E1290" t="s">
        <v>3039</v>
      </c>
      <c r="F1290">
        <v>9354954</v>
      </c>
      <c r="G1290">
        <v>27475.636718999998</v>
      </c>
      <c r="H1290">
        <v>1290</v>
      </c>
      <c r="I1290">
        <v>1525</v>
      </c>
      <c r="J1290">
        <v>61311</v>
      </c>
      <c r="K1290" t="s">
        <v>2519</v>
      </c>
      <c r="L1290">
        <v>20</v>
      </c>
      <c r="M1290">
        <v>20</v>
      </c>
      <c r="N1290">
        <v>61311</v>
      </c>
      <c r="O1290">
        <v>1265</v>
      </c>
      <c r="P1290" t="s">
        <v>3213</v>
      </c>
      <c r="Q1290">
        <v>14.1</v>
      </c>
      <c r="R1290">
        <v>115.47</v>
      </c>
      <c r="S1290">
        <v>3.12</v>
      </c>
      <c r="T1290">
        <v>26</v>
      </c>
      <c r="U1290">
        <v>9354954.3993500005</v>
      </c>
      <c r="V1290">
        <v>27475.635401</v>
      </c>
      <c r="W1290">
        <v>1289</v>
      </c>
      <c r="X1290">
        <v>1</v>
      </c>
      <c r="Y1290">
        <v>1288</v>
      </c>
      <c r="Z1290">
        <v>61820</v>
      </c>
      <c r="AA1290" s="76">
        <v>45784</v>
      </c>
      <c r="AB1290">
        <v>2025</v>
      </c>
      <c r="AC1290" t="s">
        <v>7215</v>
      </c>
      <c r="AD1290">
        <v>7</v>
      </c>
      <c r="AE1290" t="s">
        <v>7232</v>
      </c>
      <c r="AF1290" t="s">
        <v>3213</v>
      </c>
      <c r="AG1290" t="s">
        <v>3039</v>
      </c>
      <c r="AH1290" t="s">
        <v>7233</v>
      </c>
      <c r="AI1290" t="s">
        <v>2964</v>
      </c>
      <c r="AJ1290" t="s">
        <v>6966</v>
      </c>
      <c r="AK1290">
        <v>33.517479999999999</v>
      </c>
      <c r="AL1290">
        <v>35.368989999999997</v>
      </c>
      <c r="AM1290" t="s">
        <v>7013</v>
      </c>
      <c r="AN1290" t="s">
        <v>6995</v>
      </c>
      <c r="AO1290" t="s">
        <v>7008</v>
      </c>
      <c r="AP1290" t="s">
        <v>7234</v>
      </c>
      <c r="AQ1290" t="s">
        <v>6998</v>
      </c>
      <c r="AR1290" t="s">
        <v>6999</v>
      </c>
      <c r="AS1290" t="s">
        <v>7000</v>
      </c>
      <c r="AT1290">
        <v>0</v>
      </c>
      <c r="AU1290">
        <v>0</v>
      </c>
      <c r="AV1290" t="s">
        <v>7235</v>
      </c>
      <c r="AW1290" t="s">
        <v>7018</v>
      </c>
      <c r="AX1290" t="s">
        <v>6966</v>
      </c>
      <c r="AY1290" t="s">
        <v>7003</v>
      </c>
      <c r="AZ1290">
        <v>0.27097300000000002</v>
      </c>
      <c r="BA1290">
        <v>9.0700000000000004E-4</v>
      </c>
    </row>
    <row r="1291" spans="1:53" x14ac:dyDescent="0.25">
      <c r="A1291">
        <v>1289</v>
      </c>
      <c r="B1291" t="s">
        <v>7625</v>
      </c>
      <c r="C1291">
        <v>802076</v>
      </c>
      <c r="D1291" t="s">
        <v>1210</v>
      </c>
      <c r="E1291" t="s">
        <v>3039</v>
      </c>
      <c r="F1291">
        <v>1369364.625</v>
      </c>
      <c r="G1291">
        <v>6473.5087890000004</v>
      </c>
      <c r="H1291">
        <v>1291</v>
      </c>
      <c r="I1291">
        <v>1526</v>
      </c>
      <c r="J1291">
        <v>61371</v>
      </c>
      <c r="K1291" t="s">
        <v>2522</v>
      </c>
      <c r="L1291">
        <v>20</v>
      </c>
      <c r="M1291">
        <v>20</v>
      </c>
      <c r="N1291">
        <v>61371</v>
      </c>
      <c r="O1291">
        <v>1266</v>
      </c>
      <c r="P1291" t="s">
        <v>3213</v>
      </c>
      <c r="Q1291">
        <v>3.2</v>
      </c>
      <c r="R1291">
        <v>0</v>
      </c>
      <c r="S1291">
        <v>0.67</v>
      </c>
      <c r="T1291">
        <v>0</v>
      </c>
      <c r="U1291">
        <v>1369364.62087</v>
      </c>
      <c r="V1291">
        <v>6473.5083009999998</v>
      </c>
      <c r="W1291">
        <v>1290</v>
      </c>
      <c r="X1291">
        <v>0</v>
      </c>
      <c r="Y1291">
        <v>1289</v>
      </c>
      <c r="Z1291" t="s">
        <v>6966</v>
      </c>
      <c r="AA1291" t="s">
        <v>6966</v>
      </c>
      <c r="AB1291" t="s">
        <v>6966</v>
      </c>
      <c r="AC1291" t="s">
        <v>6966</v>
      </c>
      <c r="AD1291" t="s">
        <v>6966</v>
      </c>
      <c r="AE1291" t="s">
        <v>6966</v>
      </c>
      <c r="AF1291" t="s">
        <v>6966</v>
      </c>
      <c r="AG1291" t="s">
        <v>6966</v>
      </c>
      <c r="AH1291" t="s">
        <v>6966</v>
      </c>
      <c r="AI1291" t="s">
        <v>6966</v>
      </c>
      <c r="AJ1291" t="s">
        <v>6966</v>
      </c>
      <c r="AK1291" t="s">
        <v>6966</v>
      </c>
      <c r="AL1291" t="s">
        <v>6966</v>
      </c>
      <c r="AM1291" t="s">
        <v>6966</v>
      </c>
      <c r="AN1291" t="s">
        <v>6966</v>
      </c>
      <c r="AO1291" t="s">
        <v>6966</v>
      </c>
      <c r="AP1291" t="s">
        <v>6966</v>
      </c>
      <c r="AQ1291" t="s">
        <v>6966</v>
      </c>
      <c r="AR1291" t="s">
        <v>6966</v>
      </c>
      <c r="AS1291" t="s">
        <v>6966</v>
      </c>
      <c r="AT1291" t="s">
        <v>6966</v>
      </c>
      <c r="AU1291" t="s">
        <v>6966</v>
      </c>
      <c r="AV1291" t="s">
        <v>6966</v>
      </c>
      <c r="AW1291" t="s">
        <v>6966</v>
      </c>
      <c r="AX1291" t="s">
        <v>6966</v>
      </c>
      <c r="AY1291" t="s">
        <v>6966</v>
      </c>
      <c r="AZ1291">
        <v>6.5317E-2</v>
      </c>
      <c r="BA1291">
        <v>1.3300000000000001E-4</v>
      </c>
    </row>
    <row r="1292" spans="1:53" x14ac:dyDescent="0.25">
      <c r="A1292">
        <v>1290</v>
      </c>
      <c r="B1292" t="s">
        <v>7625</v>
      </c>
      <c r="C1292">
        <v>801019</v>
      </c>
      <c r="D1292" t="s">
        <v>1390</v>
      </c>
      <c r="E1292" t="s">
        <v>1342</v>
      </c>
      <c r="F1292">
        <v>1722931</v>
      </c>
      <c r="G1292">
        <v>6107.7749020000001</v>
      </c>
      <c r="H1292">
        <v>1292</v>
      </c>
      <c r="I1292">
        <v>1527</v>
      </c>
      <c r="J1292">
        <v>63284</v>
      </c>
      <c r="K1292" t="s">
        <v>2668</v>
      </c>
      <c r="L1292">
        <v>22</v>
      </c>
      <c r="M1292">
        <v>22</v>
      </c>
      <c r="N1292">
        <v>63284</v>
      </c>
      <c r="O1292">
        <v>1267</v>
      </c>
      <c r="P1292" t="s">
        <v>3213</v>
      </c>
      <c r="Q1292">
        <v>0.1</v>
      </c>
      <c r="R1292">
        <v>7.62</v>
      </c>
      <c r="S1292">
        <v>0.05</v>
      </c>
      <c r="T1292">
        <v>4</v>
      </c>
      <c r="U1292">
        <v>1722931.01195</v>
      </c>
      <c r="V1292">
        <v>6107.7751660000004</v>
      </c>
      <c r="W1292">
        <v>1291</v>
      </c>
      <c r="X1292">
        <v>0</v>
      </c>
      <c r="Y1292">
        <v>1290</v>
      </c>
      <c r="Z1292" t="s">
        <v>6966</v>
      </c>
      <c r="AA1292" t="s">
        <v>6966</v>
      </c>
      <c r="AB1292" t="s">
        <v>6966</v>
      </c>
      <c r="AC1292" t="s">
        <v>6966</v>
      </c>
      <c r="AD1292" t="s">
        <v>6966</v>
      </c>
      <c r="AE1292" t="s">
        <v>6966</v>
      </c>
      <c r="AF1292" t="s">
        <v>6966</v>
      </c>
      <c r="AG1292" t="s">
        <v>6966</v>
      </c>
      <c r="AH1292" t="s">
        <v>6966</v>
      </c>
      <c r="AI1292" t="s">
        <v>6966</v>
      </c>
      <c r="AJ1292" t="s">
        <v>6966</v>
      </c>
      <c r="AK1292" t="s">
        <v>6966</v>
      </c>
      <c r="AL1292" t="s">
        <v>6966</v>
      </c>
      <c r="AM1292" t="s">
        <v>6966</v>
      </c>
      <c r="AN1292" t="s">
        <v>6966</v>
      </c>
      <c r="AO1292" t="s">
        <v>6966</v>
      </c>
      <c r="AP1292" t="s">
        <v>6966</v>
      </c>
      <c r="AQ1292" t="s">
        <v>6966</v>
      </c>
      <c r="AR1292" t="s">
        <v>6966</v>
      </c>
      <c r="AS1292" t="s">
        <v>6966</v>
      </c>
      <c r="AT1292" t="s">
        <v>6966</v>
      </c>
      <c r="AU1292" t="s">
        <v>6966</v>
      </c>
      <c r="AV1292" t="s">
        <v>6966</v>
      </c>
      <c r="AW1292" t="s">
        <v>6966</v>
      </c>
      <c r="AX1292" t="s">
        <v>6966</v>
      </c>
      <c r="AY1292" t="s">
        <v>6966</v>
      </c>
      <c r="AZ1292">
        <v>6.2494000000000001E-2</v>
      </c>
      <c r="BA1292">
        <v>1.6699999999999999E-4</v>
      </c>
    </row>
    <row r="1293" spans="1:53" x14ac:dyDescent="0.25">
      <c r="A1293">
        <v>1291</v>
      </c>
      <c r="B1293" t="s">
        <v>7625</v>
      </c>
      <c r="C1293">
        <v>801053</v>
      </c>
      <c r="D1293" t="s">
        <v>8052</v>
      </c>
      <c r="E1293" t="s">
        <v>1342</v>
      </c>
      <c r="F1293">
        <v>1910355.875</v>
      </c>
      <c r="G1293">
        <v>7752.7822269999997</v>
      </c>
      <c r="H1293">
        <v>1293</v>
      </c>
      <c r="I1293">
        <v>1529</v>
      </c>
      <c r="J1293">
        <v>63231</v>
      </c>
      <c r="K1293" t="s">
        <v>8053</v>
      </c>
      <c r="L1293">
        <v>22</v>
      </c>
      <c r="M1293">
        <v>22</v>
      </c>
      <c r="N1293">
        <v>63231</v>
      </c>
      <c r="O1293">
        <v>1268</v>
      </c>
      <c r="P1293" t="s">
        <v>3213</v>
      </c>
      <c r="Q1293">
        <v>0.4</v>
      </c>
      <c r="R1293">
        <v>171.63</v>
      </c>
      <c r="S1293">
        <v>0.16</v>
      </c>
      <c r="T1293">
        <v>67</v>
      </c>
      <c r="U1293">
        <v>1910355.90539</v>
      </c>
      <c r="V1293">
        <v>7752.7831070000002</v>
      </c>
      <c r="W1293">
        <v>1292</v>
      </c>
      <c r="X1293">
        <v>0</v>
      </c>
      <c r="Y1293">
        <v>1291</v>
      </c>
      <c r="Z1293" t="s">
        <v>6966</v>
      </c>
      <c r="AA1293" t="s">
        <v>6966</v>
      </c>
      <c r="AB1293" t="s">
        <v>6966</v>
      </c>
      <c r="AC1293" t="s">
        <v>6966</v>
      </c>
      <c r="AD1293" t="s">
        <v>6966</v>
      </c>
      <c r="AE1293" t="s">
        <v>6966</v>
      </c>
      <c r="AF1293" t="s">
        <v>6966</v>
      </c>
      <c r="AG1293" t="s">
        <v>6966</v>
      </c>
      <c r="AH1293" t="s">
        <v>6966</v>
      </c>
      <c r="AI1293" t="s">
        <v>6966</v>
      </c>
      <c r="AJ1293" t="s">
        <v>6966</v>
      </c>
      <c r="AK1293" t="s">
        <v>6966</v>
      </c>
      <c r="AL1293" t="s">
        <v>6966</v>
      </c>
      <c r="AM1293" t="s">
        <v>6966</v>
      </c>
      <c r="AN1293" t="s">
        <v>6966</v>
      </c>
      <c r="AO1293" t="s">
        <v>6966</v>
      </c>
      <c r="AP1293" t="s">
        <v>6966</v>
      </c>
      <c r="AQ1293" t="s">
        <v>6966</v>
      </c>
      <c r="AR1293" t="s">
        <v>6966</v>
      </c>
      <c r="AS1293" t="s">
        <v>6966</v>
      </c>
      <c r="AT1293" t="s">
        <v>6966</v>
      </c>
      <c r="AU1293" t="s">
        <v>6966</v>
      </c>
      <c r="AV1293" t="s">
        <v>6966</v>
      </c>
      <c r="AW1293" t="s">
        <v>6966</v>
      </c>
      <c r="AX1293" t="s">
        <v>6966</v>
      </c>
      <c r="AY1293" t="s">
        <v>6966</v>
      </c>
      <c r="AZ1293">
        <v>7.8662999999999997E-2</v>
      </c>
      <c r="BA1293">
        <v>1.85E-4</v>
      </c>
    </row>
    <row r="1294" spans="1:53" x14ac:dyDescent="0.25">
      <c r="A1294">
        <v>1292</v>
      </c>
      <c r="B1294" t="s">
        <v>7625</v>
      </c>
      <c r="C1294">
        <v>801041</v>
      </c>
      <c r="D1294" t="s">
        <v>1353</v>
      </c>
      <c r="E1294" t="s">
        <v>1342</v>
      </c>
      <c r="F1294">
        <v>1801286.125</v>
      </c>
      <c r="G1294">
        <v>6857.7192379999997</v>
      </c>
      <c r="H1294">
        <v>1294</v>
      </c>
      <c r="I1294">
        <v>1530</v>
      </c>
      <c r="J1294">
        <v>63147</v>
      </c>
      <c r="K1294" t="s">
        <v>8054</v>
      </c>
      <c r="L1294">
        <v>22</v>
      </c>
      <c r="M1294">
        <v>22</v>
      </c>
      <c r="N1294">
        <v>63147</v>
      </c>
      <c r="O1294">
        <v>1269</v>
      </c>
      <c r="P1294" t="s">
        <v>3213</v>
      </c>
      <c r="Q1294">
        <v>0.6</v>
      </c>
      <c r="R1294">
        <v>17.54</v>
      </c>
      <c r="S1294">
        <v>0.32</v>
      </c>
      <c r="T1294">
        <v>10</v>
      </c>
      <c r="U1294">
        <v>1801286.1257100001</v>
      </c>
      <c r="V1294">
        <v>6857.7189920000001</v>
      </c>
      <c r="W1294">
        <v>1293</v>
      </c>
      <c r="X1294">
        <v>0</v>
      </c>
      <c r="Y1294">
        <v>1292</v>
      </c>
      <c r="Z1294" t="s">
        <v>6966</v>
      </c>
      <c r="AA1294" t="s">
        <v>6966</v>
      </c>
      <c r="AB1294" t="s">
        <v>6966</v>
      </c>
      <c r="AC1294" t="s">
        <v>6966</v>
      </c>
      <c r="AD1294" t="s">
        <v>6966</v>
      </c>
      <c r="AE1294" t="s">
        <v>6966</v>
      </c>
      <c r="AF1294" t="s">
        <v>6966</v>
      </c>
      <c r="AG1294" t="s">
        <v>6966</v>
      </c>
      <c r="AH1294" t="s">
        <v>6966</v>
      </c>
      <c r="AI1294" t="s">
        <v>6966</v>
      </c>
      <c r="AJ1294" t="s">
        <v>6966</v>
      </c>
      <c r="AK1294" t="s">
        <v>6966</v>
      </c>
      <c r="AL1294" t="s">
        <v>6966</v>
      </c>
      <c r="AM1294" t="s">
        <v>6966</v>
      </c>
      <c r="AN1294" t="s">
        <v>6966</v>
      </c>
      <c r="AO1294" t="s">
        <v>6966</v>
      </c>
      <c r="AP1294" t="s">
        <v>6966</v>
      </c>
      <c r="AQ1294" t="s">
        <v>6966</v>
      </c>
      <c r="AR1294" t="s">
        <v>6966</v>
      </c>
      <c r="AS1294" t="s">
        <v>6966</v>
      </c>
      <c r="AT1294" t="s">
        <v>6966</v>
      </c>
      <c r="AU1294" t="s">
        <v>6966</v>
      </c>
      <c r="AV1294" t="s">
        <v>6966</v>
      </c>
      <c r="AW1294" t="s">
        <v>6966</v>
      </c>
      <c r="AX1294" t="s">
        <v>6966</v>
      </c>
      <c r="AY1294" t="s">
        <v>6966</v>
      </c>
      <c r="AZ1294">
        <v>6.8734000000000003E-2</v>
      </c>
      <c r="BA1294">
        <v>1.75E-4</v>
      </c>
    </row>
    <row r="1295" spans="1:53" x14ac:dyDescent="0.25">
      <c r="A1295">
        <v>1293</v>
      </c>
      <c r="B1295" t="s">
        <v>7625</v>
      </c>
      <c r="C1295">
        <v>801055</v>
      </c>
      <c r="D1295" t="s">
        <v>1381</v>
      </c>
      <c r="E1295" t="s">
        <v>1342</v>
      </c>
      <c r="F1295">
        <v>3500658.25</v>
      </c>
      <c r="G1295">
        <v>12187.532227</v>
      </c>
      <c r="H1295">
        <v>1295</v>
      </c>
      <c r="I1295">
        <v>1531</v>
      </c>
      <c r="J1295">
        <v>63254</v>
      </c>
      <c r="K1295" t="s">
        <v>8055</v>
      </c>
      <c r="L1295">
        <v>22</v>
      </c>
      <c r="M1295">
        <v>22</v>
      </c>
      <c r="N1295">
        <v>63254</v>
      </c>
      <c r="O1295">
        <v>1270</v>
      </c>
      <c r="P1295" t="s">
        <v>3213</v>
      </c>
      <c r="Q1295">
        <v>0.8</v>
      </c>
      <c r="R1295">
        <v>8.33</v>
      </c>
      <c r="S1295">
        <v>0.44</v>
      </c>
      <c r="T1295">
        <v>4</v>
      </c>
      <c r="U1295">
        <v>3500658.2535600001</v>
      </c>
      <c r="V1295">
        <v>12187.530446999999</v>
      </c>
      <c r="W1295">
        <v>1294</v>
      </c>
      <c r="X1295">
        <v>0</v>
      </c>
      <c r="Y1295">
        <v>1293</v>
      </c>
      <c r="Z1295" t="s">
        <v>6966</v>
      </c>
      <c r="AA1295" t="s">
        <v>6966</v>
      </c>
      <c r="AB1295" t="s">
        <v>6966</v>
      </c>
      <c r="AC1295" t="s">
        <v>6966</v>
      </c>
      <c r="AD1295" t="s">
        <v>6966</v>
      </c>
      <c r="AE1295" t="s">
        <v>6966</v>
      </c>
      <c r="AF1295" t="s">
        <v>6966</v>
      </c>
      <c r="AG1295" t="s">
        <v>6966</v>
      </c>
      <c r="AH1295" t="s">
        <v>6966</v>
      </c>
      <c r="AI1295" t="s">
        <v>6966</v>
      </c>
      <c r="AJ1295" t="s">
        <v>6966</v>
      </c>
      <c r="AK1295" t="s">
        <v>6966</v>
      </c>
      <c r="AL1295" t="s">
        <v>6966</v>
      </c>
      <c r="AM1295" t="s">
        <v>6966</v>
      </c>
      <c r="AN1295" t="s">
        <v>6966</v>
      </c>
      <c r="AO1295" t="s">
        <v>6966</v>
      </c>
      <c r="AP1295" t="s">
        <v>6966</v>
      </c>
      <c r="AQ1295" t="s">
        <v>6966</v>
      </c>
      <c r="AR1295" t="s">
        <v>6966</v>
      </c>
      <c r="AS1295" t="s">
        <v>6966</v>
      </c>
      <c r="AT1295" t="s">
        <v>6966</v>
      </c>
      <c r="AU1295" t="s">
        <v>6966</v>
      </c>
      <c r="AV1295" t="s">
        <v>6966</v>
      </c>
      <c r="AW1295" t="s">
        <v>6966</v>
      </c>
      <c r="AX1295" t="s">
        <v>6966</v>
      </c>
      <c r="AY1295" t="s">
        <v>6966</v>
      </c>
      <c r="AZ1295">
        <v>0.12066</v>
      </c>
      <c r="BA1295">
        <v>3.4000000000000002E-4</v>
      </c>
    </row>
    <row r="1296" spans="1:53" x14ac:dyDescent="0.25">
      <c r="A1296">
        <v>1294</v>
      </c>
      <c r="B1296" t="s">
        <v>7625</v>
      </c>
      <c r="C1296">
        <v>802041</v>
      </c>
      <c r="D1296" t="s">
        <v>8056</v>
      </c>
      <c r="E1296" t="s">
        <v>3039</v>
      </c>
      <c r="F1296">
        <v>3324433.5</v>
      </c>
      <c r="G1296">
        <v>12096.113281</v>
      </c>
      <c r="H1296">
        <v>1296</v>
      </c>
      <c r="I1296">
        <v>1532</v>
      </c>
      <c r="J1296">
        <v>61323</v>
      </c>
      <c r="K1296" t="s">
        <v>8056</v>
      </c>
      <c r="L1296">
        <v>20</v>
      </c>
      <c r="M1296">
        <v>20</v>
      </c>
      <c r="N1296">
        <v>61323</v>
      </c>
      <c r="O1296">
        <v>1271</v>
      </c>
      <c r="P1296" t="s">
        <v>3213</v>
      </c>
      <c r="Q1296">
        <v>10.4</v>
      </c>
      <c r="R1296">
        <v>56.03</v>
      </c>
      <c r="S1296">
        <v>2.74</v>
      </c>
      <c r="T1296">
        <v>15</v>
      </c>
      <c r="U1296">
        <v>3324433.3895100001</v>
      </c>
      <c r="V1296">
        <v>12096.112868</v>
      </c>
      <c r="W1296">
        <v>1295</v>
      </c>
      <c r="X1296">
        <v>1</v>
      </c>
      <c r="Y1296">
        <v>1294</v>
      </c>
      <c r="Z1296">
        <v>62331</v>
      </c>
      <c r="AA1296" s="76">
        <v>45792</v>
      </c>
      <c r="AB1296">
        <v>2025</v>
      </c>
      <c r="AC1296" t="s">
        <v>7215</v>
      </c>
      <c r="AD1296">
        <v>15</v>
      </c>
      <c r="AE1296" t="s">
        <v>7257</v>
      </c>
      <c r="AF1296" t="s">
        <v>3213</v>
      </c>
      <c r="AG1296" t="s">
        <v>3039</v>
      </c>
      <c r="AH1296" t="s">
        <v>7258</v>
      </c>
      <c r="AI1296" t="s">
        <v>2965</v>
      </c>
      <c r="AJ1296" t="s">
        <v>6966</v>
      </c>
      <c r="AK1296">
        <v>33.522620000000003</v>
      </c>
      <c r="AL1296">
        <v>35.385449999999999</v>
      </c>
      <c r="AM1296" t="s">
        <v>7013</v>
      </c>
      <c r="AN1296" t="s">
        <v>6995</v>
      </c>
      <c r="AO1296" t="s">
        <v>7008</v>
      </c>
      <c r="AP1296" t="s">
        <v>7259</v>
      </c>
      <c r="AQ1296" t="s">
        <v>6998</v>
      </c>
      <c r="AR1296" t="s">
        <v>6999</v>
      </c>
      <c r="AS1296" t="s">
        <v>7000</v>
      </c>
      <c r="AT1296">
        <v>0</v>
      </c>
      <c r="AU1296">
        <v>0</v>
      </c>
      <c r="AV1296" t="s">
        <v>7260</v>
      </c>
      <c r="AW1296" t="s">
        <v>7018</v>
      </c>
      <c r="AX1296" t="s">
        <v>6966</v>
      </c>
      <c r="AY1296" t="s">
        <v>7003</v>
      </c>
      <c r="AZ1296">
        <v>0.12124600000000001</v>
      </c>
      <c r="BA1296">
        <v>3.2200000000000002E-4</v>
      </c>
    </row>
    <row r="1297" spans="1:53" x14ac:dyDescent="0.25">
      <c r="A1297">
        <v>1295</v>
      </c>
      <c r="B1297" t="s">
        <v>7625</v>
      </c>
      <c r="C1297">
        <v>801059</v>
      </c>
      <c r="D1297" t="s">
        <v>1375</v>
      </c>
      <c r="E1297" t="s">
        <v>1342</v>
      </c>
      <c r="F1297">
        <v>1373551.625</v>
      </c>
      <c r="G1297">
        <v>5460.4755859999996</v>
      </c>
      <c r="H1297">
        <v>1297</v>
      </c>
      <c r="I1297">
        <v>1533</v>
      </c>
      <c r="J1297">
        <v>63234</v>
      </c>
      <c r="K1297" t="s">
        <v>2658</v>
      </c>
      <c r="L1297">
        <v>22</v>
      </c>
      <c r="M1297">
        <v>22</v>
      </c>
      <c r="N1297">
        <v>63234</v>
      </c>
      <c r="O1297">
        <v>1272</v>
      </c>
      <c r="P1297" t="s">
        <v>3213</v>
      </c>
      <c r="Q1297">
        <v>1.1000000000000001</v>
      </c>
      <c r="R1297">
        <v>6.61</v>
      </c>
      <c r="S1297">
        <v>0.37</v>
      </c>
      <c r="T1297">
        <v>2</v>
      </c>
      <c r="U1297">
        <v>1373551.5941300001</v>
      </c>
      <c r="V1297">
        <v>5460.4757300000001</v>
      </c>
      <c r="W1297">
        <v>1296</v>
      </c>
      <c r="X1297">
        <v>0</v>
      </c>
      <c r="Y1297">
        <v>1295</v>
      </c>
      <c r="Z1297" t="s">
        <v>6966</v>
      </c>
      <c r="AA1297" t="s">
        <v>6966</v>
      </c>
      <c r="AB1297" t="s">
        <v>6966</v>
      </c>
      <c r="AC1297" t="s">
        <v>6966</v>
      </c>
      <c r="AD1297" t="s">
        <v>6966</v>
      </c>
      <c r="AE1297" t="s">
        <v>6966</v>
      </c>
      <c r="AF1297" t="s">
        <v>6966</v>
      </c>
      <c r="AG1297" t="s">
        <v>6966</v>
      </c>
      <c r="AH1297" t="s">
        <v>6966</v>
      </c>
      <c r="AI1297" t="s">
        <v>6966</v>
      </c>
      <c r="AJ1297" t="s">
        <v>6966</v>
      </c>
      <c r="AK1297" t="s">
        <v>6966</v>
      </c>
      <c r="AL1297" t="s">
        <v>6966</v>
      </c>
      <c r="AM1297" t="s">
        <v>6966</v>
      </c>
      <c r="AN1297" t="s">
        <v>6966</v>
      </c>
      <c r="AO1297" t="s">
        <v>6966</v>
      </c>
      <c r="AP1297" t="s">
        <v>6966</v>
      </c>
      <c r="AQ1297" t="s">
        <v>6966</v>
      </c>
      <c r="AR1297" t="s">
        <v>6966</v>
      </c>
      <c r="AS1297" t="s">
        <v>6966</v>
      </c>
      <c r="AT1297" t="s">
        <v>6966</v>
      </c>
      <c r="AU1297" t="s">
        <v>6966</v>
      </c>
      <c r="AV1297" t="s">
        <v>6966</v>
      </c>
      <c r="AW1297" t="s">
        <v>6966</v>
      </c>
      <c r="AX1297" t="s">
        <v>6966</v>
      </c>
      <c r="AY1297" t="s">
        <v>6966</v>
      </c>
      <c r="AZ1297">
        <v>5.5423E-2</v>
      </c>
      <c r="BA1297">
        <v>1.3300000000000001E-4</v>
      </c>
    </row>
    <row r="1298" spans="1:53" x14ac:dyDescent="0.25">
      <c r="A1298">
        <v>1296</v>
      </c>
      <c r="B1298" t="s">
        <v>7625</v>
      </c>
      <c r="C1298">
        <v>802011</v>
      </c>
      <c r="D1298" t="s">
        <v>1260</v>
      </c>
      <c r="E1298" t="s">
        <v>3039</v>
      </c>
      <c r="F1298">
        <v>3970599.5</v>
      </c>
      <c r="G1298">
        <v>10099.671875</v>
      </c>
      <c r="H1298">
        <v>1298</v>
      </c>
      <c r="I1298">
        <v>1534</v>
      </c>
      <c r="J1298">
        <v>61488</v>
      </c>
      <c r="K1298" t="s">
        <v>1260</v>
      </c>
      <c r="L1298">
        <v>20</v>
      </c>
      <c r="M1298">
        <v>20</v>
      </c>
      <c r="N1298">
        <v>61488</v>
      </c>
      <c r="O1298">
        <v>1273</v>
      </c>
      <c r="P1298" t="s">
        <v>3213</v>
      </c>
      <c r="Q1298">
        <v>1.3</v>
      </c>
      <c r="R1298">
        <v>16.21</v>
      </c>
      <c r="S1298">
        <v>0.48</v>
      </c>
      <c r="T1298">
        <v>6</v>
      </c>
      <c r="U1298">
        <v>3970599.5051600002</v>
      </c>
      <c r="V1298">
        <v>10099.672906</v>
      </c>
      <c r="W1298">
        <v>1297</v>
      </c>
      <c r="X1298">
        <v>0</v>
      </c>
      <c r="Y1298">
        <v>1296</v>
      </c>
      <c r="Z1298" t="s">
        <v>6966</v>
      </c>
      <c r="AA1298" t="s">
        <v>6966</v>
      </c>
      <c r="AB1298" t="s">
        <v>6966</v>
      </c>
      <c r="AC1298" t="s">
        <v>6966</v>
      </c>
      <c r="AD1298" t="s">
        <v>6966</v>
      </c>
      <c r="AE1298" t="s">
        <v>6966</v>
      </c>
      <c r="AF1298" t="s">
        <v>6966</v>
      </c>
      <c r="AG1298" t="s">
        <v>6966</v>
      </c>
      <c r="AH1298" t="s">
        <v>6966</v>
      </c>
      <c r="AI1298" t="s">
        <v>6966</v>
      </c>
      <c r="AJ1298" t="s">
        <v>6966</v>
      </c>
      <c r="AK1298" t="s">
        <v>6966</v>
      </c>
      <c r="AL1298" t="s">
        <v>6966</v>
      </c>
      <c r="AM1298" t="s">
        <v>6966</v>
      </c>
      <c r="AN1298" t="s">
        <v>6966</v>
      </c>
      <c r="AO1298" t="s">
        <v>6966</v>
      </c>
      <c r="AP1298" t="s">
        <v>6966</v>
      </c>
      <c r="AQ1298" t="s">
        <v>6966</v>
      </c>
      <c r="AR1298" t="s">
        <v>6966</v>
      </c>
      <c r="AS1298" t="s">
        <v>6966</v>
      </c>
      <c r="AT1298" t="s">
        <v>6966</v>
      </c>
      <c r="AU1298" t="s">
        <v>6966</v>
      </c>
      <c r="AV1298" t="s">
        <v>6966</v>
      </c>
      <c r="AW1298" t="s">
        <v>6966</v>
      </c>
      <c r="AX1298" t="s">
        <v>6966</v>
      </c>
      <c r="AY1298" t="s">
        <v>6966</v>
      </c>
      <c r="AZ1298">
        <v>0.101522</v>
      </c>
      <c r="BA1298">
        <v>3.8499999999999998E-4</v>
      </c>
    </row>
    <row r="1299" spans="1:53" x14ac:dyDescent="0.25">
      <c r="A1299">
        <v>1297</v>
      </c>
      <c r="B1299" t="s">
        <v>7625</v>
      </c>
      <c r="C1299">
        <v>402020</v>
      </c>
      <c r="D1299" t="s">
        <v>1176</v>
      </c>
      <c r="E1299" t="s">
        <v>7999</v>
      </c>
      <c r="F1299">
        <v>0</v>
      </c>
      <c r="G1299">
        <v>32347.263672000001</v>
      </c>
      <c r="H1299">
        <v>1299</v>
      </c>
      <c r="I1299">
        <v>1535</v>
      </c>
      <c r="J1299">
        <v>55154</v>
      </c>
      <c r="K1299" t="s">
        <v>8057</v>
      </c>
      <c r="L1299">
        <v>19</v>
      </c>
      <c r="M1299">
        <v>19</v>
      </c>
      <c r="N1299">
        <v>55154</v>
      </c>
      <c r="O1299">
        <v>1274</v>
      </c>
      <c r="P1299" t="s">
        <v>3214</v>
      </c>
      <c r="Q1299">
        <v>0.4</v>
      </c>
      <c r="R1299">
        <v>31.02</v>
      </c>
      <c r="S1299">
        <v>0.1</v>
      </c>
      <c r="T1299">
        <v>8</v>
      </c>
      <c r="U1299">
        <v>0</v>
      </c>
      <c r="V1299">
        <v>32347.263544000001</v>
      </c>
      <c r="W1299">
        <v>1298</v>
      </c>
      <c r="X1299">
        <v>0</v>
      </c>
      <c r="Y1299">
        <v>1297</v>
      </c>
      <c r="Z1299" t="s">
        <v>6966</v>
      </c>
      <c r="AA1299" t="s">
        <v>6966</v>
      </c>
      <c r="AB1299" t="s">
        <v>6966</v>
      </c>
      <c r="AC1299" t="s">
        <v>6966</v>
      </c>
      <c r="AD1299" t="s">
        <v>6966</v>
      </c>
      <c r="AE1299" t="s">
        <v>6966</v>
      </c>
      <c r="AF1299" t="s">
        <v>6966</v>
      </c>
      <c r="AG1299" t="s">
        <v>6966</v>
      </c>
      <c r="AH1299" t="s">
        <v>6966</v>
      </c>
      <c r="AI1299" t="s">
        <v>6966</v>
      </c>
      <c r="AJ1299" t="s">
        <v>6966</v>
      </c>
      <c r="AK1299" t="s">
        <v>6966</v>
      </c>
      <c r="AL1299" t="s">
        <v>6966</v>
      </c>
      <c r="AM1299" t="s">
        <v>6966</v>
      </c>
      <c r="AN1299" t="s">
        <v>6966</v>
      </c>
      <c r="AO1299" t="s">
        <v>6966</v>
      </c>
      <c r="AP1299" t="s">
        <v>6966</v>
      </c>
      <c r="AQ1299" t="s">
        <v>6966</v>
      </c>
      <c r="AR1299" t="s">
        <v>6966</v>
      </c>
      <c r="AS1299" t="s">
        <v>6966</v>
      </c>
      <c r="AT1299" t="s">
        <v>6966</v>
      </c>
      <c r="AU1299" t="s">
        <v>6966</v>
      </c>
      <c r="AV1299" t="s">
        <v>6966</v>
      </c>
      <c r="AW1299" t="s">
        <v>6966</v>
      </c>
      <c r="AX1299" t="s">
        <v>6966</v>
      </c>
      <c r="AY1299" t="s">
        <v>6966</v>
      </c>
      <c r="AZ1299">
        <v>0.321102</v>
      </c>
      <c r="BA1299">
        <v>1.74E-3</v>
      </c>
    </row>
    <row r="1300" spans="1:53" x14ac:dyDescent="0.25">
      <c r="A1300">
        <v>1298</v>
      </c>
      <c r="B1300" t="s">
        <v>7625</v>
      </c>
      <c r="C1300">
        <v>802073</v>
      </c>
      <c r="D1300" t="s">
        <v>1211</v>
      </c>
      <c r="E1300" t="s">
        <v>3039</v>
      </c>
      <c r="F1300">
        <v>2872873.75</v>
      </c>
      <c r="G1300">
        <v>9436.4716800000006</v>
      </c>
      <c r="H1300">
        <v>1300</v>
      </c>
      <c r="I1300">
        <v>1536</v>
      </c>
      <c r="J1300">
        <v>61383</v>
      </c>
      <c r="K1300" t="s">
        <v>2523</v>
      </c>
      <c r="L1300">
        <v>20</v>
      </c>
      <c r="M1300">
        <v>20</v>
      </c>
      <c r="N1300">
        <v>61383</v>
      </c>
      <c r="O1300">
        <v>1275</v>
      </c>
      <c r="P1300" t="s">
        <v>3213</v>
      </c>
      <c r="Q1300">
        <v>2.5</v>
      </c>
      <c r="R1300">
        <v>67.569999999999993</v>
      </c>
      <c r="S1300">
        <v>0.54</v>
      </c>
      <c r="T1300">
        <v>14</v>
      </c>
      <c r="U1300">
        <v>2872873.7621300002</v>
      </c>
      <c r="V1300">
        <v>9436.4713019999999</v>
      </c>
      <c r="W1300">
        <v>1299</v>
      </c>
      <c r="X1300">
        <v>0</v>
      </c>
      <c r="Y1300">
        <v>1298</v>
      </c>
      <c r="Z1300" t="s">
        <v>6966</v>
      </c>
      <c r="AA1300" t="s">
        <v>6966</v>
      </c>
      <c r="AB1300" t="s">
        <v>6966</v>
      </c>
      <c r="AC1300" t="s">
        <v>6966</v>
      </c>
      <c r="AD1300" t="s">
        <v>6966</v>
      </c>
      <c r="AE1300" t="s">
        <v>6966</v>
      </c>
      <c r="AF1300" t="s">
        <v>6966</v>
      </c>
      <c r="AG1300" t="s">
        <v>6966</v>
      </c>
      <c r="AH1300" t="s">
        <v>6966</v>
      </c>
      <c r="AI1300" t="s">
        <v>6966</v>
      </c>
      <c r="AJ1300" t="s">
        <v>6966</v>
      </c>
      <c r="AK1300" t="s">
        <v>6966</v>
      </c>
      <c r="AL1300" t="s">
        <v>6966</v>
      </c>
      <c r="AM1300" t="s">
        <v>6966</v>
      </c>
      <c r="AN1300" t="s">
        <v>6966</v>
      </c>
      <c r="AO1300" t="s">
        <v>6966</v>
      </c>
      <c r="AP1300" t="s">
        <v>6966</v>
      </c>
      <c r="AQ1300" t="s">
        <v>6966</v>
      </c>
      <c r="AR1300" t="s">
        <v>6966</v>
      </c>
      <c r="AS1300" t="s">
        <v>6966</v>
      </c>
      <c r="AT1300" t="s">
        <v>6966</v>
      </c>
      <c r="AU1300" t="s">
        <v>6966</v>
      </c>
      <c r="AV1300" t="s">
        <v>6966</v>
      </c>
      <c r="AW1300" t="s">
        <v>6966</v>
      </c>
      <c r="AX1300" t="s">
        <v>6966</v>
      </c>
      <c r="AY1300" t="s">
        <v>6966</v>
      </c>
      <c r="AZ1300">
        <v>9.5387E-2</v>
      </c>
      <c r="BA1300">
        <v>2.7900000000000001E-4</v>
      </c>
    </row>
    <row r="1301" spans="1:53" x14ac:dyDescent="0.25">
      <c r="A1301">
        <v>1299</v>
      </c>
      <c r="B1301" t="s">
        <v>7625</v>
      </c>
      <c r="C1301">
        <v>801026</v>
      </c>
      <c r="D1301" t="s">
        <v>1389</v>
      </c>
      <c r="E1301" t="s">
        <v>1342</v>
      </c>
      <c r="F1301">
        <v>541988.9375</v>
      </c>
      <c r="G1301">
        <v>4302.7700199999999</v>
      </c>
      <c r="H1301">
        <v>1301</v>
      </c>
      <c r="I1301">
        <v>1537</v>
      </c>
      <c r="J1301">
        <v>63281</v>
      </c>
      <c r="K1301" t="s">
        <v>8058</v>
      </c>
      <c r="L1301">
        <v>22</v>
      </c>
      <c r="M1301">
        <v>22</v>
      </c>
      <c r="N1301">
        <v>63281</v>
      </c>
      <c r="O1301">
        <v>1276</v>
      </c>
      <c r="P1301" t="s">
        <v>3213</v>
      </c>
      <c r="Q1301">
        <v>3.2</v>
      </c>
      <c r="R1301">
        <v>32.630000000000003</v>
      </c>
      <c r="S1301">
        <v>0.9</v>
      </c>
      <c r="T1301">
        <v>9</v>
      </c>
      <c r="U1301">
        <v>541988.99798999995</v>
      </c>
      <c r="V1301">
        <v>4302.7703199999996</v>
      </c>
      <c r="W1301">
        <v>1300</v>
      </c>
      <c r="X1301">
        <v>0</v>
      </c>
      <c r="Y1301">
        <v>1299</v>
      </c>
      <c r="Z1301" t="s">
        <v>6966</v>
      </c>
      <c r="AA1301" t="s">
        <v>6966</v>
      </c>
      <c r="AB1301" t="s">
        <v>6966</v>
      </c>
      <c r="AC1301" t="s">
        <v>6966</v>
      </c>
      <c r="AD1301" t="s">
        <v>6966</v>
      </c>
      <c r="AE1301" t="s">
        <v>6966</v>
      </c>
      <c r="AF1301" t="s">
        <v>6966</v>
      </c>
      <c r="AG1301" t="s">
        <v>6966</v>
      </c>
      <c r="AH1301" t="s">
        <v>6966</v>
      </c>
      <c r="AI1301" t="s">
        <v>6966</v>
      </c>
      <c r="AJ1301" t="s">
        <v>6966</v>
      </c>
      <c r="AK1301" t="s">
        <v>6966</v>
      </c>
      <c r="AL1301" t="s">
        <v>6966</v>
      </c>
      <c r="AM1301" t="s">
        <v>6966</v>
      </c>
      <c r="AN1301" t="s">
        <v>6966</v>
      </c>
      <c r="AO1301" t="s">
        <v>6966</v>
      </c>
      <c r="AP1301" t="s">
        <v>6966</v>
      </c>
      <c r="AQ1301" t="s">
        <v>6966</v>
      </c>
      <c r="AR1301" t="s">
        <v>6966</v>
      </c>
      <c r="AS1301" t="s">
        <v>6966</v>
      </c>
      <c r="AT1301" t="s">
        <v>6966</v>
      </c>
      <c r="AU1301" t="s">
        <v>6966</v>
      </c>
      <c r="AV1301" t="s">
        <v>6966</v>
      </c>
      <c r="AW1301" t="s">
        <v>6966</v>
      </c>
      <c r="AX1301" t="s">
        <v>6966</v>
      </c>
      <c r="AY1301" t="s">
        <v>6966</v>
      </c>
      <c r="AZ1301">
        <v>4.2549999999999998E-2</v>
      </c>
      <c r="BA1301">
        <v>5.3000000000000001E-5</v>
      </c>
    </row>
    <row r="1302" spans="1:53" x14ac:dyDescent="0.25">
      <c r="A1302">
        <v>1300</v>
      </c>
      <c r="B1302" t="s">
        <v>7625</v>
      </c>
      <c r="C1302">
        <v>801071</v>
      </c>
      <c r="D1302" t="s">
        <v>1386</v>
      </c>
      <c r="E1302" t="s">
        <v>1342</v>
      </c>
      <c r="F1302">
        <v>1924925.625</v>
      </c>
      <c r="G1302">
        <v>6779.5502930000002</v>
      </c>
      <c r="H1302">
        <v>1302</v>
      </c>
      <c r="I1302">
        <v>1538</v>
      </c>
      <c r="J1302">
        <v>63271</v>
      </c>
      <c r="K1302" t="s">
        <v>8059</v>
      </c>
      <c r="L1302">
        <v>22</v>
      </c>
      <c r="M1302">
        <v>22</v>
      </c>
      <c r="N1302">
        <v>63271</v>
      </c>
      <c r="O1302">
        <v>1277</v>
      </c>
      <c r="P1302" t="s">
        <v>3213</v>
      </c>
      <c r="Q1302">
        <v>1.5</v>
      </c>
      <c r="R1302">
        <v>19.649999999999999</v>
      </c>
      <c r="S1302">
        <v>0.57999999999999996</v>
      </c>
      <c r="T1302">
        <v>7</v>
      </c>
      <c r="U1302">
        <v>1924925.7179399999</v>
      </c>
      <c r="V1302">
        <v>6779.5504289999999</v>
      </c>
      <c r="W1302">
        <v>1301</v>
      </c>
      <c r="X1302">
        <v>0</v>
      </c>
      <c r="Y1302">
        <v>1300</v>
      </c>
      <c r="Z1302" t="s">
        <v>6966</v>
      </c>
      <c r="AA1302" t="s">
        <v>6966</v>
      </c>
      <c r="AB1302" t="s">
        <v>6966</v>
      </c>
      <c r="AC1302" t="s">
        <v>6966</v>
      </c>
      <c r="AD1302" t="s">
        <v>6966</v>
      </c>
      <c r="AE1302" t="s">
        <v>6966</v>
      </c>
      <c r="AF1302" t="s">
        <v>6966</v>
      </c>
      <c r="AG1302" t="s">
        <v>6966</v>
      </c>
      <c r="AH1302" t="s">
        <v>6966</v>
      </c>
      <c r="AI1302" t="s">
        <v>6966</v>
      </c>
      <c r="AJ1302" t="s">
        <v>6966</v>
      </c>
      <c r="AK1302" t="s">
        <v>6966</v>
      </c>
      <c r="AL1302" t="s">
        <v>6966</v>
      </c>
      <c r="AM1302" t="s">
        <v>6966</v>
      </c>
      <c r="AN1302" t="s">
        <v>6966</v>
      </c>
      <c r="AO1302" t="s">
        <v>6966</v>
      </c>
      <c r="AP1302" t="s">
        <v>6966</v>
      </c>
      <c r="AQ1302" t="s">
        <v>6966</v>
      </c>
      <c r="AR1302" t="s">
        <v>6966</v>
      </c>
      <c r="AS1302" t="s">
        <v>6966</v>
      </c>
      <c r="AT1302" t="s">
        <v>6966</v>
      </c>
      <c r="AU1302" t="s">
        <v>6966</v>
      </c>
      <c r="AV1302" t="s">
        <v>6966</v>
      </c>
      <c r="AW1302" t="s">
        <v>6966</v>
      </c>
      <c r="AX1302" t="s">
        <v>6966</v>
      </c>
      <c r="AY1302" t="s">
        <v>6966</v>
      </c>
      <c r="AZ1302">
        <v>6.7849000000000007E-2</v>
      </c>
      <c r="BA1302">
        <v>1.8699999999999999E-4</v>
      </c>
    </row>
    <row r="1303" spans="1:53" x14ac:dyDescent="0.25">
      <c r="A1303">
        <v>1301</v>
      </c>
      <c r="B1303" t="s">
        <v>7625</v>
      </c>
      <c r="C1303">
        <v>401035</v>
      </c>
      <c r="D1303" t="s">
        <v>1060</v>
      </c>
      <c r="E1303" t="s">
        <v>3221</v>
      </c>
      <c r="F1303">
        <v>0</v>
      </c>
      <c r="G1303">
        <v>15797.262694999999</v>
      </c>
      <c r="H1303">
        <v>1303</v>
      </c>
      <c r="I1303">
        <v>1540</v>
      </c>
      <c r="J1303">
        <v>52267</v>
      </c>
      <c r="K1303" t="s">
        <v>1060</v>
      </c>
      <c r="L1303">
        <v>16</v>
      </c>
      <c r="M1303">
        <v>16</v>
      </c>
      <c r="N1303">
        <v>52267</v>
      </c>
      <c r="O1303">
        <v>1278</v>
      </c>
      <c r="P1303" t="s">
        <v>3214</v>
      </c>
      <c r="Q1303">
        <v>3.5</v>
      </c>
      <c r="R1303">
        <v>45.01</v>
      </c>
      <c r="S1303">
        <v>1.04</v>
      </c>
      <c r="T1303">
        <v>13</v>
      </c>
      <c r="U1303">
        <v>0</v>
      </c>
      <c r="V1303">
        <v>15797.261252</v>
      </c>
      <c r="W1303">
        <v>1302</v>
      </c>
      <c r="X1303">
        <v>1</v>
      </c>
      <c r="Y1303">
        <v>1301</v>
      </c>
      <c r="Z1303">
        <v>59868</v>
      </c>
      <c r="AA1303" s="76">
        <v>45749</v>
      </c>
      <c r="AB1303">
        <v>2025</v>
      </c>
      <c r="AC1303" t="s">
        <v>7183</v>
      </c>
      <c r="AD1303">
        <v>2</v>
      </c>
      <c r="AE1303" t="s">
        <v>7185</v>
      </c>
      <c r="AF1303" t="s">
        <v>3214</v>
      </c>
      <c r="AG1303" t="s">
        <v>3221</v>
      </c>
      <c r="AH1303" t="s">
        <v>1060</v>
      </c>
      <c r="AI1303" t="s">
        <v>1060</v>
      </c>
      <c r="AJ1303" t="s">
        <v>6966</v>
      </c>
      <c r="AK1303">
        <v>33.519750000000002</v>
      </c>
      <c r="AL1303">
        <v>35.685290000000002</v>
      </c>
      <c r="AM1303" t="s">
        <v>6995</v>
      </c>
      <c r="AN1303" t="s">
        <v>6966</v>
      </c>
      <c r="AO1303" t="s">
        <v>7147</v>
      </c>
      <c r="AP1303" t="s">
        <v>7186</v>
      </c>
      <c r="AQ1303" t="s">
        <v>6998</v>
      </c>
      <c r="AR1303" t="s">
        <v>6999</v>
      </c>
      <c r="AS1303" t="s">
        <v>7000</v>
      </c>
      <c r="AT1303">
        <v>0</v>
      </c>
      <c r="AU1303">
        <v>0</v>
      </c>
      <c r="AV1303" t="s">
        <v>7184</v>
      </c>
      <c r="AW1303" t="s">
        <v>7002</v>
      </c>
      <c r="AX1303" t="s">
        <v>6966</v>
      </c>
      <c r="AY1303" t="s">
        <v>7003</v>
      </c>
      <c r="AZ1303">
        <v>0.15557699999999999</v>
      </c>
      <c r="BA1303">
        <v>1.1069999999999999E-3</v>
      </c>
    </row>
    <row r="1304" spans="1:53" x14ac:dyDescent="0.25">
      <c r="A1304">
        <v>1302</v>
      </c>
      <c r="B1304" t="s">
        <v>7625</v>
      </c>
      <c r="C1304">
        <v>801018</v>
      </c>
      <c r="D1304" t="s">
        <v>1382</v>
      </c>
      <c r="E1304" t="s">
        <v>1342</v>
      </c>
      <c r="F1304">
        <v>505012.625</v>
      </c>
      <c r="G1304">
        <v>3040.3884280000002</v>
      </c>
      <c r="H1304">
        <v>1304</v>
      </c>
      <c r="I1304">
        <v>1541</v>
      </c>
      <c r="J1304">
        <v>63257</v>
      </c>
      <c r="K1304" t="s">
        <v>2663</v>
      </c>
      <c r="L1304">
        <v>22</v>
      </c>
      <c r="M1304">
        <v>22</v>
      </c>
      <c r="N1304">
        <v>63257</v>
      </c>
      <c r="O1304">
        <v>1279</v>
      </c>
      <c r="P1304" t="s">
        <v>3213</v>
      </c>
      <c r="Q1304">
        <v>0.2</v>
      </c>
      <c r="R1304">
        <v>0</v>
      </c>
      <c r="S1304">
        <v>0.08</v>
      </c>
      <c r="T1304">
        <v>0</v>
      </c>
      <c r="U1304">
        <v>505012.57461700001</v>
      </c>
      <c r="V1304">
        <v>3040.3880979999999</v>
      </c>
      <c r="W1304">
        <v>1303</v>
      </c>
      <c r="X1304">
        <v>0</v>
      </c>
      <c r="Y1304">
        <v>1302</v>
      </c>
      <c r="Z1304" t="s">
        <v>6966</v>
      </c>
      <c r="AA1304" t="s">
        <v>6966</v>
      </c>
      <c r="AB1304" t="s">
        <v>6966</v>
      </c>
      <c r="AC1304" t="s">
        <v>6966</v>
      </c>
      <c r="AD1304" t="s">
        <v>6966</v>
      </c>
      <c r="AE1304" t="s">
        <v>6966</v>
      </c>
      <c r="AF1304" t="s">
        <v>6966</v>
      </c>
      <c r="AG1304" t="s">
        <v>6966</v>
      </c>
      <c r="AH1304" t="s">
        <v>6966</v>
      </c>
      <c r="AI1304" t="s">
        <v>6966</v>
      </c>
      <c r="AJ1304" t="s">
        <v>6966</v>
      </c>
      <c r="AK1304" t="s">
        <v>6966</v>
      </c>
      <c r="AL1304" t="s">
        <v>6966</v>
      </c>
      <c r="AM1304" t="s">
        <v>6966</v>
      </c>
      <c r="AN1304" t="s">
        <v>6966</v>
      </c>
      <c r="AO1304" t="s">
        <v>6966</v>
      </c>
      <c r="AP1304" t="s">
        <v>6966</v>
      </c>
      <c r="AQ1304" t="s">
        <v>6966</v>
      </c>
      <c r="AR1304" t="s">
        <v>6966</v>
      </c>
      <c r="AS1304" t="s">
        <v>6966</v>
      </c>
      <c r="AT1304" t="s">
        <v>6966</v>
      </c>
      <c r="AU1304" t="s">
        <v>6966</v>
      </c>
      <c r="AV1304" t="s">
        <v>6966</v>
      </c>
      <c r="AW1304" t="s">
        <v>6966</v>
      </c>
      <c r="AX1304" t="s">
        <v>6966</v>
      </c>
      <c r="AY1304" t="s">
        <v>6966</v>
      </c>
      <c r="AZ1304">
        <v>3.0145000000000002E-2</v>
      </c>
      <c r="BA1304">
        <v>4.8999999999999998E-5</v>
      </c>
    </row>
    <row r="1305" spans="1:53" x14ac:dyDescent="0.25">
      <c r="A1305">
        <v>1303</v>
      </c>
      <c r="B1305" t="s">
        <v>7625</v>
      </c>
      <c r="C1305">
        <v>801024</v>
      </c>
      <c r="D1305" t="s">
        <v>8060</v>
      </c>
      <c r="E1305" t="s">
        <v>1342</v>
      </c>
      <c r="F1305">
        <v>1046072.875</v>
      </c>
      <c r="G1305">
        <v>5749.3691410000001</v>
      </c>
      <c r="H1305">
        <v>1305</v>
      </c>
      <c r="I1305">
        <v>1542</v>
      </c>
      <c r="J1305">
        <v>63224</v>
      </c>
      <c r="K1305" t="s">
        <v>8061</v>
      </c>
      <c r="L1305">
        <v>22</v>
      </c>
      <c r="M1305">
        <v>22</v>
      </c>
      <c r="N1305">
        <v>63224</v>
      </c>
      <c r="O1305">
        <v>1280</v>
      </c>
      <c r="P1305" t="s">
        <v>3213</v>
      </c>
      <c r="Q1305">
        <v>0.3</v>
      </c>
      <c r="R1305">
        <v>0</v>
      </c>
      <c r="S1305">
        <v>0.13</v>
      </c>
      <c r="T1305">
        <v>0</v>
      </c>
      <c r="U1305">
        <v>1046072.8176900001</v>
      </c>
      <c r="V1305">
        <v>5749.3697249999996</v>
      </c>
      <c r="W1305">
        <v>1304</v>
      </c>
      <c r="X1305">
        <v>0</v>
      </c>
      <c r="Y1305">
        <v>1303</v>
      </c>
      <c r="Z1305" t="s">
        <v>6966</v>
      </c>
      <c r="AA1305" t="s">
        <v>6966</v>
      </c>
      <c r="AB1305" t="s">
        <v>6966</v>
      </c>
      <c r="AC1305" t="s">
        <v>6966</v>
      </c>
      <c r="AD1305" t="s">
        <v>6966</v>
      </c>
      <c r="AE1305" t="s">
        <v>6966</v>
      </c>
      <c r="AF1305" t="s">
        <v>6966</v>
      </c>
      <c r="AG1305" t="s">
        <v>6966</v>
      </c>
      <c r="AH1305" t="s">
        <v>6966</v>
      </c>
      <c r="AI1305" t="s">
        <v>6966</v>
      </c>
      <c r="AJ1305" t="s">
        <v>6966</v>
      </c>
      <c r="AK1305" t="s">
        <v>6966</v>
      </c>
      <c r="AL1305" t="s">
        <v>6966</v>
      </c>
      <c r="AM1305" t="s">
        <v>6966</v>
      </c>
      <c r="AN1305" t="s">
        <v>6966</v>
      </c>
      <c r="AO1305" t="s">
        <v>6966</v>
      </c>
      <c r="AP1305" t="s">
        <v>6966</v>
      </c>
      <c r="AQ1305" t="s">
        <v>6966</v>
      </c>
      <c r="AR1305" t="s">
        <v>6966</v>
      </c>
      <c r="AS1305" t="s">
        <v>6966</v>
      </c>
      <c r="AT1305" t="s">
        <v>6966</v>
      </c>
      <c r="AU1305" t="s">
        <v>6966</v>
      </c>
      <c r="AV1305" t="s">
        <v>6966</v>
      </c>
      <c r="AW1305" t="s">
        <v>6966</v>
      </c>
      <c r="AX1305" t="s">
        <v>6966</v>
      </c>
      <c r="AY1305" t="s">
        <v>6966</v>
      </c>
      <c r="AZ1305">
        <v>5.7275E-2</v>
      </c>
      <c r="BA1305">
        <v>1.01E-4</v>
      </c>
    </row>
    <row r="1306" spans="1:53" x14ac:dyDescent="0.25">
      <c r="A1306">
        <v>1304</v>
      </c>
      <c r="B1306" t="s">
        <v>7625</v>
      </c>
      <c r="C1306">
        <v>801023</v>
      </c>
      <c r="D1306" t="s">
        <v>8062</v>
      </c>
      <c r="E1306" t="s">
        <v>1342</v>
      </c>
      <c r="F1306">
        <v>1601329.125</v>
      </c>
      <c r="G1306">
        <v>6146.2597660000001</v>
      </c>
      <c r="H1306">
        <v>1306</v>
      </c>
      <c r="I1306">
        <v>1543</v>
      </c>
      <c r="J1306">
        <v>63241</v>
      </c>
      <c r="K1306" t="s">
        <v>8062</v>
      </c>
      <c r="L1306">
        <v>22</v>
      </c>
      <c r="M1306">
        <v>22</v>
      </c>
      <c r="N1306">
        <v>63241</v>
      </c>
      <c r="O1306">
        <v>1281</v>
      </c>
      <c r="P1306" t="s">
        <v>3213</v>
      </c>
      <c r="Q1306">
        <v>1.3</v>
      </c>
      <c r="R1306">
        <v>2190.7199999999998</v>
      </c>
      <c r="S1306">
        <v>0.46</v>
      </c>
      <c r="T1306">
        <v>758</v>
      </c>
      <c r="U1306">
        <v>1601329.1070000001</v>
      </c>
      <c r="V1306">
        <v>6146.2607010000002</v>
      </c>
      <c r="W1306">
        <v>1305</v>
      </c>
      <c r="X1306">
        <v>0</v>
      </c>
      <c r="Y1306">
        <v>1304</v>
      </c>
      <c r="Z1306" t="s">
        <v>6966</v>
      </c>
      <c r="AA1306" t="s">
        <v>6966</v>
      </c>
      <c r="AB1306" t="s">
        <v>6966</v>
      </c>
      <c r="AC1306" t="s">
        <v>6966</v>
      </c>
      <c r="AD1306" t="s">
        <v>6966</v>
      </c>
      <c r="AE1306" t="s">
        <v>6966</v>
      </c>
      <c r="AF1306" t="s">
        <v>6966</v>
      </c>
      <c r="AG1306" t="s">
        <v>6966</v>
      </c>
      <c r="AH1306" t="s">
        <v>6966</v>
      </c>
      <c r="AI1306" t="s">
        <v>6966</v>
      </c>
      <c r="AJ1306" t="s">
        <v>6966</v>
      </c>
      <c r="AK1306" t="s">
        <v>6966</v>
      </c>
      <c r="AL1306" t="s">
        <v>6966</v>
      </c>
      <c r="AM1306" t="s">
        <v>6966</v>
      </c>
      <c r="AN1306" t="s">
        <v>6966</v>
      </c>
      <c r="AO1306" t="s">
        <v>6966</v>
      </c>
      <c r="AP1306" t="s">
        <v>6966</v>
      </c>
      <c r="AQ1306" t="s">
        <v>6966</v>
      </c>
      <c r="AR1306" t="s">
        <v>6966</v>
      </c>
      <c r="AS1306" t="s">
        <v>6966</v>
      </c>
      <c r="AT1306" t="s">
        <v>6966</v>
      </c>
      <c r="AU1306" t="s">
        <v>6966</v>
      </c>
      <c r="AV1306" t="s">
        <v>6966</v>
      </c>
      <c r="AW1306" t="s">
        <v>6966</v>
      </c>
      <c r="AX1306" t="s">
        <v>6966</v>
      </c>
      <c r="AY1306" t="s">
        <v>6966</v>
      </c>
      <c r="AZ1306">
        <v>6.2587000000000004E-2</v>
      </c>
      <c r="BA1306">
        <v>1.55E-4</v>
      </c>
    </row>
    <row r="1307" spans="1:53" x14ac:dyDescent="0.25">
      <c r="A1307">
        <v>1305</v>
      </c>
      <c r="B1307" t="s">
        <v>7625</v>
      </c>
      <c r="C1307">
        <v>801025</v>
      </c>
      <c r="D1307" t="s">
        <v>1350</v>
      </c>
      <c r="E1307" t="s">
        <v>1342</v>
      </c>
      <c r="F1307">
        <v>1772037.375</v>
      </c>
      <c r="G1307">
        <v>6102.5913090000004</v>
      </c>
      <c r="H1307">
        <v>1307</v>
      </c>
      <c r="I1307">
        <v>1544</v>
      </c>
      <c r="J1307">
        <v>63137</v>
      </c>
      <c r="K1307" t="s">
        <v>8063</v>
      </c>
      <c r="L1307">
        <v>22</v>
      </c>
      <c r="M1307">
        <v>22</v>
      </c>
      <c r="N1307">
        <v>63137</v>
      </c>
      <c r="O1307">
        <v>1282</v>
      </c>
      <c r="P1307" t="s">
        <v>3213</v>
      </c>
      <c r="Q1307">
        <v>0.7</v>
      </c>
      <c r="R1307">
        <v>14</v>
      </c>
      <c r="S1307">
        <v>0.42</v>
      </c>
      <c r="T1307">
        <v>9</v>
      </c>
      <c r="U1307">
        <v>1772037.4355899999</v>
      </c>
      <c r="V1307">
        <v>6102.5918369999999</v>
      </c>
      <c r="W1307">
        <v>1306</v>
      </c>
      <c r="X1307">
        <v>0</v>
      </c>
      <c r="Y1307">
        <v>1305</v>
      </c>
      <c r="Z1307" t="s">
        <v>6966</v>
      </c>
      <c r="AA1307" t="s">
        <v>6966</v>
      </c>
      <c r="AB1307" t="s">
        <v>6966</v>
      </c>
      <c r="AC1307" t="s">
        <v>6966</v>
      </c>
      <c r="AD1307" t="s">
        <v>6966</v>
      </c>
      <c r="AE1307" t="s">
        <v>6966</v>
      </c>
      <c r="AF1307" t="s">
        <v>6966</v>
      </c>
      <c r="AG1307" t="s">
        <v>6966</v>
      </c>
      <c r="AH1307" t="s">
        <v>6966</v>
      </c>
      <c r="AI1307" t="s">
        <v>6966</v>
      </c>
      <c r="AJ1307" t="s">
        <v>6966</v>
      </c>
      <c r="AK1307" t="s">
        <v>6966</v>
      </c>
      <c r="AL1307" t="s">
        <v>6966</v>
      </c>
      <c r="AM1307" t="s">
        <v>6966</v>
      </c>
      <c r="AN1307" t="s">
        <v>6966</v>
      </c>
      <c r="AO1307" t="s">
        <v>6966</v>
      </c>
      <c r="AP1307" t="s">
        <v>6966</v>
      </c>
      <c r="AQ1307" t="s">
        <v>6966</v>
      </c>
      <c r="AR1307" t="s">
        <v>6966</v>
      </c>
      <c r="AS1307" t="s">
        <v>6966</v>
      </c>
      <c r="AT1307" t="s">
        <v>6966</v>
      </c>
      <c r="AU1307" t="s">
        <v>6966</v>
      </c>
      <c r="AV1307" t="s">
        <v>6966</v>
      </c>
      <c r="AW1307" t="s">
        <v>6966</v>
      </c>
      <c r="AX1307" t="s">
        <v>6966</v>
      </c>
      <c r="AY1307" t="s">
        <v>6966</v>
      </c>
      <c r="AZ1307">
        <v>6.0752E-2</v>
      </c>
      <c r="BA1307">
        <v>1.7200000000000001E-4</v>
      </c>
    </row>
    <row r="1308" spans="1:53" x14ac:dyDescent="0.25">
      <c r="A1308">
        <v>1306</v>
      </c>
      <c r="B1308" t="s">
        <v>7625</v>
      </c>
      <c r="C1308">
        <v>801070</v>
      </c>
      <c r="D1308" t="s">
        <v>1391</v>
      </c>
      <c r="E1308" t="s">
        <v>1342</v>
      </c>
      <c r="F1308">
        <v>2818344.5</v>
      </c>
      <c r="G1308">
        <v>10764.798828000001</v>
      </c>
      <c r="H1308">
        <v>1308</v>
      </c>
      <c r="I1308">
        <v>1545</v>
      </c>
      <c r="J1308">
        <v>63287</v>
      </c>
      <c r="K1308" t="s">
        <v>8064</v>
      </c>
      <c r="L1308">
        <v>22</v>
      </c>
      <c r="M1308">
        <v>22</v>
      </c>
      <c r="N1308">
        <v>63287</v>
      </c>
      <c r="O1308">
        <v>1283</v>
      </c>
      <c r="P1308" t="s">
        <v>3213</v>
      </c>
      <c r="Q1308">
        <v>0.7</v>
      </c>
      <c r="R1308">
        <v>0</v>
      </c>
      <c r="S1308">
        <v>0.25</v>
      </c>
      <c r="T1308">
        <v>0</v>
      </c>
      <c r="U1308">
        <v>2818344.3942499999</v>
      </c>
      <c r="V1308">
        <v>10764.798118999999</v>
      </c>
      <c r="W1308">
        <v>1307</v>
      </c>
      <c r="X1308">
        <v>0</v>
      </c>
      <c r="Y1308">
        <v>1306</v>
      </c>
      <c r="Z1308" t="s">
        <v>6966</v>
      </c>
      <c r="AA1308" t="s">
        <v>6966</v>
      </c>
      <c r="AB1308" t="s">
        <v>6966</v>
      </c>
      <c r="AC1308" t="s">
        <v>6966</v>
      </c>
      <c r="AD1308" t="s">
        <v>6966</v>
      </c>
      <c r="AE1308" t="s">
        <v>6966</v>
      </c>
      <c r="AF1308" t="s">
        <v>6966</v>
      </c>
      <c r="AG1308" t="s">
        <v>6966</v>
      </c>
      <c r="AH1308" t="s">
        <v>6966</v>
      </c>
      <c r="AI1308" t="s">
        <v>6966</v>
      </c>
      <c r="AJ1308" t="s">
        <v>6966</v>
      </c>
      <c r="AK1308" t="s">
        <v>6966</v>
      </c>
      <c r="AL1308" t="s">
        <v>6966</v>
      </c>
      <c r="AM1308" t="s">
        <v>6966</v>
      </c>
      <c r="AN1308" t="s">
        <v>6966</v>
      </c>
      <c r="AO1308" t="s">
        <v>6966</v>
      </c>
      <c r="AP1308" t="s">
        <v>6966</v>
      </c>
      <c r="AQ1308" t="s">
        <v>6966</v>
      </c>
      <c r="AR1308" t="s">
        <v>6966</v>
      </c>
      <c r="AS1308" t="s">
        <v>6966</v>
      </c>
      <c r="AT1308" t="s">
        <v>6966</v>
      </c>
      <c r="AU1308" t="s">
        <v>6966</v>
      </c>
      <c r="AV1308" t="s">
        <v>6966</v>
      </c>
      <c r="AW1308" t="s">
        <v>6966</v>
      </c>
      <c r="AX1308" t="s">
        <v>6966</v>
      </c>
      <c r="AY1308" t="s">
        <v>6966</v>
      </c>
      <c r="AZ1308">
        <v>0.10657899999999999</v>
      </c>
      <c r="BA1308">
        <v>2.7300000000000002E-4</v>
      </c>
    </row>
    <row r="1309" spans="1:53" x14ac:dyDescent="0.25">
      <c r="A1309">
        <v>1307</v>
      </c>
      <c r="B1309" t="s">
        <v>7625</v>
      </c>
      <c r="C1309">
        <v>802059</v>
      </c>
      <c r="D1309" t="s">
        <v>8065</v>
      </c>
      <c r="E1309" t="s">
        <v>3039</v>
      </c>
      <c r="F1309">
        <v>818012.0625</v>
      </c>
      <c r="G1309">
        <v>4272.3540039999998</v>
      </c>
      <c r="H1309">
        <v>1309</v>
      </c>
      <c r="I1309">
        <v>1546</v>
      </c>
      <c r="J1309">
        <v>61484</v>
      </c>
      <c r="K1309" t="s">
        <v>2563</v>
      </c>
      <c r="L1309">
        <v>20</v>
      </c>
      <c r="M1309">
        <v>20</v>
      </c>
      <c r="N1309">
        <v>61484</v>
      </c>
      <c r="O1309">
        <v>1284</v>
      </c>
      <c r="P1309" t="s">
        <v>3213</v>
      </c>
      <c r="Q1309">
        <v>3.1</v>
      </c>
      <c r="R1309">
        <v>0</v>
      </c>
      <c r="S1309">
        <v>0.66</v>
      </c>
      <c r="T1309">
        <v>0</v>
      </c>
      <c r="U1309">
        <v>818012.043374</v>
      </c>
      <c r="V1309">
        <v>4272.353333</v>
      </c>
      <c r="W1309">
        <v>1308</v>
      </c>
      <c r="X1309">
        <v>0</v>
      </c>
      <c r="Y1309">
        <v>1307</v>
      </c>
      <c r="Z1309" t="s">
        <v>6966</v>
      </c>
      <c r="AA1309" t="s">
        <v>6966</v>
      </c>
      <c r="AB1309" t="s">
        <v>6966</v>
      </c>
      <c r="AC1309" t="s">
        <v>6966</v>
      </c>
      <c r="AD1309" t="s">
        <v>6966</v>
      </c>
      <c r="AE1309" t="s">
        <v>6966</v>
      </c>
      <c r="AF1309" t="s">
        <v>6966</v>
      </c>
      <c r="AG1309" t="s">
        <v>6966</v>
      </c>
      <c r="AH1309" t="s">
        <v>6966</v>
      </c>
      <c r="AI1309" t="s">
        <v>6966</v>
      </c>
      <c r="AJ1309" t="s">
        <v>6966</v>
      </c>
      <c r="AK1309" t="s">
        <v>6966</v>
      </c>
      <c r="AL1309" t="s">
        <v>6966</v>
      </c>
      <c r="AM1309" t="s">
        <v>6966</v>
      </c>
      <c r="AN1309" t="s">
        <v>6966</v>
      </c>
      <c r="AO1309" t="s">
        <v>6966</v>
      </c>
      <c r="AP1309" t="s">
        <v>6966</v>
      </c>
      <c r="AQ1309" t="s">
        <v>6966</v>
      </c>
      <c r="AR1309" t="s">
        <v>6966</v>
      </c>
      <c r="AS1309" t="s">
        <v>6966</v>
      </c>
      <c r="AT1309" t="s">
        <v>6966</v>
      </c>
      <c r="AU1309" t="s">
        <v>6966</v>
      </c>
      <c r="AV1309" t="s">
        <v>6966</v>
      </c>
      <c r="AW1309" t="s">
        <v>6966</v>
      </c>
      <c r="AX1309" t="s">
        <v>6966</v>
      </c>
      <c r="AY1309" t="s">
        <v>6966</v>
      </c>
      <c r="AZ1309">
        <v>4.2472999999999997E-2</v>
      </c>
      <c r="BA1309">
        <v>7.8999999999999996E-5</v>
      </c>
    </row>
    <row r="1310" spans="1:53" x14ac:dyDescent="0.25">
      <c r="A1310">
        <v>1308</v>
      </c>
      <c r="B1310" t="s">
        <v>7625</v>
      </c>
      <c r="C1310">
        <v>402004</v>
      </c>
      <c r="D1310" t="s">
        <v>1164</v>
      </c>
      <c r="E1310" t="s">
        <v>7999</v>
      </c>
      <c r="F1310">
        <v>6295879</v>
      </c>
      <c r="G1310">
        <v>13133.297852</v>
      </c>
      <c r="H1310">
        <v>1310</v>
      </c>
      <c r="I1310">
        <v>1548</v>
      </c>
      <c r="J1310">
        <v>55114</v>
      </c>
      <c r="K1310" t="s">
        <v>8066</v>
      </c>
      <c r="L1310">
        <v>19</v>
      </c>
      <c r="M1310">
        <v>19</v>
      </c>
      <c r="N1310">
        <v>55114</v>
      </c>
      <c r="O1310">
        <v>1285</v>
      </c>
      <c r="P1310" t="s">
        <v>3214</v>
      </c>
      <c r="Q1310">
        <v>2.6</v>
      </c>
      <c r="R1310">
        <v>109.11</v>
      </c>
      <c r="S1310">
        <v>0.51</v>
      </c>
      <c r="T1310">
        <v>21</v>
      </c>
      <c r="U1310">
        <v>6295879.1178400004</v>
      </c>
      <c r="V1310">
        <v>13133.296829000001</v>
      </c>
      <c r="W1310">
        <v>1309</v>
      </c>
      <c r="X1310">
        <v>0</v>
      </c>
      <c r="Y1310">
        <v>1308</v>
      </c>
      <c r="Z1310" t="s">
        <v>6966</v>
      </c>
      <c r="AA1310" t="s">
        <v>6966</v>
      </c>
      <c r="AB1310" t="s">
        <v>6966</v>
      </c>
      <c r="AC1310" t="s">
        <v>6966</v>
      </c>
      <c r="AD1310" t="s">
        <v>6966</v>
      </c>
      <c r="AE1310" t="s">
        <v>6966</v>
      </c>
      <c r="AF1310" t="s">
        <v>6966</v>
      </c>
      <c r="AG1310" t="s">
        <v>6966</v>
      </c>
      <c r="AH1310" t="s">
        <v>6966</v>
      </c>
      <c r="AI1310" t="s">
        <v>6966</v>
      </c>
      <c r="AJ1310" t="s">
        <v>6966</v>
      </c>
      <c r="AK1310" t="s">
        <v>6966</v>
      </c>
      <c r="AL1310" t="s">
        <v>6966</v>
      </c>
      <c r="AM1310" t="s">
        <v>6966</v>
      </c>
      <c r="AN1310" t="s">
        <v>6966</v>
      </c>
      <c r="AO1310" t="s">
        <v>6966</v>
      </c>
      <c r="AP1310" t="s">
        <v>6966</v>
      </c>
      <c r="AQ1310" t="s">
        <v>6966</v>
      </c>
      <c r="AR1310" t="s">
        <v>6966</v>
      </c>
      <c r="AS1310" t="s">
        <v>6966</v>
      </c>
      <c r="AT1310" t="s">
        <v>6966</v>
      </c>
      <c r="AU1310" t="s">
        <v>6966</v>
      </c>
      <c r="AV1310" t="s">
        <v>6966</v>
      </c>
      <c r="AW1310" t="s">
        <v>6966</v>
      </c>
      <c r="AX1310" t="s">
        <v>6966</v>
      </c>
      <c r="AY1310" t="s">
        <v>6966</v>
      </c>
      <c r="AZ1310">
        <v>0.13003500000000001</v>
      </c>
      <c r="BA1310">
        <v>6.11E-4</v>
      </c>
    </row>
    <row r="1311" spans="1:53" x14ac:dyDescent="0.25">
      <c r="A1311">
        <v>1309</v>
      </c>
      <c r="B1311" t="s">
        <v>7625</v>
      </c>
      <c r="C1311">
        <v>402005</v>
      </c>
      <c r="D1311" t="s">
        <v>1165</v>
      </c>
      <c r="E1311" t="s">
        <v>7999</v>
      </c>
      <c r="F1311">
        <v>0</v>
      </c>
      <c r="G1311">
        <v>32123.029297000001</v>
      </c>
      <c r="H1311">
        <v>1311</v>
      </c>
      <c r="I1311">
        <v>1549</v>
      </c>
      <c r="J1311">
        <v>55117</v>
      </c>
      <c r="K1311" t="s">
        <v>8067</v>
      </c>
      <c r="L1311">
        <v>19</v>
      </c>
      <c r="M1311">
        <v>19</v>
      </c>
      <c r="N1311">
        <v>55117</v>
      </c>
      <c r="O1311">
        <v>1286</v>
      </c>
      <c r="P1311" t="s">
        <v>3214</v>
      </c>
      <c r="Q1311">
        <v>0.5</v>
      </c>
      <c r="R1311">
        <v>52.5</v>
      </c>
      <c r="S1311">
        <v>0.11</v>
      </c>
      <c r="T1311">
        <v>11</v>
      </c>
      <c r="U1311">
        <v>0</v>
      </c>
      <c r="V1311">
        <v>32123.028866000001</v>
      </c>
      <c r="W1311">
        <v>1310</v>
      </c>
      <c r="X1311">
        <v>0</v>
      </c>
      <c r="Y1311">
        <v>1309</v>
      </c>
      <c r="Z1311" t="s">
        <v>6966</v>
      </c>
      <c r="AA1311" t="s">
        <v>6966</v>
      </c>
      <c r="AB1311" t="s">
        <v>6966</v>
      </c>
      <c r="AC1311" t="s">
        <v>6966</v>
      </c>
      <c r="AD1311" t="s">
        <v>6966</v>
      </c>
      <c r="AE1311" t="s">
        <v>6966</v>
      </c>
      <c r="AF1311" t="s">
        <v>6966</v>
      </c>
      <c r="AG1311" t="s">
        <v>6966</v>
      </c>
      <c r="AH1311" t="s">
        <v>6966</v>
      </c>
      <c r="AI1311" t="s">
        <v>6966</v>
      </c>
      <c r="AJ1311" t="s">
        <v>6966</v>
      </c>
      <c r="AK1311" t="s">
        <v>6966</v>
      </c>
      <c r="AL1311" t="s">
        <v>6966</v>
      </c>
      <c r="AM1311" t="s">
        <v>6966</v>
      </c>
      <c r="AN1311" t="s">
        <v>6966</v>
      </c>
      <c r="AO1311" t="s">
        <v>6966</v>
      </c>
      <c r="AP1311" t="s">
        <v>6966</v>
      </c>
      <c r="AQ1311" t="s">
        <v>6966</v>
      </c>
      <c r="AR1311" t="s">
        <v>6966</v>
      </c>
      <c r="AS1311" t="s">
        <v>6966</v>
      </c>
      <c r="AT1311" t="s">
        <v>6966</v>
      </c>
      <c r="AU1311" t="s">
        <v>6966</v>
      </c>
      <c r="AV1311" t="s">
        <v>6966</v>
      </c>
      <c r="AW1311" t="s">
        <v>6966</v>
      </c>
      <c r="AX1311" t="s">
        <v>6966</v>
      </c>
      <c r="AY1311" t="s">
        <v>6966</v>
      </c>
      <c r="AZ1311">
        <v>0.31807600000000003</v>
      </c>
      <c r="BA1311">
        <v>4.1679999999999998E-3</v>
      </c>
    </row>
    <row r="1312" spans="1:53" x14ac:dyDescent="0.25">
      <c r="A1312">
        <v>1310</v>
      </c>
      <c r="B1312" t="s">
        <v>7625</v>
      </c>
      <c r="C1312">
        <v>802077</v>
      </c>
      <c r="D1312" t="s">
        <v>1209</v>
      </c>
      <c r="E1312" t="s">
        <v>3039</v>
      </c>
      <c r="F1312">
        <v>2182459.75</v>
      </c>
      <c r="G1312">
        <v>9262.9931639999995</v>
      </c>
      <c r="H1312">
        <v>1312</v>
      </c>
      <c r="I1312">
        <v>1550</v>
      </c>
      <c r="J1312">
        <v>61359</v>
      </c>
      <c r="K1312" t="s">
        <v>1209</v>
      </c>
      <c r="L1312">
        <v>20</v>
      </c>
      <c r="M1312">
        <v>20</v>
      </c>
      <c r="N1312">
        <v>61359</v>
      </c>
      <c r="O1312">
        <v>1287</v>
      </c>
      <c r="P1312" t="s">
        <v>3213</v>
      </c>
      <c r="Q1312">
        <v>2.7</v>
      </c>
      <c r="R1312">
        <v>25.08</v>
      </c>
      <c r="S1312">
        <v>0.48</v>
      </c>
      <c r="T1312">
        <v>4</v>
      </c>
      <c r="U1312">
        <v>2182459.8923999998</v>
      </c>
      <c r="V1312">
        <v>9262.9922850000003</v>
      </c>
      <c r="W1312">
        <v>1311</v>
      </c>
      <c r="X1312">
        <v>0</v>
      </c>
      <c r="Y1312">
        <v>1310</v>
      </c>
      <c r="Z1312" t="s">
        <v>6966</v>
      </c>
      <c r="AA1312" t="s">
        <v>6966</v>
      </c>
      <c r="AB1312" t="s">
        <v>6966</v>
      </c>
      <c r="AC1312" t="s">
        <v>6966</v>
      </c>
      <c r="AD1312" t="s">
        <v>6966</v>
      </c>
      <c r="AE1312" t="s">
        <v>6966</v>
      </c>
      <c r="AF1312" t="s">
        <v>6966</v>
      </c>
      <c r="AG1312" t="s">
        <v>6966</v>
      </c>
      <c r="AH1312" t="s">
        <v>6966</v>
      </c>
      <c r="AI1312" t="s">
        <v>6966</v>
      </c>
      <c r="AJ1312" t="s">
        <v>6966</v>
      </c>
      <c r="AK1312" t="s">
        <v>6966</v>
      </c>
      <c r="AL1312" t="s">
        <v>6966</v>
      </c>
      <c r="AM1312" t="s">
        <v>6966</v>
      </c>
      <c r="AN1312" t="s">
        <v>6966</v>
      </c>
      <c r="AO1312" t="s">
        <v>6966</v>
      </c>
      <c r="AP1312" t="s">
        <v>6966</v>
      </c>
      <c r="AQ1312" t="s">
        <v>6966</v>
      </c>
      <c r="AR1312" t="s">
        <v>6966</v>
      </c>
      <c r="AS1312" t="s">
        <v>6966</v>
      </c>
      <c r="AT1312" t="s">
        <v>6966</v>
      </c>
      <c r="AU1312" t="s">
        <v>6966</v>
      </c>
      <c r="AV1312" t="s">
        <v>6966</v>
      </c>
      <c r="AW1312" t="s">
        <v>6966</v>
      </c>
      <c r="AX1312" t="s">
        <v>6966</v>
      </c>
      <c r="AY1312" t="s">
        <v>6966</v>
      </c>
      <c r="AZ1312">
        <v>9.2798000000000005E-2</v>
      </c>
      <c r="BA1312">
        <v>2.12E-4</v>
      </c>
    </row>
    <row r="1313" spans="1:53" x14ac:dyDescent="0.25">
      <c r="A1313">
        <v>1311</v>
      </c>
      <c r="B1313" t="s">
        <v>7625</v>
      </c>
      <c r="C1313">
        <v>802005</v>
      </c>
      <c r="D1313" t="s">
        <v>1261</v>
      </c>
      <c r="E1313" t="s">
        <v>3039</v>
      </c>
      <c r="F1313">
        <v>9694295</v>
      </c>
      <c r="G1313">
        <v>19041.537109000001</v>
      </c>
      <c r="H1313">
        <v>1313</v>
      </c>
      <c r="I1313">
        <v>1551</v>
      </c>
      <c r="J1313">
        <v>61489</v>
      </c>
      <c r="K1313" t="s">
        <v>2566</v>
      </c>
      <c r="L1313">
        <v>20</v>
      </c>
      <c r="M1313">
        <v>20</v>
      </c>
      <c r="N1313">
        <v>61489</v>
      </c>
      <c r="O1313">
        <v>1288</v>
      </c>
      <c r="P1313" t="s">
        <v>3213</v>
      </c>
      <c r="Q1313">
        <v>4.9000000000000004</v>
      </c>
      <c r="R1313">
        <v>27.59</v>
      </c>
      <c r="S1313">
        <v>1.1599999999999999</v>
      </c>
      <c r="T1313">
        <v>7</v>
      </c>
      <c r="U1313">
        <v>9694294.8774999995</v>
      </c>
      <c r="V1313">
        <v>19041.535833999998</v>
      </c>
      <c r="W1313">
        <v>1312</v>
      </c>
      <c r="X1313">
        <v>1</v>
      </c>
      <c r="Y1313">
        <v>1311</v>
      </c>
      <c r="Z1313">
        <v>62332</v>
      </c>
      <c r="AA1313" s="76">
        <v>45792</v>
      </c>
      <c r="AB1313">
        <v>2025</v>
      </c>
      <c r="AC1313" t="s">
        <v>7215</v>
      </c>
      <c r="AD1313">
        <v>15</v>
      </c>
      <c r="AE1313" t="s">
        <v>7261</v>
      </c>
      <c r="AF1313" t="s">
        <v>3213</v>
      </c>
      <c r="AG1313" t="s">
        <v>3039</v>
      </c>
      <c r="AH1313" t="s">
        <v>1261</v>
      </c>
      <c r="AI1313" t="s">
        <v>1261</v>
      </c>
      <c r="AJ1313" t="s">
        <v>6966</v>
      </c>
      <c r="AK1313">
        <v>33.498980000000003</v>
      </c>
      <c r="AL1313">
        <v>35.427680000000002</v>
      </c>
      <c r="AM1313" t="s">
        <v>7013</v>
      </c>
      <c r="AN1313" t="s">
        <v>6995</v>
      </c>
      <c r="AO1313" t="s">
        <v>7008</v>
      </c>
      <c r="AP1313" t="s">
        <v>7262</v>
      </c>
      <c r="AQ1313" t="s">
        <v>6998</v>
      </c>
      <c r="AR1313" t="s">
        <v>6999</v>
      </c>
      <c r="AS1313" t="s">
        <v>7000</v>
      </c>
      <c r="AT1313">
        <v>0</v>
      </c>
      <c r="AU1313">
        <v>0</v>
      </c>
      <c r="AV1313" t="s">
        <v>7260</v>
      </c>
      <c r="AW1313" t="s">
        <v>7018</v>
      </c>
      <c r="AX1313" t="s">
        <v>6966</v>
      </c>
      <c r="AY1313" t="s">
        <v>7003</v>
      </c>
      <c r="AZ1313">
        <v>0.19061500000000001</v>
      </c>
      <c r="BA1313">
        <v>9.3999999999999997E-4</v>
      </c>
    </row>
    <row r="1314" spans="1:53" x14ac:dyDescent="0.25">
      <c r="A1314">
        <v>1312</v>
      </c>
      <c r="B1314" t="s">
        <v>7625</v>
      </c>
      <c r="C1314">
        <v>802031</v>
      </c>
      <c r="D1314" t="s">
        <v>1263</v>
      </c>
      <c r="E1314" t="s">
        <v>3039</v>
      </c>
      <c r="F1314">
        <v>3490268.25</v>
      </c>
      <c r="G1314">
        <v>9991.6435550000006</v>
      </c>
      <c r="H1314">
        <v>1314</v>
      </c>
      <c r="I1314">
        <v>1552</v>
      </c>
      <c r="J1314">
        <v>61493</v>
      </c>
      <c r="K1314" t="s">
        <v>2025</v>
      </c>
      <c r="L1314">
        <v>20</v>
      </c>
      <c r="M1314">
        <v>20</v>
      </c>
      <c r="N1314">
        <v>61493</v>
      </c>
      <c r="O1314">
        <v>1289</v>
      </c>
      <c r="P1314" t="s">
        <v>3213</v>
      </c>
      <c r="Q1314">
        <v>7.9</v>
      </c>
      <c r="R1314">
        <v>41.56</v>
      </c>
      <c r="S1314">
        <v>2.29</v>
      </c>
      <c r="T1314">
        <v>12</v>
      </c>
      <c r="U1314">
        <v>3490268.2387399999</v>
      </c>
      <c r="V1314">
        <v>9991.6427590000003</v>
      </c>
      <c r="W1314">
        <v>1313</v>
      </c>
      <c r="X1314">
        <v>0</v>
      </c>
      <c r="Y1314">
        <v>1312</v>
      </c>
      <c r="Z1314" t="s">
        <v>6966</v>
      </c>
      <c r="AA1314" t="s">
        <v>6966</v>
      </c>
      <c r="AB1314" t="s">
        <v>6966</v>
      </c>
      <c r="AC1314" t="s">
        <v>6966</v>
      </c>
      <c r="AD1314" t="s">
        <v>6966</v>
      </c>
      <c r="AE1314" t="s">
        <v>6966</v>
      </c>
      <c r="AF1314" t="s">
        <v>6966</v>
      </c>
      <c r="AG1314" t="s">
        <v>6966</v>
      </c>
      <c r="AH1314" t="s">
        <v>6966</v>
      </c>
      <c r="AI1314" t="s">
        <v>6966</v>
      </c>
      <c r="AJ1314" t="s">
        <v>6966</v>
      </c>
      <c r="AK1314" t="s">
        <v>6966</v>
      </c>
      <c r="AL1314" t="s">
        <v>6966</v>
      </c>
      <c r="AM1314" t="s">
        <v>6966</v>
      </c>
      <c r="AN1314" t="s">
        <v>6966</v>
      </c>
      <c r="AO1314" t="s">
        <v>6966</v>
      </c>
      <c r="AP1314" t="s">
        <v>6966</v>
      </c>
      <c r="AQ1314" t="s">
        <v>6966</v>
      </c>
      <c r="AR1314" t="s">
        <v>6966</v>
      </c>
      <c r="AS1314" t="s">
        <v>6966</v>
      </c>
      <c r="AT1314" t="s">
        <v>6966</v>
      </c>
      <c r="AU1314" t="s">
        <v>6966</v>
      </c>
      <c r="AV1314" t="s">
        <v>6966</v>
      </c>
      <c r="AW1314" t="s">
        <v>6966</v>
      </c>
      <c r="AX1314" t="s">
        <v>6966</v>
      </c>
      <c r="AY1314" t="s">
        <v>6966</v>
      </c>
      <c r="AZ1314">
        <v>9.9320000000000006E-2</v>
      </c>
      <c r="BA1314">
        <v>3.39E-4</v>
      </c>
    </row>
    <row r="1315" spans="1:53" x14ac:dyDescent="0.25">
      <c r="A1315">
        <v>1313</v>
      </c>
      <c r="B1315" t="s">
        <v>7625</v>
      </c>
      <c r="C1315">
        <v>802072</v>
      </c>
      <c r="D1315" t="s">
        <v>1266</v>
      </c>
      <c r="E1315" t="s">
        <v>3039</v>
      </c>
      <c r="F1315">
        <v>777122.9375</v>
      </c>
      <c r="G1315">
        <v>6322.2202150000003</v>
      </c>
      <c r="H1315">
        <v>1315</v>
      </c>
      <c r="I1315">
        <v>1553</v>
      </c>
      <c r="J1315">
        <v>61497</v>
      </c>
      <c r="K1315" t="s">
        <v>8068</v>
      </c>
      <c r="L1315">
        <v>20</v>
      </c>
      <c r="M1315">
        <v>20</v>
      </c>
      <c r="N1315">
        <v>61497</v>
      </c>
      <c r="O1315">
        <v>1290</v>
      </c>
      <c r="P1315" t="s">
        <v>3213</v>
      </c>
      <c r="Q1315">
        <v>0</v>
      </c>
      <c r="R1315">
        <v>0</v>
      </c>
      <c r="S1315">
        <v>0.05</v>
      </c>
      <c r="T1315">
        <v>0</v>
      </c>
      <c r="U1315">
        <v>777122.91506499995</v>
      </c>
      <c r="V1315">
        <v>6322.2200570000005</v>
      </c>
      <c r="W1315">
        <v>1314</v>
      </c>
      <c r="X1315">
        <v>0</v>
      </c>
      <c r="Y1315">
        <v>1313</v>
      </c>
      <c r="Z1315" t="s">
        <v>6966</v>
      </c>
      <c r="AA1315" t="s">
        <v>6966</v>
      </c>
      <c r="AB1315" t="s">
        <v>6966</v>
      </c>
      <c r="AC1315" t="s">
        <v>6966</v>
      </c>
      <c r="AD1315" t="s">
        <v>6966</v>
      </c>
      <c r="AE1315" t="s">
        <v>6966</v>
      </c>
      <c r="AF1315" t="s">
        <v>6966</v>
      </c>
      <c r="AG1315" t="s">
        <v>6966</v>
      </c>
      <c r="AH1315" t="s">
        <v>6966</v>
      </c>
      <c r="AI1315" t="s">
        <v>6966</v>
      </c>
      <c r="AJ1315" t="s">
        <v>6966</v>
      </c>
      <c r="AK1315" t="s">
        <v>6966</v>
      </c>
      <c r="AL1315" t="s">
        <v>6966</v>
      </c>
      <c r="AM1315" t="s">
        <v>6966</v>
      </c>
      <c r="AN1315" t="s">
        <v>6966</v>
      </c>
      <c r="AO1315" t="s">
        <v>6966</v>
      </c>
      <c r="AP1315" t="s">
        <v>6966</v>
      </c>
      <c r="AQ1315" t="s">
        <v>6966</v>
      </c>
      <c r="AR1315" t="s">
        <v>6966</v>
      </c>
      <c r="AS1315" t="s">
        <v>6966</v>
      </c>
      <c r="AT1315" t="s">
        <v>6966</v>
      </c>
      <c r="AU1315" t="s">
        <v>6966</v>
      </c>
      <c r="AV1315" t="s">
        <v>6966</v>
      </c>
      <c r="AW1315" t="s">
        <v>6966</v>
      </c>
      <c r="AX1315" t="s">
        <v>6966</v>
      </c>
      <c r="AY1315" t="s">
        <v>6966</v>
      </c>
      <c r="AZ1315">
        <v>6.4566999999999999E-2</v>
      </c>
      <c r="BA1315">
        <v>7.4999999999999993E-5</v>
      </c>
    </row>
    <row r="1316" spans="1:53" x14ac:dyDescent="0.25">
      <c r="A1316">
        <v>1314</v>
      </c>
      <c r="B1316" t="s">
        <v>7625</v>
      </c>
      <c r="C1316">
        <v>801068</v>
      </c>
      <c r="D1316" t="s">
        <v>1355</v>
      </c>
      <c r="E1316" t="s">
        <v>1342</v>
      </c>
      <c r="F1316">
        <v>1563727</v>
      </c>
      <c r="G1316">
        <v>7764.3320309999999</v>
      </c>
      <c r="H1316">
        <v>1316</v>
      </c>
      <c r="I1316">
        <v>1554</v>
      </c>
      <c r="J1316">
        <v>63154</v>
      </c>
      <c r="K1316" t="s">
        <v>8069</v>
      </c>
      <c r="L1316">
        <v>22</v>
      </c>
      <c r="M1316">
        <v>22</v>
      </c>
      <c r="N1316">
        <v>63154</v>
      </c>
      <c r="O1316">
        <v>1291</v>
      </c>
      <c r="P1316" t="s">
        <v>3213</v>
      </c>
      <c r="Q1316">
        <v>0</v>
      </c>
      <c r="R1316">
        <v>1.35</v>
      </c>
      <c r="S1316">
        <v>0.04</v>
      </c>
      <c r="T1316">
        <v>3</v>
      </c>
      <c r="U1316">
        <v>1563726.9521600001</v>
      </c>
      <c r="V1316">
        <v>7764.3318319999998</v>
      </c>
      <c r="W1316">
        <v>1315</v>
      </c>
      <c r="X1316">
        <v>0</v>
      </c>
      <c r="Y1316">
        <v>1314</v>
      </c>
      <c r="Z1316" t="s">
        <v>6966</v>
      </c>
      <c r="AA1316" t="s">
        <v>6966</v>
      </c>
      <c r="AB1316" t="s">
        <v>6966</v>
      </c>
      <c r="AC1316" t="s">
        <v>6966</v>
      </c>
      <c r="AD1316" t="s">
        <v>6966</v>
      </c>
      <c r="AE1316" t="s">
        <v>6966</v>
      </c>
      <c r="AF1316" t="s">
        <v>6966</v>
      </c>
      <c r="AG1316" t="s">
        <v>6966</v>
      </c>
      <c r="AH1316" t="s">
        <v>6966</v>
      </c>
      <c r="AI1316" t="s">
        <v>6966</v>
      </c>
      <c r="AJ1316" t="s">
        <v>6966</v>
      </c>
      <c r="AK1316" t="s">
        <v>6966</v>
      </c>
      <c r="AL1316" t="s">
        <v>6966</v>
      </c>
      <c r="AM1316" t="s">
        <v>6966</v>
      </c>
      <c r="AN1316" t="s">
        <v>6966</v>
      </c>
      <c r="AO1316" t="s">
        <v>6966</v>
      </c>
      <c r="AP1316" t="s">
        <v>6966</v>
      </c>
      <c r="AQ1316" t="s">
        <v>6966</v>
      </c>
      <c r="AR1316" t="s">
        <v>6966</v>
      </c>
      <c r="AS1316" t="s">
        <v>6966</v>
      </c>
      <c r="AT1316" t="s">
        <v>6966</v>
      </c>
      <c r="AU1316" t="s">
        <v>6966</v>
      </c>
      <c r="AV1316" t="s">
        <v>6966</v>
      </c>
      <c r="AW1316" t="s">
        <v>6966</v>
      </c>
      <c r="AX1316" t="s">
        <v>6966</v>
      </c>
      <c r="AY1316" t="s">
        <v>6966</v>
      </c>
      <c r="AZ1316">
        <v>7.6050000000000006E-2</v>
      </c>
      <c r="BA1316">
        <v>1.5200000000000001E-4</v>
      </c>
    </row>
    <row r="1317" spans="1:53" x14ac:dyDescent="0.25">
      <c r="A1317">
        <v>1315</v>
      </c>
      <c r="B1317" t="s">
        <v>7625</v>
      </c>
      <c r="C1317">
        <v>802032</v>
      </c>
      <c r="D1317" t="s">
        <v>1265</v>
      </c>
      <c r="E1317" t="s">
        <v>3039</v>
      </c>
      <c r="F1317">
        <v>6725434.5</v>
      </c>
      <c r="G1317">
        <v>14343.460938</v>
      </c>
      <c r="H1317">
        <v>1317</v>
      </c>
      <c r="I1317">
        <v>1555</v>
      </c>
      <c r="J1317">
        <v>61496</v>
      </c>
      <c r="K1317" t="s">
        <v>2569</v>
      </c>
      <c r="L1317">
        <v>20</v>
      </c>
      <c r="M1317">
        <v>20</v>
      </c>
      <c r="N1317">
        <v>61496</v>
      </c>
      <c r="O1317">
        <v>1292</v>
      </c>
      <c r="P1317" t="s">
        <v>3213</v>
      </c>
      <c r="Q1317">
        <v>2.2000000000000002</v>
      </c>
      <c r="R1317">
        <v>40.479999999999997</v>
      </c>
      <c r="S1317">
        <v>0.7</v>
      </c>
      <c r="T1317">
        <v>13</v>
      </c>
      <c r="U1317">
        <v>6725434.4097199999</v>
      </c>
      <c r="V1317">
        <v>14343.461230999999</v>
      </c>
      <c r="W1317">
        <v>1316</v>
      </c>
      <c r="X1317">
        <v>0</v>
      </c>
      <c r="Y1317">
        <v>1315</v>
      </c>
      <c r="Z1317" t="s">
        <v>6966</v>
      </c>
      <c r="AA1317" t="s">
        <v>6966</v>
      </c>
      <c r="AB1317" t="s">
        <v>6966</v>
      </c>
      <c r="AC1317" t="s">
        <v>6966</v>
      </c>
      <c r="AD1317" t="s">
        <v>6966</v>
      </c>
      <c r="AE1317" t="s">
        <v>6966</v>
      </c>
      <c r="AF1317" t="s">
        <v>6966</v>
      </c>
      <c r="AG1317" t="s">
        <v>6966</v>
      </c>
      <c r="AH1317" t="s">
        <v>6966</v>
      </c>
      <c r="AI1317" t="s">
        <v>6966</v>
      </c>
      <c r="AJ1317" t="s">
        <v>6966</v>
      </c>
      <c r="AK1317" t="s">
        <v>6966</v>
      </c>
      <c r="AL1317" t="s">
        <v>6966</v>
      </c>
      <c r="AM1317" t="s">
        <v>6966</v>
      </c>
      <c r="AN1317" t="s">
        <v>6966</v>
      </c>
      <c r="AO1317" t="s">
        <v>6966</v>
      </c>
      <c r="AP1317" t="s">
        <v>6966</v>
      </c>
      <c r="AQ1317" t="s">
        <v>6966</v>
      </c>
      <c r="AR1317" t="s">
        <v>6966</v>
      </c>
      <c r="AS1317" t="s">
        <v>6966</v>
      </c>
      <c r="AT1317" t="s">
        <v>6966</v>
      </c>
      <c r="AU1317" t="s">
        <v>6966</v>
      </c>
      <c r="AV1317" t="s">
        <v>6966</v>
      </c>
      <c r="AW1317" t="s">
        <v>6966</v>
      </c>
      <c r="AX1317" t="s">
        <v>6966</v>
      </c>
      <c r="AY1317" t="s">
        <v>6966</v>
      </c>
      <c r="AZ1317">
        <v>0.14323900000000001</v>
      </c>
      <c r="BA1317">
        <v>6.5200000000000002E-4</v>
      </c>
    </row>
    <row r="1318" spans="1:53" x14ac:dyDescent="0.25">
      <c r="A1318">
        <v>1316</v>
      </c>
      <c r="B1318" t="s">
        <v>7625</v>
      </c>
      <c r="C1318">
        <v>801077</v>
      </c>
      <c r="D1318" t="s">
        <v>1362</v>
      </c>
      <c r="E1318" t="s">
        <v>1342</v>
      </c>
      <c r="F1318">
        <v>958175.75</v>
      </c>
      <c r="G1318">
        <v>4725.5512699999999</v>
      </c>
      <c r="H1318">
        <v>1318</v>
      </c>
      <c r="I1318">
        <v>1556</v>
      </c>
      <c r="J1318">
        <v>63177</v>
      </c>
      <c r="K1318" t="s">
        <v>2647</v>
      </c>
      <c r="L1318">
        <v>22</v>
      </c>
      <c r="M1318">
        <v>22</v>
      </c>
      <c r="N1318">
        <v>63177</v>
      </c>
      <c r="O1318">
        <v>1293</v>
      </c>
      <c r="P1318" t="s">
        <v>3213</v>
      </c>
      <c r="Q1318">
        <v>0.5</v>
      </c>
      <c r="R1318">
        <v>19.3</v>
      </c>
      <c r="S1318">
        <v>0.89</v>
      </c>
      <c r="T1318">
        <v>32</v>
      </c>
      <c r="U1318">
        <v>958175.71425700001</v>
      </c>
      <c r="V1318">
        <v>4725.5518270000002</v>
      </c>
      <c r="W1318">
        <v>1317</v>
      </c>
      <c r="X1318">
        <v>0</v>
      </c>
      <c r="Y1318">
        <v>1316</v>
      </c>
      <c r="Z1318" t="s">
        <v>6966</v>
      </c>
      <c r="AA1318" t="s">
        <v>6966</v>
      </c>
      <c r="AB1318" t="s">
        <v>6966</v>
      </c>
      <c r="AC1318" t="s">
        <v>6966</v>
      </c>
      <c r="AD1318" t="s">
        <v>6966</v>
      </c>
      <c r="AE1318" t="s">
        <v>6966</v>
      </c>
      <c r="AF1318" t="s">
        <v>6966</v>
      </c>
      <c r="AG1318" t="s">
        <v>6966</v>
      </c>
      <c r="AH1318" t="s">
        <v>6966</v>
      </c>
      <c r="AI1318" t="s">
        <v>6966</v>
      </c>
      <c r="AJ1318" t="s">
        <v>6966</v>
      </c>
      <c r="AK1318" t="s">
        <v>6966</v>
      </c>
      <c r="AL1318" t="s">
        <v>6966</v>
      </c>
      <c r="AM1318" t="s">
        <v>6966</v>
      </c>
      <c r="AN1318" t="s">
        <v>6966</v>
      </c>
      <c r="AO1318" t="s">
        <v>6966</v>
      </c>
      <c r="AP1318" t="s">
        <v>6966</v>
      </c>
      <c r="AQ1318" t="s">
        <v>6966</v>
      </c>
      <c r="AR1318" t="s">
        <v>6966</v>
      </c>
      <c r="AS1318" t="s">
        <v>6966</v>
      </c>
      <c r="AT1318" t="s">
        <v>6966</v>
      </c>
      <c r="AU1318" t="s">
        <v>6966</v>
      </c>
      <c r="AV1318" t="s">
        <v>6966</v>
      </c>
      <c r="AW1318" t="s">
        <v>6966</v>
      </c>
      <c r="AX1318" t="s">
        <v>6966</v>
      </c>
      <c r="AY1318" t="s">
        <v>6966</v>
      </c>
      <c r="AZ1318">
        <v>4.7440999999999997E-2</v>
      </c>
      <c r="BA1318">
        <v>9.2999999999999997E-5</v>
      </c>
    </row>
    <row r="1319" spans="1:53" x14ac:dyDescent="0.25">
      <c r="A1319">
        <v>1317</v>
      </c>
      <c r="B1319" t="s">
        <v>7625</v>
      </c>
      <c r="C1319">
        <v>802063</v>
      </c>
      <c r="D1319" t="s">
        <v>1208</v>
      </c>
      <c r="E1319" t="s">
        <v>3039</v>
      </c>
      <c r="F1319">
        <v>3044856.75</v>
      </c>
      <c r="G1319">
        <v>12056.637694999999</v>
      </c>
      <c r="H1319">
        <v>1319</v>
      </c>
      <c r="I1319">
        <v>1557</v>
      </c>
      <c r="J1319">
        <v>61347</v>
      </c>
      <c r="K1319" t="s">
        <v>2521</v>
      </c>
      <c r="L1319">
        <v>20</v>
      </c>
      <c r="M1319">
        <v>20</v>
      </c>
      <c r="N1319">
        <v>61347</v>
      </c>
      <c r="O1319">
        <v>1294</v>
      </c>
      <c r="P1319" t="s">
        <v>3213</v>
      </c>
      <c r="Q1319">
        <v>8.8000000000000007</v>
      </c>
      <c r="R1319">
        <v>35.9</v>
      </c>
      <c r="S1319">
        <v>2.3199999999999998</v>
      </c>
      <c r="T1319">
        <v>9</v>
      </c>
      <c r="U1319">
        <v>3044856.68566</v>
      </c>
      <c r="V1319">
        <v>12056.63716</v>
      </c>
      <c r="W1319">
        <v>1318</v>
      </c>
      <c r="X1319">
        <v>1</v>
      </c>
      <c r="Y1319">
        <v>1317</v>
      </c>
      <c r="Z1319">
        <v>61821</v>
      </c>
      <c r="AA1319" s="76">
        <v>45784</v>
      </c>
      <c r="AB1319">
        <v>2025</v>
      </c>
      <c r="AC1319" t="s">
        <v>7215</v>
      </c>
      <c r="AD1319">
        <v>7</v>
      </c>
      <c r="AE1319" t="s">
        <v>7236</v>
      </c>
      <c r="AF1319" t="s">
        <v>3213</v>
      </c>
      <c r="AG1319" t="s">
        <v>3039</v>
      </c>
      <c r="AH1319" t="s">
        <v>1208</v>
      </c>
      <c r="AI1319" t="s">
        <v>1208</v>
      </c>
      <c r="AJ1319" t="s">
        <v>6966</v>
      </c>
      <c r="AK1319">
        <v>33.502809999999997</v>
      </c>
      <c r="AL1319">
        <v>35.380360000000003</v>
      </c>
      <c r="AM1319" t="s">
        <v>7013</v>
      </c>
      <c r="AN1319" t="s">
        <v>6995</v>
      </c>
      <c r="AO1319" t="s">
        <v>7008</v>
      </c>
      <c r="AP1319" t="s">
        <v>7237</v>
      </c>
      <c r="AQ1319" t="s">
        <v>6998</v>
      </c>
      <c r="AR1319" t="s">
        <v>6999</v>
      </c>
      <c r="AS1319" t="s">
        <v>7000</v>
      </c>
      <c r="AT1319">
        <v>0</v>
      </c>
      <c r="AU1319">
        <v>0</v>
      </c>
      <c r="AV1319" t="s">
        <v>7235</v>
      </c>
      <c r="AW1319" t="s">
        <v>7018</v>
      </c>
      <c r="AX1319" t="s">
        <v>6966</v>
      </c>
      <c r="AY1319" t="s">
        <v>7003</v>
      </c>
      <c r="AZ1319">
        <v>0.121271</v>
      </c>
      <c r="BA1319">
        <v>2.9500000000000001E-4</v>
      </c>
    </row>
    <row r="1320" spans="1:53" x14ac:dyDescent="0.25">
      <c r="A1320">
        <v>1318</v>
      </c>
      <c r="B1320" t="s">
        <v>7625</v>
      </c>
      <c r="C1320">
        <v>801013</v>
      </c>
      <c r="D1320" t="s">
        <v>1417</v>
      </c>
      <c r="E1320" t="s">
        <v>1342</v>
      </c>
      <c r="F1320">
        <v>2953108.25</v>
      </c>
      <c r="G1320">
        <v>8832.9267579999996</v>
      </c>
      <c r="H1320">
        <v>1320</v>
      </c>
      <c r="I1320">
        <v>1558</v>
      </c>
      <c r="J1320">
        <v>63385</v>
      </c>
      <c r="K1320" t="s">
        <v>1417</v>
      </c>
      <c r="L1320">
        <v>22</v>
      </c>
      <c r="M1320">
        <v>22</v>
      </c>
      <c r="N1320">
        <v>63285</v>
      </c>
      <c r="O1320">
        <v>1295</v>
      </c>
      <c r="P1320" t="s">
        <v>3213</v>
      </c>
      <c r="Q1320">
        <v>0.3</v>
      </c>
      <c r="R1320">
        <v>0</v>
      </c>
      <c r="S1320">
        <v>0</v>
      </c>
      <c r="T1320">
        <v>0</v>
      </c>
      <c r="U1320">
        <v>2953108.4001199999</v>
      </c>
      <c r="V1320">
        <v>8832.9277139999995</v>
      </c>
      <c r="W1320">
        <v>1319</v>
      </c>
      <c r="X1320">
        <v>0</v>
      </c>
      <c r="Y1320">
        <v>1318</v>
      </c>
      <c r="Z1320" t="s">
        <v>6966</v>
      </c>
      <c r="AA1320" t="s">
        <v>6966</v>
      </c>
      <c r="AB1320" t="s">
        <v>6966</v>
      </c>
      <c r="AC1320" t="s">
        <v>6966</v>
      </c>
      <c r="AD1320" t="s">
        <v>6966</v>
      </c>
      <c r="AE1320" t="s">
        <v>6966</v>
      </c>
      <c r="AF1320" t="s">
        <v>6966</v>
      </c>
      <c r="AG1320" t="s">
        <v>6966</v>
      </c>
      <c r="AH1320" t="s">
        <v>6966</v>
      </c>
      <c r="AI1320" t="s">
        <v>6966</v>
      </c>
      <c r="AJ1320" t="s">
        <v>6966</v>
      </c>
      <c r="AK1320" t="s">
        <v>6966</v>
      </c>
      <c r="AL1320" t="s">
        <v>6966</v>
      </c>
      <c r="AM1320" t="s">
        <v>6966</v>
      </c>
      <c r="AN1320" t="s">
        <v>6966</v>
      </c>
      <c r="AO1320" t="s">
        <v>6966</v>
      </c>
      <c r="AP1320" t="s">
        <v>6966</v>
      </c>
      <c r="AQ1320" t="s">
        <v>6966</v>
      </c>
      <c r="AR1320" t="s">
        <v>6966</v>
      </c>
      <c r="AS1320" t="s">
        <v>6966</v>
      </c>
      <c r="AT1320" t="s">
        <v>6966</v>
      </c>
      <c r="AU1320" t="s">
        <v>6966</v>
      </c>
      <c r="AV1320" t="s">
        <v>6966</v>
      </c>
      <c r="AW1320" t="s">
        <v>6966</v>
      </c>
      <c r="AX1320" t="s">
        <v>6966</v>
      </c>
      <c r="AY1320" t="s">
        <v>6966</v>
      </c>
      <c r="AZ1320">
        <v>8.7814000000000003E-2</v>
      </c>
      <c r="BA1320">
        <v>2.8600000000000001E-4</v>
      </c>
    </row>
    <row r="1321" spans="1:53" x14ac:dyDescent="0.25">
      <c r="A1321">
        <v>1319</v>
      </c>
      <c r="B1321" t="s">
        <v>7625</v>
      </c>
      <c r="C1321">
        <v>402026</v>
      </c>
      <c r="D1321" t="s">
        <v>1190</v>
      </c>
      <c r="E1321" t="s">
        <v>7999</v>
      </c>
      <c r="F1321">
        <v>8134434</v>
      </c>
      <c r="G1321">
        <v>13132.563477</v>
      </c>
      <c r="H1321">
        <v>1321</v>
      </c>
      <c r="I1321">
        <v>1559</v>
      </c>
      <c r="J1321">
        <v>55199</v>
      </c>
      <c r="K1321" t="s">
        <v>1190</v>
      </c>
      <c r="L1321">
        <v>19</v>
      </c>
      <c r="M1321">
        <v>19</v>
      </c>
      <c r="N1321">
        <v>55199</v>
      </c>
      <c r="O1321">
        <v>1296</v>
      </c>
      <c r="P1321" t="s">
        <v>3214</v>
      </c>
      <c r="Q1321">
        <v>0</v>
      </c>
      <c r="R1321">
        <v>6.12</v>
      </c>
      <c r="S1321">
        <v>0.01</v>
      </c>
      <c r="T1321">
        <v>2</v>
      </c>
      <c r="U1321">
        <v>8134434.0984500004</v>
      </c>
      <c r="V1321">
        <v>13132.563303999999</v>
      </c>
      <c r="W1321">
        <v>1320</v>
      </c>
      <c r="X1321">
        <v>1</v>
      </c>
      <c r="Y1321">
        <v>1319</v>
      </c>
      <c r="Z1321">
        <v>59143</v>
      </c>
      <c r="AA1321" s="76">
        <v>45738</v>
      </c>
      <c r="AB1321">
        <v>2025</v>
      </c>
      <c r="AC1321" t="s">
        <v>7104</v>
      </c>
      <c r="AD1321">
        <v>22</v>
      </c>
      <c r="AE1321" t="s">
        <v>7163</v>
      </c>
      <c r="AF1321" t="s">
        <v>3214</v>
      </c>
      <c r="AG1321" t="s">
        <v>3222</v>
      </c>
      <c r="AH1321" t="s">
        <v>1190</v>
      </c>
      <c r="AI1321" t="s">
        <v>7164</v>
      </c>
      <c r="AJ1321" t="s">
        <v>6966</v>
      </c>
      <c r="AK1321">
        <v>33.495690000000003</v>
      </c>
      <c r="AL1321">
        <v>35.747520000000002</v>
      </c>
      <c r="AM1321" t="s">
        <v>6995</v>
      </c>
      <c r="AN1321" t="s">
        <v>6966</v>
      </c>
      <c r="AO1321" t="s">
        <v>6996</v>
      </c>
      <c r="AP1321" t="s">
        <v>7165</v>
      </c>
      <c r="AQ1321" t="s">
        <v>6998</v>
      </c>
      <c r="AR1321" t="s">
        <v>6999</v>
      </c>
      <c r="AS1321" t="s">
        <v>7036</v>
      </c>
      <c r="AT1321">
        <v>0</v>
      </c>
      <c r="AU1321">
        <v>0</v>
      </c>
      <c r="AV1321" t="s">
        <v>6966</v>
      </c>
      <c r="AW1321" t="s">
        <v>7002</v>
      </c>
      <c r="AX1321" t="s">
        <v>6966</v>
      </c>
      <c r="AY1321" t="s">
        <v>7003</v>
      </c>
      <c r="AZ1321">
        <v>0.13030800000000001</v>
      </c>
      <c r="BA1321">
        <v>7.8899999999999999E-4</v>
      </c>
    </row>
    <row r="1322" spans="1:53" x14ac:dyDescent="0.25">
      <c r="A1322">
        <v>1320</v>
      </c>
      <c r="B1322" t="s">
        <v>7625</v>
      </c>
      <c r="C1322">
        <v>402013</v>
      </c>
      <c r="D1322" t="s">
        <v>1563</v>
      </c>
      <c r="E1322" t="s">
        <v>7999</v>
      </c>
      <c r="F1322">
        <v>6780279.5</v>
      </c>
      <c r="G1322">
        <v>16044.307617</v>
      </c>
      <c r="H1322">
        <v>1322</v>
      </c>
      <c r="I1322">
        <v>1560</v>
      </c>
      <c r="J1322">
        <v>0</v>
      </c>
      <c r="K1322" t="s">
        <v>1563</v>
      </c>
      <c r="L1322">
        <v>19</v>
      </c>
      <c r="M1322">
        <v>19</v>
      </c>
      <c r="N1322">
        <v>0</v>
      </c>
      <c r="O1322">
        <v>1641</v>
      </c>
      <c r="P1322" t="s">
        <v>3214</v>
      </c>
      <c r="Q1322">
        <v>0</v>
      </c>
      <c r="R1322">
        <v>0</v>
      </c>
      <c r="S1322">
        <v>0</v>
      </c>
      <c r="T1322">
        <v>0</v>
      </c>
      <c r="U1322">
        <v>6780279.3904799996</v>
      </c>
      <c r="V1322">
        <v>16044.307494999999</v>
      </c>
      <c r="W1322">
        <v>1321</v>
      </c>
      <c r="X1322">
        <v>0</v>
      </c>
      <c r="Y1322">
        <v>1320</v>
      </c>
      <c r="Z1322" t="s">
        <v>6966</v>
      </c>
      <c r="AA1322" t="s">
        <v>6966</v>
      </c>
      <c r="AB1322" t="s">
        <v>6966</v>
      </c>
      <c r="AC1322" t="s">
        <v>6966</v>
      </c>
      <c r="AD1322" t="s">
        <v>6966</v>
      </c>
      <c r="AE1322" t="s">
        <v>6966</v>
      </c>
      <c r="AF1322" t="s">
        <v>6966</v>
      </c>
      <c r="AG1322" t="s">
        <v>6966</v>
      </c>
      <c r="AH1322" t="s">
        <v>6966</v>
      </c>
      <c r="AI1322" t="s">
        <v>6966</v>
      </c>
      <c r="AJ1322" t="s">
        <v>6966</v>
      </c>
      <c r="AK1322" t="s">
        <v>6966</v>
      </c>
      <c r="AL1322" t="s">
        <v>6966</v>
      </c>
      <c r="AM1322" t="s">
        <v>6966</v>
      </c>
      <c r="AN1322" t="s">
        <v>6966</v>
      </c>
      <c r="AO1322" t="s">
        <v>6966</v>
      </c>
      <c r="AP1322" t="s">
        <v>6966</v>
      </c>
      <c r="AQ1322" t="s">
        <v>6966</v>
      </c>
      <c r="AR1322" t="s">
        <v>6966</v>
      </c>
      <c r="AS1322" t="s">
        <v>6966</v>
      </c>
      <c r="AT1322" t="s">
        <v>6966</v>
      </c>
      <c r="AU1322" t="s">
        <v>6966</v>
      </c>
      <c r="AV1322" t="s">
        <v>6966</v>
      </c>
      <c r="AW1322" t="s">
        <v>6966</v>
      </c>
      <c r="AX1322" t="s">
        <v>6966</v>
      </c>
      <c r="AY1322" t="s">
        <v>6966</v>
      </c>
      <c r="AZ1322">
        <v>0.15442700000000001</v>
      </c>
      <c r="BA1322">
        <v>6.5799999999999995E-4</v>
      </c>
    </row>
    <row r="1323" spans="1:53" x14ac:dyDescent="0.25">
      <c r="A1323">
        <v>1321</v>
      </c>
      <c r="B1323" t="s">
        <v>7625</v>
      </c>
      <c r="C1323">
        <v>801035</v>
      </c>
      <c r="D1323" t="s">
        <v>8070</v>
      </c>
      <c r="E1323" t="s">
        <v>1342</v>
      </c>
      <c r="F1323">
        <v>0</v>
      </c>
      <c r="G1323">
        <v>31974.310547000001</v>
      </c>
      <c r="H1323">
        <v>1323</v>
      </c>
      <c r="I1323">
        <v>1561</v>
      </c>
      <c r="J1323">
        <v>63167</v>
      </c>
      <c r="K1323" t="s">
        <v>8071</v>
      </c>
      <c r="L1323">
        <v>22</v>
      </c>
      <c r="M1323">
        <v>22</v>
      </c>
      <c r="N1323">
        <v>63167</v>
      </c>
      <c r="O1323">
        <v>1297</v>
      </c>
      <c r="P1323" t="s">
        <v>3213</v>
      </c>
      <c r="Q1323">
        <v>0.6</v>
      </c>
      <c r="R1323">
        <v>28.21</v>
      </c>
      <c r="S1323">
        <v>0.21</v>
      </c>
      <c r="T1323">
        <v>10</v>
      </c>
      <c r="U1323">
        <v>0</v>
      </c>
      <c r="V1323">
        <v>31974.311522</v>
      </c>
      <c r="W1323">
        <v>1322</v>
      </c>
      <c r="X1323">
        <v>0</v>
      </c>
      <c r="Y1323">
        <v>1321</v>
      </c>
      <c r="Z1323" t="s">
        <v>6966</v>
      </c>
      <c r="AA1323" t="s">
        <v>6966</v>
      </c>
      <c r="AB1323" t="s">
        <v>6966</v>
      </c>
      <c r="AC1323" t="s">
        <v>6966</v>
      </c>
      <c r="AD1323" t="s">
        <v>6966</v>
      </c>
      <c r="AE1323" t="s">
        <v>6966</v>
      </c>
      <c r="AF1323" t="s">
        <v>6966</v>
      </c>
      <c r="AG1323" t="s">
        <v>6966</v>
      </c>
      <c r="AH1323" t="s">
        <v>6966</v>
      </c>
      <c r="AI1323" t="s">
        <v>6966</v>
      </c>
      <c r="AJ1323" t="s">
        <v>6966</v>
      </c>
      <c r="AK1323" t="s">
        <v>6966</v>
      </c>
      <c r="AL1323" t="s">
        <v>6966</v>
      </c>
      <c r="AM1323" t="s">
        <v>6966</v>
      </c>
      <c r="AN1323" t="s">
        <v>6966</v>
      </c>
      <c r="AO1323" t="s">
        <v>6966</v>
      </c>
      <c r="AP1323" t="s">
        <v>6966</v>
      </c>
      <c r="AQ1323" t="s">
        <v>6966</v>
      </c>
      <c r="AR1323" t="s">
        <v>6966</v>
      </c>
      <c r="AS1323" t="s">
        <v>6966</v>
      </c>
      <c r="AT1323" t="s">
        <v>6966</v>
      </c>
      <c r="AU1323" t="s">
        <v>6966</v>
      </c>
      <c r="AV1323" t="s">
        <v>6966</v>
      </c>
      <c r="AW1323" t="s">
        <v>6966</v>
      </c>
      <c r="AX1323" t="s">
        <v>6966</v>
      </c>
      <c r="AY1323" t="s">
        <v>6966</v>
      </c>
      <c r="AZ1323">
        <v>0.31483899999999998</v>
      </c>
      <c r="BA1323">
        <v>2.1350000000000002E-3</v>
      </c>
    </row>
    <row r="1324" spans="1:53" x14ac:dyDescent="0.25">
      <c r="A1324">
        <v>1322</v>
      </c>
      <c r="B1324" t="s">
        <v>7625</v>
      </c>
      <c r="C1324">
        <v>604023</v>
      </c>
      <c r="D1324" t="s">
        <v>1428</v>
      </c>
      <c r="E1324" t="s">
        <v>6965</v>
      </c>
      <c r="F1324">
        <v>0</v>
      </c>
      <c r="G1324">
        <v>24218.880859000001</v>
      </c>
      <c r="H1324">
        <v>1324</v>
      </c>
      <c r="I1324">
        <v>1562</v>
      </c>
      <c r="J1324">
        <v>71211</v>
      </c>
      <c r="K1324" t="s">
        <v>2696</v>
      </c>
      <c r="L1324">
        <v>23</v>
      </c>
      <c r="M1324">
        <v>23</v>
      </c>
      <c r="N1324">
        <v>71211</v>
      </c>
      <c r="O1324">
        <v>1623</v>
      </c>
      <c r="P1324" t="s">
        <v>6965</v>
      </c>
      <c r="Q1324">
        <v>1.8</v>
      </c>
      <c r="R1324">
        <v>41.88</v>
      </c>
      <c r="S1324">
        <v>1.03</v>
      </c>
      <c r="T1324">
        <v>24</v>
      </c>
      <c r="U1324">
        <v>0</v>
      </c>
      <c r="V1324">
        <v>24218.881773000001</v>
      </c>
      <c r="W1324">
        <v>1323</v>
      </c>
      <c r="X1324">
        <v>0</v>
      </c>
      <c r="Y1324">
        <v>1322</v>
      </c>
      <c r="Z1324" t="s">
        <v>6966</v>
      </c>
      <c r="AA1324" t="s">
        <v>6966</v>
      </c>
      <c r="AB1324" t="s">
        <v>6966</v>
      </c>
      <c r="AC1324" t="s">
        <v>6966</v>
      </c>
      <c r="AD1324" t="s">
        <v>6966</v>
      </c>
      <c r="AE1324" t="s">
        <v>6966</v>
      </c>
      <c r="AF1324" t="s">
        <v>6966</v>
      </c>
      <c r="AG1324" t="s">
        <v>6966</v>
      </c>
      <c r="AH1324" t="s">
        <v>6966</v>
      </c>
      <c r="AI1324" t="s">
        <v>6966</v>
      </c>
      <c r="AJ1324" t="s">
        <v>6966</v>
      </c>
      <c r="AK1324" t="s">
        <v>6966</v>
      </c>
      <c r="AL1324" t="s">
        <v>6966</v>
      </c>
      <c r="AM1324" t="s">
        <v>6966</v>
      </c>
      <c r="AN1324" t="s">
        <v>6966</v>
      </c>
      <c r="AO1324" t="s">
        <v>6966</v>
      </c>
      <c r="AP1324" t="s">
        <v>6966</v>
      </c>
      <c r="AQ1324" t="s">
        <v>6966</v>
      </c>
      <c r="AR1324" t="s">
        <v>6966</v>
      </c>
      <c r="AS1324" t="s">
        <v>6966</v>
      </c>
      <c r="AT1324" t="s">
        <v>6966</v>
      </c>
      <c r="AU1324" t="s">
        <v>6966</v>
      </c>
      <c r="AV1324" t="s">
        <v>6966</v>
      </c>
      <c r="AW1324" t="s">
        <v>6966</v>
      </c>
      <c r="AX1324" t="s">
        <v>6966</v>
      </c>
      <c r="AY1324" t="s">
        <v>6966</v>
      </c>
      <c r="AZ1324">
        <v>0.23953199999999999</v>
      </c>
      <c r="BA1324">
        <v>1.121E-3</v>
      </c>
    </row>
    <row r="1325" spans="1:53" x14ac:dyDescent="0.25">
      <c r="A1325">
        <v>1323</v>
      </c>
      <c r="B1325" t="s">
        <v>7625</v>
      </c>
      <c r="C1325">
        <v>402027</v>
      </c>
      <c r="D1325" t="s">
        <v>1163</v>
      </c>
      <c r="E1325" t="s">
        <v>7999</v>
      </c>
      <c r="F1325">
        <v>914803.0625</v>
      </c>
      <c r="G1325">
        <v>5318.7226559999999</v>
      </c>
      <c r="H1325">
        <v>1325</v>
      </c>
      <c r="I1325">
        <v>1563</v>
      </c>
      <c r="J1325">
        <v>55111</v>
      </c>
      <c r="K1325" t="s">
        <v>2487</v>
      </c>
      <c r="L1325">
        <v>19</v>
      </c>
      <c r="M1325">
        <v>19</v>
      </c>
      <c r="N1325">
        <v>55111</v>
      </c>
      <c r="O1325">
        <v>1298</v>
      </c>
      <c r="P1325" t="s">
        <v>3214</v>
      </c>
      <c r="Q1325">
        <v>58.9</v>
      </c>
      <c r="R1325">
        <v>822.12</v>
      </c>
      <c r="S1325">
        <v>12.39</v>
      </c>
      <c r="T1325">
        <v>15</v>
      </c>
      <c r="U1325">
        <v>914803.09017900005</v>
      </c>
      <c r="V1325">
        <v>5318.7225699999999</v>
      </c>
      <c r="W1325">
        <v>1324</v>
      </c>
      <c r="X1325">
        <v>0</v>
      </c>
      <c r="Y1325">
        <v>1323</v>
      </c>
      <c r="Z1325" t="s">
        <v>6966</v>
      </c>
      <c r="AA1325" t="s">
        <v>6966</v>
      </c>
      <c r="AB1325" t="s">
        <v>6966</v>
      </c>
      <c r="AC1325" t="s">
        <v>6966</v>
      </c>
      <c r="AD1325" t="s">
        <v>6966</v>
      </c>
      <c r="AE1325" t="s">
        <v>6966</v>
      </c>
      <c r="AF1325" t="s">
        <v>6966</v>
      </c>
      <c r="AG1325" t="s">
        <v>6966</v>
      </c>
      <c r="AH1325" t="s">
        <v>6966</v>
      </c>
      <c r="AI1325" t="s">
        <v>6966</v>
      </c>
      <c r="AJ1325" t="s">
        <v>6966</v>
      </c>
      <c r="AK1325" t="s">
        <v>6966</v>
      </c>
      <c r="AL1325" t="s">
        <v>6966</v>
      </c>
      <c r="AM1325" t="s">
        <v>6966</v>
      </c>
      <c r="AN1325" t="s">
        <v>6966</v>
      </c>
      <c r="AO1325" t="s">
        <v>6966</v>
      </c>
      <c r="AP1325" t="s">
        <v>6966</v>
      </c>
      <c r="AQ1325" t="s">
        <v>6966</v>
      </c>
      <c r="AR1325" t="s">
        <v>6966</v>
      </c>
      <c r="AS1325" t="s">
        <v>6966</v>
      </c>
      <c r="AT1325" t="s">
        <v>6966</v>
      </c>
      <c r="AU1325" t="s">
        <v>6966</v>
      </c>
      <c r="AV1325" t="s">
        <v>6966</v>
      </c>
      <c r="AW1325" t="s">
        <v>6966</v>
      </c>
      <c r="AX1325" t="s">
        <v>6966</v>
      </c>
      <c r="AY1325" t="s">
        <v>6966</v>
      </c>
      <c r="AZ1325">
        <v>5.3275999999999997E-2</v>
      </c>
      <c r="BA1325">
        <v>8.8999999999999995E-5</v>
      </c>
    </row>
    <row r="1326" spans="1:53" x14ac:dyDescent="0.25">
      <c r="A1326">
        <v>1324</v>
      </c>
      <c r="B1326" t="s">
        <v>7625</v>
      </c>
      <c r="C1326">
        <v>801028</v>
      </c>
      <c r="D1326" t="s">
        <v>1358</v>
      </c>
      <c r="E1326" t="s">
        <v>1342</v>
      </c>
      <c r="F1326">
        <v>2635905</v>
      </c>
      <c r="G1326">
        <v>9482.7285159999992</v>
      </c>
      <c r="H1326">
        <v>1326</v>
      </c>
      <c r="I1326">
        <v>1564</v>
      </c>
      <c r="J1326">
        <v>63164</v>
      </c>
      <c r="K1326" t="s">
        <v>1358</v>
      </c>
      <c r="L1326">
        <v>22</v>
      </c>
      <c r="M1326">
        <v>22</v>
      </c>
      <c r="N1326">
        <v>63164</v>
      </c>
      <c r="O1326">
        <v>1299</v>
      </c>
      <c r="P1326" t="s">
        <v>3213</v>
      </c>
      <c r="Q1326">
        <v>0</v>
      </c>
      <c r="R1326">
        <v>0</v>
      </c>
      <c r="S1326">
        <v>0.01</v>
      </c>
      <c r="T1326">
        <v>0</v>
      </c>
      <c r="U1326">
        <v>2635905.0811100001</v>
      </c>
      <c r="V1326">
        <v>9482.7279039999994</v>
      </c>
      <c r="W1326">
        <v>1325</v>
      </c>
      <c r="X1326">
        <v>0</v>
      </c>
      <c r="Y1326">
        <v>1324</v>
      </c>
      <c r="Z1326" t="s">
        <v>6966</v>
      </c>
      <c r="AA1326" t="s">
        <v>6966</v>
      </c>
      <c r="AB1326" t="s">
        <v>6966</v>
      </c>
      <c r="AC1326" t="s">
        <v>6966</v>
      </c>
      <c r="AD1326" t="s">
        <v>6966</v>
      </c>
      <c r="AE1326" t="s">
        <v>6966</v>
      </c>
      <c r="AF1326" t="s">
        <v>6966</v>
      </c>
      <c r="AG1326" t="s">
        <v>6966</v>
      </c>
      <c r="AH1326" t="s">
        <v>6966</v>
      </c>
      <c r="AI1326" t="s">
        <v>6966</v>
      </c>
      <c r="AJ1326" t="s">
        <v>6966</v>
      </c>
      <c r="AK1326" t="s">
        <v>6966</v>
      </c>
      <c r="AL1326" t="s">
        <v>6966</v>
      </c>
      <c r="AM1326" t="s">
        <v>6966</v>
      </c>
      <c r="AN1326" t="s">
        <v>6966</v>
      </c>
      <c r="AO1326" t="s">
        <v>6966</v>
      </c>
      <c r="AP1326" t="s">
        <v>6966</v>
      </c>
      <c r="AQ1326" t="s">
        <v>6966</v>
      </c>
      <c r="AR1326" t="s">
        <v>6966</v>
      </c>
      <c r="AS1326" t="s">
        <v>6966</v>
      </c>
      <c r="AT1326" t="s">
        <v>6966</v>
      </c>
      <c r="AU1326" t="s">
        <v>6966</v>
      </c>
      <c r="AV1326" t="s">
        <v>6966</v>
      </c>
      <c r="AW1326" t="s">
        <v>6966</v>
      </c>
      <c r="AX1326" t="s">
        <v>6966</v>
      </c>
      <c r="AY1326" t="s">
        <v>6966</v>
      </c>
      <c r="AZ1326">
        <v>9.3776999999999999E-2</v>
      </c>
      <c r="BA1326">
        <v>2.5599999999999999E-4</v>
      </c>
    </row>
    <row r="1327" spans="1:53" x14ac:dyDescent="0.25">
      <c r="A1327">
        <v>1325</v>
      </c>
      <c r="B1327" t="s">
        <v>7625</v>
      </c>
      <c r="C1327">
        <v>401001</v>
      </c>
      <c r="D1327" t="s">
        <v>8072</v>
      </c>
      <c r="E1327" t="s">
        <v>3221</v>
      </c>
      <c r="F1327">
        <v>6757419.5</v>
      </c>
      <c r="G1327">
        <v>16048.849609000001</v>
      </c>
      <c r="H1327">
        <v>1327</v>
      </c>
      <c r="I1327">
        <v>1565</v>
      </c>
      <c r="J1327">
        <v>52116</v>
      </c>
      <c r="K1327" t="s">
        <v>8073</v>
      </c>
      <c r="L1327">
        <v>16</v>
      </c>
      <c r="M1327">
        <v>16</v>
      </c>
      <c r="N1327">
        <v>52116</v>
      </c>
      <c r="O1327">
        <v>1300</v>
      </c>
      <c r="P1327" t="s">
        <v>3214</v>
      </c>
      <c r="Q1327">
        <v>1.8</v>
      </c>
      <c r="R1327">
        <v>51.44</v>
      </c>
      <c r="S1327">
        <v>0.31</v>
      </c>
      <c r="T1327">
        <v>9</v>
      </c>
      <c r="U1327">
        <v>6757419.2661800003</v>
      </c>
      <c r="V1327">
        <v>16048.850436000001</v>
      </c>
      <c r="W1327">
        <v>1326</v>
      </c>
      <c r="X1327">
        <v>2</v>
      </c>
      <c r="Y1327">
        <v>1325</v>
      </c>
      <c r="Z1327">
        <v>54935</v>
      </c>
      <c r="AA1327" s="76">
        <v>45663</v>
      </c>
      <c r="AB1327">
        <v>2025</v>
      </c>
      <c r="AC1327" t="s">
        <v>6992</v>
      </c>
      <c r="AD1327">
        <v>6</v>
      </c>
      <c r="AE1327" t="s">
        <v>7004</v>
      </c>
      <c r="AF1327" t="s">
        <v>3214</v>
      </c>
      <c r="AG1327" t="s">
        <v>3221</v>
      </c>
      <c r="AH1327" t="s">
        <v>7005</v>
      </c>
      <c r="AI1327" t="s">
        <v>7006</v>
      </c>
      <c r="AJ1327" t="s">
        <v>6966</v>
      </c>
      <c r="AK1327">
        <v>33.502200000000002</v>
      </c>
      <c r="AL1327">
        <v>35.64161</v>
      </c>
      <c r="AM1327" t="s">
        <v>7007</v>
      </c>
      <c r="AN1327" t="s">
        <v>6995</v>
      </c>
      <c r="AO1327" t="s">
        <v>7008</v>
      </c>
      <c r="AP1327" t="s">
        <v>7009</v>
      </c>
      <c r="AQ1327" t="s">
        <v>6998</v>
      </c>
      <c r="AR1327" t="s">
        <v>6999</v>
      </c>
      <c r="AS1327" t="s">
        <v>7000</v>
      </c>
      <c r="AT1327">
        <v>0</v>
      </c>
      <c r="AU1327">
        <v>0</v>
      </c>
      <c r="AV1327" t="s">
        <v>7010</v>
      </c>
      <c r="AW1327" t="s">
        <v>7011</v>
      </c>
      <c r="AX1327" t="s">
        <v>6966</v>
      </c>
      <c r="AY1327" t="s">
        <v>7003</v>
      </c>
      <c r="AZ1327">
        <v>0.1578</v>
      </c>
      <c r="BA1327">
        <v>6.5499999999999998E-4</v>
      </c>
    </row>
    <row r="1328" spans="1:53" x14ac:dyDescent="0.25">
      <c r="A1328">
        <v>1326</v>
      </c>
      <c r="B1328" t="s">
        <v>7625</v>
      </c>
      <c r="C1328">
        <v>802006</v>
      </c>
      <c r="D1328" t="s">
        <v>1253</v>
      </c>
      <c r="E1328" t="s">
        <v>3039</v>
      </c>
      <c r="F1328">
        <v>4568297.5</v>
      </c>
      <c r="G1328">
        <v>11819.799805000001</v>
      </c>
      <c r="H1328">
        <v>1328</v>
      </c>
      <c r="I1328">
        <v>1566</v>
      </c>
      <c r="J1328">
        <v>61477</v>
      </c>
      <c r="K1328" t="s">
        <v>2560</v>
      </c>
      <c r="L1328">
        <v>20</v>
      </c>
      <c r="M1328">
        <v>20</v>
      </c>
      <c r="N1328">
        <v>61477</v>
      </c>
      <c r="O1328">
        <v>1301</v>
      </c>
      <c r="P1328" t="s">
        <v>3213</v>
      </c>
      <c r="Q1328">
        <v>1.9</v>
      </c>
      <c r="R1328">
        <v>42.96</v>
      </c>
      <c r="S1328">
        <v>0.53</v>
      </c>
      <c r="T1328">
        <v>12</v>
      </c>
      <c r="U1328">
        <v>4568297.34344</v>
      </c>
      <c r="V1328">
        <v>11819.801373</v>
      </c>
      <c r="W1328">
        <v>1327</v>
      </c>
      <c r="X1328">
        <v>0</v>
      </c>
      <c r="Y1328">
        <v>1326</v>
      </c>
      <c r="Z1328" t="s">
        <v>6966</v>
      </c>
      <c r="AA1328" t="s">
        <v>6966</v>
      </c>
      <c r="AB1328" t="s">
        <v>6966</v>
      </c>
      <c r="AC1328" t="s">
        <v>6966</v>
      </c>
      <c r="AD1328" t="s">
        <v>6966</v>
      </c>
      <c r="AE1328" t="s">
        <v>6966</v>
      </c>
      <c r="AF1328" t="s">
        <v>6966</v>
      </c>
      <c r="AG1328" t="s">
        <v>6966</v>
      </c>
      <c r="AH1328" t="s">
        <v>6966</v>
      </c>
      <c r="AI1328" t="s">
        <v>6966</v>
      </c>
      <c r="AJ1328" t="s">
        <v>6966</v>
      </c>
      <c r="AK1328" t="s">
        <v>6966</v>
      </c>
      <c r="AL1328" t="s">
        <v>6966</v>
      </c>
      <c r="AM1328" t="s">
        <v>6966</v>
      </c>
      <c r="AN1328" t="s">
        <v>6966</v>
      </c>
      <c r="AO1328" t="s">
        <v>6966</v>
      </c>
      <c r="AP1328" t="s">
        <v>6966</v>
      </c>
      <c r="AQ1328" t="s">
        <v>6966</v>
      </c>
      <c r="AR1328" t="s">
        <v>6966</v>
      </c>
      <c r="AS1328" t="s">
        <v>6966</v>
      </c>
      <c r="AT1328" t="s">
        <v>6966</v>
      </c>
      <c r="AU1328" t="s">
        <v>6966</v>
      </c>
      <c r="AV1328" t="s">
        <v>6966</v>
      </c>
      <c r="AW1328" t="s">
        <v>6966</v>
      </c>
      <c r="AX1328" t="s">
        <v>6966</v>
      </c>
      <c r="AY1328" t="s">
        <v>6966</v>
      </c>
      <c r="AZ1328">
        <v>0.119243</v>
      </c>
      <c r="BA1328">
        <v>4.4299999999999998E-4</v>
      </c>
    </row>
    <row r="1329" spans="1:53" x14ac:dyDescent="0.25">
      <c r="A1329">
        <v>1327</v>
      </c>
      <c r="B1329" t="s">
        <v>7625</v>
      </c>
      <c r="C1329">
        <v>802029</v>
      </c>
      <c r="D1329" t="s">
        <v>1262</v>
      </c>
      <c r="E1329" t="s">
        <v>3039</v>
      </c>
      <c r="F1329">
        <v>1160701.25</v>
      </c>
      <c r="G1329">
        <v>4923.4575199999999</v>
      </c>
      <c r="H1329">
        <v>1329</v>
      </c>
      <c r="I1329">
        <v>1567</v>
      </c>
      <c r="J1329">
        <v>61491</v>
      </c>
      <c r="K1329" t="s">
        <v>2567</v>
      </c>
      <c r="L1329">
        <v>20</v>
      </c>
      <c r="M1329">
        <v>20</v>
      </c>
      <c r="N1329">
        <v>61491</v>
      </c>
      <c r="O1329">
        <v>1302</v>
      </c>
      <c r="P1329" t="s">
        <v>3213</v>
      </c>
      <c r="Q1329">
        <v>1.7</v>
      </c>
      <c r="R1329">
        <v>15.75</v>
      </c>
      <c r="S1329">
        <v>0.59</v>
      </c>
      <c r="T1329">
        <v>5</v>
      </c>
      <c r="U1329">
        <v>1160701.2086700001</v>
      </c>
      <c r="V1329">
        <v>4923.4578860000001</v>
      </c>
      <c r="W1329">
        <v>1328</v>
      </c>
      <c r="X1329">
        <v>0</v>
      </c>
      <c r="Y1329">
        <v>1327</v>
      </c>
      <c r="Z1329" t="s">
        <v>6966</v>
      </c>
      <c r="AA1329" t="s">
        <v>6966</v>
      </c>
      <c r="AB1329" t="s">
        <v>6966</v>
      </c>
      <c r="AC1329" t="s">
        <v>6966</v>
      </c>
      <c r="AD1329" t="s">
        <v>6966</v>
      </c>
      <c r="AE1329" t="s">
        <v>6966</v>
      </c>
      <c r="AF1329" t="s">
        <v>6966</v>
      </c>
      <c r="AG1329" t="s">
        <v>6966</v>
      </c>
      <c r="AH1329" t="s">
        <v>6966</v>
      </c>
      <c r="AI1329" t="s">
        <v>6966</v>
      </c>
      <c r="AJ1329" t="s">
        <v>6966</v>
      </c>
      <c r="AK1329" t="s">
        <v>6966</v>
      </c>
      <c r="AL1329" t="s">
        <v>6966</v>
      </c>
      <c r="AM1329" t="s">
        <v>6966</v>
      </c>
      <c r="AN1329" t="s">
        <v>6966</v>
      </c>
      <c r="AO1329" t="s">
        <v>6966</v>
      </c>
      <c r="AP1329" t="s">
        <v>6966</v>
      </c>
      <c r="AQ1329" t="s">
        <v>6966</v>
      </c>
      <c r="AR1329" t="s">
        <v>6966</v>
      </c>
      <c r="AS1329" t="s">
        <v>6966</v>
      </c>
      <c r="AT1329" t="s">
        <v>6966</v>
      </c>
      <c r="AU1329" t="s">
        <v>6966</v>
      </c>
      <c r="AV1329" t="s">
        <v>6966</v>
      </c>
      <c r="AW1329" t="s">
        <v>6966</v>
      </c>
      <c r="AX1329" t="s">
        <v>6966</v>
      </c>
      <c r="AY1329" t="s">
        <v>6966</v>
      </c>
      <c r="AZ1329">
        <v>4.9383000000000003E-2</v>
      </c>
      <c r="BA1329">
        <v>1.13E-4</v>
      </c>
    </row>
    <row r="1330" spans="1:53" x14ac:dyDescent="0.25">
      <c r="A1330">
        <v>1328</v>
      </c>
      <c r="B1330" t="s">
        <v>7625</v>
      </c>
      <c r="C1330">
        <v>802049</v>
      </c>
      <c r="D1330" t="s">
        <v>8074</v>
      </c>
      <c r="E1330" t="s">
        <v>3039</v>
      </c>
      <c r="F1330">
        <v>1700672.125</v>
      </c>
      <c r="G1330">
        <v>5900.1933589999999</v>
      </c>
      <c r="H1330">
        <v>1330</v>
      </c>
      <c r="I1330">
        <v>1568</v>
      </c>
      <c r="J1330">
        <v>61473</v>
      </c>
      <c r="K1330" t="s">
        <v>8075</v>
      </c>
      <c r="L1330">
        <v>20</v>
      </c>
      <c r="M1330">
        <v>20</v>
      </c>
      <c r="N1330">
        <v>61473</v>
      </c>
      <c r="O1330">
        <v>1303</v>
      </c>
      <c r="P1330" t="s">
        <v>3213</v>
      </c>
      <c r="Q1330">
        <v>0.1</v>
      </c>
      <c r="R1330">
        <v>6.58</v>
      </c>
      <c r="S1330">
        <v>0.03</v>
      </c>
      <c r="T1330">
        <v>3</v>
      </c>
      <c r="U1330">
        <v>1700672.0884499999</v>
      </c>
      <c r="V1330">
        <v>5900.1931070000001</v>
      </c>
      <c r="W1330">
        <v>1329</v>
      </c>
      <c r="X1330">
        <v>0</v>
      </c>
      <c r="Y1330">
        <v>1328</v>
      </c>
      <c r="Z1330" t="s">
        <v>6966</v>
      </c>
      <c r="AA1330" t="s">
        <v>6966</v>
      </c>
      <c r="AB1330" t="s">
        <v>6966</v>
      </c>
      <c r="AC1330" t="s">
        <v>6966</v>
      </c>
      <c r="AD1330" t="s">
        <v>6966</v>
      </c>
      <c r="AE1330" t="s">
        <v>6966</v>
      </c>
      <c r="AF1330" t="s">
        <v>6966</v>
      </c>
      <c r="AG1330" t="s">
        <v>6966</v>
      </c>
      <c r="AH1330" t="s">
        <v>6966</v>
      </c>
      <c r="AI1330" t="s">
        <v>6966</v>
      </c>
      <c r="AJ1330" t="s">
        <v>6966</v>
      </c>
      <c r="AK1330" t="s">
        <v>6966</v>
      </c>
      <c r="AL1330" t="s">
        <v>6966</v>
      </c>
      <c r="AM1330" t="s">
        <v>6966</v>
      </c>
      <c r="AN1330" t="s">
        <v>6966</v>
      </c>
      <c r="AO1330" t="s">
        <v>6966</v>
      </c>
      <c r="AP1330" t="s">
        <v>6966</v>
      </c>
      <c r="AQ1330" t="s">
        <v>6966</v>
      </c>
      <c r="AR1330" t="s">
        <v>6966</v>
      </c>
      <c r="AS1330" t="s">
        <v>6966</v>
      </c>
      <c r="AT1330" t="s">
        <v>6966</v>
      </c>
      <c r="AU1330" t="s">
        <v>6966</v>
      </c>
      <c r="AV1330" t="s">
        <v>6966</v>
      </c>
      <c r="AW1330" t="s">
        <v>6966</v>
      </c>
      <c r="AX1330" t="s">
        <v>6966</v>
      </c>
      <c r="AY1330" t="s">
        <v>6966</v>
      </c>
      <c r="AZ1330">
        <v>5.7799999999999997E-2</v>
      </c>
      <c r="BA1330">
        <v>1.65E-4</v>
      </c>
    </row>
    <row r="1331" spans="1:53" x14ac:dyDescent="0.25">
      <c r="A1331">
        <v>1329</v>
      </c>
      <c r="B1331" t="s">
        <v>7625</v>
      </c>
      <c r="C1331">
        <v>402008</v>
      </c>
      <c r="D1331" t="s">
        <v>1166</v>
      </c>
      <c r="E1331" t="s">
        <v>7999</v>
      </c>
      <c r="F1331">
        <v>8375467.5</v>
      </c>
      <c r="G1331">
        <v>18443.869140999999</v>
      </c>
      <c r="H1331">
        <v>1331</v>
      </c>
      <c r="I1331">
        <v>1569</v>
      </c>
      <c r="J1331">
        <v>55121</v>
      </c>
      <c r="K1331" t="s">
        <v>2490</v>
      </c>
      <c r="L1331">
        <v>19</v>
      </c>
      <c r="M1331">
        <v>19</v>
      </c>
      <c r="N1331">
        <v>55121</v>
      </c>
      <c r="O1331">
        <v>1304</v>
      </c>
      <c r="P1331" t="s">
        <v>3214</v>
      </c>
      <c r="Q1331">
        <v>1.2</v>
      </c>
      <c r="R1331">
        <v>69.849999999999994</v>
      </c>
      <c r="S1331">
        <v>0.22</v>
      </c>
      <c r="T1331">
        <v>13</v>
      </c>
      <c r="U1331">
        <v>8375467.5201399997</v>
      </c>
      <c r="V1331">
        <v>18443.867407000002</v>
      </c>
      <c r="W1331">
        <v>1330</v>
      </c>
      <c r="X1331">
        <v>0</v>
      </c>
      <c r="Y1331">
        <v>1329</v>
      </c>
      <c r="Z1331" t="s">
        <v>6966</v>
      </c>
      <c r="AA1331" t="s">
        <v>6966</v>
      </c>
      <c r="AB1331" t="s">
        <v>6966</v>
      </c>
      <c r="AC1331" t="s">
        <v>6966</v>
      </c>
      <c r="AD1331" t="s">
        <v>6966</v>
      </c>
      <c r="AE1331" t="s">
        <v>6966</v>
      </c>
      <c r="AF1331" t="s">
        <v>6966</v>
      </c>
      <c r="AG1331" t="s">
        <v>6966</v>
      </c>
      <c r="AH1331" t="s">
        <v>6966</v>
      </c>
      <c r="AI1331" t="s">
        <v>6966</v>
      </c>
      <c r="AJ1331" t="s">
        <v>6966</v>
      </c>
      <c r="AK1331" t="s">
        <v>6966</v>
      </c>
      <c r="AL1331" t="s">
        <v>6966</v>
      </c>
      <c r="AM1331" t="s">
        <v>6966</v>
      </c>
      <c r="AN1331" t="s">
        <v>6966</v>
      </c>
      <c r="AO1331" t="s">
        <v>6966</v>
      </c>
      <c r="AP1331" t="s">
        <v>6966</v>
      </c>
      <c r="AQ1331" t="s">
        <v>6966</v>
      </c>
      <c r="AR1331" t="s">
        <v>6966</v>
      </c>
      <c r="AS1331" t="s">
        <v>6966</v>
      </c>
      <c r="AT1331" t="s">
        <v>6966</v>
      </c>
      <c r="AU1331" t="s">
        <v>6966</v>
      </c>
      <c r="AV1331" t="s">
        <v>6966</v>
      </c>
      <c r="AW1331" t="s">
        <v>6966</v>
      </c>
      <c r="AX1331" t="s">
        <v>6966</v>
      </c>
      <c r="AY1331" t="s">
        <v>6966</v>
      </c>
      <c r="AZ1331">
        <v>0.18307399999999999</v>
      </c>
      <c r="BA1331">
        <v>8.12E-4</v>
      </c>
    </row>
    <row r="1332" spans="1:53" x14ac:dyDescent="0.25">
      <c r="A1332">
        <v>1330</v>
      </c>
      <c r="B1332" t="s">
        <v>7625</v>
      </c>
      <c r="C1332">
        <v>802040</v>
      </c>
      <c r="D1332" t="s">
        <v>8076</v>
      </c>
      <c r="E1332" t="s">
        <v>3039</v>
      </c>
      <c r="F1332">
        <v>2654938.5</v>
      </c>
      <c r="G1332">
        <v>9856.6660159999992</v>
      </c>
      <c r="H1332">
        <v>1332</v>
      </c>
      <c r="I1332">
        <v>1570</v>
      </c>
      <c r="J1332">
        <v>61476</v>
      </c>
      <c r="K1332" t="s">
        <v>8077</v>
      </c>
      <c r="L1332">
        <v>20</v>
      </c>
      <c r="M1332">
        <v>20</v>
      </c>
      <c r="N1332">
        <v>61476</v>
      </c>
      <c r="O1332">
        <v>1305</v>
      </c>
      <c r="P1332" t="s">
        <v>3213</v>
      </c>
      <c r="Q1332">
        <v>2.7</v>
      </c>
      <c r="R1332">
        <v>42.38</v>
      </c>
      <c r="S1332">
        <v>0.63</v>
      </c>
      <c r="T1332">
        <v>10</v>
      </c>
      <c r="U1332">
        <v>2654938.6037699999</v>
      </c>
      <c r="V1332">
        <v>9856.6666299999997</v>
      </c>
      <c r="W1332">
        <v>1331</v>
      </c>
      <c r="X1332">
        <v>0</v>
      </c>
      <c r="Y1332">
        <v>1330</v>
      </c>
      <c r="Z1332" t="s">
        <v>6966</v>
      </c>
      <c r="AA1332" t="s">
        <v>6966</v>
      </c>
      <c r="AB1332" t="s">
        <v>6966</v>
      </c>
      <c r="AC1332" t="s">
        <v>6966</v>
      </c>
      <c r="AD1332" t="s">
        <v>6966</v>
      </c>
      <c r="AE1332" t="s">
        <v>6966</v>
      </c>
      <c r="AF1332" t="s">
        <v>6966</v>
      </c>
      <c r="AG1332" t="s">
        <v>6966</v>
      </c>
      <c r="AH1332" t="s">
        <v>6966</v>
      </c>
      <c r="AI1332" t="s">
        <v>6966</v>
      </c>
      <c r="AJ1332" t="s">
        <v>6966</v>
      </c>
      <c r="AK1332" t="s">
        <v>6966</v>
      </c>
      <c r="AL1332" t="s">
        <v>6966</v>
      </c>
      <c r="AM1332" t="s">
        <v>6966</v>
      </c>
      <c r="AN1332" t="s">
        <v>6966</v>
      </c>
      <c r="AO1332" t="s">
        <v>6966</v>
      </c>
      <c r="AP1332" t="s">
        <v>6966</v>
      </c>
      <c r="AQ1332" t="s">
        <v>6966</v>
      </c>
      <c r="AR1332" t="s">
        <v>6966</v>
      </c>
      <c r="AS1332" t="s">
        <v>6966</v>
      </c>
      <c r="AT1332" t="s">
        <v>6966</v>
      </c>
      <c r="AU1332" t="s">
        <v>6966</v>
      </c>
      <c r="AV1332" t="s">
        <v>6966</v>
      </c>
      <c r="AW1332" t="s">
        <v>6966</v>
      </c>
      <c r="AX1332" t="s">
        <v>6966</v>
      </c>
      <c r="AY1332" t="s">
        <v>6966</v>
      </c>
      <c r="AZ1332">
        <v>9.7777000000000003E-2</v>
      </c>
      <c r="BA1332">
        <v>2.5700000000000001E-4</v>
      </c>
    </row>
    <row r="1333" spans="1:53" x14ac:dyDescent="0.25">
      <c r="A1333">
        <v>1331</v>
      </c>
      <c r="B1333" t="s">
        <v>7625</v>
      </c>
      <c r="C1333">
        <v>401040</v>
      </c>
      <c r="D1333" t="s">
        <v>1064</v>
      </c>
      <c r="E1333" t="s">
        <v>3221</v>
      </c>
      <c r="F1333">
        <v>8984450</v>
      </c>
      <c r="G1333">
        <v>16890.759765999999</v>
      </c>
      <c r="H1333">
        <v>1333</v>
      </c>
      <c r="I1333">
        <v>1571</v>
      </c>
      <c r="J1333">
        <v>52281</v>
      </c>
      <c r="K1333" t="s">
        <v>2408</v>
      </c>
      <c r="L1333">
        <v>16</v>
      </c>
      <c r="M1333">
        <v>16</v>
      </c>
      <c r="N1333">
        <v>52281</v>
      </c>
      <c r="O1333">
        <v>1306</v>
      </c>
      <c r="P1333" t="s">
        <v>3214</v>
      </c>
      <c r="Q1333">
        <v>2</v>
      </c>
      <c r="R1333">
        <v>51.16</v>
      </c>
      <c r="S1333">
        <v>0.51</v>
      </c>
      <c r="T1333">
        <v>13</v>
      </c>
      <c r="U1333">
        <v>8984449.9041499998</v>
      </c>
      <c r="V1333">
        <v>16890.758832</v>
      </c>
      <c r="W1333">
        <v>1332</v>
      </c>
      <c r="X1333">
        <v>3</v>
      </c>
      <c r="Y1333">
        <v>1331</v>
      </c>
      <c r="Z1333">
        <v>66516</v>
      </c>
      <c r="AA1333" s="76">
        <v>45861</v>
      </c>
      <c r="AB1333">
        <v>2025</v>
      </c>
      <c r="AC1333" t="s">
        <v>7313</v>
      </c>
      <c r="AD1333">
        <v>23</v>
      </c>
      <c r="AE1333" t="s">
        <v>7125</v>
      </c>
      <c r="AF1333" t="s">
        <v>3214</v>
      </c>
      <c r="AG1333" t="s">
        <v>3221</v>
      </c>
      <c r="AH1333" t="s">
        <v>1064</v>
      </c>
      <c r="AI1333" t="s">
        <v>7126</v>
      </c>
      <c r="AJ1333" t="s">
        <v>6966</v>
      </c>
      <c r="AK1333">
        <v>33.486179999999997</v>
      </c>
      <c r="AL1333">
        <v>35.669440000000002</v>
      </c>
      <c r="AM1333" t="s">
        <v>7028</v>
      </c>
      <c r="AN1333" t="s">
        <v>6995</v>
      </c>
      <c r="AO1333" t="s">
        <v>7198</v>
      </c>
      <c r="AP1333" t="s">
        <v>7371</v>
      </c>
      <c r="AQ1333" t="s">
        <v>6998</v>
      </c>
      <c r="AR1333" t="s">
        <v>7048</v>
      </c>
      <c r="AS1333" t="s">
        <v>7036</v>
      </c>
      <c r="AT1333">
        <v>0</v>
      </c>
      <c r="AU1333">
        <v>2</v>
      </c>
      <c r="AV1333" t="s">
        <v>7423</v>
      </c>
      <c r="AW1333" t="s">
        <v>7119</v>
      </c>
      <c r="AX1333" t="s">
        <v>7129</v>
      </c>
      <c r="AY1333" t="s">
        <v>7044</v>
      </c>
      <c r="AZ1333">
        <v>0.16700999999999999</v>
      </c>
      <c r="BA1333">
        <v>8.7100000000000003E-4</v>
      </c>
    </row>
    <row r="1334" spans="1:53" x14ac:dyDescent="0.25">
      <c r="A1334">
        <v>1332</v>
      </c>
      <c r="B1334" t="s">
        <v>7625</v>
      </c>
      <c r="C1334">
        <v>801047</v>
      </c>
      <c r="D1334" t="s">
        <v>1367</v>
      </c>
      <c r="E1334" t="s">
        <v>1342</v>
      </c>
      <c r="F1334">
        <v>1692999.5</v>
      </c>
      <c r="G1334">
        <v>9145.9736329999996</v>
      </c>
      <c r="H1334">
        <v>1334</v>
      </c>
      <c r="I1334">
        <v>1572</v>
      </c>
      <c r="J1334">
        <v>63194</v>
      </c>
      <c r="K1334" t="s">
        <v>2651</v>
      </c>
      <c r="L1334">
        <v>22</v>
      </c>
      <c r="M1334">
        <v>22</v>
      </c>
      <c r="N1334">
        <v>63194</v>
      </c>
      <c r="O1334">
        <v>1307</v>
      </c>
      <c r="P1334" t="s">
        <v>3213</v>
      </c>
      <c r="Q1334">
        <v>0</v>
      </c>
      <c r="R1334">
        <v>0</v>
      </c>
      <c r="S1334">
        <v>0</v>
      </c>
      <c r="T1334">
        <v>0</v>
      </c>
      <c r="U1334">
        <v>1692999.4239099999</v>
      </c>
      <c r="V1334">
        <v>9145.9742979999992</v>
      </c>
      <c r="W1334">
        <v>1333</v>
      </c>
      <c r="X1334">
        <v>0</v>
      </c>
      <c r="Y1334">
        <v>1332</v>
      </c>
      <c r="Z1334" t="s">
        <v>6966</v>
      </c>
      <c r="AA1334" t="s">
        <v>6966</v>
      </c>
      <c r="AB1334" t="s">
        <v>6966</v>
      </c>
      <c r="AC1334" t="s">
        <v>6966</v>
      </c>
      <c r="AD1334" t="s">
        <v>6966</v>
      </c>
      <c r="AE1334" t="s">
        <v>6966</v>
      </c>
      <c r="AF1334" t="s">
        <v>6966</v>
      </c>
      <c r="AG1334" t="s">
        <v>6966</v>
      </c>
      <c r="AH1334" t="s">
        <v>6966</v>
      </c>
      <c r="AI1334" t="s">
        <v>6966</v>
      </c>
      <c r="AJ1334" t="s">
        <v>6966</v>
      </c>
      <c r="AK1334" t="s">
        <v>6966</v>
      </c>
      <c r="AL1334" t="s">
        <v>6966</v>
      </c>
      <c r="AM1334" t="s">
        <v>6966</v>
      </c>
      <c r="AN1334" t="s">
        <v>6966</v>
      </c>
      <c r="AO1334" t="s">
        <v>6966</v>
      </c>
      <c r="AP1334" t="s">
        <v>6966</v>
      </c>
      <c r="AQ1334" t="s">
        <v>6966</v>
      </c>
      <c r="AR1334" t="s">
        <v>6966</v>
      </c>
      <c r="AS1334" t="s">
        <v>6966</v>
      </c>
      <c r="AT1334" t="s">
        <v>6966</v>
      </c>
      <c r="AU1334" t="s">
        <v>6966</v>
      </c>
      <c r="AV1334" t="s">
        <v>6966</v>
      </c>
      <c r="AW1334" t="s">
        <v>6966</v>
      </c>
      <c r="AX1334" t="s">
        <v>6966</v>
      </c>
      <c r="AY1334" t="s">
        <v>6966</v>
      </c>
      <c r="AZ1334">
        <v>8.9800000000000005E-2</v>
      </c>
      <c r="BA1334">
        <v>1.64E-4</v>
      </c>
    </row>
    <row r="1335" spans="1:53" x14ac:dyDescent="0.25">
      <c r="A1335">
        <v>1333</v>
      </c>
      <c r="B1335" t="s">
        <v>7625</v>
      </c>
      <c r="C1335">
        <v>802013</v>
      </c>
      <c r="D1335" t="s">
        <v>1255</v>
      </c>
      <c r="E1335" t="s">
        <v>3039</v>
      </c>
      <c r="F1335">
        <v>4085832</v>
      </c>
      <c r="G1335">
        <v>13901.341796999999</v>
      </c>
      <c r="H1335">
        <v>1335</v>
      </c>
      <c r="I1335">
        <v>1573</v>
      </c>
      <c r="J1335">
        <v>61481</v>
      </c>
      <c r="K1335" t="s">
        <v>1255</v>
      </c>
      <c r="L1335">
        <v>20</v>
      </c>
      <c r="M1335">
        <v>20</v>
      </c>
      <c r="N1335">
        <v>61481</v>
      </c>
      <c r="O1335">
        <v>1308</v>
      </c>
      <c r="P1335" t="s">
        <v>3213</v>
      </c>
      <c r="Q1335">
        <v>4.4000000000000004</v>
      </c>
      <c r="R1335">
        <v>52.94</v>
      </c>
      <c r="S1335">
        <v>1.01</v>
      </c>
      <c r="T1335">
        <v>12</v>
      </c>
      <c r="U1335">
        <v>4085831.85255</v>
      </c>
      <c r="V1335">
        <v>13901.342816</v>
      </c>
      <c r="W1335">
        <v>1334</v>
      </c>
      <c r="X1335">
        <v>0</v>
      </c>
      <c r="Y1335">
        <v>1333</v>
      </c>
      <c r="Z1335" t="s">
        <v>6966</v>
      </c>
      <c r="AA1335" t="s">
        <v>6966</v>
      </c>
      <c r="AB1335" t="s">
        <v>6966</v>
      </c>
      <c r="AC1335" t="s">
        <v>6966</v>
      </c>
      <c r="AD1335" t="s">
        <v>6966</v>
      </c>
      <c r="AE1335" t="s">
        <v>6966</v>
      </c>
      <c r="AF1335" t="s">
        <v>6966</v>
      </c>
      <c r="AG1335" t="s">
        <v>6966</v>
      </c>
      <c r="AH1335" t="s">
        <v>6966</v>
      </c>
      <c r="AI1335" t="s">
        <v>6966</v>
      </c>
      <c r="AJ1335" t="s">
        <v>6966</v>
      </c>
      <c r="AK1335" t="s">
        <v>6966</v>
      </c>
      <c r="AL1335" t="s">
        <v>6966</v>
      </c>
      <c r="AM1335" t="s">
        <v>6966</v>
      </c>
      <c r="AN1335" t="s">
        <v>6966</v>
      </c>
      <c r="AO1335" t="s">
        <v>6966</v>
      </c>
      <c r="AP1335" t="s">
        <v>6966</v>
      </c>
      <c r="AQ1335" t="s">
        <v>6966</v>
      </c>
      <c r="AR1335" t="s">
        <v>6966</v>
      </c>
      <c r="AS1335" t="s">
        <v>6966</v>
      </c>
      <c r="AT1335" t="s">
        <v>6966</v>
      </c>
      <c r="AU1335" t="s">
        <v>6966</v>
      </c>
      <c r="AV1335" t="s">
        <v>6966</v>
      </c>
      <c r="AW1335" t="s">
        <v>6966</v>
      </c>
      <c r="AX1335" t="s">
        <v>6966</v>
      </c>
      <c r="AY1335" t="s">
        <v>6966</v>
      </c>
      <c r="AZ1335">
        <v>0.140788</v>
      </c>
      <c r="BA1335">
        <v>3.9599999999999998E-4</v>
      </c>
    </row>
    <row r="1336" spans="1:53" x14ac:dyDescent="0.25">
      <c r="A1336">
        <v>1334</v>
      </c>
      <c r="B1336" t="s">
        <v>7625</v>
      </c>
      <c r="C1336">
        <v>801031</v>
      </c>
      <c r="D1336" t="s">
        <v>1393</v>
      </c>
      <c r="E1336" t="s">
        <v>1342</v>
      </c>
      <c r="F1336">
        <v>2310898.75</v>
      </c>
      <c r="G1336">
        <v>7803.6943359999996</v>
      </c>
      <c r="H1336">
        <v>1336</v>
      </c>
      <c r="I1336">
        <v>1574</v>
      </c>
      <c r="J1336">
        <v>63294</v>
      </c>
      <c r="K1336" t="s">
        <v>1393</v>
      </c>
      <c r="L1336">
        <v>22</v>
      </c>
      <c r="M1336">
        <v>22</v>
      </c>
      <c r="N1336">
        <v>63294</v>
      </c>
      <c r="O1336">
        <v>1309</v>
      </c>
      <c r="P1336" t="s">
        <v>3213</v>
      </c>
      <c r="Q1336">
        <v>1.1000000000000001</v>
      </c>
      <c r="R1336">
        <v>14.57</v>
      </c>
      <c r="S1336">
        <v>0.85</v>
      </c>
      <c r="T1336">
        <v>11</v>
      </c>
      <c r="U1336">
        <v>2310898.8197900001</v>
      </c>
      <c r="V1336">
        <v>7803.6947899999996</v>
      </c>
      <c r="W1336">
        <v>1335</v>
      </c>
      <c r="X1336">
        <v>0</v>
      </c>
      <c r="Y1336">
        <v>1334</v>
      </c>
      <c r="Z1336" t="s">
        <v>6966</v>
      </c>
      <c r="AA1336" t="s">
        <v>6966</v>
      </c>
      <c r="AB1336" t="s">
        <v>6966</v>
      </c>
      <c r="AC1336" t="s">
        <v>6966</v>
      </c>
      <c r="AD1336" t="s">
        <v>6966</v>
      </c>
      <c r="AE1336" t="s">
        <v>6966</v>
      </c>
      <c r="AF1336" t="s">
        <v>6966</v>
      </c>
      <c r="AG1336" t="s">
        <v>6966</v>
      </c>
      <c r="AH1336" t="s">
        <v>6966</v>
      </c>
      <c r="AI1336" t="s">
        <v>6966</v>
      </c>
      <c r="AJ1336" t="s">
        <v>6966</v>
      </c>
      <c r="AK1336" t="s">
        <v>6966</v>
      </c>
      <c r="AL1336" t="s">
        <v>6966</v>
      </c>
      <c r="AM1336" t="s">
        <v>6966</v>
      </c>
      <c r="AN1336" t="s">
        <v>6966</v>
      </c>
      <c r="AO1336" t="s">
        <v>6966</v>
      </c>
      <c r="AP1336" t="s">
        <v>6966</v>
      </c>
      <c r="AQ1336" t="s">
        <v>6966</v>
      </c>
      <c r="AR1336" t="s">
        <v>6966</v>
      </c>
      <c r="AS1336" t="s">
        <v>6966</v>
      </c>
      <c r="AT1336" t="s">
        <v>6966</v>
      </c>
      <c r="AU1336" t="s">
        <v>6966</v>
      </c>
      <c r="AV1336" t="s">
        <v>6966</v>
      </c>
      <c r="AW1336" t="s">
        <v>6966</v>
      </c>
      <c r="AX1336" t="s">
        <v>6966</v>
      </c>
      <c r="AY1336" t="s">
        <v>6966</v>
      </c>
      <c r="AZ1336">
        <v>7.7130000000000004E-2</v>
      </c>
      <c r="BA1336">
        <v>2.24E-4</v>
      </c>
    </row>
    <row r="1337" spans="1:53" x14ac:dyDescent="0.25">
      <c r="A1337">
        <v>1335</v>
      </c>
      <c r="B1337" t="s">
        <v>7625</v>
      </c>
      <c r="C1337">
        <v>802030</v>
      </c>
      <c r="D1337" t="s">
        <v>1264</v>
      </c>
      <c r="E1337" t="s">
        <v>3039</v>
      </c>
      <c r="F1337">
        <v>682175.375</v>
      </c>
      <c r="G1337">
        <v>4897.9555659999996</v>
      </c>
      <c r="H1337">
        <v>1337</v>
      </c>
      <c r="I1337">
        <v>1575</v>
      </c>
      <c r="J1337">
        <v>61494</v>
      </c>
      <c r="K1337" t="s">
        <v>2568</v>
      </c>
      <c r="L1337">
        <v>20</v>
      </c>
      <c r="M1337">
        <v>20</v>
      </c>
      <c r="N1337">
        <v>61494</v>
      </c>
      <c r="O1337">
        <v>1310</v>
      </c>
      <c r="P1337" t="s">
        <v>3213</v>
      </c>
      <c r="Q1337">
        <v>2</v>
      </c>
      <c r="R1337">
        <v>8.5500000000000007</v>
      </c>
      <c r="S1337">
        <v>0.94</v>
      </c>
      <c r="T1337">
        <v>4</v>
      </c>
      <c r="U1337">
        <v>682175.29230600002</v>
      </c>
      <c r="V1337">
        <v>4897.9550399999998</v>
      </c>
      <c r="W1337">
        <v>1336</v>
      </c>
      <c r="X1337">
        <v>0</v>
      </c>
      <c r="Y1337">
        <v>1335</v>
      </c>
      <c r="Z1337" t="s">
        <v>6966</v>
      </c>
      <c r="AA1337" t="s">
        <v>6966</v>
      </c>
      <c r="AB1337" t="s">
        <v>6966</v>
      </c>
      <c r="AC1337" t="s">
        <v>6966</v>
      </c>
      <c r="AD1337" t="s">
        <v>6966</v>
      </c>
      <c r="AE1337" t="s">
        <v>6966</v>
      </c>
      <c r="AF1337" t="s">
        <v>6966</v>
      </c>
      <c r="AG1337" t="s">
        <v>6966</v>
      </c>
      <c r="AH1337" t="s">
        <v>6966</v>
      </c>
      <c r="AI1337" t="s">
        <v>6966</v>
      </c>
      <c r="AJ1337" t="s">
        <v>6966</v>
      </c>
      <c r="AK1337" t="s">
        <v>6966</v>
      </c>
      <c r="AL1337" t="s">
        <v>6966</v>
      </c>
      <c r="AM1337" t="s">
        <v>6966</v>
      </c>
      <c r="AN1337" t="s">
        <v>6966</v>
      </c>
      <c r="AO1337" t="s">
        <v>6966</v>
      </c>
      <c r="AP1337" t="s">
        <v>6966</v>
      </c>
      <c r="AQ1337" t="s">
        <v>6966</v>
      </c>
      <c r="AR1337" t="s">
        <v>6966</v>
      </c>
      <c r="AS1337" t="s">
        <v>6966</v>
      </c>
      <c r="AT1337" t="s">
        <v>6966</v>
      </c>
      <c r="AU1337" t="s">
        <v>6966</v>
      </c>
      <c r="AV1337" t="s">
        <v>6966</v>
      </c>
      <c r="AW1337" t="s">
        <v>6966</v>
      </c>
      <c r="AX1337" t="s">
        <v>6966</v>
      </c>
      <c r="AY1337" t="s">
        <v>6966</v>
      </c>
      <c r="AZ1337">
        <v>4.9977000000000001E-2</v>
      </c>
      <c r="BA1337">
        <v>6.6000000000000005E-5</v>
      </c>
    </row>
    <row r="1338" spans="1:53" x14ac:dyDescent="0.25">
      <c r="A1338">
        <v>1336</v>
      </c>
      <c r="B1338" t="s">
        <v>7625</v>
      </c>
      <c r="C1338">
        <v>401023</v>
      </c>
      <c r="D1338" t="s">
        <v>1062</v>
      </c>
      <c r="E1338" t="s">
        <v>3221</v>
      </c>
      <c r="F1338">
        <v>0</v>
      </c>
      <c r="G1338">
        <v>18161.785156000002</v>
      </c>
      <c r="H1338">
        <v>1338</v>
      </c>
      <c r="I1338">
        <v>1576</v>
      </c>
      <c r="J1338">
        <v>52274</v>
      </c>
      <c r="K1338" t="s">
        <v>2406</v>
      </c>
      <c r="L1338">
        <v>16</v>
      </c>
      <c r="M1338">
        <v>16</v>
      </c>
      <c r="N1338">
        <v>52274</v>
      </c>
      <c r="O1338">
        <v>1311</v>
      </c>
      <c r="P1338" t="s">
        <v>3214</v>
      </c>
      <c r="Q1338">
        <v>1.9</v>
      </c>
      <c r="R1338">
        <v>75.52</v>
      </c>
      <c r="S1338">
        <v>0.48</v>
      </c>
      <c r="T1338">
        <v>19</v>
      </c>
      <c r="U1338">
        <v>0</v>
      </c>
      <c r="V1338">
        <v>18161.785315000001</v>
      </c>
      <c r="W1338">
        <v>1337</v>
      </c>
      <c r="X1338">
        <v>0</v>
      </c>
      <c r="Y1338">
        <v>1336</v>
      </c>
      <c r="Z1338" t="s">
        <v>6966</v>
      </c>
      <c r="AA1338" t="s">
        <v>6966</v>
      </c>
      <c r="AB1338" t="s">
        <v>6966</v>
      </c>
      <c r="AC1338" t="s">
        <v>6966</v>
      </c>
      <c r="AD1338" t="s">
        <v>6966</v>
      </c>
      <c r="AE1338" t="s">
        <v>6966</v>
      </c>
      <c r="AF1338" t="s">
        <v>6966</v>
      </c>
      <c r="AG1338" t="s">
        <v>6966</v>
      </c>
      <c r="AH1338" t="s">
        <v>6966</v>
      </c>
      <c r="AI1338" t="s">
        <v>6966</v>
      </c>
      <c r="AJ1338" t="s">
        <v>6966</v>
      </c>
      <c r="AK1338" t="s">
        <v>6966</v>
      </c>
      <c r="AL1338" t="s">
        <v>6966</v>
      </c>
      <c r="AM1338" t="s">
        <v>6966</v>
      </c>
      <c r="AN1338" t="s">
        <v>6966</v>
      </c>
      <c r="AO1338" t="s">
        <v>6966</v>
      </c>
      <c r="AP1338" t="s">
        <v>6966</v>
      </c>
      <c r="AQ1338" t="s">
        <v>6966</v>
      </c>
      <c r="AR1338" t="s">
        <v>6966</v>
      </c>
      <c r="AS1338" t="s">
        <v>6966</v>
      </c>
      <c r="AT1338" t="s">
        <v>6966</v>
      </c>
      <c r="AU1338" t="s">
        <v>6966</v>
      </c>
      <c r="AV1338" t="s">
        <v>6966</v>
      </c>
      <c r="AW1338" t="s">
        <v>6966</v>
      </c>
      <c r="AX1338" t="s">
        <v>6966</v>
      </c>
      <c r="AY1338" t="s">
        <v>6966</v>
      </c>
      <c r="AZ1338">
        <v>0.18067</v>
      </c>
      <c r="BA1338">
        <v>1.2019999999999999E-3</v>
      </c>
    </row>
    <row r="1339" spans="1:53" x14ac:dyDescent="0.25">
      <c r="A1339">
        <v>1337</v>
      </c>
      <c r="B1339" t="s">
        <v>7625</v>
      </c>
      <c r="C1339">
        <v>402041</v>
      </c>
      <c r="D1339" t="s">
        <v>87</v>
      </c>
      <c r="E1339" t="s">
        <v>7999</v>
      </c>
      <c r="F1339">
        <v>219976.453125</v>
      </c>
      <c r="G1339">
        <v>3360.7705080000001</v>
      </c>
      <c r="H1339">
        <v>1339</v>
      </c>
      <c r="I1339">
        <v>1577</v>
      </c>
      <c r="J1339">
        <v>55006</v>
      </c>
      <c r="K1339" t="s">
        <v>87</v>
      </c>
      <c r="L1339">
        <v>19</v>
      </c>
      <c r="M1339">
        <v>19</v>
      </c>
      <c r="N1339">
        <v>55006</v>
      </c>
      <c r="O1339">
        <v>1312</v>
      </c>
      <c r="P1339" t="s">
        <v>3214</v>
      </c>
      <c r="Q1339">
        <v>0</v>
      </c>
      <c r="R1339">
        <v>0</v>
      </c>
      <c r="S1339">
        <v>0</v>
      </c>
      <c r="T1339">
        <v>0</v>
      </c>
      <c r="U1339">
        <v>219976.50331900001</v>
      </c>
      <c r="V1339">
        <v>3360.7700909999999</v>
      </c>
      <c r="W1339">
        <v>1338</v>
      </c>
      <c r="X1339">
        <v>0</v>
      </c>
      <c r="Y1339">
        <v>1337</v>
      </c>
      <c r="Z1339" t="s">
        <v>6966</v>
      </c>
      <c r="AA1339" t="s">
        <v>6966</v>
      </c>
      <c r="AB1339" t="s">
        <v>6966</v>
      </c>
      <c r="AC1339" t="s">
        <v>6966</v>
      </c>
      <c r="AD1339" t="s">
        <v>6966</v>
      </c>
      <c r="AE1339" t="s">
        <v>6966</v>
      </c>
      <c r="AF1339" t="s">
        <v>6966</v>
      </c>
      <c r="AG1339" t="s">
        <v>6966</v>
      </c>
      <c r="AH1339" t="s">
        <v>6966</v>
      </c>
      <c r="AI1339" t="s">
        <v>6966</v>
      </c>
      <c r="AJ1339" t="s">
        <v>6966</v>
      </c>
      <c r="AK1339" t="s">
        <v>6966</v>
      </c>
      <c r="AL1339" t="s">
        <v>6966</v>
      </c>
      <c r="AM1339" t="s">
        <v>6966</v>
      </c>
      <c r="AN1339" t="s">
        <v>6966</v>
      </c>
      <c r="AO1339" t="s">
        <v>6966</v>
      </c>
      <c r="AP1339" t="s">
        <v>6966</v>
      </c>
      <c r="AQ1339" t="s">
        <v>6966</v>
      </c>
      <c r="AR1339" t="s">
        <v>6966</v>
      </c>
      <c r="AS1339" t="s">
        <v>6966</v>
      </c>
      <c r="AT1339" t="s">
        <v>6966</v>
      </c>
      <c r="AU1339" t="s">
        <v>6966</v>
      </c>
      <c r="AV1339" t="s">
        <v>6966</v>
      </c>
      <c r="AW1339" t="s">
        <v>6966</v>
      </c>
      <c r="AX1339" t="s">
        <v>6966</v>
      </c>
      <c r="AY1339" t="s">
        <v>6966</v>
      </c>
      <c r="AZ1339">
        <v>3.3252999999999998E-2</v>
      </c>
      <c r="BA1339">
        <v>2.0999999999999999E-5</v>
      </c>
    </row>
    <row r="1340" spans="1:53" x14ac:dyDescent="0.25">
      <c r="A1340">
        <v>1338</v>
      </c>
      <c r="B1340" t="s">
        <v>7625</v>
      </c>
      <c r="C1340">
        <v>402016</v>
      </c>
      <c r="D1340" t="s">
        <v>8078</v>
      </c>
      <c r="E1340" t="s">
        <v>7999</v>
      </c>
      <c r="F1340">
        <v>7567426</v>
      </c>
      <c r="G1340">
        <v>14006.509765999999</v>
      </c>
      <c r="H1340">
        <v>1340</v>
      </c>
      <c r="I1340">
        <v>1578</v>
      </c>
      <c r="J1340">
        <v>55161</v>
      </c>
      <c r="K1340" t="s">
        <v>8079</v>
      </c>
      <c r="L1340">
        <v>19</v>
      </c>
      <c r="M1340">
        <v>19</v>
      </c>
      <c r="N1340">
        <v>55161</v>
      </c>
      <c r="O1340">
        <v>1313</v>
      </c>
      <c r="P1340" t="s">
        <v>3214</v>
      </c>
      <c r="Q1340">
        <v>0.6</v>
      </c>
      <c r="R1340">
        <v>39.42</v>
      </c>
      <c r="S1340">
        <v>0.17</v>
      </c>
      <c r="T1340">
        <v>11</v>
      </c>
      <c r="U1340">
        <v>7567426.0570900002</v>
      </c>
      <c r="V1340">
        <v>14006.509470999999</v>
      </c>
      <c r="W1340">
        <v>1339</v>
      </c>
      <c r="X1340">
        <v>1</v>
      </c>
      <c r="Y1340">
        <v>1338</v>
      </c>
      <c r="Z1340">
        <v>59390</v>
      </c>
      <c r="AA1340" s="76">
        <v>45741</v>
      </c>
      <c r="AB1340">
        <v>2025</v>
      </c>
      <c r="AC1340" t="s">
        <v>7104</v>
      </c>
      <c r="AD1340">
        <v>25</v>
      </c>
      <c r="AE1340" t="s">
        <v>7171</v>
      </c>
      <c r="AF1340" t="s">
        <v>3214</v>
      </c>
      <c r="AG1340" t="s">
        <v>3222</v>
      </c>
      <c r="AH1340" t="s">
        <v>7172</v>
      </c>
      <c r="AI1340" t="s">
        <v>7173</v>
      </c>
      <c r="AJ1340" t="s">
        <v>6966</v>
      </c>
      <c r="AK1340">
        <v>33.478769999999997</v>
      </c>
      <c r="AL1340">
        <v>35.771839999999997</v>
      </c>
      <c r="AM1340" t="s">
        <v>6995</v>
      </c>
      <c r="AN1340" t="s">
        <v>6966</v>
      </c>
      <c r="AO1340" t="s">
        <v>6996</v>
      </c>
      <c r="AP1340" t="s">
        <v>7174</v>
      </c>
      <c r="AQ1340" t="s">
        <v>6998</v>
      </c>
      <c r="AR1340" t="s">
        <v>6999</v>
      </c>
      <c r="AS1340" t="s">
        <v>7036</v>
      </c>
      <c r="AT1340">
        <v>0</v>
      </c>
      <c r="AU1340">
        <v>0</v>
      </c>
      <c r="AV1340" t="s">
        <v>6966</v>
      </c>
      <c r="AW1340" t="s">
        <v>7002</v>
      </c>
      <c r="AX1340" t="s">
        <v>6966</v>
      </c>
      <c r="AY1340" t="s">
        <v>7003</v>
      </c>
      <c r="AZ1340">
        <v>0.13764199999999999</v>
      </c>
      <c r="BA1340">
        <v>7.3399999999999995E-4</v>
      </c>
    </row>
    <row r="1341" spans="1:53" x14ac:dyDescent="0.25">
      <c r="A1341">
        <v>1339</v>
      </c>
      <c r="B1341" t="s">
        <v>7625</v>
      </c>
      <c r="C1341">
        <v>604029</v>
      </c>
      <c r="D1341" t="s">
        <v>1430</v>
      </c>
      <c r="E1341" t="s">
        <v>6965</v>
      </c>
      <c r="F1341">
        <v>4642178.5</v>
      </c>
      <c r="G1341">
        <v>11084.346680000001</v>
      </c>
      <c r="H1341">
        <v>1341</v>
      </c>
      <c r="I1341">
        <v>1579</v>
      </c>
      <c r="J1341">
        <v>71221</v>
      </c>
      <c r="K1341" t="s">
        <v>1430</v>
      </c>
      <c r="L1341">
        <v>23</v>
      </c>
      <c r="M1341">
        <v>23</v>
      </c>
      <c r="N1341">
        <v>71221</v>
      </c>
      <c r="O1341">
        <v>1314</v>
      </c>
      <c r="P1341" t="s">
        <v>6965</v>
      </c>
      <c r="Q1341">
        <v>2.6</v>
      </c>
      <c r="R1341">
        <v>52</v>
      </c>
      <c r="S1341">
        <v>0.69</v>
      </c>
      <c r="T1341">
        <v>14</v>
      </c>
      <c r="U1341">
        <v>4642178.5819300003</v>
      </c>
      <c r="V1341">
        <v>11084.348244999999</v>
      </c>
      <c r="W1341">
        <v>1340</v>
      </c>
      <c r="X1341">
        <v>0</v>
      </c>
      <c r="Y1341">
        <v>1339</v>
      </c>
      <c r="Z1341" t="s">
        <v>6966</v>
      </c>
      <c r="AA1341" t="s">
        <v>6966</v>
      </c>
      <c r="AB1341" t="s">
        <v>6966</v>
      </c>
      <c r="AC1341" t="s">
        <v>6966</v>
      </c>
      <c r="AD1341" t="s">
        <v>6966</v>
      </c>
      <c r="AE1341" t="s">
        <v>6966</v>
      </c>
      <c r="AF1341" t="s">
        <v>6966</v>
      </c>
      <c r="AG1341" t="s">
        <v>6966</v>
      </c>
      <c r="AH1341" t="s">
        <v>6966</v>
      </c>
      <c r="AI1341" t="s">
        <v>6966</v>
      </c>
      <c r="AJ1341" t="s">
        <v>6966</v>
      </c>
      <c r="AK1341" t="s">
        <v>6966</v>
      </c>
      <c r="AL1341" t="s">
        <v>6966</v>
      </c>
      <c r="AM1341" t="s">
        <v>6966</v>
      </c>
      <c r="AN1341" t="s">
        <v>6966</v>
      </c>
      <c r="AO1341" t="s">
        <v>6966</v>
      </c>
      <c r="AP1341" t="s">
        <v>6966</v>
      </c>
      <c r="AQ1341" t="s">
        <v>6966</v>
      </c>
      <c r="AR1341" t="s">
        <v>6966</v>
      </c>
      <c r="AS1341" t="s">
        <v>6966</v>
      </c>
      <c r="AT1341" t="s">
        <v>6966</v>
      </c>
      <c r="AU1341" t="s">
        <v>6966</v>
      </c>
      <c r="AV1341" t="s">
        <v>6966</v>
      </c>
      <c r="AW1341" t="s">
        <v>6966</v>
      </c>
      <c r="AX1341" t="s">
        <v>6966</v>
      </c>
      <c r="AY1341" t="s">
        <v>6966</v>
      </c>
      <c r="AZ1341">
        <v>0.11147</v>
      </c>
      <c r="BA1341">
        <v>4.4999999999999999E-4</v>
      </c>
    </row>
    <row r="1342" spans="1:53" x14ac:dyDescent="0.25">
      <c r="A1342">
        <v>1340</v>
      </c>
      <c r="B1342" t="s">
        <v>7625</v>
      </c>
      <c r="C1342">
        <v>802061</v>
      </c>
      <c r="D1342" t="s">
        <v>8080</v>
      </c>
      <c r="E1342" t="s">
        <v>3039</v>
      </c>
      <c r="F1342">
        <v>2418867.75</v>
      </c>
      <c r="G1342">
        <v>10428.297852</v>
      </c>
      <c r="H1342">
        <v>1342</v>
      </c>
      <c r="I1342">
        <v>1580</v>
      </c>
      <c r="J1342">
        <v>61464</v>
      </c>
      <c r="K1342" t="s">
        <v>2552</v>
      </c>
      <c r="L1342">
        <v>20</v>
      </c>
      <c r="M1342">
        <v>20</v>
      </c>
      <c r="N1342">
        <v>61464</v>
      </c>
      <c r="O1342">
        <v>1315</v>
      </c>
      <c r="P1342" t="s">
        <v>3213</v>
      </c>
      <c r="Q1342">
        <v>6.8</v>
      </c>
      <c r="R1342">
        <v>222.56</v>
      </c>
      <c r="S1342">
        <v>1.35</v>
      </c>
      <c r="T1342">
        <v>44</v>
      </c>
      <c r="U1342">
        <v>2418867.8463599999</v>
      </c>
      <c r="V1342">
        <v>10428.296824999999</v>
      </c>
      <c r="W1342">
        <v>1341</v>
      </c>
      <c r="X1342">
        <v>0</v>
      </c>
      <c r="Y1342">
        <v>1340</v>
      </c>
      <c r="Z1342" t="s">
        <v>6966</v>
      </c>
      <c r="AA1342" t="s">
        <v>6966</v>
      </c>
      <c r="AB1342" t="s">
        <v>6966</v>
      </c>
      <c r="AC1342" t="s">
        <v>6966</v>
      </c>
      <c r="AD1342" t="s">
        <v>6966</v>
      </c>
      <c r="AE1342" t="s">
        <v>6966</v>
      </c>
      <c r="AF1342" t="s">
        <v>6966</v>
      </c>
      <c r="AG1342" t="s">
        <v>6966</v>
      </c>
      <c r="AH1342" t="s">
        <v>6966</v>
      </c>
      <c r="AI1342" t="s">
        <v>6966</v>
      </c>
      <c r="AJ1342" t="s">
        <v>6966</v>
      </c>
      <c r="AK1342" t="s">
        <v>6966</v>
      </c>
      <c r="AL1342" t="s">
        <v>6966</v>
      </c>
      <c r="AM1342" t="s">
        <v>6966</v>
      </c>
      <c r="AN1342" t="s">
        <v>6966</v>
      </c>
      <c r="AO1342" t="s">
        <v>6966</v>
      </c>
      <c r="AP1342" t="s">
        <v>6966</v>
      </c>
      <c r="AQ1342" t="s">
        <v>6966</v>
      </c>
      <c r="AR1342" t="s">
        <v>6966</v>
      </c>
      <c r="AS1342" t="s">
        <v>6966</v>
      </c>
      <c r="AT1342" t="s">
        <v>6966</v>
      </c>
      <c r="AU1342" t="s">
        <v>6966</v>
      </c>
      <c r="AV1342" t="s">
        <v>6966</v>
      </c>
      <c r="AW1342" t="s">
        <v>6966</v>
      </c>
      <c r="AX1342" t="s">
        <v>6966</v>
      </c>
      <c r="AY1342" t="s">
        <v>6966</v>
      </c>
      <c r="AZ1342">
        <v>0.10369299999999999</v>
      </c>
      <c r="BA1342">
        <v>2.3499999999999999E-4</v>
      </c>
    </row>
    <row r="1343" spans="1:53" x14ac:dyDescent="0.25">
      <c r="A1343">
        <v>1341</v>
      </c>
      <c r="B1343" t="s">
        <v>7625</v>
      </c>
      <c r="C1343">
        <v>402009</v>
      </c>
      <c r="D1343" t="s">
        <v>1168</v>
      </c>
      <c r="E1343" t="s">
        <v>7999</v>
      </c>
      <c r="F1343">
        <v>3919829</v>
      </c>
      <c r="G1343">
        <v>11437.095703000001</v>
      </c>
      <c r="H1343">
        <v>1343</v>
      </c>
      <c r="I1343">
        <v>1581</v>
      </c>
      <c r="J1343">
        <v>55127</v>
      </c>
      <c r="K1343" t="s">
        <v>1168</v>
      </c>
      <c r="L1343">
        <v>19</v>
      </c>
      <c r="M1343">
        <v>19</v>
      </c>
      <c r="N1343">
        <v>55127</v>
      </c>
      <c r="O1343">
        <v>1316</v>
      </c>
      <c r="P1343" t="s">
        <v>3214</v>
      </c>
      <c r="Q1343">
        <v>0.9</v>
      </c>
      <c r="R1343">
        <v>46.67</v>
      </c>
      <c r="S1343">
        <v>0.3</v>
      </c>
      <c r="T1343">
        <v>15</v>
      </c>
      <c r="U1343">
        <v>3919829.00575</v>
      </c>
      <c r="V1343">
        <v>11437.094789000001</v>
      </c>
      <c r="W1343">
        <v>1342</v>
      </c>
      <c r="X1343">
        <v>0</v>
      </c>
      <c r="Y1343">
        <v>1341</v>
      </c>
      <c r="Z1343" t="s">
        <v>6966</v>
      </c>
      <c r="AA1343" t="s">
        <v>6966</v>
      </c>
      <c r="AB1343" t="s">
        <v>6966</v>
      </c>
      <c r="AC1343" t="s">
        <v>6966</v>
      </c>
      <c r="AD1343" t="s">
        <v>6966</v>
      </c>
      <c r="AE1343" t="s">
        <v>6966</v>
      </c>
      <c r="AF1343" t="s">
        <v>6966</v>
      </c>
      <c r="AG1343" t="s">
        <v>6966</v>
      </c>
      <c r="AH1343" t="s">
        <v>6966</v>
      </c>
      <c r="AI1343" t="s">
        <v>6966</v>
      </c>
      <c r="AJ1343" t="s">
        <v>6966</v>
      </c>
      <c r="AK1343" t="s">
        <v>6966</v>
      </c>
      <c r="AL1343" t="s">
        <v>6966</v>
      </c>
      <c r="AM1343" t="s">
        <v>6966</v>
      </c>
      <c r="AN1343" t="s">
        <v>6966</v>
      </c>
      <c r="AO1343" t="s">
        <v>6966</v>
      </c>
      <c r="AP1343" t="s">
        <v>6966</v>
      </c>
      <c r="AQ1343" t="s">
        <v>6966</v>
      </c>
      <c r="AR1343" t="s">
        <v>6966</v>
      </c>
      <c r="AS1343" t="s">
        <v>6966</v>
      </c>
      <c r="AT1343" t="s">
        <v>6966</v>
      </c>
      <c r="AU1343" t="s">
        <v>6966</v>
      </c>
      <c r="AV1343" t="s">
        <v>6966</v>
      </c>
      <c r="AW1343" t="s">
        <v>6966</v>
      </c>
      <c r="AX1343" t="s">
        <v>6966</v>
      </c>
      <c r="AY1343" t="s">
        <v>6966</v>
      </c>
      <c r="AZ1343">
        <v>0.114717</v>
      </c>
      <c r="BA1343">
        <v>3.8000000000000002E-4</v>
      </c>
    </row>
    <row r="1344" spans="1:53" x14ac:dyDescent="0.25">
      <c r="A1344">
        <v>1342</v>
      </c>
      <c r="B1344" t="s">
        <v>7625</v>
      </c>
      <c r="C1344">
        <v>802008</v>
      </c>
      <c r="D1344" t="s">
        <v>1256</v>
      </c>
      <c r="E1344" t="s">
        <v>3039</v>
      </c>
      <c r="F1344">
        <v>713462.0625</v>
      </c>
      <c r="G1344">
        <v>4944.15625</v>
      </c>
      <c r="H1344">
        <v>1344</v>
      </c>
      <c r="I1344">
        <v>1582</v>
      </c>
      <c r="J1344">
        <v>61483</v>
      </c>
      <c r="K1344" t="s">
        <v>2562</v>
      </c>
      <c r="L1344">
        <v>20</v>
      </c>
      <c r="M1344">
        <v>20</v>
      </c>
      <c r="N1344">
        <v>61483</v>
      </c>
      <c r="O1344">
        <v>1317</v>
      </c>
      <c r="P1344" t="s">
        <v>3213</v>
      </c>
      <c r="Q1344">
        <v>10.1</v>
      </c>
      <c r="R1344">
        <v>60.38</v>
      </c>
      <c r="S1344">
        <v>2.17</v>
      </c>
      <c r="T1344">
        <v>13</v>
      </c>
      <c r="U1344">
        <v>713462.03885699995</v>
      </c>
      <c r="V1344">
        <v>4944.154082</v>
      </c>
      <c r="W1344">
        <v>1343</v>
      </c>
      <c r="X1344">
        <v>0</v>
      </c>
      <c r="Y1344">
        <v>1342</v>
      </c>
      <c r="Z1344" t="s">
        <v>6966</v>
      </c>
      <c r="AA1344" t="s">
        <v>6966</v>
      </c>
      <c r="AB1344" t="s">
        <v>6966</v>
      </c>
      <c r="AC1344" t="s">
        <v>6966</v>
      </c>
      <c r="AD1344" t="s">
        <v>6966</v>
      </c>
      <c r="AE1344" t="s">
        <v>6966</v>
      </c>
      <c r="AF1344" t="s">
        <v>6966</v>
      </c>
      <c r="AG1344" t="s">
        <v>6966</v>
      </c>
      <c r="AH1344" t="s">
        <v>6966</v>
      </c>
      <c r="AI1344" t="s">
        <v>6966</v>
      </c>
      <c r="AJ1344" t="s">
        <v>6966</v>
      </c>
      <c r="AK1344" t="s">
        <v>6966</v>
      </c>
      <c r="AL1344" t="s">
        <v>6966</v>
      </c>
      <c r="AM1344" t="s">
        <v>6966</v>
      </c>
      <c r="AN1344" t="s">
        <v>6966</v>
      </c>
      <c r="AO1344" t="s">
        <v>6966</v>
      </c>
      <c r="AP1344" t="s">
        <v>6966</v>
      </c>
      <c r="AQ1344" t="s">
        <v>6966</v>
      </c>
      <c r="AR1344" t="s">
        <v>6966</v>
      </c>
      <c r="AS1344" t="s">
        <v>6966</v>
      </c>
      <c r="AT1344" t="s">
        <v>6966</v>
      </c>
      <c r="AU1344" t="s">
        <v>6966</v>
      </c>
      <c r="AV1344" t="s">
        <v>6966</v>
      </c>
      <c r="AW1344" t="s">
        <v>6966</v>
      </c>
      <c r="AX1344" t="s">
        <v>6966</v>
      </c>
      <c r="AY1344" t="s">
        <v>6966</v>
      </c>
      <c r="AZ1344">
        <v>4.9757000000000003E-2</v>
      </c>
      <c r="BA1344">
        <v>6.8999999999999997E-5</v>
      </c>
    </row>
    <row r="1345" spans="1:53" x14ac:dyDescent="0.25">
      <c r="A1345">
        <v>1343</v>
      </c>
      <c r="B1345" t="s">
        <v>7625</v>
      </c>
      <c r="C1345">
        <v>604045</v>
      </c>
      <c r="D1345" t="s">
        <v>1433</v>
      </c>
      <c r="E1345" t="s">
        <v>6965</v>
      </c>
      <c r="F1345">
        <v>6408051</v>
      </c>
      <c r="G1345">
        <v>15159.911133</v>
      </c>
      <c r="H1345">
        <v>1345</v>
      </c>
      <c r="I1345">
        <v>1583</v>
      </c>
      <c r="J1345">
        <v>71236</v>
      </c>
      <c r="K1345" t="s">
        <v>2700</v>
      </c>
      <c r="L1345">
        <v>23</v>
      </c>
      <c r="M1345">
        <v>23</v>
      </c>
      <c r="N1345">
        <v>71236</v>
      </c>
      <c r="O1345">
        <v>1318</v>
      </c>
      <c r="P1345" t="s">
        <v>6965</v>
      </c>
      <c r="Q1345">
        <v>1.1000000000000001</v>
      </c>
      <c r="R1345">
        <v>30.32</v>
      </c>
      <c r="S1345">
        <v>0.46</v>
      </c>
      <c r="T1345">
        <v>12</v>
      </c>
      <c r="U1345">
        <v>6408050.8679600004</v>
      </c>
      <c r="V1345">
        <v>15159.912480999999</v>
      </c>
      <c r="W1345">
        <v>1344</v>
      </c>
      <c r="X1345">
        <v>0</v>
      </c>
      <c r="Y1345">
        <v>1343</v>
      </c>
      <c r="Z1345" t="s">
        <v>6966</v>
      </c>
      <c r="AA1345" t="s">
        <v>6966</v>
      </c>
      <c r="AB1345" t="s">
        <v>6966</v>
      </c>
      <c r="AC1345" t="s">
        <v>6966</v>
      </c>
      <c r="AD1345" t="s">
        <v>6966</v>
      </c>
      <c r="AE1345" t="s">
        <v>6966</v>
      </c>
      <c r="AF1345" t="s">
        <v>6966</v>
      </c>
      <c r="AG1345" t="s">
        <v>6966</v>
      </c>
      <c r="AH1345" t="s">
        <v>6966</v>
      </c>
      <c r="AI1345" t="s">
        <v>6966</v>
      </c>
      <c r="AJ1345" t="s">
        <v>6966</v>
      </c>
      <c r="AK1345" t="s">
        <v>6966</v>
      </c>
      <c r="AL1345" t="s">
        <v>6966</v>
      </c>
      <c r="AM1345" t="s">
        <v>6966</v>
      </c>
      <c r="AN1345" t="s">
        <v>6966</v>
      </c>
      <c r="AO1345" t="s">
        <v>6966</v>
      </c>
      <c r="AP1345" t="s">
        <v>6966</v>
      </c>
      <c r="AQ1345" t="s">
        <v>6966</v>
      </c>
      <c r="AR1345" t="s">
        <v>6966</v>
      </c>
      <c r="AS1345" t="s">
        <v>6966</v>
      </c>
      <c r="AT1345" t="s">
        <v>6966</v>
      </c>
      <c r="AU1345" t="s">
        <v>6966</v>
      </c>
      <c r="AV1345" t="s">
        <v>6966</v>
      </c>
      <c r="AW1345" t="s">
        <v>6966</v>
      </c>
      <c r="AX1345" t="s">
        <v>6966</v>
      </c>
      <c r="AY1345" t="s">
        <v>6966</v>
      </c>
      <c r="AZ1345">
        <v>0.151032</v>
      </c>
      <c r="BA1345">
        <v>6.2100000000000002E-4</v>
      </c>
    </row>
    <row r="1346" spans="1:53" x14ac:dyDescent="0.25">
      <c r="A1346">
        <v>1344</v>
      </c>
      <c r="B1346" t="s">
        <v>7625</v>
      </c>
      <c r="C1346">
        <v>802044</v>
      </c>
      <c r="D1346" t="s">
        <v>1248</v>
      </c>
      <c r="E1346" t="s">
        <v>3039</v>
      </c>
      <c r="F1346">
        <v>1502577.75</v>
      </c>
      <c r="G1346">
        <v>6233.7768550000001</v>
      </c>
      <c r="H1346">
        <v>1346</v>
      </c>
      <c r="I1346">
        <v>1584</v>
      </c>
      <c r="J1346">
        <v>61469</v>
      </c>
      <c r="K1346" t="s">
        <v>2555</v>
      </c>
      <c r="L1346">
        <v>20</v>
      </c>
      <c r="M1346">
        <v>20</v>
      </c>
      <c r="N1346">
        <v>61469</v>
      </c>
      <c r="O1346">
        <v>1319</v>
      </c>
      <c r="P1346" t="s">
        <v>3213</v>
      </c>
      <c r="Q1346">
        <v>2.5</v>
      </c>
      <c r="R1346">
        <v>145.32</v>
      </c>
      <c r="S1346">
        <v>0.65</v>
      </c>
      <c r="T1346">
        <v>37</v>
      </c>
      <c r="U1346">
        <v>1502577.6920700001</v>
      </c>
      <c r="V1346">
        <v>6233.7763180000002</v>
      </c>
      <c r="W1346">
        <v>1345</v>
      </c>
      <c r="X1346">
        <v>0</v>
      </c>
      <c r="Y1346">
        <v>1344</v>
      </c>
      <c r="Z1346" t="s">
        <v>6966</v>
      </c>
      <c r="AA1346" t="s">
        <v>6966</v>
      </c>
      <c r="AB1346" t="s">
        <v>6966</v>
      </c>
      <c r="AC1346" t="s">
        <v>6966</v>
      </c>
      <c r="AD1346" t="s">
        <v>6966</v>
      </c>
      <c r="AE1346" t="s">
        <v>6966</v>
      </c>
      <c r="AF1346" t="s">
        <v>6966</v>
      </c>
      <c r="AG1346" t="s">
        <v>6966</v>
      </c>
      <c r="AH1346" t="s">
        <v>6966</v>
      </c>
      <c r="AI1346" t="s">
        <v>6966</v>
      </c>
      <c r="AJ1346" t="s">
        <v>6966</v>
      </c>
      <c r="AK1346" t="s">
        <v>6966</v>
      </c>
      <c r="AL1346" t="s">
        <v>6966</v>
      </c>
      <c r="AM1346" t="s">
        <v>6966</v>
      </c>
      <c r="AN1346" t="s">
        <v>6966</v>
      </c>
      <c r="AO1346" t="s">
        <v>6966</v>
      </c>
      <c r="AP1346" t="s">
        <v>6966</v>
      </c>
      <c r="AQ1346" t="s">
        <v>6966</v>
      </c>
      <c r="AR1346" t="s">
        <v>6966</v>
      </c>
      <c r="AS1346" t="s">
        <v>6966</v>
      </c>
      <c r="AT1346" t="s">
        <v>6966</v>
      </c>
      <c r="AU1346" t="s">
        <v>6966</v>
      </c>
      <c r="AV1346" t="s">
        <v>6966</v>
      </c>
      <c r="AW1346" t="s">
        <v>6966</v>
      </c>
      <c r="AX1346" t="s">
        <v>6966</v>
      </c>
      <c r="AY1346" t="s">
        <v>6966</v>
      </c>
      <c r="AZ1346">
        <v>6.2588000000000005E-2</v>
      </c>
      <c r="BA1346">
        <v>1.46E-4</v>
      </c>
    </row>
    <row r="1347" spans="1:53" x14ac:dyDescent="0.25">
      <c r="A1347">
        <v>1345</v>
      </c>
      <c r="B1347" t="s">
        <v>7625</v>
      </c>
      <c r="C1347">
        <v>604021</v>
      </c>
      <c r="D1347" t="s">
        <v>1439</v>
      </c>
      <c r="E1347" t="s">
        <v>6965</v>
      </c>
      <c r="F1347">
        <v>4659615</v>
      </c>
      <c r="G1347">
        <v>13608.513671999999</v>
      </c>
      <c r="H1347">
        <v>1347</v>
      </c>
      <c r="I1347">
        <v>1585</v>
      </c>
      <c r="J1347">
        <v>71266</v>
      </c>
      <c r="K1347" t="s">
        <v>2705</v>
      </c>
      <c r="L1347">
        <v>23</v>
      </c>
      <c r="M1347">
        <v>23</v>
      </c>
      <c r="N1347">
        <v>71266</v>
      </c>
      <c r="O1347">
        <v>1320</v>
      </c>
      <c r="P1347" t="s">
        <v>6965</v>
      </c>
      <c r="Q1347">
        <v>2.7</v>
      </c>
      <c r="R1347">
        <v>31.07</v>
      </c>
      <c r="S1347">
        <v>1.19</v>
      </c>
      <c r="T1347">
        <v>14</v>
      </c>
      <c r="U1347">
        <v>4659615.0314100003</v>
      </c>
      <c r="V1347">
        <v>13608.513433</v>
      </c>
      <c r="W1347">
        <v>1346</v>
      </c>
      <c r="X1347">
        <v>0</v>
      </c>
      <c r="Y1347">
        <v>1345</v>
      </c>
      <c r="Z1347" t="s">
        <v>6966</v>
      </c>
      <c r="AA1347" t="s">
        <v>6966</v>
      </c>
      <c r="AB1347" t="s">
        <v>6966</v>
      </c>
      <c r="AC1347" t="s">
        <v>6966</v>
      </c>
      <c r="AD1347" t="s">
        <v>6966</v>
      </c>
      <c r="AE1347" t="s">
        <v>6966</v>
      </c>
      <c r="AF1347" t="s">
        <v>6966</v>
      </c>
      <c r="AG1347" t="s">
        <v>6966</v>
      </c>
      <c r="AH1347" t="s">
        <v>6966</v>
      </c>
      <c r="AI1347" t="s">
        <v>6966</v>
      </c>
      <c r="AJ1347" t="s">
        <v>6966</v>
      </c>
      <c r="AK1347" t="s">
        <v>6966</v>
      </c>
      <c r="AL1347" t="s">
        <v>6966</v>
      </c>
      <c r="AM1347" t="s">
        <v>6966</v>
      </c>
      <c r="AN1347" t="s">
        <v>6966</v>
      </c>
      <c r="AO1347" t="s">
        <v>6966</v>
      </c>
      <c r="AP1347" t="s">
        <v>6966</v>
      </c>
      <c r="AQ1347" t="s">
        <v>6966</v>
      </c>
      <c r="AR1347" t="s">
        <v>6966</v>
      </c>
      <c r="AS1347" t="s">
        <v>6966</v>
      </c>
      <c r="AT1347" t="s">
        <v>6966</v>
      </c>
      <c r="AU1347" t="s">
        <v>6966</v>
      </c>
      <c r="AV1347" t="s">
        <v>6966</v>
      </c>
      <c r="AW1347" t="s">
        <v>6966</v>
      </c>
      <c r="AX1347" t="s">
        <v>6966</v>
      </c>
      <c r="AY1347" t="s">
        <v>6966</v>
      </c>
      <c r="AZ1347">
        <v>0.13822400000000001</v>
      </c>
      <c r="BA1347">
        <v>4.5199999999999998E-4</v>
      </c>
    </row>
    <row r="1348" spans="1:53" x14ac:dyDescent="0.25">
      <c r="A1348">
        <v>1346</v>
      </c>
      <c r="B1348" t="s">
        <v>7625</v>
      </c>
      <c r="C1348">
        <v>802003</v>
      </c>
      <c r="D1348" t="s">
        <v>8081</v>
      </c>
      <c r="E1348" t="s">
        <v>3039</v>
      </c>
      <c r="F1348">
        <v>4421615</v>
      </c>
      <c r="G1348">
        <v>10397.080078000001</v>
      </c>
      <c r="H1348">
        <v>1348</v>
      </c>
      <c r="I1348">
        <v>1586</v>
      </c>
      <c r="J1348">
        <v>61466</v>
      </c>
      <c r="K1348" t="s">
        <v>2553</v>
      </c>
      <c r="L1348">
        <v>20</v>
      </c>
      <c r="M1348">
        <v>20</v>
      </c>
      <c r="N1348">
        <v>61466</v>
      </c>
      <c r="O1348">
        <v>1321</v>
      </c>
      <c r="P1348" t="s">
        <v>3213</v>
      </c>
      <c r="Q1348">
        <v>1.6</v>
      </c>
      <c r="R1348">
        <v>102.03</v>
      </c>
      <c r="S1348">
        <v>0.35</v>
      </c>
      <c r="T1348">
        <v>22</v>
      </c>
      <c r="U1348">
        <v>4421615.1348200003</v>
      </c>
      <c r="V1348">
        <v>10397.080061000001</v>
      </c>
      <c r="W1348">
        <v>1347</v>
      </c>
      <c r="X1348">
        <v>0</v>
      </c>
      <c r="Y1348">
        <v>1346</v>
      </c>
      <c r="Z1348" t="s">
        <v>6966</v>
      </c>
      <c r="AA1348" t="s">
        <v>6966</v>
      </c>
      <c r="AB1348" t="s">
        <v>6966</v>
      </c>
      <c r="AC1348" t="s">
        <v>6966</v>
      </c>
      <c r="AD1348" t="s">
        <v>6966</v>
      </c>
      <c r="AE1348" t="s">
        <v>6966</v>
      </c>
      <c r="AF1348" t="s">
        <v>6966</v>
      </c>
      <c r="AG1348" t="s">
        <v>6966</v>
      </c>
      <c r="AH1348" t="s">
        <v>6966</v>
      </c>
      <c r="AI1348" t="s">
        <v>6966</v>
      </c>
      <c r="AJ1348" t="s">
        <v>6966</v>
      </c>
      <c r="AK1348" t="s">
        <v>6966</v>
      </c>
      <c r="AL1348" t="s">
        <v>6966</v>
      </c>
      <c r="AM1348" t="s">
        <v>6966</v>
      </c>
      <c r="AN1348" t="s">
        <v>6966</v>
      </c>
      <c r="AO1348" t="s">
        <v>6966</v>
      </c>
      <c r="AP1348" t="s">
        <v>6966</v>
      </c>
      <c r="AQ1348" t="s">
        <v>6966</v>
      </c>
      <c r="AR1348" t="s">
        <v>6966</v>
      </c>
      <c r="AS1348" t="s">
        <v>6966</v>
      </c>
      <c r="AT1348" t="s">
        <v>6966</v>
      </c>
      <c r="AU1348" t="s">
        <v>6966</v>
      </c>
      <c r="AV1348" t="s">
        <v>6966</v>
      </c>
      <c r="AW1348" t="s">
        <v>6966</v>
      </c>
      <c r="AX1348" t="s">
        <v>6966</v>
      </c>
      <c r="AY1348" t="s">
        <v>6966</v>
      </c>
      <c r="AZ1348">
        <v>0.103106</v>
      </c>
      <c r="BA1348">
        <v>4.2900000000000002E-4</v>
      </c>
    </row>
    <row r="1349" spans="1:53" x14ac:dyDescent="0.25">
      <c r="A1349">
        <v>1347</v>
      </c>
      <c r="B1349" t="s">
        <v>7625</v>
      </c>
      <c r="C1349">
        <v>401024</v>
      </c>
      <c r="D1349" t="s">
        <v>1034</v>
      </c>
      <c r="E1349" t="s">
        <v>3221</v>
      </c>
      <c r="F1349">
        <v>9406437</v>
      </c>
      <c r="G1349">
        <v>17450.966797000001</v>
      </c>
      <c r="H1349">
        <v>1349</v>
      </c>
      <c r="I1349">
        <v>1587</v>
      </c>
      <c r="J1349">
        <v>52141</v>
      </c>
      <c r="K1349" t="s">
        <v>2384</v>
      </c>
      <c r="L1349">
        <v>16</v>
      </c>
      <c r="M1349">
        <v>16</v>
      </c>
      <c r="N1349">
        <v>52141</v>
      </c>
      <c r="O1349">
        <v>1322</v>
      </c>
      <c r="P1349" t="s">
        <v>3214</v>
      </c>
      <c r="Q1349">
        <v>0</v>
      </c>
      <c r="R1349">
        <v>0</v>
      </c>
      <c r="S1349">
        <v>0</v>
      </c>
      <c r="T1349">
        <v>0</v>
      </c>
      <c r="U1349">
        <v>9406437.1944500003</v>
      </c>
      <c r="V1349">
        <v>17450.967483</v>
      </c>
      <c r="W1349">
        <v>1348</v>
      </c>
      <c r="X1349">
        <v>0</v>
      </c>
      <c r="Y1349">
        <v>1347</v>
      </c>
      <c r="Z1349" t="s">
        <v>6966</v>
      </c>
      <c r="AA1349" t="s">
        <v>6966</v>
      </c>
      <c r="AB1349" t="s">
        <v>6966</v>
      </c>
      <c r="AC1349" t="s">
        <v>6966</v>
      </c>
      <c r="AD1349" t="s">
        <v>6966</v>
      </c>
      <c r="AE1349" t="s">
        <v>6966</v>
      </c>
      <c r="AF1349" t="s">
        <v>6966</v>
      </c>
      <c r="AG1349" t="s">
        <v>6966</v>
      </c>
      <c r="AH1349" t="s">
        <v>6966</v>
      </c>
      <c r="AI1349" t="s">
        <v>6966</v>
      </c>
      <c r="AJ1349" t="s">
        <v>6966</v>
      </c>
      <c r="AK1349" t="s">
        <v>6966</v>
      </c>
      <c r="AL1349" t="s">
        <v>6966</v>
      </c>
      <c r="AM1349" t="s">
        <v>6966</v>
      </c>
      <c r="AN1349" t="s">
        <v>6966</v>
      </c>
      <c r="AO1349" t="s">
        <v>6966</v>
      </c>
      <c r="AP1349" t="s">
        <v>6966</v>
      </c>
      <c r="AQ1349" t="s">
        <v>6966</v>
      </c>
      <c r="AR1349" t="s">
        <v>6966</v>
      </c>
      <c r="AS1349" t="s">
        <v>6966</v>
      </c>
      <c r="AT1349" t="s">
        <v>6966</v>
      </c>
      <c r="AU1349" t="s">
        <v>6966</v>
      </c>
      <c r="AV1349" t="s">
        <v>6966</v>
      </c>
      <c r="AW1349" t="s">
        <v>6966</v>
      </c>
      <c r="AX1349" t="s">
        <v>6966</v>
      </c>
      <c r="AY1349" t="s">
        <v>6966</v>
      </c>
      <c r="AZ1349">
        <v>0.16736699999999999</v>
      </c>
      <c r="BA1349">
        <v>9.1200000000000005E-4</v>
      </c>
    </row>
    <row r="1350" spans="1:53" x14ac:dyDescent="0.25">
      <c r="A1350">
        <v>1348</v>
      </c>
      <c r="B1350" t="s">
        <v>7625</v>
      </c>
      <c r="C1350">
        <v>802046</v>
      </c>
      <c r="D1350" t="s">
        <v>1258</v>
      </c>
      <c r="E1350" t="s">
        <v>3039</v>
      </c>
      <c r="F1350">
        <v>372720.21875</v>
      </c>
      <c r="G1350">
        <v>3778.86499</v>
      </c>
      <c r="H1350">
        <v>1350</v>
      </c>
      <c r="I1350">
        <v>1588</v>
      </c>
      <c r="J1350">
        <v>61486</v>
      </c>
      <c r="K1350" t="s">
        <v>2564</v>
      </c>
      <c r="L1350">
        <v>20</v>
      </c>
      <c r="M1350">
        <v>20</v>
      </c>
      <c r="N1350">
        <v>61486</v>
      </c>
      <c r="O1350">
        <v>1323</v>
      </c>
      <c r="P1350" t="s">
        <v>3213</v>
      </c>
      <c r="Q1350">
        <v>5.3</v>
      </c>
      <c r="R1350">
        <v>17.579999999999998</v>
      </c>
      <c r="S1350">
        <v>1.34</v>
      </c>
      <c r="T1350">
        <v>4</v>
      </c>
      <c r="U1350">
        <v>372720.23315500002</v>
      </c>
      <c r="V1350">
        <v>3778.86447</v>
      </c>
      <c r="W1350">
        <v>1349</v>
      </c>
      <c r="X1350">
        <v>0</v>
      </c>
      <c r="Y1350">
        <v>1348</v>
      </c>
      <c r="Z1350" t="s">
        <v>6966</v>
      </c>
      <c r="AA1350" t="s">
        <v>6966</v>
      </c>
      <c r="AB1350" t="s">
        <v>6966</v>
      </c>
      <c r="AC1350" t="s">
        <v>6966</v>
      </c>
      <c r="AD1350" t="s">
        <v>6966</v>
      </c>
      <c r="AE1350" t="s">
        <v>6966</v>
      </c>
      <c r="AF1350" t="s">
        <v>6966</v>
      </c>
      <c r="AG1350" t="s">
        <v>6966</v>
      </c>
      <c r="AH1350" t="s">
        <v>6966</v>
      </c>
      <c r="AI1350" t="s">
        <v>6966</v>
      </c>
      <c r="AJ1350" t="s">
        <v>6966</v>
      </c>
      <c r="AK1350" t="s">
        <v>6966</v>
      </c>
      <c r="AL1350" t="s">
        <v>6966</v>
      </c>
      <c r="AM1350" t="s">
        <v>6966</v>
      </c>
      <c r="AN1350" t="s">
        <v>6966</v>
      </c>
      <c r="AO1350" t="s">
        <v>6966</v>
      </c>
      <c r="AP1350" t="s">
        <v>6966</v>
      </c>
      <c r="AQ1350" t="s">
        <v>6966</v>
      </c>
      <c r="AR1350" t="s">
        <v>6966</v>
      </c>
      <c r="AS1350" t="s">
        <v>6966</v>
      </c>
      <c r="AT1350" t="s">
        <v>6966</v>
      </c>
      <c r="AU1350" t="s">
        <v>6966</v>
      </c>
      <c r="AV1350" t="s">
        <v>6966</v>
      </c>
      <c r="AW1350" t="s">
        <v>6966</v>
      </c>
      <c r="AX1350" t="s">
        <v>6966</v>
      </c>
      <c r="AY1350" t="s">
        <v>6966</v>
      </c>
      <c r="AZ1350">
        <v>3.7747000000000003E-2</v>
      </c>
      <c r="BA1350">
        <v>3.6000000000000001E-5</v>
      </c>
    </row>
    <row r="1351" spans="1:53" x14ac:dyDescent="0.25">
      <c r="A1351">
        <v>1349</v>
      </c>
      <c r="B1351" t="s">
        <v>7625</v>
      </c>
      <c r="C1351">
        <v>802019</v>
      </c>
      <c r="D1351" t="s">
        <v>1254</v>
      </c>
      <c r="E1351" t="s">
        <v>3039</v>
      </c>
      <c r="F1351">
        <v>1178619.5</v>
      </c>
      <c r="G1351">
        <v>6351.0195309999999</v>
      </c>
      <c r="H1351">
        <v>1351</v>
      </c>
      <c r="I1351">
        <v>1589</v>
      </c>
      <c r="J1351">
        <v>61479</v>
      </c>
      <c r="K1351" t="s">
        <v>8082</v>
      </c>
      <c r="L1351">
        <v>20</v>
      </c>
      <c r="M1351">
        <v>20</v>
      </c>
      <c r="N1351">
        <v>61479</v>
      </c>
      <c r="O1351">
        <v>1324</v>
      </c>
      <c r="P1351" t="s">
        <v>3213</v>
      </c>
      <c r="Q1351">
        <v>6.5</v>
      </c>
      <c r="R1351">
        <v>0</v>
      </c>
      <c r="S1351">
        <v>2.61</v>
      </c>
      <c r="T1351">
        <v>7</v>
      </c>
      <c r="U1351">
        <v>1178619.4254099999</v>
      </c>
      <c r="V1351">
        <v>6351.0199460000003</v>
      </c>
      <c r="W1351">
        <v>1350</v>
      </c>
      <c r="X1351">
        <v>0</v>
      </c>
      <c r="Y1351">
        <v>1349</v>
      </c>
      <c r="Z1351" t="s">
        <v>6966</v>
      </c>
      <c r="AA1351" t="s">
        <v>6966</v>
      </c>
      <c r="AB1351" t="s">
        <v>6966</v>
      </c>
      <c r="AC1351" t="s">
        <v>6966</v>
      </c>
      <c r="AD1351" t="s">
        <v>6966</v>
      </c>
      <c r="AE1351" t="s">
        <v>6966</v>
      </c>
      <c r="AF1351" t="s">
        <v>6966</v>
      </c>
      <c r="AG1351" t="s">
        <v>6966</v>
      </c>
      <c r="AH1351" t="s">
        <v>6966</v>
      </c>
      <c r="AI1351" t="s">
        <v>6966</v>
      </c>
      <c r="AJ1351" t="s">
        <v>6966</v>
      </c>
      <c r="AK1351" t="s">
        <v>6966</v>
      </c>
      <c r="AL1351" t="s">
        <v>6966</v>
      </c>
      <c r="AM1351" t="s">
        <v>6966</v>
      </c>
      <c r="AN1351" t="s">
        <v>6966</v>
      </c>
      <c r="AO1351" t="s">
        <v>6966</v>
      </c>
      <c r="AP1351" t="s">
        <v>6966</v>
      </c>
      <c r="AQ1351" t="s">
        <v>6966</v>
      </c>
      <c r="AR1351" t="s">
        <v>6966</v>
      </c>
      <c r="AS1351" t="s">
        <v>6966</v>
      </c>
      <c r="AT1351" t="s">
        <v>6966</v>
      </c>
      <c r="AU1351" t="s">
        <v>6966</v>
      </c>
      <c r="AV1351" t="s">
        <v>6966</v>
      </c>
      <c r="AW1351" t="s">
        <v>6966</v>
      </c>
      <c r="AX1351" t="s">
        <v>6966</v>
      </c>
      <c r="AY1351" t="s">
        <v>6966</v>
      </c>
      <c r="AZ1351">
        <v>6.3178999999999999E-2</v>
      </c>
      <c r="BA1351">
        <v>1.1400000000000001E-4</v>
      </c>
    </row>
    <row r="1352" spans="1:53" x14ac:dyDescent="0.25">
      <c r="A1352">
        <v>1350</v>
      </c>
      <c r="B1352" t="s">
        <v>7625</v>
      </c>
      <c r="C1352">
        <v>801080</v>
      </c>
      <c r="D1352" t="s">
        <v>87</v>
      </c>
      <c r="E1352" t="s">
        <v>1342</v>
      </c>
      <c r="F1352">
        <v>443008.78125</v>
      </c>
      <c r="G1352">
        <v>3276.438232</v>
      </c>
      <c r="H1352">
        <v>1352</v>
      </c>
      <c r="I1352">
        <v>1590</v>
      </c>
      <c r="J1352">
        <v>63002</v>
      </c>
      <c r="K1352" t="s">
        <v>87</v>
      </c>
      <c r="L1352">
        <v>22</v>
      </c>
      <c r="M1352">
        <v>22</v>
      </c>
      <c r="N1352">
        <v>63002</v>
      </c>
      <c r="O1352">
        <v>1325</v>
      </c>
      <c r="P1352" t="s">
        <v>3213</v>
      </c>
      <c r="Q1352">
        <v>0</v>
      </c>
      <c r="R1352">
        <v>0</v>
      </c>
      <c r="S1352">
        <v>0</v>
      </c>
      <c r="T1352">
        <v>0</v>
      </c>
      <c r="U1352">
        <v>443008.81129500002</v>
      </c>
      <c r="V1352">
        <v>3276.4385120000002</v>
      </c>
      <c r="W1352">
        <v>1351</v>
      </c>
      <c r="X1352">
        <v>0</v>
      </c>
      <c r="Y1352">
        <v>1350</v>
      </c>
      <c r="Z1352" t="s">
        <v>6966</v>
      </c>
      <c r="AA1352" t="s">
        <v>6966</v>
      </c>
      <c r="AB1352" t="s">
        <v>6966</v>
      </c>
      <c r="AC1352" t="s">
        <v>6966</v>
      </c>
      <c r="AD1352" t="s">
        <v>6966</v>
      </c>
      <c r="AE1352" t="s">
        <v>6966</v>
      </c>
      <c r="AF1352" t="s">
        <v>6966</v>
      </c>
      <c r="AG1352" t="s">
        <v>6966</v>
      </c>
      <c r="AH1352" t="s">
        <v>6966</v>
      </c>
      <c r="AI1352" t="s">
        <v>6966</v>
      </c>
      <c r="AJ1352" t="s">
        <v>6966</v>
      </c>
      <c r="AK1352" t="s">
        <v>6966</v>
      </c>
      <c r="AL1352" t="s">
        <v>6966</v>
      </c>
      <c r="AM1352" t="s">
        <v>6966</v>
      </c>
      <c r="AN1352" t="s">
        <v>6966</v>
      </c>
      <c r="AO1352" t="s">
        <v>6966</v>
      </c>
      <c r="AP1352" t="s">
        <v>6966</v>
      </c>
      <c r="AQ1352" t="s">
        <v>6966</v>
      </c>
      <c r="AR1352" t="s">
        <v>6966</v>
      </c>
      <c r="AS1352" t="s">
        <v>6966</v>
      </c>
      <c r="AT1352" t="s">
        <v>6966</v>
      </c>
      <c r="AU1352" t="s">
        <v>6966</v>
      </c>
      <c r="AV1352" t="s">
        <v>6966</v>
      </c>
      <c r="AW1352" t="s">
        <v>6966</v>
      </c>
      <c r="AX1352" t="s">
        <v>6966</v>
      </c>
      <c r="AY1352" t="s">
        <v>6966</v>
      </c>
      <c r="AZ1352">
        <v>3.2150999999999999E-2</v>
      </c>
      <c r="BA1352">
        <v>4.3000000000000002E-5</v>
      </c>
    </row>
    <row r="1353" spans="1:53" x14ac:dyDescent="0.25">
      <c r="A1353">
        <v>1351</v>
      </c>
      <c r="B1353" t="s">
        <v>7625</v>
      </c>
      <c r="C1353">
        <v>802007</v>
      </c>
      <c r="D1353" t="s">
        <v>1259</v>
      </c>
      <c r="E1353" t="s">
        <v>3039</v>
      </c>
      <c r="F1353">
        <v>773679</v>
      </c>
      <c r="G1353">
        <v>5354.3857420000004</v>
      </c>
      <c r="H1353">
        <v>1353</v>
      </c>
      <c r="I1353">
        <v>1591</v>
      </c>
      <c r="J1353">
        <v>61487</v>
      </c>
      <c r="K1353" t="s">
        <v>2565</v>
      </c>
      <c r="L1353">
        <v>20</v>
      </c>
      <c r="M1353">
        <v>20</v>
      </c>
      <c r="N1353">
        <v>61487</v>
      </c>
      <c r="O1353">
        <v>1326</v>
      </c>
      <c r="P1353" t="s">
        <v>3213</v>
      </c>
      <c r="Q1353">
        <v>5.0999999999999996</v>
      </c>
      <c r="R1353">
        <v>62.87</v>
      </c>
      <c r="S1353">
        <v>1.0900000000000001</v>
      </c>
      <c r="T1353">
        <v>13</v>
      </c>
      <c r="U1353">
        <v>773679.043879</v>
      </c>
      <c r="V1353">
        <v>5354.3861989999996</v>
      </c>
      <c r="W1353">
        <v>1352</v>
      </c>
      <c r="X1353">
        <v>1</v>
      </c>
      <c r="Y1353">
        <v>1351</v>
      </c>
      <c r="Z1353">
        <v>62333</v>
      </c>
      <c r="AA1353" s="76">
        <v>45792</v>
      </c>
      <c r="AB1353">
        <v>2025</v>
      </c>
      <c r="AC1353" t="s">
        <v>7215</v>
      </c>
      <c r="AD1353">
        <v>15</v>
      </c>
      <c r="AE1353" t="s">
        <v>7263</v>
      </c>
      <c r="AF1353" t="s">
        <v>3213</v>
      </c>
      <c r="AG1353" t="s">
        <v>3039</v>
      </c>
      <c r="AH1353" t="s">
        <v>1259</v>
      </c>
      <c r="AI1353" t="s">
        <v>7264</v>
      </c>
      <c r="AJ1353" t="s">
        <v>6966</v>
      </c>
      <c r="AK1353">
        <v>33.482750000000003</v>
      </c>
      <c r="AL1353">
        <v>35.454839999999997</v>
      </c>
      <c r="AM1353" t="s">
        <v>7013</v>
      </c>
      <c r="AN1353" t="s">
        <v>6995</v>
      </c>
      <c r="AO1353" t="s">
        <v>7008</v>
      </c>
      <c r="AP1353" t="s">
        <v>7265</v>
      </c>
      <c r="AQ1353" t="s">
        <v>6998</v>
      </c>
      <c r="AR1353" t="s">
        <v>6999</v>
      </c>
      <c r="AS1353" t="s">
        <v>7000</v>
      </c>
      <c r="AT1353">
        <v>0</v>
      </c>
      <c r="AU1353">
        <v>0</v>
      </c>
      <c r="AV1353" t="s">
        <v>7260</v>
      </c>
      <c r="AW1353" t="s">
        <v>7018</v>
      </c>
      <c r="AX1353" t="s">
        <v>6966</v>
      </c>
      <c r="AY1353" t="s">
        <v>7003</v>
      </c>
      <c r="AZ1353">
        <v>5.3474000000000001E-2</v>
      </c>
      <c r="BA1353">
        <v>7.4999999999999993E-5</v>
      </c>
    </row>
    <row r="1354" spans="1:53" x14ac:dyDescent="0.25">
      <c r="A1354">
        <v>1352</v>
      </c>
      <c r="B1354" t="s">
        <v>7625</v>
      </c>
      <c r="C1354">
        <v>801056</v>
      </c>
      <c r="D1354" t="s">
        <v>1397</v>
      </c>
      <c r="E1354" t="s">
        <v>1342</v>
      </c>
      <c r="F1354">
        <v>4515783.5</v>
      </c>
      <c r="G1354">
        <v>12112.681640999999</v>
      </c>
      <c r="H1354">
        <v>1354</v>
      </c>
      <c r="I1354">
        <v>1592</v>
      </c>
      <c r="J1354">
        <v>63315</v>
      </c>
      <c r="K1354" t="s">
        <v>1397</v>
      </c>
      <c r="L1354">
        <v>22</v>
      </c>
      <c r="M1354">
        <v>22</v>
      </c>
      <c r="N1354">
        <v>63315</v>
      </c>
      <c r="O1354">
        <v>1624</v>
      </c>
      <c r="P1354" t="s">
        <v>3213</v>
      </c>
      <c r="Q1354">
        <v>0</v>
      </c>
      <c r="R1354">
        <v>0</v>
      </c>
      <c r="S1354">
        <v>0.45</v>
      </c>
      <c r="T1354">
        <v>0</v>
      </c>
      <c r="U1354">
        <v>4515783.5408199998</v>
      </c>
      <c r="V1354">
        <v>12112.681748000001</v>
      </c>
      <c r="W1354">
        <v>1353</v>
      </c>
      <c r="X1354">
        <v>0</v>
      </c>
      <c r="Y1354">
        <v>1352</v>
      </c>
      <c r="Z1354" t="s">
        <v>6966</v>
      </c>
      <c r="AA1354" t="s">
        <v>6966</v>
      </c>
      <c r="AB1354" t="s">
        <v>6966</v>
      </c>
      <c r="AC1354" t="s">
        <v>6966</v>
      </c>
      <c r="AD1354" t="s">
        <v>6966</v>
      </c>
      <c r="AE1354" t="s">
        <v>6966</v>
      </c>
      <c r="AF1354" t="s">
        <v>6966</v>
      </c>
      <c r="AG1354" t="s">
        <v>6966</v>
      </c>
      <c r="AH1354" t="s">
        <v>6966</v>
      </c>
      <c r="AI1354" t="s">
        <v>6966</v>
      </c>
      <c r="AJ1354" t="s">
        <v>6966</v>
      </c>
      <c r="AK1354" t="s">
        <v>6966</v>
      </c>
      <c r="AL1354" t="s">
        <v>6966</v>
      </c>
      <c r="AM1354" t="s">
        <v>6966</v>
      </c>
      <c r="AN1354" t="s">
        <v>6966</v>
      </c>
      <c r="AO1354" t="s">
        <v>6966</v>
      </c>
      <c r="AP1354" t="s">
        <v>6966</v>
      </c>
      <c r="AQ1354" t="s">
        <v>6966</v>
      </c>
      <c r="AR1354" t="s">
        <v>6966</v>
      </c>
      <c r="AS1354" t="s">
        <v>6966</v>
      </c>
      <c r="AT1354" t="s">
        <v>6966</v>
      </c>
      <c r="AU1354" t="s">
        <v>6966</v>
      </c>
      <c r="AV1354" t="s">
        <v>6966</v>
      </c>
      <c r="AW1354" t="s">
        <v>6966</v>
      </c>
      <c r="AX1354" t="s">
        <v>6966</v>
      </c>
      <c r="AY1354" t="s">
        <v>6966</v>
      </c>
      <c r="AZ1354">
        <v>0.1195</v>
      </c>
      <c r="BA1354">
        <v>4.3800000000000002E-4</v>
      </c>
    </row>
    <row r="1355" spans="1:53" x14ac:dyDescent="0.25">
      <c r="A1355">
        <v>1353</v>
      </c>
      <c r="B1355" t="s">
        <v>7625</v>
      </c>
      <c r="C1355">
        <v>401029</v>
      </c>
      <c r="D1355" t="s">
        <v>1066</v>
      </c>
      <c r="E1355" t="s">
        <v>3221</v>
      </c>
      <c r="F1355">
        <v>0</v>
      </c>
      <c r="G1355">
        <v>18815.494140999999</v>
      </c>
      <c r="H1355">
        <v>1355</v>
      </c>
      <c r="I1355">
        <v>1593</v>
      </c>
      <c r="J1355">
        <v>52287</v>
      </c>
      <c r="K1355" t="s">
        <v>8083</v>
      </c>
      <c r="L1355">
        <v>16</v>
      </c>
      <c r="M1355">
        <v>16</v>
      </c>
      <c r="N1355">
        <v>52187</v>
      </c>
      <c r="O1355">
        <v>1327</v>
      </c>
      <c r="P1355" t="s">
        <v>3214</v>
      </c>
      <c r="Q1355">
        <v>0</v>
      </c>
      <c r="R1355">
        <v>0</v>
      </c>
      <c r="S1355">
        <v>0</v>
      </c>
      <c r="T1355">
        <v>0</v>
      </c>
      <c r="U1355">
        <v>0</v>
      </c>
      <c r="V1355">
        <v>18815.4948</v>
      </c>
      <c r="W1355">
        <v>1354</v>
      </c>
      <c r="X1355">
        <v>0</v>
      </c>
      <c r="Y1355">
        <v>1353</v>
      </c>
      <c r="Z1355" t="s">
        <v>6966</v>
      </c>
      <c r="AA1355" t="s">
        <v>6966</v>
      </c>
      <c r="AB1355" t="s">
        <v>6966</v>
      </c>
      <c r="AC1355" t="s">
        <v>6966</v>
      </c>
      <c r="AD1355" t="s">
        <v>6966</v>
      </c>
      <c r="AE1355" t="s">
        <v>6966</v>
      </c>
      <c r="AF1355" t="s">
        <v>6966</v>
      </c>
      <c r="AG1355" t="s">
        <v>6966</v>
      </c>
      <c r="AH1355" t="s">
        <v>6966</v>
      </c>
      <c r="AI1355" t="s">
        <v>6966</v>
      </c>
      <c r="AJ1355" t="s">
        <v>6966</v>
      </c>
      <c r="AK1355" t="s">
        <v>6966</v>
      </c>
      <c r="AL1355" t="s">
        <v>6966</v>
      </c>
      <c r="AM1355" t="s">
        <v>6966</v>
      </c>
      <c r="AN1355" t="s">
        <v>6966</v>
      </c>
      <c r="AO1355" t="s">
        <v>6966</v>
      </c>
      <c r="AP1355" t="s">
        <v>6966</v>
      </c>
      <c r="AQ1355" t="s">
        <v>6966</v>
      </c>
      <c r="AR1355" t="s">
        <v>6966</v>
      </c>
      <c r="AS1355" t="s">
        <v>6966</v>
      </c>
      <c r="AT1355" t="s">
        <v>6966</v>
      </c>
      <c r="AU1355" t="s">
        <v>6966</v>
      </c>
      <c r="AV1355" t="s">
        <v>6966</v>
      </c>
      <c r="AW1355" t="s">
        <v>6966</v>
      </c>
      <c r="AX1355" t="s">
        <v>6966</v>
      </c>
      <c r="AY1355" t="s">
        <v>6966</v>
      </c>
      <c r="AZ1355">
        <v>0.18285999999999999</v>
      </c>
      <c r="BA1355">
        <v>1.0200000000000001E-3</v>
      </c>
    </row>
    <row r="1356" spans="1:53" x14ac:dyDescent="0.25">
      <c r="A1356">
        <v>1354</v>
      </c>
      <c r="B1356" t="s">
        <v>7625</v>
      </c>
      <c r="C1356">
        <v>802022</v>
      </c>
      <c r="D1356" t="s">
        <v>8084</v>
      </c>
      <c r="E1356" t="s">
        <v>3039</v>
      </c>
      <c r="F1356">
        <v>2701126</v>
      </c>
      <c r="G1356">
        <v>13645.331055000001</v>
      </c>
      <c r="H1356">
        <v>1356</v>
      </c>
      <c r="I1356">
        <v>1594</v>
      </c>
      <c r="J1356">
        <v>61471</v>
      </c>
      <c r="K1356" t="s">
        <v>8085</v>
      </c>
      <c r="L1356">
        <v>20</v>
      </c>
      <c r="M1356">
        <v>20</v>
      </c>
      <c r="N1356">
        <v>61471</v>
      </c>
      <c r="O1356">
        <v>1328</v>
      </c>
      <c r="P1356" t="s">
        <v>3213</v>
      </c>
      <c r="Q1356">
        <v>2.7</v>
      </c>
      <c r="R1356">
        <v>112.46</v>
      </c>
      <c r="S1356">
        <v>0.57999999999999996</v>
      </c>
      <c r="T1356">
        <v>24</v>
      </c>
      <c r="U1356">
        <v>2701126.0671600001</v>
      </c>
      <c r="V1356">
        <v>13645.331437999999</v>
      </c>
      <c r="W1356">
        <v>1355</v>
      </c>
      <c r="X1356">
        <v>0</v>
      </c>
      <c r="Y1356">
        <v>1354</v>
      </c>
      <c r="Z1356" t="s">
        <v>6966</v>
      </c>
      <c r="AA1356" t="s">
        <v>6966</v>
      </c>
      <c r="AB1356" t="s">
        <v>6966</v>
      </c>
      <c r="AC1356" t="s">
        <v>6966</v>
      </c>
      <c r="AD1356" t="s">
        <v>6966</v>
      </c>
      <c r="AE1356" t="s">
        <v>6966</v>
      </c>
      <c r="AF1356" t="s">
        <v>6966</v>
      </c>
      <c r="AG1356" t="s">
        <v>6966</v>
      </c>
      <c r="AH1356" t="s">
        <v>6966</v>
      </c>
      <c r="AI1356" t="s">
        <v>6966</v>
      </c>
      <c r="AJ1356" t="s">
        <v>6966</v>
      </c>
      <c r="AK1356" t="s">
        <v>6966</v>
      </c>
      <c r="AL1356" t="s">
        <v>6966</v>
      </c>
      <c r="AM1356" t="s">
        <v>6966</v>
      </c>
      <c r="AN1356" t="s">
        <v>6966</v>
      </c>
      <c r="AO1356" t="s">
        <v>6966</v>
      </c>
      <c r="AP1356" t="s">
        <v>6966</v>
      </c>
      <c r="AQ1356" t="s">
        <v>6966</v>
      </c>
      <c r="AR1356" t="s">
        <v>6966</v>
      </c>
      <c r="AS1356" t="s">
        <v>6966</v>
      </c>
      <c r="AT1356" t="s">
        <v>6966</v>
      </c>
      <c r="AU1356" t="s">
        <v>6966</v>
      </c>
      <c r="AV1356" t="s">
        <v>6966</v>
      </c>
      <c r="AW1356" t="s">
        <v>6966</v>
      </c>
      <c r="AX1356" t="s">
        <v>6966</v>
      </c>
      <c r="AY1356" t="s">
        <v>6966</v>
      </c>
      <c r="AZ1356">
        <v>0.136048</v>
      </c>
      <c r="BA1356">
        <v>2.6200000000000003E-4</v>
      </c>
    </row>
    <row r="1357" spans="1:53" x14ac:dyDescent="0.25">
      <c r="A1357">
        <v>1355</v>
      </c>
      <c r="B1357" t="s">
        <v>7625</v>
      </c>
      <c r="C1357">
        <v>802012</v>
      </c>
      <c r="D1357" t="s">
        <v>8086</v>
      </c>
      <c r="E1357" t="s">
        <v>3039</v>
      </c>
      <c r="F1357">
        <v>5850844</v>
      </c>
      <c r="G1357">
        <v>13479.795898</v>
      </c>
      <c r="H1357">
        <v>1357</v>
      </c>
      <c r="I1357">
        <v>1595</v>
      </c>
      <c r="J1357">
        <v>61453</v>
      </c>
      <c r="K1357" t="s">
        <v>2545</v>
      </c>
      <c r="L1357">
        <v>20</v>
      </c>
      <c r="M1357">
        <v>20</v>
      </c>
      <c r="N1357">
        <v>61453</v>
      </c>
      <c r="O1357">
        <v>1329</v>
      </c>
      <c r="P1357" t="s">
        <v>3213</v>
      </c>
      <c r="Q1357">
        <v>6.4</v>
      </c>
      <c r="R1357">
        <v>130.28</v>
      </c>
      <c r="S1357">
        <v>1.34</v>
      </c>
      <c r="T1357">
        <v>27</v>
      </c>
      <c r="U1357">
        <v>5850843.8047799999</v>
      </c>
      <c r="V1357">
        <v>13479.796770000001</v>
      </c>
      <c r="W1357">
        <v>1356</v>
      </c>
      <c r="X1357">
        <v>0</v>
      </c>
      <c r="Y1357">
        <v>1355</v>
      </c>
      <c r="Z1357" t="s">
        <v>6966</v>
      </c>
      <c r="AA1357" t="s">
        <v>6966</v>
      </c>
      <c r="AB1357" t="s">
        <v>6966</v>
      </c>
      <c r="AC1357" t="s">
        <v>6966</v>
      </c>
      <c r="AD1357" t="s">
        <v>6966</v>
      </c>
      <c r="AE1357" t="s">
        <v>6966</v>
      </c>
      <c r="AF1357" t="s">
        <v>6966</v>
      </c>
      <c r="AG1357" t="s">
        <v>6966</v>
      </c>
      <c r="AH1357" t="s">
        <v>6966</v>
      </c>
      <c r="AI1357" t="s">
        <v>6966</v>
      </c>
      <c r="AJ1357" t="s">
        <v>6966</v>
      </c>
      <c r="AK1357" t="s">
        <v>6966</v>
      </c>
      <c r="AL1357" t="s">
        <v>6966</v>
      </c>
      <c r="AM1357" t="s">
        <v>6966</v>
      </c>
      <c r="AN1357" t="s">
        <v>6966</v>
      </c>
      <c r="AO1357" t="s">
        <v>6966</v>
      </c>
      <c r="AP1357" t="s">
        <v>6966</v>
      </c>
      <c r="AQ1357" t="s">
        <v>6966</v>
      </c>
      <c r="AR1357" t="s">
        <v>6966</v>
      </c>
      <c r="AS1357" t="s">
        <v>6966</v>
      </c>
      <c r="AT1357" t="s">
        <v>6966</v>
      </c>
      <c r="AU1357" t="s">
        <v>6966</v>
      </c>
      <c r="AV1357" t="s">
        <v>6966</v>
      </c>
      <c r="AW1357" t="s">
        <v>6966</v>
      </c>
      <c r="AX1357" t="s">
        <v>6966</v>
      </c>
      <c r="AY1357" t="s">
        <v>6966</v>
      </c>
      <c r="AZ1357">
        <v>0.13000600000000001</v>
      </c>
      <c r="BA1357">
        <v>5.6700000000000001E-4</v>
      </c>
    </row>
    <row r="1358" spans="1:53" x14ac:dyDescent="0.25">
      <c r="A1358">
        <v>1356</v>
      </c>
      <c r="B1358" t="s">
        <v>7625</v>
      </c>
      <c r="C1358">
        <v>604004</v>
      </c>
      <c r="D1358" t="s">
        <v>1431</v>
      </c>
      <c r="E1358" t="s">
        <v>6965</v>
      </c>
      <c r="F1358">
        <v>5465138</v>
      </c>
      <c r="G1358">
        <v>12702.789063</v>
      </c>
      <c r="H1358">
        <v>1358</v>
      </c>
      <c r="I1358">
        <v>1596</v>
      </c>
      <c r="J1358">
        <v>71226</v>
      </c>
      <c r="K1358" t="s">
        <v>8087</v>
      </c>
      <c r="L1358">
        <v>23</v>
      </c>
      <c r="M1358">
        <v>23</v>
      </c>
      <c r="N1358">
        <v>71226</v>
      </c>
      <c r="O1358">
        <v>1330</v>
      </c>
      <c r="P1358" t="s">
        <v>6965</v>
      </c>
      <c r="Q1358">
        <v>3.2</v>
      </c>
      <c r="R1358">
        <v>46.53</v>
      </c>
      <c r="S1358">
        <v>1.48</v>
      </c>
      <c r="T1358">
        <v>21</v>
      </c>
      <c r="U1358">
        <v>5465137.9492899999</v>
      </c>
      <c r="V1358">
        <v>12702.789295</v>
      </c>
      <c r="W1358">
        <v>1357</v>
      </c>
      <c r="X1358">
        <v>0</v>
      </c>
      <c r="Y1358">
        <v>1356</v>
      </c>
      <c r="Z1358" t="s">
        <v>6966</v>
      </c>
      <c r="AA1358" t="s">
        <v>6966</v>
      </c>
      <c r="AB1358" t="s">
        <v>6966</v>
      </c>
      <c r="AC1358" t="s">
        <v>6966</v>
      </c>
      <c r="AD1358" t="s">
        <v>6966</v>
      </c>
      <c r="AE1358" t="s">
        <v>6966</v>
      </c>
      <c r="AF1358" t="s">
        <v>6966</v>
      </c>
      <c r="AG1358" t="s">
        <v>6966</v>
      </c>
      <c r="AH1358" t="s">
        <v>6966</v>
      </c>
      <c r="AI1358" t="s">
        <v>6966</v>
      </c>
      <c r="AJ1358" t="s">
        <v>6966</v>
      </c>
      <c r="AK1358" t="s">
        <v>6966</v>
      </c>
      <c r="AL1358" t="s">
        <v>6966</v>
      </c>
      <c r="AM1358" t="s">
        <v>6966</v>
      </c>
      <c r="AN1358" t="s">
        <v>6966</v>
      </c>
      <c r="AO1358" t="s">
        <v>6966</v>
      </c>
      <c r="AP1358" t="s">
        <v>6966</v>
      </c>
      <c r="AQ1358" t="s">
        <v>6966</v>
      </c>
      <c r="AR1358" t="s">
        <v>6966</v>
      </c>
      <c r="AS1358" t="s">
        <v>6966</v>
      </c>
      <c r="AT1358" t="s">
        <v>6966</v>
      </c>
      <c r="AU1358" t="s">
        <v>6966</v>
      </c>
      <c r="AV1358" t="s">
        <v>6966</v>
      </c>
      <c r="AW1358" t="s">
        <v>6966</v>
      </c>
      <c r="AX1358" t="s">
        <v>6966</v>
      </c>
      <c r="AY1358" t="s">
        <v>6966</v>
      </c>
      <c r="AZ1358">
        <v>0.12633</v>
      </c>
      <c r="BA1358">
        <v>5.2999999999999998E-4</v>
      </c>
    </row>
    <row r="1359" spans="1:53" x14ac:dyDescent="0.25">
      <c r="A1359">
        <v>1357</v>
      </c>
      <c r="B1359" t="s">
        <v>7625</v>
      </c>
      <c r="C1359">
        <v>802036</v>
      </c>
      <c r="D1359" t="s">
        <v>1247</v>
      </c>
      <c r="E1359" t="s">
        <v>3039</v>
      </c>
      <c r="F1359">
        <v>1082304.875</v>
      </c>
      <c r="G1359">
        <v>4971.8833009999998</v>
      </c>
      <c r="H1359">
        <v>1359</v>
      </c>
      <c r="I1359">
        <v>1597</v>
      </c>
      <c r="J1359">
        <v>61467</v>
      </c>
      <c r="K1359" t="s">
        <v>2554</v>
      </c>
      <c r="L1359">
        <v>20</v>
      </c>
      <c r="M1359">
        <v>20</v>
      </c>
      <c r="N1359">
        <v>61467</v>
      </c>
      <c r="O1359">
        <v>1331</v>
      </c>
      <c r="P1359" t="s">
        <v>3213</v>
      </c>
      <c r="Q1359">
        <v>6.3</v>
      </c>
      <c r="R1359">
        <v>42.61</v>
      </c>
      <c r="S1359">
        <v>1.54</v>
      </c>
      <c r="T1359">
        <v>11</v>
      </c>
      <c r="U1359">
        <v>1082304.8247499999</v>
      </c>
      <c r="V1359">
        <v>4971.8827670000001</v>
      </c>
      <c r="W1359">
        <v>1358</v>
      </c>
      <c r="X1359">
        <v>0</v>
      </c>
      <c r="Y1359">
        <v>1357</v>
      </c>
      <c r="Z1359" t="s">
        <v>6966</v>
      </c>
      <c r="AA1359" t="s">
        <v>6966</v>
      </c>
      <c r="AB1359" t="s">
        <v>6966</v>
      </c>
      <c r="AC1359" t="s">
        <v>6966</v>
      </c>
      <c r="AD1359" t="s">
        <v>6966</v>
      </c>
      <c r="AE1359" t="s">
        <v>6966</v>
      </c>
      <c r="AF1359" t="s">
        <v>6966</v>
      </c>
      <c r="AG1359" t="s">
        <v>6966</v>
      </c>
      <c r="AH1359" t="s">
        <v>6966</v>
      </c>
      <c r="AI1359" t="s">
        <v>6966</v>
      </c>
      <c r="AJ1359" t="s">
        <v>6966</v>
      </c>
      <c r="AK1359" t="s">
        <v>6966</v>
      </c>
      <c r="AL1359" t="s">
        <v>6966</v>
      </c>
      <c r="AM1359" t="s">
        <v>6966</v>
      </c>
      <c r="AN1359" t="s">
        <v>6966</v>
      </c>
      <c r="AO1359" t="s">
        <v>6966</v>
      </c>
      <c r="AP1359" t="s">
        <v>6966</v>
      </c>
      <c r="AQ1359" t="s">
        <v>6966</v>
      </c>
      <c r="AR1359" t="s">
        <v>6966</v>
      </c>
      <c r="AS1359" t="s">
        <v>6966</v>
      </c>
      <c r="AT1359" t="s">
        <v>6966</v>
      </c>
      <c r="AU1359" t="s">
        <v>6966</v>
      </c>
      <c r="AV1359" t="s">
        <v>6966</v>
      </c>
      <c r="AW1359" t="s">
        <v>6966</v>
      </c>
      <c r="AX1359" t="s">
        <v>6966</v>
      </c>
      <c r="AY1359" t="s">
        <v>6966</v>
      </c>
      <c r="AZ1359">
        <v>5.0072999999999999E-2</v>
      </c>
      <c r="BA1359">
        <v>1.05E-4</v>
      </c>
    </row>
    <row r="1360" spans="1:53" x14ac:dyDescent="0.25">
      <c r="A1360">
        <v>1358</v>
      </c>
      <c r="B1360" t="s">
        <v>7625</v>
      </c>
      <c r="C1360">
        <v>604038</v>
      </c>
      <c r="D1360" t="s">
        <v>8088</v>
      </c>
      <c r="E1360" t="s">
        <v>6965</v>
      </c>
      <c r="F1360">
        <v>1400334.5</v>
      </c>
      <c r="G1360">
        <v>5449.9965819999998</v>
      </c>
      <c r="H1360">
        <v>1360</v>
      </c>
      <c r="I1360">
        <v>1598</v>
      </c>
      <c r="J1360">
        <v>71241</v>
      </c>
      <c r="K1360" t="s">
        <v>8089</v>
      </c>
      <c r="L1360">
        <v>23</v>
      </c>
      <c r="M1360">
        <v>23</v>
      </c>
      <c r="N1360">
        <v>71241</v>
      </c>
      <c r="O1360">
        <v>1332</v>
      </c>
      <c r="P1360" t="s">
        <v>6965</v>
      </c>
      <c r="Q1360">
        <v>0.1</v>
      </c>
      <c r="R1360">
        <v>4.8899999999999997</v>
      </c>
      <c r="S1360">
        <v>0.05</v>
      </c>
      <c r="T1360">
        <v>2</v>
      </c>
      <c r="U1360">
        <v>1400334.5119700001</v>
      </c>
      <c r="V1360">
        <v>5449.9965759999995</v>
      </c>
      <c r="W1360">
        <v>1359</v>
      </c>
      <c r="X1360">
        <v>0</v>
      </c>
      <c r="Y1360">
        <v>1358</v>
      </c>
      <c r="Z1360" t="s">
        <v>6966</v>
      </c>
      <c r="AA1360" t="s">
        <v>6966</v>
      </c>
      <c r="AB1360" t="s">
        <v>6966</v>
      </c>
      <c r="AC1360" t="s">
        <v>6966</v>
      </c>
      <c r="AD1360" t="s">
        <v>6966</v>
      </c>
      <c r="AE1360" t="s">
        <v>6966</v>
      </c>
      <c r="AF1360" t="s">
        <v>6966</v>
      </c>
      <c r="AG1360" t="s">
        <v>6966</v>
      </c>
      <c r="AH1360" t="s">
        <v>6966</v>
      </c>
      <c r="AI1360" t="s">
        <v>6966</v>
      </c>
      <c r="AJ1360" t="s">
        <v>6966</v>
      </c>
      <c r="AK1360" t="s">
        <v>6966</v>
      </c>
      <c r="AL1360" t="s">
        <v>6966</v>
      </c>
      <c r="AM1360" t="s">
        <v>6966</v>
      </c>
      <c r="AN1360" t="s">
        <v>6966</v>
      </c>
      <c r="AO1360" t="s">
        <v>6966</v>
      </c>
      <c r="AP1360" t="s">
        <v>6966</v>
      </c>
      <c r="AQ1360" t="s">
        <v>6966</v>
      </c>
      <c r="AR1360" t="s">
        <v>6966</v>
      </c>
      <c r="AS1360" t="s">
        <v>6966</v>
      </c>
      <c r="AT1360" t="s">
        <v>6966</v>
      </c>
      <c r="AU1360" t="s">
        <v>6966</v>
      </c>
      <c r="AV1360" t="s">
        <v>6966</v>
      </c>
      <c r="AW1360" t="s">
        <v>6966</v>
      </c>
      <c r="AX1360" t="s">
        <v>6966</v>
      </c>
      <c r="AY1360" t="s">
        <v>6966</v>
      </c>
      <c r="AZ1360">
        <v>5.5844999999999999E-2</v>
      </c>
      <c r="BA1360">
        <v>1.36E-4</v>
      </c>
    </row>
    <row r="1361" spans="1:53" x14ac:dyDescent="0.25">
      <c r="A1361">
        <v>1359</v>
      </c>
      <c r="B1361" t="s">
        <v>7625</v>
      </c>
      <c r="C1361">
        <v>802037</v>
      </c>
      <c r="D1361" t="s">
        <v>1251</v>
      </c>
      <c r="E1361" t="s">
        <v>3039</v>
      </c>
      <c r="F1361">
        <v>1582020.625</v>
      </c>
      <c r="G1361">
        <v>7020.1508789999998</v>
      </c>
      <c r="H1361">
        <v>1361</v>
      </c>
      <c r="I1361">
        <v>1599</v>
      </c>
      <c r="J1361">
        <v>61474</v>
      </c>
      <c r="K1361" t="s">
        <v>2558</v>
      </c>
      <c r="L1361">
        <v>20</v>
      </c>
      <c r="M1361">
        <v>20</v>
      </c>
      <c r="N1361">
        <v>61474</v>
      </c>
      <c r="O1361">
        <v>1333</v>
      </c>
      <c r="P1361" t="s">
        <v>3213</v>
      </c>
      <c r="Q1361">
        <v>0.8</v>
      </c>
      <c r="R1361">
        <v>13.46</v>
      </c>
      <c r="S1361">
        <v>0.22</v>
      </c>
      <c r="T1361">
        <v>4</v>
      </c>
      <c r="U1361">
        <v>1582020.57923</v>
      </c>
      <c r="V1361">
        <v>7020.1511339999997</v>
      </c>
      <c r="W1361">
        <v>1360</v>
      </c>
      <c r="X1361">
        <v>0</v>
      </c>
      <c r="Y1361">
        <v>1359</v>
      </c>
      <c r="Z1361" t="s">
        <v>6966</v>
      </c>
      <c r="AA1361" t="s">
        <v>6966</v>
      </c>
      <c r="AB1361" t="s">
        <v>6966</v>
      </c>
      <c r="AC1361" t="s">
        <v>6966</v>
      </c>
      <c r="AD1361" t="s">
        <v>6966</v>
      </c>
      <c r="AE1361" t="s">
        <v>6966</v>
      </c>
      <c r="AF1361" t="s">
        <v>6966</v>
      </c>
      <c r="AG1361" t="s">
        <v>6966</v>
      </c>
      <c r="AH1361" t="s">
        <v>6966</v>
      </c>
      <c r="AI1361" t="s">
        <v>6966</v>
      </c>
      <c r="AJ1361" t="s">
        <v>6966</v>
      </c>
      <c r="AK1361" t="s">
        <v>6966</v>
      </c>
      <c r="AL1361" t="s">
        <v>6966</v>
      </c>
      <c r="AM1361" t="s">
        <v>6966</v>
      </c>
      <c r="AN1361" t="s">
        <v>6966</v>
      </c>
      <c r="AO1361" t="s">
        <v>6966</v>
      </c>
      <c r="AP1361" t="s">
        <v>6966</v>
      </c>
      <c r="AQ1361" t="s">
        <v>6966</v>
      </c>
      <c r="AR1361" t="s">
        <v>6966</v>
      </c>
      <c r="AS1361" t="s">
        <v>6966</v>
      </c>
      <c r="AT1361" t="s">
        <v>6966</v>
      </c>
      <c r="AU1361" t="s">
        <v>6966</v>
      </c>
      <c r="AV1361" t="s">
        <v>6966</v>
      </c>
      <c r="AW1361" t="s">
        <v>6966</v>
      </c>
      <c r="AX1361" t="s">
        <v>6966</v>
      </c>
      <c r="AY1361" t="s">
        <v>6966</v>
      </c>
      <c r="AZ1361">
        <v>7.0107000000000003E-2</v>
      </c>
      <c r="BA1361">
        <v>1.5300000000000001E-4</v>
      </c>
    </row>
    <row r="1362" spans="1:53" x14ac:dyDescent="0.25">
      <c r="A1362">
        <v>1360</v>
      </c>
      <c r="B1362" t="s">
        <v>7625</v>
      </c>
      <c r="C1362">
        <v>604003</v>
      </c>
      <c r="D1362" t="s">
        <v>1429</v>
      </c>
      <c r="E1362" t="s">
        <v>6965</v>
      </c>
      <c r="F1362">
        <v>997665.75</v>
      </c>
      <c r="G1362">
        <v>9978.2861329999996</v>
      </c>
      <c r="H1362">
        <v>1362</v>
      </c>
      <c r="I1362">
        <v>1600</v>
      </c>
      <c r="J1362">
        <v>71216</v>
      </c>
      <c r="K1362" t="s">
        <v>8090</v>
      </c>
      <c r="L1362">
        <v>23</v>
      </c>
      <c r="M1362">
        <v>23</v>
      </c>
      <c r="N1362">
        <v>71216</v>
      </c>
      <c r="O1362">
        <v>1334</v>
      </c>
      <c r="P1362" t="s">
        <v>6965</v>
      </c>
      <c r="Q1362">
        <v>4.5</v>
      </c>
      <c r="R1362">
        <v>14.53</v>
      </c>
      <c r="S1362">
        <v>2.5099999999999998</v>
      </c>
      <c r="T1362">
        <v>8</v>
      </c>
      <c r="U1362">
        <v>997665.728948</v>
      </c>
      <c r="V1362">
        <v>9978.2860930000006</v>
      </c>
      <c r="W1362">
        <v>1361</v>
      </c>
      <c r="X1362">
        <v>0</v>
      </c>
      <c r="Y1362">
        <v>1360</v>
      </c>
      <c r="Z1362" t="s">
        <v>6966</v>
      </c>
      <c r="AA1362" t="s">
        <v>6966</v>
      </c>
      <c r="AB1362" t="s">
        <v>6966</v>
      </c>
      <c r="AC1362" t="s">
        <v>6966</v>
      </c>
      <c r="AD1362" t="s">
        <v>6966</v>
      </c>
      <c r="AE1362" t="s">
        <v>6966</v>
      </c>
      <c r="AF1362" t="s">
        <v>6966</v>
      </c>
      <c r="AG1362" t="s">
        <v>6966</v>
      </c>
      <c r="AH1362" t="s">
        <v>6966</v>
      </c>
      <c r="AI1362" t="s">
        <v>6966</v>
      </c>
      <c r="AJ1362" t="s">
        <v>6966</v>
      </c>
      <c r="AK1362" t="s">
        <v>6966</v>
      </c>
      <c r="AL1362" t="s">
        <v>6966</v>
      </c>
      <c r="AM1362" t="s">
        <v>6966</v>
      </c>
      <c r="AN1362" t="s">
        <v>6966</v>
      </c>
      <c r="AO1362" t="s">
        <v>6966</v>
      </c>
      <c r="AP1362" t="s">
        <v>6966</v>
      </c>
      <c r="AQ1362" t="s">
        <v>6966</v>
      </c>
      <c r="AR1362" t="s">
        <v>6966</v>
      </c>
      <c r="AS1362" t="s">
        <v>6966</v>
      </c>
      <c r="AT1362" t="s">
        <v>6966</v>
      </c>
      <c r="AU1362" t="s">
        <v>6966</v>
      </c>
      <c r="AV1362" t="s">
        <v>6966</v>
      </c>
      <c r="AW1362" t="s">
        <v>6966</v>
      </c>
      <c r="AX1362" t="s">
        <v>6966</v>
      </c>
      <c r="AY1362" t="s">
        <v>6966</v>
      </c>
      <c r="AZ1362">
        <v>9.6560000000000007E-2</v>
      </c>
      <c r="BA1362">
        <v>9.7E-5</v>
      </c>
    </row>
    <row r="1363" spans="1:53" x14ac:dyDescent="0.25">
      <c r="A1363">
        <v>1361</v>
      </c>
      <c r="B1363" t="s">
        <v>7625</v>
      </c>
      <c r="C1363">
        <v>402031</v>
      </c>
      <c r="D1363" t="s">
        <v>1169</v>
      </c>
      <c r="E1363" t="s">
        <v>7999</v>
      </c>
      <c r="F1363">
        <v>4284468</v>
      </c>
      <c r="G1363">
        <v>10808.648438</v>
      </c>
      <c r="H1363">
        <v>1363</v>
      </c>
      <c r="I1363">
        <v>1601</v>
      </c>
      <c r="J1363">
        <v>55131</v>
      </c>
      <c r="K1363" t="s">
        <v>1169</v>
      </c>
      <c r="L1363">
        <v>19</v>
      </c>
      <c r="M1363">
        <v>19</v>
      </c>
      <c r="N1363">
        <v>55131</v>
      </c>
      <c r="O1363">
        <v>1335</v>
      </c>
      <c r="P1363" t="s">
        <v>3214</v>
      </c>
      <c r="Q1363">
        <v>1.6</v>
      </c>
      <c r="R1363">
        <v>102.59</v>
      </c>
      <c r="S1363">
        <v>0.31</v>
      </c>
      <c r="T1363">
        <v>20</v>
      </c>
      <c r="U1363">
        <v>4284468.1932100002</v>
      </c>
      <c r="V1363">
        <v>10808.648047000001</v>
      </c>
      <c r="W1363">
        <v>1362</v>
      </c>
      <c r="X1363">
        <v>0</v>
      </c>
      <c r="Y1363">
        <v>1361</v>
      </c>
      <c r="Z1363" t="s">
        <v>6966</v>
      </c>
      <c r="AA1363" t="s">
        <v>6966</v>
      </c>
      <c r="AB1363" t="s">
        <v>6966</v>
      </c>
      <c r="AC1363" t="s">
        <v>6966</v>
      </c>
      <c r="AD1363" t="s">
        <v>6966</v>
      </c>
      <c r="AE1363" t="s">
        <v>6966</v>
      </c>
      <c r="AF1363" t="s">
        <v>6966</v>
      </c>
      <c r="AG1363" t="s">
        <v>6966</v>
      </c>
      <c r="AH1363" t="s">
        <v>6966</v>
      </c>
      <c r="AI1363" t="s">
        <v>6966</v>
      </c>
      <c r="AJ1363" t="s">
        <v>6966</v>
      </c>
      <c r="AK1363" t="s">
        <v>6966</v>
      </c>
      <c r="AL1363" t="s">
        <v>6966</v>
      </c>
      <c r="AM1363" t="s">
        <v>6966</v>
      </c>
      <c r="AN1363" t="s">
        <v>6966</v>
      </c>
      <c r="AO1363" t="s">
        <v>6966</v>
      </c>
      <c r="AP1363" t="s">
        <v>6966</v>
      </c>
      <c r="AQ1363" t="s">
        <v>6966</v>
      </c>
      <c r="AR1363" t="s">
        <v>6966</v>
      </c>
      <c r="AS1363" t="s">
        <v>6966</v>
      </c>
      <c r="AT1363" t="s">
        <v>6966</v>
      </c>
      <c r="AU1363" t="s">
        <v>6966</v>
      </c>
      <c r="AV1363" t="s">
        <v>6966</v>
      </c>
      <c r="AW1363" t="s">
        <v>6966</v>
      </c>
      <c r="AX1363" t="s">
        <v>6966</v>
      </c>
      <c r="AY1363" t="s">
        <v>6966</v>
      </c>
      <c r="AZ1363">
        <v>0.10886800000000001</v>
      </c>
      <c r="BA1363">
        <v>4.15E-4</v>
      </c>
    </row>
    <row r="1364" spans="1:53" x14ac:dyDescent="0.25">
      <c r="A1364">
        <v>1362</v>
      </c>
      <c r="B1364" t="s">
        <v>7625</v>
      </c>
      <c r="C1364">
        <v>402003</v>
      </c>
      <c r="D1364" t="s">
        <v>1174</v>
      </c>
      <c r="E1364" t="s">
        <v>7999</v>
      </c>
      <c r="F1364">
        <v>7872458</v>
      </c>
      <c r="G1364">
        <v>15882.914063</v>
      </c>
      <c r="H1364">
        <v>1364</v>
      </c>
      <c r="I1364">
        <v>1602</v>
      </c>
      <c r="J1364">
        <v>55147</v>
      </c>
      <c r="K1364" t="s">
        <v>8091</v>
      </c>
      <c r="L1364">
        <v>19</v>
      </c>
      <c r="M1364">
        <v>19</v>
      </c>
      <c r="N1364">
        <v>55147</v>
      </c>
      <c r="O1364">
        <v>1336</v>
      </c>
      <c r="P1364" t="s">
        <v>3214</v>
      </c>
      <c r="Q1364">
        <v>0.8</v>
      </c>
      <c r="R1364">
        <v>50.74</v>
      </c>
      <c r="S1364">
        <v>0.18</v>
      </c>
      <c r="T1364">
        <v>11</v>
      </c>
      <c r="U1364">
        <v>7872457.7592200004</v>
      </c>
      <c r="V1364">
        <v>15882.914049999999</v>
      </c>
      <c r="W1364">
        <v>1363</v>
      </c>
      <c r="X1364">
        <v>0</v>
      </c>
      <c r="Y1364">
        <v>1362</v>
      </c>
      <c r="Z1364" t="s">
        <v>6966</v>
      </c>
      <c r="AA1364" t="s">
        <v>6966</v>
      </c>
      <c r="AB1364" t="s">
        <v>6966</v>
      </c>
      <c r="AC1364" t="s">
        <v>6966</v>
      </c>
      <c r="AD1364" t="s">
        <v>6966</v>
      </c>
      <c r="AE1364" t="s">
        <v>6966</v>
      </c>
      <c r="AF1364" t="s">
        <v>6966</v>
      </c>
      <c r="AG1364" t="s">
        <v>6966</v>
      </c>
      <c r="AH1364" t="s">
        <v>6966</v>
      </c>
      <c r="AI1364" t="s">
        <v>6966</v>
      </c>
      <c r="AJ1364" t="s">
        <v>6966</v>
      </c>
      <c r="AK1364" t="s">
        <v>6966</v>
      </c>
      <c r="AL1364" t="s">
        <v>6966</v>
      </c>
      <c r="AM1364" t="s">
        <v>6966</v>
      </c>
      <c r="AN1364" t="s">
        <v>6966</v>
      </c>
      <c r="AO1364" t="s">
        <v>6966</v>
      </c>
      <c r="AP1364" t="s">
        <v>6966</v>
      </c>
      <c r="AQ1364" t="s">
        <v>6966</v>
      </c>
      <c r="AR1364" t="s">
        <v>6966</v>
      </c>
      <c r="AS1364" t="s">
        <v>6966</v>
      </c>
      <c r="AT1364" t="s">
        <v>6966</v>
      </c>
      <c r="AU1364" t="s">
        <v>6966</v>
      </c>
      <c r="AV1364" t="s">
        <v>6966</v>
      </c>
      <c r="AW1364" t="s">
        <v>6966</v>
      </c>
      <c r="AX1364" t="s">
        <v>6966</v>
      </c>
      <c r="AY1364" t="s">
        <v>6966</v>
      </c>
      <c r="AZ1364">
        <v>0.15632499999999999</v>
      </c>
      <c r="BA1364">
        <v>7.6300000000000001E-4</v>
      </c>
    </row>
    <row r="1365" spans="1:53" x14ac:dyDescent="0.25">
      <c r="A1365">
        <v>1363</v>
      </c>
      <c r="B1365" t="s">
        <v>7625</v>
      </c>
      <c r="C1365">
        <v>602019</v>
      </c>
      <c r="D1365" t="s">
        <v>8092</v>
      </c>
      <c r="E1365" t="s">
        <v>1541</v>
      </c>
      <c r="F1365">
        <v>6494672.5</v>
      </c>
      <c r="G1365">
        <v>11448.099609000001</v>
      </c>
      <c r="H1365">
        <v>1365</v>
      </c>
      <c r="I1365">
        <v>1603</v>
      </c>
      <c r="J1365">
        <v>74131</v>
      </c>
      <c r="K1365" t="s">
        <v>8092</v>
      </c>
      <c r="L1365">
        <v>26</v>
      </c>
      <c r="M1365">
        <v>26</v>
      </c>
      <c r="N1365">
        <v>74131</v>
      </c>
      <c r="O1365">
        <v>1337</v>
      </c>
      <c r="P1365" t="s">
        <v>6965</v>
      </c>
      <c r="Q1365">
        <v>0.9</v>
      </c>
      <c r="R1365">
        <v>101.85</v>
      </c>
      <c r="S1365">
        <v>0.24</v>
      </c>
      <c r="T1365">
        <v>26</v>
      </c>
      <c r="U1365">
        <v>6494672.4698599996</v>
      </c>
      <c r="V1365">
        <v>11448.10052</v>
      </c>
      <c r="W1365">
        <v>1364</v>
      </c>
      <c r="X1365">
        <v>0</v>
      </c>
      <c r="Y1365">
        <v>1363</v>
      </c>
      <c r="Z1365" t="s">
        <v>6966</v>
      </c>
      <c r="AA1365" t="s">
        <v>6966</v>
      </c>
      <c r="AB1365" t="s">
        <v>6966</v>
      </c>
      <c r="AC1365" t="s">
        <v>6966</v>
      </c>
      <c r="AD1365" t="s">
        <v>6966</v>
      </c>
      <c r="AE1365" t="s">
        <v>6966</v>
      </c>
      <c r="AF1365" t="s">
        <v>6966</v>
      </c>
      <c r="AG1365" t="s">
        <v>6966</v>
      </c>
      <c r="AH1365" t="s">
        <v>6966</v>
      </c>
      <c r="AI1365" t="s">
        <v>6966</v>
      </c>
      <c r="AJ1365" t="s">
        <v>6966</v>
      </c>
      <c r="AK1365" t="s">
        <v>6966</v>
      </c>
      <c r="AL1365" t="s">
        <v>6966</v>
      </c>
      <c r="AM1365" t="s">
        <v>6966</v>
      </c>
      <c r="AN1365" t="s">
        <v>6966</v>
      </c>
      <c r="AO1365" t="s">
        <v>6966</v>
      </c>
      <c r="AP1365" t="s">
        <v>6966</v>
      </c>
      <c r="AQ1365" t="s">
        <v>6966</v>
      </c>
      <c r="AR1365" t="s">
        <v>6966</v>
      </c>
      <c r="AS1365" t="s">
        <v>6966</v>
      </c>
      <c r="AT1365" t="s">
        <v>6966</v>
      </c>
      <c r="AU1365" t="s">
        <v>6966</v>
      </c>
      <c r="AV1365" t="s">
        <v>6966</v>
      </c>
      <c r="AW1365" t="s">
        <v>6966</v>
      </c>
      <c r="AX1365" t="s">
        <v>6966</v>
      </c>
      <c r="AY1365" t="s">
        <v>6966</v>
      </c>
      <c r="AZ1365">
        <v>0.114444</v>
      </c>
      <c r="BA1365">
        <v>6.3000000000000003E-4</v>
      </c>
    </row>
    <row r="1366" spans="1:53" ht="405" x14ac:dyDescent="0.25">
      <c r="A1366">
        <v>1364</v>
      </c>
      <c r="B1366" t="s">
        <v>7625</v>
      </c>
      <c r="C1366">
        <v>802057</v>
      </c>
      <c r="D1366" t="s">
        <v>8093</v>
      </c>
      <c r="E1366" t="s">
        <v>3039</v>
      </c>
      <c r="F1366">
        <v>0</v>
      </c>
      <c r="G1366">
        <v>26018.974609000001</v>
      </c>
      <c r="H1366">
        <v>1366</v>
      </c>
      <c r="I1366">
        <v>1604</v>
      </c>
      <c r="J1366">
        <v>61463</v>
      </c>
      <c r="K1366" t="s">
        <v>8094</v>
      </c>
      <c r="L1366">
        <v>20</v>
      </c>
      <c r="M1366">
        <v>20</v>
      </c>
      <c r="N1366">
        <v>61463</v>
      </c>
      <c r="O1366">
        <v>1338</v>
      </c>
      <c r="P1366" t="s">
        <v>3213</v>
      </c>
      <c r="Q1366">
        <v>2.7</v>
      </c>
      <c r="R1366">
        <v>35.909999999999997</v>
      </c>
      <c r="S1366">
        <v>0.6</v>
      </c>
      <c r="T1366">
        <v>8</v>
      </c>
      <c r="U1366">
        <v>0</v>
      </c>
      <c r="V1366">
        <v>26018.974835000001</v>
      </c>
      <c r="W1366">
        <v>1365</v>
      </c>
      <c r="X1366">
        <v>1</v>
      </c>
      <c r="Y1366">
        <v>1364</v>
      </c>
      <c r="Z1366">
        <v>56742</v>
      </c>
      <c r="AA1366" s="76">
        <v>45692</v>
      </c>
      <c r="AB1366">
        <v>2025</v>
      </c>
      <c r="AC1366" t="s">
        <v>7081</v>
      </c>
      <c r="AD1366">
        <v>4</v>
      </c>
      <c r="AE1366" t="s">
        <v>7083</v>
      </c>
      <c r="AF1366" t="s">
        <v>3213</v>
      </c>
      <c r="AG1366" t="s">
        <v>3039</v>
      </c>
      <c r="AH1366" t="s">
        <v>7084</v>
      </c>
      <c r="AI1366" t="s">
        <v>2977</v>
      </c>
      <c r="AJ1366" t="s">
        <v>6966</v>
      </c>
      <c r="AK1366">
        <v>33.446289999999998</v>
      </c>
      <c r="AL1366">
        <v>35.383270000000003</v>
      </c>
      <c r="AM1366" t="s">
        <v>7013</v>
      </c>
      <c r="AN1366" t="s">
        <v>7014</v>
      </c>
      <c r="AO1366" t="s">
        <v>7008</v>
      </c>
      <c r="AP1366" s="77" t="s">
        <v>7085</v>
      </c>
      <c r="AQ1366" t="s">
        <v>6998</v>
      </c>
      <c r="AR1366" t="s">
        <v>6999</v>
      </c>
      <c r="AS1366" t="s">
        <v>7000</v>
      </c>
      <c r="AT1366">
        <v>0</v>
      </c>
      <c r="AU1366">
        <v>0</v>
      </c>
      <c r="AV1366" s="77" t="s">
        <v>7082</v>
      </c>
      <c r="AW1366" t="s">
        <v>7018</v>
      </c>
      <c r="AX1366" t="s">
        <v>6966</v>
      </c>
      <c r="AY1366" t="s">
        <v>7003</v>
      </c>
      <c r="AZ1366">
        <v>0.25906499999999999</v>
      </c>
      <c r="BA1366">
        <v>1.1360000000000001E-3</v>
      </c>
    </row>
    <row r="1367" spans="1:53" x14ac:dyDescent="0.25">
      <c r="A1367">
        <v>1365</v>
      </c>
      <c r="B1367" t="s">
        <v>7625</v>
      </c>
      <c r="C1367">
        <v>802071</v>
      </c>
      <c r="D1367" t="s">
        <v>1236</v>
      </c>
      <c r="E1367" t="s">
        <v>3039</v>
      </c>
      <c r="F1367">
        <v>9724693</v>
      </c>
      <c r="G1367">
        <v>16700.574218999998</v>
      </c>
      <c r="H1367">
        <v>1367</v>
      </c>
      <c r="I1367">
        <v>1606</v>
      </c>
      <c r="J1367">
        <v>61449</v>
      </c>
      <c r="K1367" t="s">
        <v>2543</v>
      </c>
      <c r="L1367">
        <v>20</v>
      </c>
      <c r="M1367">
        <v>20</v>
      </c>
      <c r="N1367">
        <v>61449</v>
      </c>
      <c r="O1367">
        <v>1339</v>
      </c>
      <c r="P1367" t="s">
        <v>3213</v>
      </c>
      <c r="Q1367">
        <v>12.8</v>
      </c>
      <c r="R1367">
        <v>99.93</v>
      </c>
      <c r="S1367">
        <v>2.74</v>
      </c>
      <c r="T1367">
        <v>22</v>
      </c>
      <c r="U1367">
        <v>9724693.3464800008</v>
      </c>
      <c r="V1367">
        <v>16700.575247000001</v>
      </c>
      <c r="W1367">
        <v>1366</v>
      </c>
      <c r="X1367">
        <v>1</v>
      </c>
      <c r="Y1367">
        <v>1365</v>
      </c>
      <c r="Z1367">
        <v>62286</v>
      </c>
      <c r="AA1367" s="76">
        <v>45791</v>
      </c>
      <c r="AB1367">
        <v>2025</v>
      </c>
      <c r="AC1367" t="s">
        <v>7215</v>
      </c>
      <c r="AD1367">
        <v>14</v>
      </c>
      <c r="AE1367" t="s">
        <v>7252</v>
      </c>
      <c r="AF1367" t="s">
        <v>3213</v>
      </c>
      <c r="AG1367" t="s">
        <v>3039</v>
      </c>
      <c r="AH1367" t="s">
        <v>1236</v>
      </c>
      <c r="AI1367" t="s">
        <v>1236</v>
      </c>
      <c r="AJ1367" t="s">
        <v>6966</v>
      </c>
      <c r="AK1367">
        <v>33.449829999999999</v>
      </c>
      <c r="AL1367">
        <v>35.29486</v>
      </c>
      <c r="AM1367" t="s">
        <v>7013</v>
      </c>
      <c r="AN1367" t="s">
        <v>7014</v>
      </c>
      <c r="AO1367" t="s">
        <v>7008</v>
      </c>
      <c r="AP1367" t="s">
        <v>7253</v>
      </c>
      <c r="AQ1367" t="s">
        <v>6998</v>
      </c>
      <c r="AR1367" t="s">
        <v>6999</v>
      </c>
      <c r="AS1367" t="s">
        <v>7000</v>
      </c>
      <c r="AT1367">
        <v>0</v>
      </c>
      <c r="AU1367">
        <v>0</v>
      </c>
      <c r="AV1367" t="s">
        <v>7248</v>
      </c>
      <c r="AW1367" t="s">
        <v>7018</v>
      </c>
      <c r="AX1367" t="s">
        <v>6966</v>
      </c>
      <c r="AY1367" t="s">
        <v>7003</v>
      </c>
      <c r="AZ1367">
        <v>0.16328899999999999</v>
      </c>
      <c r="BA1367">
        <v>9.4200000000000002E-4</v>
      </c>
    </row>
    <row r="1368" spans="1:53" x14ac:dyDescent="0.25">
      <c r="A1368">
        <v>1366</v>
      </c>
      <c r="B1368" t="s">
        <v>7625</v>
      </c>
      <c r="C1368">
        <v>801038</v>
      </c>
      <c r="D1368" t="s">
        <v>1401</v>
      </c>
      <c r="E1368" t="s">
        <v>1342</v>
      </c>
      <c r="F1368">
        <v>2834266.75</v>
      </c>
      <c r="G1368">
        <v>9456.125</v>
      </c>
      <c r="H1368">
        <v>1368</v>
      </c>
      <c r="I1368">
        <v>1605</v>
      </c>
      <c r="J1368">
        <v>63331</v>
      </c>
      <c r="K1368" t="s">
        <v>8095</v>
      </c>
      <c r="L1368">
        <v>22</v>
      </c>
      <c r="M1368">
        <v>22</v>
      </c>
      <c r="N1368">
        <v>63331</v>
      </c>
      <c r="O1368">
        <v>1625</v>
      </c>
      <c r="P1368" t="s">
        <v>3213</v>
      </c>
      <c r="Q1368">
        <v>0.1</v>
      </c>
      <c r="R1368">
        <v>4.3600000000000003</v>
      </c>
      <c r="S1368">
        <v>7.0000000000000007E-2</v>
      </c>
      <c r="T1368">
        <v>2</v>
      </c>
      <c r="U1368">
        <v>2834266.81525</v>
      </c>
      <c r="V1368">
        <v>9456.1252220000006</v>
      </c>
      <c r="W1368">
        <v>1367</v>
      </c>
      <c r="X1368">
        <v>0</v>
      </c>
      <c r="Y1368">
        <v>1366</v>
      </c>
      <c r="Z1368" t="s">
        <v>6966</v>
      </c>
      <c r="AA1368" t="s">
        <v>6966</v>
      </c>
      <c r="AB1368" t="s">
        <v>6966</v>
      </c>
      <c r="AC1368" t="s">
        <v>6966</v>
      </c>
      <c r="AD1368" t="s">
        <v>6966</v>
      </c>
      <c r="AE1368" t="s">
        <v>6966</v>
      </c>
      <c r="AF1368" t="s">
        <v>6966</v>
      </c>
      <c r="AG1368" t="s">
        <v>6966</v>
      </c>
      <c r="AH1368" t="s">
        <v>6966</v>
      </c>
      <c r="AI1368" t="s">
        <v>6966</v>
      </c>
      <c r="AJ1368" t="s">
        <v>6966</v>
      </c>
      <c r="AK1368" t="s">
        <v>6966</v>
      </c>
      <c r="AL1368" t="s">
        <v>6966</v>
      </c>
      <c r="AM1368" t="s">
        <v>6966</v>
      </c>
      <c r="AN1368" t="s">
        <v>6966</v>
      </c>
      <c r="AO1368" t="s">
        <v>6966</v>
      </c>
      <c r="AP1368" t="s">
        <v>6966</v>
      </c>
      <c r="AQ1368" t="s">
        <v>6966</v>
      </c>
      <c r="AR1368" t="s">
        <v>6966</v>
      </c>
      <c r="AS1368" t="s">
        <v>6966</v>
      </c>
      <c r="AT1368" t="s">
        <v>6966</v>
      </c>
      <c r="AU1368" t="s">
        <v>6966</v>
      </c>
      <c r="AV1368" t="s">
        <v>6966</v>
      </c>
      <c r="AW1368" t="s">
        <v>6966</v>
      </c>
      <c r="AX1368" t="s">
        <v>6966</v>
      </c>
      <c r="AY1368" t="s">
        <v>6966</v>
      </c>
      <c r="AZ1368">
        <v>9.3498999999999999E-2</v>
      </c>
      <c r="BA1368">
        <v>2.7500000000000002E-4</v>
      </c>
    </row>
    <row r="1369" spans="1:53" x14ac:dyDescent="0.25">
      <c r="A1369">
        <v>1367</v>
      </c>
      <c r="B1369" t="s">
        <v>7625</v>
      </c>
      <c r="C1369">
        <v>402043</v>
      </c>
      <c r="D1369" t="s">
        <v>87</v>
      </c>
      <c r="E1369" t="s">
        <v>7999</v>
      </c>
      <c r="F1369">
        <v>5977188</v>
      </c>
      <c r="G1369">
        <v>14713.90625</v>
      </c>
      <c r="H1369">
        <v>1369</v>
      </c>
      <c r="I1369">
        <v>1607</v>
      </c>
      <c r="J1369">
        <v>55007</v>
      </c>
      <c r="K1369" t="s">
        <v>87</v>
      </c>
      <c r="L1369">
        <v>19</v>
      </c>
      <c r="M1369">
        <v>19</v>
      </c>
      <c r="N1369">
        <v>55007</v>
      </c>
      <c r="O1369">
        <v>1340</v>
      </c>
      <c r="P1369" t="s">
        <v>3214</v>
      </c>
      <c r="Q1369">
        <v>0</v>
      </c>
      <c r="R1369">
        <v>0</v>
      </c>
      <c r="S1369">
        <v>0</v>
      </c>
      <c r="T1369">
        <v>0</v>
      </c>
      <c r="U1369">
        <v>5977188.0243899999</v>
      </c>
      <c r="V1369">
        <v>14713.905902</v>
      </c>
      <c r="W1369">
        <v>1368</v>
      </c>
      <c r="X1369">
        <v>0</v>
      </c>
      <c r="Y1369">
        <v>1367</v>
      </c>
      <c r="Z1369" t="s">
        <v>6966</v>
      </c>
      <c r="AA1369" t="s">
        <v>6966</v>
      </c>
      <c r="AB1369" t="s">
        <v>6966</v>
      </c>
      <c r="AC1369" t="s">
        <v>6966</v>
      </c>
      <c r="AD1369" t="s">
        <v>6966</v>
      </c>
      <c r="AE1369" t="s">
        <v>6966</v>
      </c>
      <c r="AF1369" t="s">
        <v>6966</v>
      </c>
      <c r="AG1369" t="s">
        <v>6966</v>
      </c>
      <c r="AH1369" t="s">
        <v>6966</v>
      </c>
      <c r="AI1369" t="s">
        <v>6966</v>
      </c>
      <c r="AJ1369" t="s">
        <v>6966</v>
      </c>
      <c r="AK1369" t="s">
        <v>6966</v>
      </c>
      <c r="AL1369" t="s">
        <v>6966</v>
      </c>
      <c r="AM1369" t="s">
        <v>6966</v>
      </c>
      <c r="AN1369" t="s">
        <v>6966</v>
      </c>
      <c r="AO1369" t="s">
        <v>6966</v>
      </c>
      <c r="AP1369" t="s">
        <v>6966</v>
      </c>
      <c r="AQ1369" t="s">
        <v>6966</v>
      </c>
      <c r="AR1369" t="s">
        <v>6966</v>
      </c>
      <c r="AS1369" t="s">
        <v>6966</v>
      </c>
      <c r="AT1369" t="s">
        <v>6966</v>
      </c>
      <c r="AU1369" t="s">
        <v>6966</v>
      </c>
      <c r="AV1369" t="s">
        <v>6966</v>
      </c>
      <c r="AW1369" t="s">
        <v>6966</v>
      </c>
      <c r="AX1369" t="s">
        <v>6966</v>
      </c>
      <c r="AY1369" t="s">
        <v>6966</v>
      </c>
      <c r="AZ1369">
        <v>0.14413500000000001</v>
      </c>
      <c r="BA1369">
        <v>5.8E-4</v>
      </c>
    </row>
    <row r="1370" spans="1:53" x14ac:dyDescent="0.25">
      <c r="A1370">
        <v>1368</v>
      </c>
      <c r="B1370" t="s">
        <v>7625</v>
      </c>
      <c r="C1370">
        <v>801044</v>
      </c>
      <c r="D1370" t="s">
        <v>1414</v>
      </c>
      <c r="E1370" t="s">
        <v>1342</v>
      </c>
      <c r="F1370">
        <v>4887052</v>
      </c>
      <c r="G1370">
        <v>11067.872069999999</v>
      </c>
      <c r="H1370">
        <v>1370</v>
      </c>
      <c r="I1370">
        <v>1608</v>
      </c>
      <c r="J1370">
        <v>63378</v>
      </c>
      <c r="K1370" t="s">
        <v>1414</v>
      </c>
      <c r="L1370">
        <v>22</v>
      </c>
      <c r="M1370">
        <v>22</v>
      </c>
      <c r="N1370">
        <v>63378</v>
      </c>
      <c r="O1370">
        <v>1341</v>
      </c>
      <c r="P1370" t="s">
        <v>3213</v>
      </c>
      <c r="Q1370">
        <v>0</v>
      </c>
      <c r="R1370">
        <v>0</v>
      </c>
      <c r="S1370">
        <v>0.03</v>
      </c>
      <c r="T1370">
        <v>0</v>
      </c>
      <c r="U1370">
        <v>4887051.9697200004</v>
      </c>
      <c r="V1370">
        <v>11067.871784999999</v>
      </c>
      <c r="W1370">
        <v>1369</v>
      </c>
      <c r="X1370">
        <v>0</v>
      </c>
      <c r="Y1370">
        <v>1368</v>
      </c>
      <c r="Z1370" t="s">
        <v>6966</v>
      </c>
      <c r="AA1370" t="s">
        <v>6966</v>
      </c>
      <c r="AB1370" t="s">
        <v>6966</v>
      </c>
      <c r="AC1370" t="s">
        <v>6966</v>
      </c>
      <c r="AD1370" t="s">
        <v>6966</v>
      </c>
      <c r="AE1370" t="s">
        <v>6966</v>
      </c>
      <c r="AF1370" t="s">
        <v>6966</v>
      </c>
      <c r="AG1370" t="s">
        <v>6966</v>
      </c>
      <c r="AH1370" t="s">
        <v>6966</v>
      </c>
      <c r="AI1370" t="s">
        <v>6966</v>
      </c>
      <c r="AJ1370" t="s">
        <v>6966</v>
      </c>
      <c r="AK1370" t="s">
        <v>6966</v>
      </c>
      <c r="AL1370" t="s">
        <v>6966</v>
      </c>
      <c r="AM1370" t="s">
        <v>6966</v>
      </c>
      <c r="AN1370" t="s">
        <v>6966</v>
      </c>
      <c r="AO1370" t="s">
        <v>6966</v>
      </c>
      <c r="AP1370" t="s">
        <v>6966</v>
      </c>
      <c r="AQ1370" t="s">
        <v>6966</v>
      </c>
      <c r="AR1370" t="s">
        <v>6966</v>
      </c>
      <c r="AS1370" t="s">
        <v>6966</v>
      </c>
      <c r="AT1370" t="s">
        <v>6966</v>
      </c>
      <c r="AU1370" t="s">
        <v>6966</v>
      </c>
      <c r="AV1370" t="s">
        <v>6966</v>
      </c>
      <c r="AW1370" t="s">
        <v>6966</v>
      </c>
      <c r="AX1370" t="s">
        <v>6966</v>
      </c>
      <c r="AY1370" t="s">
        <v>6966</v>
      </c>
      <c r="AZ1370">
        <v>0.108482</v>
      </c>
      <c r="BA1370">
        <v>4.7399999999999997E-4</v>
      </c>
    </row>
    <row r="1371" spans="1:53" x14ac:dyDescent="0.25">
      <c r="A1371">
        <v>1369</v>
      </c>
      <c r="B1371" t="s">
        <v>7625</v>
      </c>
      <c r="C1371">
        <v>402036</v>
      </c>
      <c r="D1371" t="s">
        <v>87</v>
      </c>
      <c r="E1371" t="s">
        <v>7999</v>
      </c>
      <c r="F1371">
        <v>780299.25</v>
      </c>
      <c r="G1371">
        <v>7129.2753910000001</v>
      </c>
      <c r="H1371">
        <v>1371</v>
      </c>
      <c r="I1371">
        <v>1609</v>
      </c>
      <c r="J1371">
        <v>55008</v>
      </c>
      <c r="K1371" t="s">
        <v>87</v>
      </c>
      <c r="L1371">
        <v>19</v>
      </c>
      <c r="M1371">
        <v>19</v>
      </c>
      <c r="N1371">
        <v>55008</v>
      </c>
      <c r="O1371">
        <v>1342</v>
      </c>
      <c r="P1371" t="s">
        <v>3214</v>
      </c>
      <c r="Q1371">
        <v>0</v>
      </c>
      <c r="R1371">
        <v>0</v>
      </c>
      <c r="S1371">
        <v>0</v>
      </c>
      <c r="T1371">
        <v>0</v>
      </c>
      <c r="U1371">
        <v>780299.30855299998</v>
      </c>
      <c r="V1371">
        <v>7129.275439</v>
      </c>
      <c r="W1371">
        <v>1370</v>
      </c>
      <c r="X1371">
        <v>0</v>
      </c>
      <c r="Y1371">
        <v>1369</v>
      </c>
      <c r="Z1371" t="s">
        <v>6966</v>
      </c>
      <c r="AA1371" t="s">
        <v>6966</v>
      </c>
      <c r="AB1371" t="s">
        <v>6966</v>
      </c>
      <c r="AC1371" t="s">
        <v>6966</v>
      </c>
      <c r="AD1371" t="s">
        <v>6966</v>
      </c>
      <c r="AE1371" t="s">
        <v>6966</v>
      </c>
      <c r="AF1371" t="s">
        <v>6966</v>
      </c>
      <c r="AG1371" t="s">
        <v>6966</v>
      </c>
      <c r="AH1371" t="s">
        <v>6966</v>
      </c>
      <c r="AI1371" t="s">
        <v>6966</v>
      </c>
      <c r="AJ1371" t="s">
        <v>6966</v>
      </c>
      <c r="AK1371" t="s">
        <v>6966</v>
      </c>
      <c r="AL1371" t="s">
        <v>6966</v>
      </c>
      <c r="AM1371" t="s">
        <v>6966</v>
      </c>
      <c r="AN1371" t="s">
        <v>6966</v>
      </c>
      <c r="AO1371" t="s">
        <v>6966</v>
      </c>
      <c r="AP1371" t="s">
        <v>6966</v>
      </c>
      <c r="AQ1371" t="s">
        <v>6966</v>
      </c>
      <c r="AR1371" t="s">
        <v>6966</v>
      </c>
      <c r="AS1371" t="s">
        <v>6966</v>
      </c>
      <c r="AT1371" t="s">
        <v>6966</v>
      </c>
      <c r="AU1371" t="s">
        <v>6966</v>
      </c>
      <c r="AV1371" t="s">
        <v>6966</v>
      </c>
      <c r="AW1371" t="s">
        <v>6966</v>
      </c>
      <c r="AX1371" t="s">
        <v>6966</v>
      </c>
      <c r="AY1371" t="s">
        <v>6966</v>
      </c>
      <c r="AZ1371">
        <v>6.9727999999999998E-2</v>
      </c>
      <c r="BA1371">
        <v>7.6000000000000004E-5</v>
      </c>
    </row>
    <row r="1372" spans="1:53" x14ac:dyDescent="0.25">
      <c r="A1372">
        <v>1370</v>
      </c>
      <c r="B1372" t="s">
        <v>7625</v>
      </c>
      <c r="C1372">
        <v>604044</v>
      </c>
      <c r="D1372" t="s">
        <v>1438</v>
      </c>
      <c r="E1372" t="s">
        <v>6965</v>
      </c>
      <c r="F1372">
        <v>5442288.5</v>
      </c>
      <c r="G1372">
        <v>12979.039063</v>
      </c>
      <c r="H1372">
        <v>1372</v>
      </c>
      <c r="I1372">
        <v>1610</v>
      </c>
      <c r="J1372">
        <v>71261</v>
      </c>
      <c r="K1372" t="s">
        <v>1438</v>
      </c>
      <c r="L1372">
        <v>23</v>
      </c>
      <c r="M1372">
        <v>23</v>
      </c>
      <c r="N1372">
        <v>71261</v>
      </c>
      <c r="O1372">
        <v>1343</v>
      </c>
      <c r="P1372" t="s">
        <v>6965</v>
      </c>
      <c r="Q1372">
        <v>2.6</v>
      </c>
      <c r="R1372">
        <v>34.71</v>
      </c>
      <c r="S1372">
        <v>0.79</v>
      </c>
      <c r="T1372">
        <v>11</v>
      </c>
      <c r="U1372">
        <v>5442288.3006100003</v>
      </c>
      <c r="V1372">
        <v>12979.03981</v>
      </c>
      <c r="W1372">
        <v>1371</v>
      </c>
      <c r="X1372">
        <v>0</v>
      </c>
      <c r="Y1372">
        <v>1370</v>
      </c>
      <c r="Z1372" t="s">
        <v>6966</v>
      </c>
      <c r="AA1372" t="s">
        <v>6966</v>
      </c>
      <c r="AB1372" t="s">
        <v>6966</v>
      </c>
      <c r="AC1372" t="s">
        <v>6966</v>
      </c>
      <c r="AD1372" t="s">
        <v>6966</v>
      </c>
      <c r="AE1372" t="s">
        <v>6966</v>
      </c>
      <c r="AF1372" t="s">
        <v>6966</v>
      </c>
      <c r="AG1372" t="s">
        <v>6966</v>
      </c>
      <c r="AH1372" t="s">
        <v>6966</v>
      </c>
      <c r="AI1372" t="s">
        <v>6966</v>
      </c>
      <c r="AJ1372" t="s">
        <v>6966</v>
      </c>
      <c r="AK1372" t="s">
        <v>6966</v>
      </c>
      <c r="AL1372" t="s">
        <v>6966</v>
      </c>
      <c r="AM1372" t="s">
        <v>6966</v>
      </c>
      <c r="AN1372" t="s">
        <v>6966</v>
      </c>
      <c r="AO1372" t="s">
        <v>6966</v>
      </c>
      <c r="AP1372" t="s">
        <v>6966</v>
      </c>
      <c r="AQ1372" t="s">
        <v>6966</v>
      </c>
      <c r="AR1372" t="s">
        <v>6966</v>
      </c>
      <c r="AS1372" t="s">
        <v>6966</v>
      </c>
      <c r="AT1372" t="s">
        <v>6966</v>
      </c>
      <c r="AU1372" t="s">
        <v>6966</v>
      </c>
      <c r="AV1372" t="s">
        <v>6966</v>
      </c>
      <c r="AW1372" t="s">
        <v>6966</v>
      </c>
      <c r="AX1372" t="s">
        <v>6966</v>
      </c>
      <c r="AY1372" t="s">
        <v>6966</v>
      </c>
      <c r="AZ1372">
        <v>0.13162099999999999</v>
      </c>
      <c r="BA1372">
        <v>5.2800000000000004E-4</v>
      </c>
    </row>
    <row r="1373" spans="1:53" x14ac:dyDescent="0.25">
      <c r="A1373">
        <v>1371</v>
      </c>
      <c r="B1373" t="s">
        <v>7625</v>
      </c>
      <c r="C1373">
        <v>801002</v>
      </c>
      <c r="D1373" t="s">
        <v>1396</v>
      </c>
      <c r="E1373" t="s">
        <v>1342</v>
      </c>
      <c r="F1373">
        <v>7007020.5</v>
      </c>
      <c r="G1373">
        <v>13867.554688</v>
      </c>
      <c r="H1373">
        <v>1373</v>
      </c>
      <c r="I1373">
        <v>1611</v>
      </c>
      <c r="J1373">
        <v>63311</v>
      </c>
      <c r="K1373" t="s">
        <v>8096</v>
      </c>
      <c r="L1373">
        <v>22</v>
      </c>
      <c r="M1373">
        <v>22</v>
      </c>
      <c r="N1373">
        <v>63311</v>
      </c>
      <c r="O1373">
        <v>1344</v>
      </c>
      <c r="P1373" t="s">
        <v>3213</v>
      </c>
      <c r="Q1373">
        <v>1.4</v>
      </c>
      <c r="R1373">
        <v>59.29</v>
      </c>
      <c r="S1373">
        <v>0.42</v>
      </c>
      <c r="T1373">
        <v>18</v>
      </c>
      <c r="U1373">
        <v>7007020.6084099999</v>
      </c>
      <c r="V1373">
        <v>13867.554974999999</v>
      </c>
      <c r="W1373">
        <v>1372</v>
      </c>
      <c r="X1373">
        <v>0</v>
      </c>
      <c r="Y1373">
        <v>1371</v>
      </c>
      <c r="Z1373" t="s">
        <v>6966</v>
      </c>
      <c r="AA1373" t="s">
        <v>6966</v>
      </c>
      <c r="AB1373" t="s">
        <v>6966</v>
      </c>
      <c r="AC1373" t="s">
        <v>6966</v>
      </c>
      <c r="AD1373" t="s">
        <v>6966</v>
      </c>
      <c r="AE1373" t="s">
        <v>6966</v>
      </c>
      <c r="AF1373" t="s">
        <v>6966</v>
      </c>
      <c r="AG1373" t="s">
        <v>6966</v>
      </c>
      <c r="AH1373" t="s">
        <v>6966</v>
      </c>
      <c r="AI1373" t="s">
        <v>6966</v>
      </c>
      <c r="AJ1373" t="s">
        <v>6966</v>
      </c>
      <c r="AK1373" t="s">
        <v>6966</v>
      </c>
      <c r="AL1373" t="s">
        <v>6966</v>
      </c>
      <c r="AM1373" t="s">
        <v>6966</v>
      </c>
      <c r="AN1373" t="s">
        <v>6966</v>
      </c>
      <c r="AO1373" t="s">
        <v>6966</v>
      </c>
      <c r="AP1373" t="s">
        <v>6966</v>
      </c>
      <c r="AQ1373" t="s">
        <v>6966</v>
      </c>
      <c r="AR1373" t="s">
        <v>6966</v>
      </c>
      <c r="AS1373" t="s">
        <v>6966</v>
      </c>
      <c r="AT1373" t="s">
        <v>6966</v>
      </c>
      <c r="AU1373" t="s">
        <v>6966</v>
      </c>
      <c r="AV1373" t="s">
        <v>6966</v>
      </c>
      <c r="AW1373" t="s">
        <v>6966</v>
      </c>
      <c r="AX1373" t="s">
        <v>6966</v>
      </c>
      <c r="AY1373" t="s">
        <v>6966</v>
      </c>
      <c r="AZ1373">
        <v>0.13755300000000001</v>
      </c>
      <c r="BA1373">
        <v>6.7900000000000002E-4</v>
      </c>
    </row>
    <row r="1374" spans="1:53" x14ac:dyDescent="0.25">
      <c r="A1374">
        <v>1372</v>
      </c>
      <c r="B1374" t="s">
        <v>7625</v>
      </c>
      <c r="C1374">
        <v>802018</v>
      </c>
      <c r="D1374" t="s">
        <v>1254</v>
      </c>
      <c r="E1374" t="s">
        <v>3039</v>
      </c>
      <c r="F1374">
        <v>2978128.75</v>
      </c>
      <c r="G1374">
        <v>8762.984375</v>
      </c>
      <c r="H1374">
        <v>1374</v>
      </c>
      <c r="I1374">
        <v>1612</v>
      </c>
      <c r="J1374">
        <v>61479</v>
      </c>
      <c r="K1374" t="s">
        <v>8082</v>
      </c>
      <c r="L1374">
        <v>20</v>
      </c>
      <c r="M1374">
        <v>20</v>
      </c>
      <c r="N1374">
        <v>61479</v>
      </c>
      <c r="O1374">
        <v>1345</v>
      </c>
      <c r="P1374" t="s">
        <v>3213</v>
      </c>
      <c r="Q1374">
        <v>2.6</v>
      </c>
      <c r="R1374">
        <v>16.34</v>
      </c>
      <c r="S1374">
        <v>1.03</v>
      </c>
      <c r="T1374">
        <v>7</v>
      </c>
      <c r="U1374">
        <v>2978128.7814600002</v>
      </c>
      <c r="V1374">
        <v>8762.9834339999998</v>
      </c>
      <c r="W1374">
        <v>1373</v>
      </c>
      <c r="X1374">
        <v>0</v>
      </c>
      <c r="Y1374">
        <v>1372</v>
      </c>
      <c r="Z1374" t="s">
        <v>6966</v>
      </c>
      <c r="AA1374" t="s">
        <v>6966</v>
      </c>
      <c r="AB1374" t="s">
        <v>6966</v>
      </c>
      <c r="AC1374" t="s">
        <v>6966</v>
      </c>
      <c r="AD1374" t="s">
        <v>6966</v>
      </c>
      <c r="AE1374" t="s">
        <v>6966</v>
      </c>
      <c r="AF1374" t="s">
        <v>6966</v>
      </c>
      <c r="AG1374" t="s">
        <v>6966</v>
      </c>
      <c r="AH1374" t="s">
        <v>6966</v>
      </c>
      <c r="AI1374" t="s">
        <v>6966</v>
      </c>
      <c r="AJ1374" t="s">
        <v>6966</v>
      </c>
      <c r="AK1374" t="s">
        <v>6966</v>
      </c>
      <c r="AL1374" t="s">
        <v>6966</v>
      </c>
      <c r="AM1374" t="s">
        <v>6966</v>
      </c>
      <c r="AN1374" t="s">
        <v>6966</v>
      </c>
      <c r="AO1374" t="s">
        <v>6966</v>
      </c>
      <c r="AP1374" t="s">
        <v>6966</v>
      </c>
      <c r="AQ1374" t="s">
        <v>6966</v>
      </c>
      <c r="AR1374" t="s">
        <v>6966</v>
      </c>
      <c r="AS1374" t="s">
        <v>6966</v>
      </c>
      <c r="AT1374" t="s">
        <v>6966</v>
      </c>
      <c r="AU1374" t="s">
        <v>6966</v>
      </c>
      <c r="AV1374" t="s">
        <v>6966</v>
      </c>
      <c r="AW1374" t="s">
        <v>6966</v>
      </c>
      <c r="AX1374" t="s">
        <v>6966</v>
      </c>
      <c r="AY1374" t="s">
        <v>6966</v>
      </c>
      <c r="AZ1374">
        <v>8.7466000000000002E-2</v>
      </c>
      <c r="BA1374">
        <v>2.8899999999999998E-4</v>
      </c>
    </row>
    <row r="1375" spans="1:53" x14ac:dyDescent="0.25">
      <c r="A1375">
        <v>1373</v>
      </c>
      <c r="B1375" t="s">
        <v>7625</v>
      </c>
      <c r="C1375">
        <v>801078</v>
      </c>
      <c r="D1375" t="s">
        <v>87</v>
      </c>
      <c r="E1375" t="s">
        <v>1342</v>
      </c>
      <c r="F1375">
        <v>550706.8125</v>
      </c>
      <c r="G1375">
        <v>3326.3747560000002</v>
      </c>
      <c r="H1375">
        <v>1375</v>
      </c>
      <c r="I1375">
        <v>1613</v>
      </c>
      <c r="J1375">
        <v>63003</v>
      </c>
      <c r="K1375" t="s">
        <v>87</v>
      </c>
      <c r="L1375">
        <v>22</v>
      </c>
      <c r="M1375">
        <v>22</v>
      </c>
      <c r="N1375">
        <v>63003</v>
      </c>
      <c r="O1375">
        <v>1626</v>
      </c>
      <c r="P1375" t="s">
        <v>3213</v>
      </c>
      <c r="Q1375">
        <v>0</v>
      </c>
      <c r="R1375">
        <v>0</v>
      </c>
      <c r="S1375">
        <v>0</v>
      </c>
      <c r="T1375">
        <v>0</v>
      </c>
      <c r="U1375">
        <v>550706.829364</v>
      </c>
      <c r="V1375">
        <v>3326.375297</v>
      </c>
      <c r="W1375">
        <v>1374</v>
      </c>
      <c r="X1375">
        <v>0</v>
      </c>
      <c r="Y1375">
        <v>1373</v>
      </c>
      <c r="Z1375" t="s">
        <v>6966</v>
      </c>
      <c r="AA1375" t="s">
        <v>6966</v>
      </c>
      <c r="AB1375" t="s">
        <v>6966</v>
      </c>
      <c r="AC1375" t="s">
        <v>6966</v>
      </c>
      <c r="AD1375" t="s">
        <v>6966</v>
      </c>
      <c r="AE1375" t="s">
        <v>6966</v>
      </c>
      <c r="AF1375" t="s">
        <v>6966</v>
      </c>
      <c r="AG1375" t="s">
        <v>6966</v>
      </c>
      <c r="AH1375" t="s">
        <v>6966</v>
      </c>
      <c r="AI1375" t="s">
        <v>6966</v>
      </c>
      <c r="AJ1375" t="s">
        <v>6966</v>
      </c>
      <c r="AK1375" t="s">
        <v>6966</v>
      </c>
      <c r="AL1375" t="s">
        <v>6966</v>
      </c>
      <c r="AM1375" t="s">
        <v>6966</v>
      </c>
      <c r="AN1375" t="s">
        <v>6966</v>
      </c>
      <c r="AO1375" t="s">
        <v>6966</v>
      </c>
      <c r="AP1375" t="s">
        <v>6966</v>
      </c>
      <c r="AQ1375" t="s">
        <v>6966</v>
      </c>
      <c r="AR1375" t="s">
        <v>6966</v>
      </c>
      <c r="AS1375" t="s">
        <v>6966</v>
      </c>
      <c r="AT1375" t="s">
        <v>6966</v>
      </c>
      <c r="AU1375" t="s">
        <v>6966</v>
      </c>
      <c r="AV1375" t="s">
        <v>6966</v>
      </c>
      <c r="AW1375" t="s">
        <v>6966</v>
      </c>
      <c r="AX1375" t="s">
        <v>6966</v>
      </c>
      <c r="AY1375" t="s">
        <v>6966</v>
      </c>
      <c r="AZ1375">
        <v>3.2403000000000001E-2</v>
      </c>
      <c r="BA1375">
        <v>5.3000000000000001E-5</v>
      </c>
    </row>
    <row r="1376" spans="1:53" x14ac:dyDescent="0.25">
      <c r="A1376">
        <v>1374</v>
      </c>
      <c r="B1376" t="s">
        <v>7625</v>
      </c>
      <c r="C1376">
        <v>802045</v>
      </c>
      <c r="D1376" t="s">
        <v>1241</v>
      </c>
      <c r="E1376" t="s">
        <v>3039</v>
      </c>
      <c r="F1376">
        <v>676971.625</v>
      </c>
      <c r="G1376">
        <v>4322.296875</v>
      </c>
      <c r="H1376">
        <v>1376</v>
      </c>
      <c r="I1376">
        <v>1614</v>
      </c>
      <c r="J1376">
        <v>61457</v>
      </c>
      <c r="K1376" t="s">
        <v>2548</v>
      </c>
      <c r="L1376">
        <v>20</v>
      </c>
      <c r="M1376">
        <v>20</v>
      </c>
      <c r="N1376">
        <v>61457</v>
      </c>
      <c r="O1376">
        <v>1346</v>
      </c>
      <c r="P1376" t="s">
        <v>3213</v>
      </c>
      <c r="Q1376">
        <v>0.2</v>
      </c>
      <c r="R1376">
        <v>0</v>
      </c>
      <c r="S1376">
        <v>0.06</v>
      </c>
      <c r="T1376">
        <v>0</v>
      </c>
      <c r="U1376">
        <v>676971.622906</v>
      </c>
      <c r="V1376">
        <v>4322.2974169999998</v>
      </c>
      <c r="W1376">
        <v>1375</v>
      </c>
      <c r="X1376">
        <v>0</v>
      </c>
      <c r="Y1376">
        <v>1374</v>
      </c>
      <c r="Z1376" t="s">
        <v>6966</v>
      </c>
      <c r="AA1376" t="s">
        <v>6966</v>
      </c>
      <c r="AB1376" t="s">
        <v>6966</v>
      </c>
      <c r="AC1376" t="s">
        <v>6966</v>
      </c>
      <c r="AD1376" t="s">
        <v>6966</v>
      </c>
      <c r="AE1376" t="s">
        <v>6966</v>
      </c>
      <c r="AF1376" t="s">
        <v>6966</v>
      </c>
      <c r="AG1376" t="s">
        <v>6966</v>
      </c>
      <c r="AH1376" t="s">
        <v>6966</v>
      </c>
      <c r="AI1376" t="s">
        <v>6966</v>
      </c>
      <c r="AJ1376" t="s">
        <v>6966</v>
      </c>
      <c r="AK1376" t="s">
        <v>6966</v>
      </c>
      <c r="AL1376" t="s">
        <v>6966</v>
      </c>
      <c r="AM1376" t="s">
        <v>6966</v>
      </c>
      <c r="AN1376" t="s">
        <v>6966</v>
      </c>
      <c r="AO1376" t="s">
        <v>6966</v>
      </c>
      <c r="AP1376" t="s">
        <v>6966</v>
      </c>
      <c r="AQ1376" t="s">
        <v>6966</v>
      </c>
      <c r="AR1376" t="s">
        <v>6966</v>
      </c>
      <c r="AS1376" t="s">
        <v>6966</v>
      </c>
      <c r="AT1376" t="s">
        <v>6966</v>
      </c>
      <c r="AU1376" t="s">
        <v>6966</v>
      </c>
      <c r="AV1376" t="s">
        <v>6966</v>
      </c>
      <c r="AW1376" t="s">
        <v>6966</v>
      </c>
      <c r="AX1376" t="s">
        <v>6966</v>
      </c>
      <c r="AY1376" t="s">
        <v>6966</v>
      </c>
      <c r="AZ1376">
        <v>4.1390000000000003E-2</v>
      </c>
      <c r="BA1376">
        <v>6.6000000000000005E-5</v>
      </c>
    </row>
    <row r="1377" spans="1:53" x14ac:dyDescent="0.25">
      <c r="A1377">
        <v>1375</v>
      </c>
      <c r="B1377" t="s">
        <v>7625</v>
      </c>
      <c r="C1377">
        <v>602015</v>
      </c>
      <c r="D1377" t="s">
        <v>1559</v>
      </c>
      <c r="E1377" t="s">
        <v>1541</v>
      </c>
      <c r="F1377">
        <v>0</v>
      </c>
      <c r="G1377">
        <v>25589.853515999999</v>
      </c>
      <c r="H1377">
        <v>1377</v>
      </c>
      <c r="I1377">
        <v>1615</v>
      </c>
      <c r="J1377">
        <v>74175</v>
      </c>
      <c r="K1377" t="s">
        <v>2799</v>
      </c>
      <c r="L1377">
        <v>26</v>
      </c>
      <c r="M1377">
        <v>26</v>
      </c>
      <c r="N1377">
        <v>74175</v>
      </c>
      <c r="O1377">
        <v>1347</v>
      </c>
      <c r="P1377" t="s">
        <v>6965</v>
      </c>
      <c r="Q1377">
        <v>0.8</v>
      </c>
      <c r="R1377">
        <v>61.03</v>
      </c>
      <c r="S1377">
        <v>0.21</v>
      </c>
      <c r="T1377">
        <v>15</v>
      </c>
      <c r="U1377">
        <v>0</v>
      </c>
      <c r="V1377">
        <v>25589.854018999999</v>
      </c>
      <c r="W1377">
        <v>1376</v>
      </c>
      <c r="X1377">
        <v>0</v>
      </c>
      <c r="Y1377">
        <v>1375</v>
      </c>
      <c r="Z1377" t="s">
        <v>6966</v>
      </c>
      <c r="AA1377" t="s">
        <v>6966</v>
      </c>
      <c r="AB1377" t="s">
        <v>6966</v>
      </c>
      <c r="AC1377" t="s">
        <v>6966</v>
      </c>
      <c r="AD1377" t="s">
        <v>6966</v>
      </c>
      <c r="AE1377" t="s">
        <v>6966</v>
      </c>
      <c r="AF1377" t="s">
        <v>6966</v>
      </c>
      <c r="AG1377" t="s">
        <v>6966</v>
      </c>
      <c r="AH1377" t="s">
        <v>6966</v>
      </c>
      <c r="AI1377" t="s">
        <v>6966</v>
      </c>
      <c r="AJ1377" t="s">
        <v>6966</v>
      </c>
      <c r="AK1377" t="s">
        <v>6966</v>
      </c>
      <c r="AL1377" t="s">
        <v>6966</v>
      </c>
      <c r="AM1377" t="s">
        <v>6966</v>
      </c>
      <c r="AN1377" t="s">
        <v>6966</v>
      </c>
      <c r="AO1377" t="s">
        <v>6966</v>
      </c>
      <c r="AP1377" t="s">
        <v>6966</v>
      </c>
      <c r="AQ1377" t="s">
        <v>6966</v>
      </c>
      <c r="AR1377" t="s">
        <v>6966</v>
      </c>
      <c r="AS1377" t="s">
        <v>6966</v>
      </c>
      <c r="AT1377" t="s">
        <v>6966</v>
      </c>
      <c r="AU1377" t="s">
        <v>6966</v>
      </c>
      <c r="AV1377" t="s">
        <v>6966</v>
      </c>
      <c r="AW1377" t="s">
        <v>6966</v>
      </c>
      <c r="AX1377" t="s">
        <v>6966</v>
      </c>
      <c r="AY1377" t="s">
        <v>6966</v>
      </c>
      <c r="AZ1377">
        <v>0.25440400000000002</v>
      </c>
      <c r="BA1377">
        <v>1.83E-3</v>
      </c>
    </row>
    <row r="1378" spans="1:53" x14ac:dyDescent="0.25">
      <c r="A1378">
        <v>1376</v>
      </c>
      <c r="B1378" t="s">
        <v>7625</v>
      </c>
      <c r="C1378">
        <v>602010</v>
      </c>
      <c r="D1378" t="s">
        <v>1541</v>
      </c>
      <c r="E1378" t="s">
        <v>1541</v>
      </c>
      <c r="F1378">
        <v>0</v>
      </c>
      <c r="G1378">
        <v>40440.851562999997</v>
      </c>
      <c r="H1378">
        <v>1378</v>
      </c>
      <c r="I1378">
        <v>1616</v>
      </c>
      <c r="J1378">
        <v>74111</v>
      </c>
      <c r="K1378" t="s">
        <v>2784</v>
      </c>
      <c r="L1378">
        <v>26</v>
      </c>
      <c r="M1378">
        <v>26</v>
      </c>
      <c r="N1378">
        <v>74111</v>
      </c>
      <c r="O1378">
        <v>1348</v>
      </c>
      <c r="P1378" t="s">
        <v>6965</v>
      </c>
      <c r="Q1378">
        <v>3.5</v>
      </c>
      <c r="R1378">
        <v>104.29</v>
      </c>
      <c r="S1378">
        <v>0.8</v>
      </c>
      <c r="T1378">
        <v>24</v>
      </c>
      <c r="U1378">
        <v>0</v>
      </c>
      <c r="V1378">
        <v>40440.851838000002</v>
      </c>
      <c r="W1378">
        <v>1377</v>
      </c>
      <c r="X1378">
        <v>1</v>
      </c>
      <c r="Y1378">
        <v>1376</v>
      </c>
      <c r="Z1378">
        <v>71835</v>
      </c>
      <c r="AA1378" s="76">
        <v>45932</v>
      </c>
      <c r="AB1378">
        <v>2025</v>
      </c>
      <c r="AC1378" t="s">
        <v>7473</v>
      </c>
      <c r="AD1378">
        <v>2</v>
      </c>
      <c r="AE1378" t="s">
        <v>7478</v>
      </c>
      <c r="AF1378" t="s">
        <v>3218</v>
      </c>
      <c r="AG1378" t="s">
        <v>2784</v>
      </c>
      <c r="AH1378" t="s">
        <v>1541</v>
      </c>
      <c r="AI1378" t="s">
        <v>1541</v>
      </c>
      <c r="AJ1378" t="s">
        <v>6966</v>
      </c>
      <c r="AK1378">
        <v>33.397930000000002</v>
      </c>
      <c r="AL1378">
        <v>35.684220000000003</v>
      </c>
      <c r="AM1378" t="s">
        <v>7013</v>
      </c>
      <c r="AN1378" t="s">
        <v>6995</v>
      </c>
      <c r="AO1378" t="s">
        <v>7008</v>
      </c>
      <c r="AP1378" t="s">
        <v>7479</v>
      </c>
      <c r="AQ1378" t="s">
        <v>6998</v>
      </c>
      <c r="AR1378" t="s">
        <v>6999</v>
      </c>
      <c r="AS1378" t="s">
        <v>7000</v>
      </c>
      <c r="AT1378">
        <v>0</v>
      </c>
      <c r="AU1378">
        <v>0</v>
      </c>
      <c r="AV1378" t="s">
        <v>7480</v>
      </c>
      <c r="AW1378" t="s">
        <v>7043</v>
      </c>
      <c r="AX1378" t="s">
        <v>6966</v>
      </c>
      <c r="AY1378" t="s">
        <v>7003</v>
      </c>
      <c r="AZ1378">
        <v>0.39788299999999999</v>
      </c>
      <c r="BA1378">
        <v>2.1210000000000001E-3</v>
      </c>
    </row>
    <row r="1379" spans="1:53" x14ac:dyDescent="0.25">
      <c r="A1379">
        <v>1377</v>
      </c>
      <c r="B1379" t="s">
        <v>7625</v>
      </c>
      <c r="C1379">
        <v>401041</v>
      </c>
      <c r="D1379" t="s">
        <v>1065</v>
      </c>
      <c r="E1379" t="s">
        <v>3221</v>
      </c>
      <c r="F1379">
        <v>2714957.25</v>
      </c>
      <c r="G1379">
        <v>7998.3349609999996</v>
      </c>
      <c r="H1379">
        <v>1379</v>
      </c>
      <c r="I1379">
        <v>1617</v>
      </c>
      <c r="J1379">
        <v>52284</v>
      </c>
      <c r="K1379" t="s">
        <v>2409</v>
      </c>
      <c r="L1379">
        <v>16</v>
      </c>
      <c r="M1379">
        <v>16</v>
      </c>
      <c r="N1379">
        <v>52284</v>
      </c>
      <c r="O1379">
        <v>1349</v>
      </c>
      <c r="P1379" t="s">
        <v>3214</v>
      </c>
      <c r="Q1379">
        <v>0.7</v>
      </c>
      <c r="R1379">
        <v>20.23</v>
      </c>
      <c r="S1379">
        <v>0.24</v>
      </c>
      <c r="T1379">
        <v>7</v>
      </c>
      <c r="U1379">
        <v>2714957.2026</v>
      </c>
      <c r="V1379">
        <v>7998.3352789999999</v>
      </c>
      <c r="W1379">
        <v>1378</v>
      </c>
      <c r="X1379">
        <v>0</v>
      </c>
      <c r="Y1379">
        <v>1377</v>
      </c>
      <c r="Z1379" t="s">
        <v>6966</v>
      </c>
      <c r="AA1379" t="s">
        <v>6966</v>
      </c>
      <c r="AB1379" t="s">
        <v>6966</v>
      </c>
      <c r="AC1379" t="s">
        <v>6966</v>
      </c>
      <c r="AD1379" t="s">
        <v>6966</v>
      </c>
      <c r="AE1379" t="s">
        <v>6966</v>
      </c>
      <c r="AF1379" t="s">
        <v>6966</v>
      </c>
      <c r="AG1379" t="s">
        <v>6966</v>
      </c>
      <c r="AH1379" t="s">
        <v>6966</v>
      </c>
      <c r="AI1379" t="s">
        <v>6966</v>
      </c>
      <c r="AJ1379" t="s">
        <v>6966</v>
      </c>
      <c r="AK1379" t="s">
        <v>6966</v>
      </c>
      <c r="AL1379" t="s">
        <v>6966</v>
      </c>
      <c r="AM1379" t="s">
        <v>6966</v>
      </c>
      <c r="AN1379" t="s">
        <v>6966</v>
      </c>
      <c r="AO1379" t="s">
        <v>6966</v>
      </c>
      <c r="AP1379" t="s">
        <v>6966</v>
      </c>
      <c r="AQ1379" t="s">
        <v>6966</v>
      </c>
      <c r="AR1379" t="s">
        <v>6966</v>
      </c>
      <c r="AS1379" t="s">
        <v>6966</v>
      </c>
      <c r="AT1379" t="s">
        <v>6966</v>
      </c>
      <c r="AU1379" t="s">
        <v>6966</v>
      </c>
      <c r="AV1379" t="s">
        <v>6966</v>
      </c>
      <c r="AW1379" t="s">
        <v>6966</v>
      </c>
      <c r="AX1379" t="s">
        <v>6966</v>
      </c>
      <c r="AY1379" t="s">
        <v>6966</v>
      </c>
      <c r="AZ1379">
        <v>7.9691999999999999E-2</v>
      </c>
      <c r="BA1379">
        <v>2.63E-4</v>
      </c>
    </row>
    <row r="1380" spans="1:53" x14ac:dyDescent="0.25">
      <c r="A1380">
        <v>1378</v>
      </c>
      <c r="B1380" t="s">
        <v>7625</v>
      </c>
      <c r="C1380">
        <v>604022</v>
      </c>
      <c r="D1380" t="s">
        <v>1432</v>
      </c>
      <c r="E1380" t="s">
        <v>6965</v>
      </c>
      <c r="F1380">
        <v>5933915</v>
      </c>
      <c r="G1380">
        <v>13704.291992</v>
      </c>
      <c r="H1380">
        <v>1380</v>
      </c>
      <c r="I1380">
        <v>1618</v>
      </c>
      <c r="J1380">
        <v>71231</v>
      </c>
      <c r="K1380" t="s">
        <v>2699</v>
      </c>
      <c r="L1380">
        <v>23</v>
      </c>
      <c r="M1380">
        <v>23</v>
      </c>
      <c r="N1380">
        <v>71231</v>
      </c>
      <c r="O1380">
        <v>1350</v>
      </c>
      <c r="P1380" t="s">
        <v>6965</v>
      </c>
      <c r="Q1380">
        <v>2.4</v>
      </c>
      <c r="R1380">
        <v>27.78</v>
      </c>
      <c r="S1380">
        <v>0.98</v>
      </c>
      <c r="T1380">
        <v>11</v>
      </c>
      <c r="U1380">
        <v>5933915.15809</v>
      </c>
      <c r="V1380">
        <v>13704.292232</v>
      </c>
      <c r="W1380">
        <v>1379</v>
      </c>
      <c r="X1380">
        <v>0</v>
      </c>
      <c r="Y1380">
        <v>1378</v>
      </c>
      <c r="Z1380" t="s">
        <v>6966</v>
      </c>
      <c r="AA1380" t="s">
        <v>6966</v>
      </c>
      <c r="AB1380" t="s">
        <v>6966</v>
      </c>
      <c r="AC1380" t="s">
        <v>6966</v>
      </c>
      <c r="AD1380" t="s">
        <v>6966</v>
      </c>
      <c r="AE1380" t="s">
        <v>6966</v>
      </c>
      <c r="AF1380" t="s">
        <v>6966</v>
      </c>
      <c r="AG1380" t="s">
        <v>6966</v>
      </c>
      <c r="AH1380" t="s">
        <v>6966</v>
      </c>
      <c r="AI1380" t="s">
        <v>6966</v>
      </c>
      <c r="AJ1380" t="s">
        <v>6966</v>
      </c>
      <c r="AK1380" t="s">
        <v>6966</v>
      </c>
      <c r="AL1380" t="s">
        <v>6966</v>
      </c>
      <c r="AM1380" t="s">
        <v>6966</v>
      </c>
      <c r="AN1380" t="s">
        <v>6966</v>
      </c>
      <c r="AO1380" t="s">
        <v>6966</v>
      </c>
      <c r="AP1380" t="s">
        <v>6966</v>
      </c>
      <c r="AQ1380" t="s">
        <v>6966</v>
      </c>
      <c r="AR1380" t="s">
        <v>6966</v>
      </c>
      <c r="AS1380" t="s">
        <v>6966</v>
      </c>
      <c r="AT1380" t="s">
        <v>6966</v>
      </c>
      <c r="AU1380" t="s">
        <v>6966</v>
      </c>
      <c r="AV1380" t="s">
        <v>6966</v>
      </c>
      <c r="AW1380" t="s">
        <v>6966</v>
      </c>
      <c r="AX1380" t="s">
        <v>6966</v>
      </c>
      <c r="AY1380" t="s">
        <v>6966</v>
      </c>
      <c r="AZ1380">
        <v>0.13628799999999999</v>
      </c>
      <c r="BA1380">
        <v>5.7499999999999999E-4</v>
      </c>
    </row>
    <row r="1381" spans="1:53" x14ac:dyDescent="0.25">
      <c r="A1381">
        <v>1379</v>
      </c>
      <c r="B1381" t="s">
        <v>7625</v>
      </c>
      <c r="C1381">
        <v>604007</v>
      </c>
      <c r="D1381" t="s">
        <v>1440</v>
      </c>
      <c r="E1381" t="s">
        <v>6965</v>
      </c>
      <c r="F1381">
        <v>4480771</v>
      </c>
      <c r="G1381">
        <v>10596.079102</v>
      </c>
      <c r="H1381">
        <v>1381</v>
      </c>
      <c r="I1381">
        <v>1619</v>
      </c>
      <c r="J1381">
        <v>71271</v>
      </c>
      <c r="K1381" t="s">
        <v>8097</v>
      </c>
      <c r="L1381">
        <v>23</v>
      </c>
      <c r="M1381">
        <v>23</v>
      </c>
      <c r="N1381">
        <v>71271</v>
      </c>
      <c r="O1381">
        <v>1351</v>
      </c>
      <c r="P1381" t="s">
        <v>6965</v>
      </c>
      <c r="Q1381">
        <v>0.9</v>
      </c>
      <c r="R1381">
        <v>17.71</v>
      </c>
      <c r="S1381">
        <v>0.39</v>
      </c>
      <c r="T1381">
        <v>8</v>
      </c>
      <c r="U1381">
        <v>4480771.2242400004</v>
      </c>
      <c r="V1381">
        <v>10596.078308</v>
      </c>
      <c r="W1381">
        <v>1380</v>
      </c>
      <c r="X1381">
        <v>0</v>
      </c>
      <c r="Y1381">
        <v>1379</v>
      </c>
      <c r="Z1381" t="s">
        <v>6966</v>
      </c>
      <c r="AA1381" t="s">
        <v>6966</v>
      </c>
      <c r="AB1381" t="s">
        <v>6966</v>
      </c>
      <c r="AC1381" t="s">
        <v>6966</v>
      </c>
      <c r="AD1381" t="s">
        <v>6966</v>
      </c>
      <c r="AE1381" t="s">
        <v>6966</v>
      </c>
      <c r="AF1381" t="s">
        <v>6966</v>
      </c>
      <c r="AG1381" t="s">
        <v>6966</v>
      </c>
      <c r="AH1381" t="s">
        <v>6966</v>
      </c>
      <c r="AI1381" t="s">
        <v>6966</v>
      </c>
      <c r="AJ1381" t="s">
        <v>6966</v>
      </c>
      <c r="AK1381" t="s">
        <v>6966</v>
      </c>
      <c r="AL1381" t="s">
        <v>6966</v>
      </c>
      <c r="AM1381" t="s">
        <v>6966</v>
      </c>
      <c r="AN1381" t="s">
        <v>6966</v>
      </c>
      <c r="AO1381" t="s">
        <v>6966</v>
      </c>
      <c r="AP1381" t="s">
        <v>6966</v>
      </c>
      <c r="AQ1381" t="s">
        <v>6966</v>
      </c>
      <c r="AR1381" t="s">
        <v>6966</v>
      </c>
      <c r="AS1381" t="s">
        <v>6966</v>
      </c>
      <c r="AT1381" t="s">
        <v>6966</v>
      </c>
      <c r="AU1381" t="s">
        <v>6966</v>
      </c>
      <c r="AV1381" t="s">
        <v>6966</v>
      </c>
      <c r="AW1381" t="s">
        <v>6966</v>
      </c>
      <c r="AX1381" t="s">
        <v>6966</v>
      </c>
      <c r="AY1381" t="s">
        <v>6966</v>
      </c>
      <c r="AZ1381">
        <v>0.106241</v>
      </c>
      <c r="BA1381">
        <v>4.3399999999999998E-4</v>
      </c>
    </row>
    <row r="1382" spans="1:53" x14ac:dyDescent="0.25">
      <c r="A1382">
        <v>1380</v>
      </c>
      <c r="B1382" t="s">
        <v>7625</v>
      </c>
      <c r="C1382">
        <v>602020</v>
      </c>
      <c r="D1382" t="s">
        <v>1550</v>
      </c>
      <c r="E1382" t="s">
        <v>1541</v>
      </c>
      <c r="F1382">
        <v>0</v>
      </c>
      <c r="G1382">
        <v>21829.171875</v>
      </c>
      <c r="H1382">
        <v>1382</v>
      </c>
      <c r="I1382">
        <v>1620</v>
      </c>
      <c r="J1382">
        <v>74128</v>
      </c>
      <c r="K1382" t="s">
        <v>2792</v>
      </c>
      <c r="L1382">
        <v>26</v>
      </c>
      <c r="M1382">
        <v>26</v>
      </c>
      <c r="N1382">
        <v>74128</v>
      </c>
      <c r="O1382">
        <v>1352</v>
      </c>
      <c r="P1382" t="s">
        <v>6965</v>
      </c>
      <c r="Q1382">
        <v>0.9</v>
      </c>
      <c r="R1382">
        <v>53.6</v>
      </c>
      <c r="S1382">
        <v>0.24</v>
      </c>
      <c r="T1382">
        <v>15</v>
      </c>
      <c r="U1382">
        <v>0</v>
      </c>
      <c r="V1382">
        <v>21829.174025</v>
      </c>
      <c r="W1382">
        <v>1381</v>
      </c>
      <c r="X1382">
        <v>0</v>
      </c>
      <c r="Y1382">
        <v>1380</v>
      </c>
      <c r="Z1382" t="s">
        <v>6966</v>
      </c>
      <c r="AA1382" t="s">
        <v>6966</v>
      </c>
      <c r="AB1382" t="s">
        <v>6966</v>
      </c>
      <c r="AC1382" t="s">
        <v>6966</v>
      </c>
      <c r="AD1382" t="s">
        <v>6966</v>
      </c>
      <c r="AE1382" t="s">
        <v>6966</v>
      </c>
      <c r="AF1382" t="s">
        <v>6966</v>
      </c>
      <c r="AG1382" t="s">
        <v>6966</v>
      </c>
      <c r="AH1382" t="s">
        <v>6966</v>
      </c>
      <c r="AI1382" t="s">
        <v>6966</v>
      </c>
      <c r="AJ1382" t="s">
        <v>6966</v>
      </c>
      <c r="AK1382" t="s">
        <v>6966</v>
      </c>
      <c r="AL1382" t="s">
        <v>6966</v>
      </c>
      <c r="AM1382" t="s">
        <v>6966</v>
      </c>
      <c r="AN1382" t="s">
        <v>6966</v>
      </c>
      <c r="AO1382" t="s">
        <v>6966</v>
      </c>
      <c r="AP1382" t="s">
        <v>6966</v>
      </c>
      <c r="AQ1382" t="s">
        <v>6966</v>
      </c>
      <c r="AR1382" t="s">
        <v>6966</v>
      </c>
      <c r="AS1382" t="s">
        <v>6966</v>
      </c>
      <c r="AT1382" t="s">
        <v>6966</v>
      </c>
      <c r="AU1382" t="s">
        <v>6966</v>
      </c>
      <c r="AV1382" t="s">
        <v>6966</v>
      </c>
      <c r="AW1382" t="s">
        <v>6966</v>
      </c>
      <c r="AX1382" t="s">
        <v>6966</v>
      </c>
      <c r="AY1382" t="s">
        <v>6966</v>
      </c>
      <c r="AZ1382">
        <v>0.21454899999999999</v>
      </c>
      <c r="BA1382">
        <v>1.487E-3</v>
      </c>
    </row>
    <row r="1383" spans="1:53" x14ac:dyDescent="0.25">
      <c r="A1383">
        <v>1381</v>
      </c>
      <c r="B1383" t="s">
        <v>7625</v>
      </c>
      <c r="C1383">
        <v>801043</v>
      </c>
      <c r="D1383" t="s">
        <v>1399</v>
      </c>
      <c r="E1383" t="s">
        <v>1342</v>
      </c>
      <c r="F1383">
        <v>1759164.125</v>
      </c>
      <c r="G1383">
        <v>6317.7597660000001</v>
      </c>
      <c r="H1383">
        <v>1383</v>
      </c>
      <c r="I1383">
        <v>1621</v>
      </c>
      <c r="J1383">
        <v>63323</v>
      </c>
      <c r="K1383" t="s">
        <v>2673</v>
      </c>
      <c r="L1383">
        <v>22</v>
      </c>
      <c r="M1383">
        <v>22</v>
      </c>
      <c r="N1383">
        <v>63323</v>
      </c>
      <c r="O1383">
        <v>1353</v>
      </c>
      <c r="P1383" t="s">
        <v>3213</v>
      </c>
      <c r="Q1383">
        <v>0</v>
      </c>
      <c r="R1383">
        <v>0</v>
      </c>
      <c r="S1383">
        <v>0</v>
      </c>
      <c r="T1383">
        <v>0</v>
      </c>
      <c r="U1383">
        <v>1759164.1889599999</v>
      </c>
      <c r="V1383">
        <v>6317.7597390000001</v>
      </c>
      <c r="W1383">
        <v>1382</v>
      </c>
      <c r="X1383">
        <v>0</v>
      </c>
      <c r="Y1383">
        <v>1381</v>
      </c>
      <c r="Z1383" t="s">
        <v>6966</v>
      </c>
      <c r="AA1383" t="s">
        <v>6966</v>
      </c>
      <c r="AB1383" t="s">
        <v>6966</v>
      </c>
      <c r="AC1383" t="s">
        <v>6966</v>
      </c>
      <c r="AD1383" t="s">
        <v>6966</v>
      </c>
      <c r="AE1383" t="s">
        <v>6966</v>
      </c>
      <c r="AF1383" t="s">
        <v>6966</v>
      </c>
      <c r="AG1383" t="s">
        <v>6966</v>
      </c>
      <c r="AH1383" t="s">
        <v>6966</v>
      </c>
      <c r="AI1383" t="s">
        <v>6966</v>
      </c>
      <c r="AJ1383" t="s">
        <v>6966</v>
      </c>
      <c r="AK1383" t="s">
        <v>6966</v>
      </c>
      <c r="AL1383" t="s">
        <v>6966</v>
      </c>
      <c r="AM1383" t="s">
        <v>6966</v>
      </c>
      <c r="AN1383" t="s">
        <v>6966</v>
      </c>
      <c r="AO1383" t="s">
        <v>6966</v>
      </c>
      <c r="AP1383" t="s">
        <v>6966</v>
      </c>
      <c r="AQ1383" t="s">
        <v>6966</v>
      </c>
      <c r="AR1383" t="s">
        <v>6966</v>
      </c>
      <c r="AS1383" t="s">
        <v>6966</v>
      </c>
      <c r="AT1383" t="s">
        <v>6966</v>
      </c>
      <c r="AU1383" t="s">
        <v>6966</v>
      </c>
      <c r="AV1383" t="s">
        <v>6966</v>
      </c>
      <c r="AW1383" t="s">
        <v>6966</v>
      </c>
      <c r="AX1383" t="s">
        <v>6966</v>
      </c>
      <c r="AY1383" t="s">
        <v>6966</v>
      </c>
      <c r="AZ1383">
        <v>6.4911999999999997E-2</v>
      </c>
      <c r="BA1383">
        <v>1.7100000000000001E-4</v>
      </c>
    </row>
    <row r="1384" spans="1:53" x14ac:dyDescent="0.25">
      <c r="A1384">
        <v>1382</v>
      </c>
      <c r="B1384" t="s">
        <v>7625</v>
      </c>
      <c r="C1384">
        <v>802079</v>
      </c>
      <c r="D1384" t="s">
        <v>87</v>
      </c>
      <c r="E1384" t="s">
        <v>3039</v>
      </c>
      <c r="F1384">
        <v>59123.96875</v>
      </c>
      <c r="G1384">
        <v>2509.9309079999998</v>
      </c>
      <c r="H1384">
        <v>1384</v>
      </c>
      <c r="I1384">
        <v>1622</v>
      </c>
      <c r="J1384">
        <v>61001</v>
      </c>
      <c r="K1384" t="s">
        <v>87</v>
      </c>
      <c r="L1384">
        <v>20</v>
      </c>
      <c r="M1384">
        <v>20</v>
      </c>
      <c r="N1384">
        <v>61001</v>
      </c>
      <c r="O1384">
        <v>1354</v>
      </c>
      <c r="P1384" t="s">
        <v>3213</v>
      </c>
      <c r="Q1384">
        <v>0</v>
      </c>
      <c r="R1384">
        <v>0</v>
      </c>
      <c r="S1384">
        <v>0</v>
      </c>
      <c r="T1384">
        <v>0</v>
      </c>
      <c r="U1384">
        <v>59123.934888000003</v>
      </c>
      <c r="V1384">
        <v>2509.9308759999999</v>
      </c>
      <c r="W1384">
        <v>1383</v>
      </c>
      <c r="X1384">
        <v>0</v>
      </c>
      <c r="Y1384">
        <v>1382</v>
      </c>
      <c r="Z1384" t="s">
        <v>6966</v>
      </c>
      <c r="AA1384" t="s">
        <v>6966</v>
      </c>
      <c r="AB1384" t="s">
        <v>6966</v>
      </c>
      <c r="AC1384" t="s">
        <v>6966</v>
      </c>
      <c r="AD1384" t="s">
        <v>6966</v>
      </c>
      <c r="AE1384" t="s">
        <v>6966</v>
      </c>
      <c r="AF1384" t="s">
        <v>6966</v>
      </c>
      <c r="AG1384" t="s">
        <v>6966</v>
      </c>
      <c r="AH1384" t="s">
        <v>6966</v>
      </c>
      <c r="AI1384" t="s">
        <v>6966</v>
      </c>
      <c r="AJ1384" t="s">
        <v>6966</v>
      </c>
      <c r="AK1384" t="s">
        <v>6966</v>
      </c>
      <c r="AL1384" t="s">
        <v>6966</v>
      </c>
      <c r="AM1384" t="s">
        <v>6966</v>
      </c>
      <c r="AN1384" t="s">
        <v>6966</v>
      </c>
      <c r="AO1384" t="s">
        <v>6966</v>
      </c>
      <c r="AP1384" t="s">
        <v>6966</v>
      </c>
      <c r="AQ1384" t="s">
        <v>6966</v>
      </c>
      <c r="AR1384" t="s">
        <v>6966</v>
      </c>
      <c r="AS1384" t="s">
        <v>6966</v>
      </c>
      <c r="AT1384" t="s">
        <v>6966</v>
      </c>
      <c r="AU1384" t="s">
        <v>6966</v>
      </c>
      <c r="AV1384" t="s">
        <v>6966</v>
      </c>
      <c r="AW1384" t="s">
        <v>6966</v>
      </c>
      <c r="AX1384" t="s">
        <v>6966</v>
      </c>
      <c r="AY1384" t="s">
        <v>6966</v>
      </c>
      <c r="AZ1384">
        <v>2.4906999999999999E-2</v>
      </c>
      <c r="BA1384">
        <v>6.0000000000000002E-6</v>
      </c>
    </row>
    <row r="1385" spans="1:53" x14ac:dyDescent="0.25">
      <c r="A1385">
        <v>1383</v>
      </c>
      <c r="B1385" t="s">
        <v>7625</v>
      </c>
      <c r="C1385">
        <v>604051</v>
      </c>
      <c r="D1385" t="s">
        <v>1442</v>
      </c>
      <c r="E1385" t="s">
        <v>6965</v>
      </c>
      <c r="F1385">
        <v>4619975.5</v>
      </c>
      <c r="G1385">
        <v>12332.779296999999</v>
      </c>
      <c r="H1385">
        <v>1385</v>
      </c>
      <c r="I1385">
        <v>1623</v>
      </c>
      <c r="J1385">
        <v>71281</v>
      </c>
      <c r="K1385" t="s">
        <v>1442</v>
      </c>
      <c r="L1385">
        <v>23</v>
      </c>
      <c r="M1385">
        <v>23</v>
      </c>
      <c r="N1385">
        <v>71281</v>
      </c>
      <c r="O1385">
        <v>1355</v>
      </c>
      <c r="P1385" t="s">
        <v>6965</v>
      </c>
      <c r="Q1385">
        <v>4.9000000000000004</v>
      </c>
      <c r="R1385">
        <v>43</v>
      </c>
      <c r="S1385">
        <v>1.1399999999999999</v>
      </c>
      <c r="T1385">
        <v>10</v>
      </c>
      <c r="U1385">
        <v>4619975.5358499996</v>
      </c>
      <c r="V1385">
        <v>12332.780070999999</v>
      </c>
      <c r="W1385">
        <v>1384</v>
      </c>
      <c r="X1385">
        <v>0</v>
      </c>
      <c r="Y1385">
        <v>1383</v>
      </c>
      <c r="Z1385" t="s">
        <v>6966</v>
      </c>
      <c r="AA1385" t="s">
        <v>6966</v>
      </c>
      <c r="AB1385" t="s">
        <v>6966</v>
      </c>
      <c r="AC1385" t="s">
        <v>6966</v>
      </c>
      <c r="AD1385" t="s">
        <v>6966</v>
      </c>
      <c r="AE1385" t="s">
        <v>6966</v>
      </c>
      <c r="AF1385" t="s">
        <v>6966</v>
      </c>
      <c r="AG1385" t="s">
        <v>6966</v>
      </c>
      <c r="AH1385" t="s">
        <v>6966</v>
      </c>
      <c r="AI1385" t="s">
        <v>6966</v>
      </c>
      <c r="AJ1385" t="s">
        <v>6966</v>
      </c>
      <c r="AK1385" t="s">
        <v>6966</v>
      </c>
      <c r="AL1385" t="s">
        <v>6966</v>
      </c>
      <c r="AM1385" t="s">
        <v>6966</v>
      </c>
      <c r="AN1385" t="s">
        <v>6966</v>
      </c>
      <c r="AO1385" t="s">
        <v>6966</v>
      </c>
      <c r="AP1385" t="s">
        <v>6966</v>
      </c>
      <c r="AQ1385" t="s">
        <v>6966</v>
      </c>
      <c r="AR1385" t="s">
        <v>6966</v>
      </c>
      <c r="AS1385" t="s">
        <v>6966</v>
      </c>
      <c r="AT1385" t="s">
        <v>6966</v>
      </c>
      <c r="AU1385" t="s">
        <v>6966</v>
      </c>
      <c r="AV1385" t="s">
        <v>6966</v>
      </c>
      <c r="AW1385" t="s">
        <v>6966</v>
      </c>
      <c r="AX1385" t="s">
        <v>6966</v>
      </c>
      <c r="AY1385" t="s">
        <v>6966</v>
      </c>
      <c r="AZ1385">
        <v>0.122585</v>
      </c>
      <c r="BA1385">
        <v>4.4799999999999999E-4</v>
      </c>
    </row>
    <row r="1386" spans="1:53" x14ac:dyDescent="0.25">
      <c r="A1386">
        <v>1384</v>
      </c>
      <c r="B1386" t="s">
        <v>7625</v>
      </c>
      <c r="C1386">
        <v>802074</v>
      </c>
      <c r="D1386" t="s">
        <v>1240</v>
      </c>
      <c r="E1386" t="s">
        <v>3039</v>
      </c>
      <c r="F1386">
        <v>1579846.5</v>
      </c>
      <c r="G1386">
        <v>6685.3544920000004</v>
      </c>
      <c r="H1386">
        <v>1386</v>
      </c>
      <c r="I1386">
        <v>1624</v>
      </c>
      <c r="J1386">
        <v>61456</v>
      </c>
      <c r="K1386" t="s">
        <v>2547</v>
      </c>
      <c r="L1386">
        <v>20</v>
      </c>
      <c r="M1386">
        <v>20</v>
      </c>
      <c r="N1386">
        <v>61456</v>
      </c>
      <c r="O1386">
        <v>1356</v>
      </c>
      <c r="P1386" t="s">
        <v>3213</v>
      </c>
      <c r="Q1386">
        <v>0</v>
      </c>
      <c r="R1386">
        <v>0</v>
      </c>
      <c r="S1386">
        <v>0.01</v>
      </c>
      <c r="T1386">
        <v>0</v>
      </c>
      <c r="U1386">
        <v>1579846.5669799999</v>
      </c>
      <c r="V1386">
        <v>6685.3541999999998</v>
      </c>
      <c r="W1386">
        <v>1385</v>
      </c>
      <c r="X1386">
        <v>0</v>
      </c>
      <c r="Y1386">
        <v>1384</v>
      </c>
      <c r="Z1386" t="s">
        <v>6966</v>
      </c>
      <c r="AA1386" t="s">
        <v>6966</v>
      </c>
      <c r="AB1386" t="s">
        <v>6966</v>
      </c>
      <c r="AC1386" t="s">
        <v>6966</v>
      </c>
      <c r="AD1386" t="s">
        <v>6966</v>
      </c>
      <c r="AE1386" t="s">
        <v>6966</v>
      </c>
      <c r="AF1386" t="s">
        <v>6966</v>
      </c>
      <c r="AG1386" t="s">
        <v>6966</v>
      </c>
      <c r="AH1386" t="s">
        <v>6966</v>
      </c>
      <c r="AI1386" t="s">
        <v>6966</v>
      </c>
      <c r="AJ1386" t="s">
        <v>6966</v>
      </c>
      <c r="AK1386" t="s">
        <v>6966</v>
      </c>
      <c r="AL1386" t="s">
        <v>6966</v>
      </c>
      <c r="AM1386" t="s">
        <v>6966</v>
      </c>
      <c r="AN1386" t="s">
        <v>6966</v>
      </c>
      <c r="AO1386" t="s">
        <v>6966</v>
      </c>
      <c r="AP1386" t="s">
        <v>6966</v>
      </c>
      <c r="AQ1386" t="s">
        <v>6966</v>
      </c>
      <c r="AR1386" t="s">
        <v>6966</v>
      </c>
      <c r="AS1386" t="s">
        <v>6966</v>
      </c>
      <c r="AT1386" t="s">
        <v>6966</v>
      </c>
      <c r="AU1386" t="s">
        <v>6966</v>
      </c>
      <c r="AV1386" t="s">
        <v>6966</v>
      </c>
      <c r="AW1386" t="s">
        <v>6966</v>
      </c>
      <c r="AX1386" t="s">
        <v>6966</v>
      </c>
      <c r="AY1386" t="s">
        <v>6966</v>
      </c>
      <c r="AZ1386">
        <v>6.4679E-2</v>
      </c>
      <c r="BA1386">
        <v>1.5300000000000001E-4</v>
      </c>
    </row>
    <row r="1387" spans="1:53" x14ac:dyDescent="0.25">
      <c r="A1387">
        <v>1385</v>
      </c>
      <c r="B1387" t="s">
        <v>7625</v>
      </c>
      <c r="C1387">
        <v>402002</v>
      </c>
      <c r="D1387" t="s">
        <v>1181</v>
      </c>
      <c r="E1387" t="s">
        <v>7999</v>
      </c>
      <c r="F1387">
        <v>0</v>
      </c>
      <c r="G1387">
        <v>29469.152343999998</v>
      </c>
      <c r="H1387">
        <v>1387</v>
      </c>
      <c r="I1387">
        <v>1625</v>
      </c>
      <c r="J1387">
        <v>55171</v>
      </c>
      <c r="K1387" t="s">
        <v>8098</v>
      </c>
      <c r="L1387">
        <v>19</v>
      </c>
      <c r="M1387">
        <v>19</v>
      </c>
      <c r="N1387">
        <v>55171</v>
      </c>
      <c r="O1387">
        <v>1357</v>
      </c>
      <c r="P1387" t="s">
        <v>3214</v>
      </c>
      <c r="Q1387">
        <v>1</v>
      </c>
      <c r="R1387">
        <v>79.06</v>
      </c>
      <c r="S1387">
        <v>0.21</v>
      </c>
      <c r="T1387">
        <v>16</v>
      </c>
      <c r="U1387">
        <v>0</v>
      </c>
      <c r="V1387">
        <v>29469.151064999998</v>
      </c>
      <c r="W1387">
        <v>1386</v>
      </c>
      <c r="X1387">
        <v>0</v>
      </c>
      <c r="Y1387">
        <v>1385</v>
      </c>
      <c r="Z1387" t="s">
        <v>6966</v>
      </c>
      <c r="AA1387" t="s">
        <v>6966</v>
      </c>
      <c r="AB1387" t="s">
        <v>6966</v>
      </c>
      <c r="AC1387" t="s">
        <v>6966</v>
      </c>
      <c r="AD1387" t="s">
        <v>6966</v>
      </c>
      <c r="AE1387" t="s">
        <v>6966</v>
      </c>
      <c r="AF1387" t="s">
        <v>6966</v>
      </c>
      <c r="AG1387" t="s">
        <v>6966</v>
      </c>
      <c r="AH1387" t="s">
        <v>6966</v>
      </c>
      <c r="AI1387" t="s">
        <v>6966</v>
      </c>
      <c r="AJ1387" t="s">
        <v>6966</v>
      </c>
      <c r="AK1387" t="s">
        <v>6966</v>
      </c>
      <c r="AL1387" t="s">
        <v>6966</v>
      </c>
      <c r="AM1387" t="s">
        <v>6966</v>
      </c>
      <c r="AN1387" t="s">
        <v>6966</v>
      </c>
      <c r="AO1387" t="s">
        <v>6966</v>
      </c>
      <c r="AP1387" t="s">
        <v>6966</v>
      </c>
      <c r="AQ1387" t="s">
        <v>6966</v>
      </c>
      <c r="AR1387" t="s">
        <v>6966</v>
      </c>
      <c r="AS1387" t="s">
        <v>6966</v>
      </c>
      <c r="AT1387" t="s">
        <v>6966</v>
      </c>
      <c r="AU1387" t="s">
        <v>6966</v>
      </c>
      <c r="AV1387" t="s">
        <v>6966</v>
      </c>
      <c r="AW1387" t="s">
        <v>6966</v>
      </c>
      <c r="AX1387" t="s">
        <v>6966</v>
      </c>
      <c r="AY1387" t="s">
        <v>6966</v>
      </c>
      <c r="AZ1387">
        <v>0.29436000000000001</v>
      </c>
      <c r="BA1387">
        <v>1.5299999999999999E-3</v>
      </c>
    </row>
    <row r="1388" spans="1:53" x14ac:dyDescent="0.25">
      <c r="A1388">
        <v>1386</v>
      </c>
      <c r="B1388" t="s">
        <v>7625</v>
      </c>
      <c r="C1388">
        <v>604020</v>
      </c>
      <c r="D1388" t="s">
        <v>1435</v>
      </c>
      <c r="E1388" t="s">
        <v>6965</v>
      </c>
      <c r="F1388">
        <v>7733161.5</v>
      </c>
      <c r="G1388">
        <v>14291.464844</v>
      </c>
      <c r="H1388">
        <v>1388</v>
      </c>
      <c r="I1388">
        <v>1626</v>
      </c>
      <c r="J1388">
        <v>71246</v>
      </c>
      <c r="K1388" t="s">
        <v>2702</v>
      </c>
      <c r="L1388">
        <v>23</v>
      </c>
      <c r="M1388">
        <v>23</v>
      </c>
      <c r="N1388">
        <v>71246</v>
      </c>
      <c r="O1388">
        <v>1358</v>
      </c>
      <c r="P1388" t="s">
        <v>6965</v>
      </c>
      <c r="Q1388">
        <v>3.1</v>
      </c>
      <c r="R1388">
        <v>49.44</v>
      </c>
      <c r="S1388">
        <v>0.84</v>
      </c>
      <c r="T1388">
        <v>14</v>
      </c>
      <c r="U1388">
        <v>7733161.5673099998</v>
      </c>
      <c r="V1388">
        <v>14291.46565</v>
      </c>
      <c r="W1388">
        <v>1387</v>
      </c>
      <c r="X1388">
        <v>0</v>
      </c>
      <c r="Y1388">
        <v>1386</v>
      </c>
      <c r="Z1388" t="s">
        <v>6966</v>
      </c>
      <c r="AA1388" t="s">
        <v>6966</v>
      </c>
      <c r="AB1388" t="s">
        <v>6966</v>
      </c>
      <c r="AC1388" t="s">
        <v>6966</v>
      </c>
      <c r="AD1388" t="s">
        <v>6966</v>
      </c>
      <c r="AE1388" t="s">
        <v>6966</v>
      </c>
      <c r="AF1388" t="s">
        <v>6966</v>
      </c>
      <c r="AG1388" t="s">
        <v>6966</v>
      </c>
      <c r="AH1388" t="s">
        <v>6966</v>
      </c>
      <c r="AI1388" t="s">
        <v>6966</v>
      </c>
      <c r="AJ1388" t="s">
        <v>6966</v>
      </c>
      <c r="AK1388" t="s">
        <v>6966</v>
      </c>
      <c r="AL1388" t="s">
        <v>6966</v>
      </c>
      <c r="AM1388" t="s">
        <v>6966</v>
      </c>
      <c r="AN1388" t="s">
        <v>6966</v>
      </c>
      <c r="AO1388" t="s">
        <v>6966</v>
      </c>
      <c r="AP1388" t="s">
        <v>6966</v>
      </c>
      <c r="AQ1388" t="s">
        <v>6966</v>
      </c>
      <c r="AR1388" t="s">
        <v>6966</v>
      </c>
      <c r="AS1388" t="s">
        <v>6966</v>
      </c>
      <c r="AT1388" t="s">
        <v>6966</v>
      </c>
      <c r="AU1388" t="s">
        <v>6966</v>
      </c>
      <c r="AV1388" t="s">
        <v>6966</v>
      </c>
      <c r="AW1388" t="s">
        <v>6966</v>
      </c>
      <c r="AX1388" t="s">
        <v>6966</v>
      </c>
      <c r="AY1388" t="s">
        <v>6966</v>
      </c>
      <c r="AZ1388">
        <v>0.14213999999999999</v>
      </c>
      <c r="BA1388">
        <v>7.4899999999999999E-4</v>
      </c>
    </row>
    <row r="1389" spans="1:53" x14ac:dyDescent="0.25">
      <c r="A1389">
        <v>1387</v>
      </c>
      <c r="B1389" t="s">
        <v>7625</v>
      </c>
      <c r="C1389">
        <v>802075</v>
      </c>
      <c r="D1389" t="s">
        <v>1242</v>
      </c>
      <c r="E1389" t="s">
        <v>3039</v>
      </c>
      <c r="F1389">
        <v>6778025.5</v>
      </c>
      <c r="G1389">
        <v>15760.716796999999</v>
      </c>
      <c r="H1389">
        <v>1389</v>
      </c>
      <c r="I1389">
        <v>1627</v>
      </c>
      <c r="J1389">
        <v>61459</v>
      </c>
      <c r="K1389" t="s">
        <v>2549</v>
      </c>
      <c r="L1389">
        <v>20</v>
      </c>
      <c r="M1389">
        <v>20</v>
      </c>
      <c r="N1389">
        <v>61459</v>
      </c>
      <c r="O1389">
        <v>1359</v>
      </c>
      <c r="P1389" t="s">
        <v>3213</v>
      </c>
      <c r="Q1389">
        <v>3.8</v>
      </c>
      <c r="R1389">
        <v>89.05</v>
      </c>
      <c r="S1389">
        <v>0.73</v>
      </c>
      <c r="T1389">
        <v>17</v>
      </c>
      <c r="U1389">
        <v>6778025.7364699999</v>
      </c>
      <c r="V1389">
        <v>15760.716639</v>
      </c>
      <c r="W1389">
        <v>1388</v>
      </c>
      <c r="X1389">
        <v>0</v>
      </c>
      <c r="Y1389">
        <v>1387</v>
      </c>
      <c r="Z1389" t="s">
        <v>6966</v>
      </c>
      <c r="AA1389" t="s">
        <v>6966</v>
      </c>
      <c r="AB1389" t="s">
        <v>6966</v>
      </c>
      <c r="AC1389" t="s">
        <v>6966</v>
      </c>
      <c r="AD1389" t="s">
        <v>6966</v>
      </c>
      <c r="AE1389" t="s">
        <v>6966</v>
      </c>
      <c r="AF1389" t="s">
        <v>6966</v>
      </c>
      <c r="AG1389" t="s">
        <v>6966</v>
      </c>
      <c r="AH1389" t="s">
        <v>6966</v>
      </c>
      <c r="AI1389" t="s">
        <v>6966</v>
      </c>
      <c r="AJ1389" t="s">
        <v>6966</v>
      </c>
      <c r="AK1389" t="s">
        <v>6966</v>
      </c>
      <c r="AL1389" t="s">
        <v>6966</v>
      </c>
      <c r="AM1389" t="s">
        <v>6966</v>
      </c>
      <c r="AN1389" t="s">
        <v>6966</v>
      </c>
      <c r="AO1389" t="s">
        <v>6966</v>
      </c>
      <c r="AP1389" t="s">
        <v>6966</v>
      </c>
      <c r="AQ1389" t="s">
        <v>6966</v>
      </c>
      <c r="AR1389" t="s">
        <v>6966</v>
      </c>
      <c r="AS1389" t="s">
        <v>6966</v>
      </c>
      <c r="AT1389" t="s">
        <v>6966</v>
      </c>
      <c r="AU1389" t="s">
        <v>6966</v>
      </c>
      <c r="AV1389" t="s">
        <v>6966</v>
      </c>
      <c r="AW1389" t="s">
        <v>6966</v>
      </c>
      <c r="AX1389" t="s">
        <v>6966</v>
      </c>
      <c r="AY1389" t="s">
        <v>6966</v>
      </c>
      <c r="AZ1389">
        <v>0.15647800000000001</v>
      </c>
      <c r="BA1389">
        <v>6.5700000000000003E-4</v>
      </c>
    </row>
    <row r="1390" spans="1:53" x14ac:dyDescent="0.25">
      <c r="A1390">
        <v>1388</v>
      </c>
      <c r="B1390" t="s">
        <v>7625</v>
      </c>
      <c r="C1390">
        <v>604010</v>
      </c>
      <c r="D1390" t="s">
        <v>8099</v>
      </c>
      <c r="E1390" t="s">
        <v>6965</v>
      </c>
      <c r="F1390">
        <v>4537674.5</v>
      </c>
      <c r="G1390">
        <v>13298.120117</v>
      </c>
      <c r="H1390">
        <v>1390</v>
      </c>
      <c r="I1390">
        <v>1628</v>
      </c>
      <c r="J1390">
        <v>71276</v>
      </c>
      <c r="K1390" t="s">
        <v>8100</v>
      </c>
      <c r="L1390">
        <v>23</v>
      </c>
      <c r="M1390">
        <v>23</v>
      </c>
      <c r="N1390">
        <v>71276</v>
      </c>
      <c r="O1390">
        <v>1360</v>
      </c>
      <c r="P1390" t="s">
        <v>6965</v>
      </c>
      <c r="Q1390">
        <v>2.5</v>
      </c>
      <c r="R1390">
        <v>46.21</v>
      </c>
      <c r="S1390">
        <v>0.56000000000000005</v>
      </c>
      <c r="T1390">
        <v>10</v>
      </c>
      <c r="U1390">
        <v>4537674.4087399999</v>
      </c>
      <c r="V1390">
        <v>13298.120929000001</v>
      </c>
      <c r="W1390">
        <v>1389</v>
      </c>
      <c r="X1390">
        <v>0</v>
      </c>
      <c r="Y1390">
        <v>1388</v>
      </c>
      <c r="Z1390" t="s">
        <v>6966</v>
      </c>
      <c r="AA1390" t="s">
        <v>6966</v>
      </c>
      <c r="AB1390" t="s">
        <v>6966</v>
      </c>
      <c r="AC1390" t="s">
        <v>6966</v>
      </c>
      <c r="AD1390" t="s">
        <v>6966</v>
      </c>
      <c r="AE1390" t="s">
        <v>6966</v>
      </c>
      <c r="AF1390" t="s">
        <v>6966</v>
      </c>
      <c r="AG1390" t="s">
        <v>6966</v>
      </c>
      <c r="AH1390" t="s">
        <v>6966</v>
      </c>
      <c r="AI1390" t="s">
        <v>6966</v>
      </c>
      <c r="AJ1390" t="s">
        <v>6966</v>
      </c>
      <c r="AK1390" t="s">
        <v>6966</v>
      </c>
      <c r="AL1390" t="s">
        <v>6966</v>
      </c>
      <c r="AM1390" t="s">
        <v>6966</v>
      </c>
      <c r="AN1390" t="s">
        <v>6966</v>
      </c>
      <c r="AO1390" t="s">
        <v>6966</v>
      </c>
      <c r="AP1390" t="s">
        <v>6966</v>
      </c>
      <c r="AQ1390" t="s">
        <v>6966</v>
      </c>
      <c r="AR1390" t="s">
        <v>6966</v>
      </c>
      <c r="AS1390" t="s">
        <v>6966</v>
      </c>
      <c r="AT1390" t="s">
        <v>6966</v>
      </c>
      <c r="AU1390" t="s">
        <v>6966</v>
      </c>
      <c r="AV1390" t="s">
        <v>6966</v>
      </c>
      <c r="AW1390" t="s">
        <v>6966</v>
      </c>
      <c r="AX1390" t="s">
        <v>6966</v>
      </c>
      <c r="AY1390" t="s">
        <v>6966</v>
      </c>
      <c r="AZ1390">
        <v>0.13352900000000001</v>
      </c>
      <c r="BA1390">
        <v>4.4000000000000002E-4</v>
      </c>
    </row>
    <row r="1391" spans="1:53" x14ac:dyDescent="0.25">
      <c r="A1391">
        <v>1389</v>
      </c>
      <c r="B1391" t="s">
        <v>7625</v>
      </c>
      <c r="C1391">
        <v>802062</v>
      </c>
      <c r="D1391" t="s">
        <v>1237</v>
      </c>
      <c r="E1391" t="s">
        <v>3039</v>
      </c>
      <c r="F1391">
        <v>4368242.5</v>
      </c>
      <c r="G1391">
        <v>14366.840819999999</v>
      </c>
      <c r="H1391">
        <v>1391</v>
      </c>
      <c r="I1391">
        <v>1629</v>
      </c>
      <c r="J1391">
        <v>61451</v>
      </c>
      <c r="K1391" t="s">
        <v>2544</v>
      </c>
      <c r="L1391">
        <v>20</v>
      </c>
      <c r="M1391">
        <v>20</v>
      </c>
      <c r="N1391">
        <v>61451</v>
      </c>
      <c r="O1391">
        <v>1361</v>
      </c>
      <c r="P1391" t="s">
        <v>3213</v>
      </c>
      <c r="Q1391">
        <v>2.8</v>
      </c>
      <c r="R1391">
        <v>251.08</v>
      </c>
      <c r="S1391">
        <v>0.57999999999999996</v>
      </c>
      <c r="T1391">
        <v>52</v>
      </c>
      <c r="U1391">
        <v>4368242.6125999996</v>
      </c>
      <c r="V1391">
        <v>14366.84037</v>
      </c>
      <c r="W1391">
        <v>1390</v>
      </c>
      <c r="X1391">
        <v>1</v>
      </c>
      <c r="Y1391">
        <v>1389</v>
      </c>
      <c r="Z1391">
        <v>62337</v>
      </c>
      <c r="AA1391" s="76">
        <v>45792</v>
      </c>
      <c r="AB1391">
        <v>2025</v>
      </c>
      <c r="AC1391" t="s">
        <v>7215</v>
      </c>
      <c r="AD1391">
        <v>15</v>
      </c>
      <c r="AE1391" t="s">
        <v>7275</v>
      </c>
      <c r="AF1391" t="s">
        <v>3213</v>
      </c>
      <c r="AG1391" t="s">
        <v>3039</v>
      </c>
      <c r="AH1391" t="s">
        <v>1237</v>
      </c>
      <c r="AI1391" t="s">
        <v>7276</v>
      </c>
      <c r="AJ1391" t="s">
        <v>6966</v>
      </c>
      <c r="AK1391">
        <v>33.431640000000002</v>
      </c>
      <c r="AL1391">
        <v>35.343899999999998</v>
      </c>
      <c r="AM1391" t="s">
        <v>7013</v>
      </c>
      <c r="AN1391" t="s">
        <v>6995</v>
      </c>
      <c r="AO1391" t="s">
        <v>7008</v>
      </c>
      <c r="AP1391" t="s">
        <v>7277</v>
      </c>
      <c r="AQ1391" t="s">
        <v>6998</v>
      </c>
      <c r="AR1391" t="s">
        <v>6999</v>
      </c>
      <c r="AS1391" t="s">
        <v>7000</v>
      </c>
      <c r="AT1391">
        <v>0</v>
      </c>
      <c r="AU1391">
        <v>0</v>
      </c>
      <c r="AV1391" t="s">
        <v>7260</v>
      </c>
      <c r="AW1391" t="s">
        <v>7018</v>
      </c>
      <c r="AX1391" t="s">
        <v>6966</v>
      </c>
      <c r="AY1391" t="s">
        <v>7003</v>
      </c>
      <c r="AZ1391">
        <v>0.14279500000000001</v>
      </c>
      <c r="BA1391">
        <v>4.2299999999999998E-4</v>
      </c>
    </row>
    <row r="1392" spans="1:53" x14ac:dyDescent="0.25">
      <c r="A1392">
        <v>1390</v>
      </c>
      <c r="B1392" t="s">
        <v>7625</v>
      </c>
      <c r="C1392">
        <v>402037</v>
      </c>
      <c r="D1392" t="s">
        <v>87</v>
      </c>
      <c r="E1392" t="s">
        <v>7999</v>
      </c>
      <c r="F1392">
        <v>46006.089844000002</v>
      </c>
      <c r="G1392">
        <v>1782.1655270000001</v>
      </c>
      <c r="H1392">
        <v>1392</v>
      </c>
      <c r="I1392">
        <v>1630</v>
      </c>
      <c r="J1392">
        <v>55009</v>
      </c>
      <c r="K1392" t="s">
        <v>87</v>
      </c>
      <c r="L1392">
        <v>19</v>
      </c>
      <c r="M1392">
        <v>19</v>
      </c>
      <c r="N1392">
        <v>55009</v>
      </c>
      <c r="O1392">
        <v>1362</v>
      </c>
      <c r="P1392" t="s">
        <v>3214</v>
      </c>
      <c r="Q1392">
        <v>0</v>
      </c>
      <c r="R1392">
        <v>0</v>
      </c>
      <c r="S1392">
        <v>0</v>
      </c>
      <c r="T1392">
        <v>0</v>
      </c>
      <c r="U1392">
        <v>46005.994551000003</v>
      </c>
      <c r="V1392">
        <v>1782.165718</v>
      </c>
      <c r="W1392">
        <v>1391</v>
      </c>
      <c r="X1392">
        <v>0</v>
      </c>
      <c r="Y1392">
        <v>1390</v>
      </c>
      <c r="Z1392" t="s">
        <v>6966</v>
      </c>
      <c r="AA1392" t="s">
        <v>6966</v>
      </c>
      <c r="AB1392" t="s">
        <v>6966</v>
      </c>
      <c r="AC1392" t="s">
        <v>6966</v>
      </c>
      <c r="AD1392" t="s">
        <v>6966</v>
      </c>
      <c r="AE1392" t="s">
        <v>6966</v>
      </c>
      <c r="AF1392" t="s">
        <v>6966</v>
      </c>
      <c r="AG1392" t="s">
        <v>6966</v>
      </c>
      <c r="AH1392" t="s">
        <v>6966</v>
      </c>
      <c r="AI1392" t="s">
        <v>6966</v>
      </c>
      <c r="AJ1392" t="s">
        <v>6966</v>
      </c>
      <c r="AK1392" t="s">
        <v>6966</v>
      </c>
      <c r="AL1392" t="s">
        <v>6966</v>
      </c>
      <c r="AM1392" t="s">
        <v>6966</v>
      </c>
      <c r="AN1392" t="s">
        <v>6966</v>
      </c>
      <c r="AO1392" t="s">
        <v>6966</v>
      </c>
      <c r="AP1392" t="s">
        <v>6966</v>
      </c>
      <c r="AQ1392" t="s">
        <v>6966</v>
      </c>
      <c r="AR1392" t="s">
        <v>6966</v>
      </c>
      <c r="AS1392" t="s">
        <v>6966</v>
      </c>
      <c r="AT1392" t="s">
        <v>6966</v>
      </c>
      <c r="AU1392" t="s">
        <v>6966</v>
      </c>
      <c r="AV1392" t="s">
        <v>6966</v>
      </c>
      <c r="AW1392" t="s">
        <v>6966</v>
      </c>
      <c r="AX1392" t="s">
        <v>6966</v>
      </c>
      <c r="AY1392" t="s">
        <v>6966</v>
      </c>
      <c r="AZ1392">
        <v>1.7932E-2</v>
      </c>
      <c r="BA1392">
        <v>3.9999999999999998E-6</v>
      </c>
    </row>
    <row r="1393" spans="1:53" x14ac:dyDescent="0.25">
      <c r="A1393">
        <v>1391</v>
      </c>
      <c r="B1393" t="s">
        <v>7625</v>
      </c>
      <c r="C1393">
        <v>604019</v>
      </c>
      <c r="D1393" t="s">
        <v>8101</v>
      </c>
      <c r="E1393" t="s">
        <v>6965</v>
      </c>
      <c r="F1393">
        <v>2883790.5</v>
      </c>
      <c r="G1393">
        <v>9696.6552730000003</v>
      </c>
      <c r="H1393">
        <v>1393</v>
      </c>
      <c r="I1393">
        <v>1631</v>
      </c>
      <c r="J1393">
        <v>71251</v>
      </c>
      <c r="K1393" t="s">
        <v>8102</v>
      </c>
      <c r="L1393">
        <v>23</v>
      </c>
      <c r="M1393">
        <v>23</v>
      </c>
      <c r="N1393">
        <v>71251</v>
      </c>
      <c r="O1393">
        <v>1363</v>
      </c>
      <c r="P1393" t="s">
        <v>6965</v>
      </c>
      <c r="Q1393">
        <v>0</v>
      </c>
      <c r="R1393">
        <v>43.55</v>
      </c>
      <c r="S1393">
        <v>0.02</v>
      </c>
      <c r="T1393">
        <v>28</v>
      </c>
      <c r="U1393">
        <v>2883790.3485599998</v>
      </c>
      <c r="V1393">
        <v>9696.6551220000001</v>
      </c>
      <c r="W1393">
        <v>1392</v>
      </c>
      <c r="X1393">
        <v>0</v>
      </c>
      <c r="Y1393">
        <v>1391</v>
      </c>
      <c r="Z1393" t="s">
        <v>6966</v>
      </c>
      <c r="AA1393" t="s">
        <v>6966</v>
      </c>
      <c r="AB1393" t="s">
        <v>6966</v>
      </c>
      <c r="AC1393" t="s">
        <v>6966</v>
      </c>
      <c r="AD1393" t="s">
        <v>6966</v>
      </c>
      <c r="AE1393" t="s">
        <v>6966</v>
      </c>
      <c r="AF1393" t="s">
        <v>6966</v>
      </c>
      <c r="AG1393" t="s">
        <v>6966</v>
      </c>
      <c r="AH1393" t="s">
        <v>6966</v>
      </c>
      <c r="AI1393" t="s">
        <v>6966</v>
      </c>
      <c r="AJ1393" t="s">
        <v>6966</v>
      </c>
      <c r="AK1393" t="s">
        <v>6966</v>
      </c>
      <c r="AL1393" t="s">
        <v>6966</v>
      </c>
      <c r="AM1393" t="s">
        <v>6966</v>
      </c>
      <c r="AN1393" t="s">
        <v>6966</v>
      </c>
      <c r="AO1393" t="s">
        <v>6966</v>
      </c>
      <c r="AP1393" t="s">
        <v>6966</v>
      </c>
      <c r="AQ1393" t="s">
        <v>6966</v>
      </c>
      <c r="AR1393" t="s">
        <v>6966</v>
      </c>
      <c r="AS1393" t="s">
        <v>6966</v>
      </c>
      <c r="AT1393" t="s">
        <v>6966</v>
      </c>
      <c r="AU1393" t="s">
        <v>6966</v>
      </c>
      <c r="AV1393" t="s">
        <v>6966</v>
      </c>
      <c r="AW1393" t="s">
        <v>6966</v>
      </c>
      <c r="AX1393" t="s">
        <v>6966</v>
      </c>
      <c r="AY1393" t="s">
        <v>6966</v>
      </c>
      <c r="AZ1393">
        <v>9.7112000000000004E-2</v>
      </c>
      <c r="BA1393">
        <v>2.7900000000000001E-4</v>
      </c>
    </row>
    <row r="1394" spans="1:53" x14ac:dyDescent="0.25">
      <c r="A1394">
        <v>1392</v>
      </c>
      <c r="B1394" t="s">
        <v>7625</v>
      </c>
      <c r="C1394">
        <v>801065</v>
      </c>
      <c r="D1394" t="s">
        <v>1398</v>
      </c>
      <c r="E1394" t="s">
        <v>1342</v>
      </c>
      <c r="F1394">
        <v>8455623</v>
      </c>
      <c r="G1394">
        <v>22702.435547000001</v>
      </c>
      <c r="H1394">
        <v>1394</v>
      </c>
      <c r="I1394">
        <v>1632</v>
      </c>
      <c r="J1394">
        <v>63319</v>
      </c>
      <c r="K1394" t="s">
        <v>2672</v>
      </c>
      <c r="L1394">
        <v>22</v>
      </c>
      <c r="M1394">
        <v>22</v>
      </c>
      <c r="N1394">
        <v>63319</v>
      </c>
      <c r="O1394">
        <v>1364</v>
      </c>
      <c r="P1394" t="s">
        <v>3213</v>
      </c>
      <c r="Q1394">
        <v>0.9</v>
      </c>
      <c r="R1394">
        <v>45.76</v>
      </c>
      <c r="S1394">
        <v>0.28000000000000003</v>
      </c>
      <c r="T1394">
        <v>14</v>
      </c>
      <c r="U1394">
        <v>8455622.5089299995</v>
      </c>
      <c r="V1394">
        <v>22702.435239999999</v>
      </c>
      <c r="W1394">
        <v>1393</v>
      </c>
      <c r="X1394">
        <v>0</v>
      </c>
      <c r="Y1394">
        <v>1392</v>
      </c>
      <c r="Z1394" t="s">
        <v>6966</v>
      </c>
      <c r="AA1394" t="s">
        <v>6966</v>
      </c>
      <c r="AB1394" t="s">
        <v>6966</v>
      </c>
      <c r="AC1394" t="s">
        <v>6966</v>
      </c>
      <c r="AD1394" t="s">
        <v>6966</v>
      </c>
      <c r="AE1394" t="s">
        <v>6966</v>
      </c>
      <c r="AF1394" t="s">
        <v>6966</v>
      </c>
      <c r="AG1394" t="s">
        <v>6966</v>
      </c>
      <c r="AH1394" t="s">
        <v>6966</v>
      </c>
      <c r="AI1394" t="s">
        <v>6966</v>
      </c>
      <c r="AJ1394" t="s">
        <v>6966</v>
      </c>
      <c r="AK1394" t="s">
        <v>6966</v>
      </c>
      <c r="AL1394" t="s">
        <v>6966</v>
      </c>
      <c r="AM1394" t="s">
        <v>6966</v>
      </c>
      <c r="AN1394" t="s">
        <v>6966</v>
      </c>
      <c r="AO1394" t="s">
        <v>6966</v>
      </c>
      <c r="AP1394" t="s">
        <v>6966</v>
      </c>
      <c r="AQ1394" t="s">
        <v>6966</v>
      </c>
      <c r="AR1394" t="s">
        <v>6966</v>
      </c>
      <c r="AS1394" t="s">
        <v>6966</v>
      </c>
      <c r="AT1394" t="s">
        <v>6966</v>
      </c>
      <c r="AU1394" t="s">
        <v>6966</v>
      </c>
      <c r="AV1394" t="s">
        <v>6966</v>
      </c>
      <c r="AW1394" t="s">
        <v>6966</v>
      </c>
      <c r="AX1394" t="s">
        <v>6966</v>
      </c>
      <c r="AY1394" t="s">
        <v>6966</v>
      </c>
      <c r="AZ1394">
        <v>0.224576</v>
      </c>
      <c r="BA1394">
        <v>8.1999999999999998E-4</v>
      </c>
    </row>
    <row r="1395" spans="1:53" x14ac:dyDescent="0.25">
      <c r="A1395">
        <v>1393</v>
      </c>
      <c r="B1395" t="s">
        <v>7625</v>
      </c>
      <c r="C1395">
        <v>401032</v>
      </c>
      <c r="D1395" t="s">
        <v>1067</v>
      </c>
      <c r="E1395" t="s">
        <v>3221</v>
      </c>
      <c r="F1395">
        <v>5573234</v>
      </c>
      <c r="G1395">
        <v>13019.387694999999</v>
      </c>
      <c r="H1395">
        <v>1395</v>
      </c>
      <c r="I1395">
        <v>1633</v>
      </c>
      <c r="J1395">
        <v>52291</v>
      </c>
      <c r="K1395" t="s">
        <v>8103</v>
      </c>
      <c r="L1395">
        <v>16</v>
      </c>
      <c r="M1395">
        <v>16</v>
      </c>
      <c r="N1395">
        <v>52291</v>
      </c>
      <c r="O1395">
        <v>1365</v>
      </c>
      <c r="P1395" t="s">
        <v>3214</v>
      </c>
      <c r="Q1395">
        <v>1.2</v>
      </c>
      <c r="R1395">
        <v>64.709999999999994</v>
      </c>
      <c r="S1395">
        <v>0.37</v>
      </c>
      <c r="T1395">
        <v>20</v>
      </c>
      <c r="U1395">
        <v>5573233.8812999995</v>
      </c>
      <c r="V1395">
        <v>13019.388876999999</v>
      </c>
      <c r="W1395">
        <v>1394</v>
      </c>
      <c r="X1395">
        <v>0</v>
      </c>
      <c r="Y1395">
        <v>1393</v>
      </c>
      <c r="Z1395" t="s">
        <v>6966</v>
      </c>
      <c r="AA1395" t="s">
        <v>6966</v>
      </c>
      <c r="AB1395" t="s">
        <v>6966</v>
      </c>
      <c r="AC1395" t="s">
        <v>6966</v>
      </c>
      <c r="AD1395" t="s">
        <v>6966</v>
      </c>
      <c r="AE1395" t="s">
        <v>6966</v>
      </c>
      <c r="AF1395" t="s">
        <v>6966</v>
      </c>
      <c r="AG1395" t="s">
        <v>6966</v>
      </c>
      <c r="AH1395" t="s">
        <v>6966</v>
      </c>
      <c r="AI1395" t="s">
        <v>6966</v>
      </c>
      <c r="AJ1395" t="s">
        <v>6966</v>
      </c>
      <c r="AK1395" t="s">
        <v>6966</v>
      </c>
      <c r="AL1395" t="s">
        <v>6966</v>
      </c>
      <c r="AM1395" t="s">
        <v>6966</v>
      </c>
      <c r="AN1395" t="s">
        <v>6966</v>
      </c>
      <c r="AO1395" t="s">
        <v>6966</v>
      </c>
      <c r="AP1395" t="s">
        <v>6966</v>
      </c>
      <c r="AQ1395" t="s">
        <v>6966</v>
      </c>
      <c r="AR1395" t="s">
        <v>6966</v>
      </c>
      <c r="AS1395" t="s">
        <v>6966</v>
      </c>
      <c r="AT1395" t="s">
        <v>6966</v>
      </c>
      <c r="AU1395" t="s">
        <v>6966</v>
      </c>
      <c r="AV1395" t="s">
        <v>6966</v>
      </c>
      <c r="AW1395" t="s">
        <v>6966</v>
      </c>
      <c r="AX1395" t="s">
        <v>6966</v>
      </c>
      <c r="AY1395" t="s">
        <v>6966</v>
      </c>
      <c r="AZ1395">
        <v>0.127447</v>
      </c>
      <c r="BA1395">
        <v>5.4000000000000001E-4</v>
      </c>
    </row>
    <row r="1396" spans="1:53" x14ac:dyDescent="0.25">
      <c r="A1396">
        <v>1394</v>
      </c>
      <c r="B1396" t="s">
        <v>7625</v>
      </c>
      <c r="C1396">
        <v>402012</v>
      </c>
      <c r="D1396" t="s">
        <v>1563</v>
      </c>
      <c r="E1396" t="s">
        <v>7999</v>
      </c>
      <c r="F1396">
        <v>1314444</v>
      </c>
      <c r="G1396">
        <v>13283.565430000001</v>
      </c>
      <c r="H1396">
        <v>1396</v>
      </c>
      <c r="I1396">
        <v>1634</v>
      </c>
      <c r="J1396">
        <v>0</v>
      </c>
      <c r="K1396" t="s">
        <v>1563</v>
      </c>
      <c r="L1396">
        <v>19</v>
      </c>
      <c r="M1396">
        <v>19</v>
      </c>
      <c r="N1396">
        <v>0</v>
      </c>
      <c r="O1396">
        <v>1642</v>
      </c>
      <c r="P1396" t="s">
        <v>3214</v>
      </c>
      <c r="Q1396">
        <v>0</v>
      </c>
      <c r="R1396">
        <v>0</v>
      </c>
      <c r="S1396">
        <v>0</v>
      </c>
      <c r="T1396">
        <v>0</v>
      </c>
      <c r="U1396">
        <v>1314443.9824099999</v>
      </c>
      <c r="V1396">
        <v>13283.564538000001</v>
      </c>
      <c r="W1396">
        <v>1395</v>
      </c>
      <c r="X1396">
        <v>0</v>
      </c>
      <c r="Y1396">
        <v>1394</v>
      </c>
      <c r="Z1396" t="s">
        <v>6966</v>
      </c>
      <c r="AA1396" t="s">
        <v>6966</v>
      </c>
      <c r="AB1396" t="s">
        <v>6966</v>
      </c>
      <c r="AC1396" t="s">
        <v>6966</v>
      </c>
      <c r="AD1396" t="s">
        <v>6966</v>
      </c>
      <c r="AE1396" t="s">
        <v>6966</v>
      </c>
      <c r="AF1396" t="s">
        <v>6966</v>
      </c>
      <c r="AG1396" t="s">
        <v>6966</v>
      </c>
      <c r="AH1396" t="s">
        <v>6966</v>
      </c>
      <c r="AI1396" t="s">
        <v>6966</v>
      </c>
      <c r="AJ1396" t="s">
        <v>6966</v>
      </c>
      <c r="AK1396" t="s">
        <v>6966</v>
      </c>
      <c r="AL1396" t="s">
        <v>6966</v>
      </c>
      <c r="AM1396" t="s">
        <v>6966</v>
      </c>
      <c r="AN1396" t="s">
        <v>6966</v>
      </c>
      <c r="AO1396" t="s">
        <v>6966</v>
      </c>
      <c r="AP1396" t="s">
        <v>6966</v>
      </c>
      <c r="AQ1396" t="s">
        <v>6966</v>
      </c>
      <c r="AR1396" t="s">
        <v>6966</v>
      </c>
      <c r="AS1396" t="s">
        <v>6966</v>
      </c>
      <c r="AT1396" t="s">
        <v>6966</v>
      </c>
      <c r="AU1396" t="s">
        <v>6966</v>
      </c>
      <c r="AV1396" t="s">
        <v>6966</v>
      </c>
      <c r="AW1396" t="s">
        <v>6966</v>
      </c>
      <c r="AX1396" t="s">
        <v>6966</v>
      </c>
      <c r="AY1396" t="s">
        <v>6966</v>
      </c>
      <c r="AZ1396">
        <v>0.134322</v>
      </c>
      <c r="BA1396">
        <v>1.27E-4</v>
      </c>
    </row>
    <row r="1397" spans="1:53" x14ac:dyDescent="0.25">
      <c r="A1397">
        <v>1395</v>
      </c>
      <c r="B1397" t="s">
        <v>7625</v>
      </c>
      <c r="C1397">
        <v>801062</v>
      </c>
      <c r="D1397" t="s">
        <v>1400</v>
      </c>
      <c r="E1397" t="s">
        <v>1342</v>
      </c>
      <c r="F1397">
        <v>3246275.25</v>
      </c>
      <c r="G1397">
        <v>8623.9042969999991</v>
      </c>
      <c r="H1397">
        <v>1397</v>
      </c>
      <c r="I1397">
        <v>1635</v>
      </c>
      <c r="J1397">
        <v>63327</v>
      </c>
      <c r="K1397" t="s">
        <v>2674</v>
      </c>
      <c r="L1397">
        <v>22</v>
      </c>
      <c r="M1397">
        <v>22</v>
      </c>
      <c r="N1397">
        <v>63327</v>
      </c>
      <c r="O1397">
        <v>1366</v>
      </c>
      <c r="P1397" t="s">
        <v>3213</v>
      </c>
      <c r="Q1397">
        <v>0.7</v>
      </c>
      <c r="R1397">
        <v>0</v>
      </c>
      <c r="S1397">
        <v>0.32</v>
      </c>
      <c r="T1397">
        <v>0</v>
      </c>
      <c r="U1397">
        <v>3246275.17086</v>
      </c>
      <c r="V1397">
        <v>8623.9050630000002</v>
      </c>
      <c r="W1397">
        <v>1396</v>
      </c>
      <c r="X1397">
        <v>0</v>
      </c>
      <c r="Y1397">
        <v>1395</v>
      </c>
      <c r="Z1397" t="s">
        <v>6966</v>
      </c>
      <c r="AA1397" t="s">
        <v>6966</v>
      </c>
      <c r="AB1397" t="s">
        <v>6966</v>
      </c>
      <c r="AC1397" t="s">
        <v>6966</v>
      </c>
      <c r="AD1397" t="s">
        <v>6966</v>
      </c>
      <c r="AE1397" t="s">
        <v>6966</v>
      </c>
      <c r="AF1397" t="s">
        <v>6966</v>
      </c>
      <c r="AG1397" t="s">
        <v>6966</v>
      </c>
      <c r="AH1397" t="s">
        <v>6966</v>
      </c>
      <c r="AI1397" t="s">
        <v>6966</v>
      </c>
      <c r="AJ1397" t="s">
        <v>6966</v>
      </c>
      <c r="AK1397" t="s">
        <v>6966</v>
      </c>
      <c r="AL1397" t="s">
        <v>6966</v>
      </c>
      <c r="AM1397" t="s">
        <v>6966</v>
      </c>
      <c r="AN1397" t="s">
        <v>6966</v>
      </c>
      <c r="AO1397" t="s">
        <v>6966</v>
      </c>
      <c r="AP1397" t="s">
        <v>6966</v>
      </c>
      <c r="AQ1397" t="s">
        <v>6966</v>
      </c>
      <c r="AR1397" t="s">
        <v>6966</v>
      </c>
      <c r="AS1397" t="s">
        <v>6966</v>
      </c>
      <c r="AT1397" t="s">
        <v>6966</v>
      </c>
      <c r="AU1397" t="s">
        <v>6966</v>
      </c>
      <c r="AV1397" t="s">
        <v>6966</v>
      </c>
      <c r="AW1397" t="s">
        <v>6966</v>
      </c>
      <c r="AX1397" t="s">
        <v>6966</v>
      </c>
      <c r="AY1397" t="s">
        <v>6966</v>
      </c>
      <c r="AZ1397">
        <v>8.5283999999999999E-2</v>
      </c>
      <c r="BA1397">
        <v>3.1500000000000001E-4</v>
      </c>
    </row>
    <row r="1398" spans="1:53" x14ac:dyDescent="0.25">
      <c r="A1398">
        <v>1396</v>
      </c>
      <c r="B1398" t="s">
        <v>7625</v>
      </c>
      <c r="C1398">
        <v>802069</v>
      </c>
      <c r="D1398" t="s">
        <v>8104</v>
      </c>
      <c r="E1398" t="s">
        <v>3039</v>
      </c>
      <c r="F1398">
        <v>2903242.5</v>
      </c>
      <c r="G1398">
        <v>9078.4414059999999</v>
      </c>
      <c r="H1398">
        <v>1398</v>
      </c>
      <c r="I1398">
        <v>1636</v>
      </c>
      <c r="J1398">
        <v>61461</v>
      </c>
      <c r="K1398" t="s">
        <v>2550</v>
      </c>
      <c r="L1398">
        <v>20</v>
      </c>
      <c r="M1398">
        <v>20</v>
      </c>
      <c r="N1398">
        <v>61461</v>
      </c>
      <c r="O1398">
        <v>1367</v>
      </c>
      <c r="P1398" t="s">
        <v>3213</v>
      </c>
      <c r="Q1398">
        <v>18.2</v>
      </c>
      <c r="R1398">
        <v>87.09</v>
      </c>
      <c r="S1398">
        <v>4.12</v>
      </c>
      <c r="T1398">
        <v>20</v>
      </c>
      <c r="U1398">
        <v>2903242.3949500001</v>
      </c>
      <c r="V1398">
        <v>9078.4412400000001</v>
      </c>
      <c r="W1398">
        <v>1397</v>
      </c>
      <c r="X1398">
        <v>1</v>
      </c>
      <c r="Y1398">
        <v>1396</v>
      </c>
      <c r="Z1398">
        <v>62288</v>
      </c>
      <c r="AA1398" s="76">
        <v>45791</v>
      </c>
      <c r="AB1398">
        <v>2025</v>
      </c>
      <c r="AC1398" t="s">
        <v>7215</v>
      </c>
      <c r="AD1398">
        <v>14</v>
      </c>
      <c r="AE1398" t="s">
        <v>7254</v>
      </c>
      <c r="AF1398" t="s">
        <v>3213</v>
      </c>
      <c r="AG1398" t="s">
        <v>3039</v>
      </c>
      <c r="AH1398" t="s">
        <v>7255</v>
      </c>
      <c r="AI1398" t="s">
        <v>2976</v>
      </c>
      <c r="AJ1398" t="s">
        <v>6966</v>
      </c>
      <c r="AK1398">
        <v>33.435740000000003</v>
      </c>
      <c r="AL1398">
        <v>35.282730000000001</v>
      </c>
      <c r="AM1398" t="s">
        <v>7013</v>
      </c>
      <c r="AN1398" t="s">
        <v>6995</v>
      </c>
      <c r="AO1398" t="s">
        <v>7008</v>
      </c>
      <c r="AP1398" t="s">
        <v>7256</v>
      </c>
      <c r="AQ1398" t="s">
        <v>6998</v>
      </c>
      <c r="AR1398" t="s">
        <v>6999</v>
      </c>
      <c r="AS1398" t="s">
        <v>7000</v>
      </c>
      <c r="AT1398">
        <v>0</v>
      </c>
      <c r="AU1398">
        <v>0</v>
      </c>
      <c r="AV1398" t="s">
        <v>7248</v>
      </c>
      <c r="AW1398" t="s">
        <v>7018</v>
      </c>
      <c r="AX1398" t="s">
        <v>6966</v>
      </c>
      <c r="AY1398" t="s">
        <v>7003</v>
      </c>
      <c r="AZ1398">
        <v>9.0495999999999993E-2</v>
      </c>
      <c r="BA1398">
        <v>2.81E-4</v>
      </c>
    </row>
    <row r="1399" spans="1:53" x14ac:dyDescent="0.25">
      <c r="A1399">
        <v>1397</v>
      </c>
      <c r="B1399" t="s">
        <v>7625</v>
      </c>
      <c r="C1399">
        <v>801074</v>
      </c>
      <c r="D1399" t="s">
        <v>8105</v>
      </c>
      <c r="E1399" t="s">
        <v>1342</v>
      </c>
      <c r="F1399">
        <v>4194770</v>
      </c>
      <c r="G1399">
        <v>10566.107421999999</v>
      </c>
      <c r="H1399">
        <v>1399</v>
      </c>
      <c r="I1399">
        <v>1637</v>
      </c>
      <c r="J1399">
        <v>63351</v>
      </c>
      <c r="K1399" t="s">
        <v>2680</v>
      </c>
      <c r="L1399">
        <v>22</v>
      </c>
      <c r="M1399">
        <v>22</v>
      </c>
      <c r="N1399">
        <v>63351</v>
      </c>
      <c r="O1399">
        <v>1368</v>
      </c>
      <c r="P1399" t="s">
        <v>3213</v>
      </c>
      <c r="Q1399">
        <v>0.5</v>
      </c>
      <c r="R1399">
        <v>0</v>
      </c>
      <c r="S1399">
        <v>0.24</v>
      </c>
      <c r="T1399">
        <v>0</v>
      </c>
      <c r="U1399">
        <v>4194769.9133400004</v>
      </c>
      <c r="V1399">
        <v>10566.107637999999</v>
      </c>
      <c r="W1399">
        <v>1398</v>
      </c>
      <c r="X1399">
        <v>0</v>
      </c>
      <c r="Y1399">
        <v>1397</v>
      </c>
      <c r="Z1399" t="s">
        <v>6966</v>
      </c>
      <c r="AA1399" t="s">
        <v>6966</v>
      </c>
      <c r="AB1399" t="s">
        <v>6966</v>
      </c>
      <c r="AC1399" t="s">
        <v>6966</v>
      </c>
      <c r="AD1399" t="s">
        <v>6966</v>
      </c>
      <c r="AE1399" t="s">
        <v>6966</v>
      </c>
      <c r="AF1399" t="s">
        <v>6966</v>
      </c>
      <c r="AG1399" t="s">
        <v>6966</v>
      </c>
      <c r="AH1399" t="s">
        <v>6966</v>
      </c>
      <c r="AI1399" t="s">
        <v>6966</v>
      </c>
      <c r="AJ1399" t="s">
        <v>6966</v>
      </c>
      <c r="AK1399" t="s">
        <v>6966</v>
      </c>
      <c r="AL1399" t="s">
        <v>6966</v>
      </c>
      <c r="AM1399" t="s">
        <v>6966</v>
      </c>
      <c r="AN1399" t="s">
        <v>6966</v>
      </c>
      <c r="AO1399" t="s">
        <v>6966</v>
      </c>
      <c r="AP1399" t="s">
        <v>6966</v>
      </c>
      <c r="AQ1399" t="s">
        <v>6966</v>
      </c>
      <c r="AR1399" t="s">
        <v>6966</v>
      </c>
      <c r="AS1399" t="s">
        <v>6966</v>
      </c>
      <c r="AT1399" t="s">
        <v>6966</v>
      </c>
      <c r="AU1399" t="s">
        <v>6966</v>
      </c>
      <c r="AV1399" t="s">
        <v>6966</v>
      </c>
      <c r="AW1399" t="s">
        <v>6966</v>
      </c>
      <c r="AX1399" t="s">
        <v>6966</v>
      </c>
      <c r="AY1399" t="s">
        <v>6966</v>
      </c>
      <c r="AZ1399">
        <v>0.10324800000000001</v>
      </c>
      <c r="BA1399">
        <v>4.0700000000000003E-4</v>
      </c>
    </row>
    <row r="1400" spans="1:53" x14ac:dyDescent="0.25">
      <c r="A1400">
        <v>1398</v>
      </c>
      <c r="B1400" t="s">
        <v>7625</v>
      </c>
      <c r="C1400">
        <v>802035</v>
      </c>
      <c r="D1400" t="s">
        <v>1232</v>
      </c>
      <c r="E1400" t="s">
        <v>3039</v>
      </c>
      <c r="F1400">
        <v>2005552.375</v>
      </c>
      <c r="G1400">
        <v>7028.9233400000003</v>
      </c>
      <c r="H1400">
        <v>1400</v>
      </c>
      <c r="I1400">
        <v>1638</v>
      </c>
      <c r="J1400">
        <v>61443</v>
      </c>
      <c r="K1400" t="s">
        <v>2542</v>
      </c>
      <c r="L1400">
        <v>20</v>
      </c>
      <c r="M1400">
        <v>20</v>
      </c>
      <c r="N1400">
        <v>61443</v>
      </c>
      <c r="O1400">
        <v>1369</v>
      </c>
      <c r="P1400" t="s">
        <v>3213</v>
      </c>
      <c r="Q1400">
        <v>1.1000000000000001</v>
      </c>
      <c r="R1400">
        <v>0</v>
      </c>
      <c r="S1400">
        <v>0.2</v>
      </c>
      <c r="T1400">
        <v>0</v>
      </c>
      <c r="U1400">
        <v>2005552.36527</v>
      </c>
      <c r="V1400">
        <v>7028.9234619999997</v>
      </c>
      <c r="W1400">
        <v>1399</v>
      </c>
      <c r="X1400">
        <v>0</v>
      </c>
      <c r="Y1400">
        <v>1398</v>
      </c>
      <c r="Z1400" t="s">
        <v>6966</v>
      </c>
      <c r="AA1400" t="s">
        <v>6966</v>
      </c>
      <c r="AB1400" t="s">
        <v>6966</v>
      </c>
      <c r="AC1400" t="s">
        <v>6966</v>
      </c>
      <c r="AD1400" t="s">
        <v>6966</v>
      </c>
      <c r="AE1400" t="s">
        <v>6966</v>
      </c>
      <c r="AF1400" t="s">
        <v>6966</v>
      </c>
      <c r="AG1400" t="s">
        <v>6966</v>
      </c>
      <c r="AH1400" t="s">
        <v>6966</v>
      </c>
      <c r="AI1400" t="s">
        <v>6966</v>
      </c>
      <c r="AJ1400" t="s">
        <v>6966</v>
      </c>
      <c r="AK1400" t="s">
        <v>6966</v>
      </c>
      <c r="AL1400" t="s">
        <v>6966</v>
      </c>
      <c r="AM1400" t="s">
        <v>6966</v>
      </c>
      <c r="AN1400" t="s">
        <v>6966</v>
      </c>
      <c r="AO1400" t="s">
        <v>6966</v>
      </c>
      <c r="AP1400" t="s">
        <v>6966</v>
      </c>
      <c r="AQ1400" t="s">
        <v>6966</v>
      </c>
      <c r="AR1400" t="s">
        <v>6966</v>
      </c>
      <c r="AS1400" t="s">
        <v>6966</v>
      </c>
      <c r="AT1400" t="s">
        <v>6966</v>
      </c>
      <c r="AU1400" t="s">
        <v>6966</v>
      </c>
      <c r="AV1400" t="s">
        <v>6966</v>
      </c>
      <c r="AW1400" t="s">
        <v>6966</v>
      </c>
      <c r="AX1400" t="s">
        <v>6966</v>
      </c>
      <c r="AY1400" t="s">
        <v>6966</v>
      </c>
      <c r="AZ1400">
        <v>6.8337999999999996E-2</v>
      </c>
      <c r="BA1400">
        <v>1.94E-4</v>
      </c>
    </row>
    <row r="1401" spans="1:53" x14ac:dyDescent="0.25">
      <c r="A1401">
        <v>1399</v>
      </c>
      <c r="B1401" t="s">
        <v>7625</v>
      </c>
      <c r="C1401">
        <v>801073</v>
      </c>
      <c r="D1401" t="s">
        <v>1395</v>
      </c>
      <c r="E1401" t="s">
        <v>1342</v>
      </c>
      <c r="F1401">
        <v>5718569</v>
      </c>
      <c r="G1401">
        <v>13102.390625</v>
      </c>
      <c r="H1401">
        <v>1401</v>
      </c>
      <c r="I1401">
        <v>1639</v>
      </c>
      <c r="J1401">
        <v>63298</v>
      </c>
      <c r="K1401" t="s">
        <v>1395</v>
      </c>
      <c r="L1401">
        <v>22</v>
      </c>
      <c r="M1401">
        <v>22</v>
      </c>
      <c r="N1401">
        <v>63398</v>
      </c>
      <c r="O1401">
        <v>1370</v>
      </c>
      <c r="P1401" t="s">
        <v>3213</v>
      </c>
      <c r="Q1401">
        <v>0</v>
      </c>
      <c r="R1401">
        <v>0</v>
      </c>
      <c r="S1401">
        <v>0</v>
      </c>
      <c r="T1401">
        <v>0</v>
      </c>
      <c r="U1401">
        <v>5718569.1824500002</v>
      </c>
      <c r="V1401">
        <v>13102.390633000001</v>
      </c>
      <c r="W1401">
        <v>1400</v>
      </c>
      <c r="X1401">
        <v>0</v>
      </c>
      <c r="Y1401">
        <v>1399</v>
      </c>
      <c r="Z1401" t="s">
        <v>6966</v>
      </c>
      <c r="AA1401" t="s">
        <v>6966</v>
      </c>
      <c r="AB1401" t="s">
        <v>6966</v>
      </c>
      <c r="AC1401" t="s">
        <v>6966</v>
      </c>
      <c r="AD1401" t="s">
        <v>6966</v>
      </c>
      <c r="AE1401" t="s">
        <v>6966</v>
      </c>
      <c r="AF1401" t="s">
        <v>6966</v>
      </c>
      <c r="AG1401" t="s">
        <v>6966</v>
      </c>
      <c r="AH1401" t="s">
        <v>6966</v>
      </c>
      <c r="AI1401" t="s">
        <v>6966</v>
      </c>
      <c r="AJ1401" t="s">
        <v>6966</v>
      </c>
      <c r="AK1401" t="s">
        <v>6966</v>
      </c>
      <c r="AL1401" t="s">
        <v>6966</v>
      </c>
      <c r="AM1401" t="s">
        <v>6966</v>
      </c>
      <c r="AN1401" t="s">
        <v>6966</v>
      </c>
      <c r="AO1401" t="s">
        <v>6966</v>
      </c>
      <c r="AP1401" t="s">
        <v>6966</v>
      </c>
      <c r="AQ1401" t="s">
        <v>6966</v>
      </c>
      <c r="AR1401" t="s">
        <v>6966</v>
      </c>
      <c r="AS1401" t="s">
        <v>6966</v>
      </c>
      <c r="AT1401" t="s">
        <v>6966</v>
      </c>
      <c r="AU1401" t="s">
        <v>6966</v>
      </c>
      <c r="AV1401" t="s">
        <v>6966</v>
      </c>
      <c r="AW1401" t="s">
        <v>6966</v>
      </c>
      <c r="AX1401" t="s">
        <v>6966</v>
      </c>
      <c r="AY1401" t="s">
        <v>6966</v>
      </c>
      <c r="AZ1401">
        <v>0.1263</v>
      </c>
      <c r="BA1401">
        <v>5.5400000000000002E-4</v>
      </c>
    </row>
    <row r="1402" spans="1:53" x14ac:dyDescent="0.25">
      <c r="A1402">
        <v>1400</v>
      </c>
      <c r="B1402" t="s">
        <v>7625</v>
      </c>
      <c r="C1402">
        <v>604014</v>
      </c>
      <c r="D1402" t="s">
        <v>1443</v>
      </c>
      <c r="E1402" t="s">
        <v>6965</v>
      </c>
      <c r="F1402">
        <v>0</v>
      </c>
      <c r="G1402">
        <v>19163.550781000002</v>
      </c>
      <c r="H1402">
        <v>1402</v>
      </c>
      <c r="I1402">
        <v>1640</v>
      </c>
      <c r="J1402">
        <v>71311</v>
      </c>
      <c r="K1402" t="s">
        <v>2708</v>
      </c>
      <c r="L1402">
        <v>23</v>
      </c>
      <c r="M1402">
        <v>23</v>
      </c>
      <c r="N1402">
        <v>71311</v>
      </c>
      <c r="O1402">
        <v>1371</v>
      </c>
      <c r="P1402" t="s">
        <v>6965</v>
      </c>
      <c r="Q1402">
        <v>3.8</v>
      </c>
      <c r="R1402">
        <v>26.05</v>
      </c>
      <c r="S1402">
        <v>1.1299999999999999</v>
      </c>
      <c r="T1402">
        <v>8</v>
      </c>
      <c r="U1402">
        <v>0</v>
      </c>
      <c r="V1402">
        <v>19163.550076</v>
      </c>
      <c r="W1402">
        <v>1401</v>
      </c>
      <c r="X1402">
        <v>2</v>
      </c>
      <c r="Y1402">
        <v>1400</v>
      </c>
      <c r="Z1402">
        <v>63587</v>
      </c>
      <c r="AA1402" s="76">
        <v>45811</v>
      </c>
      <c r="AB1402">
        <v>2025</v>
      </c>
      <c r="AC1402" t="s">
        <v>7298</v>
      </c>
      <c r="AD1402">
        <v>3</v>
      </c>
      <c r="AE1402" t="s">
        <v>7302</v>
      </c>
      <c r="AF1402" t="s">
        <v>3218</v>
      </c>
      <c r="AG1402" t="s">
        <v>3218</v>
      </c>
      <c r="AH1402" t="s">
        <v>1443</v>
      </c>
      <c r="AI1402" t="s">
        <v>7303</v>
      </c>
      <c r="AJ1402" t="s">
        <v>6966</v>
      </c>
      <c r="AK1402">
        <v>33.432769999999998</v>
      </c>
      <c r="AL1402">
        <v>35.458410000000001</v>
      </c>
      <c r="AM1402" t="s">
        <v>7059</v>
      </c>
      <c r="AN1402" t="s">
        <v>6995</v>
      </c>
      <c r="AO1402" t="s">
        <v>7103</v>
      </c>
      <c r="AP1402" t="s">
        <v>7304</v>
      </c>
      <c r="AQ1402" t="s">
        <v>6998</v>
      </c>
      <c r="AR1402" t="s">
        <v>6999</v>
      </c>
      <c r="AS1402" t="s">
        <v>7000</v>
      </c>
      <c r="AT1402">
        <v>0</v>
      </c>
      <c r="AU1402">
        <v>0</v>
      </c>
      <c r="AV1402" t="s">
        <v>7305</v>
      </c>
      <c r="AW1402" t="s">
        <v>7119</v>
      </c>
      <c r="AX1402" t="s">
        <v>6966</v>
      </c>
      <c r="AY1402" t="s">
        <v>7114</v>
      </c>
      <c r="AZ1402">
        <v>0.19233800000000001</v>
      </c>
      <c r="BA1402">
        <v>1.1720000000000001E-3</v>
      </c>
    </row>
    <row r="1403" spans="1:53" x14ac:dyDescent="0.25">
      <c r="A1403">
        <v>1401</v>
      </c>
      <c r="B1403" t="s">
        <v>7625</v>
      </c>
      <c r="C1403">
        <v>801050</v>
      </c>
      <c r="D1403" t="s">
        <v>1403</v>
      </c>
      <c r="E1403" t="s">
        <v>1342</v>
      </c>
      <c r="F1403">
        <v>1929894.625</v>
      </c>
      <c r="G1403">
        <v>8952.7958980000003</v>
      </c>
      <c r="H1403">
        <v>1403</v>
      </c>
      <c r="I1403">
        <v>1641</v>
      </c>
      <c r="J1403">
        <v>63339</v>
      </c>
      <c r="K1403" t="s">
        <v>2677</v>
      </c>
      <c r="L1403">
        <v>22</v>
      </c>
      <c r="M1403">
        <v>22</v>
      </c>
      <c r="N1403">
        <v>63339</v>
      </c>
      <c r="O1403">
        <v>1372</v>
      </c>
      <c r="P1403" t="s">
        <v>3213</v>
      </c>
      <c r="Q1403">
        <v>0</v>
      </c>
      <c r="R1403">
        <v>0</v>
      </c>
      <c r="S1403">
        <v>0</v>
      </c>
      <c r="T1403">
        <v>0</v>
      </c>
      <c r="U1403">
        <v>1929894.7909899999</v>
      </c>
      <c r="V1403">
        <v>8952.7963189999991</v>
      </c>
      <c r="W1403">
        <v>1402</v>
      </c>
      <c r="X1403">
        <v>0</v>
      </c>
      <c r="Y1403">
        <v>1401</v>
      </c>
      <c r="Z1403" t="s">
        <v>6966</v>
      </c>
      <c r="AA1403" t="s">
        <v>6966</v>
      </c>
      <c r="AB1403" t="s">
        <v>6966</v>
      </c>
      <c r="AC1403" t="s">
        <v>6966</v>
      </c>
      <c r="AD1403" t="s">
        <v>6966</v>
      </c>
      <c r="AE1403" t="s">
        <v>6966</v>
      </c>
      <c r="AF1403" t="s">
        <v>6966</v>
      </c>
      <c r="AG1403" t="s">
        <v>6966</v>
      </c>
      <c r="AH1403" t="s">
        <v>6966</v>
      </c>
      <c r="AI1403" t="s">
        <v>6966</v>
      </c>
      <c r="AJ1403" t="s">
        <v>6966</v>
      </c>
      <c r="AK1403" t="s">
        <v>6966</v>
      </c>
      <c r="AL1403" t="s">
        <v>6966</v>
      </c>
      <c r="AM1403" t="s">
        <v>6966</v>
      </c>
      <c r="AN1403" t="s">
        <v>6966</v>
      </c>
      <c r="AO1403" t="s">
        <v>6966</v>
      </c>
      <c r="AP1403" t="s">
        <v>6966</v>
      </c>
      <c r="AQ1403" t="s">
        <v>6966</v>
      </c>
      <c r="AR1403" t="s">
        <v>6966</v>
      </c>
      <c r="AS1403" t="s">
        <v>6966</v>
      </c>
      <c r="AT1403" t="s">
        <v>6966</v>
      </c>
      <c r="AU1403" t="s">
        <v>6966</v>
      </c>
      <c r="AV1403" t="s">
        <v>6966</v>
      </c>
      <c r="AW1403" t="s">
        <v>6966</v>
      </c>
      <c r="AX1403" t="s">
        <v>6966</v>
      </c>
      <c r="AY1403" t="s">
        <v>6966</v>
      </c>
      <c r="AZ1403">
        <v>8.6443999999999993E-2</v>
      </c>
      <c r="BA1403">
        <v>1.8699999999999999E-4</v>
      </c>
    </row>
    <row r="1404" spans="1:53" x14ac:dyDescent="0.25">
      <c r="A1404">
        <v>1402</v>
      </c>
      <c r="B1404" t="s">
        <v>7625</v>
      </c>
      <c r="C1404">
        <v>402035</v>
      </c>
      <c r="D1404" t="s">
        <v>87</v>
      </c>
      <c r="E1404" t="s">
        <v>7999</v>
      </c>
      <c r="F1404">
        <v>0</v>
      </c>
      <c r="G1404">
        <v>37093.152344000002</v>
      </c>
      <c r="H1404">
        <v>1404</v>
      </c>
      <c r="I1404">
        <v>1642</v>
      </c>
      <c r="J1404">
        <v>55010</v>
      </c>
      <c r="K1404" t="s">
        <v>87</v>
      </c>
      <c r="L1404">
        <v>19</v>
      </c>
      <c r="M1404">
        <v>19</v>
      </c>
      <c r="N1404">
        <v>55010</v>
      </c>
      <c r="O1404">
        <v>1373</v>
      </c>
      <c r="P1404" t="s">
        <v>3214</v>
      </c>
      <c r="Q1404">
        <v>0</v>
      </c>
      <c r="R1404">
        <v>0</v>
      </c>
      <c r="S1404">
        <v>0</v>
      </c>
      <c r="T1404">
        <v>0</v>
      </c>
      <c r="U1404">
        <v>0</v>
      </c>
      <c r="V1404">
        <v>37093.152431000002</v>
      </c>
      <c r="W1404">
        <v>1403</v>
      </c>
      <c r="X1404">
        <v>0</v>
      </c>
      <c r="Y1404">
        <v>1402</v>
      </c>
      <c r="Z1404" t="s">
        <v>6966</v>
      </c>
      <c r="AA1404" t="s">
        <v>6966</v>
      </c>
      <c r="AB1404" t="s">
        <v>6966</v>
      </c>
      <c r="AC1404" t="s">
        <v>6966</v>
      </c>
      <c r="AD1404" t="s">
        <v>6966</v>
      </c>
      <c r="AE1404" t="s">
        <v>6966</v>
      </c>
      <c r="AF1404" t="s">
        <v>6966</v>
      </c>
      <c r="AG1404" t="s">
        <v>6966</v>
      </c>
      <c r="AH1404" t="s">
        <v>6966</v>
      </c>
      <c r="AI1404" t="s">
        <v>6966</v>
      </c>
      <c r="AJ1404" t="s">
        <v>6966</v>
      </c>
      <c r="AK1404" t="s">
        <v>6966</v>
      </c>
      <c r="AL1404" t="s">
        <v>6966</v>
      </c>
      <c r="AM1404" t="s">
        <v>6966</v>
      </c>
      <c r="AN1404" t="s">
        <v>6966</v>
      </c>
      <c r="AO1404" t="s">
        <v>6966</v>
      </c>
      <c r="AP1404" t="s">
        <v>6966</v>
      </c>
      <c r="AQ1404" t="s">
        <v>6966</v>
      </c>
      <c r="AR1404" t="s">
        <v>6966</v>
      </c>
      <c r="AS1404" t="s">
        <v>6966</v>
      </c>
      <c r="AT1404" t="s">
        <v>6966</v>
      </c>
      <c r="AU1404" t="s">
        <v>6966</v>
      </c>
      <c r="AV1404" t="s">
        <v>6966</v>
      </c>
      <c r="AW1404" t="s">
        <v>6966</v>
      </c>
      <c r="AX1404" t="s">
        <v>6966</v>
      </c>
      <c r="AY1404" t="s">
        <v>6966</v>
      </c>
      <c r="AZ1404">
        <v>0.36864799999999998</v>
      </c>
      <c r="BA1404">
        <v>4.0860000000000002E-3</v>
      </c>
    </row>
    <row r="1405" spans="1:53" x14ac:dyDescent="0.25">
      <c r="A1405">
        <v>1403</v>
      </c>
      <c r="B1405" t="s">
        <v>7625</v>
      </c>
      <c r="C1405">
        <v>802016</v>
      </c>
      <c r="D1405" t="s">
        <v>8106</v>
      </c>
      <c r="E1405" t="s">
        <v>3039</v>
      </c>
      <c r="F1405">
        <v>2332217.25</v>
      </c>
      <c r="G1405">
        <v>7281.0131840000004</v>
      </c>
      <c r="H1405">
        <v>1405</v>
      </c>
      <c r="I1405">
        <v>1643</v>
      </c>
      <c r="J1405">
        <v>61441</v>
      </c>
      <c r="K1405" t="s">
        <v>8106</v>
      </c>
      <c r="L1405">
        <v>20</v>
      </c>
      <c r="M1405">
        <v>20</v>
      </c>
      <c r="N1405">
        <v>61441</v>
      </c>
      <c r="O1405">
        <v>1374</v>
      </c>
      <c r="P1405" t="s">
        <v>3213</v>
      </c>
      <c r="Q1405">
        <v>0.4</v>
      </c>
      <c r="R1405">
        <v>0</v>
      </c>
      <c r="S1405">
        <v>0.09</v>
      </c>
      <c r="T1405">
        <v>0</v>
      </c>
      <c r="U1405">
        <v>2332217.1044399999</v>
      </c>
      <c r="V1405">
        <v>7281.0135479999999</v>
      </c>
      <c r="W1405">
        <v>1404</v>
      </c>
      <c r="X1405">
        <v>0</v>
      </c>
      <c r="Y1405">
        <v>1403</v>
      </c>
      <c r="Z1405" t="s">
        <v>6966</v>
      </c>
      <c r="AA1405" t="s">
        <v>6966</v>
      </c>
      <c r="AB1405" t="s">
        <v>6966</v>
      </c>
      <c r="AC1405" t="s">
        <v>6966</v>
      </c>
      <c r="AD1405" t="s">
        <v>6966</v>
      </c>
      <c r="AE1405" t="s">
        <v>6966</v>
      </c>
      <c r="AF1405" t="s">
        <v>6966</v>
      </c>
      <c r="AG1405" t="s">
        <v>6966</v>
      </c>
      <c r="AH1405" t="s">
        <v>6966</v>
      </c>
      <c r="AI1405" t="s">
        <v>6966</v>
      </c>
      <c r="AJ1405" t="s">
        <v>6966</v>
      </c>
      <c r="AK1405" t="s">
        <v>6966</v>
      </c>
      <c r="AL1405" t="s">
        <v>6966</v>
      </c>
      <c r="AM1405" t="s">
        <v>6966</v>
      </c>
      <c r="AN1405" t="s">
        <v>6966</v>
      </c>
      <c r="AO1405" t="s">
        <v>6966</v>
      </c>
      <c r="AP1405" t="s">
        <v>6966</v>
      </c>
      <c r="AQ1405" t="s">
        <v>6966</v>
      </c>
      <c r="AR1405" t="s">
        <v>6966</v>
      </c>
      <c r="AS1405" t="s">
        <v>6966</v>
      </c>
      <c r="AT1405" t="s">
        <v>6966</v>
      </c>
      <c r="AU1405" t="s">
        <v>6966</v>
      </c>
      <c r="AV1405" t="s">
        <v>6966</v>
      </c>
      <c r="AW1405" t="s">
        <v>6966</v>
      </c>
      <c r="AX1405" t="s">
        <v>6966</v>
      </c>
      <c r="AY1405" t="s">
        <v>6966</v>
      </c>
      <c r="AZ1405">
        <v>7.2463E-2</v>
      </c>
      <c r="BA1405">
        <v>2.2599999999999999E-4</v>
      </c>
    </row>
    <row r="1406" spans="1:53" x14ac:dyDescent="0.25">
      <c r="A1406">
        <v>1404</v>
      </c>
      <c r="B1406" t="s">
        <v>7625</v>
      </c>
      <c r="C1406">
        <v>604006</v>
      </c>
      <c r="D1406" t="s">
        <v>1437</v>
      </c>
      <c r="E1406" t="s">
        <v>6965</v>
      </c>
      <c r="F1406">
        <v>6276738.5</v>
      </c>
      <c r="G1406">
        <v>13578.715819999999</v>
      </c>
      <c r="H1406">
        <v>1406</v>
      </c>
      <c r="I1406">
        <v>1644</v>
      </c>
      <c r="J1406">
        <v>71256</v>
      </c>
      <c r="K1406" t="s">
        <v>2704</v>
      </c>
      <c r="L1406">
        <v>23</v>
      </c>
      <c r="M1406">
        <v>23</v>
      </c>
      <c r="N1406">
        <v>71256</v>
      </c>
      <c r="O1406">
        <v>1375</v>
      </c>
      <c r="P1406" t="s">
        <v>6965</v>
      </c>
      <c r="Q1406">
        <v>6.4</v>
      </c>
      <c r="R1406">
        <v>55.84</v>
      </c>
      <c r="S1406">
        <v>1.6</v>
      </c>
      <c r="T1406">
        <v>14</v>
      </c>
      <c r="U1406">
        <v>6276738.6020499999</v>
      </c>
      <c r="V1406">
        <v>13578.71615</v>
      </c>
      <c r="W1406">
        <v>1405</v>
      </c>
      <c r="X1406">
        <v>0</v>
      </c>
      <c r="Y1406">
        <v>1404</v>
      </c>
      <c r="Z1406" t="s">
        <v>6966</v>
      </c>
      <c r="AA1406" t="s">
        <v>6966</v>
      </c>
      <c r="AB1406" t="s">
        <v>6966</v>
      </c>
      <c r="AC1406" t="s">
        <v>6966</v>
      </c>
      <c r="AD1406" t="s">
        <v>6966</v>
      </c>
      <c r="AE1406" t="s">
        <v>6966</v>
      </c>
      <c r="AF1406" t="s">
        <v>6966</v>
      </c>
      <c r="AG1406" t="s">
        <v>6966</v>
      </c>
      <c r="AH1406" t="s">
        <v>6966</v>
      </c>
      <c r="AI1406" t="s">
        <v>6966</v>
      </c>
      <c r="AJ1406" t="s">
        <v>6966</v>
      </c>
      <c r="AK1406" t="s">
        <v>6966</v>
      </c>
      <c r="AL1406" t="s">
        <v>6966</v>
      </c>
      <c r="AM1406" t="s">
        <v>6966</v>
      </c>
      <c r="AN1406" t="s">
        <v>6966</v>
      </c>
      <c r="AO1406" t="s">
        <v>6966</v>
      </c>
      <c r="AP1406" t="s">
        <v>6966</v>
      </c>
      <c r="AQ1406" t="s">
        <v>6966</v>
      </c>
      <c r="AR1406" t="s">
        <v>6966</v>
      </c>
      <c r="AS1406" t="s">
        <v>6966</v>
      </c>
      <c r="AT1406" t="s">
        <v>6966</v>
      </c>
      <c r="AU1406" t="s">
        <v>6966</v>
      </c>
      <c r="AV1406" t="s">
        <v>6966</v>
      </c>
      <c r="AW1406" t="s">
        <v>6966</v>
      </c>
      <c r="AX1406" t="s">
        <v>6966</v>
      </c>
      <c r="AY1406" t="s">
        <v>6966</v>
      </c>
      <c r="AZ1406">
        <v>0.13416700000000001</v>
      </c>
      <c r="BA1406">
        <v>6.0800000000000003E-4</v>
      </c>
    </row>
    <row r="1407" spans="1:53" x14ac:dyDescent="0.25">
      <c r="A1407">
        <v>1405</v>
      </c>
      <c r="B1407" t="s">
        <v>7625</v>
      </c>
      <c r="C1407">
        <v>604035</v>
      </c>
      <c r="D1407" t="s">
        <v>1444</v>
      </c>
      <c r="E1407" t="s">
        <v>6965</v>
      </c>
      <c r="F1407">
        <v>2287497</v>
      </c>
      <c r="G1407">
        <v>6907.1586909999996</v>
      </c>
      <c r="H1407">
        <v>1407</v>
      </c>
      <c r="I1407">
        <v>1645</v>
      </c>
      <c r="J1407">
        <v>71314</v>
      </c>
      <c r="K1407" t="s">
        <v>2709</v>
      </c>
      <c r="L1407">
        <v>23</v>
      </c>
      <c r="M1407">
        <v>23</v>
      </c>
      <c r="N1407">
        <v>71314</v>
      </c>
      <c r="O1407">
        <v>1376</v>
      </c>
      <c r="P1407" t="s">
        <v>6965</v>
      </c>
      <c r="Q1407">
        <v>0</v>
      </c>
      <c r="R1407">
        <v>0</v>
      </c>
      <c r="S1407">
        <v>0</v>
      </c>
      <c r="T1407">
        <v>0</v>
      </c>
      <c r="U1407">
        <v>2287496.9227399998</v>
      </c>
      <c r="V1407">
        <v>6907.158805</v>
      </c>
      <c r="W1407">
        <v>1406</v>
      </c>
      <c r="X1407">
        <v>0</v>
      </c>
      <c r="Y1407">
        <v>1405</v>
      </c>
      <c r="Z1407" t="s">
        <v>6966</v>
      </c>
      <c r="AA1407" t="s">
        <v>6966</v>
      </c>
      <c r="AB1407" t="s">
        <v>6966</v>
      </c>
      <c r="AC1407" t="s">
        <v>6966</v>
      </c>
      <c r="AD1407" t="s">
        <v>6966</v>
      </c>
      <c r="AE1407" t="s">
        <v>6966</v>
      </c>
      <c r="AF1407" t="s">
        <v>6966</v>
      </c>
      <c r="AG1407" t="s">
        <v>6966</v>
      </c>
      <c r="AH1407" t="s">
        <v>6966</v>
      </c>
      <c r="AI1407" t="s">
        <v>6966</v>
      </c>
      <c r="AJ1407" t="s">
        <v>6966</v>
      </c>
      <c r="AK1407" t="s">
        <v>6966</v>
      </c>
      <c r="AL1407" t="s">
        <v>6966</v>
      </c>
      <c r="AM1407" t="s">
        <v>6966</v>
      </c>
      <c r="AN1407" t="s">
        <v>6966</v>
      </c>
      <c r="AO1407" t="s">
        <v>6966</v>
      </c>
      <c r="AP1407" t="s">
        <v>6966</v>
      </c>
      <c r="AQ1407" t="s">
        <v>6966</v>
      </c>
      <c r="AR1407" t="s">
        <v>6966</v>
      </c>
      <c r="AS1407" t="s">
        <v>6966</v>
      </c>
      <c r="AT1407" t="s">
        <v>6966</v>
      </c>
      <c r="AU1407" t="s">
        <v>6966</v>
      </c>
      <c r="AV1407" t="s">
        <v>6966</v>
      </c>
      <c r="AW1407" t="s">
        <v>6966</v>
      </c>
      <c r="AX1407" t="s">
        <v>6966</v>
      </c>
      <c r="AY1407" t="s">
        <v>6966</v>
      </c>
      <c r="AZ1407">
        <v>6.7832000000000003E-2</v>
      </c>
      <c r="BA1407">
        <v>2.22E-4</v>
      </c>
    </row>
    <row r="1408" spans="1:53" x14ac:dyDescent="0.25">
      <c r="A1408">
        <v>1406</v>
      </c>
      <c r="B1408" t="s">
        <v>7625</v>
      </c>
      <c r="C1408">
        <v>801016</v>
      </c>
      <c r="D1408" t="s">
        <v>1405</v>
      </c>
      <c r="E1408" t="s">
        <v>1342</v>
      </c>
      <c r="F1408">
        <v>5805702.5</v>
      </c>
      <c r="G1408">
        <v>13640.257813</v>
      </c>
      <c r="H1408">
        <v>1408</v>
      </c>
      <c r="I1408">
        <v>1646</v>
      </c>
      <c r="J1408">
        <v>63347</v>
      </c>
      <c r="K1408" t="s">
        <v>2679</v>
      </c>
      <c r="L1408">
        <v>22</v>
      </c>
      <c r="M1408">
        <v>22</v>
      </c>
      <c r="N1408">
        <v>63347</v>
      </c>
      <c r="O1408">
        <v>1377</v>
      </c>
      <c r="P1408" t="s">
        <v>3213</v>
      </c>
      <c r="Q1408">
        <v>0</v>
      </c>
      <c r="R1408">
        <v>0</v>
      </c>
      <c r="S1408">
        <v>0.01</v>
      </c>
      <c r="T1408">
        <v>0</v>
      </c>
      <c r="U1408">
        <v>5805702.4444000004</v>
      </c>
      <c r="V1408">
        <v>13640.257707999999</v>
      </c>
      <c r="W1408">
        <v>1407</v>
      </c>
      <c r="X1408">
        <v>0</v>
      </c>
      <c r="Y1408">
        <v>1406</v>
      </c>
      <c r="Z1408" t="s">
        <v>6966</v>
      </c>
      <c r="AA1408" t="s">
        <v>6966</v>
      </c>
      <c r="AB1408" t="s">
        <v>6966</v>
      </c>
      <c r="AC1408" t="s">
        <v>6966</v>
      </c>
      <c r="AD1408" t="s">
        <v>6966</v>
      </c>
      <c r="AE1408" t="s">
        <v>6966</v>
      </c>
      <c r="AF1408" t="s">
        <v>6966</v>
      </c>
      <c r="AG1408" t="s">
        <v>6966</v>
      </c>
      <c r="AH1408" t="s">
        <v>6966</v>
      </c>
      <c r="AI1408" t="s">
        <v>6966</v>
      </c>
      <c r="AJ1408" t="s">
        <v>6966</v>
      </c>
      <c r="AK1408" t="s">
        <v>6966</v>
      </c>
      <c r="AL1408" t="s">
        <v>6966</v>
      </c>
      <c r="AM1408" t="s">
        <v>6966</v>
      </c>
      <c r="AN1408" t="s">
        <v>6966</v>
      </c>
      <c r="AO1408" t="s">
        <v>6966</v>
      </c>
      <c r="AP1408" t="s">
        <v>6966</v>
      </c>
      <c r="AQ1408" t="s">
        <v>6966</v>
      </c>
      <c r="AR1408" t="s">
        <v>6966</v>
      </c>
      <c r="AS1408" t="s">
        <v>6966</v>
      </c>
      <c r="AT1408" t="s">
        <v>6966</v>
      </c>
      <c r="AU1408" t="s">
        <v>6966</v>
      </c>
      <c r="AV1408" t="s">
        <v>6966</v>
      </c>
      <c r="AW1408" t="s">
        <v>6966</v>
      </c>
      <c r="AX1408" t="s">
        <v>6966</v>
      </c>
      <c r="AY1408" t="s">
        <v>6966</v>
      </c>
      <c r="AZ1408">
        <v>0.13015399999999999</v>
      </c>
      <c r="BA1408">
        <v>5.6300000000000002E-4</v>
      </c>
    </row>
    <row r="1409" spans="1:53" x14ac:dyDescent="0.25">
      <c r="A1409">
        <v>1407</v>
      </c>
      <c r="B1409" t="s">
        <v>7625</v>
      </c>
      <c r="C1409">
        <v>802038</v>
      </c>
      <c r="D1409" t="s">
        <v>8107</v>
      </c>
      <c r="E1409" t="s">
        <v>3039</v>
      </c>
      <c r="F1409">
        <v>1203331.75</v>
      </c>
      <c r="G1409">
        <v>5469.4516599999997</v>
      </c>
      <c r="H1409">
        <v>1409</v>
      </c>
      <c r="I1409">
        <v>1647</v>
      </c>
      <c r="J1409">
        <v>61439</v>
      </c>
      <c r="K1409" t="s">
        <v>8107</v>
      </c>
      <c r="L1409">
        <v>20</v>
      </c>
      <c r="M1409">
        <v>20</v>
      </c>
      <c r="N1409">
        <v>61439</v>
      </c>
      <c r="O1409">
        <v>1378</v>
      </c>
      <c r="P1409" t="s">
        <v>3213</v>
      </c>
      <c r="Q1409">
        <v>9.6999999999999993</v>
      </c>
      <c r="R1409">
        <v>112.2</v>
      </c>
      <c r="S1409">
        <v>2.09</v>
      </c>
      <c r="T1409">
        <v>24</v>
      </c>
      <c r="U1409">
        <v>1203331.83754</v>
      </c>
      <c r="V1409">
        <v>5469.4513980000002</v>
      </c>
      <c r="W1409">
        <v>1408</v>
      </c>
      <c r="X1409">
        <v>0</v>
      </c>
      <c r="Y1409">
        <v>1407</v>
      </c>
      <c r="Z1409" t="s">
        <v>6966</v>
      </c>
      <c r="AA1409" t="s">
        <v>6966</v>
      </c>
      <c r="AB1409" t="s">
        <v>6966</v>
      </c>
      <c r="AC1409" t="s">
        <v>6966</v>
      </c>
      <c r="AD1409" t="s">
        <v>6966</v>
      </c>
      <c r="AE1409" t="s">
        <v>6966</v>
      </c>
      <c r="AF1409" t="s">
        <v>6966</v>
      </c>
      <c r="AG1409" t="s">
        <v>6966</v>
      </c>
      <c r="AH1409" t="s">
        <v>6966</v>
      </c>
      <c r="AI1409" t="s">
        <v>6966</v>
      </c>
      <c r="AJ1409" t="s">
        <v>6966</v>
      </c>
      <c r="AK1409" t="s">
        <v>6966</v>
      </c>
      <c r="AL1409" t="s">
        <v>6966</v>
      </c>
      <c r="AM1409" t="s">
        <v>6966</v>
      </c>
      <c r="AN1409" t="s">
        <v>6966</v>
      </c>
      <c r="AO1409" t="s">
        <v>6966</v>
      </c>
      <c r="AP1409" t="s">
        <v>6966</v>
      </c>
      <c r="AQ1409" t="s">
        <v>6966</v>
      </c>
      <c r="AR1409" t="s">
        <v>6966</v>
      </c>
      <c r="AS1409" t="s">
        <v>6966</v>
      </c>
      <c r="AT1409" t="s">
        <v>6966</v>
      </c>
      <c r="AU1409" t="s">
        <v>6966</v>
      </c>
      <c r="AV1409" t="s">
        <v>6966</v>
      </c>
      <c r="AW1409" t="s">
        <v>6966</v>
      </c>
      <c r="AX1409" t="s">
        <v>6966</v>
      </c>
      <c r="AY1409" t="s">
        <v>6966</v>
      </c>
      <c r="AZ1409">
        <v>5.4286000000000001E-2</v>
      </c>
      <c r="BA1409">
        <v>1.17E-4</v>
      </c>
    </row>
    <row r="1410" spans="1:53" x14ac:dyDescent="0.25">
      <c r="A1410">
        <v>1408</v>
      </c>
      <c r="B1410" t="s">
        <v>7625</v>
      </c>
      <c r="C1410">
        <v>802028</v>
      </c>
      <c r="D1410" t="s">
        <v>1239</v>
      </c>
      <c r="E1410" t="s">
        <v>3039</v>
      </c>
      <c r="F1410">
        <v>6681384.5</v>
      </c>
      <c r="G1410">
        <v>13952.15625</v>
      </c>
      <c r="H1410">
        <v>1410</v>
      </c>
      <c r="I1410">
        <v>1648</v>
      </c>
      <c r="J1410">
        <v>61454</v>
      </c>
      <c r="K1410" t="s">
        <v>2546</v>
      </c>
      <c r="L1410">
        <v>20</v>
      </c>
      <c r="M1410">
        <v>20</v>
      </c>
      <c r="N1410">
        <v>61454</v>
      </c>
      <c r="O1410">
        <v>1379</v>
      </c>
      <c r="P1410" t="s">
        <v>3213</v>
      </c>
      <c r="Q1410">
        <v>2.8</v>
      </c>
      <c r="R1410">
        <v>93.42</v>
      </c>
      <c r="S1410">
        <v>0.59</v>
      </c>
      <c r="T1410">
        <v>19</v>
      </c>
      <c r="U1410">
        <v>6681384.6630100003</v>
      </c>
      <c r="V1410">
        <v>13952.156424000001</v>
      </c>
      <c r="W1410">
        <v>1409</v>
      </c>
      <c r="X1410">
        <v>1</v>
      </c>
      <c r="Y1410">
        <v>1408</v>
      </c>
      <c r="Z1410">
        <v>62336</v>
      </c>
      <c r="AA1410" s="76">
        <v>45792</v>
      </c>
      <c r="AB1410">
        <v>2025</v>
      </c>
      <c r="AC1410" t="s">
        <v>7215</v>
      </c>
      <c r="AD1410">
        <v>15</v>
      </c>
      <c r="AE1410" t="s">
        <v>7272</v>
      </c>
      <c r="AF1410" t="s">
        <v>3213</v>
      </c>
      <c r="AG1410" t="s">
        <v>3039</v>
      </c>
      <c r="AH1410" t="s">
        <v>1239</v>
      </c>
      <c r="AI1410" t="s">
        <v>7273</v>
      </c>
      <c r="AJ1410" t="s">
        <v>6966</v>
      </c>
      <c r="AK1410">
        <v>33.414920000000002</v>
      </c>
      <c r="AL1410">
        <v>35.385739999999998</v>
      </c>
      <c r="AM1410" t="s">
        <v>7013</v>
      </c>
      <c r="AN1410" t="s">
        <v>6995</v>
      </c>
      <c r="AO1410" t="s">
        <v>7008</v>
      </c>
      <c r="AP1410" t="s">
        <v>7274</v>
      </c>
      <c r="AQ1410" t="s">
        <v>6998</v>
      </c>
      <c r="AR1410" t="s">
        <v>6999</v>
      </c>
      <c r="AS1410" t="s">
        <v>7000</v>
      </c>
      <c r="AT1410">
        <v>0</v>
      </c>
      <c r="AU1410">
        <v>0</v>
      </c>
      <c r="AV1410" t="s">
        <v>7260</v>
      </c>
      <c r="AW1410" t="s">
        <v>7018</v>
      </c>
      <c r="AX1410" t="s">
        <v>6966</v>
      </c>
      <c r="AY1410" t="s">
        <v>7003</v>
      </c>
      <c r="AZ1410">
        <v>0.13755700000000001</v>
      </c>
      <c r="BA1410">
        <v>6.4700000000000001E-4</v>
      </c>
    </row>
    <row r="1411" spans="1:53" x14ac:dyDescent="0.25">
      <c r="A1411">
        <v>1409</v>
      </c>
      <c r="B1411" t="s">
        <v>7625</v>
      </c>
      <c r="C1411">
        <v>604041</v>
      </c>
      <c r="D1411" t="s">
        <v>8108</v>
      </c>
      <c r="E1411" t="s">
        <v>6965</v>
      </c>
      <c r="F1411">
        <v>6930202</v>
      </c>
      <c r="G1411">
        <v>16501.945313</v>
      </c>
      <c r="H1411">
        <v>1411</v>
      </c>
      <c r="I1411">
        <v>1649</v>
      </c>
      <c r="J1411">
        <v>71327</v>
      </c>
      <c r="K1411" t="s">
        <v>8109</v>
      </c>
      <c r="L1411">
        <v>23</v>
      </c>
      <c r="M1411">
        <v>23</v>
      </c>
      <c r="N1411">
        <v>71327</v>
      </c>
      <c r="O1411">
        <v>1380</v>
      </c>
      <c r="P1411" t="s">
        <v>6965</v>
      </c>
      <c r="Q1411">
        <v>3.5</v>
      </c>
      <c r="R1411">
        <v>39.74</v>
      </c>
      <c r="S1411">
        <v>0.88</v>
      </c>
      <c r="T1411">
        <v>10</v>
      </c>
      <c r="U1411">
        <v>6930202.1616599998</v>
      </c>
      <c r="V1411">
        <v>16501.946435000002</v>
      </c>
      <c r="W1411">
        <v>1410</v>
      </c>
      <c r="X1411">
        <v>0</v>
      </c>
      <c r="Y1411">
        <v>1409</v>
      </c>
      <c r="Z1411" t="s">
        <v>6966</v>
      </c>
      <c r="AA1411" t="s">
        <v>6966</v>
      </c>
      <c r="AB1411" t="s">
        <v>6966</v>
      </c>
      <c r="AC1411" t="s">
        <v>6966</v>
      </c>
      <c r="AD1411" t="s">
        <v>6966</v>
      </c>
      <c r="AE1411" t="s">
        <v>6966</v>
      </c>
      <c r="AF1411" t="s">
        <v>6966</v>
      </c>
      <c r="AG1411" t="s">
        <v>6966</v>
      </c>
      <c r="AH1411" t="s">
        <v>6966</v>
      </c>
      <c r="AI1411" t="s">
        <v>6966</v>
      </c>
      <c r="AJ1411" t="s">
        <v>6966</v>
      </c>
      <c r="AK1411" t="s">
        <v>6966</v>
      </c>
      <c r="AL1411" t="s">
        <v>6966</v>
      </c>
      <c r="AM1411" t="s">
        <v>6966</v>
      </c>
      <c r="AN1411" t="s">
        <v>6966</v>
      </c>
      <c r="AO1411" t="s">
        <v>6966</v>
      </c>
      <c r="AP1411" t="s">
        <v>6966</v>
      </c>
      <c r="AQ1411" t="s">
        <v>6966</v>
      </c>
      <c r="AR1411" t="s">
        <v>6966</v>
      </c>
      <c r="AS1411" t="s">
        <v>6966</v>
      </c>
      <c r="AT1411" t="s">
        <v>6966</v>
      </c>
      <c r="AU1411" t="s">
        <v>6966</v>
      </c>
      <c r="AV1411" t="s">
        <v>6966</v>
      </c>
      <c r="AW1411" t="s">
        <v>6966</v>
      </c>
      <c r="AX1411" t="s">
        <v>6966</v>
      </c>
      <c r="AY1411" t="s">
        <v>6966</v>
      </c>
      <c r="AZ1411">
        <v>0.163716</v>
      </c>
      <c r="BA1411">
        <v>6.7100000000000005E-4</v>
      </c>
    </row>
    <row r="1412" spans="1:53" x14ac:dyDescent="0.25">
      <c r="A1412">
        <v>1410</v>
      </c>
      <c r="B1412" t="s">
        <v>7625</v>
      </c>
      <c r="C1412">
        <v>802010</v>
      </c>
      <c r="D1412" t="s">
        <v>8110</v>
      </c>
      <c r="E1412" t="s">
        <v>3039</v>
      </c>
      <c r="F1412">
        <v>0</v>
      </c>
      <c r="G1412">
        <v>22336.667968999998</v>
      </c>
      <c r="H1412">
        <v>1412</v>
      </c>
      <c r="I1412">
        <v>1650</v>
      </c>
      <c r="J1412">
        <v>61444</v>
      </c>
      <c r="K1412" t="s">
        <v>8110</v>
      </c>
      <c r="L1412">
        <v>20</v>
      </c>
      <c r="M1412">
        <v>20</v>
      </c>
      <c r="N1412">
        <v>61444</v>
      </c>
      <c r="O1412">
        <v>1381</v>
      </c>
      <c r="P1412" t="s">
        <v>3213</v>
      </c>
      <c r="Q1412">
        <v>2.4</v>
      </c>
      <c r="R1412">
        <v>172.57</v>
      </c>
      <c r="S1412">
        <v>0.65</v>
      </c>
      <c r="T1412">
        <v>46</v>
      </c>
      <c r="U1412">
        <v>0</v>
      </c>
      <c r="V1412">
        <v>22336.668878</v>
      </c>
      <c r="W1412">
        <v>1411</v>
      </c>
      <c r="X1412">
        <v>1</v>
      </c>
      <c r="Y1412">
        <v>1410</v>
      </c>
      <c r="Z1412">
        <v>62334</v>
      </c>
      <c r="AA1412" s="76">
        <v>45792</v>
      </c>
      <c r="AB1412">
        <v>2025</v>
      </c>
      <c r="AC1412" t="s">
        <v>7215</v>
      </c>
      <c r="AD1412">
        <v>15</v>
      </c>
      <c r="AE1412" t="s">
        <v>7266</v>
      </c>
      <c r="AF1412" t="s">
        <v>3213</v>
      </c>
      <c r="AG1412" t="s">
        <v>3039</v>
      </c>
      <c r="AH1412" t="s">
        <v>7267</v>
      </c>
      <c r="AI1412" t="s">
        <v>2973</v>
      </c>
      <c r="AJ1412" t="s">
        <v>6966</v>
      </c>
      <c r="AK1412">
        <v>33.421300000000002</v>
      </c>
      <c r="AL1412">
        <v>35.342619999999997</v>
      </c>
      <c r="AM1412" t="s">
        <v>7013</v>
      </c>
      <c r="AN1412" t="s">
        <v>6995</v>
      </c>
      <c r="AO1412" t="s">
        <v>7008</v>
      </c>
      <c r="AP1412" t="s">
        <v>7268</v>
      </c>
      <c r="AQ1412" t="s">
        <v>6998</v>
      </c>
      <c r="AR1412" t="s">
        <v>6999</v>
      </c>
      <c r="AS1412" t="s">
        <v>7000</v>
      </c>
      <c r="AT1412">
        <v>0</v>
      </c>
      <c r="AU1412">
        <v>0</v>
      </c>
      <c r="AV1412" t="s">
        <v>7260</v>
      </c>
      <c r="AW1412" t="s">
        <v>7018</v>
      </c>
      <c r="AX1412" t="s">
        <v>6966</v>
      </c>
      <c r="AY1412" t="s">
        <v>7003</v>
      </c>
      <c r="AZ1412">
        <v>0.22250800000000001</v>
      </c>
      <c r="BA1412">
        <v>1.2329999999999999E-3</v>
      </c>
    </row>
    <row r="1413" spans="1:53" x14ac:dyDescent="0.25">
      <c r="A1413">
        <v>1411</v>
      </c>
      <c r="B1413" t="s">
        <v>7625</v>
      </c>
      <c r="C1413">
        <v>602008</v>
      </c>
      <c r="D1413" t="s">
        <v>8111</v>
      </c>
      <c r="E1413" t="s">
        <v>1541</v>
      </c>
      <c r="F1413">
        <v>3800843.25</v>
      </c>
      <c r="G1413">
        <v>9328.703125</v>
      </c>
      <c r="H1413">
        <v>1413</v>
      </c>
      <c r="I1413">
        <v>1651</v>
      </c>
      <c r="J1413">
        <v>74179</v>
      </c>
      <c r="K1413" t="s">
        <v>8112</v>
      </c>
      <c r="L1413">
        <v>26</v>
      </c>
      <c r="M1413">
        <v>26</v>
      </c>
      <c r="N1413">
        <v>74111</v>
      </c>
      <c r="O1413">
        <v>1382</v>
      </c>
      <c r="P1413" t="s">
        <v>6965</v>
      </c>
      <c r="Q1413">
        <v>20.399999999999999</v>
      </c>
      <c r="R1413">
        <v>0</v>
      </c>
      <c r="S1413">
        <v>4.62</v>
      </c>
      <c r="T1413">
        <v>24</v>
      </c>
      <c r="U1413">
        <v>3800843.3937200001</v>
      </c>
      <c r="V1413">
        <v>9328.7037930000006</v>
      </c>
      <c r="W1413">
        <v>1412</v>
      </c>
      <c r="X1413">
        <v>0</v>
      </c>
      <c r="Y1413">
        <v>1411</v>
      </c>
      <c r="Z1413" t="s">
        <v>6966</v>
      </c>
      <c r="AA1413" t="s">
        <v>6966</v>
      </c>
      <c r="AB1413" t="s">
        <v>6966</v>
      </c>
      <c r="AC1413" t="s">
        <v>6966</v>
      </c>
      <c r="AD1413" t="s">
        <v>6966</v>
      </c>
      <c r="AE1413" t="s">
        <v>6966</v>
      </c>
      <c r="AF1413" t="s">
        <v>6966</v>
      </c>
      <c r="AG1413" t="s">
        <v>6966</v>
      </c>
      <c r="AH1413" t="s">
        <v>6966</v>
      </c>
      <c r="AI1413" t="s">
        <v>6966</v>
      </c>
      <c r="AJ1413" t="s">
        <v>6966</v>
      </c>
      <c r="AK1413" t="s">
        <v>6966</v>
      </c>
      <c r="AL1413" t="s">
        <v>6966</v>
      </c>
      <c r="AM1413" t="s">
        <v>6966</v>
      </c>
      <c r="AN1413" t="s">
        <v>6966</v>
      </c>
      <c r="AO1413" t="s">
        <v>6966</v>
      </c>
      <c r="AP1413" t="s">
        <v>6966</v>
      </c>
      <c r="AQ1413" t="s">
        <v>6966</v>
      </c>
      <c r="AR1413" t="s">
        <v>6966</v>
      </c>
      <c r="AS1413" t="s">
        <v>6966</v>
      </c>
      <c r="AT1413" t="s">
        <v>6966</v>
      </c>
      <c r="AU1413" t="s">
        <v>6966</v>
      </c>
      <c r="AV1413" t="s">
        <v>6966</v>
      </c>
      <c r="AW1413" t="s">
        <v>6966</v>
      </c>
      <c r="AX1413" t="s">
        <v>6966</v>
      </c>
      <c r="AY1413" t="s">
        <v>6966</v>
      </c>
      <c r="AZ1413">
        <v>9.2290999999999998E-2</v>
      </c>
      <c r="BA1413">
        <v>3.68E-4</v>
      </c>
    </row>
    <row r="1414" spans="1:53" x14ac:dyDescent="0.25">
      <c r="A1414">
        <v>1412</v>
      </c>
      <c r="B1414" t="s">
        <v>7625</v>
      </c>
      <c r="C1414">
        <v>801048</v>
      </c>
      <c r="D1414" t="s">
        <v>1402</v>
      </c>
      <c r="E1414" t="s">
        <v>1342</v>
      </c>
      <c r="F1414">
        <v>1987720.75</v>
      </c>
      <c r="G1414">
        <v>5941.9194340000004</v>
      </c>
      <c r="H1414">
        <v>1414</v>
      </c>
      <c r="I1414">
        <v>1652</v>
      </c>
      <c r="J1414">
        <v>63335</v>
      </c>
      <c r="K1414" t="s">
        <v>2676</v>
      </c>
      <c r="L1414">
        <v>22</v>
      </c>
      <c r="M1414">
        <v>22</v>
      </c>
      <c r="N1414">
        <v>63335</v>
      </c>
      <c r="O1414">
        <v>1383</v>
      </c>
      <c r="P1414" t="s">
        <v>3213</v>
      </c>
      <c r="Q1414">
        <v>0</v>
      </c>
      <c r="R1414">
        <v>0</v>
      </c>
      <c r="S1414">
        <v>0.04</v>
      </c>
      <c r="T1414">
        <v>3</v>
      </c>
      <c r="U1414">
        <v>1987720.7487699999</v>
      </c>
      <c r="V1414">
        <v>5941.9198619999997</v>
      </c>
      <c r="W1414">
        <v>1413</v>
      </c>
      <c r="X1414">
        <v>0</v>
      </c>
      <c r="Y1414">
        <v>1412</v>
      </c>
      <c r="Z1414" t="s">
        <v>6966</v>
      </c>
      <c r="AA1414" t="s">
        <v>6966</v>
      </c>
      <c r="AB1414" t="s">
        <v>6966</v>
      </c>
      <c r="AC1414" t="s">
        <v>6966</v>
      </c>
      <c r="AD1414" t="s">
        <v>6966</v>
      </c>
      <c r="AE1414" t="s">
        <v>6966</v>
      </c>
      <c r="AF1414" t="s">
        <v>6966</v>
      </c>
      <c r="AG1414" t="s">
        <v>6966</v>
      </c>
      <c r="AH1414" t="s">
        <v>6966</v>
      </c>
      <c r="AI1414" t="s">
        <v>6966</v>
      </c>
      <c r="AJ1414" t="s">
        <v>6966</v>
      </c>
      <c r="AK1414" t="s">
        <v>6966</v>
      </c>
      <c r="AL1414" t="s">
        <v>6966</v>
      </c>
      <c r="AM1414" t="s">
        <v>6966</v>
      </c>
      <c r="AN1414" t="s">
        <v>6966</v>
      </c>
      <c r="AO1414" t="s">
        <v>6966</v>
      </c>
      <c r="AP1414" t="s">
        <v>6966</v>
      </c>
      <c r="AQ1414" t="s">
        <v>6966</v>
      </c>
      <c r="AR1414" t="s">
        <v>6966</v>
      </c>
      <c r="AS1414" t="s">
        <v>6966</v>
      </c>
      <c r="AT1414" t="s">
        <v>6966</v>
      </c>
      <c r="AU1414" t="s">
        <v>6966</v>
      </c>
      <c r="AV1414" t="s">
        <v>6966</v>
      </c>
      <c r="AW1414" t="s">
        <v>6966</v>
      </c>
      <c r="AX1414" t="s">
        <v>6966</v>
      </c>
      <c r="AY1414" t="s">
        <v>6966</v>
      </c>
      <c r="AZ1414">
        <v>5.8111999999999997E-2</v>
      </c>
      <c r="BA1414">
        <v>1.93E-4</v>
      </c>
    </row>
    <row r="1415" spans="1:53" x14ac:dyDescent="0.25">
      <c r="A1415">
        <v>1413</v>
      </c>
      <c r="B1415" t="s">
        <v>7625</v>
      </c>
      <c r="C1415">
        <v>802002</v>
      </c>
      <c r="D1415" t="s">
        <v>1227</v>
      </c>
      <c r="E1415" t="s">
        <v>3039</v>
      </c>
      <c r="F1415">
        <v>8880312</v>
      </c>
      <c r="G1415">
        <v>19618.013672000001</v>
      </c>
      <c r="H1415">
        <v>1415</v>
      </c>
      <c r="I1415">
        <v>1653</v>
      </c>
      <c r="J1415">
        <v>61434</v>
      </c>
      <c r="K1415" t="s">
        <v>2539</v>
      </c>
      <c r="L1415">
        <v>20</v>
      </c>
      <c r="M1415">
        <v>20</v>
      </c>
      <c r="N1415">
        <v>61434</v>
      </c>
      <c r="O1415">
        <v>1384</v>
      </c>
      <c r="P1415" t="s">
        <v>3213</v>
      </c>
      <c r="Q1415">
        <v>6.3</v>
      </c>
      <c r="R1415">
        <v>160.87</v>
      </c>
      <c r="S1415">
        <v>1.48</v>
      </c>
      <c r="T1415">
        <v>38</v>
      </c>
      <c r="U1415">
        <v>8880311.7821900006</v>
      </c>
      <c r="V1415">
        <v>19618.015206</v>
      </c>
      <c r="W1415">
        <v>1414</v>
      </c>
      <c r="X1415">
        <v>3</v>
      </c>
      <c r="Y1415">
        <v>1413</v>
      </c>
      <c r="Z1415">
        <v>55008</v>
      </c>
      <c r="AA1415" s="76">
        <v>45665</v>
      </c>
      <c r="AB1415">
        <v>2025</v>
      </c>
      <c r="AC1415" t="s">
        <v>6992</v>
      </c>
      <c r="AD1415">
        <v>8</v>
      </c>
      <c r="AE1415" t="s">
        <v>7019</v>
      </c>
      <c r="AF1415" t="s">
        <v>3213</v>
      </c>
      <c r="AG1415" t="s">
        <v>3039</v>
      </c>
      <c r="AH1415" t="s">
        <v>1227</v>
      </c>
      <c r="AI1415" t="s">
        <v>1227</v>
      </c>
      <c r="AJ1415" t="s">
        <v>6966</v>
      </c>
      <c r="AK1415">
        <v>33.405389999999997</v>
      </c>
      <c r="AL1415">
        <v>35.272829999999999</v>
      </c>
      <c r="AM1415" t="s">
        <v>7013</v>
      </c>
      <c r="AN1415" t="s">
        <v>7014</v>
      </c>
      <c r="AO1415" t="s">
        <v>7008</v>
      </c>
      <c r="AP1415" t="s">
        <v>7020</v>
      </c>
      <c r="AQ1415" t="s">
        <v>6998</v>
      </c>
      <c r="AR1415" t="s">
        <v>6999</v>
      </c>
      <c r="AS1415" t="s">
        <v>7000</v>
      </c>
      <c r="AT1415">
        <v>0</v>
      </c>
      <c r="AU1415">
        <v>0</v>
      </c>
      <c r="AV1415" t="s">
        <v>7021</v>
      </c>
      <c r="AW1415" t="s">
        <v>7018</v>
      </c>
      <c r="AX1415" t="s">
        <v>6966</v>
      </c>
      <c r="AY1415" t="s">
        <v>7003</v>
      </c>
      <c r="AZ1415">
        <v>0.18867</v>
      </c>
      <c r="BA1415">
        <v>8.5999999999999998E-4</v>
      </c>
    </row>
    <row r="1416" spans="1:53" x14ac:dyDescent="0.25">
      <c r="A1416">
        <v>1414</v>
      </c>
      <c r="B1416" t="s">
        <v>7625</v>
      </c>
      <c r="C1416">
        <v>801052</v>
      </c>
      <c r="D1416" t="s">
        <v>1404</v>
      </c>
      <c r="E1416" t="s">
        <v>1342</v>
      </c>
      <c r="F1416">
        <v>2134454.5</v>
      </c>
      <c r="G1416">
        <v>7570.4721680000002</v>
      </c>
      <c r="H1416">
        <v>1416</v>
      </c>
      <c r="I1416">
        <v>1654</v>
      </c>
      <c r="J1416">
        <v>63343</v>
      </c>
      <c r="K1416" t="s">
        <v>2678</v>
      </c>
      <c r="L1416">
        <v>22</v>
      </c>
      <c r="M1416">
        <v>22</v>
      </c>
      <c r="N1416">
        <v>63343</v>
      </c>
      <c r="O1416">
        <v>1385</v>
      </c>
      <c r="P1416" t="s">
        <v>3213</v>
      </c>
      <c r="Q1416">
        <v>0</v>
      </c>
      <c r="R1416">
        <v>0</v>
      </c>
      <c r="S1416">
        <v>0.02</v>
      </c>
      <c r="T1416">
        <v>1</v>
      </c>
      <c r="U1416">
        <v>2134454.4781300002</v>
      </c>
      <c r="V1416">
        <v>7570.4716930000004</v>
      </c>
      <c r="W1416">
        <v>1415</v>
      </c>
      <c r="X1416">
        <v>0</v>
      </c>
      <c r="Y1416">
        <v>1414</v>
      </c>
      <c r="Z1416" t="s">
        <v>6966</v>
      </c>
      <c r="AA1416" t="s">
        <v>6966</v>
      </c>
      <c r="AB1416" t="s">
        <v>6966</v>
      </c>
      <c r="AC1416" t="s">
        <v>6966</v>
      </c>
      <c r="AD1416" t="s">
        <v>6966</v>
      </c>
      <c r="AE1416" t="s">
        <v>6966</v>
      </c>
      <c r="AF1416" t="s">
        <v>6966</v>
      </c>
      <c r="AG1416" t="s">
        <v>6966</v>
      </c>
      <c r="AH1416" t="s">
        <v>6966</v>
      </c>
      <c r="AI1416" t="s">
        <v>6966</v>
      </c>
      <c r="AJ1416" t="s">
        <v>6966</v>
      </c>
      <c r="AK1416" t="s">
        <v>6966</v>
      </c>
      <c r="AL1416" t="s">
        <v>6966</v>
      </c>
      <c r="AM1416" t="s">
        <v>6966</v>
      </c>
      <c r="AN1416" t="s">
        <v>6966</v>
      </c>
      <c r="AO1416" t="s">
        <v>6966</v>
      </c>
      <c r="AP1416" t="s">
        <v>6966</v>
      </c>
      <c r="AQ1416" t="s">
        <v>6966</v>
      </c>
      <c r="AR1416" t="s">
        <v>6966</v>
      </c>
      <c r="AS1416" t="s">
        <v>6966</v>
      </c>
      <c r="AT1416" t="s">
        <v>6966</v>
      </c>
      <c r="AU1416" t="s">
        <v>6966</v>
      </c>
      <c r="AV1416" t="s">
        <v>6966</v>
      </c>
      <c r="AW1416" t="s">
        <v>6966</v>
      </c>
      <c r="AX1416" t="s">
        <v>6966</v>
      </c>
      <c r="AY1416" t="s">
        <v>6966</v>
      </c>
      <c r="AZ1416">
        <v>7.5344999999999995E-2</v>
      </c>
      <c r="BA1416">
        <v>2.0699999999999999E-4</v>
      </c>
    </row>
    <row r="1417" spans="1:53" x14ac:dyDescent="0.25">
      <c r="A1417">
        <v>1415</v>
      </c>
      <c r="B1417" t="s">
        <v>7625</v>
      </c>
      <c r="C1417">
        <v>802026</v>
      </c>
      <c r="D1417" t="s">
        <v>8113</v>
      </c>
      <c r="E1417" t="s">
        <v>3039</v>
      </c>
      <c r="F1417">
        <v>7338079.5</v>
      </c>
      <c r="G1417">
        <v>17362.789063</v>
      </c>
      <c r="H1417">
        <v>1417</v>
      </c>
      <c r="I1417">
        <v>1655</v>
      </c>
      <c r="J1417">
        <v>61436</v>
      </c>
      <c r="K1417" t="s">
        <v>8114</v>
      </c>
      <c r="L1417">
        <v>20</v>
      </c>
      <c r="M1417">
        <v>20</v>
      </c>
      <c r="N1417">
        <v>61436</v>
      </c>
      <c r="O1417">
        <v>1386</v>
      </c>
      <c r="P1417" t="s">
        <v>3213</v>
      </c>
      <c r="Q1417">
        <v>4.5999999999999996</v>
      </c>
      <c r="R1417">
        <v>168.89</v>
      </c>
      <c r="S1417">
        <v>1.0900000000000001</v>
      </c>
      <c r="T1417">
        <v>40</v>
      </c>
      <c r="U1417">
        <v>7338079.5634500002</v>
      </c>
      <c r="V1417">
        <v>17362.788952999999</v>
      </c>
      <c r="W1417">
        <v>1416</v>
      </c>
      <c r="X1417">
        <v>0</v>
      </c>
      <c r="Y1417">
        <v>1415</v>
      </c>
      <c r="Z1417" t="s">
        <v>6966</v>
      </c>
      <c r="AA1417" t="s">
        <v>6966</v>
      </c>
      <c r="AB1417" t="s">
        <v>6966</v>
      </c>
      <c r="AC1417" t="s">
        <v>6966</v>
      </c>
      <c r="AD1417" t="s">
        <v>6966</v>
      </c>
      <c r="AE1417" t="s">
        <v>6966</v>
      </c>
      <c r="AF1417" t="s">
        <v>6966</v>
      </c>
      <c r="AG1417" t="s">
        <v>6966</v>
      </c>
      <c r="AH1417" t="s">
        <v>6966</v>
      </c>
      <c r="AI1417" t="s">
        <v>6966</v>
      </c>
      <c r="AJ1417" t="s">
        <v>6966</v>
      </c>
      <c r="AK1417" t="s">
        <v>6966</v>
      </c>
      <c r="AL1417" t="s">
        <v>6966</v>
      </c>
      <c r="AM1417" t="s">
        <v>6966</v>
      </c>
      <c r="AN1417" t="s">
        <v>6966</v>
      </c>
      <c r="AO1417" t="s">
        <v>6966</v>
      </c>
      <c r="AP1417" t="s">
        <v>6966</v>
      </c>
      <c r="AQ1417" t="s">
        <v>6966</v>
      </c>
      <c r="AR1417" t="s">
        <v>6966</v>
      </c>
      <c r="AS1417" t="s">
        <v>6966</v>
      </c>
      <c r="AT1417" t="s">
        <v>6966</v>
      </c>
      <c r="AU1417" t="s">
        <v>6966</v>
      </c>
      <c r="AV1417" t="s">
        <v>6966</v>
      </c>
      <c r="AW1417" t="s">
        <v>6966</v>
      </c>
      <c r="AX1417" t="s">
        <v>6966</v>
      </c>
      <c r="AY1417" t="s">
        <v>6966</v>
      </c>
      <c r="AZ1417">
        <v>0.16947899999999999</v>
      </c>
      <c r="BA1417">
        <v>7.1100000000000004E-4</v>
      </c>
    </row>
    <row r="1418" spans="1:53" x14ac:dyDescent="0.25">
      <c r="A1418">
        <v>1416</v>
      </c>
      <c r="B1418" t="s">
        <v>7625</v>
      </c>
      <c r="C1418">
        <v>802020</v>
      </c>
      <c r="D1418" t="s">
        <v>8115</v>
      </c>
      <c r="E1418" t="s">
        <v>3039</v>
      </c>
      <c r="F1418">
        <v>3643557.5</v>
      </c>
      <c r="G1418">
        <v>9735.1796880000002</v>
      </c>
      <c r="H1418">
        <v>1418</v>
      </c>
      <c r="I1418">
        <v>1656</v>
      </c>
      <c r="J1418">
        <v>61447</v>
      </c>
      <c r="K1418" t="s">
        <v>8115</v>
      </c>
      <c r="L1418">
        <v>20</v>
      </c>
      <c r="M1418">
        <v>20</v>
      </c>
      <c r="N1418">
        <v>61447</v>
      </c>
      <c r="O1418">
        <v>1387</v>
      </c>
      <c r="P1418" t="s">
        <v>3213</v>
      </c>
      <c r="Q1418">
        <v>4.3</v>
      </c>
      <c r="R1418">
        <v>0</v>
      </c>
      <c r="S1418">
        <v>0.81</v>
      </c>
      <c r="T1418">
        <v>0</v>
      </c>
      <c r="U1418">
        <v>3643557.4164800001</v>
      </c>
      <c r="V1418">
        <v>9735.1800650000005</v>
      </c>
      <c r="W1418">
        <v>1417</v>
      </c>
      <c r="X1418">
        <v>1</v>
      </c>
      <c r="Y1418">
        <v>1416</v>
      </c>
      <c r="Z1418">
        <v>62335</v>
      </c>
      <c r="AA1418" s="76">
        <v>45792</v>
      </c>
      <c r="AB1418">
        <v>2025</v>
      </c>
      <c r="AC1418" t="s">
        <v>7215</v>
      </c>
      <c r="AD1418">
        <v>15</v>
      </c>
      <c r="AE1418" t="s">
        <v>7269</v>
      </c>
      <c r="AF1418" t="s">
        <v>3213</v>
      </c>
      <c r="AG1418" t="s">
        <v>3039</v>
      </c>
      <c r="AH1418" t="s">
        <v>7270</v>
      </c>
      <c r="AI1418" t="s">
        <v>2974</v>
      </c>
      <c r="AJ1418" t="s">
        <v>6966</v>
      </c>
      <c r="AK1418">
        <v>33.416040000000002</v>
      </c>
      <c r="AL1418">
        <v>35.356760000000001</v>
      </c>
      <c r="AM1418" t="s">
        <v>7013</v>
      </c>
      <c r="AN1418" t="s">
        <v>6995</v>
      </c>
      <c r="AO1418" t="s">
        <v>7008</v>
      </c>
      <c r="AP1418" t="s">
        <v>7271</v>
      </c>
      <c r="AQ1418" t="s">
        <v>6998</v>
      </c>
      <c r="AR1418" t="s">
        <v>6999</v>
      </c>
      <c r="AS1418" t="s">
        <v>7000</v>
      </c>
      <c r="AT1418">
        <v>0</v>
      </c>
      <c r="AU1418">
        <v>0</v>
      </c>
      <c r="AV1418" t="s">
        <v>7260</v>
      </c>
      <c r="AW1418" t="s">
        <v>7018</v>
      </c>
      <c r="AX1418" t="s">
        <v>6966</v>
      </c>
      <c r="AY1418" t="s">
        <v>7003</v>
      </c>
      <c r="AZ1418">
        <v>9.7041000000000002E-2</v>
      </c>
      <c r="BA1418">
        <v>3.5300000000000002E-4</v>
      </c>
    </row>
    <row r="1419" spans="1:53" x14ac:dyDescent="0.25">
      <c r="A1419">
        <v>1417</v>
      </c>
      <c r="B1419" t="s">
        <v>7625</v>
      </c>
      <c r="C1419">
        <v>604026</v>
      </c>
      <c r="D1419" t="s">
        <v>1423</v>
      </c>
      <c r="E1419" t="s">
        <v>6965</v>
      </c>
      <c r="F1419">
        <v>0</v>
      </c>
      <c r="G1419">
        <v>22780.341797000001</v>
      </c>
      <c r="H1419">
        <v>1419</v>
      </c>
      <c r="I1419">
        <v>1657</v>
      </c>
      <c r="J1419">
        <v>71133</v>
      </c>
      <c r="K1419" t="s">
        <v>2693</v>
      </c>
      <c r="L1419">
        <v>23</v>
      </c>
      <c r="M1419">
        <v>23</v>
      </c>
      <c r="N1419">
        <v>71133</v>
      </c>
      <c r="O1419">
        <v>1388</v>
      </c>
      <c r="P1419" t="s">
        <v>6965</v>
      </c>
      <c r="Q1419">
        <v>2.4</v>
      </c>
      <c r="R1419">
        <v>43.54</v>
      </c>
      <c r="S1419">
        <v>0.7</v>
      </c>
      <c r="T1419">
        <v>14</v>
      </c>
      <c r="U1419">
        <v>0</v>
      </c>
      <c r="V1419">
        <v>22780.342767999999</v>
      </c>
      <c r="W1419">
        <v>1418</v>
      </c>
      <c r="X1419">
        <v>1</v>
      </c>
      <c r="Y1419">
        <v>1417</v>
      </c>
      <c r="Z1419">
        <v>76608</v>
      </c>
      <c r="AA1419" s="76">
        <v>45998</v>
      </c>
      <c r="AB1419">
        <v>2025</v>
      </c>
      <c r="AC1419" t="s">
        <v>7557</v>
      </c>
      <c r="AD1419">
        <v>7</v>
      </c>
      <c r="AE1419" t="s">
        <v>7564</v>
      </c>
      <c r="AF1419" t="s">
        <v>3218</v>
      </c>
      <c r="AG1419" t="s">
        <v>3218</v>
      </c>
      <c r="AH1419" t="s">
        <v>1423</v>
      </c>
      <c r="AI1419" t="s">
        <v>1423</v>
      </c>
      <c r="AJ1419" t="s">
        <v>6966</v>
      </c>
      <c r="AK1419">
        <v>33.388640000000002</v>
      </c>
      <c r="AL1419">
        <v>35.501530000000002</v>
      </c>
      <c r="AM1419" t="s">
        <v>6995</v>
      </c>
      <c r="AN1419" t="s">
        <v>6966</v>
      </c>
      <c r="AO1419" t="s">
        <v>6996</v>
      </c>
      <c r="AP1419" t="s">
        <v>7565</v>
      </c>
      <c r="AQ1419" t="s">
        <v>6998</v>
      </c>
      <c r="AR1419" t="s">
        <v>6999</v>
      </c>
      <c r="AS1419" t="s">
        <v>7000</v>
      </c>
      <c r="AT1419">
        <v>0</v>
      </c>
      <c r="AU1419">
        <v>0</v>
      </c>
      <c r="AV1419" t="s">
        <v>7566</v>
      </c>
      <c r="AW1419" t="s">
        <v>7011</v>
      </c>
      <c r="AX1419" t="s">
        <v>6966</v>
      </c>
      <c r="AY1419" t="s">
        <v>7003</v>
      </c>
      <c r="AZ1419">
        <v>0.22298499999999999</v>
      </c>
      <c r="BA1419">
        <v>1.3649999999999999E-3</v>
      </c>
    </row>
    <row r="1420" spans="1:53" x14ac:dyDescent="0.25">
      <c r="A1420">
        <v>1418</v>
      </c>
      <c r="B1420" t="s">
        <v>7625</v>
      </c>
      <c r="C1420">
        <v>802039</v>
      </c>
      <c r="D1420" t="s">
        <v>8107</v>
      </c>
      <c r="E1420" t="s">
        <v>3039</v>
      </c>
      <c r="F1420">
        <v>1030523.5625</v>
      </c>
      <c r="G1420">
        <v>4775.0600590000004</v>
      </c>
      <c r="H1420">
        <v>1420</v>
      </c>
      <c r="I1420">
        <v>1658</v>
      </c>
      <c r="J1420">
        <v>61439</v>
      </c>
      <c r="K1420" t="s">
        <v>8107</v>
      </c>
      <c r="L1420">
        <v>20</v>
      </c>
      <c r="M1420">
        <v>20</v>
      </c>
      <c r="N1420">
        <v>61439</v>
      </c>
      <c r="O1420">
        <v>1389</v>
      </c>
      <c r="P1420" t="s">
        <v>3213</v>
      </c>
      <c r="Q1420">
        <v>11.4</v>
      </c>
      <c r="R1420">
        <v>0</v>
      </c>
      <c r="S1420">
        <v>2.44</v>
      </c>
      <c r="T1420">
        <v>24</v>
      </c>
      <c r="U1420">
        <v>1030523.58195</v>
      </c>
      <c r="V1420">
        <v>4775.0599570000004</v>
      </c>
      <c r="W1420">
        <v>1419</v>
      </c>
      <c r="X1420">
        <v>0</v>
      </c>
      <c r="Y1420">
        <v>1418</v>
      </c>
      <c r="Z1420" t="s">
        <v>6966</v>
      </c>
      <c r="AA1420" t="s">
        <v>6966</v>
      </c>
      <c r="AB1420" t="s">
        <v>6966</v>
      </c>
      <c r="AC1420" t="s">
        <v>6966</v>
      </c>
      <c r="AD1420" t="s">
        <v>6966</v>
      </c>
      <c r="AE1420" t="s">
        <v>6966</v>
      </c>
      <c r="AF1420" t="s">
        <v>6966</v>
      </c>
      <c r="AG1420" t="s">
        <v>6966</v>
      </c>
      <c r="AH1420" t="s">
        <v>6966</v>
      </c>
      <c r="AI1420" t="s">
        <v>6966</v>
      </c>
      <c r="AJ1420" t="s">
        <v>6966</v>
      </c>
      <c r="AK1420" t="s">
        <v>6966</v>
      </c>
      <c r="AL1420" t="s">
        <v>6966</v>
      </c>
      <c r="AM1420" t="s">
        <v>6966</v>
      </c>
      <c r="AN1420" t="s">
        <v>6966</v>
      </c>
      <c r="AO1420" t="s">
        <v>6966</v>
      </c>
      <c r="AP1420" t="s">
        <v>6966</v>
      </c>
      <c r="AQ1420" t="s">
        <v>6966</v>
      </c>
      <c r="AR1420" t="s">
        <v>6966</v>
      </c>
      <c r="AS1420" t="s">
        <v>6966</v>
      </c>
      <c r="AT1420" t="s">
        <v>6966</v>
      </c>
      <c r="AU1420" t="s">
        <v>6966</v>
      </c>
      <c r="AV1420" t="s">
        <v>6966</v>
      </c>
      <c r="AW1420" t="s">
        <v>6966</v>
      </c>
      <c r="AX1420" t="s">
        <v>6966</v>
      </c>
      <c r="AY1420" t="s">
        <v>6966</v>
      </c>
      <c r="AZ1420">
        <v>4.7534E-2</v>
      </c>
      <c r="BA1420">
        <v>1E-4</v>
      </c>
    </row>
    <row r="1421" spans="1:53" x14ac:dyDescent="0.25">
      <c r="A1421">
        <v>1419</v>
      </c>
      <c r="B1421" t="s">
        <v>7625</v>
      </c>
      <c r="C1421">
        <v>604030</v>
      </c>
      <c r="D1421" t="s">
        <v>1427</v>
      </c>
      <c r="E1421" t="s">
        <v>6965</v>
      </c>
      <c r="F1421">
        <v>6849318.5</v>
      </c>
      <c r="G1421">
        <v>18103.958984000001</v>
      </c>
      <c r="H1421">
        <v>1421</v>
      </c>
      <c r="I1421">
        <v>1659</v>
      </c>
      <c r="J1421">
        <v>71177</v>
      </c>
      <c r="K1421" t="s">
        <v>1878</v>
      </c>
      <c r="L1421">
        <v>23</v>
      </c>
      <c r="M1421">
        <v>23</v>
      </c>
      <c r="N1421">
        <v>71177</v>
      </c>
      <c r="O1421">
        <v>1390</v>
      </c>
      <c r="P1421" t="s">
        <v>6965</v>
      </c>
      <c r="Q1421">
        <v>2.4</v>
      </c>
      <c r="R1421">
        <v>42.88</v>
      </c>
      <c r="S1421">
        <v>0.51</v>
      </c>
      <c r="T1421">
        <v>9</v>
      </c>
      <c r="U1421">
        <v>6849318.4324599998</v>
      </c>
      <c r="V1421">
        <v>18103.960706000002</v>
      </c>
      <c r="W1421">
        <v>1420</v>
      </c>
      <c r="X1421">
        <v>0</v>
      </c>
      <c r="Y1421">
        <v>1419</v>
      </c>
      <c r="Z1421" t="s">
        <v>6966</v>
      </c>
      <c r="AA1421" t="s">
        <v>6966</v>
      </c>
      <c r="AB1421" t="s">
        <v>6966</v>
      </c>
      <c r="AC1421" t="s">
        <v>6966</v>
      </c>
      <c r="AD1421" t="s">
        <v>6966</v>
      </c>
      <c r="AE1421" t="s">
        <v>6966</v>
      </c>
      <c r="AF1421" t="s">
        <v>6966</v>
      </c>
      <c r="AG1421" t="s">
        <v>6966</v>
      </c>
      <c r="AH1421" t="s">
        <v>6966</v>
      </c>
      <c r="AI1421" t="s">
        <v>6966</v>
      </c>
      <c r="AJ1421" t="s">
        <v>6966</v>
      </c>
      <c r="AK1421" t="s">
        <v>6966</v>
      </c>
      <c r="AL1421" t="s">
        <v>6966</v>
      </c>
      <c r="AM1421" t="s">
        <v>6966</v>
      </c>
      <c r="AN1421" t="s">
        <v>6966</v>
      </c>
      <c r="AO1421" t="s">
        <v>6966</v>
      </c>
      <c r="AP1421" t="s">
        <v>6966</v>
      </c>
      <c r="AQ1421" t="s">
        <v>6966</v>
      </c>
      <c r="AR1421" t="s">
        <v>6966</v>
      </c>
      <c r="AS1421" t="s">
        <v>6966</v>
      </c>
      <c r="AT1421" t="s">
        <v>6966</v>
      </c>
      <c r="AU1421" t="s">
        <v>6966</v>
      </c>
      <c r="AV1421" t="s">
        <v>6966</v>
      </c>
      <c r="AW1421" t="s">
        <v>6966</v>
      </c>
      <c r="AX1421" t="s">
        <v>6966</v>
      </c>
      <c r="AY1421" t="s">
        <v>6966</v>
      </c>
      <c r="AZ1421">
        <v>0.180446</v>
      </c>
      <c r="BA1421">
        <v>6.6399999999999999E-4</v>
      </c>
    </row>
    <row r="1422" spans="1:53" x14ac:dyDescent="0.25">
      <c r="A1422">
        <v>1420</v>
      </c>
      <c r="B1422" t="s">
        <v>7625</v>
      </c>
      <c r="C1422">
        <v>604012</v>
      </c>
      <c r="D1422" t="s">
        <v>8116</v>
      </c>
      <c r="E1422" t="s">
        <v>6965</v>
      </c>
      <c r="F1422">
        <v>5316696.5</v>
      </c>
      <c r="G1422">
        <v>15742.493164</v>
      </c>
      <c r="H1422">
        <v>1422</v>
      </c>
      <c r="I1422">
        <v>1660</v>
      </c>
      <c r="J1422">
        <v>71321</v>
      </c>
      <c r="K1422" t="s">
        <v>8117</v>
      </c>
      <c r="L1422">
        <v>23</v>
      </c>
      <c r="M1422">
        <v>23</v>
      </c>
      <c r="N1422">
        <v>71321</v>
      </c>
      <c r="O1422">
        <v>1391</v>
      </c>
      <c r="P1422" t="s">
        <v>6965</v>
      </c>
      <c r="Q1422">
        <v>3.9</v>
      </c>
      <c r="R1422">
        <v>65.55</v>
      </c>
      <c r="S1422">
        <v>1.17</v>
      </c>
      <c r="T1422">
        <v>20</v>
      </c>
      <c r="U1422">
        <v>5316696.3391399998</v>
      </c>
      <c r="V1422">
        <v>15742.494275999999</v>
      </c>
      <c r="W1422">
        <v>1421</v>
      </c>
      <c r="X1422">
        <v>0</v>
      </c>
      <c r="Y1422">
        <v>1420</v>
      </c>
      <c r="Z1422" t="s">
        <v>6966</v>
      </c>
      <c r="AA1422" t="s">
        <v>6966</v>
      </c>
      <c r="AB1422" t="s">
        <v>6966</v>
      </c>
      <c r="AC1422" t="s">
        <v>6966</v>
      </c>
      <c r="AD1422" t="s">
        <v>6966</v>
      </c>
      <c r="AE1422" t="s">
        <v>6966</v>
      </c>
      <c r="AF1422" t="s">
        <v>6966</v>
      </c>
      <c r="AG1422" t="s">
        <v>6966</v>
      </c>
      <c r="AH1422" t="s">
        <v>6966</v>
      </c>
      <c r="AI1422" t="s">
        <v>6966</v>
      </c>
      <c r="AJ1422" t="s">
        <v>6966</v>
      </c>
      <c r="AK1422" t="s">
        <v>6966</v>
      </c>
      <c r="AL1422" t="s">
        <v>6966</v>
      </c>
      <c r="AM1422" t="s">
        <v>6966</v>
      </c>
      <c r="AN1422" t="s">
        <v>6966</v>
      </c>
      <c r="AO1422" t="s">
        <v>6966</v>
      </c>
      <c r="AP1422" t="s">
        <v>6966</v>
      </c>
      <c r="AQ1422" t="s">
        <v>6966</v>
      </c>
      <c r="AR1422" t="s">
        <v>6966</v>
      </c>
      <c r="AS1422" t="s">
        <v>6966</v>
      </c>
      <c r="AT1422" t="s">
        <v>6966</v>
      </c>
      <c r="AU1422" t="s">
        <v>6966</v>
      </c>
      <c r="AV1422" t="s">
        <v>6966</v>
      </c>
      <c r="AW1422" t="s">
        <v>6966</v>
      </c>
      <c r="AX1422" t="s">
        <v>6966</v>
      </c>
      <c r="AY1422" t="s">
        <v>6966</v>
      </c>
      <c r="AZ1422">
        <v>0.157364</v>
      </c>
      <c r="BA1422">
        <v>5.1500000000000005E-4</v>
      </c>
    </row>
    <row r="1423" spans="1:53" x14ac:dyDescent="0.25">
      <c r="A1423">
        <v>1421</v>
      </c>
      <c r="B1423" t="s">
        <v>7625</v>
      </c>
      <c r="C1423">
        <v>602004</v>
      </c>
      <c r="D1423" t="s">
        <v>1555</v>
      </c>
      <c r="E1423" t="s">
        <v>1541</v>
      </c>
      <c r="F1423">
        <v>5469685</v>
      </c>
      <c r="G1423">
        <v>11901.144531</v>
      </c>
      <c r="H1423">
        <v>1423</v>
      </c>
      <c r="I1423">
        <v>1661</v>
      </c>
      <c r="J1423">
        <v>74155</v>
      </c>
      <c r="K1423" t="s">
        <v>2795</v>
      </c>
      <c r="L1423">
        <v>26</v>
      </c>
      <c r="M1423">
        <v>26</v>
      </c>
      <c r="N1423">
        <v>74155</v>
      </c>
      <c r="O1423">
        <v>1392</v>
      </c>
      <c r="P1423" t="s">
        <v>6965</v>
      </c>
      <c r="Q1423">
        <v>0.1</v>
      </c>
      <c r="R1423">
        <v>0</v>
      </c>
      <c r="S1423">
        <v>0.02</v>
      </c>
      <c r="T1423">
        <v>0</v>
      </c>
      <c r="U1423">
        <v>5469684.8274800004</v>
      </c>
      <c r="V1423">
        <v>11901.145176</v>
      </c>
      <c r="W1423">
        <v>1422</v>
      </c>
      <c r="X1423">
        <v>0</v>
      </c>
      <c r="Y1423">
        <v>1421</v>
      </c>
      <c r="Z1423" t="s">
        <v>6966</v>
      </c>
      <c r="AA1423" t="s">
        <v>6966</v>
      </c>
      <c r="AB1423" t="s">
        <v>6966</v>
      </c>
      <c r="AC1423" t="s">
        <v>6966</v>
      </c>
      <c r="AD1423" t="s">
        <v>6966</v>
      </c>
      <c r="AE1423" t="s">
        <v>6966</v>
      </c>
      <c r="AF1423" t="s">
        <v>6966</v>
      </c>
      <c r="AG1423" t="s">
        <v>6966</v>
      </c>
      <c r="AH1423" t="s">
        <v>6966</v>
      </c>
      <c r="AI1423" t="s">
        <v>6966</v>
      </c>
      <c r="AJ1423" t="s">
        <v>6966</v>
      </c>
      <c r="AK1423" t="s">
        <v>6966</v>
      </c>
      <c r="AL1423" t="s">
        <v>6966</v>
      </c>
      <c r="AM1423" t="s">
        <v>6966</v>
      </c>
      <c r="AN1423" t="s">
        <v>6966</v>
      </c>
      <c r="AO1423" t="s">
        <v>6966</v>
      </c>
      <c r="AP1423" t="s">
        <v>6966</v>
      </c>
      <c r="AQ1423" t="s">
        <v>6966</v>
      </c>
      <c r="AR1423" t="s">
        <v>6966</v>
      </c>
      <c r="AS1423" t="s">
        <v>6966</v>
      </c>
      <c r="AT1423" t="s">
        <v>6966</v>
      </c>
      <c r="AU1423" t="s">
        <v>6966</v>
      </c>
      <c r="AV1423" t="s">
        <v>6966</v>
      </c>
      <c r="AW1423" t="s">
        <v>6966</v>
      </c>
      <c r="AX1423" t="s">
        <v>6966</v>
      </c>
      <c r="AY1423" t="s">
        <v>6966</v>
      </c>
      <c r="AZ1423">
        <v>0.116897</v>
      </c>
      <c r="BA1423">
        <v>5.2999999999999998E-4</v>
      </c>
    </row>
    <row r="1424" spans="1:53" x14ac:dyDescent="0.25">
      <c r="A1424">
        <v>1422</v>
      </c>
      <c r="B1424" t="s">
        <v>7625</v>
      </c>
      <c r="C1424">
        <v>602016</v>
      </c>
      <c r="D1424" t="s">
        <v>1558</v>
      </c>
      <c r="E1424" t="s">
        <v>1541</v>
      </c>
      <c r="F1424">
        <v>0</v>
      </c>
      <c r="G1424">
        <v>22754.726563</v>
      </c>
      <c r="H1424">
        <v>1424</v>
      </c>
      <c r="I1424">
        <v>1662</v>
      </c>
      <c r="J1424">
        <v>74168</v>
      </c>
      <c r="K1424" t="s">
        <v>2798</v>
      </c>
      <c r="L1424">
        <v>26</v>
      </c>
      <c r="M1424">
        <v>26</v>
      </c>
      <c r="N1424">
        <v>74168</v>
      </c>
      <c r="O1424">
        <v>1393</v>
      </c>
      <c r="P1424" t="s">
        <v>6965</v>
      </c>
      <c r="Q1424">
        <v>0.6</v>
      </c>
      <c r="R1424">
        <v>89.48</v>
      </c>
      <c r="S1424">
        <v>0.16</v>
      </c>
      <c r="T1424">
        <v>23</v>
      </c>
      <c r="U1424">
        <v>0</v>
      </c>
      <c r="V1424">
        <v>22754.725870999999</v>
      </c>
      <c r="W1424">
        <v>1423</v>
      </c>
      <c r="X1424">
        <v>0</v>
      </c>
      <c r="Y1424">
        <v>1422</v>
      </c>
      <c r="Z1424" t="s">
        <v>6966</v>
      </c>
      <c r="AA1424" t="s">
        <v>6966</v>
      </c>
      <c r="AB1424" t="s">
        <v>6966</v>
      </c>
      <c r="AC1424" t="s">
        <v>6966</v>
      </c>
      <c r="AD1424" t="s">
        <v>6966</v>
      </c>
      <c r="AE1424" t="s">
        <v>6966</v>
      </c>
      <c r="AF1424" t="s">
        <v>6966</v>
      </c>
      <c r="AG1424" t="s">
        <v>6966</v>
      </c>
      <c r="AH1424" t="s">
        <v>6966</v>
      </c>
      <c r="AI1424" t="s">
        <v>6966</v>
      </c>
      <c r="AJ1424" t="s">
        <v>6966</v>
      </c>
      <c r="AK1424" t="s">
        <v>6966</v>
      </c>
      <c r="AL1424" t="s">
        <v>6966</v>
      </c>
      <c r="AM1424" t="s">
        <v>6966</v>
      </c>
      <c r="AN1424" t="s">
        <v>6966</v>
      </c>
      <c r="AO1424" t="s">
        <v>6966</v>
      </c>
      <c r="AP1424" t="s">
        <v>6966</v>
      </c>
      <c r="AQ1424" t="s">
        <v>6966</v>
      </c>
      <c r="AR1424" t="s">
        <v>6966</v>
      </c>
      <c r="AS1424" t="s">
        <v>6966</v>
      </c>
      <c r="AT1424" t="s">
        <v>6966</v>
      </c>
      <c r="AU1424" t="s">
        <v>6966</v>
      </c>
      <c r="AV1424" t="s">
        <v>6966</v>
      </c>
      <c r="AW1424" t="s">
        <v>6966</v>
      </c>
      <c r="AX1424" t="s">
        <v>6966</v>
      </c>
      <c r="AY1424" t="s">
        <v>6966</v>
      </c>
      <c r="AZ1424">
        <v>0.22587499999999999</v>
      </c>
      <c r="BA1424">
        <v>1.6490000000000001E-3</v>
      </c>
    </row>
    <row r="1425" spans="1:53" x14ac:dyDescent="0.25">
      <c r="A1425">
        <v>1423</v>
      </c>
      <c r="B1425" t="s">
        <v>7625</v>
      </c>
      <c r="C1425">
        <v>801004</v>
      </c>
      <c r="D1425" t="s">
        <v>8118</v>
      </c>
      <c r="E1425" t="s">
        <v>1342</v>
      </c>
      <c r="F1425">
        <v>0</v>
      </c>
      <c r="G1425">
        <v>19584.015625</v>
      </c>
      <c r="H1425">
        <v>1425</v>
      </c>
      <c r="I1425">
        <v>1663</v>
      </c>
      <c r="J1425">
        <v>63355</v>
      </c>
      <c r="K1425" t="s">
        <v>8119</v>
      </c>
      <c r="L1425">
        <v>22</v>
      </c>
      <c r="M1425">
        <v>22</v>
      </c>
      <c r="N1425">
        <v>63355</v>
      </c>
      <c r="O1425">
        <v>1394</v>
      </c>
      <c r="P1425" t="s">
        <v>3213</v>
      </c>
      <c r="Q1425">
        <v>0.3</v>
      </c>
      <c r="R1425">
        <v>20.6</v>
      </c>
      <c r="S1425">
        <v>0.19</v>
      </c>
      <c r="T1425">
        <v>12</v>
      </c>
      <c r="U1425">
        <v>0</v>
      </c>
      <c r="V1425">
        <v>19584.017632999999</v>
      </c>
      <c r="W1425">
        <v>1424</v>
      </c>
      <c r="X1425">
        <v>0</v>
      </c>
      <c r="Y1425">
        <v>1423</v>
      </c>
      <c r="Z1425" t="s">
        <v>6966</v>
      </c>
      <c r="AA1425" t="s">
        <v>6966</v>
      </c>
      <c r="AB1425" t="s">
        <v>6966</v>
      </c>
      <c r="AC1425" t="s">
        <v>6966</v>
      </c>
      <c r="AD1425" t="s">
        <v>6966</v>
      </c>
      <c r="AE1425" t="s">
        <v>6966</v>
      </c>
      <c r="AF1425" t="s">
        <v>6966</v>
      </c>
      <c r="AG1425" t="s">
        <v>6966</v>
      </c>
      <c r="AH1425" t="s">
        <v>6966</v>
      </c>
      <c r="AI1425" t="s">
        <v>6966</v>
      </c>
      <c r="AJ1425" t="s">
        <v>6966</v>
      </c>
      <c r="AK1425" t="s">
        <v>6966</v>
      </c>
      <c r="AL1425" t="s">
        <v>6966</v>
      </c>
      <c r="AM1425" t="s">
        <v>6966</v>
      </c>
      <c r="AN1425" t="s">
        <v>6966</v>
      </c>
      <c r="AO1425" t="s">
        <v>6966</v>
      </c>
      <c r="AP1425" t="s">
        <v>6966</v>
      </c>
      <c r="AQ1425" t="s">
        <v>6966</v>
      </c>
      <c r="AR1425" t="s">
        <v>6966</v>
      </c>
      <c r="AS1425" t="s">
        <v>6966</v>
      </c>
      <c r="AT1425" t="s">
        <v>6966</v>
      </c>
      <c r="AU1425" t="s">
        <v>6966</v>
      </c>
      <c r="AV1425" t="s">
        <v>6966</v>
      </c>
      <c r="AW1425" t="s">
        <v>6966</v>
      </c>
      <c r="AX1425" t="s">
        <v>6966</v>
      </c>
      <c r="AY1425" t="s">
        <v>6966</v>
      </c>
      <c r="AZ1425">
        <v>0.190743</v>
      </c>
      <c r="BA1425">
        <v>1.0839999999999999E-3</v>
      </c>
    </row>
    <row r="1426" spans="1:53" x14ac:dyDescent="0.25">
      <c r="A1426">
        <v>1424</v>
      </c>
      <c r="B1426" t="s">
        <v>7625</v>
      </c>
      <c r="C1426">
        <v>801049</v>
      </c>
      <c r="D1426" t="s">
        <v>8120</v>
      </c>
      <c r="E1426" t="s">
        <v>1342</v>
      </c>
      <c r="F1426">
        <v>1932227.375</v>
      </c>
      <c r="G1426">
        <v>6808.9365230000003</v>
      </c>
      <c r="H1426">
        <v>1426</v>
      </c>
      <c r="I1426">
        <v>1664</v>
      </c>
      <c r="J1426">
        <v>63348</v>
      </c>
      <c r="K1426" t="s">
        <v>8120</v>
      </c>
      <c r="L1426">
        <v>22</v>
      </c>
      <c r="M1426">
        <v>22</v>
      </c>
      <c r="N1426">
        <v>63348</v>
      </c>
      <c r="O1426">
        <v>1395</v>
      </c>
      <c r="P1426" t="s">
        <v>3213</v>
      </c>
      <c r="Q1426">
        <v>0</v>
      </c>
      <c r="R1426">
        <v>0</v>
      </c>
      <c r="S1426">
        <v>0.03</v>
      </c>
      <c r="T1426">
        <v>0</v>
      </c>
      <c r="U1426">
        <v>1932227.4556</v>
      </c>
      <c r="V1426">
        <v>6808.9369379999998</v>
      </c>
      <c r="W1426">
        <v>1425</v>
      </c>
      <c r="X1426">
        <v>0</v>
      </c>
      <c r="Y1426">
        <v>1424</v>
      </c>
      <c r="Z1426" t="s">
        <v>6966</v>
      </c>
      <c r="AA1426" t="s">
        <v>6966</v>
      </c>
      <c r="AB1426" t="s">
        <v>6966</v>
      </c>
      <c r="AC1426" t="s">
        <v>6966</v>
      </c>
      <c r="AD1426" t="s">
        <v>6966</v>
      </c>
      <c r="AE1426" t="s">
        <v>6966</v>
      </c>
      <c r="AF1426" t="s">
        <v>6966</v>
      </c>
      <c r="AG1426" t="s">
        <v>6966</v>
      </c>
      <c r="AH1426" t="s">
        <v>6966</v>
      </c>
      <c r="AI1426" t="s">
        <v>6966</v>
      </c>
      <c r="AJ1426" t="s">
        <v>6966</v>
      </c>
      <c r="AK1426" t="s">
        <v>6966</v>
      </c>
      <c r="AL1426" t="s">
        <v>6966</v>
      </c>
      <c r="AM1426" t="s">
        <v>6966</v>
      </c>
      <c r="AN1426" t="s">
        <v>6966</v>
      </c>
      <c r="AO1426" t="s">
        <v>6966</v>
      </c>
      <c r="AP1426" t="s">
        <v>6966</v>
      </c>
      <c r="AQ1426" t="s">
        <v>6966</v>
      </c>
      <c r="AR1426" t="s">
        <v>6966</v>
      </c>
      <c r="AS1426" t="s">
        <v>6966</v>
      </c>
      <c r="AT1426" t="s">
        <v>6966</v>
      </c>
      <c r="AU1426" t="s">
        <v>6966</v>
      </c>
      <c r="AV1426" t="s">
        <v>6966</v>
      </c>
      <c r="AW1426" t="s">
        <v>6966</v>
      </c>
      <c r="AX1426" t="s">
        <v>6966</v>
      </c>
      <c r="AY1426" t="s">
        <v>6966</v>
      </c>
      <c r="AZ1426">
        <v>6.7172999999999997E-2</v>
      </c>
      <c r="BA1426">
        <v>1.8699999999999999E-4</v>
      </c>
    </row>
    <row r="1427" spans="1:53" x14ac:dyDescent="0.25">
      <c r="A1427">
        <v>1425</v>
      </c>
      <c r="B1427" t="s">
        <v>7625</v>
      </c>
      <c r="C1427">
        <v>604016</v>
      </c>
      <c r="D1427" t="s">
        <v>1425</v>
      </c>
      <c r="E1427" t="s">
        <v>6965</v>
      </c>
      <c r="F1427">
        <v>8608715</v>
      </c>
      <c r="G1427">
        <v>15895.484375</v>
      </c>
      <c r="H1427">
        <v>1427</v>
      </c>
      <c r="I1427">
        <v>1665</v>
      </c>
      <c r="J1427">
        <v>71155</v>
      </c>
      <c r="K1427" t="s">
        <v>2694</v>
      </c>
      <c r="L1427">
        <v>23</v>
      </c>
      <c r="M1427">
        <v>23</v>
      </c>
      <c r="N1427">
        <v>71155</v>
      </c>
      <c r="O1427">
        <v>1396</v>
      </c>
      <c r="P1427" t="s">
        <v>6965</v>
      </c>
      <c r="Q1427">
        <v>7.7</v>
      </c>
      <c r="R1427">
        <v>42.54</v>
      </c>
      <c r="S1427">
        <v>2.04</v>
      </c>
      <c r="T1427">
        <v>11</v>
      </c>
      <c r="U1427">
        <v>8608714.9638599996</v>
      </c>
      <c r="V1427">
        <v>15895.484506000001</v>
      </c>
      <c r="W1427">
        <v>1426</v>
      </c>
      <c r="X1427">
        <v>1</v>
      </c>
      <c r="Y1427">
        <v>1425</v>
      </c>
      <c r="Z1427">
        <v>65014</v>
      </c>
      <c r="AA1427" s="76">
        <v>45839</v>
      </c>
      <c r="AB1427">
        <v>2025</v>
      </c>
      <c r="AC1427" t="s">
        <v>7313</v>
      </c>
      <c r="AD1427">
        <v>1</v>
      </c>
      <c r="AE1427" t="s">
        <v>7316</v>
      </c>
      <c r="AF1427" t="s">
        <v>3218</v>
      </c>
      <c r="AG1427" t="s">
        <v>3218</v>
      </c>
      <c r="AH1427" t="s">
        <v>1425</v>
      </c>
      <c r="AI1427" t="s">
        <v>7317</v>
      </c>
      <c r="AJ1427" t="s">
        <v>6966</v>
      </c>
      <c r="AK1427">
        <v>33.407229999999998</v>
      </c>
      <c r="AL1427">
        <v>35.483330000000002</v>
      </c>
      <c r="AM1427" t="s">
        <v>7013</v>
      </c>
      <c r="AN1427" t="s">
        <v>6995</v>
      </c>
      <c r="AO1427" t="s">
        <v>7008</v>
      </c>
      <c r="AP1427" t="s">
        <v>7318</v>
      </c>
      <c r="AQ1427" t="s">
        <v>6998</v>
      </c>
      <c r="AR1427" t="s">
        <v>6999</v>
      </c>
      <c r="AS1427" t="s">
        <v>7000</v>
      </c>
      <c r="AT1427">
        <v>0</v>
      </c>
      <c r="AU1427">
        <v>0</v>
      </c>
      <c r="AV1427" t="s">
        <v>8121</v>
      </c>
      <c r="AW1427" t="s">
        <v>7119</v>
      </c>
      <c r="AX1427" t="s">
        <v>6966</v>
      </c>
      <c r="AY1427" t="s">
        <v>7003</v>
      </c>
      <c r="AZ1427">
        <v>0.15873399999999999</v>
      </c>
      <c r="BA1427">
        <v>8.34E-4</v>
      </c>
    </row>
    <row r="1428" spans="1:53" x14ac:dyDescent="0.25">
      <c r="A1428">
        <v>1426</v>
      </c>
      <c r="B1428" t="s">
        <v>7625</v>
      </c>
      <c r="C1428">
        <v>802033</v>
      </c>
      <c r="D1428" t="s">
        <v>1234</v>
      </c>
      <c r="E1428" t="s">
        <v>3039</v>
      </c>
      <c r="F1428">
        <v>4813147.5</v>
      </c>
      <c r="G1428">
        <v>10741.478515999999</v>
      </c>
      <c r="H1428">
        <v>1428</v>
      </c>
      <c r="I1428">
        <v>1666</v>
      </c>
      <c r="J1428">
        <v>61446</v>
      </c>
      <c r="K1428" t="s">
        <v>1234</v>
      </c>
      <c r="L1428">
        <v>20</v>
      </c>
      <c r="M1428">
        <v>20</v>
      </c>
      <c r="N1428">
        <v>61446</v>
      </c>
      <c r="O1428">
        <v>1397</v>
      </c>
      <c r="P1428" t="s">
        <v>3213</v>
      </c>
      <c r="Q1428">
        <v>1.2</v>
      </c>
      <c r="R1428">
        <v>49.09</v>
      </c>
      <c r="S1428">
        <v>0.48</v>
      </c>
      <c r="T1428">
        <v>20</v>
      </c>
      <c r="U1428">
        <v>4813147.2469699997</v>
      </c>
      <c r="V1428">
        <v>10741.479165999999</v>
      </c>
      <c r="W1428">
        <v>1427</v>
      </c>
      <c r="X1428">
        <v>0</v>
      </c>
      <c r="Y1428">
        <v>1426</v>
      </c>
      <c r="Z1428" t="s">
        <v>6966</v>
      </c>
      <c r="AA1428" t="s">
        <v>6966</v>
      </c>
      <c r="AB1428" t="s">
        <v>6966</v>
      </c>
      <c r="AC1428" t="s">
        <v>6966</v>
      </c>
      <c r="AD1428" t="s">
        <v>6966</v>
      </c>
      <c r="AE1428" t="s">
        <v>6966</v>
      </c>
      <c r="AF1428" t="s">
        <v>6966</v>
      </c>
      <c r="AG1428" t="s">
        <v>6966</v>
      </c>
      <c r="AH1428" t="s">
        <v>6966</v>
      </c>
      <c r="AI1428" t="s">
        <v>6966</v>
      </c>
      <c r="AJ1428" t="s">
        <v>6966</v>
      </c>
      <c r="AK1428" t="s">
        <v>6966</v>
      </c>
      <c r="AL1428" t="s">
        <v>6966</v>
      </c>
      <c r="AM1428" t="s">
        <v>6966</v>
      </c>
      <c r="AN1428" t="s">
        <v>6966</v>
      </c>
      <c r="AO1428" t="s">
        <v>6966</v>
      </c>
      <c r="AP1428" t="s">
        <v>6966</v>
      </c>
      <c r="AQ1428" t="s">
        <v>6966</v>
      </c>
      <c r="AR1428" t="s">
        <v>6966</v>
      </c>
      <c r="AS1428" t="s">
        <v>6966</v>
      </c>
      <c r="AT1428" t="s">
        <v>6966</v>
      </c>
      <c r="AU1428" t="s">
        <v>6966</v>
      </c>
      <c r="AV1428" t="s">
        <v>6966</v>
      </c>
      <c r="AW1428" t="s">
        <v>6966</v>
      </c>
      <c r="AX1428" t="s">
        <v>6966</v>
      </c>
      <c r="AY1428" t="s">
        <v>6966</v>
      </c>
      <c r="AZ1428">
        <v>0.10735500000000001</v>
      </c>
      <c r="BA1428">
        <v>4.66E-4</v>
      </c>
    </row>
    <row r="1429" spans="1:53" x14ac:dyDescent="0.25">
      <c r="A1429">
        <v>1427</v>
      </c>
      <c r="B1429" t="s">
        <v>7625</v>
      </c>
      <c r="C1429">
        <v>801045</v>
      </c>
      <c r="D1429" t="s">
        <v>1411</v>
      </c>
      <c r="E1429" t="s">
        <v>1342</v>
      </c>
      <c r="F1429">
        <v>1809336.875</v>
      </c>
      <c r="G1429">
        <v>7391.6054690000001</v>
      </c>
      <c r="H1429">
        <v>1429</v>
      </c>
      <c r="I1429">
        <v>1667</v>
      </c>
      <c r="J1429">
        <v>63367</v>
      </c>
      <c r="K1429" t="s">
        <v>2684</v>
      </c>
      <c r="L1429">
        <v>22</v>
      </c>
      <c r="M1429">
        <v>22</v>
      </c>
      <c r="N1429">
        <v>63367</v>
      </c>
      <c r="O1429">
        <v>1398</v>
      </c>
      <c r="P1429" t="s">
        <v>3213</v>
      </c>
      <c r="Q1429">
        <v>0</v>
      </c>
      <c r="R1429">
        <v>0</v>
      </c>
      <c r="S1429">
        <v>0.02</v>
      </c>
      <c r="T1429">
        <v>1</v>
      </c>
      <c r="U1429">
        <v>1809336.9421600001</v>
      </c>
      <c r="V1429">
        <v>7391.6052719999998</v>
      </c>
      <c r="W1429">
        <v>1428</v>
      </c>
      <c r="X1429">
        <v>0</v>
      </c>
      <c r="Y1429">
        <v>1427</v>
      </c>
      <c r="Z1429" t="s">
        <v>6966</v>
      </c>
      <c r="AA1429" t="s">
        <v>6966</v>
      </c>
      <c r="AB1429" t="s">
        <v>6966</v>
      </c>
      <c r="AC1429" t="s">
        <v>6966</v>
      </c>
      <c r="AD1429" t="s">
        <v>6966</v>
      </c>
      <c r="AE1429" t="s">
        <v>6966</v>
      </c>
      <c r="AF1429" t="s">
        <v>6966</v>
      </c>
      <c r="AG1429" t="s">
        <v>6966</v>
      </c>
      <c r="AH1429" t="s">
        <v>6966</v>
      </c>
      <c r="AI1429" t="s">
        <v>6966</v>
      </c>
      <c r="AJ1429" t="s">
        <v>6966</v>
      </c>
      <c r="AK1429" t="s">
        <v>6966</v>
      </c>
      <c r="AL1429" t="s">
        <v>6966</v>
      </c>
      <c r="AM1429" t="s">
        <v>6966</v>
      </c>
      <c r="AN1429" t="s">
        <v>6966</v>
      </c>
      <c r="AO1429" t="s">
        <v>6966</v>
      </c>
      <c r="AP1429" t="s">
        <v>6966</v>
      </c>
      <c r="AQ1429" t="s">
        <v>6966</v>
      </c>
      <c r="AR1429" t="s">
        <v>6966</v>
      </c>
      <c r="AS1429" t="s">
        <v>6966</v>
      </c>
      <c r="AT1429" t="s">
        <v>6966</v>
      </c>
      <c r="AU1429" t="s">
        <v>6966</v>
      </c>
      <c r="AV1429" t="s">
        <v>6966</v>
      </c>
      <c r="AW1429" t="s">
        <v>6966</v>
      </c>
      <c r="AX1429" t="s">
        <v>6966</v>
      </c>
      <c r="AY1429" t="s">
        <v>6966</v>
      </c>
      <c r="AZ1429">
        <v>7.1816000000000005E-2</v>
      </c>
      <c r="BA1429">
        <v>1.75E-4</v>
      </c>
    </row>
    <row r="1430" spans="1:53" x14ac:dyDescent="0.25">
      <c r="A1430">
        <v>1428</v>
      </c>
      <c r="B1430" t="s">
        <v>7625</v>
      </c>
      <c r="C1430">
        <v>602012</v>
      </c>
      <c r="D1430" t="s">
        <v>1553</v>
      </c>
      <c r="E1430" t="s">
        <v>1541</v>
      </c>
      <c r="F1430">
        <v>0</v>
      </c>
      <c r="G1430">
        <v>18342.169922000001</v>
      </c>
      <c r="H1430">
        <v>1430</v>
      </c>
      <c r="I1430">
        <v>1668</v>
      </c>
      <c r="J1430">
        <v>74133</v>
      </c>
      <c r="K1430" t="s">
        <v>2494</v>
      </c>
      <c r="L1430">
        <v>26</v>
      </c>
      <c r="M1430">
        <v>26</v>
      </c>
      <c r="N1430">
        <v>74133</v>
      </c>
      <c r="O1430">
        <v>1399</v>
      </c>
      <c r="P1430" t="s">
        <v>6965</v>
      </c>
      <c r="Q1430">
        <v>0.8</v>
      </c>
      <c r="R1430">
        <v>28.8</v>
      </c>
      <c r="S1430">
        <v>0.16</v>
      </c>
      <c r="T1430">
        <v>6</v>
      </c>
      <c r="U1430">
        <v>0</v>
      </c>
      <c r="V1430">
        <v>18342.169758</v>
      </c>
      <c r="W1430">
        <v>1429</v>
      </c>
      <c r="X1430">
        <v>0</v>
      </c>
      <c r="Y1430">
        <v>1428</v>
      </c>
      <c r="Z1430" t="s">
        <v>6966</v>
      </c>
      <c r="AA1430" t="s">
        <v>6966</v>
      </c>
      <c r="AB1430" t="s">
        <v>6966</v>
      </c>
      <c r="AC1430" t="s">
        <v>6966</v>
      </c>
      <c r="AD1430" t="s">
        <v>6966</v>
      </c>
      <c r="AE1430" t="s">
        <v>6966</v>
      </c>
      <c r="AF1430" t="s">
        <v>6966</v>
      </c>
      <c r="AG1430" t="s">
        <v>6966</v>
      </c>
      <c r="AH1430" t="s">
        <v>6966</v>
      </c>
      <c r="AI1430" t="s">
        <v>6966</v>
      </c>
      <c r="AJ1430" t="s">
        <v>6966</v>
      </c>
      <c r="AK1430" t="s">
        <v>6966</v>
      </c>
      <c r="AL1430" t="s">
        <v>6966</v>
      </c>
      <c r="AM1430" t="s">
        <v>6966</v>
      </c>
      <c r="AN1430" t="s">
        <v>6966</v>
      </c>
      <c r="AO1430" t="s">
        <v>6966</v>
      </c>
      <c r="AP1430" t="s">
        <v>6966</v>
      </c>
      <c r="AQ1430" t="s">
        <v>6966</v>
      </c>
      <c r="AR1430" t="s">
        <v>6966</v>
      </c>
      <c r="AS1430" t="s">
        <v>6966</v>
      </c>
      <c r="AT1430" t="s">
        <v>6966</v>
      </c>
      <c r="AU1430" t="s">
        <v>6966</v>
      </c>
      <c r="AV1430" t="s">
        <v>6966</v>
      </c>
      <c r="AW1430" t="s">
        <v>6966</v>
      </c>
      <c r="AX1430" t="s">
        <v>6966</v>
      </c>
      <c r="AY1430" t="s">
        <v>6966</v>
      </c>
      <c r="AZ1430">
        <v>0.17988799999999999</v>
      </c>
      <c r="BA1430">
        <v>1.0169999999999999E-3</v>
      </c>
    </row>
    <row r="1431" spans="1:53" x14ac:dyDescent="0.25">
      <c r="A1431">
        <v>1429</v>
      </c>
      <c r="B1431" t="s">
        <v>7625</v>
      </c>
      <c r="C1431">
        <v>802047</v>
      </c>
      <c r="D1431" t="s">
        <v>1225</v>
      </c>
      <c r="E1431" t="s">
        <v>3039</v>
      </c>
      <c r="F1431">
        <v>1450226.875</v>
      </c>
      <c r="G1431">
        <v>8083.2871089999999</v>
      </c>
      <c r="H1431">
        <v>1431</v>
      </c>
      <c r="I1431">
        <v>1670</v>
      </c>
      <c r="J1431">
        <v>61431</v>
      </c>
      <c r="K1431" t="s">
        <v>2537</v>
      </c>
      <c r="L1431">
        <v>20</v>
      </c>
      <c r="M1431">
        <v>20</v>
      </c>
      <c r="N1431">
        <v>61431</v>
      </c>
      <c r="O1431">
        <v>1400</v>
      </c>
      <c r="P1431" t="s">
        <v>3213</v>
      </c>
      <c r="Q1431">
        <v>0.2</v>
      </c>
      <c r="R1431">
        <v>0</v>
      </c>
      <c r="S1431">
        <v>0.04</v>
      </c>
      <c r="T1431">
        <v>0</v>
      </c>
      <c r="U1431">
        <v>1450226.7918100001</v>
      </c>
      <c r="V1431">
        <v>8083.2871029999997</v>
      </c>
      <c r="W1431">
        <v>1430</v>
      </c>
      <c r="X1431">
        <v>0</v>
      </c>
      <c r="Y1431">
        <v>1429</v>
      </c>
      <c r="Z1431" t="s">
        <v>6966</v>
      </c>
      <c r="AA1431" t="s">
        <v>6966</v>
      </c>
      <c r="AB1431" t="s">
        <v>6966</v>
      </c>
      <c r="AC1431" t="s">
        <v>6966</v>
      </c>
      <c r="AD1431" t="s">
        <v>6966</v>
      </c>
      <c r="AE1431" t="s">
        <v>6966</v>
      </c>
      <c r="AF1431" t="s">
        <v>6966</v>
      </c>
      <c r="AG1431" t="s">
        <v>6966</v>
      </c>
      <c r="AH1431" t="s">
        <v>6966</v>
      </c>
      <c r="AI1431" t="s">
        <v>6966</v>
      </c>
      <c r="AJ1431" t="s">
        <v>6966</v>
      </c>
      <c r="AK1431" t="s">
        <v>6966</v>
      </c>
      <c r="AL1431" t="s">
        <v>6966</v>
      </c>
      <c r="AM1431" t="s">
        <v>6966</v>
      </c>
      <c r="AN1431" t="s">
        <v>6966</v>
      </c>
      <c r="AO1431" t="s">
        <v>6966</v>
      </c>
      <c r="AP1431" t="s">
        <v>6966</v>
      </c>
      <c r="AQ1431" t="s">
        <v>6966</v>
      </c>
      <c r="AR1431" t="s">
        <v>6966</v>
      </c>
      <c r="AS1431" t="s">
        <v>6966</v>
      </c>
      <c r="AT1431" t="s">
        <v>6966</v>
      </c>
      <c r="AU1431" t="s">
        <v>6966</v>
      </c>
      <c r="AV1431" t="s">
        <v>6966</v>
      </c>
      <c r="AW1431" t="s">
        <v>6966</v>
      </c>
      <c r="AX1431" t="s">
        <v>6966</v>
      </c>
      <c r="AY1431" t="s">
        <v>6966</v>
      </c>
      <c r="AZ1431">
        <v>7.9563999999999996E-2</v>
      </c>
      <c r="BA1431">
        <v>1.3999999999999999E-4</v>
      </c>
    </row>
    <row r="1432" spans="1:53" x14ac:dyDescent="0.25">
      <c r="A1432">
        <v>1430</v>
      </c>
      <c r="B1432" t="s">
        <v>7625</v>
      </c>
      <c r="C1432">
        <v>602002</v>
      </c>
      <c r="D1432" t="s">
        <v>1549</v>
      </c>
      <c r="E1432" t="s">
        <v>1541</v>
      </c>
      <c r="F1432">
        <v>3717643.25</v>
      </c>
      <c r="G1432">
        <v>11484.100586</v>
      </c>
      <c r="H1432">
        <v>1432</v>
      </c>
      <c r="I1432">
        <v>1671</v>
      </c>
      <c r="J1432">
        <v>74126</v>
      </c>
      <c r="K1432" t="s">
        <v>8122</v>
      </c>
      <c r="L1432">
        <v>26</v>
      </c>
      <c r="M1432">
        <v>26</v>
      </c>
      <c r="N1432">
        <v>74126</v>
      </c>
      <c r="O1432">
        <v>1401</v>
      </c>
      <c r="P1432" t="s">
        <v>6965</v>
      </c>
      <c r="Q1432">
        <v>5.9</v>
      </c>
      <c r="R1432">
        <v>97.4</v>
      </c>
      <c r="S1432">
        <v>1.36</v>
      </c>
      <c r="T1432">
        <v>23</v>
      </c>
      <c r="U1432">
        <v>3717643.2648299998</v>
      </c>
      <c r="V1432">
        <v>11484.100554000001</v>
      </c>
      <c r="W1432">
        <v>1431</v>
      </c>
      <c r="X1432">
        <v>0</v>
      </c>
      <c r="Y1432">
        <v>1430</v>
      </c>
      <c r="Z1432" t="s">
        <v>6966</v>
      </c>
      <c r="AA1432" t="s">
        <v>6966</v>
      </c>
      <c r="AB1432" t="s">
        <v>6966</v>
      </c>
      <c r="AC1432" t="s">
        <v>6966</v>
      </c>
      <c r="AD1432" t="s">
        <v>6966</v>
      </c>
      <c r="AE1432" t="s">
        <v>6966</v>
      </c>
      <c r="AF1432" t="s">
        <v>6966</v>
      </c>
      <c r="AG1432" t="s">
        <v>6966</v>
      </c>
      <c r="AH1432" t="s">
        <v>6966</v>
      </c>
      <c r="AI1432" t="s">
        <v>6966</v>
      </c>
      <c r="AJ1432" t="s">
        <v>6966</v>
      </c>
      <c r="AK1432" t="s">
        <v>6966</v>
      </c>
      <c r="AL1432" t="s">
        <v>6966</v>
      </c>
      <c r="AM1432" t="s">
        <v>6966</v>
      </c>
      <c r="AN1432" t="s">
        <v>6966</v>
      </c>
      <c r="AO1432" t="s">
        <v>6966</v>
      </c>
      <c r="AP1432" t="s">
        <v>6966</v>
      </c>
      <c r="AQ1432" t="s">
        <v>6966</v>
      </c>
      <c r="AR1432" t="s">
        <v>6966</v>
      </c>
      <c r="AS1432" t="s">
        <v>6966</v>
      </c>
      <c r="AT1432" t="s">
        <v>6966</v>
      </c>
      <c r="AU1432" t="s">
        <v>6966</v>
      </c>
      <c r="AV1432" t="s">
        <v>6966</v>
      </c>
      <c r="AW1432" t="s">
        <v>6966</v>
      </c>
      <c r="AX1432" t="s">
        <v>6966</v>
      </c>
      <c r="AY1432" t="s">
        <v>6966</v>
      </c>
      <c r="AZ1432">
        <v>0.113562</v>
      </c>
      <c r="BA1432">
        <v>3.6000000000000002E-4</v>
      </c>
    </row>
    <row r="1433" spans="1:53" x14ac:dyDescent="0.25">
      <c r="A1433">
        <v>1431</v>
      </c>
      <c r="B1433" t="s">
        <v>7625</v>
      </c>
      <c r="C1433">
        <v>801060</v>
      </c>
      <c r="D1433" t="s">
        <v>8123</v>
      </c>
      <c r="E1433" t="s">
        <v>1342</v>
      </c>
      <c r="F1433">
        <v>3384799</v>
      </c>
      <c r="G1433">
        <v>9400.3046880000002</v>
      </c>
      <c r="H1433">
        <v>1433</v>
      </c>
      <c r="I1433">
        <v>1672</v>
      </c>
      <c r="J1433">
        <v>63363</v>
      </c>
      <c r="K1433" t="s">
        <v>8124</v>
      </c>
      <c r="L1433">
        <v>22</v>
      </c>
      <c r="M1433">
        <v>22</v>
      </c>
      <c r="N1433">
        <v>63363</v>
      </c>
      <c r="O1433">
        <v>1402</v>
      </c>
      <c r="P1433" t="s">
        <v>3213</v>
      </c>
      <c r="Q1433">
        <v>0</v>
      </c>
      <c r="R1433">
        <v>0</v>
      </c>
      <c r="S1433">
        <v>0.02</v>
      </c>
      <c r="T1433">
        <v>0</v>
      </c>
      <c r="U1433">
        <v>3384798.9197200001</v>
      </c>
      <c r="V1433">
        <v>9400.3046670000003</v>
      </c>
      <c r="W1433">
        <v>1432</v>
      </c>
      <c r="X1433">
        <v>0</v>
      </c>
      <c r="Y1433">
        <v>1431</v>
      </c>
      <c r="Z1433" t="s">
        <v>6966</v>
      </c>
      <c r="AA1433" t="s">
        <v>6966</v>
      </c>
      <c r="AB1433" t="s">
        <v>6966</v>
      </c>
      <c r="AC1433" t="s">
        <v>6966</v>
      </c>
      <c r="AD1433" t="s">
        <v>6966</v>
      </c>
      <c r="AE1433" t="s">
        <v>6966</v>
      </c>
      <c r="AF1433" t="s">
        <v>6966</v>
      </c>
      <c r="AG1433" t="s">
        <v>6966</v>
      </c>
      <c r="AH1433" t="s">
        <v>6966</v>
      </c>
      <c r="AI1433" t="s">
        <v>6966</v>
      </c>
      <c r="AJ1433" t="s">
        <v>6966</v>
      </c>
      <c r="AK1433" t="s">
        <v>6966</v>
      </c>
      <c r="AL1433" t="s">
        <v>6966</v>
      </c>
      <c r="AM1433" t="s">
        <v>6966</v>
      </c>
      <c r="AN1433" t="s">
        <v>6966</v>
      </c>
      <c r="AO1433" t="s">
        <v>6966</v>
      </c>
      <c r="AP1433" t="s">
        <v>6966</v>
      </c>
      <c r="AQ1433" t="s">
        <v>6966</v>
      </c>
      <c r="AR1433" t="s">
        <v>6966</v>
      </c>
      <c r="AS1433" t="s">
        <v>6966</v>
      </c>
      <c r="AT1433" t="s">
        <v>6966</v>
      </c>
      <c r="AU1433" t="s">
        <v>6966</v>
      </c>
      <c r="AV1433" t="s">
        <v>6966</v>
      </c>
      <c r="AW1433" t="s">
        <v>6966</v>
      </c>
      <c r="AX1433" t="s">
        <v>6966</v>
      </c>
      <c r="AY1433" t="s">
        <v>6966</v>
      </c>
      <c r="AZ1433">
        <v>9.1092000000000006E-2</v>
      </c>
      <c r="BA1433">
        <v>3.28E-4</v>
      </c>
    </row>
    <row r="1434" spans="1:53" x14ac:dyDescent="0.25">
      <c r="A1434">
        <v>1432</v>
      </c>
      <c r="B1434" t="s">
        <v>7625</v>
      </c>
      <c r="C1434">
        <v>802056</v>
      </c>
      <c r="D1434" t="s">
        <v>1229</v>
      </c>
      <c r="E1434" t="s">
        <v>3039</v>
      </c>
      <c r="F1434">
        <v>4242643.5</v>
      </c>
      <c r="G1434">
        <v>12599.150390999999</v>
      </c>
      <c r="H1434">
        <v>1434</v>
      </c>
      <c r="I1434">
        <v>1673</v>
      </c>
      <c r="J1434">
        <v>61437</v>
      </c>
      <c r="K1434" t="s">
        <v>2541</v>
      </c>
      <c r="L1434">
        <v>20</v>
      </c>
      <c r="M1434">
        <v>20</v>
      </c>
      <c r="N1434">
        <v>61437</v>
      </c>
      <c r="O1434">
        <v>1403</v>
      </c>
      <c r="P1434" t="s">
        <v>3213</v>
      </c>
      <c r="Q1434">
        <v>2</v>
      </c>
      <c r="R1434">
        <v>30.34</v>
      </c>
      <c r="S1434">
        <v>0.45</v>
      </c>
      <c r="T1434">
        <v>7</v>
      </c>
      <c r="U1434">
        <v>4242643.6898299996</v>
      </c>
      <c r="V1434">
        <v>12599.150713000001</v>
      </c>
      <c r="W1434">
        <v>1433</v>
      </c>
      <c r="X1434">
        <v>0</v>
      </c>
      <c r="Y1434">
        <v>1432</v>
      </c>
      <c r="Z1434" t="s">
        <v>6966</v>
      </c>
      <c r="AA1434" t="s">
        <v>6966</v>
      </c>
      <c r="AB1434" t="s">
        <v>6966</v>
      </c>
      <c r="AC1434" t="s">
        <v>6966</v>
      </c>
      <c r="AD1434" t="s">
        <v>6966</v>
      </c>
      <c r="AE1434" t="s">
        <v>6966</v>
      </c>
      <c r="AF1434" t="s">
        <v>6966</v>
      </c>
      <c r="AG1434" t="s">
        <v>6966</v>
      </c>
      <c r="AH1434" t="s">
        <v>6966</v>
      </c>
      <c r="AI1434" t="s">
        <v>6966</v>
      </c>
      <c r="AJ1434" t="s">
        <v>6966</v>
      </c>
      <c r="AK1434" t="s">
        <v>6966</v>
      </c>
      <c r="AL1434" t="s">
        <v>6966</v>
      </c>
      <c r="AM1434" t="s">
        <v>6966</v>
      </c>
      <c r="AN1434" t="s">
        <v>6966</v>
      </c>
      <c r="AO1434" t="s">
        <v>6966</v>
      </c>
      <c r="AP1434" t="s">
        <v>6966</v>
      </c>
      <c r="AQ1434" t="s">
        <v>6966</v>
      </c>
      <c r="AR1434" t="s">
        <v>6966</v>
      </c>
      <c r="AS1434" t="s">
        <v>6966</v>
      </c>
      <c r="AT1434" t="s">
        <v>6966</v>
      </c>
      <c r="AU1434" t="s">
        <v>6966</v>
      </c>
      <c r="AV1434" t="s">
        <v>6966</v>
      </c>
      <c r="AW1434" t="s">
        <v>6966</v>
      </c>
      <c r="AX1434" t="s">
        <v>6966</v>
      </c>
      <c r="AY1434" t="s">
        <v>6966</v>
      </c>
      <c r="AZ1434">
        <v>0.12643499999999999</v>
      </c>
      <c r="BA1434">
        <v>4.1100000000000002E-4</v>
      </c>
    </row>
    <row r="1435" spans="1:53" x14ac:dyDescent="0.25">
      <c r="A1435">
        <v>1433</v>
      </c>
      <c r="B1435" t="s">
        <v>7625</v>
      </c>
      <c r="C1435">
        <v>604008</v>
      </c>
      <c r="D1435" t="s">
        <v>1457</v>
      </c>
      <c r="E1435" t="s">
        <v>6965</v>
      </c>
      <c r="F1435">
        <v>0</v>
      </c>
      <c r="G1435">
        <v>29854.275390999999</v>
      </c>
      <c r="H1435">
        <v>1435</v>
      </c>
      <c r="I1435">
        <v>1674</v>
      </c>
      <c r="J1435">
        <v>71361</v>
      </c>
      <c r="K1435" t="s">
        <v>1457</v>
      </c>
      <c r="L1435">
        <v>23</v>
      </c>
      <c r="M1435">
        <v>23</v>
      </c>
      <c r="N1435">
        <v>71361</v>
      </c>
      <c r="O1435">
        <v>1404</v>
      </c>
      <c r="P1435" t="s">
        <v>6965</v>
      </c>
      <c r="Q1435">
        <v>3.8</v>
      </c>
      <c r="R1435">
        <v>84.19</v>
      </c>
      <c r="S1435">
        <v>0.84</v>
      </c>
      <c r="T1435">
        <v>19</v>
      </c>
      <c r="U1435">
        <v>0</v>
      </c>
      <c r="V1435">
        <v>29854.277410999999</v>
      </c>
      <c r="W1435">
        <v>1434</v>
      </c>
      <c r="X1435">
        <v>0</v>
      </c>
      <c r="Y1435">
        <v>1433</v>
      </c>
      <c r="Z1435" t="s">
        <v>6966</v>
      </c>
      <c r="AA1435" t="s">
        <v>6966</v>
      </c>
      <c r="AB1435" t="s">
        <v>6966</v>
      </c>
      <c r="AC1435" t="s">
        <v>6966</v>
      </c>
      <c r="AD1435" t="s">
        <v>6966</v>
      </c>
      <c r="AE1435" t="s">
        <v>6966</v>
      </c>
      <c r="AF1435" t="s">
        <v>6966</v>
      </c>
      <c r="AG1435" t="s">
        <v>6966</v>
      </c>
      <c r="AH1435" t="s">
        <v>6966</v>
      </c>
      <c r="AI1435" t="s">
        <v>6966</v>
      </c>
      <c r="AJ1435" t="s">
        <v>6966</v>
      </c>
      <c r="AK1435" t="s">
        <v>6966</v>
      </c>
      <c r="AL1435" t="s">
        <v>6966</v>
      </c>
      <c r="AM1435" t="s">
        <v>6966</v>
      </c>
      <c r="AN1435" t="s">
        <v>6966</v>
      </c>
      <c r="AO1435" t="s">
        <v>6966</v>
      </c>
      <c r="AP1435" t="s">
        <v>6966</v>
      </c>
      <c r="AQ1435" t="s">
        <v>6966</v>
      </c>
      <c r="AR1435" t="s">
        <v>6966</v>
      </c>
      <c r="AS1435" t="s">
        <v>6966</v>
      </c>
      <c r="AT1435" t="s">
        <v>6966</v>
      </c>
      <c r="AU1435" t="s">
        <v>6966</v>
      </c>
      <c r="AV1435" t="s">
        <v>6966</v>
      </c>
      <c r="AW1435" t="s">
        <v>6966</v>
      </c>
      <c r="AX1435" t="s">
        <v>6966</v>
      </c>
      <c r="AY1435" t="s">
        <v>6966</v>
      </c>
      <c r="AZ1435">
        <v>0.29928199999999999</v>
      </c>
      <c r="BA1435">
        <v>1.565E-3</v>
      </c>
    </row>
    <row r="1436" spans="1:53" x14ac:dyDescent="0.25">
      <c r="A1436">
        <v>1434</v>
      </c>
      <c r="B1436" t="s">
        <v>7625</v>
      </c>
      <c r="C1436">
        <v>604032</v>
      </c>
      <c r="D1436" t="s">
        <v>1465</v>
      </c>
      <c r="E1436" t="s">
        <v>6965</v>
      </c>
      <c r="F1436">
        <v>2480592.5</v>
      </c>
      <c r="G1436">
        <v>7545.3266599999997</v>
      </c>
      <c r="H1436">
        <v>1436</v>
      </c>
      <c r="I1436">
        <v>1676</v>
      </c>
      <c r="J1436">
        <v>71386</v>
      </c>
      <c r="K1436" t="s">
        <v>2728</v>
      </c>
      <c r="L1436">
        <v>23</v>
      </c>
      <c r="M1436">
        <v>23</v>
      </c>
      <c r="N1436">
        <v>71386</v>
      </c>
      <c r="O1436">
        <v>1405</v>
      </c>
      <c r="P1436" t="s">
        <v>6965</v>
      </c>
      <c r="Q1436">
        <v>0.1</v>
      </c>
      <c r="R1436">
        <v>0</v>
      </c>
      <c r="S1436">
        <v>0.02</v>
      </c>
      <c r="T1436">
        <v>0</v>
      </c>
      <c r="U1436">
        <v>2480592.4065299998</v>
      </c>
      <c r="V1436">
        <v>7545.3271489999997</v>
      </c>
      <c r="W1436">
        <v>1435</v>
      </c>
      <c r="X1436">
        <v>0</v>
      </c>
      <c r="Y1436">
        <v>1434</v>
      </c>
      <c r="Z1436" t="s">
        <v>6966</v>
      </c>
      <c r="AA1436" t="s">
        <v>6966</v>
      </c>
      <c r="AB1436" t="s">
        <v>6966</v>
      </c>
      <c r="AC1436" t="s">
        <v>6966</v>
      </c>
      <c r="AD1436" t="s">
        <v>6966</v>
      </c>
      <c r="AE1436" t="s">
        <v>6966</v>
      </c>
      <c r="AF1436" t="s">
        <v>6966</v>
      </c>
      <c r="AG1436" t="s">
        <v>6966</v>
      </c>
      <c r="AH1436" t="s">
        <v>6966</v>
      </c>
      <c r="AI1436" t="s">
        <v>6966</v>
      </c>
      <c r="AJ1436" t="s">
        <v>6966</v>
      </c>
      <c r="AK1436" t="s">
        <v>6966</v>
      </c>
      <c r="AL1436" t="s">
        <v>6966</v>
      </c>
      <c r="AM1436" t="s">
        <v>6966</v>
      </c>
      <c r="AN1436" t="s">
        <v>6966</v>
      </c>
      <c r="AO1436" t="s">
        <v>6966</v>
      </c>
      <c r="AP1436" t="s">
        <v>6966</v>
      </c>
      <c r="AQ1436" t="s">
        <v>6966</v>
      </c>
      <c r="AR1436" t="s">
        <v>6966</v>
      </c>
      <c r="AS1436" t="s">
        <v>6966</v>
      </c>
      <c r="AT1436" t="s">
        <v>6966</v>
      </c>
      <c r="AU1436" t="s">
        <v>6966</v>
      </c>
      <c r="AV1436" t="s">
        <v>6966</v>
      </c>
      <c r="AW1436" t="s">
        <v>6966</v>
      </c>
      <c r="AX1436" t="s">
        <v>6966</v>
      </c>
      <c r="AY1436" t="s">
        <v>6966</v>
      </c>
      <c r="AZ1436">
        <v>7.5672000000000003E-2</v>
      </c>
      <c r="BA1436">
        <v>2.4000000000000001E-4</v>
      </c>
    </row>
    <row r="1437" spans="1:53" x14ac:dyDescent="0.25">
      <c r="A1437">
        <v>1435</v>
      </c>
      <c r="B1437" t="s">
        <v>7625</v>
      </c>
      <c r="C1437">
        <v>604036</v>
      </c>
      <c r="D1437" t="s">
        <v>1421</v>
      </c>
      <c r="E1437" t="s">
        <v>6965</v>
      </c>
      <c r="F1437">
        <v>1525088.75</v>
      </c>
      <c r="G1437">
        <v>7536.9472660000001</v>
      </c>
      <c r="H1437">
        <v>1437</v>
      </c>
      <c r="I1437">
        <v>1677</v>
      </c>
      <c r="J1437">
        <v>71117</v>
      </c>
      <c r="K1437" t="s">
        <v>2692</v>
      </c>
      <c r="L1437">
        <v>23</v>
      </c>
      <c r="M1437">
        <v>23</v>
      </c>
      <c r="N1437">
        <v>71117</v>
      </c>
      <c r="O1437">
        <v>1406</v>
      </c>
      <c r="P1437" t="s">
        <v>6965</v>
      </c>
      <c r="Q1437">
        <v>5.9</v>
      </c>
      <c r="R1437">
        <v>26.63</v>
      </c>
      <c r="S1437">
        <v>2.0499999999999998</v>
      </c>
      <c r="T1437">
        <v>9</v>
      </c>
      <c r="U1437">
        <v>1525088.81247</v>
      </c>
      <c r="V1437">
        <v>7536.947271</v>
      </c>
      <c r="W1437">
        <v>1436</v>
      </c>
      <c r="X1437">
        <v>0</v>
      </c>
      <c r="Y1437">
        <v>1435</v>
      </c>
      <c r="Z1437" t="s">
        <v>6966</v>
      </c>
      <c r="AA1437" t="s">
        <v>6966</v>
      </c>
      <c r="AB1437" t="s">
        <v>6966</v>
      </c>
      <c r="AC1437" t="s">
        <v>6966</v>
      </c>
      <c r="AD1437" t="s">
        <v>6966</v>
      </c>
      <c r="AE1437" t="s">
        <v>6966</v>
      </c>
      <c r="AF1437" t="s">
        <v>6966</v>
      </c>
      <c r="AG1437" t="s">
        <v>6966</v>
      </c>
      <c r="AH1437" t="s">
        <v>6966</v>
      </c>
      <c r="AI1437" t="s">
        <v>6966</v>
      </c>
      <c r="AJ1437" t="s">
        <v>6966</v>
      </c>
      <c r="AK1437" t="s">
        <v>6966</v>
      </c>
      <c r="AL1437" t="s">
        <v>6966</v>
      </c>
      <c r="AM1437" t="s">
        <v>6966</v>
      </c>
      <c r="AN1437" t="s">
        <v>6966</v>
      </c>
      <c r="AO1437" t="s">
        <v>6966</v>
      </c>
      <c r="AP1437" t="s">
        <v>6966</v>
      </c>
      <c r="AQ1437" t="s">
        <v>6966</v>
      </c>
      <c r="AR1437" t="s">
        <v>6966</v>
      </c>
      <c r="AS1437" t="s">
        <v>6966</v>
      </c>
      <c r="AT1437" t="s">
        <v>6966</v>
      </c>
      <c r="AU1437" t="s">
        <v>6966</v>
      </c>
      <c r="AV1437" t="s">
        <v>6966</v>
      </c>
      <c r="AW1437" t="s">
        <v>6966</v>
      </c>
      <c r="AX1437" t="s">
        <v>6966</v>
      </c>
      <c r="AY1437" t="s">
        <v>6966</v>
      </c>
      <c r="AZ1437">
        <v>7.5528999999999999E-2</v>
      </c>
      <c r="BA1437">
        <v>1.4799999999999999E-4</v>
      </c>
    </row>
    <row r="1438" spans="1:53" x14ac:dyDescent="0.25">
      <c r="A1438">
        <v>1436</v>
      </c>
      <c r="B1438" t="s">
        <v>7625</v>
      </c>
      <c r="C1438">
        <v>604015</v>
      </c>
      <c r="D1438" t="s">
        <v>1449</v>
      </c>
      <c r="E1438" t="s">
        <v>6965</v>
      </c>
      <c r="F1438">
        <v>9434092</v>
      </c>
      <c r="G1438">
        <v>18786.242188</v>
      </c>
      <c r="H1438">
        <v>1438</v>
      </c>
      <c r="I1438">
        <v>1678</v>
      </c>
      <c r="J1438">
        <v>71334</v>
      </c>
      <c r="K1438" t="s">
        <v>2714</v>
      </c>
      <c r="L1438">
        <v>23</v>
      </c>
      <c r="M1438">
        <v>23</v>
      </c>
      <c r="N1438">
        <v>71334</v>
      </c>
      <c r="O1438">
        <v>1407</v>
      </c>
      <c r="P1438" t="s">
        <v>6965</v>
      </c>
      <c r="Q1438">
        <v>6.6</v>
      </c>
      <c r="R1438">
        <v>70.989999999999995</v>
      </c>
      <c r="S1438">
        <v>1.52</v>
      </c>
      <c r="T1438">
        <v>16</v>
      </c>
      <c r="U1438">
        <v>9434091.6081300005</v>
      </c>
      <c r="V1438">
        <v>18786.244252</v>
      </c>
      <c r="W1438">
        <v>1437</v>
      </c>
      <c r="X1438">
        <v>0</v>
      </c>
      <c r="Y1438">
        <v>1436</v>
      </c>
      <c r="Z1438" t="s">
        <v>6966</v>
      </c>
      <c r="AA1438" t="s">
        <v>6966</v>
      </c>
      <c r="AB1438" t="s">
        <v>6966</v>
      </c>
      <c r="AC1438" t="s">
        <v>6966</v>
      </c>
      <c r="AD1438" t="s">
        <v>6966</v>
      </c>
      <c r="AE1438" t="s">
        <v>6966</v>
      </c>
      <c r="AF1438" t="s">
        <v>6966</v>
      </c>
      <c r="AG1438" t="s">
        <v>6966</v>
      </c>
      <c r="AH1438" t="s">
        <v>6966</v>
      </c>
      <c r="AI1438" t="s">
        <v>6966</v>
      </c>
      <c r="AJ1438" t="s">
        <v>6966</v>
      </c>
      <c r="AK1438" t="s">
        <v>6966</v>
      </c>
      <c r="AL1438" t="s">
        <v>6966</v>
      </c>
      <c r="AM1438" t="s">
        <v>6966</v>
      </c>
      <c r="AN1438" t="s">
        <v>6966</v>
      </c>
      <c r="AO1438" t="s">
        <v>6966</v>
      </c>
      <c r="AP1438" t="s">
        <v>6966</v>
      </c>
      <c r="AQ1438" t="s">
        <v>6966</v>
      </c>
      <c r="AR1438" t="s">
        <v>6966</v>
      </c>
      <c r="AS1438" t="s">
        <v>6966</v>
      </c>
      <c r="AT1438" t="s">
        <v>6966</v>
      </c>
      <c r="AU1438" t="s">
        <v>6966</v>
      </c>
      <c r="AV1438" t="s">
        <v>6966</v>
      </c>
      <c r="AW1438" t="s">
        <v>6966</v>
      </c>
      <c r="AX1438" t="s">
        <v>6966</v>
      </c>
      <c r="AY1438" t="s">
        <v>6966</v>
      </c>
      <c r="AZ1438">
        <v>0.18678400000000001</v>
      </c>
      <c r="BA1438">
        <v>9.1399999999999999E-4</v>
      </c>
    </row>
    <row r="1439" spans="1:53" x14ac:dyDescent="0.25">
      <c r="A1439">
        <v>1437</v>
      </c>
      <c r="B1439" t="s">
        <v>7625</v>
      </c>
      <c r="C1439">
        <v>604047</v>
      </c>
      <c r="D1439" t="s">
        <v>1446</v>
      </c>
      <c r="E1439" t="s">
        <v>6965</v>
      </c>
      <c r="F1439">
        <v>3057111.25</v>
      </c>
      <c r="G1439">
        <v>9087.3896480000003</v>
      </c>
      <c r="H1439">
        <v>1439</v>
      </c>
      <c r="I1439">
        <v>1679</v>
      </c>
      <c r="J1439">
        <v>71324</v>
      </c>
      <c r="K1439" t="s">
        <v>2711</v>
      </c>
      <c r="L1439">
        <v>23</v>
      </c>
      <c r="M1439">
        <v>23</v>
      </c>
      <c r="N1439">
        <v>71324</v>
      </c>
      <c r="O1439">
        <v>1408</v>
      </c>
      <c r="P1439" t="s">
        <v>6965</v>
      </c>
      <c r="Q1439">
        <v>4.3</v>
      </c>
      <c r="R1439">
        <v>40.65</v>
      </c>
      <c r="S1439">
        <v>1.29</v>
      </c>
      <c r="T1439">
        <v>15</v>
      </c>
      <c r="U1439">
        <v>3057111.1717599998</v>
      </c>
      <c r="V1439">
        <v>9087.390206</v>
      </c>
      <c r="W1439">
        <v>1438</v>
      </c>
      <c r="X1439">
        <v>1</v>
      </c>
      <c r="Y1439">
        <v>1437</v>
      </c>
      <c r="Z1439">
        <v>65015</v>
      </c>
      <c r="AA1439" s="76">
        <v>45839</v>
      </c>
      <c r="AB1439">
        <v>2025</v>
      </c>
      <c r="AC1439" t="s">
        <v>7313</v>
      </c>
      <c r="AD1439">
        <v>1</v>
      </c>
      <c r="AE1439" t="s">
        <v>7319</v>
      </c>
      <c r="AF1439" t="s">
        <v>3218</v>
      </c>
      <c r="AG1439" t="s">
        <v>3218</v>
      </c>
      <c r="AH1439" t="s">
        <v>1446</v>
      </c>
      <c r="AI1439" t="s">
        <v>1446</v>
      </c>
      <c r="AJ1439" t="s">
        <v>6966</v>
      </c>
      <c r="AK1439">
        <v>33.387830000000001</v>
      </c>
      <c r="AL1439">
        <v>35.447679999999998</v>
      </c>
      <c r="AM1439" t="s">
        <v>7013</v>
      </c>
      <c r="AN1439" t="s">
        <v>6995</v>
      </c>
      <c r="AO1439" t="s">
        <v>7008</v>
      </c>
      <c r="AP1439" t="s">
        <v>7320</v>
      </c>
      <c r="AQ1439" t="s">
        <v>6998</v>
      </c>
      <c r="AR1439" t="s">
        <v>6999</v>
      </c>
      <c r="AS1439" t="s">
        <v>7000</v>
      </c>
      <c r="AT1439">
        <v>0</v>
      </c>
      <c r="AU1439">
        <v>0</v>
      </c>
      <c r="AV1439" t="s">
        <v>8121</v>
      </c>
      <c r="AW1439" t="s">
        <v>7119</v>
      </c>
      <c r="AX1439" t="s">
        <v>6966</v>
      </c>
      <c r="AY1439" t="s">
        <v>7003</v>
      </c>
      <c r="AZ1439">
        <v>9.0061000000000002E-2</v>
      </c>
      <c r="BA1439">
        <v>2.9599999999999998E-4</v>
      </c>
    </row>
    <row r="1440" spans="1:53" x14ac:dyDescent="0.25">
      <c r="A1440">
        <v>1438</v>
      </c>
      <c r="B1440" t="s">
        <v>7625</v>
      </c>
      <c r="C1440">
        <v>802054</v>
      </c>
      <c r="D1440" t="s">
        <v>1226</v>
      </c>
      <c r="E1440" t="s">
        <v>3039</v>
      </c>
      <c r="F1440">
        <v>2395944</v>
      </c>
      <c r="G1440">
        <v>9274.4521480000003</v>
      </c>
      <c r="H1440">
        <v>1440</v>
      </c>
      <c r="I1440">
        <v>1680</v>
      </c>
      <c r="J1440">
        <v>61433</v>
      </c>
      <c r="K1440" t="s">
        <v>2538</v>
      </c>
      <c r="L1440">
        <v>20</v>
      </c>
      <c r="M1440">
        <v>20</v>
      </c>
      <c r="N1440">
        <v>61433</v>
      </c>
      <c r="O1440">
        <v>1409</v>
      </c>
      <c r="P1440" t="s">
        <v>3213</v>
      </c>
      <c r="Q1440">
        <v>0</v>
      </c>
      <c r="R1440">
        <v>0</v>
      </c>
      <c r="S1440">
        <v>0.01</v>
      </c>
      <c r="T1440">
        <v>0</v>
      </c>
      <c r="U1440">
        <v>2395943.9781599999</v>
      </c>
      <c r="V1440">
        <v>9274.4515250000004</v>
      </c>
      <c r="W1440">
        <v>1439</v>
      </c>
      <c r="X1440">
        <v>0</v>
      </c>
      <c r="Y1440">
        <v>1438</v>
      </c>
      <c r="Z1440" t="s">
        <v>6966</v>
      </c>
      <c r="AA1440" t="s">
        <v>6966</v>
      </c>
      <c r="AB1440" t="s">
        <v>6966</v>
      </c>
      <c r="AC1440" t="s">
        <v>6966</v>
      </c>
      <c r="AD1440" t="s">
        <v>6966</v>
      </c>
      <c r="AE1440" t="s">
        <v>6966</v>
      </c>
      <c r="AF1440" t="s">
        <v>6966</v>
      </c>
      <c r="AG1440" t="s">
        <v>6966</v>
      </c>
      <c r="AH1440" t="s">
        <v>6966</v>
      </c>
      <c r="AI1440" t="s">
        <v>6966</v>
      </c>
      <c r="AJ1440" t="s">
        <v>6966</v>
      </c>
      <c r="AK1440" t="s">
        <v>6966</v>
      </c>
      <c r="AL1440" t="s">
        <v>6966</v>
      </c>
      <c r="AM1440" t="s">
        <v>6966</v>
      </c>
      <c r="AN1440" t="s">
        <v>6966</v>
      </c>
      <c r="AO1440" t="s">
        <v>6966</v>
      </c>
      <c r="AP1440" t="s">
        <v>6966</v>
      </c>
      <c r="AQ1440" t="s">
        <v>6966</v>
      </c>
      <c r="AR1440" t="s">
        <v>6966</v>
      </c>
      <c r="AS1440" t="s">
        <v>6966</v>
      </c>
      <c r="AT1440" t="s">
        <v>6966</v>
      </c>
      <c r="AU1440" t="s">
        <v>6966</v>
      </c>
      <c r="AV1440" t="s">
        <v>6966</v>
      </c>
      <c r="AW1440" t="s">
        <v>6966</v>
      </c>
      <c r="AX1440" t="s">
        <v>6966</v>
      </c>
      <c r="AY1440" t="s">
        <v>6966</v>
      </c>
      <c r="AZ1440">
        <v>9.4117999999999993E-2</v>
      </c>
      <c r="BA1440">
        <v>2.32E-4</v>
      </c>
    </row>
    <row r="1441" spans="1:53" x14ac:dyDescent="0.25">
      <c r="A1441">
        <v>1439</v>
      </c>
      <c r="B1441" t="s">
        <v>7625</v>
      </c>
      <c r="C1441">
        <v>802055</v>
      </c>
      <c r="D1441" t="s">
        <v>1224</v>
      </c>
      <c r="E1441" t="s">
        <v>3039</v>
      </c>
      <c r="F1441">
        <v>727170.1875</v>
      </c>
      <c r="G1441">
        <v>4840.0405270000001</v>
      </c>
      <c r="H1441">
        <v>1441</v>
      </c>
      <c r="I1441">
        <v>1681</v>
      </c>
      <c r="J1441">
        <v>61429</v>
      </c>
      <c r="K1441" t="s">
        <v>2536</v>
      </c>
      <c r="L1441">
        <v>20</v>
      </c>
      <c r="M1441">
        <v>20</v>
      </c>
      <c r="N1441">
        <v>61429</v>
      </c>
      <c r="O1441">
        <v>1410</v>
      </c>
      <c r="P1441" t="s">
        <v>3213</v>
      </c>
      <c r="Q1441">
        <v>0.4</v>
      </c>
      <c r="R1441">
        <v>0</v>
      </c>
      <c r="S1441">
        <v>7.0000000000000007E-2</v>
      </c>
      <c r="T1441">
        <v>0</v>
      </c>
      <c r="U1441">
        <v>727170.18641900003</v>
      </c>
      <c r="V1441">
        <v>4840.0409010000003</v>
      </c>
      <c r="W1441">
        <v>1440</v>
      </c>
      <c r="X1441">
        <v>0</v>
      </c>
      <c r="Y1441">
        <v>1439</v>
      </c>
      <c r="Z1441" t="s">
        <v>6966</v>
      </c>
      <c r="AA1441" t="s">
        <v>6966</v>
      </c>
      <c r="AB1441" t="s">
        <v>6966</v>
      </c>
      <c r="AC1441" t="s">
        <v>6966</v>
      </c>
      <c r="AD1441" t="s">
        <v>6966</v>
      </c>
      <c r="AE1441" t="s">
        <v>6966</v>
      </c>
      <c r="AF1441" t="s">
        <v>6966</v>
      </c>
      <c r="AG1441" t="s">
        <v>6966</v>
      </c>
      <c r="AH1441" t="s">
        <v>6966</v>
      </c>
      <c r="AI1441" t="s">
        <v>6966</v>
      </c>
      <c r="AJ1441" t="s">
        <v>6966</v>
      </c>
      <c r="AK1441" t="s">
        <v>6966</v>
      </c>
      <c r="AL1441" t="s">
        <v>6966</v>
      </c>
      <c r="AM1441" t="s">
        <v>6966</v>
      </c>
      <c r="AN1441" t="s">
        <v>6966</v>
      </c>
      <c r="AO1441" t="s">
        <v>6966</v>
      </c>
      <c r="AP1441" t="s">
        <v>6966</v>
      </c>
      <c r="AQ1441" t="s">
        <v>6966</v>
      </c>
      <c r="AR1441" t="s">
        <v>6966</v>
      </c>
      <c r="AS1441" t="s">
        <v>6966</v>
      </c>
      <c r="AT1441" t="s">
        <v>6966</v>
      </c>
      <c r="AU1441" t="s">
        <v>6966</v>
      </c>
      <c r="AV1441" t="s">
        <v>6966</v>
      </c>
      <c r="AW1441" t="s">
        <v>6966</v>
      </c>
      <c r="AX1441" t="s">
        <v>6966</v>
      </c>
      <c r="AY1441" t="s">
        <v>6966</v>
      </c>
      <c r="AZ1441">
        <v>4.7225999999999997E-2</v>
      </c>
      <c r="BA1441">
        <v>6.9999999999999994E-5</v>
      </c>
    </row>
    <row r="1442" spans="1:53" x14ac:dyDescent="0.25">
      <c r="A1442">
        <v>1440</v>
      </c>
      <c r="B1442" t="s">
        <v>7625</v>
      </c>
      <c r="C1442">
        <v>603007</v>
      </c>
      <c r="D1442" t="s">
        <v>1512</v>
      </c>
      <c r="E1442" t="s">
        <v>1508</v>
      </c>
      <c r="F1442">
        <v>8010892.5</v>
      </c>
      <c r="G1442">
        <v>14162.284180000001</v>
      </c>
      <c r="H1442">
        <v>1442</v>
      </c>
      <c r="I1442">
        <v>1682</v>
      </c>
      <c r="J1442">
        <v>73135</v>
      </c>
      <c r="K1442" t="s">
        <v>1915</v>
      </c>
      <c r="L1442">
        <v>25</v>
      </c>
      <c r="M1442">
        <v>25</v>
      </c>
      <c r="N1442">
        <v>73135</v>
      </c>
      <c r="O1442">
        <v>1411</v>
      </c>
      <c r="P1442" t="s">
        <v>6965</v>
      </c>
      <c r="Q1442">
        <v>0.9</v>
      </c>
      <c r="R1442">
        <v>19.96</v>
      </c>
      <c r="S1442">
        <v>0.2</v>
      </c>
      <c r="T1442">
        <v>4</v>
      </c>
      <c r="U1442">
        <v>8010892.4950599996</v>
      </c>
      <c r="V1442">
        <v>14162.284349</v>
      </c>
      <c r="W1442">
        <v>1441</v>
      </c>
      <c r="X1442">
        <v>0</v>
      </c>
      <c r="Y1442">
        <v>1440</v>
      </c>
      <c r="Z1442" t="s">
        <v>6966</v>
      </c>
      <c r="AA1442" t="s">
        <v>6966</v>
      </c>
      <c r="AB1442" t="s">
        <v>6966</v>
      </c>
      <c r="AC1442" t="s">
        <v>6966</v>
      </c>
      <c r="AD1442" t="s">
        <v>6966</v>
      </c>
      <c r="AE1442" t="s">
        <v>6966</v>
      </c>
      <c r="AF1442" t="s">
        <v>6966</v>
      </c>
      <c r="AG1442" t="s">
        <v>6966</v>
      </c>
      <c r="AH1442" t="s">
        <v>6966</v>
      </c>
      <c r="AI1442" t="s">
        <v>6966</v>
      </c>
      <c r="AJ1442" t="s">
        <v>6966</v>
      </c>
      <c r="AK1442" t="s">
        <v>6966</v>
      </c>
      <c r="AL1442" t="s">
        <v>6966</v>
      </c>
      <c r="AM1442" t="s">
        <v>6966</v>
      </c>
      <c r="AN1442" t="s">
        <v>6966</v>
      </c>
      <c r="AO1442" t="s">
        <v>6966</v>
      </c>
      <c r="AP1442" t="s">
        <v>6966</v>
      </c>
      <c r="AQ1442" t="s">
        <v>6966</v>
      </c>
      <c r="AR1442" t="s">
        <v>6966</v>
      </c>
      <c r="AS1442" t="s">
        <v>6966</v>
      </c>
      <c r="AT1442" t="s">
        <v>6966</v>
      </c>
      <c r="AU1442" t="s">
        <v>6966</v>
      </c>
      <c r="AV1442" t="s">
        <v>6966</v>
      </c>
      <c r="AW1442" t="s">
        <v>6966</v>
      </c>
      <c r="AX1442" t="s">
        <v>6966</v>
      </c>
      <c r="AY1442" t="s">
        <v>6966</v>
      </c>
      <c r="AZ1442">
        <v>0.13923199999999999</v>
      </c>
      <c r="BA1442">
        <v>7.76E-4</v>
      </c>
    </row>
    <row r="1443" spans="1:53" x14ac:dyDescent="0.25">
      <c r="A1443">
        <v>1441</v>
      </c>
      <c r="B1443" t="s">
        <v>7625</v>
      </c>
      <c r="C1443">
        <v>802050</v>
      </c>
      <c r="D1443" t="s">
        <v>8125</v>
      </c>
      <c r="E1443" t="s">
        <v>3039</v>
      </c>
      <c r="F1443">
        <v>1936528.75</v>
      </c>
      <c r="G1443">
        <v>7227.3222660000001</v>
      </c>
      <c r="H1443">
        <v>1443</v>
      </c>
      <c r="I1443">
        <v>1684</v>
      </c>
      <c r="J1443">
        <v>61424</v>
      </c>
      <c r="K1443" t="s">
        <v>8126</v>
      </c>
      <c r="L1443">
        <v>20</v>
      </c>
      <c r="M1443">
        <v>20</v>
      </c>
      <c r="N1443">
        <v>61424</v>
      </c>
      <c r="O1443">
        <v>1412</v>
      </c>
      <c r="P1443" t="s">
        <v>3213</v>
      </c>
      <c r="Q1443">
        <v>0</v>
      </c>
      <c r="R1443">
        <v>0</v>
      </c>
      <c r="S1443">
        <v>0.01</v>
      </c>
      <c r="T1443">
        <v>0</v>
      </c>
      <c r="U1443">
        <v>1936528.6908199999</v>
      </c>
      <c r="V1443">
        <v>7227.3217549999999</v>
      </c>
      <c r="W1443">
        <v>1442</v>
      </c>
      <c r="X1443">
        <v>0</v>
      </c>
      <c r="Y1443">
        <v>1441</v>
      </c>
      <c r="Z1443" t="s">
        <v>6966</v>
      </c>
      <c r="AA1443" t="s">
        <v>6966</v>
      </c>
      <c r="AB1443" t="s">
        <v>6966</v>
      </c>
      <c r="AC1443" t="s">
        <v>6966</v>
      </c>
      <c r="AD1443" t="s">
        <v>6966</v>
      </c>
      <c r="AE1443" t="s">
        <v>6966</v>
      </c>
      <c r="AF1443" t="s">
        <v>6966</v>
      </c>
      <c r="AG1443" t="s">
        <v>6966</v>
      </c>
      <c r="AH1443" t="s">
        <v>6966</v>
      </c>
      <c r="AI1443" t="s">
        <v>6966</v>
      </c>
      <c r="AJ1443" t="s">
        <v>6966</v>
      </c>
      <c r="AK1443" t="s">
        <v>6966</v>
      </c>
      <c r="AL1443" t="s">
        <v>6966</v>
      </c>
      <c r="AM1443" t="s">
        <v>6966</v>
      </c>
      <c r="AN1443" t="s">
        <v>6966</v>
      </c>
      <c r="AO1443" t="s">
        <v>6966</v>
      </c>
      <c r="AP1443" t="s">
        <v>6966</v>
      </c>
      <c r="AQ1443" t="s">
        <v>6966</v>
      </c>
      <c r="AR1443" t="s">
        <v>6966</v>
      </c>
      <c r="AS1443" t="s">
        <v>6966</v>
      </c>
      <c r="AT1443" t="s">
        <v>6966</v>
      </c>
      <c r="AU1443" t="s">
        <v>6966</v>
      </c>
      <c r="AV1443" t="s">
        <v>6966</v>
      </c>
      <c r="AW1443" t="s">
        <v>6966</v>
      </c>
      <c r="AX1443" t="s">
        <v>6966</v>
      </c>
      <c r="AY1443" t="s">
        <v>6966</v>
      </c>
      <c r="AZ1443">
        <v>7.0533999999999999E-2</v>
      </c>
      <c r="BA1443">
        <v>1.8799999999999999E-4</v>
      </c>
    </row>
    <row r="1444" spans="1:53" x14ac:dyDescent="0.25">
      <c r="A1444">
        <v>1442</v>
      </c>
      <c r="B1444" t="s">
        <v>7625</v>
      </c>
      <c r="C1444">
        <v>602007</v>
      </c>
      <c r="D1444" t="s">
        <v>1548</v>
      </c>
      <c r="E1444" t="s">
        <v>1541</v>
      </c>
      <c r="F1444">
        <v>9057868</v>
      </c>
      <c r="G1444">
        <v>17290.226563</v>
      </c>
      <c r="H1444">
        <v>1444</v>
      </c>
      <c r="I1444">
        <v>1685</v>
      </c>
      <c r="J1444">
        <v>74124</v>
      </c>
      <c r="K1444" t="s">
        <v>1702</v>
      </c>
      <c r="L1444">
        <v>26</v>
      </c>
      <c r="M1444">
        <v>26</v>
      </c>
      <c r="N1444">
        <v>74124</v>
      </c>
      <c r="O1444">
        <v>1413</v>
      </c>
      <c r="P1444" t="s">
        <v>6965</v>
      </c>
      <c r="Q1444">
        <v>2.4</v>
      </c>
      <c r="R1444">
        <v>89.33</v>
      </c>
      <c r="S1444">
        <v>0.49</v>
      </c>
      <c r="T1444">
        <v>18</v>
      </c>
      <c r="U1444">
        <v>9057868.0621799994</v>
      </c>
      <c r="V1444">
        <v>17290.225842</v>
      </c>
      <c r="W1444">
        <v>1443</v>
      </c>
      <c r="X1444">
        <v>0</v>
      </c>
      <c r="Y1444">
        <v>1442</v>
      </c>
      <c r="Z1444" t="s">
        <v>6966</v>
      </c>
      <c r="AA1444" t="s">
        <v>6966</v>
      </c>
      <c r="AB1444" t="s">
        <v>6966</v>
      </c>
      <c r="AC1444" t="s">
        <v>6966</v>
      </c>
      <c r="AD1444" t="s">
        <v>6966</v>
      </c>
      <c r="AE1444" t="s">
        <v>6966</v>
      </c>
      <c r="AF1444" t="s">
        <v>6966</v>
      </c>
      <c r="AG1444" t="s">
        <v>6966</v>
      </c>
      <c r="AH1444" t="s">
        <v>6966</v>
      </c>
      <c r="AI1444" t="s">
        <v>6966</v>
      </c>
      <c r="AJ1444" t="s">
        <v>6966</v>
      </c>
      <c r="AK1444" t="s">
        <v>6966</v>
      </c>
      <c r="AL1444" t="s">
        <v>6966</v>
      </c>
      <c r="AM1444" t="s">
        <v>6966</v>
      </c>
      <c r="AN1444" t="s">
        <v>6966</v>
      </c>
      <c r="AO1444" t="s">
        <v>6966</v>
      </c>
      <c r="AP1444" t="s">
        <v>6966</v>
      </c>
      <c r="AQ1444" t="s">
        <v>6966</v>
      </c>
      <c r="AR1444" t="s">
        <v>6966</v>
      </c>
      <c r="AS1444" t="s">
        <v>6966</v>
      </c>
      <c r="AT1444" t="s">
        <v>6966</v>
      </c>
      <c r="AU1444" t="s">
        <v>6966</v>
      </c>
      <c r="AV1444" t="s">
        <v>6966</v>
      </c>
      <c r="AW1444" t="s">
        <v>6966</v>
      </c>
      <c r="AX1444" t="s">
        <v>6966</v>
      </c>
      <c r="AY1444" t="s">
        <v>6966</v>
      </c>
      <c r="AZ1444">
        <v>0.175986</v>
      </c>
      <c r="BA1444">
        <v>8.7699999999999996E-4</v>
      </c>
    </row>
    <row r="1445" spans="1:53" x14ac:dyDescent="0.25">
      <c r="A1445">
        <v>1443</v>
      </c>
      <c r="B1445" t="s">
        <v>7625</v>
      </c>
      <c r="C1445">
        <v>801042</v>
      </c>
      <c r="D1445" t="s">
        <v>8127</v>
      </c>
      <c r="E1445" t="s">
        <v>1342</v>
      </c>
      <c r="F1445">
        <v>1368087.5</v>
      </c>
      <c r="G1445">
        <v>6530.4228519999997</v>
      </c>
      <c r="H1445">
        <v>1445</v>
      </c>
      <c r="I1445">
        <v>1686</v>
      </c>
      <c r="J1445">
        <v>63359</v>
      </c>
      <c r="K1445" t="s">
        <v>8128</v>
      </c>
      <c r="L1445">
        <v>22</v>
      </c>
      <c r="M1445">
        <v>22</v>
      </c>
      <c r="N1445">
        <v>63359</v>
      </c>
      <c r="O1445">
        <v>1414</v>
      </c>
      <c r="P1445" t="s">
        <v>3213</v>
      </c>
      <c r="Q1445">
        <v>0</v>
      </c>
      <c r="R1445">
        <v>0</v>
      </c>
      <c r="S1445">
        <v>0.09</v>
      </c>
      <c r="T1445">
        <v>16</v>
      </c>
      <c r="U1445">
        <v>1368087.5108099999</v>
      </c>
      <c r="V1445">
        <v>6530.4230440000001</v>
      </c>
      <c r="W1445">
        <v>1444</v>
      </c>
      <c r="X1445">
        <v>0</v>
      </c>
      <c r="Y1445">
        <v>1443</v>
      </c>
      <c r="Z1445" t="s">
        <v>6966</v>
      </c>
      <c r="AA1445" t="s">
        <v>6966</v>
      </c>
      <c r="AB1445" t="s">
        <v>6966</v>
      </c>
      <c r="AC1445" t="s">
        <v>6966</v>
      </c>
      <c r="AD1445" t="s">
        <v>6966</v>
      </c>
      <c r="AE1445" t="s">
        <v>6966</v>
      </c>
      <c r="AF1445" t="s">
        <v>6966</v>
      </c>
      <c r="AG1445" t="s">
        <v>6966</v>
      </c>
      <c r="AH1445" t="s">
        <v>6966</v>
      </c>
      <c r="AI1445" t="s">
        <v>6966</v>
      </c>
      <c r="AJ1445" t="s">
        <v>6966</v>
      </c>
      <c r="AK1445" t="s">
        <v>6966</v>
      </c>
      <c r="AL1445" t="s">
        <v>6966</v>
      </c>
      <c r="AM1445" t="s">
        <v>6966</v>
      </c>
      <c r="AN1445" t="s">
        <v>6966</v>
      </c>
      <c r="AO1445" t="s">
        <v>6966</v>
      </c>
      <c r="AP1445" t="s">
        <v>6966</v>
      </c>
      <c r="AQ1445" t="s">
        <v>6966</v>
      </c>
      <c r="AR1445" t="s">
        <v>6966</v>
      </c>
      <c r="AS1445" t="s">
        <v>6966</v>
      </c>
      <c r="AT1445" t="s">
        <v>6966</v>
      </c>
      <c r="AU1445" t="s">
        <v>6966</v>
      </c>
      <c r="AV1445" t="s">
        <v>6966</v>
      </c>
      <c r="AW1445" t="s">
        <v>6966</v>
      </c>
      <c r="AX1445" t="s">
        <v>6966</v>
      </c>
      <c r="AY1445" t="s">
        <v>6966</v>
      </c>
      <c r="AZ1445">
        <v>6.3973000000000002E-2</v>
      </c>
      <c r="BA1445">
        <v>1.3300000000000001E-4</v>
      </c>
    </row>
    <row r="1446" spans="1:53" x14ac:dyDescent="0.25">
      <c r="A1446">
        <v>1444</v>
      </c>
      <c r="B1446" t="s">
        <v>7625</v>
      </c>
      <c r="C1446">
        <v>801029</v>
      </c>
      <c r="D1446" t="s">
        <v>1413</v>
      </c>
      <c r="E1446" t="s">
        <v>1342</v>
      </c>
      <c r="F1446">
        <v>4475566.5</v>
      </c>
      <c r="G1446">
        <v>11263.245117</v>
      </c>
      <c r="H1446">
        <v>1446</v>
      </c>
      <c r="I1446">
        <v>1687</v>
      </c>
      <c r="J1446">
        <v>63375</v>
      </c>
      <c r="K1446" t="s">
        <v>2686</v>
      </c>
      <c r="L1446">
        <v>22</v>
      </c>
      <c r="M1446">
        <v>22</v>
      </c>
      <c r="N1446">
        <v>63375</v>
      </c>
      <c r="O1446">
        <v>1415</v>
      </c>
      <c r="P1446" t="s">
        <v>3213</v>
      </c>
      <c r="Q1446">
        <v>0</v>
      </c>
      <c r="R1446">
        <v>2.2200000000000002</v>
      </c>
      <c r="S1446">
        <v>7.0000000000000007E-2</v>
      </c>
      <c r="T1446">
        <v>4</v>
      </c>
      <c r="U1446">
        <v>4475566.6831099996</v>
      </c>
      <c r="V1446">
        <v>11263.246048000001</v>
      </c>
      <c r="W1446">
        <v>1445</v>
      </c>
      <c r="X1446">
        <v>0</v>
      </c>
      <c r="Y1446">
        <v>1444</v>
      </c>
      <c r="Z1446" t="s">
        <v>6966</v>
      </c>
      <c r="AA1446" t="s">
        <v>6966</v>
      </c>
      <c r="AB1446" t="s">
        <v>6966</v>
      </c>
      <c r="AC1446" t="s">
        <v>6966</v>
      </c>
      <c r="AD1446" t="s">
        <v>6966</v>
      </c>
      <c r="AE1446" t="s">
        <v>6966</v>
      </c>
      <c r="AF1446" t="s">
        <v>6966</v>
      </c>
      <c r="AG1446" t="s">
        <v>6966</v>
      </c>
      <c r="AH1446" t="s">
        <v>6966</v>
      </c>
      <c r="AI1446" t="s">
        <v>6966</v>
      </c>
      <c r="AJ1446" t="s">
        <v>6966</v>
      </c>
      <c r="AK1446" t="s">
        <v>6966</v>
      </c>
      <c r="AL1446" t="s">
        <v>6966</v>
      </c>
      <c r="AM1446" t="s">
        <v>6966</v>
      </c>
      <c r="AN1446" t="s">
        <v>6966</v>
      </c>
      <c r="AO1446" t="s">
        <v>6966</v>
      </c>
      <c r="AP1446" t="s">
        <v>6966</v>
      </c>
      <c r="AQ1446" t="s">
        <v>6966</v>
      </c>
      <c r="AR1446" t="s">
        <v>6966</v>
      </c>
      <c r="AS1446" t="s">
        <v>6966</v>
      </c>
      <c r="AT1446" t="s">
        <v>6966</v>
      </c>
      <c r="AU1446" t="s">
        <v>6966</v>
      </c>
      <c r="AV1446" t="s">
        <v>6966</v>
      </c>
      <c r="AW1446" t="s">
        <v>6966</v>
      </c>
      <c r="AX1446" t="s">
        <v>6966</v>
      </c>
      <c r="AY1446" t="s">
        <v>6966</v>
      </c>
      <c r="AZ1446">
        <v>0.108819</v>
      </c>
      <c r="BA1446">
        <v>4.3300000000000001E-4</v>
      </c>
    </row>
    <row r="1447" spans="1:53" x14ac:dyDescent="0.25">
      <c r="A1447">
        <v>1445</v>
      </c>
      <c r="B1447" t="s">
        <v>7625</v>
      </c>
      <c r="C1447">
        <v>802024</v>
      </c>
      <c r="D1447" t="s">
        <v>8129</v>
      </c>
      <c r="E1447" t="s">
        <v>3039</v>
      </c>
      <c r="F1447">
        <v>2354898.5</v>
      </c>
      <c r="G1447">
        <v>7591.767578</v>
      </c>
      <c r="H1447">
        <v>1447</v>
      </c>
      <c r="I1447">
        <v>1688</v>
      </c>
      <c r="J1447">
        <v>61423</v>
      </c>
      <c r="K1447" t="s">
        <v>8130</v>
      </c>
      <c r="L1447">
        <v>20</v>
      </c>
      <c r="M1447">
        <v>20</v>
      </c>
      <c r="N1447">
        <v>61423</v>
      </c>
      <c r="O1447">
        <v>1416</v>
      </c>
      <c r="P1447" t="s">
        <v>3213</v>
      </c>
      <c r="Q1447">
        <v>0.1</v>
      </c>
      <c r="R1447">
        <v>34.5</v>
      </c>
      <c r="S1447">
        <v>0.03</v>
      </c>
      <c r="T1447">
        <v>12</v>
      </c>
      <c r="U1447">
        <v>2354898.3563399999</v>
      </c>
      <c r="V1447">
        <v>7591.7674470000002</v>
      </c>
      <c r="W1447">
        <v>1446</v>
      </c>
      <c r="X1447">
        <v>0</v>
      </c>
      <c r="Y1447">
        <v>1445</v>
      </c>
      <c r="Z1447" t="s">
        <v>6966</v>
      </c>
      <c r="AA1447" t="s">
        <v>6966</v>
      </c>
      <c r="AB1447" t="s">
        <v>6966</v>
      </c>
      <c r="AC1447" t="s">
        <v>6966</v>
      </c>
      <c r="AD1447" t="s">
        <v>6966</v>
      </c>
      <c r="AE1447" t="s">
        <v>6966</v>
      </c>
      <c r="AF1447" t="s">
        <v>6966</v>
      </c>
      <c r="AG1447" t="s">
        <v>6966</v>
      </c>
      <c r="AH1447" t="s">
        <v>6966</v>
      </c>
      <c r="AI1447" t="s">
        <v>6966</v>
      </c>
      <c r="AJ1447" t="s">
        <v>6966</v>
      </c>
      <c r="AK1447" t="s">
        <v>6966</v>
      </c>
      <c r="AL1447" t="s">
        <v>6966</v>
      </c>
      <c r="AM1447" t="s">
        <v>6966</v>
      </c>
      <c r="AN1447" t="s">
        <v>6966</v>
      </c>
      <c r="AO1447" t="s">
        <v>6966</v>
      </c>
      <c r="AP1447" t="s">
        <v>6966</v>
      </c>
      <c r="AQ1447" t="s">
        <v>6966</v>
      </c>
      <c r="AR1447" t="s">
        <v>6966</v>
      </c>
      <c r="AS1447" t="s">
        <v>6966</v>
      </c>
      <c r="AT1447" t="s">
        <v>6966</v>
      </c>
      <c r="AU1447" t="s">
        <v>6966</v>
      </c>
      <c r="AV1447" t="s">
        <v>6966</v>
      </c>
      <c r="AW1447" t="s">
        <v>6966</v>
      </c>
      <c r="AX1447" t="s">
        <v>6966</v>
      </c>
      <c r="AY1447" t="s">
        <v>6966</v>
      </c>
      <c r="AZ1447">
        <v>7.2801000000000005E-2</v>
      </c>
      <c r="BA1447">
        <v>2.2800000000000001E-4</v>
      </c>
    </row>
    <row r="1448" spans="1:53" x14ac:dyDescent="0.25">
      <c r="A1448">
        <v>1446</v>
      </c>
      <c r="B1448" t="s">
        <v>7625</v>
      </c>
      <c r="C1448">
        <v>604039</v>
      </c>
      <c r="D1448" t="s">
        <v>1418</v>
      </c>
      <c r="E1448" t="s">
        <v>6965</v>
      </c>
      <c r="F1448">
        <v>6969761.5</v>
      </c>
      <c r="G1448">
        <v>18919.439452999999</v>
      </c>
      <c r="H1448">
        <v>1448</v>
      </c>
      <c r="I1448">
        <v>1689</v>
      </c>
      <c r="J1448">
        <v>71111</v>
      </c>
      <c r="K1448" t="s">
        <v>8131</v>
      </c>
      <c r="L1448">
        <v>23</v>
      </c>
      <c r="M1448">
        <v>23</v>
      </c>
      <c r="N1448">
        <v>71111</v>
      </c>
      <c r="O1448">
        <v>1417</v>
      </c>
      <c r="P1448" t="s">
        <v>6965</v>
      </c>
      <c r="Q1448">
        <v>25.1</v>
      </c>
      <c r="R1448">
        <v>72.11</v>
      </c>
      <c r="S1448">
        <v>6.32</v>
      </c>
      <c r="T1448">
        <v>18</v>
      </c>
      <c r="U1448">
        <v>6969761.30155</v>
      </c>
      <c r="V1448">
        <v>18919.442749000002</v>
      </c>
      <c r="W1448">
        <v>1447</v>
      </c>
      <c r="X1448">
        <v>0</v>
      </c>
      <c r="Y1448">
        <v>1446</v>
      </c>
      <c r="Z1448" t="s">
        <v>6966</v>
      </c>
      <c r="AA1448" t="s">
        <v>6966</v>
      </c>
      <c r="AB1448" t="s">
        <v>6966</v>
      </c>
      <c r="AC1448" t="s">
        <v>6966</v>
      </c>
      <c r="AD1448" t="s">
        <v>6966</v>
      </c>
      <c r="AE1448" t="s">
        <v>6966</v>
      </c>
      <c r="AF1448" t="s">
        <v>6966</v>
      </c>
      <c r="AG1448" t="s">
        <v>6966</v>
      </c>
      <c r="AH1448" t="s">
        <v>6966</v>
      </c>
      <c r="AI1448" t="s">
        <v>6966</v>
      </c>
      <c r="AJ1448" t="s">
        <v>6966</v>
      </c>
      <c r="AK1448" t="s">
        <v>6966</v>
      </c>
      <c r="AL1448" t="s">
        <v>6966</v>
      </c>
      <c r="AM1448" t="s">
        <v>6966</v>
      </c>
      <c r="AN1448" t="s">
        <v>6966</v>
      </c>
      <c r="AO1448" t="s">
        <v>6966</v>
      </c>
      <c r="AP1448" t="s">
        <v>6966</v>
      </c>
      <c r="AQ1448" t="s">
        <v>6966</v>
      </c>
      <c r="AR1448" t="s">
        <v>6966</v>
      </c>
      <c r="AS1448" t="s">
        <v>6966</v>
      </c>
      <c r="AT1448" t="s">
        <v>6966</v>
      </c>
      <c r="AU1448" t="s">
        <v>6966</v>
      </c>
      <c r="AV1448" t="s">
        <v>6966</v>
      </c>
      <c r="AW1448" t="s">
        <v>6966</v>
      </c>
      <c r="AX1448" t="s">
        <v>6966</v>
      </c>
      <c r="AY1448" t="s">
        <v>6966</v>
      </c>
      <c r="AZ1448">
        <v>0.18770700000000001</v>
      </c>
      <c r="BA1448">
        <v>6.7500000000000004E-4</v>
      </c>
    </row>
    <row r="1449" spans="1:53" x14ac:dyDescent="0.25">
      <c r="A1449">
        <v>1447</v>
      </c>
      <c r="B1449" t="s">
        <v>7625</v>
      </c>
      <c r="C1449">
        <v>604033</v>
      </c>
      <c r="D1449" t="s">
        <v>1451</v>
      </c>
      <c r="E1449" t="s">
        <v>6965</v>
      </c>
      <c r="F1449">
        <v>2868524.5</v>
      </c>
      <c r="G1449">
        <v>8072.0522460000002</v>
      </c>
      <c r="H1449">
        <v>1449</v>
      </c>
      <c r="I1449">
        <v>1690</v>
      </c>
      <c r="J1449">
        <v>71341</v>
      </c>
      <c r="K1449" t="s">
        <v>2716</v>
      </c>
      <c r="L1449">
        <v>23</v>
      </c>
      <c r="M1449">
        <v>23</v>
      </c>
      <c r="N1449">
        <v>71341</v>
      </c>
      <c r="O1449">
        <v>1418</v>
      </c>
      <c r="P1449" t="s">
        <v>6965</v>
      </c>
      <c r="Q1449">
        <v>0</v>
      </c>
      <c r="R1449">
        <v>58.07</v>
      </c>
      <c r="S1449">
        <v>0</v>
      </c>
      <c r="T1449">
        <v>10</v>
      </c>
      <c r="U1449">
        <v>2868524.5732200001</v>
      </c>
      <c r="V1449">
        <v>8072.0518579999998</v>
      </c>
      <c r="W1449">
        <v>1448</v>
      </c>
      <c r="X1449">
        <v>0</v>
      </c>
      <c r="Y1449">
        <v>1447</v>
      </c>
      <c r="Z1449" t="s">
        <v>6966</v>
      </c>
      <c r="AA1449" t="s">
        <v>6966</v>
      </c>
      <c r="AB1449" t="s">
        <v>6966</v>
      </c>
      <c r="AC1449" t="s">
        <v>6966</v>
      </c>
      <c r="AD1449" t="s">
        <v>6966</v>
      </c>
      <c r="AE1449" t="s">
        <v>6966</v>
      </c>
      <c r="AF1449" t="s">
        <v>6966</v>
      </c>
      <c r="AG1449" t="s">
        <v>6966</v>
      </c>
      <c r="AH1449" t="s">
        <v>6966</v>
      </c>
      <c r="AI1449" t="s">
        <v>6966</v>
      </c>
      <c r="AJ1449" t="s">
        <v>6966</v>
      </c>
      <c r="AK1449" t="s">
        <v>6966</v>
      </c>
      <c r="AL1449" t="s">
        <v>6966</v>
      </c>
      <c r="AM1449" t="s">
        <v>6966</v>
      </c>
      <c r="AN1449" t="s">
        <v>6966</v>
      </c>
      <c r="AO1449" t="s">
        <v>6966</v>
      </c>
      <c r="AP1449" t="s">
        <v>6966</v>
      </c>
      <c r="AQ1449" t="s">
        <v>6966</v>
      </c>
      <c r="AR1449" t="s">
        <v>6966</v>
      </c>
      <c r="AS1449" t="s">
        <v>6966</v>
      </c>
      <c r="AT1449" t="s">
        <v>6966</v>
      </c>
      <c r="AU1449" t="s">
        <v>6966</v>
      </c>
      <c r="AV1449" t="s">
        <v>6966</v>
      </c>
      <c r="AW1449" t="s">
        <v>6966</v>
      </c>
      <c r="AX1449" t="s">
        <v>6966</v>
      </c>
      <c r="AY1449" t="s">
        <v>6966</v>
      </c>
      <c r="AZ1449">
        <v>8.1264000000000003E-2</v>
      </c>
      <c r="BA1449">
        <v>2.7799999999999998E-4</v>
      </c>
    </row>
    <row r="1450" spans="1:53" x14ac:dyDescent="0.25">
      <c r="A1450">
        <v>1448</v>
      </c>
      <c r="B1450" t="s">
        <v>7625</v>
      </c>
      <c r="C1450">
        <v>801040</v>
      </c>
      <c r="D1450" t="s">
        <v>8132</v>
      </c>
      <c r="E1450" t="s">
        <v>1342</v>
      </c>
      <c r="F1450">
        <v>3272822</v>
      </c>
      <c r="G1450">
        <v>8141.3837890000004</v>
      </c>
      <c r="H1450">
        <v>1450</v>
      </c>
      <c r="I1450">
        <v>1692</v>
      </c>
      <c r="J1450">
        <v>63371</v>
      </c>
      <c r="K1450" t="s">
        <v>2685</v>
      </c>
      <c r="L1450">
        <v>22</v>
      </c>
      <c r="M1450">
        <v>22</v>
      </c>
      <c r="N1450">
        <v>63371</v>
      </c>
      <c r="O1450">
        <v>1419</v>
      </c>
      <c r="P1450" t="s">
        <v>3213</v>
      </c>
      <c r="Q1450">
        <v>0</v>
      </c>
      <c r="R1450">
        <v>3.01</v>
      </c>
      <c r="S1450">
        <v>0.01</v>
      </c>
      <c r="T1450">
        <v>1</v>
      </c>
      <c r="U1450">
        <v>3272821.9131499999</v>
      </c>
      <c r="V1450">
        <v>8141.3836529999999</v>
      </c>
      <c r="W1450">
        <v>1449</v>
      </c>
      <c r="X1450">
        <v>0</v>
      </c>
      <c r="Y1450">
        <v>1448</v>
      </c>
      <c r="Z1450" t="s">
        <v>6966</v>
      </c>
      <c r="AA1450" t="s">
        <v>6966</v>
      </c>
      <c r="AB1450" t="s">
        <v>6966</v>
      </c>
      <c r="AC1450" t="s">
        <v>6966</v>
      </c>
      <c r="AD1450" t="s">
        <v>6966</v>
      </c>
      <c r="AE1450" t="s">
        <v>6966</v>
      </c>
      <c r="AF1450" t="s">
        <v>6966</v>
      </c>
      <c r="AG1450" t="s">
        <v>6966</v>
      </c>
      <c r="AH1450" t="s">
        <v>6966</v>
      </c>
      <c r="AI1450" t="s">
        <v>6966</v>
      </c>
      <c r="AJ1450" t="s">
        <v>6966</v>
      </c>
      <c r="AK1450" t="s">
        <v>6966</v>
      </c>
      <c r="AL1450" t="s">
        <v>6966</v>
      </c>
      <c r="AM1450" t="s">
        <v>6966</v>
      </c>
      <c r="AN1450" t="s">
        <v>6966</v>
      </c>
      <c r="AO1450" t="s">
        <v>6966</v>
      </c>
      <c r="AP1450" t="s">
        <v>6966</v>
      </c>
      <c r="AQ1450" t="s">
        <v>6966</v>
      </c>
      <c r="AR1450" t="s">
        <v>6966</v>
      </c>
      <c r="AS1450" t="s">
        <v>6966</v>
      </c>
      <c r="AT1450" t="s">
        <v>6966</v>
      </c>
      <c r="AU1450" t="s">
        <v>6966</v>
      </c>
      <c r="AV1450" t="s">
        <v>6966</v>
      </c>
      <c r="AW1450" t="s">
        <v>6966</v>
      </c>
      <c r="AX1450" t="s">
        <v>6966</v>
      </c>
      <c r="AY1450" t="s">
        <v>6966</v>
      </c>
      <c r="AZ1450">
        <v>8.1559999999999994E-2</v>
      </c>
      <c r="BA1450">
        <v>3.1700000000000001E-4</v>
      </c>
    </row>
    <row r="1451" spans="1:53" x14ac:dyDescent="0.25">
      <c r="A1451">
        <v>1449</v>
      </c>
      <c r="B1451" t="s">
        <v>7625</v>
      </c>
      <c r="C1451">
        <v>604052</v>
      </c>
      <c r="D1451" t="s">
        <v>1422</v>
      </c>
      <c r="E1451" t="s">
        <v>6965</v>
      </c>
      <c r="F1451">
        <v>4243308</v>
      </c>
      <c r="G1451">
        <v>12315.440430000001</v>
      </c>
      <c r="H1451">
        <v>1451</v>
      </c>
      <c r="I1451">
        <v>1693</v>
      </c>
      <c r="J1451">
        <v>71122</v>
      </c>
      <c r="K1451" t="s">
        <v>1945</v>
      </c>
      <c r="L1451">
        <v>23</v>
      </c>
      <c r="M1451">
        <v>23</v>
      </c>
      <c r="N1451">
        <v>71122</v>
      </c>
      <c r="O1451">
        <v>1420</v>
      </c>
      <c r="P1451" t="s">
        <v>6965</v>
      </c>
      <c r="Q1451">
        <v>8.5</v>
      </c>
      <c r="R1451">
        <v>45.18</v>
      </c>
      <c r="S1451">
        <v>2.34</v>
      </c>
      <c r="T1451">
        <v>12</v>
      </c>
      <c r="U1451">
        <v>4243307.8484399999</v>
      </c>
      <c r="V1451">
        <v>12315.439397</v>
      </c>
      <c r="W1451">
        <v>1450</v>
      </c>
      <c r="X1451">
        <v>0</v>
      </c>
      <c r="Y1451">
        <v>1449</v>
      </c>
      <c r="Z1451" t="s">
        <v>6966</v>
      </c>
      <c r="AA1451" t="s">
        <v>6966</v>
      </c>
      <c r="AB1451" t="s">
        <v>6966</v>
      </c>
      <c r="AC1451" t="s">
        <v>6966</v>
      </c>
      <c r="AD1451" t="s">
        <v>6966</v>
      </c>
      <c r="AE1451" t="s">
        <v>6966</v>
      </c>
      <c r="AF1451" t="s">
        <v>6966</v>
      </c>
      <c r="AG1451" t="s">
        <v>6966</v>
      </c>
      <c r="AH1451" t="s">
        <v>6966</v>
      </c>
      <c r="AI1451" t="s">
        <v>6966</v>
      </c>
      <c r="AJ1451" t="s">
        <v>6966</v>
      </c>
      <c r="AK1451" t="s">
        <v>6966</v>
      </c>
      <c r="AL1451" t="s">
        <v>6966</v>
      </c>
      <c r="AM1451" t="s">
        <v>6966</v>
      </c>
      <c r="AN1451" t="s">
        <v>6966</v>
      </c>
      <c r="AO1451" t="s">
        <v>6966</v>
      </c>
      <c r="AP1451" t="s">
        <v>6966</v>
      </c>
      <c r="AQ1451" t="s">
        <v>6966</v>
      </c>
      <c r="AR1451" t="s">
        <v>6966</v>
      </c>
      <c r="AS1451" t="s">
        <v>6966</v>
      </c>
      <c r="AT1451" t="s">
        <v>6966</v>
      </c>
      <c r="AU1451" t="s">
        <v>6966</v>
      </c>
      <c r="AV1451" t="s">
        <v>6966</v>
      </c>
      <c r="AW1451" t="s">
        <v>6966</v>
      </c>
      <c r="AX1451" t="s">
        <v>6966</v>
      </c>
      <c r="AY1451" t="s">
        <v>6966</v>
      </c>
      <c r="AZ1451">
        <v>0.12216299999999999</v>
      </c>
      <c r="BA1451">
        <v>4.1100000000000002E-4</v>
      </c>
    </row>
    <row r="1452" spans="1:53" x14ac:dyDescent="0.25">
      <c r="A1452">
        <v>1450</v>
      </c>
      <c r="B1452" t="s">
        <v>7625</v>
      </c>
      <c r="C1452">
        <v>602003</v>
      </c>
      <c r="D1452" t="s">
        <v>1542</v>
      </c>
      <c r="E1452" t="s">
        <v>1541</v>
      </c>
      <c r="F1452">
        <v>2127778.75</v>
      </c>
      <c r="G1452">
        <v>6626.1577150000003</v>
      </c>
      <c r="H1452">
        <v>1452</v>
      </c>
      <c r="I1452">
        <v>1694</v>
      </c>
      <c r="J1452">
        <v>74112</v>
      </c>
      <c r="K1452" t="s">
        <v>2785</v>
      </c>
      <c r="L1452">
        <v>26</v>
      </c>
      <c r="M1452">
        <v>26</v>
      </c>
      <c r="N1452">
        <v>74112</v>
      </c>
      <c r="O1452">
        <v>1421</v>
      </c>
      <c r="P1452" t="s">
        <v>6965</v>
      </c>
      <c r="Q1452">
        <v>0.4</v>
      </c>
      <c r="R1452">
        <v>30.93</v>
      </c>
      <c r="S1452">
        <v>0.08</v>
      </c>
      <c r="T1452">
        <v>7</v>
      </c>
      <c r="U1452">
        <v>2127778.8081499999</v>
      </c>
      <c r="V1452">
        <v>6626.1580919999997</v>
      </c>
      <c r="W1452">
        <v>1451</v>
      </c>
      <c r="X1452">
        <v>0</v>
      </c>
      <c r="Y1452">
        <v>1450</v>
      </c>
      <c r="Z1452" t="s">
        <v>6966</v>
      </c>
      <c r="AA1452" t="s">
        <v>6966</v>
      </c>
      <c r="AB1452" t="s">
        <v>6966</v>
      </c>
      <c r="AC1452" t="s">
        <v>6966</v>
      </c>
      <c r="AD1452" t="s">
        <v>6966</v>
      </c>
      <c r="AE1452" t="s">
        <v>6966</v>
      </c>
      <c r="AF1452" t="s">
        <v>6966</v>
      </c>
      <c r="AG1452" t="s">
        <v>6966</v>
      </c>
      <c r="AH1452" t="s">
        <v>6966</v>
      </c>
      <c r="AI1452" t="s">
        <v>6966</v>
      </c>
      <c r="AJ1452" t="s">
        <v>6966</v>
      </c>
      <c r="AK1452" t="s">
        <v>6966</v>
      </c>
      <c r="AL1452" t="s">
        <v>6966</v>
      </c>
      <c r="AM1452" t="s">
        <v>6966</v>
      </c>
      <c r="AN1452" t="s">
        <v>6966</v>
      </c>
      <c r="AO1452" t="s">
        <v>6966</v>
      </c>
      <c r="AP1452" t="s">
        <v>6966</v>
      </c>
      <c r="AQ1452" t="s">
        <v>6966</v>
      </c>
      <c r="AR1452" t="s">
        <v>6966</v>
      </c>
      <c r="AS1452" t="s">
        <v>6966</v>
      </c>
      <c r="AT1452" t="s">
        <v>6966</v>
      </c>
      <c r="AU1452" t="s">
        <v>6966</v>
      </c>
      <c r="AV1452" t="s">
        <v>6966</v>
      </c>
      <c r="AW1452" t="s">
        <v>6966</v>
      </c>
      <c r="AX1452" t="s">
        <v>6966</v>
      </c>
      <c r="AY1452" t="s">
        <v>6966</v>
      </c>
      <c r="AZ1452">
        <v>6.5896999999999997E-2</v>
      </c>
      <c r="BA1452">
        <v>2.0599999999999999E-4</v>
      </c>
    </row>
    <row r="1453" spans="1:53" x14ac:dyDescent="0.25">
      <c r="A1453">
        <v>1451</v>
      </c>
      <c r="B1453" t="s">
        <v>7625</v>
      </c>
      <c r="C1453">
        <v>604018</v>
      </c>
      <c r="D1453" t="s">
        <v>1448</v>
      </c>
      <c r="E1453" t="s">
        <v>6965</v>
      </c>
      <c r="F1453">
        <v>6623702</v>
      </c>
      <c r="G1453">
        <v>17327.283202999999</v>
      </c>
      <c r="H1453">
        <v>1453</v>
      </c>
      <c r="I1453">
        <v>1695</v>
      </c>
      <c r="J1453">
        <v>71331</v>
      </c>
      <c r="K1453" t="s">
        <v>2713</v>
      </c>
      <c r="L1453">
        <v>23</v>
      </c>
      <c r="M1453">
        <v>23</v>
      </c>
      <c r="N1453">
        <v>71331</v>
      </c>
      <c r="O1453">
        <v>1422</v>
      </c>
      <c r="P1453" t="s">
        <v>6965</v>
      </c>
      <c r="Q1453">
        <v>8.4</v>
      </c>
      <c r="R1453">
        <v>36.28</v>
      </c>
      <c r="S1453">
        <v>2.27</v>
      </c>
      <c r="T1453">
        <v>10</v>
      </c>
      <c r="U1453">
        <v>6623702.0969900005</v>
      </c>
      <c r="V1453">
        <v>17327.282188000001</v>
      </c>
      <c r="W1453">
        <v>1452</v>
      </c>
      <c r="X1453">
        <v>0</v>
      </c>
      <c r="Y1453">
        <v>1451</v>
      </c>
      <c r="Z1453" t="s">
        <v>6966</v>
      </c>
      <c r="AA1453" t="s">
        <v>6966</v>
      </c>
      <c r="AB1453" t="s">
        <v>6966</v>
      </c>
      <c r="AC1453" t="s">
        <v>6966</v>
      </c>
      <c r="AD1453" t="s">
        <v>6966</v>
      </c>
      <c r="AE1453" t="s">
        <v>6966</v>
      </c>
      <c r="AF1453" t="s">
        <v>6966</v>
      </c>
      <c r="AG1453" t="s">
        <v>6966</v>
      </c>
      <c r="AH1453" t="s">
        <v>6966</v>
      </c>
      <c r="AI1453" t="s">
        <v>6966</v>
      </c>
      <c r="AJ1453" t="s">
        <v>6966</v>
      </c>
      <c r="AK1453" t="s">
        <v>6966</v>
      </c>
      <c r="AL1453" t="s">
        <v>6966</v>
      </c>
      <c r="AM1453" t="s">
        <v>6966</v>
      </c>
      <c r="AN1453" t="s">
        <v>6966</v>
      </c>
      <c r="AO1453" t="s">
        <v>6966</v>
      </c>
      <c r="AP1453" t="s">
        <v>6966</v>
      </c>
      <c r="AQ1453" t="s">
        <v>6966</v>
      </c>
      <c r="AR1453" t="s">
        <v>6966</v>
      </c>
      <c r="AS1453" t="s">
        <v>6966</v>
      </c>
      <c r="AT1453" t="s">
        <v>6966</v>
      </c>
      <c r="AU1453" t="s">
        <v>6966</v>
      </c>
      <c r="AV1453" t="s">
        <v>6966</v>
      </c>
      <c r="AW1453" t="s">
        <v>6966</v>
      </c>
      <c r="AX1453" t="s">
        <v>6966</v>
      </c>
      <c r="AY1453" t="s">
        <v>6966</v>
      </c>
      <c r="AZ1453">
        <v>0.17260700000000001</v>
      </c>
      <c r="BA1453">
        <v>6.4099999999999997E-4</v>
      </c>
    </row>
    <row r="1454" spans="1:53" x14ac:dyDescent="0.25">
      <c r="A1454">
        <v>1452</v>
      </c>
      <c r="B1454" t="s">
        <v>7625</v>
      </c>
      <c r="C1454">
        <v>602001</v>
      </c>
      <c r="D1454" t="s">
        <v>1543</v>
      </c>
      <c r="E1454" t="s">
        <v>1541</v>
      </c>
      <c r="F1454">
        <v>3227613.5</v>
      </c>
      <c r="G1454">
        <v>9403.0234380000002</v>
      </c>
      <c r="H1454">
        <v>1454</v>
      </c>
      <c r="I1454">
        <v>1696</v>
      </c>
      <c r="J1454">
        <v>74114</v>
      </c>
      <c r="K1454" t="s">
        <v>8133</v>
      </c>
      <c r="L1454">
        <v>26</v>
      </c>
      <c r="M1454">
        <v>26</v>
      </c>
      <c r="N1454">
        <v>74114</v>
      </c>
      <c r="O1454">
        <v>1423</v>
      </c>
      <c r="P1454" t="s">
        <v>6965</v>
      </c>
      <c r="Q1454">
        <v>3.4</v>
      </c>
      <c r="R1454">
        <v>70.540000000000006</v>
      </c>
      <c r="S1454">
        <v>0.82</v>
      </c>
      <c r="T1454">
        <v>17</v>
      </c>
      <c r="U1454">
        <v>3227613.3940099999</v>
      </c>
      <c r="V1454">
        <v>9403.0232859999996</v>
      </c>
      <c r="W1454">
        <v>1453</v>
      </c>
      <c r="X1454">
        <v>0</v>
      </c>
      <c r="Y1454">
        <v>1452</v>
      </c>
      <c r="Z1454" t="s">
        <v>6966</v>
      </c>
      <c r="AA1454" t="s">
        <v>6966</v>
      </c>
      <c r="AB1454" t="s">
        <v>6966</v>
      </c>
      <c r="AC1454" t="s">
        <v>6966</v>
      </c>
      <c r="AD1454" t="s">
        <v>6966</v>
      </c>
      <c r="AE1454" t="s">
        <v>6966</v>
      </c>
      <c r="AF1454" t="s">
        <v>6966</v>
      </c>
      <c r="AG1454" t="s">
        <v>6966</v>
      </c>
      <c r="AH1454" t="s">
        <v>6966</v>
      </c>
      <c r="AI1454" t="s">
        <v>6966</v>
      </c>
      <c r="AJ1454" t="s">
        <v>6966</v>
      </c>
      <c r="AK1454" t="s">
        <v>6966</v>
      </c>
      <c r="AL1454" t="s">
        <v>6966</v>
      </c>
      <c r="AM1454" t="s">
        <v>6966</v>
      </c>
      <c r="AN1454" t="s">
        <v>6966</v>
      </c>
      <c r="AO1454" t="s">
        <v>6966</v>
      </c>
      <c r="AP1454" t="s">
        <v>6966</v>
      </c>
      <c r="AQ1454" t="s">
        <v>6966</v>
      </c>
      <c r="AR1454" t="s">
        <v>6966</v>
      </c>
      <c r="AS1454" t="s">
        <v>6966</v>
      </c>
      <c r="AT1454" t="s">
        <v>6966</v>
      </c>
      <c r="AU1454" t="s">
        <v>6966</v>
      </c>
      <c r="AV1454" t="s">
        <v>6966</v>
      </c>
      <c r="AW1454" t="s">
        <v>6966</v>
      </c>
      <c r="AX1454" t="s">
        <v>6966</v>
      </c>
      <c r="AY1454" t="s">
        <v>6966</v>
      </c>
      <c r="AZ1454">
        <v>9.5612000000000003E-2</v>
      </c>
      <c r="BA1454">
        <v>3.1300000000000002E-4</v>
      </c>
    </row>
    <row r="1455" spans="1:53" x14ac:dyDescent="0.25">
      <c r="A1455">
        <v>1453</v>
      </c>
      <c r="B1455" t="s">
        <v>7625</v>
      </c>
      <c r="C1455">
        <v>802052</v>
      </c>
      <c r="D1455" t="s">
        <v>1222</v>
      </c>
      <c r="E1455" t="s">
        <v>3039</v>
      </c>
      <c r="F1455">
        <v>3676885</v>
      </c>
      <c r="G1455">
        <v>10524.274414</v>
      </c>
      <c r="H1455">
        <v>1455</v>
      </c>
      <c r="I1455">
        <v>1697</v>
      </c>
      <c r="J1455">
        <v>61426</v>
      </c>
      <c r="K1455" t="s">
        <v>2534</v>
      </c>
      <c r="L1455">
        <v>20</v>
      </c>
      <c r="M1455">
        <v>20</v>
      </c>
      <c r="N1455">
        <v>61426</v>
      </c>
      <c r="O1455">
        <v>1424</v>
      </c>
      <c r="P1455" t="s">
        <v>3213</v>
      </c>
      <c r="Q1455">
        <v>3.8</v>
      </c>
      <c r="R1455">
        <v>203.2</v>
      </c>
      <c r="S1455">
        <v>0.96</v>
      </c>
      <c r="T1455">
        <v>52</v>
      </c>
      <c r="U1455">
        <v>3676884.8853500001</v>
      </c>
      <c r="V1455">
        <v>10524.275680999999</v>
      </c>
      <c r="W1455">
        <v>1454</v>
      </c>
      <c r="X1455">
        <v>0</v>
      </c>
      <c r="Y1455">
        <v>1453</v>
      </c>
      <c r="Z1455" t="s">
        <v>6966</v>
      </c>
      <c r="AA1455" t="s">
        <v>6966</v>
      </c>
      <c r="AB1455" t="s">
        <v>6966</v>
      </c>
      <c r="AC1455" t="s">
        <v>6966</v>
      </c>
      <c r="AD1455" t="s">
        <v>6966</v>
      </c>
      <c r="AE1455" t="s">
        <v>6966</v>
      </c>
      <c r="AF1455" t="s">
        <v>6966</v>
      </c>
      <c r="AG1455" t="s">
        <v>6966</v>
      </c>
      <c r="AH1455" t="s">
        <v>6966</v>
      </c>
      <c r="AI1455" t="s">
        <v>6966</v>
      </c>
      <c r="AJ1455" t="s">
        <v>6966</v>
      </c>
      <c r="AK1455" t="s">
        <v>6966</v>
      </c>
      <c r="AL1455" t="s">
        <v>6966</v>
      </c>
      <c r="AM1455" t="s">
        <v>6966</v>
      </c>
      <c r="AN1455" t="s">
        <v>6966</v>
      </c>
      <c r="AO1455" t="s">
        <v>6966</v>
      </c>
      <c r="AP1455" t="s">
        <v>6966</v>
      </c>
      <c r="AQ1455" t="s">
        <v>6966</v>
      </c>
      <c r="AR1455" t="s">
        <v>6966</v>
      </c>
      <c r="AS1455" t="s">
        <v>6966</v>
      </c>
      <c r="AT1455" t="s">
        <v>6966</v>
      </c>
      <c r="AU1455" t="s">
        <v>6966</v>
      </c>
      <c r="AV1455" t="s">
        <v>6966</v>
      </c>
      <c r="AW1455" t="s">
        <v>6966</v>
      </c>
      <c r="AX1455" t="s">
        <v>6966</v>
      </c>
      <c r="AY1455" t="s">
        <v>6966</v>
      </c>
      <c r="AZ1455">
        <v>0.106457</v>
      </c>
      <c r="BA1455">
        <v>3.5599999999999998E-4</v>
      </c>
    </row>
    <row r="1456" spans="1:53" x14ac:dyDescent="0.25">
      <c r="A1456">
        <v>1454</v>
      </c>
      <c r="B1456" t="s">
        <v>7625</v>
      </c>
      <c r="C1456">
        <v>602011</v>
      </c>
      <c r="D1456" t="s">
        <v>8134</v>
      </c>
      <c r="E1456" t="s">
        <v>1541</v>
      </c>
      <c r="F1456">
        <v>0</v>
      </c>
      <c r="G1456">
        <v>19334.080077999999</v>
      </c>
      <c r="H1456">
        <v>1456</v>
      </c>
      <c r="I1456">
        <v>1698</v>
      </c>
      <c r="J1456">
        <v>74122</v>
      </c>
      <c r="K1456" t="s">
        <v>8135</v>
      </c>
      <c r="L1456">
        <v>26</v>
      </c>
      <c r="M1456">
        <v>26</v>
      </c>
      <c r="N1456">
        <v>74122</v>
      </c>
      <c r="O1456">
        <v>1425</v>
      </c>
      <c r="P1456" t="s">
        <v>6965</v>
      </c>
      <c r="Q1456">
        <v>1</v>
      </c>
      <c r="R1456">
        <v>161.79</v>
      </c>
      <c r="S1456">
        <v>0.24</v>
      </c>
      <c r="T1456">
        <v>39</v>
      </c>
      <c r="U1456">
        <v>0</v>
      </c>
      <c r="V1456">
        <v>19334.079224000001</v>
      </c>
      <c r="W1456">
        <v>1455</v>
      </c>
      <c r="X1456">
        <v>0</v>
      </c>
      <c r="Y1456">
        <v>1454</v>
      </c>
      <c r="Z1456" t="s">
        <v>6966</v>
      </c>
      <c r="AA1456" t="s">
        <v>6966</v>
      </c>
      <c r="AB1456" t="s">
        <v>6966</v>
      </c>
      <c r="AC1456" t="s">
        <v>6966</v>
      </c>
      <c r="AD1456" t="s">
        <v>6966</v>
      </c>
      <c r="AE1456" t="s">
        <v>6966</v>
      </c>
      <c r="AF1456" t="s">
        <v>6966</v>
      </c>
      <c r="AG1456" t="s">
        <v>6966</v>
      </c>
      <c r="AH1456" t="s">
        <v>6966</v>
      </c>
      <c r="AI1456" t="s">
        <v>6966</v>
      </c>
      <c r="AJ1456" t="s">
        <v>6966</v>
      </c>
      <c r="AK1456" t="s">
        <v>6966</v>
      </c>
      <c r="AL1456" t="s">
        <v>6966</v>
      </c>
      <c r="AM1456" t="s">
        <v>6966</v>
      </c>
      <c r="AN1456" t="s">
        <v>6966</v>
      </c>
      <c r="AO1456" t="s">
        <v>6966</v>
      </c>
      <c r="AP1456" t="s">
        <v>6966</v>
      </c>
      <c r="AQ1456" t="s">
        <v>6966</v>
      </c>
      <c r="AR1456" t="s">
        <v>6966</v>
      </c>
      <c r="AS1456" t="s">
        <v>6966</v>
      </c>
      <c r="AT1456" t="s">
        <v>6966</v>
      </c>
      <c r="AU1456" t="s">
        <v>6966</v>
      </c>
      <c r="AV1456" t="s">
        <v>6966</v>
      </c>
      <c r="AW1456" t="s">
        <v>6966</v>
      </c>
      <c r="AX1456" t="s">
        <v>6966</v>
      </c>
      <c r="AY1456" t="s">
        <v>6966</v>
      </c>
      <c r="AZ1456">
        <v>0.18998899999999999</v>
      </c>
      <c r="BA1456">
        <v>1.637E-3</v>
      </c>
    </row>
    <row r="1457" spans="1:53" x14ac:dyDescent="0.25">
      <c r="A1457">
        <v>1455</v>
      </c>
      <c r="B1457" t="s">
        <v>7625</v>
      </c>
      <c r="C1457">
        <v>603010</v>
      </c>
      <c r="D1457" t="s">
        <v>1509</v>
      </c>
      <c r="E1457" t="s">
        <v>1508</v>
      </c>
      <c r="F1457">
        <v>9786596</v>
      </c>
      <c r="G1457">
        <v>15296.428711</v>
      </c>
      <c r="H1457">
        <v>1457</v>
      </c>
      <c r="I1457">
        <v>1699</v>
      </c>
      <c r="J1457">
        <v>73116</v>
      </c>
      <c r="K1457" t="s">
        <v>2763</v>
      </c>
      <c r="L1457">
        <v>25</v>
      </c>
      <c r="M1457">
        <v>25</v>
      </c>
      <c r="N1457">
        <v>73116</v>
      </c>
      <c r="O1457">
        <v>1426</v>
      </c>
      <c r="P1457" t="s">
        <v>6965</v>
      </c>
      <c r="Q1457">
        <v>0.1</v>
      </c>
      <c r="R1457">
        <v>17.649999999999999</v>
      </c>
      <c r="S1457">
        <v>0.03</v>
      </c>
      <c r="T1457">
        <v>8</v>
      </c>
      <c r="U1457">
        <v>9786596.3388</v>
      </c>
      <c r="V1457">
        <v>15296.428287999999</v>
      </c>
      <c r="W1457">
        <v>1456</v>
      </c>
      <c r="X1457">
        <v>0</v>
      </c>
      <c r="Y1457">
        <v>1455</v>
      </c>
      <c r="Z1457" t="s">
        <v>6966</v>
      </c>
      <c r="AA1457" t="s">
        <v>6966</v>
      </c>
      <c r="AB1457" t="s">
        <v>6966</v>
      </c>
      <c r="AC1457" t="s">
        <v>6966</v>
      </c>
      <c r="AD1457" t="s">
        <v>6966</v>
      </c>
      <c r="AE1457" t="s">
        <v>6966</v>
      </c>
      <c r="AF1457" t="s">
        <v>6966</v>
      </c>
      <c r="AG1457" t="s">
        <v>6966</v>
      </c>
      <c r="AH1457" t="s">
        <v>6966</v>
      </c>
      <c r="AI1457" t="s">
        <v>6966</v>
      </c>
      <c r="AJ1457" t="s">
        <v>6966</v>
      </c>
      <c r="AK1457" t="s">
        <v>6966</v>
      </c>
      <c r="AL1457" t="s">
        <v>6966</v>
      </c>
      <c r="AM1457" t="s">
        <v>6966</v>
      </c>
      <c r="AN1457" t="s">
        <v>6966</v>
      </c>
      <c r="AO1457" t="s">
        <v>6966</v>
      </c>
      <c r="AP1457" t="s">
        <v>6966</v>
      </c>
      <c r="AQ1457" t="s">
        <v>6966</v>
      </c>
      <c r="AR1457" t="s">
        <v>6966</v>
      </c>
      <c r="AS1457" t="s">
        <v>6966</v>
      </c>
      <c r="AT1457" t="s">
        <v>6966</v>
      </c>
      <c r="AU1457" t="s">
        <v>6966</v>
      </c>
      <c r="AV1457" t="s">
        <v>6966</v>
      </c>
      <c r="AW1457" t="s">
        <v>6966</v>
      </c>
      <c r="AX1457" t="s">
        <v>6966</v>
      </c>
      <c r="AY1457" t="s">
        <v>6966</v>
      </c>
      <c r="AZ1457">
        <v>0.152836</v>
      </c>
      <c r="BA1457">
        <v>9.4799999999999995E-4</v>
      </c>
    </row>
    <row r="1458" spans="1:53" x14ac:dyDescent="0.25">
      <c r="A1458">
        <v>1456</v>
      </c>
      <c r="B1458" t="s">
        <v>7625</v>
      </c>
      <c r="C1458">
        <v>604034</v>
      </c>
      <c r="D1458" t="s">
        <v>1456</v>
      </c>
      <c r="E1458" t="s">
        <v>6965</v>
      </c>
      <c r="F1458">
        <v>2889319.25</v>
      </c>
      <c r="G1458">
        <v>9705.8427730000003</v>
      </c>
      <c r="H1458">
        <v>1458</v>
      </c>
      <c r="I1458">
        <v>1700</v>
      </c>
      <c r="J1458">
        <v>71357</v>
      </c>
      <c r="K1458" t="s">
        <v>2721</v>
      </c>
      <c r="L1458">
        <v>23</v>
      </c>
      <c r="M1458">
        <v>23</v>
      </c>
      <c r="N1458">
        <v>71357</v>
      </c>
      <c r="O1458">
        <v>1427</v>
      </c>
      <c r="P1458" t="s">
        <v>6965</v>
      </c>
      <c r="Q1458">
        <v>0.1</v>
      </c>
      <c r="R1458">
        <v>0</v>
      </c>
      <c r="S1458">
        <v>0.02</v>
      </c>
      <c r="T1458">
        <v>0</v>
      </c>
      <c r="U1458">
        <v>2889319.1557100001</v>
      </c>
      <c r="V1458">
        <v>9705.8423619999994</v>
      </c>
      <c r="W1458">
        <v>1457</v>
      </c>
      <c r="X1458">
        <v>0</v>
      </c>
      <c r="Y1458">
        <v>1456</v>
      </c>
      <c r="Z1458" t="s">
        <v>6966</v>
      </c>
      <c r="AA1458" t="s">
        <v>6966</v>
      </c>
      <c r="AB1458" t="s">
        <v>6966</v>
      </c>
      <c r="AC1458" t="s">
        <v>6966</v>
      </c>
      <c r="AD1458" t="s">
        <v>6966</v>
      </c>
      <c r="AE1458" t="s">
        <v>6966</v>
      </c>
      <c r="AF1458" t="s">
        <v>6966</v>
      </c>
      <c r="AG1458" t="s">
        <v>6966</v>
      </c>
      <c r="AH1458" t="s">
        <v>6966</v>
      </c>
      <c r="AI1458" t="s">
        <v>6966</v>
      </c>
      <c r="AJ1458" t="s">
        <v>6966</v>
      </c>
      <c r="AK1458" t="s">
        <v>6966</v>
      </c>
      <c r="AL1458" t="s">
        <v>6966</v>
      </c>
      <c r="AM1458" t="s">
        <v>6966</v>
      </c>
      <c r="AN1458" t="s">
        <v>6966</v>
      </c>
      <c r="AO1458" t="s">
        <v>6966</v>
      </c>
      <c r="AP1458" t="s">
        <v>6966</v>
      </c>
      <c r="AQ1458" t="s">
        <v>6966</v>
      </c>
      <c r="AR1458" t="s">
        <v>6966</v>
      </c>
      <c r="AS1458" t="s">
        <v>6966</v>
      </c>
      <c r="AT1458" t="s">
        <v>6966</v>
      </c>
      <c r="AU1458" t="s">
        <v>6966</v>
      </c>
      <c r="AV1458" t="s">
        <v>6966</v>
      </c>
      <c r="AW1458" t="s">
        <v>6966</v>
      </c>
      <c r="AX1458" t="s">
        <v>6966</v>
      </c>
      <c r="AY1458" t="s">
        <v>6966</v>
      </c>
      <c r="AZ1458">
        <v>9.8168000000000005E-2</v>
      </c>
      <c r="BA1458">
        <v>2.7999999999999998E-4</v>
      </c>
    </row>
    <row r="1459" spans="1:53" x14ac:dyDescent="0.25">
      <c r="A1459">
        <v>1457</v>
      </c>
      <c r="B1459" t="s">
        <v>7625</v>
      </c>
      <c r="C1459">
        <v>602005</v>
      </c>
      <c r="D1459" t="s">
        <v>1551</v>
      </c>
      <c r="E1459" t="s">
        <v>1541</v>
      </c>
      <c r="F1459">
        <v>0</v>
      </c>
      <c r="G1459">
        <v>26335.078125</v>
      </c>
      <c r="H1459">
        <v>1459</v>
      </c>
      <c r="I1459">
        <v>1701</v>
      </c>
      <c r="J1459">
        <v>74130</v>
      </c>
      <c r="K1459" t="s">
        <v>2793</v>
      </c>
      <c r="L1459">
        <v>26</v>
      </c>
      <c r="M1459">
        <v>26</v>
      </c>
      <c r="N1459">
        <v>74130</v>
      </c>
      <c r="O1459">
        <v>1428</v>
      </c>
      <c r="P1459" t="s">
        <v>6965</v>
      </c>
      <c r="Q1459">
        <v>1.9</v>
      </c>
      <c r="R1459">
        <v>140.21</v>
      </c>
      <c r="S1459">
        <v>0.39</v>
      </c>
      <c r="T1459">
        <v>28</v>
      </c>
      <c r="U1459">
        <v>0</v>
      </c>
      <c r="V1459">
        <v>26335.078085000001</v>
      </c>
      <c r="W1459">
        <v>1458</v>
      </c>
      <c r="X1459">
        <v>0</v>
      </c>
      <c r="Y1459">
        <v>1457</v>
      </c>
      <c r="Z1459" t="s">
        <v>6966</v>
      </c>
      <c r="AA1459" t="s">
        <v>6966</v>
      </c>
      <c r="AB1459" t="s">
        <v>6966</v>
      </c>
      <c r="AC1459" t="s">
        <v>6966</v>
      </c>
      <c r="AD1459" t="s">
        <v>6966</v>
      </c>
      <c r="AE1459" t="s">
        <v>6966</v>
      </c>
      <c r="AF1459" t="s">
        <v>6966</v>
      </c>
      <c r="AG1459" t="s">
        <v>6966</v>
      </c>
      <c r="AH1459" t="s">
        <v>6966</v>
      </c>
      <c r="AI1459" t="s">
        <v>6966</v>
      </c>
      <c r="AJ1459" t="s">
        <v>6966</v>
      </c>
      <c r="AK1459" t="s">
        <v>6966</v>
      </c>
      <c r="AL1459" t="s">
        <v>6966</v>
      </c>
      <c r="AM1459" t="s">
        <v>6966</v>
      </c>
      <c r="AN1459" t="s">
        <v>6966</v>
      </c>
      <c r="AO1459" t="s">
        <v>6966</v>
      </c>
      <c r="AP1459" t="s">
        <v>6966</v>
      </c>
      <c r="AQ1459" t="s">
        <v>6966</v>
      </c>
      <c r="AR1459" t="s">
        <v>6966</v>
      </c>
      <c r="AS1459" t="s">
        <v>6966</v>
      </c>
      <c r="AT1459" t="s">
        <v>6966</v>
      </c>
      <c r="AU1459" t="s">
        <v>6966</v>
      </c>
      <c r="AV1459" t="s">
        <v>6966</v>
      </c>
      <c r="AW1459" t="s">
        <v>6966</v>
      </c>
      <c r="AX1459" t="s">
        <v>6966</v>
      </c>
      <c r="AY1459" t="s">
        <v>6966</v>
      </c>
      <c r="AZ1459">
        <v>0.26461000000000001</v>
      </c>
      <c r="BA1459">
        <v>2.826E-3</v>
      </c>
    </row>
    <row r="1460" spans="1:53" x14ac:dyDescent="0.25">
      <c r="A1460">
        <v>1458</v>
      </c>
      <c r="B1460" t="s">
        <v>7625</v>
      </c>
      <c r="C1460">
        <v>801020</v>
      </c>
      <c r="D1460" t="s">
        <v>8136</v>
      </c>
      <c r="E1460" t="s">
        <v>1342</v>
      </c>
      <c r="F1460">
        <v>2606889.25</v>
      </c>
      <c r="G1460">
        <v>8598.3476559999999</v>
      </c>
      <c r="H1460">
        <v>1460</v>
      </c>
      <c r="I1460">
        <v>1702</v>
      </c>
      <c r="J1460">
        <v>63379</v>
      </c>
      <c r="K1460" t="s">
        <v>2687</v>
      </c>
      <c r="L1460">
        <v>22</v>
      </c>
      <c r="M1460">
        <v>22</v>
      </c>
      <c r="N1460">
        <v>63379</v>
      </c>
      <c r="O1460">
        <v>1429</v>
      </c>
      <c r="P1460" t="s">
        <v>3213</v>
      </c>
      <c r="Q1460">
        <v>0.1</v>
      </c>
      <c r="R1460">
        <v>3.27</v>
      </c>
      <c r="S1460">
        <v>0.03</v>
      </c>
      <c r="T1460">
        <v>1</v>
      </c>
      <c r="U1460">
        <v>2606889.33825</v>
      </c>
      <c r="V1460">
        <v>8598.3476059999994</v>
      </c>
      <c r="W1460">
        <v>1459</v>
      </c>
      <c r="X1460">
        <v>0</v>
      </c>
      <c r="Y1460">
        <v>1458</v>
      </c>
      <c r="Z1460" t="s">
        <v>6966</v>
      </c>
      <c r="AA1460" t="s">
        <v>6966</v>
      </c>
      <c r="AB1460" t="s">
        <v>6966</v>
      </c>
      <c r="AC1460" t="s">
        <v>6966</v>
      </c>
      <c r="AD1460" t="s">
        <v>6966</v>
      </c>
      <c r="AE1460" t="s">
        <v>6966</v>
      </c>
      <c r="AF1460" t="s">
        <v>6966</v>
      </c>
      <c r="AG1460" t="s">
        <v>6966</v>
      </c>
      <c r="AH1460" t="s">
        <v>6966</v>
      </c>
      <c r="AI1460" t="s">
        <v>6966</v>
      </c>
      <c r="AJ1460" t="s">
        <v>6966</v>
      </c>
      <c r="AK1460" t="s">
        <v>6966</v>
      </c>
      <c r="AL1460" t="s">
        <v>6966</v>
      </c>
      <c r="AM1460" t="s">
        <v>6966</v>
      </c>
      <c r="AN1460" t="s">
        <v>6966</v>
      </c>
      <c r="AO1460" t="s">
        <v>6966</v>
      </c>
      <c r="AP1460" t="s">
        <v>6966</v>
      </c>
      <c r="AQ1460" t="s">
        <v>6966</v>
      </c>
      <c r="AR1460" t="s">
        <v>6966</v>
      </c>
      <c r="AS1460" t="s">
        <v>6966</v>
      </c>
      <c r="AT1460" t="s">
        <v>6966</v>
      </c>
      <c r="AU1460" t="s">
        <v>6966</v>
      </c>
      <c r="AV1460" t="s">
        <v>6966</v>
      </c>
      <c r="AW1460" t="s">
        <v>6966</v>
      </c>
      <c r="AX1460" t="s">
        <v>6966</v>
      </c>
      <c r="AY1460" t="s">
        <v>6966</v>
      </c>
      <c r="AZ1460">
        <v>8.3848000000000006E-2</v>
      </c>
      <c r="BA1460">
        <v>2.52E-4</v>
      </c>
    </row>
    <row r="1461" spans="1:53" x14ac:dyDescent="0.25">
      <c r="A1461">
        <v>1459</v>
      </c>
      <c r="B1461" t="s">
        <v>7625</v>
      </c>
      <c r="C1461">
        <v>802048</v>
      </c>
      <c r="D1461" t="s">
        <v>8137</v>
      </c>
      <c r="E1461" t="s">
        <v>3039</v>
      </c>
      <c r="F1461">
        <v>3671865.25</v>
      </c>
      <c r="G1461">
        <v>11506.017578000001</v>
      </c>
      <c r="H1461">
        <v>1461</v>
      </c>
      <c r="I1461">
        <v>1704</v>
      </c>
      <c r="J1461">
        <v>61412</v>
      </c>
      <c r="K1461" t="s">
        <v>2525</v>
      </c>
      <c r="L1461">
        <v>20</v>
      </c>
      <c r="M1461">
        <v>20</v>
      </c>
      <c r="N1461">
        <v>61412</v>
      </c>
      <c r="O1461">
        <v>1430</v>
      </c>
      <c r="P1461" t="s">
        <v>3213</v>
      </c>
      <c r="Q1461">
        <v>0.8</v>
      </c>
      <c r="R1461">
        <v>0</v>
      </c>
      <c r="S1461">
        <v>0.31</v>
      </c>
      <c r="T1461">
        <v>0</v>
      </c>
      <c r="U1461">
        <v>3671865.2131699999</v>
      </c>
      <c r="V1461">
        <v>11506.018533</v>
      </c>
      <c r="W1461">
        <v>1460</v>
      </c>
      <c r="X1461">
        <v>0</v>
      </c>
      <c r="Y1461">
        <v>1459</v>
      </c>
      <c r="Z1461" t="s">
        <v>6966</v>
      </c>
      <c r="AA1461" t="s">
        <v>6966</v>
      </c>
      <c r="AB1461" t="s">
        <v>6966</v>
      </c>
      <c r="AC1461" t="s">
        <v>6966</v>
      </c>
      <c r="AD1461" t="s">
        <v>6966</v>
      </c>
      <c r="AE1461" t="s">
        <v>6966</v>
      </c>
      <c r="AF1461" t="s">
        <v>6966</v>
      </c>
      <c r="AG1461" t="s">
        <v>6966</v>
      </c>
      <c r="AH1461" t="s">
        <v>6966</v>
      </c>
      <c r="AI1461" t="s">
        <v>6966</v>
      </c>
      <c r="AJ1461" t="s">
        <v>6966</v>
      </c>
      <c r="AK1461" t="s">
        <v>6966</v>
      </c>
      <c r="AL1461" t="s">
        <v>6966</v>
      </c>
      <c r="AM1461" t="s">
        <v>6966</v>
      </c>
      <c r="AN1461" t="s">
        <v>6966</v>
      </c>
      <c r="AO1461" t="s">
        <v>6966</v>
      </c>
      <c r="AP1461" t="s">
        <v>6966</v>
      </c>
      <c r="AQ1461" t="s">
        <v>6966</v>
      </c>
      <c r="AR1461" t="s">
        <v>6966</v>
      </c>
      <c r="AS1461" t="s">
        <v>6966</v>
      </c>
      <c r="AT1461" t="s">
        <v>6966</v>
      </c>
      <c r="AU1461" t="s">
        <v>6966</v>
      </c>
      <c r="AV1461" t="s">
        <v>6966</v>
      </c>
      <c r="AW1461" t="s">
        <v>6966</v>
      </c>
      <c r="AX1461" t="s">
        <v>6966</v>
      </c>
      <c r="AY1461" t="s">
        <v>6966</v>
      </c>
      <c r="AZ1461">
        <v>0.11083899999999999</v>
      </c>
      <c r="BA1461">
        <v>3.5500000000000001E-4</v>
      </c>
    </row>
    <row r="1462" spans="1:53" x14ac:dyDescent="0.25">
      <c r="A1462">
        <v>1460</v>
      </c>
      <c r="B1462" t="s">
        <v>7625</v>
      </c>
      <c r="C1462">
        <v>802053</v>
      </c>
      <c r="D1462" t="s">
        <v>1217</v>
      </c>
      <c r="E1462" t="s">
        <v>3039</v>
      </c>
      <c r="F1462">
        <v>1150369.875</v>
      </c>
      <c r="G1462">
        <v>5307.1303710000002</v>
      </c>
      <c r="H1462">
        <v>1462</v>
      </c>
      <c r="I1462">
        <v>1705</v>
      </c>
      <c r="J1462">
        <v>61418</v>
      </c>
      <c r="K1462" t="s">
        <v>2529</v>
      </c>
      <c r="L1462">
        <v>20</v>
      </c>
      <c r="M1462">
        <v>20</v>
      </c>
      <c r="N1462">
        <v>61418</v>
      </c>
      <c r="O1462">
        <v>1431</v>
      </c>
      <c r="P1462" t="s">
        <v>3213</v>
      </c>
      <c r="Q1462">
        <v>5.9</v>
      </c>
      <c r="R1462">
        <v>127.25</v>
      </c>
      <c r="S1462">
        <v>1.37</v>
      </c>
      <c r="T1462">
        <v>29</v>
      </c>
      <c r="U1462">
        <v>1150369.91169</v>
      </c>
      <c r="V1462">
        <v>5307.1304559999999</v>
      </c>
      <c r="W1462">
        <v>1461</v>
      </c>
      <c r="X1462">
        <v>0</v>
      </c>
      <c r="Y1462">
        <v>1460</v>
      </c>
      <c r="Z1462" t="s">
        <v>6966</v>
      </c>
      <c r="AA1462" t="s">
        <v>6966</v>
      </c>
      <c r="AB1462" t="s">
        <v>6966</v>
      </c>
      <c r="AC1462" t="s">
        <v>6966</v>
      </c>
      <c r="AD1462" t="s">
        <v>6966</v>
      </c>
      <c r="AE1462" t="s">
        <v>6966</v>
      </c>
      <c r="AF1462" t="s">
        <v>6966</v>
      </c>
      <c r="AG1462" t="s">
        <v>6966</v>
      </c>
      <c r="AH1462" t="s">
        <v>6966</v>
      </c>
      <c r="AI1462" t="s">
        <v>6966</v>
      </c>
      <c r="AJ1462" t="s">
        <v>6966</v>
      </c>
      <c r="AK1462" t="s">
        <v>6966</v>
      </c>
      <c r="AL1462" t="s">
        <v>6966</v>
      </c>
      <c r="AM1462" t="s">
        <v>6966</v>
      </c>
      <c r="AN1462" t="s">
        <v>6966</v>
      </c>
      <c r="AO1462" t="s">
        <v>6966</v>
      </c>
      <c r="AP1462" t="s">
        <v>6966</v>
      </c>
      <c r="AQ1462" t="s">
        <v>6966</v>
      </c>
      <c r="AR1462" t="s">
        <v>6966</v>
      </c>
      <c r="AS1462" t="s">
        <v>6966</v>
      </c>
      <c r="AT1462" t="s">
        <v>6966</v>
      </c>
      <c r="AU1462" t="s">
        <v>6966</v>
      </c>
      <c r="AV1462" t="s">
        <v>6966</v>
      </c>
      <c r="AW1462" t="s">
        <v>6966</v>
      </c>
      <c r="AX1462" t="s">
        <v>6966</v>
      </c>
      <c r="AY1462" t="s">
        <v>6966</v>
      </c>
      <c r="AZ1462">
        <v>5.2844000000000002E-2</v>
      </c>
      <c r="BA1462">
        <v>1.11E-4</v>
      </c>
    </row>
    <row r="1463" spans="1:53" x14ac:dyDescent="0.25">
      <c r="A1463">
        <v>1461</v>
      </c>
      <c r="B1463" t="s">
        <v>7625</v>
      </c>
      <c r="C1463">
        <v>604024</v>
      </c>
      <c r="D1463" t="s">
        <v>1450</v>
      </c>
      <c r="E1463" t="s">
        <v>6965</v>
      </c>
      <c r="F1463">
        <v>6582047.5</v>
      </c>
      <c r="G1463">
        <v>13490.275390999999</v>
      </c>
      <c r="H1463">
        <v>1463</v>
      </c>
      <c r="I1463">
        <v>1706</v>
      </c>
      <c r="J1463">
        <v>71337</v>
      </c>
      <c r="K1463" t="s">
        <v>2715</v>
      </c>
      <c r="L1463">
        <v>23</v>
      </c>
      <c r="M1463">
        <v>23</v>
      </c>
      <c r="N1463">
        <v>71337</v>
      </c>
      <c r="O1463">
        <v>1432</v>
      </c>
      <c r="P1463" t="s">
        <v>6965</v>
      </c>
      <c r="Q1463">
        <v>9.3000000000000007</v>
      </c>
      <c r="R1463">
        <v>42.41</v>
      </c>
      <c r="S1463">
        <v>2</v>
      </c>
      <c r="T1463">
        <v>9</v>
      </c>
      <c r="U1463">
        <v>6582047.6400199998</v>
      </c>
      <c r="V1463">
        <v>13490.275233</v>
      </c>
      <c r="W1463">
        <v>1462</v>
      </c>
      <c r="X1463">
        <v>0</v>
      </c>
      <c r="Y1463">
        <v>1461</v>
      </c>
      <c r="Z1463" t="s">
        <v>6966</v>
      </c>
      <c r="AA1463" t="s">
        <v>6966</v>
      </c>
      <c r="AB1463" t="s">
        <v>6966</v>
      </c>
      <c r="AC1463" t="s">
        <v>6966</v>
      </c>
      <c r="AD1463" t="s">
        <v>6966</v>
      </c>
      <c r="AE1463" t="s">
        <v>6966</v>
      </c>
      <c r="AF1463" t="s">
        <v>6966</v>
      </c>
      <c r="AG1463" t="s">
        <v>6966</v>
      </c>
      <c r="AH1463" t="s">
        <v>6966</v>
      </c>
      <c r="AI1463" t="s">
        <v>6966</v>
      </c>
      <c r="AJ1463" t="s">
        <v>6966</v>
      </c>
      <c r="AK1463" t="s">
        <v>6966</v>
      </c>
      <c r="AL1463" t="s">
        <v>6966</v>
      </c>
      <c r="AM1463" t="s">
        <v>6966</v>
      </c>
      <c r="AN1463" t="s">
        <v>6966</v>
      </c>
      <c r="AO1463" t="s">
        <v>6966</v>
      </c>
      <c r="AP1463" t="s">
        <v>6966</v>
      </c>
      <c r="AQ1463" t="s">
        <v>6966</v>
      </c>
      <c r="AR1463" t="s">
        <v>6966</v>
      </c>
      <c r="AS1463" t="s">
        <v>6966</v>
      </c>
      <c r="AT1463" t="s">
        <v>6966</v>
      </c>
      <c r="AU1463" t="s">
        <v>6966</v>
      </c>
      <c r="AV1463" t="s">
        <v>6966</v>
      </c>
      <c r="AW1463" t="s">
        <v>6966</v>
      </c>
      <c r="AX1463" t="s">
        <v>6966</v>
      </c>
      <c r="AY1463" t="s">
        <v>6966</v>
      </c>
      <c r="AZ1463">
        <v>0.135771</v>
      </c>
      <c r="BA1463">
        <v>6.3699999999999998E-4</v>
      </c>
    </row>
    <row r="1464" spans="1:53" x14ac:dyDescent="0.25">
      <c r="A1464">
        <v>1462</v>
      </c>
      <c r="B1464" t="s">
        <v>7625</v>
      </c>
      <c r="C1464">
        <v>602009</v>
      </c>
      <c r="D1464" t="s">
        <v>1544</v>
      </c>
      <c r="E1464" t="s">
        <v>1541</v>
      </c>
      <c r="F1464">
        <v>4515482.5</v>
      </c>
      <c r="G1464">
        <v>14179.784180000001</v>
      </c>
      <c r="H1464">
        <v>1464</v>
      </c>
      <c r="I1464">
        <v>1707</v>
      </c>
      <c r="J1464">
        <v>74116</v>
      </c>
      <c r="K1464" t="s">
        <v>8138</v>
      </c>
      <c r="L1464">
        <v>26</v>
      </c>
      <c r="M1464">
        <v>26</v>
      </c>
      <c r="N1464">
        <v>74116</v>
      </c>
      <c r="O1464">
        <v>1433</v>
      </c>
      <c r="P1464" t="s">
        <v>6965</v>
      </c>
      <c r="Q1464">
        <v>1.6</v>
      </c>
      <c r="R1464">
        <v>48.66</v>
      </c>
      <c r="S1464">
        <v>0.34</v>
      </c>
      <c r="T1464">
        <v>10</v>
      </c>
      <c r="U1464">
        <v>4515482.3948799996</v>
      </c>
      <c r="V1464">
        <v>14179.785091</v>
      </c>
      <c r="W1464">
        <v>1463</v>
      </c>
      <c r="X1464">
        <v>0</v>
      </c>
      <c r="Y1464">
        <v>1462</v>
      </c>
      <c r="Z1464" t="s">
        <v>6966</v>
      </c>
      <c r="AA1464" t="s">
        <v>6966</v>
      </c>
      <c r="AB1464" t="s">
        <v>6966</v>
      </c>
      <c r="AC1464" t="s">
        <v>6966</v>
      </c>
      <c r="AD1464" t="s">
        <v>6966</v>
      </c>
      <c r="AE1464" t="s">
        <v>6966</v>
      </c>
      <c r="AF1464" t="s">
        <v>6966</v>
      </c>
      <c r="AG1464" t="s">
        <v>6966</v>
      </c>
      <c r="AH1464" t="s">
        <v>6966</v>
      </c>
      <c r="AI1464" t="s">
        <v>6966</v>
      </c>
      <c r="AJ1464" t="s">
        <v>6966</v>
      </c>
      <c r="AK1464" t="s">
        <v>6966</v>
      </c>
      <c r="AL1464" t="s">
        <v>6966</v>
      </c>
      <c r="AM1464" t="s">
        <v>6966</v>
      </c>
      <c r="AN1464" t="s">
        <v>6966</v>
      </c>
      <c r="AO1464" t="s">
        <v>6966</v>
      </c>
      <c r="AP1464" t="s">
        <v>6966</v>
      </c>
      <c r="AQ1464" t="s">
        <v>6966</v>
      </c>
      <c r="AR1464" t="s">
        <v>6966</v>
      </c>
      <c r="AS1464" t="s">
        <v>6966</v>
      </c>
      <c r="AT1464" t="s">
        <v>6966</v>
      </c>
      <c r="AU1464" t="s">
        <v>6966</v>
      </c>
      <c r="AV1464" t="s">
        <v>6966</v>
      </c>
      <c r="AW1464" t="s">
        <v>6966</v>
      </c>
      <c r="AX1464" t="s">
        <v>6966</v>
      </c>
      <c r="AY1464" t="s">
        <v>6966</v>
      </c>
      <c r="AZ1464">
        <v>0.14181099999999999</v>
      </c>
      <c r="BA1464">
        <v>4.37E-4</v>
      </c>
    </row>
    <row r="1465" spans="1:53" x14ac:dyDescent="0.25">
      <c r="A1465">
        <v>1463</v>
      </c>
      <c r="B1465" t="s">
        <v>7625</v>
      </c>
      <c r="C1465">
        <v>604040</v>
      </c>
      <c r="D1465" t="s">
        <v>1419</v>
      </c>
      <c r="E1465" t="s">
        <v>6965</v>
      </c>
      <c r="F1465">
        <v>8692359</v>
      </c>
      <c r="G1465">
        <v>17494.873047000001</v>
      </c>
      <c r="H1465">
        <v>1465</v>
      </c>
      <c r="I1465">
        <v>1708</v>
      </c>
      <c r="J1465">
        <v>71113</v>
      </c>
      <c r="K1465" t="s">
        <v>8139</v>
      </c>
      <c r="L1465">
        <v>23</v>
      </c>
      <c r="M1465">
        <v>23</v>
      </c>
      <c r="N1465">
        <v>71188</v>
      </c>
      <c r="O1465">
        <v>1434</v>
      </c>
      <c r="P1465" t="s">
        <v>6965</v>
      </c>
      <c r="Q1465">
        <v>5</v>
      </c>
      <c r="R1465">
        <v>48.61</v>
      </c>
      <c r="S1465">
        <v>0</v>
      </c>
      <c r="T1465">
        <v>0</v>
      </c>
      <c r="U1465">
        <v>8692359.34822</v>
      </c>
      <c r="V1465">
        <v>17494.874088</v>
      </c>
      <c r="W1465">
        <v>1464</v>
      </c>
      <c r="X1465">
        <v>4</v>
      </c>
      <c r="Y1465">
        <v>1463</v>
      </c>
      <c r="Z1465">
        <v>68795</v>
      </c>
      <c r="AA1465" s="76">
        <v>45891</v>
      </c>
      <c r="AB1465">
        <v>2025</v>
      </c>
      <c r="AC1465" t="s">
        <v>7379</v>
      </c>
      <c r="AD1465">
        <v>22</v>
      </c>
      <c r="AE1465" t="s">
        <v>7411</v>
      </c>
      <c r="AF1465" t="s">
        <v>3218</v>
      </c>
      <c r="AG1465" t="s">
        <v>3218</v>
      </c>
      <c r="AH1465" t="s">
        <v>1419</v>
      </c>
      <c r="AI1465" t="s">
        <v>7412</v>
      </c>
      <c r="AJ1465" t="s">
        <v>6966</v>
      </c>
      <c r="AK1465">
        <v>33.363939999999999</v>
      </c>
      <c r="AL1465">
        <v>35.490639999999999</v>
      </c>
      <c r="AM1465" t="s">
        <v>7013</v>
      </c>
      <c r="AN1465" t="s">
        <v>6995</v>
      </c>
      <c r="AO1465" t="s">
        <v>7008</v>
      </c>
      <c r="AP1465" t="s">
        <v>7413</v>
      </c>
      <c r="AQ1465" t="s">
        <v>6998</v>
      </c>
      <c r="AR1465" t="s">
        <v>6999</v>
      </c>
      <c r="AS1465" t="s">
        <v>7000</v>
      </c>
      <c r="AT1465">
        <v>0</v>
      </c>
      <c r="AU1465">
        <v>0</v>
      </c>
      <c r="AV1465" t="s">
        <v>7414</v>
      </c>
      <c r="AW1465" t="s">
        <v>7043</v>
      </c>
      <c r="AX1465" t="s">
        <v>6966</v>
      </c>
      <c r="AY1465" t="s">
        <v>7003</v>
      </c>
      <c r="AZ1465">
        <v>0.173235</v>
      </c>
      <c r="BA1465">
        <v>8.4199999999999998E-4</v>
      </c>
    </row>
    <row r="1466" spans="1:53" x14ac:dyDescent="0.25">
      <c r="A1466">
        <v>1464</v>
      </c>
      <c r="B1466" t="s">
        <v>7625</v>
      </c>
      <c r="C1466">
        <v>802051</v>
      </c>
      <c r="D1466" t="s">
        <v>1219</v>
      </c>
      <c r="E1466" t="s">
        <v>3039</v>
      </c>
      <c r="F1466">
        <v>2539534.75</v>
      </c>
      <c r="G1466">
        <v>9246.8359380000002</v>
      </c>
      <c r="H1466">
        <v>1466</v>
      </c>
      <c r="I1466">
        <v>1709</v>
      </c>
      <c r="J1466">
        <v>61421</v>
      </c>
      <c r="K1466" t="s">
        <v>2531</v>
      </c>
      <c r="L1466">
        <v>20</v>
      </c>
      <c r="M1466">
        <v>20</v>
      </c>
      <c r="N1466">
        <v>61421</v>
      </c>
      <c r="O1466">
        <v>1435</v>
      </c>
      <c r="P1466" t="s">
        <v>3213</v>
      </c>
      <c r="Q1466">
        <v>1.2</v>
      </c>
      <c r="R1466">
        <v>263.49</v>
      </c>
      <c r="S1466">
        <v>0.25</v>
      </c>
      <c r="T1466">
        <v>56</v>
      </c>
      <c r="U1466">
        <v>2539534.6125599998</v>
      </c>
      <c r="V1466">
        <v>9246.8350449999998</v>
      </c>
      <c r="W1466">
        <v>1465</v>
      </c>
      <c r="X1466">
        <v>0</v>
      </c>
      <c r="Y1466">
        <v>1464</v>
      </c>
      <c r="Z1466" t="s">
        <v>6966</v>
      </c>
      <c r="AA1466" t="s">
        <v>6966</v>
      </c>
      <c r="AB1466" t="s">
        <v>6966</v>
      </c>
      <c r="AC1466" t="s">
        <v>6966</v>
      </c>
      <c r="AD1466" t="s">
        <v>6966</v>
      </c>
      <c r="AE1466" t="s">
        <v>6966</v>
      </c>
      <c r="AF1466" t="s">
        <v>6966</v>
      </c>
      <c r="AG1466" t="s">
        <v>6966</v>
      </c>
      <c r="AH1466" t="s">
        <v>6966</v>
      </c>
      <c r="AI1466" t="s">
        <v>6966</v>
      </c>
      <c r="AJ1466" t="s">
        <v>6966</v>
      </c>
      <c r="AK1466" t="s">
        <v>6966</v>
      </c>
      <c r="AL1466" t="s">
        <v>6966</v>
      </c>
      <c r="AM1466" t="s">
        <v>6966</v>
      </c>
      <c r="AN1466" t="s">
        <v>6966</v>
      </c>
      <c r="AO1466" t="s">
        <v>6966</v>
      </c>
      <c r="AP1466" t="s">
        <v>6966</v>
      </c>
      <c r="AQ1466" t="s">
        <v>6966</v>
      </c>
      <c r="AR1466" t="s">
        <v>6966</v>
      </c>
      <c r="AS1466" t="s">
        <v>6966</v>
      </c>
      <c r="AT1466" t="s">
        <v>6966</v>
      </c>
      <c r="AU1466" t="s">
        <v>6966</v>
      </c>
      <c r="AV1466" t="s">
        <v>6966</v>
      </c>
      <c r="AW1466" t="s">
        <v>6966</v>
      </c>
      <c r="AX1466" t="s">
        <v>6966</v>
      </c>
      <c r="AY1466" t="s">
        <v>6966</v>
      </c>
      <c r="AZ1466">
        <v>9.1370000000000007E-2</v>
      </c>
      <c r="BA1466">
        <v>2.4600000000000002E-4</v>
      </c>
    </row>
    <row r="1467" spans="1:53" x14ac:dyDescent="0.25">
      <c r="A1467">
        <v>1465</v>
      </c>
      <c r="B1467" t="s">
        <v>7625</v>
      </c>
      <c r="C1467">
        <v>603017</v>
      </c>
      <c r="D1467" t="s">
        <v>1511</v>
      </c>
      <c r="E1467" t="s">
        <v>1508</v>
      </c>
      <c r="F1467">
        <v>7990689.5</v>
      </c>
      <c r="G1467">
        <v>14370.583984000001</v>
      </c>
      <c r="H1467">
        <v>1467</v>
      </c>
      <c r="I1467">
        <v>1710</v>
      </c>
      <c r="J1467">
        <v>73127</v>
      </c>
      <c r="K1467" t="s">
        <v>2764</v>
      </c>
      <c r="L1467">
        <v>25</v>
      </c>
      <c r="M1467">
        <v>25</v>
      </c>
      <c r="N1467">
        <v>73127</v>
      </c>
      <c r="O1467">
        <v>1436</v>
      </c>
      <c r="P1467" t="s">
        <v>6965</v>
      </c>
      <c r="Q1467">
        <v>2.2000000000000002</v>
      </c>
      <c r="R1467">
        <v>35.53</v>
      </c>
      <c r="S1467">
        <v>0.59</v>
      </c>
      <c r="T1467">
        <v>10</v>
      </c>
      <c r="U1467">
        <v>7990689.6045899997</v>
      </c>
      <c r="V1467">
        <v>14370.584844999999</v>
      </c>
      <c r="W1467">
        <v>1466</v>
      </c>
      <c r="X1467">
        <v>0</v>
      </c>
      <c r="Y1467">
        <v>1465</v>
      </c>
      <c r="Z1467" t="s">
        <v>6966</v>
      </c>
      <c r="AA1467" t="s">
        <v>6966</v>
      </c>
      <c r="AB1467" t="s">
        <v>6966</v>
      </c>
      <c r="AC1467" t="s">
        <v>6966</v>
      </c>
      <c r="AD1467" t="s">
        <v>6966</v>
      </c>
      <c r="AE1467" t="s">
        <v>6966</v>
      </c>
      <c r="AF1467" t="s">
        <v>6966</v>
      </c>
      <c r="AG1467" t="s">
        <v>6966</v>
      </c>
      <c r="AH1467" t="s">
        <v>6966</v>
      </c>
      <c r="AI1467" t="s">
        <v>6966</v>
      </c>
      <c r="AJ1467" t="s">
        <v>6966</v>
      </c>
      <c r="AK1467" t="s">
        <v>6966</v>
      </c>
      <c r="AL1467" t="s">
        <v>6966</v>
      </c>
      <c r="AM1467" t="s">
        <v>6966</v>
      </c>
      <c r="AN1467" t="s">
        <v>6966</v>
      </c>
      <c r="AO1467" t="s">
        <v>6966</v>
      </c>
      <c r="AP1467" t="s">
        <v>6966</v>
      </c>
      <c r="AQ1467" t="s">
        <v>6966</v>
      </c>
      <c r="AR1467" t="s">
        <v>6966</v>
      </c>
      <c r="AS1467" t="s">
        <v>6966</v>
      </c>
      <c r="AT1467" t="s">
        <v>6966</v>
      </c>
      <c r="AU1467" t="s">
        <v>6966</v>
      </c>
      <c r="AV1467" t="s">
        <v>6966</v>
      </c>
      <c r="AW1467" t="s">
        <v>6966</v>
      </c>
      <c r="AX1467" t="s">
        <v>6966</v>
      </c>
      <c r="AY1467" t="s">
        <v>6966</v>
      </c>
      <c r="AZ1467">
        <v>0.14191699999999999</v>
      </c>
      <c r="BA1467">
        <v>7.7399999999999995E-4</v>
      </c>
    </row>
    <row r="1468" spans="1:53" x14ac:dyDescent="0.25">
      <c r="A1468">
        <v>1466</v>
      </c>
      <c r="B1468" t="s">
        <v>7625</v>
      </c>
      <c r="C1468">
        <v>802034</v>
      </c>
      <c r="D1468" t="s">
        <v>1218</v>
      </c>
      <c r="E1468" t="s">
        <v>3039</v>
      </c>
      <c r="F1468">
        <v>6637489</v>
      </c>
      <c r="G1468">
        <v>15057.885742</v>
      </c>
      <c r="H1468">
        <v>1468</v>
      </c>
      <c r="I1468">
        <v>1711</v>
      </c>
      <c r="J1468">
        <v>61419</v>
      </c>
      <c r="K1468" t="s">
        <v>2530</v>
      </c>
      <c r="L1468">
        <v>20</v>
      </c>
      <c r="M1468">
        <v>20</v>
      </c>
      <c r="N1468">
        <v>61419</v>
      </c>
      <c r="O1468">
        <v>1437</v>
      </c>
      <c r="P1468" t="s">
        <v>3213</v>
      </c>
      <c r="Q1468">
        <v>5.2</v>
      </c>
      <c r="R1468">
        <v>127.9</v>
      </c>
      <c r="S1468">
        <v>1.18</v>
      </c>
      <c r="T1468">
        <v>29</v>
      </c>
      <c r="U1468">
        <v>6637488.9674800001</v>
      </c>
      <c r="V1468">
        <v>15057.886581999999</v>
      </c>
      <c r="W1468">
        <v>1467</v>
      </c>
      <c r="X1468">
        <v>0</v>
      </c>
      <c r="Y1468">
        <v>1466</v>
      </c>
      <c r="Z1468" t="s">
        <v>6966</v>
      </c>
      <c r="AA1468" t="s">
        <v>6966</v>
      </c>
      <c r="AB1468" t="s">
        <v>6966</v>
      </c>
      <c r="AC1468" t="s">
        <v>6966</v>
      </c>
      <c r="AD1468" t="s">
        <v>6966</v>
      </c>
      <c r="AE1468" t="s">
        <v>6966</v>
      </c>
      <c r="AF1468" t="s">
        <v>6966</v>
      </c>
      <c r="AG1468" t="s">
        <v>6966</v>
      </c>
      <c r="AH1468" t="s">
        <v>6966</v>
      </c>
      <c r="AI1468" t="s">
        <v>6966</v>
      </c>
      <c r="AJ1468" t="s">
        <v>6966</v>
      </c>
      <c r="AK1468" t="s">
        <v>6966</v>
      </c>
      <c r="AL1468" t="s">
        <v>6966</v>
      </c>
      <c r="AM1468" t="s">
        <v>6966</v>
      </c>
      <c r="AN1468" t="s">
        <v>6966</v>
      </c>
      <c r="AO1468" t="s">
        <v>6966</v>
      </c>
      <c r="AP1468" t="s">
        <v>6966</v>
      </c>
      <c r="AQ1468" t="s">
        <v>6966</v>
      </c>
      <c r="AR1468" t="s">
        <v>6966</v>
      </c>
      <c r="AS1468" t="s">
        <v>6966</v>
      </c>
      <c r="AT1468" t="s">
        <v>6966</v>
      </c>
      <c r="AU1468" t="s">
        <v>6966</v>
      </c>
      <c r="AV1468" t="s">
        <v>6966</v>
      </c>
      <c r="AW1468" t="s">
        <v>6966</v>
      </c>
      <c r="AX1468" t="s">
        <v>6966</v>
      </c>
      <c r="AY1468" t="s">
        <v>6966</v>
      </c>
      <c r="AZ1468">
        <v>0.14777100000000001</v>
      </c>
      <c r="BA1468">
        <v>6.4300000000000002E-4</v>
      </c>
    </row>
    <row r="1469" spans="1:53" x14ac:dyDescent="0.25">
      <c r="A1469">
        <v>1467</v>
      </c>
      <c r="B1469" t="s">
        <v>7625</v>
      </c>
      <c r="C1469">
        <v>603014</v>
      </c>
      <c r="D1469" t="s">
        <v>1510</v>
      </c>
      <c r="E1469" t="s">
        <v>1508</v>
      </c>
      <c r="F1469">
        <v>1565673.5</v>
      </c>
      <c r="G1469">
        <v>7176.6035160000001</v>
      </c>
      <c r="H1469">
        <v>1469</v>
      </c>
      <c r="I1469">
        <v>1712</v>
      </c>
      <c r="J1469">
        <v>73119</v>
      </c>
      <c r="K1469" t="s">
        <v>1510</v>
      </c>
      <c r="L1469">
        <v>25</v>
      </c>
      <c r="M1469">
        <v>25</v>
      </c>
      <c r="N1469">
        <v>73119</v>
      </c>
      <c r="O1469">
        <v>1438</v>
      </c>
      <c r="P1469" t="s">
        <v>6965</v>
      </c>
      <c r="Q1469">
        <v>7.8</v>
      </c>
      <c r="R1469">
        <v>60.77</v>
      </c>
      <c r="S1469">
        <v>1.92</v>
      </c>
      <c r="T1469">
        <v>15</v>
      </c>
      <c r="U1469">
        <v>1565673.51003</v>
      </c>
      <c r="V1469">
        <v>7176.6030769999998</v>
      </c>
      <c r="W1469">
        <v>1468</v>
      </c>
      <c r="X1469">
        <v>0</v>
      </c>
      <c r="Y1469">
        <v>1467</v>
      </c>
      <c r="Z1469" t="s">
        <v>6966</v>
      </c>
      <c r="AA1469" t="s">
        <v>6966</v>
      </c>
      <c r="AB1469" t="s">
        <v>6966</v>
      </c>
      <c r="AC1469" t="s">
        <v>6966</v>
      </c>
      <c r="AD1469" t="s">
        <v>6966</v>
      </c>
      <c r="AE1469" t="s">
        <v>6966</v>
      </c>
      <c r="AF1469" t="s">
        <v>6966</v>
      </c>
      <c r="AG1469" t="s">
        <v>6966</v>
      </c>
      <c r="AH1469" t="s">
        <v>6966</v>
      </c>
      <c r="AI1469" t="s">
        <v>6966</v>
      </c>
      <c r="AJ1469" t="s">
        <v>6966</v>
      </c>
      <c r="AK1469" t="s">
        <v>6966</v>
      </c>
      <c r="AL1469" t="s">
        <v>6966</v>
      </c>
      <c r="AM1469" t="s">
        <v>6966</v>
      </c>
      <c r="AN1469" t="s">
        <v>6966</v>
      </c>
      <c r="AO1469" t="s">
        <v>6966</v>
      </c>
      <c r="AP1469" t="s">
        <v>6966</v>
      </c>
      <c r="AQ1469" t="s">
        <v>6966</v>
      </c>
      <c r="AR1469" t="s">
        <v>6966</v>
      </c>
      <c r="AS1469" t="s">
        <v>6966</v>
      </c>
      <c r="AT1469" t="s">
        <v>6966</v>
      </c>
      <c r="AU1469" t="s">
        <v>6966</v>
      </c>
      <c r="AV1469" t="s">
        <v>6966</v>
      </c>
      <c r="AW1469" t="s">
        <v>6966</v>
      </c>
      <c r="AX1469" t="s">
        <v>6966</v>
      </c>
      <c r="AY1469" t="s">
        <v>6966</v>
      </c>
      <c r="AZ1469">
        <v>7.2919999999999999E-2</v>
      </c>
      <c r="BA1469">
        <v>1.5200000000000001E-4</v>
      </c>
    </row>
    <row r="1470" spans="1:53" x14ac:dyDescent="0.25">
      <c r="A1470">
        <v>1468</v>
      </c>
      <c r="B1470" t="s">
        <v>7625</v>
      </c>
      <c r="C1470">
        <v>604001</v>
      </c>
      <c r="D1470" t="s">
        <v>1454</v>
      </c>
      <c r="E1470" t="s">
        <v>6965</v>
      </c>
      <c r="F1470">
        <v>7414387</v>
      </c>
      <c r="G1470">
        <v>14979.740234000001</v>
      </c>
      <c r="H1470">
        <v>1470</v>
      </c>
      <c r="I1470">
        <v>1713</v>
      </c>
      <c r="J1470">
        <v>71351</v>
      </c>
      <c r="K1470" t="s">
        <v>2719</v>
      </c>
      <c r="L1470">
        <v>23</v>
      </c>
      <c r="M1470">
        <v>23</v>
      </c>
      <c r="N1470">
        <v>71351</v>
      </c>
      <c r="O1470">
        <v>1439</v>
      </c>
      <c r="P1470" t="s">
        <v>6965</v>
      </c>
      <c r="Q1470">
        <v>4.9000000000000004</v>
      </c>
      <c r="R1470">
        <v>39.380000000000003</v>
      </c>
      <c r="S1470">
        <v>1.1299999999999999</v>
      </c>
      <c r="T1470">
        <v>9</v>
      </c>
      <c r="U1470">
        <v>7414386.9453100003</v>
      </c>
      <c r="V1470">
        <v>14979.740664000001</v>
      </c>
      <c r="W1470">
        <v>1469</v>
      </c>
      <c r="X1470">
        <v>0</v>
      </c>
      <c r="Y1470">
        <v>1468</v>
      </c>
      <c r="Z1470" t="s">
        <v>6966</v>
      </c>
      <c r="AA1470" t="s">
        <v>6966</v>
      </c>
      <c r="AB1470" t="s">
        <v>6966</v>
      </c>
      <c r="AC1470" t="s">
        <v>6966</v>
      </c>
      <c r="AD1470" t="s">
        <v>6966</v>
      </c>
      <c r="AE1470" t="s">
        <v>6966</v>
      </c>
      <c r="AF1470" t="s">
        <v>6966</v>
      </c>
      <c r="AG1470" t="s">
        <v>6966</v>
      </c>
      <c r="AH1470" t="s">
        <v>6966</v>
      </c>
      <c r="AI1470" t="s">
        <v>6966</v>
      </c>
      <c r="AJ1470" t="s">
        <v>6966</v>
      </c>
      <c r="AK1470" t="s">
        <v>6966</v>
      </c>
      <c r="AL1470" t="s">
        <v>6966</v>
      </c>
      <c r="AM1470" t="s">
        <v>6966</v>
      </c>
      <c r="AN1470" t="s">
        <v>6966</v>
      </c>
      <c r="AO1470" t="s">
        <v>6966</v>
      </c>
      <c r="AP1470" t="s">
        <v>6966</v>
      </c>
      <c r="AQ1470" t="s">
        <v>6966</v>
      </c>
      <c r="AR1470" t="s">
        <v>6966</v>
      </c>
      <c r="AS1470" t="s">
        <v>6966</v>
      </c>
      <c r="AT1470" t="s">
        <v>6966</v>
      </c>
      <c r="AU1470" t="s">
        <v>6966</v>
      </c>
      <c r="AV1470" t="s">
        <v>6966</v>
      </c>
      <c r="AW1470" t="s">
        <v>6966</v>
      </c>
      <c r="AX1470" t="s">
        <v>6966</v>
      </c>
      <c r="AY1470" t="s">
        <v>6966</v>
      </c>
      <c r="AZ1470">
        <v>0.150695</v>
      </c>
      <c r="BA1470">
        <v>7.18E-4</v>
      </c>
    </row>
    <row r="1471" spans="1:53" x14ac:dyDescent="0.25">
      <c r="A1471">
        <v>1469</v>
      </c>
      <c r="B1471" t="s">
        <v>7625</v>
      </c>
      <c r="C1471">
        <v>604005</v>
      </c>
      <c r="D1471" t="s">
        <v>1420</v>
      </c>
      <c r="E1471" t="s">
        <v>6965</v>
      </c>
      <c r="F1471">
        <v>1443107</v>
      </c>
      <c r="G1471">
        <v>5976.4907229999999</v>
      </c>
      <c r="H1471">
        <v>1471</v>
      </c>
      <c r="I1471">
        <v>1714</v>
      </c>
      <c r="J1471">
        <v>71115</v>
      </c>
      <c r="K1471" t="s">
        <v>2691</v>
      </c>
      <c r="L1471">
        <v>23</v>
      </c>
      <c r="M1471">
        <v>23</v>
      </c>
      <c r="N1471">
        <v>71115</v>
      </c>
      <c r="O1471">
        <v>1440</v>
      </c>
      <c r="P1471" t="s">
        <v>6965</v>
      </c>
      <c r="Q1471">
        <v>0</v>
      </c>
      <c r="R1471">
        <v>0</v>
      </c>
      <c r="S1471">
        <v>0</v>
      </c>
      <c r="T1471">
        <v>0</v>
      </c>
      <c r="U1471">
        <v>1443106.9598999999</v>
      </c>
      <c r="V1471">
        <v>5976.4904939999997</v>
      </c>
      <c r="W1471">
        <v>1470</v>
      </c>
      <c r="X1471">
        <v>0</v>
      </c>
      <c r="Y1471">
        <v>1469</v>
      </c>
      <c r="Z1471" t="s">
        <v>6966</v>
      </c>
      <c r="AA1471" t="s">
        <v>6966</v>
      </c>
      <c r="AB1471" t="s">
        <v>6966</v>
      </c>
      <c r="AC1471" t="s">
        <v>6966</v>
      </c>
      <c r="AD1471" t="s">
        <v>6966</v>
      </c>
      <c r="AE1471" t="s">
        <v>6966</v>
      </c>
      <c r="AF1471" t="s">
        <v>6966</v>
      </c>
      <c r="AG1471" t="s">
        <v>6966</v>
      </c>
      <c r="AH1471" t="s">
        <v>6966</v>
      </c>
      <c r="AI1471" t="s">
        <v>6966</v>
      </c>
      <c r="AJ1471" t="s">
        <v>6966</v>
      </c>
      <c r="AK1471" t="s">
        <v>6966</v>
      </c>
      <c r="AL1471" t="s">
        <v>6966</v>
      </c>
      <c r="AM1471" t="s">
        <v>6966</v>
      </c>
      <c r="AN1471" t="s">
        <v>6966</v>
      </c>
      <c r="AO1471" t="s">
        <v>6966</v>
      </c>
      <c r="AP1471" t="s">
        <v>6966</v>
      </c>
      <c r="AQ1471" t="s">
        <v>6966</v>
      </c>
      <c r="AR1471" t="s">
        <v>6966</v>
      </c>
      <c r="AS1471" t="s">
        <v>6966</v>
      </c>
      <c r="AT1471" t="s">
        <v>6966</v>
      </c>
      <c r="AU1471" t="s">
        <v>6966</v>
      </c>
      <c r="AV1471" t="s">
        <v>6966</v>
      </c>
      <c r="AW1471" t="s">
        <v>6966</v>
      </c>
      <c r="AX1471" t="s">
        <v>6966</v>
      </c>
      <c r="AY1471" t="s">
        <v>6966</v>
      </c>
      <c r="AZ1471">
        <v>5.9017E-2</v>
      </c>
      <c r="BA1471">
        <v>1.3999999999999999E-4</v>
      </c>
    </row>
    <row r="1472" spans="1:53" x14ac:dyDescent="0.25">
      <c r="A1472">
        <v>1470</v>
      </c>
      <c r="B1472" t="s">
        <v>7625</v>
      </c>
      <c r="C1472">
        <v>802078</v>
      </c>
      <c r="D1472" t="s">
        <v>8140</v>
      </c>
      <c r="E1472" t="s">
        <v>3039</v>
      </c>
      <c r="F1472">
        <v>0</v>
      </c>
      <c r="G1472">
        <v>27162.753906000002</v>
      </c>
      <c r="H1472">
        <v>1472</v>
      </c>
      <c r="I1472">
        <v>1715</v>
      </c>
      <c r="J1472">
        <v>61427</v>
      </c>
      <c r="K1472" t="s">
        <v>8141</v>
      </c>
      <c r="L1472">
        <v>20</v>
      </c>
      <c r="M1472">
        <v>20</v>
      </c>
      <c r="N1472">
        <v>61427</v>
      </c>
      <c r="O1472">
        <v>1441</v>
      </c>
      <c r="P1472" t="s">
        <v>3213</v>
      </c>
      <c r="Q1472">
        <v>2.7</v>
      </c>
      <c r="R1472">
        <v>64.34</v>
      </c>
      <c r="S1472">
        <v>0.66</v>
      </c>
      <c r="T1472">
        <v>16</v>
      </c>
      <c r="U1472">
        <v>0</v>
      </c>
      <c r="V1472">
        <v>27162.754549000001</v>
      </c>
      <c r="W1472">
        <v>1471</v>
      </c>
      <c r="X1472">
        <v>0</v>
      </c>
      <c r="Y1472">
        <v>1470</v>
      </c>
      <c r="Z1472" t="s">
        <v>6966</v>
      </c>
      <c r="AA1472" t="s">
        <v>6966</v>
      </c>
      <c r="AB1472" t="s">
        <v>6966</v>
      </c>
      <c r="AC1472" t="s">
        <v>6966</v>
      </c>
      <c r="AD1472" t="s">
        <v>6966</v>
      </c>
      <c r="AE1472" t="s">
        <v>6966</v>
      </c>
      <c r="AF1472" t="s">
        <v>6966</v>
      </c>
      <c r="AG1472" t="s">
        <v>6966</v>
      </c>
      <c r="AH1472" t="s">
        <v>6966</v>
      </c>
      <c r="AI1472" t="s">
        <v>6966</v>
      </c>
      <c r="AJ1472" t="s">
        <v>6966</v>
      </c>
      <c r="AK1472" t="s">
        <v>6966</v>
      </c>
      <c r="AL1472" t="s">
        <v>6966</v>
      </c>
      <c r="AM1472" t="s">
        <v>6966</v>
      </c>
      <c r="AN1472" t="s">
        <v>6966</v>
      </c>
      <c r="AO1472" t="s">
        <v>6966</v>
      </c>
      <c r="AP1472" t="s">
        <v>6966</v>
      </c>
      <c r="AQ1472" t="s">
        <v>6966</v>
      </c>
      <c r="AR1472" t="s">
        <v>6966</v>
      </c>
      <c r="AS1472" t="s">
        <v>6966</v>
      </c>
      <c r="AT1472" t="s">
        <v>6966</v>
      </c>
      <c r="AU1472" t="s">
        <v>6966</v>
      </c>
      <c r="AV1472" t="s">
        <v>6966</v>
      </c>
      <c r="AW1472" t="s">
        <v>6966</v>
      </c>
      <c r="AX1472" t="s">
        <v>6966</v>
      </c>
      <c r="AY1472" t="s">
        <v>6966</v>
      </c>
      <c r="AZ1472">
        <v>0.268702</v>
      </c>
      <c r="BA1472">
        <v>1.7589999999999999E-3</v>
      </c>
    </row>
    <row r="1473" spans="1:53" x14ac:dyDescent="0.25">
      <c r="A1473">
        <v>1471</v>
      </c>
      <c r="B1473" t="s">
        <v>7625</v>
      </c>
      <c r="C1473">
        <v>603022</v>
      </c>
      <c r="D1473" t="s">
        <v>1508</v>
      </c>
      <c r="E1473" t="s">
        <v>1508</v>
      </c>
      <c r="F1473">
        <v>7876062.5</v>
      </c>
      <c r="G1473">
        <v>18954.580077999999</v>
      </c>
      <c r="H1473">
        <v>1473</v>
      </c>
      <c r="I1473">
        <v>1716</v>
      </c>
      <c r="J1473">
        <v>73111</v>
      </c>
      <c r="K1473" t="s">
        <v>2762</v>
      </c>
      <c r="L1473">
        <v>25</v>
      </c>
      <c r="M1473">
        <v>25</v>
      </c>
      <c r="N1473">
        <v>73111</v>
      </c>
      <c r="O1473">
        <v>1442</v>
      </c>
      <c r="P1473" t="s">
        <v>6965</v>
      </c>
      <c r="Q1473">
        <v>5.0999999999999996</v>
      </c>
      <c r="R1473">
        <v>32.42</v>
      </c>
      <c r="S1473">
        <v>1.38</v>
      </c>
      <c r="T1473">
        <v>10</v>
      </c>
      <c r="U1473">
        <v>7876062.6186499996</v>
      </c>
      <c r="V1473">
        <v>18954.579515000001</v>
      </c>
      <c r="W1473">
        <v>1472</v>
      </c>
      <c r="X1473">
        <v>2</v>
      </c>
      <c r="Y1473">
        <v>1471</v>
      </c>
      <c r="Z1473">
        <v>64986</v>
      </c>
      <c r="AA1473" s="76">
        <v>45839</v>
      </c>
      <c r="AB1473">
        <v>2025</v>
      </c>
      <c r="AC1473" t="s">
        <v>7313</v>
      </c>
      <c r="AD1473">
        <v>1</v>
      </c>
      <c r="AE1473" t="s">
        <v>7314</v>
      </c>
      <c r="AF1473" t="s">
        <v>3218</v>
      </c>
      <c r="AG1473" t="s">
        <v>1508</v>
      </c>
      <c r="AH1473" t="s">
        <v>1508</v>
      </c>
      <c r="AI1473" t="s">
        <v>1508</v>
      </c>
      <c r="AJ1473" t="s">
        <v>6966</v>
      </c>
      <c r="AK1473">
        <v>33.364159999999998</v>
      </c>
      <c r="AL1473">
        <v>35.58623</v>
      </c>
      <c r="AM1473" t="s">
        <v>6995</v>
      </c>
      <c r="AN1473" t="s">
        <v>6995</v>
      </c>
      <c r="AO1473" t="s">
        <v>6996</v>
      </c>
      <c r="AP1473" t="s">
        <v>7315</v>
      </c>
      <c r="AQ1473" t="s">
        <v>6998</v>
      </c>
      <c r="AR1473" t="s">
        <v>6999</v>
      </c>
      <c r="AS1473" t="s">
        <v>7000</v>
      </c>
      <c r="AT1473">
        <v>0</v>
      </c>
      <c r="AU1473">
        <v>0</v>
      </c>
      <c r="AV1473" t="s">
        <v>8142</v>
      </c>
      <c r="AW1473" t="s">
        <v>7041</v>
      </c>
      <c r="AX1473" t="s">
        <v>6966</v>
      </c>
      <c r="AY1473" t="s">
        <v>7044</v>
      </c>
      <c r="AZ1473">
        <v>0.18700600000000001</v>
      </c>
      <c r="BA1473">
        <v>7.6300000000000001E-4</v>
      </c>
    </row>
    <row r="1474" spans="1:53" x14ac:dyDescent="0.25">
      <c r="A1474">
        <v>1472</v>
      </c>
      <c r="B1474" t="s">
        <v>7625</v>
      </c>
      <c r="C1474">
        <v>604028</v>
      </c>
      <c r="D1474" t="s">
        <v>1426</v>
      </c>
      <c r="E1474" t="s">
        <v>6965</v>
      </c>
      <c r="F1474">
        <v>7734162.5</v>
      </c>
      <c r="G1474">
        <v>15444.782227</v>
      </c>
      <c r="H1474">
        <v>1474</v>
      </c>
      <c r="I1474">
        <v>1717</v>
      </c>
      <c r="J1474">
        <v>71166</v>
      </c>
      <c r="K1474" t="s">
        <v>2695</v>
      </c>
      <c r="L1474">
        <v>23</v>
      </c>
      <c r="M1474">
        <v>23</v>
      </c>
      <c r="N1474">
        <v>71166</v>
      </c>
      <c r="O1474">
        <v>1443</v>
      </c>
      <c r="P1474" t="s">
        <v>6965</v>
      </c>
      <c r="Q1474">
        <v>3.9</v>
      </c>
      <c r="R1474">
        <v>43.42</v>
      </c>
      <c r="S1474">
        <v>1.08</v>
      </c>
      <c r="T1474">
        <v>12</v>
      </c>
      <c r="U1474">
        <v>7734162.4746200005</v>
      </c>
      <c r="V1474">
        <v>15444.78275</v>
      </c>
      <c r="W1474">
        <v>1473</v>
      </c>
      <c r="X1474">
        <v>0</v>
      </c>
      <c r="Y1474">
        <v>1472</v>
      </c>
      <c r="Z1474" t="s">
        <v>6966</v>
      </c>
      <c r="AA1474" t="s">
        <v>6966</v>
      </c>
      <c r="AB1474" t="s">
        <v>6966</v>
      </c>
      <c r="AC1474" t="s">
        <v>6966</v>
      </c>
      <c r="AD1474" t="s">
        <v>6966</v>
      </c>
      <c r="AE1474" t="s">
        <v>6966</v>
      </c>
      <c r="AF1474" t="s">
        <v>6966</v>
      </c>
      <c r="AG1474" t="s">
        <v>6966</v>
      </c>
      <c r="AH1474" t="s">
        <v>6966</v>
      </c>
      <c r="AI1474" t="s">
        <v>6966</v>
      </c>
      <c r="AJ1474" t="s">
        <v>6966</v>
      </c>
      <c r="AK1474" t="s">
        <v>6966</v>
      </c>
      <c r="AL1474" t="s">
        <v>6966</v>
      </c>
      <c r="AM1474" t="s">
        <v>6966</v>
      </c>
      <c r="AN1474" t="s">
        <v>6966</v>
      </c>
      <c r="AO1474" t="s">
        <v>6966</v>
      </c>
      <c r="AP1474" t="s">
        <v>6966</v>
      </c>
      <c r="AQ1474" t="s">
        <v>6966</v>
      </c>
      <c r="AR1474" t="s">
        <v>6966</v>
      </c>
      <c r="AS1474" t="s">
        <v>6966</v>
      </c>
      <c r="AT1474" t="s">
        <v>6966</v>
      </c>
      <c r="AU1474" t="s">
        <v>6966</v>
      </c>
      <c r="AV1474" t="s">
        <v>6966</v>
      </c>
      <c r="AW1474" t="s">
        <v>6966</v>
      </c>
      <c r="AX1474" t="s">
        <v>6966</v>
      </c>
      <c r="AY1474" t="s">
        <v>6966</v>
      </c>
      <c r="AZ1474">
        <v>0.15148800000000001</v>
      </c>
      <c r="BA1474">
        <v>7.4899999999999999E-4</v>
      </c>
    </row>
    <row r="1475" spans="1:53" x14ac:dyDescent="0.25">
      <c r="A1475">
        <v>1473</v>
      </c>
      <c r="B1475" t="s">
        <v>7625</v>
      </c>
      <c r="C1475">
        <v>604037</v>
      </c>
      <c r="D1475" t="s">
        <v>1464</v>
      </c>
      <c r="E1475" t="s">
        <v>6965</v>
      </c>
      <c r="F1475">
        <v>2444176.75</v>
      </c>
      <c r="G1475">
        <v>7944.7456050000001</v>
      </c>
      <c r="H1475">
        <v>1475</v>
      </c>
      <c r="I1475">
        <v>1718</v>
      </c>
      <c r="J1475">
        <v>71384</v>
      </c>
      <c r="K1475" t="s">
        <v>2727</v>
      </c>
      <c r="L1475">
        <v>23</v>
      </c>
      <c r="M1475">
        <v>23</v>
      </c>
      <c r="N1475">
        <v>71384</v>
      </c>
      <c r="O1475">
        <v>1444</v>
      </c>
      <c r="P1475" t="s">
        <v>6965</v>
      </c>
      <c r="Q1475">
        <v>0</v>
      </c>
      <c r="R1475">
        <v>0</v>
      </c>
      <c r="S1475">
        <v>0</v>
      </c>
      <c r="T1475">
        <v>0</v>
      </c>
      <c r="U1475">
        <v>2444176.8142900001</v>
      </c>
      <c r="V1475">
        <v>7944.7469309999997</v>
      </c>
      <c r="W1475">
        <v>1474</v>
      </c>
      <c r="X1475">
        <v>0</v>
      </c>
      <c r="Y1475">
        <v>1473</v>
      </c>
      <c r="Z1475" t="s">
        <v>6966</v>
      </c>
      <c r="AA1475" t="s">
        <v>6966</v>
      </c>
      <c r="AB1475" t="s">
        <v>6966</v>
      </c>
      <c r="AC1475" t="s">
        <v>6966</v>
      </c>
      <c r="AD1475" t="s">
        <v>6966</v>
      </c>
      <c r="AE1475" t="s">
        <v>6966</v>
      </c>
      <c r="AF1475" t="s">
        <v>6966</v>
      </c>
      <c r="AG1475" t="s">
        <v>6966</v>
      </c>
      <c r="AH1475" t="s">
        <v>6966</v>
      </c>
      <c r="AI1475" t="s">
        <v>6966</v>
      </c>
      <c r="AJ1475" t="s">
        <v>6966</v>
      </c>
      <c r="AK1475" t="s">
        <v>6966</v>
      </c>
      <c r="AL1475" t="s">
        <v>6966</v>
      </c>
      <c r="AM1475" t="s">
        <v>6966</v>
      </c>
      <c r="AN1475" t="s">
        <v>6966</v>
      </c>
      <c r="AO1475" t="s">
        <v>6966</v>
      </c>
      <c r="AP1475" t="s">
        <v>6966</v>
      </c>
      <c r="AQ1475" t="s">
        <v>6966</v>
      </c>
      <c r="AR1475" t="s">
        <v>6966</v>
      </c>
      <c r="AS1475" t="s">
        <v>6966</v>
      </c>
      <c r="AT1475" t="s">
        <v>6966</v>
      </c>
      <c r="AU1475" t="s">
        <v>6966</v>
      </c>
      <c r="AV1475" t="s">
        <v>6966</v>
      </c>
      <c r="AW1475" t="s">
        <v>6966</v>
      </c>
      <c r="AX1475" t="s">
        <v>6966</v>
      </c>
      <c r="AY1475" t="s">
        <v>6966</v>
      </c>
      <c r="AZ1475">
        <v>7.9727999999999993E-2</v>
      </c>
      <c r="BA1475">
        <v>2.3699999999999999E-4</v>
      </c>
    </row>
    <row r="1476" spans="1:53" x14ac:dyDescent="0.25">
      <c r="A1476">
        <v>1474</v>
      </c>
      <c r="B1476" t="s">
        <v>7625</v>
      </c>
      <c r="C1476">
        <v>602022</v>
      </c>
      <c r="D1476" t="s">
        <v>1545</v>
      </c>
      <c r="E1476" t="s">
        <v>1541</v>
      </c>
      <c r="F1476">
        <v>8253407.5</v>
      </c>
      <c r="G1476">
        <v>15401.283203000001</v>
      </c>
      <c r="H1476">
        <v>1476</v>
      </c>
      <c r="I1476">
        <v>1719</v>
      </c>
      <c r="J1476">
        <v>74118</v>
      </c>
      <c r="K1476" t="s">
        <v>2788</v>
      </c>
      <c r="L1476">
        <v>26</v>
      </c>
      <c r="M1476">
        <v>26</v>
      </c>
      <c r="N1476">
        <v>74118</v>
      </c>
      <c r="O1476">
        <v>1445</v>
      </c>
      <c r="P1476" t="s">
        <v>6965</v>
      </c>
      <c r="Q1476">
        <v>0.8</v>
      </c>
      <c r="R1476">
        <v>58.93</v>
      </c>
      <c r="S1476">
        <v>0.2</v>
      </c>
      <c r="T1476">
        <v>15</v>
      </c>
      <c r="U1476">
        <v>8253407.4764299998</v>
      </c>
      <c r="V1476">
        <v>15401.2834</v>
      </c>
      <c r="W1476">
        <v>1475</v>
      </c>
      <c r="X1476">
        <v>0</v>
      </c>
      <c r="Y1476">
        <v>1474</v>
      </c>
      <c r="Z1476" t="s">
        <v>6966</v>
      </c>
      <c r="AA1476" t="s">
        <v>6966</v>
      </c>
      <c r="AB1476" t="s">
        <v>6966</v>
      </c>
      <c r="AC1476" t="s">
        <v>6966</v>
      </c>
      <c r="AD1476" t="s">
        <v>6966</v>
      </c>
      <c r="AE1476" t="s">
        <v>6966</v>
      </c>
      <c r="AF1476" t="s">
        <v>6966</v>
      </c>
      <c r="AG1476" t="s">
        <v>6966</v>
      </c>
      <c r="AH1476" t="s">
        <v>6966</v>
      </c>
      <c r="AI1476" t="s">
        <v>6966</v>
      </c>
      <c r="AJ1476" t="s">
        <v>6966</v>
      </c>
      <c r="AK1476" t="s">
        <v>6966</v>
      </c>
      <c r="AL1476" t="s">
        <v>6966</v>
      </c>
      <c r="AM1476" t="s">
        <v>6966</v>
      </c>
      <c r="AN1476" t="s">
        <v>6966</v>
      </c>
      <c r="AO1476" t="s">
        <v>6966</v>
      </c>
      <c r="AP1476" t="s">
        <v>6966</v>
      </c>
      <c r="AQ1476" t="s">
        <v>6966</v>
      </c>
      <c r="AR1476" t="s">
        <v>6966</v>
      </c>
      <c r="AS1476" t="s">
        <v>6966</v>
      </c>
      <c r="AT1476" t="s">
        <v>6966</v>
      </c>
      <c r="AU1476" t="s">
        <v>6966</v>
      </c>
      <c r="AV1476" t="s">
        <v>6966</v>
      </c>
      <c r="AW1476" t="s">
        <v>6966</v>
      </c>
      <c r="AX1476" t="s">
        <v>6966</v>
      </c>
      <c r="AY1476" t="s">
        <v>6966</v>
      </c>
      <c r="AZ1476">
        <v>0.15326300000000001</v>
      </c>
      <c r="BA1476">
        <v>7.9900000000000001E-4</v>
      </c>
    </row>
    <row r="1477" spans="1:53" x14ac:dyDescent="0.25">
      <c r="A1477">
        <v>1475</v>
      </c>
      <c r="B1477" t="s">
        <v>7625</v>
      </c>
      <c r="C1477">
        <v>802060</v>
      </c>
      <c r="D1477" t="s">
        <v>1214</v>
      </c>
      <c r="E1477" t="s">
        <v>3039</v>
      </c>
      <c r="F1477">
        <v>3781532.25</v>
      </c>
      <c r="G1477">
        <v>8423.1660159999992</v>
      </c>
      <c r="H1477">
        <v>1477</v>
      </c>
      <c r="I1477">
        <v>1720</v>
      </c>
      <c r="J1477">
        <v>61414</v>
      </c>
      <c r="K1477" t="s">
        <v>2526</v>
      </c>
      <c r="L1477">
        <v>20</v>
      </c>
      <c r="M1477">
        <v>20</v>
      </c>
      <c r="N1477">
        <v>61414</v>
      </c>
      <c r="O1477">
        <v>1446</v>
      </c>
      <c r="P1477" t="s">
        <v>3213</v>
      </c>
      <c r="Q1477">
        <v>3.2</v>
      </c>
      <c r="R1477">
        <v>120.24</v>
      </c>
      <c r="S1477">
        <v>0.72</v>
      </c>
      <c r="T1477">
        <v>27</v>
      </c>
      <c r="U1477">
        <v>3781532.3006099998</v>
      </c>
      <c r="V1477">
        <v>8423.1664010000004</v>
      </c>
      <c r="W1477">
        <v>1476</v>
      </c>
      <c r="X1477">
        <v>0</v>
      </c>
      <c r="Y1477">
        <v>1475</v>
      </c>
      <c r="Z1477" t="s">
        <v>6966</v>
      </c>
      <c r="AA1477" t="s">
        <v>6966</v>
      </c>
      <c r="AB1477" t="s">
        <v>6966</v>
      </c>
      <c r="AC1477" t="s">
        <v>6966</v>
      </c>
      <c r="AD1477" t="s">
        <v>6966</v>
      </c>
      <c r="AE1477" t="s">
        <v>6966</v>
      </c>
      <c r="AF1477" t="s">
        <v>6966</v>
      </c>
      <c r="AG1477" t="s">
        <v>6966</v>
      </c>
      <c r="AH1477" t="s">
        <v>6966</v>
      </c>
      <c r="AI1477" t="s">
        <v>6966</v>
      </c>
      <c r="AJ1477" t="s">
        <v>6966</v>
      </c>
      <c r="AK1477" t="s">
        <v>6966</v>
      </c>
      <c r="AL1477" t="s">
        <v>6966</v>
      </c>
      <c r="AM1477" t="s">
        <v>6966</v>
      </c>
      <c r="AN1477" t="s">
        <v>6966</v>
      </c>
      <c r="AO1477" t="s">
        <v>6966</v>
      </c>
      <c r="AP1477" t="s">
        <v>6966</v>
      </c>
      <c r="AQ1477" t="s">
        <v>6966</v>
      </c>
      <c r="AR1477" t="s">
        <v>6966</v>
      </c>
      <c r="AS1477" t="s">
        <v>6966</v>
      </c>
      <c r="AT1477" t="s">
        <v>6966</v>
      </c>
      <c r="AU1477" t="s">
        <v>6966</v>
      </c>
      <c r="AV1477" t="s">
        <v>6966</v>
      </c>
      <c r="AW1477" t="s">
        <v>6966</v>
      </c>
      <c r="AX1477" t="s">
        <v>6966</v>
      </c>
      <c r="AY1477" t="s">
        <v>6966</v>
      </c>
      <c r="AZ1477">
        <v>8.2944000000000004E-2</v>
      </c>
      <c r="BA1477">
        <v>3.6600000000000001E-4</v>
      </c>
    </row>
    <row r="1478" spans="1:53" x14ac:dyDescent="0.25">
      <c r="A1478">
        <v>1476</v>
      </c>
      <c r="B1478" t="s">
        <v>7625</v>
      </c>
      <c r="C1478">
        <v>604013</v>
      </c>
      <c r="D1478" t="s">
        <v>1424</v>
      </c>
      <c r="E1478" t="s">
        <v>6965</v>
      </c>
      <c r="F1478">
        <v>2516402.5</v>
      </c>
      <c r="G1478">
        <v>8603.7529300000006</v>
      </c>
      <c r="H1478">
        <v>1478</v>
      </c>
      <c r="I1478">
        <v>1721</v>
      </c>
      <c r="J1478">
        <v>71144</v>
      </c>
      <c r="K1478" t="s">
        <v>1424</v>
      </c>
      <c r="L1478">
        <v>23</v>
      </c>
      <c r="M1478">
        <v>23</v>
      </c>
      <c r="N1478">
        <v>71144</v>
      </c>
      <c r="O1478">
        <v>1447</v>
      </c>
      <c r="P1478" t="s">
        <v>6965</v>
      </c>
      <c r="Q1478">
        <v>2.2000000000000002</v>
      </c>
      <c r="R1478">
        <v>25.13</v>
      </c>
      <c r="S1478">
        <v>0.99</v>
      </c>
      <c r="T1478">
        <v>12</v>
      </c>
      <c r="U1478">
        <v>2516402.6543700001</v>
      </c>
      <c r="V1478">
        <v>8603.7538170000007</v>
      </c>
      <c r="W1478">
        <v>1477</v>
      </c>
      <c r="X1478">
        <v>0</v>
      </c>
      <c r="Y1478">
        <v>1476</v>
      </c>
      <c r="Z1478" t="s">
        <v>6966</v>
      </c>
      <c r="AA1478" t="s">
        <v>6966</v>
      </c>
      <c r="AB1478" t="s">
        <v>6966</v>
      </c>
      <c r="AC1478" t="s">
        <v>6966</v>
      </c>
      <c r="AD1478" t="s">
        <v>6966</v>
      </c>
      <c r="AE1478" t="s">
        <v>6966</v>
      </c>
      <c r="AF1478" t="s">
        <v>6966</v>
      </c>
      <c r="AG1478" t="s">
        <v>6966</v>
      </c>
      <c r="AH1478" t="s">
        <v>6966</v>
      </c>
      <c r="AI1478" t="s">
        <v>6966</v>
      </c>
      <c r="AJ1478" t="s">
        <v>6966</v>
      </c>
      <c r="AK1478" t="s">
        <v>6966</v>
      </c>
      <c r="AL1478" t="s">
        <v>6966</v>
      </c>
      <c r="AM1478" t="s">
        <v>6966</v>
      </c>
      <c r="AN1478" t="s">
        <v>6966</v>
      </c>
      <c r="AO1478" t="s">
        <v>6966</v>
      </c>
      <c r="AP1478" t="s">
        <v>6966</v>
      </c>
      <c r="AQ1478" t="s">
        <v>6966</v>
      </c>
      <c r="AR1478" t="s">
        <v>6966</v>
      </c>
      <c r="AS1478" t="s">
        <v>6966</v>
      </c>
      <c r="AT1478" t="s">
        <v>6966</v>
      </c>
      <c r="AU1478" t="s">
        <v>6966</v>
      </c>
      <c r="AV1478" t="s">
        <v>6966</v>
      </c>
      <c r="AW1478" t="s">
        <v>6966</v>
      </c>
      <c r="AX1478" t="s">
        <v>6966</v>
      </c>
      <c r="AY1478" t="s">
        <v>6966</v>
      </c>
      <c r="AZ1478">
        <v>8.4919999999999995E-2</v>
      </c>
      <c r="BA1478">
        <v>2.4399999999999999E-4</v>
      </c>
    </row>
    <row r="1479" spans="1:53" x14ac:dyDescent="0.25">
      <c r="A1479">
        <v>1477</v>
      </c>
      <c r="B1479" t="s">
        <v>7625</v>
      </c>
      <c r="C1479">
        <v>801051</v>
      </c>
      <c r="D1479" t="s">
        <v>1416</v>
      </c>
      <c r="E1479" t="s">
        <v>1342</v>
      </c>
      <c r="F1479">
        <v>692574.125</v>
      </c>
      <c r="G1479">
        <v>4241.6381840000004</v>
      </c>
      <c r="H1479">
        <v>1479</v>
      </c>
      <c r="I1479">
        <v>1722</v>
      </c>
      <c r="J1479">
        <v>63383</v>
      </c>
      <c r="K1479" t="s">
        <v>2688</v>
      </c>
      <c r="L1479">
        <v>22</v>
      </c>
      <c r="M1479">
        <v>22</v>
      </c>
      <c r="N1479">
        <v>63383</v>
      </c>
      <c r="O1479">
        <v>1448</v>
      </c>
      <c r="P1479" t="s">
        <v>3213</v>
      </c>
      <c r="Q1479">
        <v>0</v>
      </c>
      <c r="R1479">
        <v>0</v>
      </c>
      <c r="S1479">
        <v>0.03</v>
      </c>
      <c r="T1479">
        <v>1</v>
      </c>
      <c r="U1479">
        <v>692574.10295800003</v>
      </c>
      <c r="V1479">
        <v>4241.637925</v>
      </c>
      <c r="W1479">
        <v>1478</v>
      </c>
      <c r="X1479">
        <v>0</v>
      </c>
      <c r="Y1479">
        <v>1477</v>
      </c>
      <c r="Z1479" t="s">
        <v>6966</v>
      </c>
      <c r="AA1479" t="s">
        <v>6966</v>
      </c>
      <c r="AB1479" t="s">
        <v>6966</v>
      </c>
      <c r="AC1479" t="s">
        <v>6966</v>
      </c>
      <c r="AD1479" t="s">
        <v>6966</v>
      </c>
      <c r="AE1479" t="s">
        <v>6966</v>
      </c>
      <c r="AF1479" t="s">
        <v>6966</v>
      </c>
      <c r="AG1479" t="s">
        <v>6966</v>
      </c>
      <c r="AH1479" t="s">
        <v>6966</v>
      </c>
      <c r="AI1479" t="s">
        <v>6966</v>
      </c>
      <c r="AJ1479" t="s">
        <v>6966</v>
      </c>
      <c r="AK1479" t="s">
        <v>6966</v>
      </c>
      <c r="AL1479" t="s">
        <v>6966</v>
      </c>
      <c r="AM1479" t="s">
        <v>6966</v>
      </c>
      <c r="AN1479" t="s">
        <v>6966</v>
      </c>
      <c r="AO1479" t="s">
        <v>6966</v>
      </c>
      <c r="AP1479" t="s">
        <v>6966</v>
      </c>
      <c r="AQ1479" t="s">
        <v>6966</v>
      </c>
      <c r="AR1479" t="s">
        <v>6966</v>
      </c>
      <c r="AS1479" t="s">
        <v>6966</v>
      </c>
      <c r="AT1479" t="s">
        <v>6966</v>
      </c>
      <c r="AU1479" t="s">
        <v>6966</v>
      </c>
      <c r="AV1479" t="s">
        <v>6966</v>
      </c>
      <c r="AW1479" t="s">
        <v>6966</v>
      </c>
      <c r="AX1479" t="s">
        <v>6966</v>
      </c>
      <c r="AY1479" t="s">
        <v>6966</v>
      </c>
      <c r="AZ1479">
        <v>4.0769E-2</v>
      </c>
      <c r="BA1479">
        <v>6.7000000000000002E-5</v>
      </c>
    </row>
    <row r="1480" spans="1:53" x14ac:dyDescent="0.25">
      <c r="A1480">
        <v>1478</v>
      </c>
      <c r="B1480" t="s">
        <v>7625</v>
      </c>
      <c r="C1480">
        <v>604031</v>
      </c>
      <c r="D1480" t="s">
        <v>1452</v>
      </c>
      <c r="E1480" t="s">
        <v>6965</v>
      </c>
      <c r="F1480">
        <v>6344639</v>
      </c>
      <c r="G1480">
        <v>13895.660156</v>
      </c>
      <c r="H1480">
        <v>1480</v>
      </c>
      <c r="I1480">
        <v>1723</v>
      </c>
      <c r="J1480">
        <v>71344</v>
      </c>
      <c r="K1480" t="s">
        <v>2717</v>
      </c>
      <c r="L1480">
        <v>23</v>
      </c>
      <c r="M1480">
        <v>23</v>
      </c>
      <c r="N1480">
        <v>71344</v>
      </c>
      <c r="O1480">
        <v>1449</v>
      </c>
      <c r="P1480" t="s">
        <v>6965</v>
      </c>
      <c r="Q1480">
        <v>6</v>
      </c>
      <c r="R1480">
        <v>50.73</v>
      </c>
      <c r="S1480">
        <v>1.28</v>
      </c>
      <c r="T1480">
        <v>11</v>
      </c>
      <c r="U1480">
        <v>6344639.11974</v>
      </c>
      <c r="V1480">
        <v>13895.661039000001</v>
      </c>
      <c r="W1480">
        <v>1479</v>
      </c>
      <c r="X1480">
        <v>0</v>
      </c>
      <c r="Y1480">
        <v>1478</v>
      </c>
      <c r="Z1480" t="s">
        <v>6966</v>
      </c>
      <c r="AA1480" t="s">
        <v>6966</v>
      </c>
      <c r="AB1480" t="s">
        <v>6966</v>
      </c>
      <c r="AC1480" t="s">
        <v>6966</v>
      </c>
      <c r="AD1480" t="s">
        <v>6966</v>
      </c>
      <c r="AE1480" t="s">
        <v>6966</v>
      </c>
      <c r="AF1480" t="s">
        <v>6966</v>
      </c>
      <c r="AG1480" t="s">
        <v>6966</v>
      </c>
      <c r="AH1480" t="s">
        <v>6966</v>
      </c>
      <c r="AI1480" t="s">
        <v>6966</v>
      </c>
      <c r="AJ1480" t="s">
        <v>6966</v>
      </c>
      <c r="AK1480" t="s">
        <v>6966</v>
      </c>
      <c r="AL1480" t="s">
        <v>6966</v>
      </c>
      <c r="AM1480" t="s">
        <v>6966</v>
      </c>
      <c r="AN1480" t="s">
        <v>6966</v>
      </c>
      <c r="AO1480" t="s">
        <v>6966</v>
      </c>
      <c r="AP1480" t="s">
        <v>6966</v>
      </c>
      <c r="AQ1480" t="s">
        <v>6966</v>
      </c>
      <c r="AR1480" t="s">
        <v>6966</v>
      </c>
      <c r="AS1480" t="s">
        <v>6966</v>
      </c>
      <c r="AT1480" t="s">
        <v>6966</v>
      </c>
      <c r="AU1480" t="s">
        <v>6966</v>
      </c>
      <c r="AV1480" t="s">
        <v>6966</v>
      </c>
      <c r="AW1480" t="s">
        <v>6966</v>
      </c>
      <c r="AX1480" t="s">
        <v>6966</v>
      </c>
      <c r="AY1480" t="s">
        <v>6966</v>
      </c>
      <c r="AZ1480">
        <v>0.13692099999999999</v>
      </c>
      <c r="BA1480">
        <v>6.1399999999999996E-4</v>
      </c>
    </row>
    <row r="1481" spans="1:53" x14ac:dyDescent="0.25">
      <c r="A1481">
        <v>1479</v>
      </c>
      <c r="B1481" t="s">
        <v>7625</v>
      </c>
      <c r="C1481">
        <v>604002</v>
      </c>
      <c r="D1481" t="s">
        <v>1453</v>
      </c>
      <c r="E1481" t="s">
        <v>6965</v>
      </c>
      <c r="F1481">
        <v>4054768.75</v>
      </c>
      <c r="G1481">
        <v>10470.331055000001</v>
      </c>
      <c r="H1481">
        <v>1481</v>
      </c>
      <c r="I1481">
        <v>1724</v>
      </c>
      <c r="J1481">
        <v>71347</v>
      </c>
      <c r="K1481" t="s">
        <v>2718</v>
      </c>
      <c r="L1481">
        <v>23</v>
      </c>
      <c r="M1481">
        <v>23</v>
      </c>
      <c r="N1481">
        <v>71347</v>
      </c>
      <c r="O1481">
        <v>1450</v>
      </c>
      <c r="P1481" t="s">
        <v>6965</v>
      </c>
      <c r="Q1481">
        <v>5</v>
      </c>
      <c r="R1481">
        <v>34.840000000000003</v>
      </c>
      <c r="S1481">
        <v>1.29</v>
      </c>
      <c r="T1481">
        <v>9</v>
      </c>
      <c r="U1481">
        <v>4054768.8193000001</v>
      </c>
      <c r="V1481">
        <v>10470.331426000001</v>
      </c>
      <c r="W1481">
        <v>1480</v>
      </c>
      <c r="X1481">
        <v>0</v>
      </c>
      <c r="Y1481">
        <v>1479</v>
      </c>
      <c r="Z1481" t="s">
        <v>6966</v>
      </c>
      <c r="AA1481" t="s">
        <v>6966</v>
      </c>
      <c r="AB1481" t="s">
        <v>6966</v>
      </c>
      <c r="AC1481" t="s">
        <v>6966</v>
      </c>
      <c r="AD1481" t="s">
        <v>6966</v>
      </c>
      <c r="AE1481" t="s">
        <v>6966</v>
      </c>
      <c r="AF1481" t="s">
        <v>6966</v>
      </c>
      <c r="AG1481" t="s">
        <v>6966</v>
      </c>
      <c r="AH1481" t="s">
        <v>6966</v>
      </c>
      <c r="AI1481" t="s">
        <v>6966</v>
      </c>
      <c r="AJ1481" t="s">
        <v>6966</v>
      </c>
      <c r="AK1481" t="s">
        <v>6966</v>
      </c>
      <c r="AL1481" t="s">
        <v>6966</v>
      </c>
      <c r="AM1481" t="s">
        <v>6966</v>
      </c>
      <c r="AN1481" t="s">
        <v>6966</v>
      </c>
      <c r="AO1481" t="s">
        <v>6966</v>
      </c>
      <c r="AP1481" t="s">
        <v>6966</v>
      </c>
      <c r="AQ1481" t="s">
        <v>6966</v>
      </c>
      <c r="AR1481" t="s">
        <v>6966</v>
      </c>
      <c r="AS1481" t="s">
        <v>6966</v>
      </c>
      <c r="AT1481" t="s">
        <v>6966</v>
      </c>
      <c r="AU1481" t="s">
        <v>6966</v>
      </c>
      <c r="AV1481" t="s">
        <v>6966</v>
      </c>
      <c r="AW1481" t="s">
        <v>6966</v>
      </c>
      <c r="AX1481" t="s">
        <v>6966</v>
      </c>
      <c r="AY1481" t="s">
        <v>6966</v>
      </c>
      <c r="AZ1481">
        <v>0.104946</v>
      </c>
      <c r="BA1481">
        <v>3.9300000000000001E-4</v>
      </c>
    </row>
    <row r="1482" spans="1:53" x14ac:dyDescent="0.25">
      <c r="A1482">
        <v>1480</v>
      </c>
      <c r="B1482" t="s">
        <v>7625</v>
      </c>
      <c r="C1482">
        <v>604011</v>
      </c>
      <c r="D1482" t="s">
        <v>1466</v>
      </c>
      <c r="E1482" t="s">
        <v>6965</v>
      </c>
      <c r="F1482">
        <v>5545714.5</v>
      </c>
      <c r="G1482">
        <v>13619.509765999999</v>
      </c>
      <c r="H1482">
        <v>1482</v>
      </c>
      <c r="I1482">
        <v>1725</v>
      </c>
      <c r="J1482">
        <v>71387</v>
      </c>
      <c r="K1482" t="s">
        <v>2729</v>
      </c>
      <c r="L1482">
        <v>23</v>
      </c>
      <c r="M1482">
        <v>23</v>
      </c>
      <c r="N1482">
        <v>71387</v>
      </c>
      <c r="O1482">
        <v>1451</v>
      </c>
      <c r="P1482" t="s">
        <v>6965</v>
      </c>
      <c r="Q1482">
        <v>2.2999999999999998</v>
      </c>
      <c r="R1482">
        <v>26.29</v>
      </c>
      <c r="S1482">
        <v>0.54</v>
      </c>
      <c r="T1482">
        <v>6</v>
      </c>
      <c r="U1482">
        <v>5545714.6690400001</v>
      </c>
      <c r="V1482">
        <v>13619.509227</v>
      </c>
      <c r="W1482">
        <v>1481</v>
      </c>
      <c r="X1482">
        <v>0</v>
      </c>
      <c r="Y1482">
        <v>1480</v>
      </c>
      <c r="Z1482" t="s">
        <v>6966</v>
      </c>
      <c r="AA1482" t="s">
        <v>6966</v>
      </c>
      <c r="AB1482" t="s">
        <v>6966</v>
      </c>
      <c r="AC1482" t="s">
        <v>6966</v>
      </c>
      <c r="AD1482" t="s">
        <v>6966</v>
      </c>
      <c r="AE1482" t="s">
        <v>6966</v>
      </c>
      <c r="AF1482" t="s">
        <v>6966</v>
      </c>
      <c r="AG1482" t="s">
        <v>6966</v>
      </c>
      <c r="AH1482" t="s">
        <v>6966</v>
      </c>
      <c r="AI1482" t="s">
        <v>6966</v>
      </c>
      <c r="AJ1482" t="s">
        <v>6966</v>
      </c>
      <c r="AK1482" t="s">
        <v>6966</v>
      </c>
      <c r="AL1482" t="s">
        <v>6966</v>
      </c>
      <c r="AM1482" t="s">
        <v>6966</v>
      </c>
      <c r="AN1482" t="s">
        <v>6966</v>
      </c>
      <c r="AO1482" t="s">
        <v>6966</v>
      </c>
      <c r="AP1482" t="s">
        <v>6966</v>
      </c>
      <c r="AQ1482" t="s">
        <v>6966</v>
      </c>
      <c r="AR1482" t="s">
        <v>6966</v>
      </c>
      <c r="AS1482" t="s">
        <v>6966</v>
      </c>
      <c r="AT1482" t="s">
        <v>6966</v>
      </c>
      <c r="AU1482" t="s">
        <v>6966</v>
      </c>
      <c r="AV1482" t="s">
        <v>6966</v>
      </c>
      <c r="AW1482" t="s">
        <v>6966</v>
      </c>
      <c r="AX1482" t="s">
        <v>6966</v>
      </c>
      <c r="AY1482" t="s">
        <v>6966</v>
      </c>
      <c r="AZ1482">
        <v>0.136074</v>
      </c>
      <c r="BA1482">
        <v>5.3700000000000004E-4</v>
      </c>
    </row>
    <row r="1483" spans="1:53" x14ac:dyDescent="0.25">
      <c r="A1483">
        <v>1481</v>
      </c>
      <c r="B1483" t="s">
        <v>7625</v>
      </c>
      <c r="C1483">
        <v>603024</v>
      </c>
      <c r="D1483" t="s">
        <v>1513</v>
      </c>
      <c r="E1483" t="s">
        <v>1508</v>
      </c>
      <c r="F1483">
        <v>1358367.125</v>
      </c>
      <c r="G1483">
        <v>6421.326172</v>
      </c>
      <c r="H1483">
        <v>1483</v>
      </c>
      <c r="I1483">
        <v>1726</v>
      </c>
      <c r="J1483">
        <v>73143</v>
      </c>
      <c r="K1483" t="s">
        <v>2765</v>
      </c>
      <c r="L1483">
        <v>25</v>
      </c>
      <c r="M1483">
        <v>25</v>
      </c>
      <c r="N1483">
        <v>73143</v>
      </c>
      <c r="O1483">
        <v>1452</v>
      </c>
      <c r="P1483" t="s">
        <v>6965</v>
      </c>
      <c r="Q1483">
        <v>0</v>
      </c>
      <c r="R1483">
        <v>0</v>
      </c>
      <c r="S1483">
        <v>0</v>
      </c>
      <c r="T1483">
        <v>0</v>
      </c>
      <c r="U1483">
        <v>1358367.1253599999</v>
      </c>
      <c r="V1483">
        <v>6421.3262690000001</v>
      </c>
      <c r="W1483">
        <v>1482</v>
      </c>
      <c r="X1483">
        <v>0</v>
      </c>
      <c r="Y1483">
        <v>1481</v>
      </c>
      <c r="Z1483" t="s">
        <v>6966</v>
      </c>
      <c r="AA1483" t="s">
        <v>6966</v>
      </c>
      <c r="AB1483" t="s">
        <v>6966</v>
      </c>
      <c r="AC1483" t="s">
        <v>6966</v>
      </c>
      <c r="AD1483" t="s">
        <v>6966</v>
      </c>
      <c r="AE1483" t="s">
        <v>6966</v>
      </c>
      <c r="AF1483" t="s">
        <v>6966</v>
      </c>
      <c r="AG1483" t="s">
        <v>6966</v>
      </c>
      <c r="AH1483" t="s">
        <v>6966</v>
      </c>
      <c r="AI1483" t="s">
        <v>6966</v>
      </c>
      <c r="AJ1483" t="s">
        <v>6966</v>
      </c>
      <c r="AK1483" t="s">
        <v>6966</v>
      </c>
      <c r="AL1483" t="s">
        <v>6966</v>
      </c>
      <c r="AM1483" t="s">
        <v>6966</v>
      </c>
      <c r="AN1483" t="s">
        <v>6966</v>
      </c>
      <c r="AO1483" t="s">
        <v>6966</v>
      </c>
      <c r="AP1483" t="s">
        <v>6966</v>
      </c>
      <c r="AQ1483" t="s">
        <v>6966</v>
      </c>
      <c r="AR1483" t="s">
        <v>6966</v>
      </c>
      <c r="AS1483" t="s">
        <v>6966</v>
      </c>
      <c r="AT1483" t="s">
        <v>6966</v>
      </c>
      <c r="AU1483" t="s">
        <v>6966</v>
      </c>
      <c r="AV1483" t="s">
        <v>6966</v>
      </c>
      <c r="AW1483" t="s">
        <v>6966</v>
      </c>
      <c r="AX1483" t="s">
        <v>6966</v>
      </c>
      <c r="AY1483" t="s">
        <v>6966</v>
      </c>
      <c r="AZ1483">
        <v>6.3670000000000004E-2</v>
      </c>
      <c r="BA1483">
        <v>1.3200000000000001E-4</v>
      </c>
    </row>
    <row r="1484" spans="1:53" x14ac:dyDescent="0.25">
      <c r="A1484">
        <v>1482</v>
      </c>
      <c r="B1484" t="s">
        <v>7625</v>
      </c>
      <c r="C1484">
        <v>604009</v>
      </c>
      <c r="D1484" t="s">
        <v>1462</v>
      </c>
      <c r="E1484" t="s">
        <v>6965</v>
      </c>
      <c r="F1484">
        <v>5870884</v>
      </c>
      <c r="G1484">
        <v>15471.594727</v>
      </c>
      <c r="H1484">
        <v>1484</v>
      </c>
      <c r="I1484">
        <v>1727</v>
      </c>
      <c r="J1484">
        <v>71377</v>
      </c>
      <c r="K1484" t="s">
        <v>2725</v>
      </c>
      <c r="L1484">
        <v>23</v>
      </c>
      <c r="M1484">
        <v>23</v>
      </c>
      <c r="N1484">
        <v>71377</v>
      </c>
      <c r="O1484">
        <v>1453</v>
      </c>
      <c r="P1484" t="s">
        <v>6965</v>
      </c>
      <c r="Q1484">
        <v>0.9</v>
      </c>
      <c r="R1484">
        <v>28.77</v>
      </c>
      <c r="S1484">
        <v>0.28999999999999998</v>
      </c>
      <c r="T1484">
        <v>10</v>
      </c>
      <c r="U1484">
        <v>5870884.1183500001</v>
      </c>
      <c r="V1484">
        <v>15471.595388</v>
      </c>
      <c r="W1484">
        <v>1483</v>
      </c>
      <c r="X1484">
        <v>0</v>
      </c>
      <c r="Y1484">
        <v>1482</v>
      </c>
      <c r="Z1484" t="s">
        <v>6966</v>
      </c>
      <c r="AA1484" t="s">
        <v>6966</v>
      </c>
      <c r="AB1484" t="s">
        <v>6966</v>
      </c>
      <c r="AC1484" t="s">
        <v>6966</v>
      </c>
      <c r="AD1484" t="s">
        <v>6966</v>
      </c>
      <c r="AE1484" t="s">
        <v>6966</v>
      </c>
      <c r="AF1484" t="s">
        <v>6966</v>
      </c>
      <c r="AG1484" t="s">
        <v>6966</v>
      </c>
      <c r="AH1484" t="s">
        <v>6966</v>
      </c>
      <c r="AI1484" t="s">
        <v>6966</v>
      </c>
      <c r="AJ1484" t="s">
        <v>6966</v>
      </c>
      <c r="AK1484" t="s">
        <v>6966</v>
      </c>
      <c r="AL1484" t="s">
        <v>6966</v>
      </c>
      <c r="AM1484" t="s">
        <v>6966</v>
      </c>
      <c r="AN1484" t="s">
        <v>6966</v>
      </c>
      <c r="AO1484" t="s">
        <v>6966</v>
      </c>
      <c r="AP1484" t="s">
        <v>6966</v>
      </c>
      <c r="AQ1484" t="s">
        <v>6966</v>
      </c>
      <c r="AR1484" t="s">
        <v>6966</v>
      </c>
      <c r="AS1484" t="s">
        <v>6966</v>
      </c>
      <c r="AT1484" t="s">
        <v>6966</v>
      </c>
      <c r="AU1484" t="s">
        <v>6966</v>
      </c>
      <c r="AV1484" t="s">
        <v>6966</v>
      </c>
      <c r="AW1484" t="s">
        <v>6966</v>
      </c>
      <c r="AX1484" t="s">
        <v>6966</v>
      </c>
      <c r="AY1484" t="s">
        <v>6966</v>
      </c>
      <c r="AZ1484">
        <v>0.15057699999999999</v>
      </c>
      <c r="BA1484">
        <v>5.6800000000000004E-4</v>
      </c>
    </row>
    <row r="1485" spans="1:53" x14ac:dyDescent="0.25">
      <c r="A1485">
        <v>1483</v>
      </c>
      <c r="B1485" t="s">
        <v>7625</v>
      </c>
      <c r="C1485">
        <v>802009</v>
      </c>
      <c r="D1485" t="s">
        <v>1216</v>
      </c>
      <c r="E1485" t="s">
        <v>3039</v>
      </c>
      <c r="F1485">
        <v>5265683</v>
      </c>
      <c r="G1485">
        <v>12731.422852</v>
      </c>
      <c r="H1485">
        <v>1485</v>
      </c>
      <c r="I1485">
        <v>1728</v>
      </c>
      <c r="J1485">
        <v>61417</v>
      </c>
      <c r="K1485" t="s">
        <v>2528</v>
      </c>
      <c r="L1485">
        <v>20</v>
      </c>
      <c r="M1485">
        <v>20</v>
      </c>
      <c r="N1485">
        <v>61417</v>
      </c>
      <c r="O1485">
        <v>1454</v>
      </c>
      <c r="P1485" t="s">
        <v>3213</v>
      </c>
      <c r="Q1485">
        <v>3.4</v>
      </c>
      <c r="R1485">
        <v>195.03</v>
      </c>
      <c r="S1485">
        <v>0.62</v>
      </c>
      <c r="T1485">
        <v>35</v>
      </c>
      <c r="U1485">
        <v>5265683.1552799996</v>
      </c>
      <c r="V1485">
        <v>12731.424093</v>
      </c>
      <c r="W1485">
        <v>1484</v>
      </c>
      <c r="X1485">
        <v>0</v>
      </c>
      <c r="Y1485">
        <v>1483</v>
      </c>
      <c r="Z1485" t="s">
        <v>6966</v>
      </c>
      <c r="AA1485" t="s">
        <v>6966</v>
      </c>
      <c r="AB1485" t="s">
        <v>6966</v>
      </c>
      <c r="AC1485" t="s">
        <v>6966</v>
      </c>
      <c r="AD1485" t="s">
        <v>6966</v>
      </c>
      <c r="AE1485" t="s">
        <v>6966</v>
      </c>
      <c r="AF1485" t="s">
        <v>6966</v>
      </c>
      <c r="AG1485" t="s">
        <v>6966</v>
      </c>
      <c r="AH1485" t="s">
        <v>6966</v>
      </c>
      <c r="AI1485" t="s">
        <v>6966</v>
      </c>
      <c r="AJ1485" t="s">
        <v>6966</v>
      </c>
      <c r="AK1485" t="s">
        <v>6966</v>
      </c>
      <c r="AL1485" t="s">
        <v>6966</v>
      </c>
      <c r="AM1485" t="s">
        <v>6966</v>
      </c>
      <c r="AN1485" t="s">
        <v>6966</v>
      </c>
      <c r="AO1485" t="s">
        <v>6966</v>
      </c>
      <c r="AP1485" t="s">
        <v>6966</v>
      </c>
      <c r="AQ1485" t="s">
        <v>6966</v>
      </c>
      <c r="AR1485" t="s">
        <v>6966</v>
      </c>
      <c r="AS1485" t="s">
        <v>6966</v>
      </c>
      <c r="AT1485" t="s">
        <v>6966</v>
      </c>
      <c r="AU1485" t="s">
        <v>6966</v>
      </c>
      <c r="AV1485" t="s">
        <v>6966</v>
      </c>
      <c r="AW1485" t="s">
        <v>6966</v>
      </c>
      <c r="AX1485" t="s">
        <v>6966</v>
      </c>
      <c r="AY1485" t="s">
        <v>6966</v>
      </c>
      <c r="AZ1485">
        <v>0.125669</v>
      </c>
      <c r="BA1485">
        <v>5.1000000000000004E-4</v>
      </c>
    </row>
    <row r="1486" spans="1:53" x14ac:dyDescent="0.25">
      <c r="A1486">
        <v>1484</v>
      </c>
      <c r="B1486" t="s">
        <v>7625</v>
      </c>
      <c r="C1486">
        <v>604025</v>
      </c>
      <c r="D1486" t="s">
        <v>1455</v>
      </c>
      <c r="E1486" t="s">
        <v>6965</v>
      </c>
      <c r="F1486">
        <v>1774523.125</v>
      </c>
      <c r="G1486">
        <v>7467.8178710000002</v>
      </c>
      <c r="H1486">
        <v>1486</v>
      </c>
      <c r="I1486">
        <v>1729</v>
      </c>
      <c r="J1486">
        <v>71354</v>
      </c>
      <c r="K1486" t="s">
        <v>2720</v>
      </c>
      <c r="L1486">
        <v>23</v>
      </c>
      <c r="M1486">
        <v>23</v>
      </c>
      <c r="N1486">
        <v>71354</v>
      </c>
      <c r="O1486">
        <v>1455</v>
      </c>
      <c r="P1486" t="s">
        <v>6965</v>
      </c>
      <c r="Q1486">
        <v>0</v>
      </c>
      <c r="R1486">
        <v>0</v>
      </c>
      <c r="S1486">
        <v>0</v>
      </c>
      <c r="T1486">
        <v>0</v>
      </c>
      <c r="U1486">
        <v>1774523.0703199999</v>
      </c>
      <c r="V1486">
        <v>7467.8175879999999</v>
      </c>
      <c r="W1486">
        <v>1485</v>
      </c>
      <c r="X1486">
        <v>0</v>
      </c>
      <c r="Y1486">
        <v>1484</v>
      </c>
      <c r="Z1486" t="s">
        <v>6966</v>
      </c>
      <c r="AA1486" t="s">
        <v>6966</v>
      </c>
      <c r="AB1486" t="s">
        <v>6966</v>
      </c>
      <c r="AC1486" t="s">
        <v>6966</v>
      </c>
      <c r="AD1486" t="s">
        <v>6966</v>
      </c>
      <c r="AE1486" t="s">
        <v>6966</v>
      </c>
      <c r="AF1486" t="s">
        <v>6966</v>
      </c>
      <c r="AG1486" t="s">
        <v>6966</v>
      </c>
      <c r="AH1486" t="s">
        <v>6966</v>
      </c>
      <c r="AI1486" t="s">
        <v>6966</v>
      </c>
      <c r="AJ1486" t="s">
        <v>6966</v>
      </c>
      <c r="AK1486" t="s">
        <v>6966</v>
      </c>
      <c r="AL1486" t="s">
        <v>6966</v>
      </c>
      <c r="AM1486" t="s">
        <v>6966</v>
      </c>
      <c r="AN1486" t="s">
        <v>6966</v>
      </c>
      <c r="AO1486" t="s">
        <v>6966</v>
      </c>
      <c r="AP1486" t="s">
        <v>6966</v>
      </c>
      <c r="AQ1486" t="s">
        <v>6966</v>
      </c>
      <c r="AR1486" t="s">
        <v>6966</v>
      </c>
      <c r="AS1486" t="s">
        <v>6966</v>
      </c>
      <c r="AT1486" t="s">
        <v>6966</v>
      </c>
      <c r="AU1486" t="s">
        <v>6966</v>
      </c>
      <c r="AV1486" t="s">
        <v>6966</v>
      </c>
      <c r="AW1486" t="s">
        <v>6966</v>
      </c>
      <c r="AX1486" t="s">
        <v>6966</v>
      </c>
      <c r="AY1486" t="s">
        <v>6966</v>
      </c>
      <c r="AZ1486">
        <v>7.4551999999999993E-2</v>
      </c>
      <c r="BA1486">
        <v>1.7200000000000001E-4</v>
      </c>
    </row>
    <row r="1487" spans="1:53" x14ac:dyDescent="0.25">
      <c r="A1487">
        <v>1485</v>
      </c>
      <c r="B1487" t="s">
        <v>7625</v>
      </c>
      <c r="C1487">
        <v>603029</v>
      </c>
      <c r="D1487" t="s">
        <v>1515</v>
      </c>
      <c r="E1487" t="s">
        <v>1508</v>
      </c>
      <c r="F1487">
        <v>0</v>
      </c>
      <c r="G1487">
        <v>26394.152343999998</v>
      </c>
      <c r="H1487">
        <v>1487</v>
      </c>
      <c r="I1487">
        <v>1730</v>
      </c>
      <c r="J1487">
        <v>73151</v>
      </c>
      <c r="K1487" t="s">
        <v>2767</v>
      </c>
      <c r="L1487">
        <v>25</v>
      </c>
      <c r="M1487">
        <v>25</v>
      </c>
      <c r="N1487">
        <v>73151</v>
      </c>
      <c r="O1487">
        <v>1456</v>
      </c>
      <c r="P1487" t="s">
        <v>6965</v>
      </c>
      <c r="Q1487">
        <v>3.3</v>
      </c>
      <c r="R1487">
        <v>45</v>
      </c>
      <c r="S1487">
        <v>0.82</v>
      </c>
      <c r="T1487">
        <v>11</v>
      </c>
      <c r="U1487">
        <v>0</v>
      </c>
      <c r="V1487">
        <v>26394.151665000001</v>
      </c>
      <c r="W1487">
        <v>1486</v>
      </c>
      <c r="X1487">
        <v>0</v>
      </c>
      <c r="Y1487">
        <v>1485</v>
      </c>
      <c r="Z1487" t="s">
        <v>6966</v>
      </c>
      <c r="AA1487" t="s">
        <v>6966</v>
      </c>
      <c r="AB1487" t="s">
        <v>6966</v>
      </c>
      <c r="AC1487" t="s">
        <v>6966</v>
      </c>
      <c r="AD1487" t="s">
        <v>6966</v>
      </c>
      <c r="AE1487" t="s">
        <v>6966</v>
      </c>
      <c r="AF1487" t="s">
        <v>6966</v>
      </c>
      <c r="AG1487" t="s">
        <v>6966</v>
      </c>
      <c r="AH1487" t="s">
        <v>6966</v>
      </c>
      <c r="AI1487" t="s">
        <v>6966</v>
      </c>
      <c r="AJ1487" t="s">
        <v>6966</v>
      </c>
      <c r="AK1487" t="s">
        <v>6966</v>
      </c>
      <c r="AL1487" t="s">
        <v>6966</v>
      </c>
      <c r="AM1487" t="s">
        <v>6966</v>
      </c>
      <c r="AN1487" t="s">
        <v>6966</v>
      </c>
      <c r="AO1487" t="s">
        <v>6966</v>
      </c>
      <c r="AP1487" t="s">
        <v>6966</v>
      </c>
      <c r="AQ1487" t="s">
        <v>6966</v>
      </c>
      <c r="AR1487" t="s">
        <v>6966</v>
      </c>
      <c r="AS1487" t="s">
        <v>6966</v>
      </c>
      <c r="AT1487" t="s">
        <v>6966</v>
      </c>
      <c r="AU1487" t="s">
        <v>6966</v>
      </c>
      <c r="AV1487" t="s">
        <v>6966</v>
      </c>
      <c r="AW1487" t="s">
        <v>6966</v>
      </c>
      <c r="AX1487" t="s">
        <v>6966</v>
      </c>
      <c r="AY1487" t="s">
        <v>6966</v>
      </c>
      <c r="AZ1487">
        <v>0.25912099999999999</v>
      </c>
      <c r="BA1487">
        <v>1.1479999999999999E-3</v>
      </c>
    </row>
    <row r="1488" spans="1:53" x14ac:dyDescent="0.25">
      <c r="A1488">
        <v>1486</v>
      </c>
      <c r="B1488" t="s">
        <v>7625</v>
      </c>
      <c r="C1488">
        <v>602014</v>
      </c>
      <c r="D1488" t="s">
        <v>1546</v>
      </c>
      <c r="E1488" t="s">
        <v>1541</v>
      </c>
      <c r="F1488">
        <v>5332153</v>
      </c>
      <c r="G1488">
        <v>12875.273438</v>
      </c>
      <c r="H1488">
        <v>1488</v>
      </c>
      <c r="I1488">
        <v>1731</v>
      </c>
      <c r="J1488">
        <v>74120</v>
      </c>
      <c r="K1488" t="s">
        <v>2789</v>
      </c>
      <c r="L1488">
        <v>26</v>
      </c>
      <c r="M1488">
        <v>26</v>
      </c>
      <c r="N1488">
        <v>74120</v>
      </c>
      <c r="O1488">
        <v>1457</v>
      </c>
      <c r="P1488" t="s">
        <v>6965</v>
      </c>
      <c r="Q1488">
        <v>1.3</v>
      </c>
      <c r="R1488">
        <v>54.37</v>
      </c>
      <c r="S1488">
        <v>0.34</v>
      </c>
      <c r="T1488">
        <v>14</v>
      </c>
      <c r="U1488">
        <v>5332152.8959100004</v>
      </c>
      <c r="V1488">
        <v>12875.273767000001</v>
      </c>
      <c r="W1488">
        <v>1487</v>
      </c>
      <c r="X1488">
        <v>0</v>
      </c>
      <c r="Y1488">
        <v>1486</v>
      </c>
      <c r="Z1488" t="s">
        <v>6966</v>
      </c>
      <c r="AA1488" t="s">
        <v>6966</v>
      </c>
      <c r="AB1488" t="s">
        <v>6966</v>
      </c>
      <c r="AC1488" t="s">
        <v>6966</v>
      </c>
      <c r="AD1488" t="s">
        <v>6966</v>
      </c>
      <c r="AE1488" t="s">
        <v>6966</v>
      </c>
      <c r="AF1488" t="s">
        <v>6966</v>
      </c>
      <c r="AG1488" t="s">
        <v>6966</v>
      </c>
      <c r="AH1488" t="s">
        <v>6966</v>
      </c>
      <c r="AI1488" t="s">
        <v>6966</v>
      </c>
      <c r="AJ1488" t="s">
        <v>6966</v>
      </c>
      <c r="AK1488" t="s">
        <v>6966</v>
      </c>
      <c r="AL1488" t="s">
        <v>6966</v>
      </c>
      <c r="AM1488" t="s">
        <v>6966</v>
      </c>
      <c r="AN1488" t="s">
        <v>6966</v>
      </c>
      <c r="AO1488" t="s">
        <v>6966</v>
      </c>
      <c r="AP1488" t="s">
        <v>6966</v>
      </c>
      <c r="AQ1488" t="s">
        <v>6966</v>
      </c>
      <c r="AR1488" t="s">
        <v>6966</v>
      </c>
      <c r="AS1488" t="s">
        <v>6966</v>
      </c>
      <c r="AT1488" t="s">
        <v>6966</v>
      </c>
      <c r="AU1488" t="s">
        <v>6966</v>
      </c>
      <c r="AV1488" t="s">
        <v>6966</v>
      </c>
      <c r="AW1488" t="s">
        <v>6966</v>
      </c>
      <c r="AX1488" t="s">
        <v>6966</v>
      </c>
      <c r="AY1488" t="s">
        <v>6966</v>
      </c>
      <c r="AZ1488">
        <v>0.12965499999999999</v>
      </c>
      <c r="BA1488">
        <v>5.1599999999999997E-4</v>
      </c>
    </row>
    <row r="1489" spans="1:53" x14ac:dyDescent="0.25">
      <c r="A1489">
        <v>1487</v>
      </c>
      <c r="B1489" t="s">
        <v>7625</v>
      </c>
      <c r="C1489">
        <v>603019</v>
      </c>
      <c r="D1489" t="s">
        <v>1516</v>
      </c>
      <c r="E1489" t="s">
        <v>1508</v>
      </c>
      <c r="F1489">
        <v>0</v>
      </c>
      <c r="G1489">
        <v>31839.558593999998</v>
      </c>
      <c r="H1489">
        <v>1489</v>
      </c>
      <c r="I1489">
        <v>1732</v>
      </c>
      <c r="J1489">
        <v>73159</v>
      </c>
      <c r="K1489" t="s">
        <v>2768</v>
      </c>
      <c r="L1489">
        <v>25</v>
      </c>
      <c r="M1489">
        <v>25</v>
      </c>
      <c r="N1489">
        <v>73159</v>
      </c>
      <c r="O1489">
        <v>1458</v>
      </c>
      <c r="P1489" t="s">
        <v>6965</v>
      </c>
      <c r="Q1489">
        <v>2.8</v>
      </c>
      <c r="R1489">
        <v>46.29</v>
      </c>
      <c r="S1489">
        <v>0.65</v>
      </c>
      <c r="T1489">
        <v>11</v>
      </c>
      <c r="U1489">
        <v>0</v>
      </c>
      <c r="V1489">
        <v>31839.558196999998</v>
      </c>
      <c r="W1489">
        <v>1488</v>
      </c>
      <c r="X1489">
        <v>0</v>
      </c>
      <c r="Y1489">
        <v>1487</v>
      </c>
      <c r="Z1489" t="s">
        <v>6966</v>
      </c>
      <c r="AA1489" t="s">
        <v>6966</v>
      </c>
      <c r="AB1489" t="s">
        <v>6966</v>
      </c>
      <c r="AC1489" t="s">
        <v>6966</v>
      </c>
      <c r="AD1489" t="s">
        <v>6966</v>
      </c>
      <c r="AE1489" t="s">
        <v>6966</v>
      </c>
      <c r="AF1489" t="s">
        <v>6966</v>
      </c>
      <c r="AG1489" t="s">
        <v>6966</v>
      </c>
      <c r="AH1489" t="s">
        <v>6966</v>
      </c>
      <c r="AI1489" t="s">
        <v>6966</v>
      </c>
      <c r="AJ1489" t="s">
        <v>6966</v>
      </c>
      <c r="AK1489" t="s">
        <v>6966</v>
      </c>
      <c r="AL1489" t="s">
        <v>6966</v>
      </c>
      <c r="AM1489" t="s">
        <v>6966</v>
      </c>
      <c r="AN1489" t="s">
        <v>6966</v>
      </c>
      <c r="AO1489" t="s">
        <v>6966</v>
      </c>
      <c r="AP1489" t="s">
        <v>6966</v>
      </c>
      <c r="AQ1489" t="s">
        <v>6966</v>
      </c>
      <c r="AR1489" t="s">
        <v>6966</v>
      </c>
      <c r="AS1489" t="s">
        <v>6966</v>
      </c>
      <c r="AT1489" t="s">
        <v>6966</v>
      </c>
      <c r="AU1489" t="s">
        <v>6966</v>
      </c>
      <c r="AV1489" t="s">
        <v>6966</v>
      </c>
      <c r="AW1489" t="s">
        <v>6966</v>
      </c>
      <c r="AX1489" t="s">
        <v>6966</v>
      </c>
      <c r="AY1489" t="s">
        <v>6966</v>
      </c>
      <c r="AZ1489">
        <v>0.31009100000000001</v>
      </c>
      <c r="BA1489">
        <v>2.147E-3</v>
      </c>
    </row>
    <row r="1490" spans="1:53" x14ac:dyDescent="0.25">
      <c r="A1490">
        <v>1488</v>
      </c>
      <c r="B1490" t="s">
        <v>7625</v>
      </c>
      <c r="C1490">
        <v>604043</v>
      </c>
      <c r="D1490" t="s">
        <v>1461</v>
      </c>
      <c r="E1490" t="s">
        <v>6965</v>
      </c>
      <c r="F1490">
        <v>4761292</v>
      </c>
      <c r="G1490">
        <v>15632.190430000001</v>
      </c>
      <c r="H1490">
        <v>1490</v>
      </c>
      <c r="I1490">
        <v>1733</v>
      </c>
      <c r="J1490">
        <v>71374</v>
      </c>
      <c r="K1490" t="s">
        <v>8143</v>
      </c>
      <c r="L1490">
        <v>23</v>
      </c>
      <c r="M1490">
        <v>23</v>
      </c>
      <c r="N1490">
        <v>71374</v>
      </c>
      <c r="O1490">
        <v>1459</v>
      </c>
      <c r="P1490" t="s">
        <v>6965</v>
      </c>
      <c r="Q1490">
        <v>7</v>
      </c>
      <c r="R1490">
        <v>33.14</v>
      </c>
      <c r="S1490">
        <v>1.69</v>
      </c>
      <c r="T1490">
        <v>8</v>
      </c>
      <c r="U1490">
        <v>4761291.8670199998</v>
      </c>
      <c r="V1490">
        <v>15632.191011999999</v>
      </c>
      <c r="W1490">
        <v>1489</v>
      </c>
      <c r="X1490">
        <v>0</v>
      </c>
      <c r="Y1490">
        <v>1488</v>
      </c>
      <c r="Z1490" t="s">
        <v>6966</v>
      </c>
      <c r="AA1490" t="s">
        <v>6966</v>
      </c>
      <c r="AB1490" t="s">
        <v>6966</v>
      </c>
      <c r="AC1490" t="s">
        <v>6966</v>
      </c>
      <c r="AD1490" t="s">
        <v>6966</v>
      </c>
      <c r="AE1490" t="s">
        <v>6966</v>
      </c>
      <c r="AF1490" t="s">
        <v>6966</v>
      </c>
      <c r="AG1490" t="s">
        <v>6966</v>
      </c>
      <c r="AH1490" t="s">
        <v>6966</v>
      </c>
      <c r="AI1490" t="s">
        <v>6966</v>
      </c>
      <c r="AJ1490" t="s">
        <v>6966</v>
      </c>
      <c r="AK1490" t="s">
        <v>6966</v>
      </c>
      <c r="AL1490" t="s">
        <v>6966</v>
      </c>
      <c r="AM1490" t="s">
        <v>6966</v>
      </c>
      <c r="AN1490" t="s">
        <v>6966</v>
      </c>
      <c r="AO1490" t="s">
        <v>6966</v>
      </c>
      <c r="AP1490" t="s">
        <v>6966</v>
      </c>
      <c r="AQ1490" t="s">
        <v>6966</v>
      </c>
      <c r="AR1490" t="s">
        <v>6966</v>
      </c>
      <c r="AS1490" t="s">
        <v>6966</v>
      </c>
      <c r="AT1490" t="s">
        <v>6966</v>
      </c>
      <c r="AU1490" t="s">
        <v>6966</v>
      </c>
      <c r="AV1490" t="s">
        <v>6966</v>
      </c>
      <c r="AW1490" t="s">
        <v>6966</v>
      </c>
      <c r="AX1490" t="s">
        <v>6966</v>
      </c>
      <c r="AY1490" t="s">
        <v>6966</v>
      </c>
      <c r="AZ1490">
        <v>0.15731899999999999</v>
      </c>
      <c r="BA1490">
        <v>4.6099999999999998E-4</v>
      </c>
    </row>
    <row r="1491" spans="1:53" x14ac:dyDescent="0.25">
      <c r="A1491">
        <v>1489</v>
      </c>
      <c r="B1491" t="s">
        <v>7625</v>
      </c>
      <c r="C1491">
        <v>802043</v>
      </c>
      <c r="D1491" t="s">
        <v>1215</v>
      </c>
      <c r="E1491" t="s">
        <v>3039</v>
      </c>
      <c r="F1491">
        <v>2629010.25</v>
      </c>
      <c r="G1491">
        <v>8355.9072269999997</v>
      </c>
      <c r="H1491">
        <v>1491</v>
      </c>
      <c r="I1491">
        <v>1734</v>
      </c>
      <c r="J1491">
        <v>61415</v>
      </c>
      <c r="K1491" t="s">
        <v>2527</v>
      </c>
      <c r="L1491">
        <v>20</v>
      </c>
      <c r="M1491">
        <v>20</v>
      </c>
      <c r="N1491">
        <v>61415</v>
      </c>
      <c r="O1491">
        <v>1460</v>
      </c>
      <c r="P1491" t="s">
        <v>3213</v>
      </c>
      <c r="Q1491">
        <v>1.5</v>
      </c>
      <c r="R1491">
        <v>0</v>
      </c>
      <c r="S1491">
        <v>0.33</v>
      </c>
      <c r="T1491">
        <v>0</v>
      </c>
      <c r="U1491">
        <v>2629010.1738</v>
      </c>
      <c r="V1491">
        <v>8355.9087309999995</v>
      </c>
      <c r="W1491">
        <v>1490</v>
      </c>
      <c r="X1491">
        <v>0</v>
      </c>
      <c r="Y1491">
        <v>1489</v>
      </c>
      <c r="Z1491" t="s">
        <v>6966</v>
      </c>
      <c r="AA1491" t="s">
        <v>6966</v>
      </c>
      <c r="AB1491" t="s">
        <v>6966</v>
      </c>
      <c r="AC1491" t="s">
        <v>6966</v>
      </c>
      <c r="AD1491" t="s">
        <v>6966</v>
      </c>
      <c r="AE1491" t="s">
        <v>6966</v>
      </c>
      <c r="AF1491" t="s">
        <v>6966</v>
      </c>
      <c r="AG1491" t="s">
        <v>6966</v>
      </c>
      <c r="AH1491" t="s">
        <v>6966</v>
      </c>
      <c r="AI1491" t="s">
        <v>6966</v>
      </c>
      <c r="AJ1491" t="s">
        <v>6966</v>
      </c>
      <c r="AK1491" t="s">
        <v>6966</v>
      </c>
      <c r="AL1491" t="s">
        <v>6966</v>
      </c>
      <c r="AM1491" t="s">
        <v>6966</v>
      </c>
      <c r="AN1491" t="s">
        <v>6966</v>
      </c>
      <c r="AO1491" t="s">
        <v>6966</v>
      </c>
      <c r="AP1491" t="s">
        <v>6966</v>
      </c>
      <c r="AQ1491" t="s">
        <v>6966</v>
      </c>
      <c r="AR1491" t="s">
        <v>6966</v>
      </c>
      <c r="AS1491" t="s">
        <v>6966</v>
      </c>
      <c r="AT1491" t="s">
        <v>6966</v>
      </c>
      <c r="AU1491" t="s">
        <v>6966</v>
      </c>
      <c r="AV1491" t="s">
        <v>6966</v>
      </c>
      <c r="AW1491" t="s">
        <v>6966</v>
      </c>
      <c r="AX1491" t="s">
        <v>6966</v>
      </c>
      <c r="AY1491" t="s">
        <v>6966</v>
      </c>
      <c r="AZ1491">
        <v>8.3251000000000006E-2</v>
      </c>
      <c r="BA1491">
        <v>2.5399999999999999E-4</v>
      </c>
    </row>
    <row r="1492" spans="1:53" x14ac:dyDescent="0.25">
      <c r="A1492">
        <v>1490</v>
      </c>
      <c r="B1492" t="s">
        <v>7625</v>
      </c>
      <c r="C1492">
        <v>604042</v>
      </c>
      <c r="D1492" t="s">
        <v>1463</v>
      </c>
      <c r="E1492" t="s">
        <v>6965</v>
      </c>
      <c r="F1492">
        <v>8249106</v>
      </c>
      <c r="G1492">
        <v>17534.011718999998</v>
      </c>
      <c r="H1492">
        <v>1492</v>
      </c>
      <c r="I1492">
        <v>1735</v>
      </c>
      <c r="J1492">
        <v>71381</v>
      </c>
      <c r="K1492" t="s">
        <v>2726</v>
      </c>
      <c r="L1492">
        <v>23</v>
      </c>
      <c r="M1492">
        <v>23</v>
      </c>
      <c r="N1492">
        <v>71381</v>
      </c>
      <c r="O1492">
        <v>1461</v>
      </c>
      <c r="P1492" t="s">
        <v>6965</v>
      </c>
      <c r="Q1492">
        <v>4.4000000000000004</v>
      </c>
      <c r="R1492">
        <v>24.8</v>
      </c>
      <c r="S1492">
        <v>0.97</v>
      </c>
      <c r="T1492">
        <v>5</v>
      </c>
      <c r="U1492">
        <v>8249105.9013999999</v>
      </c>
      <c r="V1492">
        <v>17534.012122</v>
      </c>
      <c r="W1492">
        <v>1491</v>
      </c>
      <c r="X1492">
        <v>0</v>
      </c>
      <c r="Y1492">
        <v>1490</v>
      </c>
      <c r="Z1492" t="s">
        <v>6966</v>
      </c>
      <c r="AA1492" t="s">
        <v>6966</v>
      </c>
      <c r="AB1492" t="s">
        <v>6966</v>
      </c>
      <c r="AC1492" t="s">
        <v>6966</v>
      </c>
      <c r="AD1492" t="s">
        <v>6966</v>
      </c>
      <c r="AE1492" t="s">
        <v>6966</v>
      </c>
      <c r="AF1492" t="s">
        <v>6966</v>
      </c>
      <c r="AG1492" t="s">
        <v>6966</v>
      </c>
      <c r="AH1492" t="s">
        <v>6966</v>
      </c>
      <c r="AI1492" t="s">
        <v>6966</v>
      </c>
      <c r="AJ1492" t="s">
        <v>6966</v>
      </c>
      <c r="AK1492" t="s">
        <v>6966</v>
      </c>
      <c r="AL1492" t="s">
        <v>6966</v>
      </c>
      <c r="AM1492" t="s">
        <v>6966</v>
      </c>
      <c r="AN1492" t="s">
        <v>6966</v>
      </c>
      <c r="AO1492" t="s">
        <v>6966</v>
      </c>
      <c r="AP1492" t="s">
        <v>6966</v>
      </c>
      <c r="AQ1492" t="s">
        <v>6966</v>
      </c>
      <c r="AR1492" t="s">
        <v>6966</v>
      </c>
      <c r="AS1492" t="s">
        <v>6966</v>
      </c>
      <c r="AT1492" t="s">
        <v>6966</v>
      </c>
      <c r="AU1492" t="s">
        <v>6966</v>
      </c>
      <c r="AV1492" t="s">
        <v>6966</v>
      </c>
      <c r="AW1492" t="s">
        <v>6966</v>
      </c>
      <c r="AX1492" t="s">
        <v>6966</v>
      </c>
      <c r="AY1492" t="s">
        <v>6966</v>
      </c>
      <c r="AZ1492">
        <v>0.17522699999999999</v>
      </c>
      <c r="BA1492">
        <v>7.9799999999999999E-4</v>
      </c>
    </row>
    <row r="1493" spans="1:53" x14ac:dyDescent="0.25">
      <c r="A1493">
        <v>1491</v>
      </c>
      <c r="B1493" t="s">
        <v>7625</v>
      </c>
      <c r="C1493">
        <v>803002</v>
      </c>
      <c r="D1493" t="s">
        <v>1322</v>
      </c>
      <c r="E1493" t="s">
        <v>1267</v>
      </c>
      <c r="F1493">
        <v>6892162.5</v>
      </c>
      <c r="G1493">
        <v>21226.353515999999</v>
      </c>
      <c r="H1493">
        <v>1493</v>
      </c>
      <c r="I1493">
        <v>1736</v>
      </c>
      <c r="J1493">
        <v>62291</v>
      </c>
      <c r="K1493" t="s">
        <v>8144</v>
      </c>
      <c r="L1493">
        <v>21</v>
      </c>
      <c r="M1493">
        <v>21</v>
      </c>
      <c r="N1493">
        <v>62291</v>
      </c>
      <c r="O1493">
        <v>1462</v>
      </c>
      <c r="P1493" t="s">
        <v>3213</v>
      </c>
      <c r="Q1493">
        <v>3.8</v>
      </c>
      <c r="R1493">
        <v>114.62</v>
      </c>
      <c r="S1493">
        <v>0.74</v>
      </c>
      <c r="T1493">
        <v>22</v>
      </c>
      <c r="U1493">
        <v>6892162.6099199997</v>
      </c>
      <c r="V1493">
        <v>21226.350409999999</v>
      </c>
      <c r="W1493">
        <v>1492</v>
      </c>
      <c r="X1493">
        <v>0</v>
      </c>
      <c r="Y1493">
        <v>1491</v>
      </c>
      <c r="Z1493" t="s">
        <v>6966</v>
      </c>
      <c r="AA1493" t="s">
        <v>6966</v>
      </c>
      <c r="AB1493" t="s">
        <v>6966</v>
      </c>
      <c r="AC1493" t="s">
        <v>6966</v>
      </c>
      <c r="AD1493" t="s">
        <v>6966</v>
      </c>
      <c r="AE1493" t="s">
        <v>6966</v>
      </c>
      <c r="AF1493" t="s">
        <v>6966</v>
      </c>
      <c r="AG1493" t="s">
        <v>6966</v>
      </c>
      <c r="AH1493" t="s">
        <v>6966</v>
      </c>
      <c r="AI1493" t="s">
        <v>6966</v>
      </c>
      <c r="AJ1493" t="s">
        <v>6966</v>
      </c>
      <c r="AK1493" t="s">
        <v>6966</v>
      </c>
      <c r="AL1493" t="s">
        <v>6966</v>
      </c>
      <c r="AM1493" t="s">
        <v>6966</v>
      </c>
      <c r="AN1493" t="s">
        <v>6966</v>
      </c>
      <c r="AO1493" t="s">
        <v>6966</v>
      </c>
      <c r="AP1493" t="s">
        <v>6966</v>
      </c>
      <c r="AQ1493" t="s">
        <v>6966</v>
      </c>
      <c r="AR1493" t="s">
        <v>6966</v>
      </c>
      <c r="AS1493" t="s">
        <v>6966</v>
      </c>
      <c r="AT1493" t="s">
        <v>6966</v>
      </c>
      <c r="AU1493" t="s">
        <v>6966</v>
      </c>
      <c r="AV1493" t="s">
        <v>6966</v>
      </c>
      <c r="AW1493" t="s">
        <v>6966</v>
      </c>
      <c r="AX1493" t="s">
        <v>6966</v>
      </c>
      <c r="AY1493" t="s">
        <v>6966</v>
      </c>
      <c r="AZ1493">
        <v>0.210955</v>
      </c>
      <c r="BA1493">
        <v>6.6699999999999995E-4</v>
      </c>
    </row>
    <row r="1494" spans="1:53" x14ac:dyDescent="0.25">
      <c r="A1494">
        <v>1492</v>
      </c>
      <c r="B1494" t="s">
        <v>7625</v>
      </c>
      <c r="C1494">
        <v>602013</v>
      </c>
      <c r="D1494" t="s">
        <v>1557</v>
      </c>
      <c r="E1494" t="s">
        <v>1541</v>
      </c>
      <c r="F1494">
        <v>0</v>
      </c>
      <c r="G1494">
        <v>24683.904297000001</v>
      </c>
      <c r="H1494">
        <v>1494</v>
      </c>
      <c r="I1494">
        <v>1737</v>
      </c>
      <c r="J1494">
        <v>74160</v>
      </c>
      <c r="K1494" t="s">
        <v>8145</v>
      </c>
      <c r="L1494">
        <v>26</v>
      </c>
      <c r="M1494">
        <v>25</v>
      </c>
      <c r="N1494">
        <v>74160</v>
      </c>
      <c r="O1494">
        <v>1463</v>
      </c>
      <c r="P1494" t="s">
        <v>6965</v>
      </c>
      <c r="Q1494">
        <v>0.8</v>
      </c>
      <c r="R1494">
        <v>66.540000000000006</v>
      </c>
      <c r="S1494">
        <v>0.22</v>
      </c>
      <c r="T1494">
        <v>19</v>
      </c>
      <c r="U1494">
        <v>0</v>
      </c>
      <c r="V1494">
        <v>24683.904922000002</v>
      </c>
      <c r="W1494">
        <v>1493</v>
      </c>
      <c r="X1494">
        <v>0</v>
      </c>
      <c r="Y1494">
        <v>1492</v>
      </c>
      <c r="Z1494" t="s">
        <v>6966</v>
      </c>
      <c r="AA1494" t="s">
        <v>6966</v>
      </c>
      <c r="AB1494" t="s">
        <v>6966</v>
      </c>
      <c r="AC1494" t="s">
        <v>6966</v>
      </c>
      <c r="AD1494" t="s">
        <v>6966</v>
      </c>
      <c r="AE1494" t="s">
        <v>6966</v>
      </c>
      <c r="AF1494" t="s">
        <v>6966</v>
      </c>
      <c r="AG1494" t="s">
        <v>6966</v>
      </c>
      <c r="AH1494" t="s">
        <v>6966</v>
      </c>
      <c r="AI1494" t="s">
        <v>6966</v>
      </c>
      <c r="AJ1494" t="s">
        <v>6966</v>
      </c>
      <c r="AK1494" t="s">
        <v>6966</v>
      </c>
      <c r="AL1494" t="s">
        <v>6966</v>
      </c>
      <c r="AM1494" t="s">
        <v>6966</v>
      </c>
      <c r="AN1494" t="s">
        <v>6966</v>
      </c>
      <c r="AO1494" t="s">
        <v>6966</v>
      </c>
      <c r="AP1494" t="s">
        <v>6966</v>
      </c>
      <c r="AQ1494" t="s">
        <v>6966</v>
      </c>
      <c r="AR1494" t="s">
        <v>6966</v>
      </c>
      <c r="AS1494" t="s">
        <v>6966</v>
      </c>
      <c r="AT1494" t="s">
        <v>6966</v>
      </c>
      <c r="AU1494" t="s">
        <v>6966</v>
      </c>
      <c r="AV1494" t="s">
        <v>6966</v>
      </c>
      <c r="AW1494" t="s">
        <v>6966</v>
      </c>
      <c r="AX1494" t="s">
        <v>6966</v>
      </c>
      <c r="AY1494" t="s">
        <v>6966</v>
      </c>
      <c r="AZ1494">
        <v>0.244835</v>
      </c>
      <c r="BA1494">
        <v>2.2550000000000001E-3</v>
      </c>
    </row>
    <row r="1495" spans="1:53" x14ac:dyDescent="0.25">
      <c r="A1495">
        <v>1493</v>
      </c>
      <c r="B1495" t="s">
        <v>7625</v>
      </c>
      <c r="C1495">
        <v>802027</v>
      </c>
      <c r="D1495" t="s">
        <v>1212</v>
      </c>
      <c r="E1495" t="s">
        <v>3039</v>
      </c>
      <c r="F1495">
        <v>2023249.5</v>
      </c>
      <c r="G1495">
        <v>13719.698242</v>
      </c>
      <c r="H1495">
        <v>1495</v>
      </c>
      <c r="I1495">
        <v>1738</v>
      </c>
      <c r="J1495">
        <v>61411</v>
      </c>
      <c r="K1495" t="s">
        <v>8146</v>
      </c>
      <c r="L1495">
        <v>20</v>
      </c>
      <c r="M1495">
        <v>20</v>
      </c>
      <c r="N1495">
        <v>61411</v>
      </c>
      <c r="O1495">
        <v>1464</v>
      </c>
      <c r="P1495" t="s">
        <v>3213</v>
      </c>
      <c r="Q1495">
        <v>0.4</v>
      </c>
      <c r="R1495">
        <v>137.87</v>
      </c>
      <c r="S1495">
        <v>0.12</v>
      </c>
      <c r="T1495">
        <v>47</v>
      </c>
      <c r="U1495">
        <v>2023249.4225399999</v>
      </c>
      <c r="V1495">
        <v>13719.699484000001</v>
      </c>
      <c r="W1495">
        <v>1494</v>
      </c>
      <c r="X1495">
        <v>0</v>
      </c>
      <c r="Y1495">
        <v>1493</v>
      </c>
      <c r="Z1495" t="s">
        <v>6966</v>
      </c>
      <c r="AA1495" t="s">
        <v>6966</v>
      </c>
      <c r="AB1495" t="s">
        <v>6966</v>
      </c>
      <c r="AC1495" t="s">
        <v>6966</v>
      </c>
      <c r="AD1495" t="s">
        <v>6966</v>
      </c>
      <c r="AE1495" t="s">
        <v>6966</v>
      </c>
      <c r="AF1495" t="s">
        <v>6966</v>
      </c>
      <c r="AG1495" t="s">
        <v>6966</v>
      </c>
      <c r="AH1495" t="s">
        <v>6966</v>
      </c>
      <c r="AI1495" t="s">
        <v>6966</v>
      </c>
      <c r="AJ1495" t="s">
        <v>6966</v>
      </c>
      <c r="AK1495" t="s">
        <v>6966</v>
      </c>
      <c r="AL1495" t="s">
        <v>6966</v>
      </c>
      <c r="AM1495" t="s">
        <v>6966</v>
      </c>
      <c r="AN1495" t="s">
        <v>6966</v>
      </c>
      <c r="AO1495" t="s">
        <v>6966</v>
      </c>
      <c r="AP1495" t="s">
        <v>6966</v>
      </c>
      <c r="AQ1495" t="s">
        <v>6966</v>
      </c>
      <c r="AR1495" t="s">
        <v>6966</v>
      </c>
      <c r="AS1495" t="s">
        <v>6966</v>
      </c>
      <c r="AT1495" t="s">
        <v>6966</v>
      </c>
      <c r="AU1495" t="s">
        <v>6966</v>
      </c>
      <c r="AV1495" t="s">
        <v>6966</v>
      </c>
      <c r="AW1495" t="s">
        <v>6966</v>
      </c>
      <c r="AX1495" t="s">
        <v>6966</v>
      </c>
      <c r="AY1495" t="s">
        <v>6966</v>
      </c>
      <c r="AZ1495">
        <v>0.13627800000000001</v>
      </c>
      <c r="BA1495">
        <v>1.9599999999999999E-4</v>
      </c>
    </row>
    <row r="1496" spans="1:53" x14ac:dyDescent="0.25">
      <c r="A1496">
        <v>1494</v>
      </c>
      <c r="B1496" t="s">
        <v>7625</v>
      </c>
      <c r="C1496">
        <v>604017</v>
      </c>
      <c r="D1496" t="s">
        <v>1460</v>
      </c>
      <c r="E1496" t="s">
        <v>6965</v>
      </c>
      <c r="F1496">
        <v>3976358.25</v>
      </c>
      <c r="G1496">
        <v>11154.999023</v>
      </c>
      <c r="H1496">
        <v>1496</v>
      </c>
      <c r="I1496">
        <v>1739</v>
      </c>
      <c r="J1496">
        <v>71371</v>
      </c>
      <c r="K1496" t="s">
        <v>2723</v>
      </c>
      <c r="L1496">
        <v>23</v>
      </c>
      <c r="M1496">
        <v>23</v>
      </c>
      <c r="N1496">
        <v>71371</v>
      </c>
      <c r="O1496">
        <v>1465</v>
      </c>
      <c r="P1496" t="s">
        <v>6965</v>
      </c>
      <c r="Q1496">
        <v>0</v>
      </c>
      <c r="R1496">
        <v>0</v>
      </c>
      <c r="S1496">
        <v>0.02</v>
      </c>
      <c r="T1496">
        <v>5</v>
      </c>
      <c r="U1496">
        <v>3976358.2374800001</v>
      </c>
      <c r="V1496">
        <v>11154.998842000001</v>
      </c>
      <c r="W1496">
        <v>1495</v>
      </c>
      <c r="X1496">
        <v>0</v>
      </c>
      <c r="Y1496">
        <v>1494</v>
      </c>
      <c r="Z1496" t="s">
        <v>6966</v>
      </c>
      <c r="AA1496" t="s">
        <v>6966</v>
      </c>
      <c r="AB1496" t="s">
        <v>6966</v>
      </c>
      <c r="AC1496" t="s">
        <v>6966</v>
      </c>
      <c r="AD1496" t="s">
        <v>6966</v>
      </c>
      <c r="AE1496" t="s">
        <v>6966</v>
      </c>
      <c r="AF1496" t="s">
        <v>6966</v>
      </c>
      <c r="AG1496" t="s">
        <v>6966</v>
      </c>
      <c r="AH1496" t="s">
        <v>6966</v>
      </c>
      <c r="AI1496" t="s">
        <v>6966</v>
      </c>
      <c r="AJ1496" t="s">
        <v>6966</v>
      </c>
      <c r="AK1496" t="s">
        <v>6966</v>
      </c>
      <c r="AL1496" t="s">
        <v>6966</v>
      </c>
      <c r="AM1496" t="s">
        <v>6966</v>
      </c>
      <c r="AN1496" t="s">
        <v>6966</v>
      </c>
      <c r="AO1496" t="s">
        <v>6966</v>
      </c>
      <c r="AP1496" t="s">
        <v>6966</v>
      </c>
      <c r="AQ1496" t="s">
        <v>6966</v>
      </c>
      <c r="AR1496" t="s">
        <v>6966</v>
      </c>
      <c r="AS1496" t="s">
        <v>6966</v>
      </c>
      <c r="AT1496" t="s">
        <v>6966</v>
      </c>
      <c r="AU1496" t="s">
        <v>6966</v>
      </c>
      <c r="AV1496" t="s">
        <v>6966</v>
      </c>
      <c r="AW1496" t="s">
        <v>6966</v>
      </c>
      <c r="AX1496" t="s">
        <v>6966</v>
      </c>
      <c r="AY1496" t="s">
        <v>6966</v>
      </c>
      <c r="AZ1496">
        <v>0.109806</v>
      </c>
      <c r="BA1496">
        <v>3.8499999999999998E-4</v>
      </c>
    </row>
    <row r="1497" spans="1:53" x14ac:dyDescent="0.25">
      <c r="A1497">
        <v>1495</v>
      </c>
      <c r="B1497" t="s">
        <v>7625</v>
      </c>
      <c r="C1497">
        <v>604050</v>
      </c>
      <c r="D1497" t="s">
        <v>8147</v>
      </c>
      <c r="E1497" t="s">
        <v>6965</v>
      </c>
      <c r="F1497">
        <v>5843665.5</v>
      </c>
      <c r="G1497">
        <v>10893.223633</v>
      </c>
      <c r="H1497">
        <v>1497</v>
      </c>
      <c r="I1497">
        <v>1740</v>
      </c>
      <c r="J1497">
        <v>71364</v>
      </c>
      <c r="K1497" t="s">
        <v>8147</v>
      </c>
      <c r="L1497">
        <v>23</v>
      </c>
      <c r="M1497">
        <v>23</v>
      </c>
      <c r="N1497">
        <v>71364</v>
      </c>
      <c r="O1497">
        <v>1466</v>
      </c>
      <c r="P1497" t="s">
        <v>6965</v>
      </c>
      <c r="Q1497">
        <v>1.5</v>
      </c>
      <c r="R1497">
        <v>62.11</v>
      </c>
      <c r="S1497">
        <v>0.36</v>
      </c>
      <c r="T1497">
        <v>15</v>
      </c>
      <c r="U1497">
        <v>5843665.6725300001</v>
      </c>
      <c r="V1497">
        <v>10893.223728000001</v>
      </c>
      <c r="W1497">
        <v>1496</v>
      </c>
      <c r="X1497">
        <v>0</v>
      </c>
      <c r="Y1497">
        <v>1495</v>
      </c>
      <c r="Z1497" t="s">
        <v>6966</v>
      </c>
      <c r="AA1497" t="s">
        <v>6966</v>
      </c>
      <c r="AB1497" t="s">
        <v>6966</v>
      </c>
      <c r="AC1497" t="s">
        <v>6966</v>
      </c>
      <c r="AD1497" t="s">
        <v>6966</v>
      </c>
      <c r="AE1497" t="s">
        <v>6966</v>
      </c>
      <c r="AF1497" t="s">
        <v>6966</v>
      </c>
      <c r="AG1497" t="s">
        <v>6966</v>
      </c>
      <c r="AH1497" t="s">
        <v>6966</v>
      </c>
      <c r="AI1497" t="s">
        <v>6966</v>
      </c>
      <c r="AJ1497" t="s">
        <v>6966</v>
      </c>
      <c r="AK1497" t="s">
        <v>6966</v>
      </c>
      <c r="AL1497" t="s">
        <v>6966</v>
      </c>
      <c r="AM1497" t="s">
        <v>6966</v>
      </c>
      <c r="AN1497" t="s">
        <v>6966</v>
      </c>
      <c r="AO1497" t="s">
        <v>6966</v>
      </c>
      <c r="AP1497" t="s">
        <v>6966</v>
      </c>
      <c r="AQ1497" t="s">
        <v>6966</v>
      </c>
      <c r="AR1497" t="s">
        <v>6966</v>
      </c>
      <c r="AS1497" t="s">
        <v>6966</v>
      </c>
      <c r="AT1497" t="s">
        <v>6966</v>
      </c>
      <c r="AU1497" t="s">
        <v>6966</v>
      </c>
      <c r="AV1497" t="s">
        <v>6966</v>
      </c>
      <c r="AW1497" t="s">
        <v>6966</v>
      </c>
      <c r="AX1497" t="s">
        <v>6966</v>
      </c>
      <c r="AY1497" t="s">
        <v>6966</v>
      </c>
      <c r="AZ1497">
        <v>0.106462</v>
      </c>
      <c r="BA1497">
        <v>5.6599999999999999E-4</v>
      </c>
    </row>
    <row r="1498" spans="1:53" x14ac:dyDescent="0.25">
      <c r="A1498">
        <v>1496</v>
      </c>
      <c r="B1498" t="s">
        <v>7625</v>
      </c>
      <c r="C1498">
        <v>602017</v>
      </c>
      <c r="D1498" t="s">
        <v>1562</v>
      </c>
      <c r="E1498" t="s">
        <v>1541</v>
      </c>
      <c r="F1498">
        <v>2593915.5</v>
      </c>
      <c r="G1498">
        <v>6993.3945309999999</v>
      </c>
      <c r="H1498">
        <v>1498</v>
      </c>
      <c r="I1498">
        <v>1741</v>
      </c>
      <c r="J1498">
        <v>74181</v>
      </c>
      <c r="K1498" t="s">
        <v>7936</v>
      </c>
      <c r="L1498">
        <v>26</v>
      </c>
      <c r="M1498">
        <v>26</v>
      </c>
      <c r="N1498">
        <v>74181</v>
      </c>
      <c r="O1498">
        <v>1467</v>
      </c>
      <c r="P1498" t="s">
        <v>6965</v>
      </c>
      <c r="Q1498">
        <v>0</v>
      </c>
      <c r="R1498">
        <v>0</v>
      </c>
      <c r="S1498">
        <v>0.01</v>
      </c>
      <c r="T1498">
        <v>0</v>
      </c>
      <c r="U1498">
        <v>2593915.4121400001</v>
      </c>
      <c r="V1498">
        <v>6993.3947390000003</v>
      </c>
      <c r="W1498">
        <v>1497</v>
      </c>
      <c r="X1498">
        <v>0</v>
      </c>
      <c r="Y1498">
        <v>1496</v>
      </c>
      <c r="Z1498" t="s">
        <v>6966</v>
      </c>
      <c r="AA1498" t="s">
        <v>6966</v>
      </c>
      <c r="AB1498" t="s">
        <v>6966</v>
      </c>
      <c r="AC1498" t="s">
        <v>6966</v>
      </c>
      <c r="AD1498" t="s">
        <v>6966</v>
      </c>
      <c r="AE1498" t="s">
        <v>6966</v>
      </c>
      <c r="AF1498" t="s">
        <v>6966</v>
      </c>
      <c r="AG1498" t="s">
        <v>6966</v>
      </c>
      <c r="AH1498" t="s">
        <v>6966</v>
      </c>
      <c r="AI1498" t="s">
        <v>6966</v>
      </c>
      <c r="AJ1498" t="s">
        <v>6966</v>
      </c>
      <c r="AK1498" t="s">
        <v>6966</v>
      </c>
      <c r="AL1498" t="s">
        <v>6966</v>
      </c>
      <c r="AM1498" t="s">
        <v>6966</v>
      </c>
      <c r="AN1498" t="s">
        <v>6966</v>
      </c>
      <c r="AO1498" t="s">
        <v>6966</v>
      </c>
      <c r="AP1498" t="s">
        <v>6966</v>
      </c>
      <c r="AQ1498" t="s">
        <v>6966</v>
      </c>
      <c r="AR1498" t="s">
        <v>6966</v>
      </c>
      <c r="AS1498" t="s">
        <v>6966</v>
      </c>
      <c r="AT1498" t="s">
        <v>6966</v>
      </c>
      <c r="AU1498" t="s">
        <v>6966</v>
      </c>
      <c r="AV1498" t="s">
        <v>6966</v>
      </c>
      <c r="AW1498" t="s">
        <v>6966</v>
      </c>
      <c r="AX1498" t="s">
        <v>6966</v>
      </c>
      <c r="AY1498" t="s">
        <v>6966</v>
      </c>
      <c r="AZ1498">
        <v>6.9348000000000007E-2</v>
      </c>
      <c r="BA1498">
        <v>2.5099999999999998E-4</v>
      </c>
    </row>
    <row r="1499" spans="1:53" x14ac:dyDescent="0.25">
      <c r="A1499">
        <v>1497</v>
      </c>
      <c r="B1499" t="s">
        <v>7625</v>
      </c>
      <c r="C1499">
        <v>604046</v>
      </c>
      <c r="D1499" t="s">
        <v>8148</v>
      </c>
      <c r="E1499" t="s">
        <v>6965</v>
      </c>
      <c r="F1499">
        <v>6239587</v>
      </c>
      <c r="G1499">
        <v>13881.744140999999</v>
      </c>
      <c r="H1499">
        <v>1499</v>
      </c>
      <c r="I1499">
        <v>1742</v>
      </c>
      <c r="J1499">
        <v>71397</v>
      </c>
      <c r="K1499" t="s">
        <v>8148</v>
      </c>
      <c r="L1499">
        <v>23</v>
      </c>
      <c r="M1499">
        <v>23</v>
      </c>
      <c r="N1499">
        <v>71397</v>
      </c>
      <c r="O1499">
        <v>1468</v>
      </c>
      <c r="P1499" t="s">
        <v>6965</v>
      </c>
      <c r="Q1499">
        <v>3.8</v>
      </c>
      <c r="R1499">
        <v>43.2</v>
      </c>
      <c r="S1499">
        <v>0.82</v>
      </c>
      <c r="T1499">
        <v>9</v>
      </c>
      <c r="U1499">
        <v>6239587.0753800003</v>
      </c>
      <c r="V1499">
        <v>13881.743684999999</v>
      </c>
      <c r="W1499">
        <v>1498</v>
      </c>
      <c r="X1499">
        <v>0</v>
      </c>
      <c r="Y1499">
        <v>1497</v>
      </c>
      <c r="Z1499" t="s">
        <v>6966</v>
      </c>
      <c r="AA1499" t="s">
        <v>6966</v>
      </c>
      <c r="AB1499" t="s">
        <v>6966</v>
      </c>
      <c r="AC1499" t="s">
        <v>6966</v>
      </c>
      <c r="AD1499" t="s">
        <v>6966</v>
      </c>
      <c r="AE1499" t="s">
        <v>6966</v>
      </c>
      <c r="AF1499" t="s">
        <v>6966</v>
      </c>
      <c r="AG1499" t="s">
        <v>6966</v>
      </c>
      <c r="AH1499" t="s">
        <v>6966</v>
      </c>
      <c r="AI1499" t="s">
        <v>6966</v>
      </c>
      <c r="AJ1499" t="s">
        <v>6966</v>
      </c>
      <c r="AK1499" t="s">
        <v>6966</v>
      </c>
      <c r="AL1499" t="s">
        <v>6966</v>
      </c>
      <c r="AM1499" t="s">
        <v>6966</v>
      </c>
      <c r="AN1499" t="s">
        <v>6966</v>
      </c>
      <c r="AO1499" t="s">
        <v>6966</v>
      </c>
      <c r="AP1499" t="s">
        <v>6966</v>
      </c>
      <c r="AQ1499" t="s">
        <v>6966</v>
      </c>
      <c r="AR1499" t="s">
        <v>6966</v>
      </c>
      <c r="AS1499" t="s">
        <v>6966</v>
      </c>
      <c r="AT1499" t="s">
        <v>6966</v>
      </c>
      <c r="AU1499" t="s">
        <v>6966</v>
      </c>
      <c r="AV1499" t="s">
        <v>6966</v>
      </c>
      <c r="AW1499" t="s">
        <v>6966</v>
      </c>
      <c r="AX1499" t="s">
        <v>6966</v>
      </c>
      <c r="AY1499" t="s">
        <v>6966</v>
      </c>
      <c r="AZ1499">
        <v>0.13711799999999999</v>
      </c>
      <c r="BA1499">
        <v>6.0400000000000004E-4</v>
      </c>
    </row>
    <row r="1500" spans="1:53" x14ac:dyDescent="0.25">
      <c r="A1500">
        <v>1498</v>
      </c>
      <c r="B1500" t="s">
        <v>7625</v>
      </c>
      <c r="C1500">
        <v>604049</v>
      </c>
      <c r="D1500" t="s">
        <v>8149</v>
      </c>
      <c r="E1500" t="s">
        <v>6965</v>
      </c>
      <c r="F1500">
        <v>4189928</v>
      </c>
      <c r="G1500">
        <v>11100.764648</v>
      </c>
      <c r="H1500">
        <v>1500</v>
      </c>
      <c r="I1500">
        <v>1743</v>
      </c>
      <c r="J1500">
        <v>71367</v>
      </c>
      <c r="K1500" t="s">
        <v>8150</v>
      </c>
      <c r="L1500">
        <v>23</v>
      </c>
      <c r="M1500">
        <v>23</v>
      </c>
      <c r="N1500">
        <v>71367</v>
      </c>
      <c r="O1500">
        <v>1469</v>
      </c>
      <c r="P1500" t="s">
        <v>6965</v>
      </c>
      <c r="Q1500">
        <v>3.9</v>
      </c>
      <c r="R1500">
        <v>43.82</v>
      </c>
      <c r="S1500">
        <v>1</v>
      </c>
      <c r="T1500">
        <v>11</v>
      </c>
      <c r="U1500">
        <v>4189927.9245699998</v>
      </c>
      <c r="V1500">
        <v>11100.763873</v>
      </c>
      <c r="W1500">
        <v>1499</v>
      </c>
      <c r="X1500">
        <v>0</v>
      </c>
      <c r="Y1500">
        <v>1498</v>
      </c>
      <c r="Z1500" t="s">
        <v>6966</v>
      </c>
      <c r="AA1500" t="s">
        <v>6966</v>
      </c>
      <c r="AB1500" t="s">
        <v>6966</v>
      </c>
      <c r="AC1500" t="s">
        <v>6966</v>
      </c>
      <c r="AD1500" t="s">
        <v>6966</v>
      </c>
      <c r="AE1500" t="s">
        <v>6966</v>
      </c>
      <c r="AF1500" t="s">
        <v>6966</v>
      </c>
      <c r="AG1500" t="s">
        <v>6966</v>
      </c>
      <c r="AH1500" t="s">
        <v>6966</v>
      </c>
      <c r="AI1500" t="s">
        <v>6966</v>
      </c>
      <c r="AJ1500" t="s">
        <v>6966</v>
      </c>
      <c r="AK1500" t="s">
        <v>6966</v>
      </c>
      <c r="AL1500" t="s">
        <v>6966</v>
      </c>
      <c r="AM1500" t="s">
        <v>6966</v>
      </c>
      <c r="AN1500" t="s">
        <v>6966</v>
      </c>
      <c r="AO1500" t="s">
        <v>6966</v>
      </c>
      <c r="AP1500" t="s">
        <v>6966</v>
      </c>
      <c r="AQ1500" t="s">
        <v>6966</v>
      </c>
      <c r="AR1500" t="s">
        <v>6966</v>
      </c>
      <c r="AS1500" t="s">
        <v>6966</v>
      </c>
      <c r="AT1500" t="s">
        <v>6966</v>
      </c>
      <c r="AU1500" t="s">
        <v>6966</v>
      </c>
      <c r="AV1500" t="s">
        <v>6966</v>
      </c>
      <c r="AW1500" t="s">
        <v>6966</v>
      </c>
      <c r="AX1500" t="s">
        <v>6966</v>
      </c>
      <c r="AY1500" t="s">
        <v>6966</v>
      </c>
      <c r="AZ1500">
        <v>0.10771799999999999</v>
      </c>
      <c r="BA1500">
        <v>4.06E-4</v>
      </c>
    </row>
    <row r="1501" spans="1:53" x14ac:dyDescent="0.25">
      <c r="A1501">
        <v>1499</v>
      </c>
      <c r="B1501" t="s">
        <v>7625</v>
      </c>
      <c r="C1501">
        <v>604027</v>
      </c>
      <c r="D1501" t="s">
        <v>1467</v>
      </c>
      <c r="E1501" t="s">
        <v>6965</v>
      </c>
      <c r="F1501">
        <v>9309246</v>
      </c>
      <c r="G1501">
        <v>15697.710938</v>
      </c>
      <c r="H1501">
        <v>1501</v>
      </c>
      <c r="I1501">
        <v>1744</v>
      </c>
      <c r="J1501">
        <v>71391</v>
      </c>
      <c r="K1501" t="s">
        <v>2730</v>
      </c>
      <c r="L1501">
        <v>23</v>
      </c>
      <c r="M1501">
        <v>23</v>
      </c>
      <c r="N1501">
        <v>71391</v>
      </c>
      <c r="O1501">
        <v>1470</v>
      </c>
      <c r="P1501" t="s">
        <v>6965</v>
      </c>
      <c r="Q1501">
        <v>4.7</v>
      </c>
      <c r="R1501">
        <v>61.84</v>
      </c>
      <c r="S1501">
        <v>0.99</v>
      </c>
      <c r="T1501">
        <v>13</v>
      </c>
      <c r="U1501">
        <v>9309245.8242700007</v>
      </c>
      <c r="V1501">
        <v>15697.711098</v>
      </c>
      <c r="W1501">
        <v>1500</v>
      </c>
      <c r="X1501">
        <v>0</v>
      </c>
      <c r="Y1501">
        <v>1499</v>
      </c>
      <c r="Z1501" t="s">
        <v>6966</v>
      </c>
      <c r="AA1501" t="s">
        <v>6966</v>
      </c>
      <c r="AB1501" t="s">
        <v>6966</v>
      </c>
      <c r="AC1501" t="s">
        <v>6966</v>
      </c>
      <c r="AD1501" t="s">
        <v>6966</v>
      </c>
      <c r="AE1501" t="s">
        <v>6966</v>
      </c>
      <c r="AF1501" t="s">
        <v>6966</v>
      </c>
      <c r="AG1501" t="s">
        <v>6966</v>
      </c>
      <c r="AH1501" t="s">
        <v>6966</v>
      </c>
      <c r="AI1501" t="s">
        <v>6966</v>
      </c>
      <c r="AJ1501" t="s">
        <v>6966</v>
      </c>
      <c r="AK1501" t="s">
        <v>6966</v>
      </c>
      <c r="AL1501" t="s">
        <v>6966</v>
      </c>
      <c r="AM1501" t="s">
        <v>6966</v>
      </c>
      <c r="AN1501" t="s">
        <v>6966</v>
      </c>
      <c r="AO1501" t="s">
        <v>6966</v>
      </c>
      <c r="AP1501" t="s">
        <v>6966</v>
      </c>
      <c r="AQ1501" t="s">
        <v>6966</v>
      </c>
      <c r="AR1501" t="s">
        <v>6966</v>
      </c>
      <c r="AS1501" t="s">
        <v>6966</v>
      </c>
      <c r="AT1501" t="s">
        <v>6966</v>
      </c>
      <c r="AU1501" t="s">
        <v>6966</v>
      </c>
      <c r="AV1501" t="s">
        <v>6966</v>
      </c>
      <c r="AW1501" t="s">
        <v>6966</v>
      </c>
      <c r="AX1501" t="s">
        <v>6966</v>
      </c>
      <c r="AY1501" t="s">
        <v>6966</v>
      </c>
      <c r="AZ1501">
        <v>0.156254</v>
      </c>
      <c r="BA1501">
        <v>9.01E-4</v>
      </c>
    </row>
    <row r="1502" spans="1:53" x14ac:dyDescent="0.25">
      <c r="A1502">
        <v>1500</v>
      </c>
      <c r="B1502" t="s">
        <v>7625</v>
      </c>
      <c r="C1502">
        <v>604048</v>
      </c>
      <c r="D1502" t="s">
        <v>1468</v>
      </c>
      <c r="E1502" t="s">
        <v>6965</v>
      </c>
      <c r="F1502">
        <v>0</v>
      </c>
      <c r="G1502">
        <v>17221.958984000001</v>
      </c>
      <c r="H1502">
        <v>1502</v>
      </c>
      <c r="I1502">
        <v>1745</v>
      </c>
      <c r="J1502">
        <v>71394</v>
      </c>
      <c r="K1502" t="s">
        <v>2408</v>
      </c>
      <c r="L1502">
        <v>23</v>
      </c>
      <c r="M1502">
        <v>23</v>
      </c>
      <c r="N1502">
        <v>71394</v>
      </c>
      <c r="O1502">
        <v>1471</v>
      </c>
      <c r="P1502" t="s">
        <v>6965</v>
      </c>
      <c r="Q1502">
        <v>1.3</v>
      </c>
      <c r="R1502">
        <v>39.9</v>
      </c>
      <c r="S1502">
        <v>0.3</v>
      </c>
      <c r="T1502">
        <v>9</v>
      </c>
      <c r="U1502">
        <v>0</v>
      </c>
      <c r="V1502">
        <v>17221.958290999999</v>
      </c>
      <c r="W1502">
        <v>1501</v>
      </c>
      <c r="X1502">
        <v>0</v>
      </c>
      <c r="Y1502">
        <v>1500</v>
      </c>
      <c r="Z1502" t="s">
        <v>6966</v>
      </c>
      <c r="AA1502" t="s">
        <v>6966</v>
      </c>
      <c r="AB1502" t="s">
        <v>6966</v>
      </c>
      <c r="AC1502" t="s">
        <v>6966</v>
      </c>
      <c r="AD1502" t="s">
        <v>6966</v>
      </c>
      <c r="AE1502" t="s">
        <v>6966</v>
      </c>
      <c r="AF1502" t="s">
        <v>6966</v>
      </c>
      <c r="AG1502" t="s">
        <v>6966</v>
      </c>
      <c r="AH1502" t="s">
        <v>6966</v>
      </c>
      <c r="AI1502" t="s">
        <v>6966</v>
      </c>
      <c r="AJ1502" t="s">
        <v>6966</v>
      </c>
      <c r="AK1502" t="s">
        <v>6966</v>
      </c>
      <c r="AL1502" t="s">
        <v>6966</v>
      </c>
      <c r="AM1502" t="s">
        <v>6966</v>
      </c>
      <c r="AN1502" t="s">
        <v>6966</v>
      </c>
      <c r="AO1502" t="s">
        <v>6966</v>
      </c>
      <c r="AP1502" t="s">
        <v>6966</v>
      </c>
      <c r="AQ1502" t="s">
        <v>6966</v>
      </c>
      <c r="AR1502" t="s">
        <v>6966</v>
      </c>
      <c r="AS1502" t="s">
        <v>6966</v>
      </c>
      <c r="AT1502" t="s">
        <v>6966</v>
      </c>
      <c r="AU1502" t="s">
        <v>6966</v>
      </c>
      <c r="AV1502" t="s">
        <v>6966</v>
      </c>
      <c r="AW1502" t="s">
        <v>6966</v>
      </c>
      <c r="AX1502" t="s">
        <v>6966</v>
      </c>
      <c r="AY1502" t="s">
        <v>6966</v>
      </c>
      <c r="AZ1502">
        <v>0.17182900000000001</v>
      </c>
      <c r="BA1502">
        <v>1.129E-3</v>
      </c>
    </row>
    <row r="1503" spans="1:53" x14ac:dyDescent="0.25">
      <c r="A1503">
        <v>1501</v>
      </c>
      <c r="B1503" t="s">
        <v>7625</v>
      </c>
      <c r="C1503">
        <v>803069</v>
      </c>
      <c r="D1503" t="s">
        <v>1310</v>
      </c>
      <c r="E1503" t="s">
        <v>1267</v>
      </c>
      <c r="F1503">
        <v>5181504.5</v>
      </c>
      <c r="G1503">
        <v>14973.869140999999</v>
      </c>
      <c r="H1503">
        <v>1503</v>
      </c>
      <c r="I1503">
        <v>1747</v>
      </c>
      <c r="J1503">
        <v>62271</v>
      </c>
      <c r="K1503" t="s">
        <v>8151</v>
      </c>
      <c r="L1503">
        <v>21</v>
      </c>
      <c r="M1503">
        <v>21</v>
      </c>
      <c r="N1503">
        <v>62271</v>
      </c>
      <c r="O1503">
        <v>1472</v>
      </c>
      <c r="P1503" t="s">
        <v>3213</v>
      </c>
      <c r="Q1503">
        <v>3.8</v>
      </c>
      <c r="R1503">
        <v>41.18</v>
      </c>
      <c r="S1503">
        <v>0.76</v>
      </c>
      <c r="T1503">
        <v>8</v>
      </c>
      <c r="U1503">
        <v>5181504.4932199996</v>
      </c>
      <c r="V1503">
        <v>14973.868827</v>
      </c>
      <c r="W1503">
        <v>1502</v>
      </c>
      <c r="X1503">
        <v>0</v>
      </c>
      <c r="Y1503">
        <v>1501</v>
      </c>
      <c r="Z1503" t="s">
        <v>6966</v>
      </c>
      <c r="AA1503" t="s">
        <v>6966</v>
      </c>
      <c r="AB1503" t="s">
        <v>6966</v>
      </c>
      <c r="AC1503" t="s">
        <v>6966</v>
      </c>
      <c r="AD1503" t="s">
        <v>6966</v>
      </c>
      <c r="AE1503" t="s">
        <v>6966</v>
      </c>
      <c r="AF1503" t="s">
        <v>6966</v>
      </c>
      <c r="AG1503" t="s">
        <v>6966</v>
      </c>
      <c r="AH1503" t="s">
        <v>6966</v>
      </c>
      <c r="AI1503" t="s">
        <v>6966</v>
      </c>
      <c r="AJ1503" t="s">
        <v>6966</v>
      </c>
      <c r="AK1503" t="s">
        <v>6966</v>
      </c>
      <c r="AL1503" t="s">
        <v>6966</v>
      </c>
      <c r="AM1503" t="s">
        <v>6966</v>
      </c>
      <c r="AN1503" t="s">
        <v>6966</v>
      </c>
      <c r="AO1503" t="s">
        <v>6966</v>
      </c>
      <c r="AP1503" t="s">
        <v>6966</v>
      </c>
      <c r="AQ1503" t="s">
        <v>6966</v>
      </c>
      <c r="AR1503" t="s">
        <v>6966</v>
      </c>
      <c r="AS1503" t="s">
        <v>6966</v>
      </c>
      <c r="AT1503" t="s">
        <v>6966</v>
      </c>
      <c r="AU1503" t="s">
        <v>6966</v>
      </c>
      <c r="AV1503" t="s">
        <v>6966</v>
      </c>
      <c r="AW1503" t="s">
        <v>6966</v>
      </c>
      <c r="AX1503" t="s">
        <v>6966</v>
      </c>
      <c r="AY1503" t="s">
        <v>6966</v>
      </c>
      <c r="AZ1503">
        <v>0.14718100000000001</v>
      </c>
      <c r="BA1503">
        <v>5.0100000000000003E-4</v>
      </c>
    </row>
    <row r="1504" spans="1:53" x14ac:dyDescent="0.25">
      <c r="A1504">
        <v>1502</v>
      </c>
      <c r="B1504" t="s">
        <v>7625</v>
      </c>
      <c r="C1504">
        <v>803014</v>
      </c>
      <c r="D1504" t="s">
        <v>1312</v>
      </c>
      <c r="E1504" t="s">
        <v>1267</v>
      </c>
      <c r="F1504">
        <v>4040834.75</v>
      </c>
      <c r="G1504">
        <v>9892.3349610000005</v>
      </c>
      <c r="H1504">
        <v>1504</v>
      </c>
      <c r="I1504">
        <v>1749</v>
      </c>
      <c r="J1504">
        <v>62274</v>
      </c>
      <c r="K1504" t="s">
        <v>2606</v>
      </c>
      <c r="L1504">
        <v>21</v>
      </c>
      <c r="M1504">
        <v>21</v>
      </c>
      <c r="N1504">
        <v>62274</v>
      </c>
      <c r="O1504">
        <v>1473</v>
      </c>
      <c r="P1504" t="s">
        <v>3213</v>
      </c>
      <c r="Q1504">
        <v>2.9</v>
      </c>
      <c r="R1504">
        <v>446.62</v>
      </c>
      <c r="S1504">
        <v>0.61</v>
      </c>
      <c r="T1504">
        <v>95</v>
      </c>
      <c r="U1504">
        <v>4040834.7773500001</v>
      </c>
      <c r="V1504">
        <v>9892.3354419999996</v>
      </c>
      <c r="W1504">
        <v>1503</v>
      </c>
      <c r="X1504">
        <v>0</v>
      </c>
      <c r="Y1504">
        <v>1502</v>
      </c>
      <c r="Z1504" t="s">
        <v>6966</v>
      </c>
      <c r="AA1504" t="s">
        <v>6966</v>
      </c>
      <c r="AB1504" t="s">
        <v>6966</v>
      </c>
      <c r="AC1504" t="s">
        <v>6966</v>
      </c>
      <c r="AD1504" t="s">
        <v>6966</v>
      </c>
      <c r="AE1504" t="s">
        <v>6966</v>
      </c>
      <c r="AF1504" t="s">
        <v>6966</v>
      </c>
      <c r="AG1504" t="s">
        <v>6966</v>
      </c>
      <c r="AH1504" t="s">
        <v>6966</v>
      </c>
      <c r="AI1504" t="s">
        <v>6966</v>
      </c>
      <c r="AJ1504" t="s">
        <v>6966</v>
      </c>
      <c r="AK1504" t="s">
        <v>6966</v>
      </c>
      <c r="AL1504" t="s">
        <v>6966</v>
      </c>
      <c r="AM1504" t="s">
        <v>6966</v>
      </c>
      <c r="AN1504" t="s">
        <v>6966</v>
      </c>
      <c r="AO1504" t="s">
        <v>6966</v>
      </c>
      <c r="AP1504" t="s">
        <v>6966</v>
      </c>
      <c r="AQ1504" t="s">
        <v>6966</v>
      </c>
      <c r="AR1504" t="s">
        <v>6966</v>
      </c>
      <c r="AS1504" t="s">
        <v>6966</v>
      </c>
      <c r="AT1504" t="s">
        <v>6966</v>
      </c>
      <c r="AU1504" t="s">
        <v>6966</v>
      </c>
      <c r="AV1504" t="s">
        <v>6966</v>
      </c>
      <c r="AW1504" t="s">
        <v>6966</v>
      </c>
      <c r="AX1504" t="s">
        <v>6966</v>
      </c>
      <c r="AY1504" t="s">
        <v>6966</v>
      </c>
      <c r="AZ1504">
        <v>9.8270999999999997E-2</v>
      </c>
      <c r="BA1504">
        <v>3.9100000000000002E-4</v>
      </c>
    </row>
    <row r="1505" spans="1:53" x14ac:dyDescent="0.25">
      <c r="A1505">
        <v>1503</v>
      </c>
      <c r="B1505" t="s">
        <v>7625</v>
      </c>
      <c r="C1505">
        <v>602021</v>
      </c>
      <c r="D1505" t="s">
        <v>1556</v>
      </c>
      <c r="E1505" t="s">
        <v>1541</v>
      </c>
      <c r="F1505">
        <v>4916760</v>
      </c>
      <c r="G1505">
        <v>9748.7666019999997</v>
      </c>
      <c r="H1505">
        <v>1505</v>
      </c>
      <c r="I1505">
        <v>1750</v>
      </c>
      <c r="J1505">
        <v>74158</v>
      </c>
      <c r="K1505" t="s">
        <v>2796</v>
      </c>
      <c r="L1505">
        <v>26</v>
      </c>
      <c r="M1505">
        <v>26</v>
      </c>
      <c r="N1505">
        <v>74158</v>
      </c>
      <c r="O1505">
        <v>1474</v>
      </c>
      <c r="P1505" t="s">
        <v>6965</v>
      </c>
      <c r="Q1505">
        <v>2.1</v>
      </c>
      <c r="R1505">
        <v>60.02</v>
      </c>
      <c r="S1505">
        <v>0.5</v>
      </c>
      <c r="T1505">
        <v>14</v>
      </c>
      <c r="U1505">
        <v>4916760.0823299997</v>
      </c>
      <c r="V1505">
        <v>9748.7664129999994</v>
      </c>
      <c r="W1505">
        <v>1504</v>
      </c>
      <c r="X1505">
        <v>0</v>
      </c>
      <c r="Y1505">
        <v>1503</v>
      </c>
      <c r="Z1505" t="s">
        <v>6966</v>
      </c>
      <c r="AA1505" t="s">
        <v>6966</v>
      </c>
      <c r="AB1505" t="s">
        <v>6966</v>
      </c>
      <c r="AC1505" t="s">
        <v>6966</v>
      </c>
      <c r="AD1505" t="s">
        <v>6966</v>
      </c>
      <c r="AE1505" t="s">
        <v>6966</v>
      </c>
      <c r="AF1505" t="s">
        <v>6966</v>
      </c>
      <c r="AG1505" t="s">
        <v>6966</v>
      </c>
      <c r="AH1505" t="s">
        <v>6966</v>
      </c>
      <c r="AI1505" t="s">
        <v>6966</v>
      </c>
      <c r="AJ1505" t="s">
        <v>6966</v>
      </c>
      <c r="AK1505" t="s">
        <v>6966</v>
      </c>
      <c r="AL1505" t="s">
        <v>6966</v>
      </c>
      <c r="AM1505" t="s">
        <v>6966</v>
      </c>
      <c r="AN1505" t="s">
        <v>6966</v>
      </c>
      <c r="AO1505" t="s">
        <v>6966</v>
      </c>
      <c r="AP1505" t="s">
        <v>6966</v>
      </c>
      <c r="AQ1505" t="s">
        <v>6966</v>
      </c>
      <c r="AR1505" t="s">
        <v>6966</v>
      </c>
      <c r="AS1505" t="s">
        <v>6966</v>
      </c>
      <c r="AT1505" t="s">
        <v>6966</v>
      </c>
      <c r="AU1505" t="s">
        <v>6966</v>
      </c>
      <c r="AV1505" t="s">
        <v>6966</v>
      </c>
      <c r="AW1505" t="s">
        <v>6966</v>
      </c>
      <c r="AX1505" t="s">
        <v>6966</v>
      </c>
      <c r="AY1505" t="s">
        <v>6966</v>
      </c>
      <c r="AZ1505">
        <v>9.5140000000000002E-2</v>
      </c>
      <c r="BA1505">
        <v>4.7600000000000002E-4</v>
      </c>
    </row>
    <row r="1506" spans="1:53" x14ac:dyDescent="0.25">
      <c r="A1506">
        <v>1504</v>
      </c>
      <c r="B1506" t="s">
        <v>7625</v>
      </c>
      <c r="C1506">
        <v>602006</v>
      </c>
      <c r="D1506" t="s">
        <v>1564</v>
      </c>
      <c r="E1506" t="s">
        <v>1541</v>
      </c>
      <c r="F1506">
        <v>0</v>
      </c>
      <c r="G1506">
        <v>38990.851562999997</v>
      </c>
      <c r="H1506">
        <v>1506</v>
      </c>
      <c r="I1506">
        <v>1748</v>
      </c>
      <c r="J1506">
        <v>0</v>
      </c>
      <c r="K1506" t="s">
        <v>1564</v>
      </c>
      <c r="L1506">
        <v>26</v>
      </c>
      <c r="M1506">
        <v>26</v>
      </c>
      <c r="N1506">
        <v>0</v>
      </c>
      <c r="O1506">
        <v>1643</v>
      </c>
      <c r="P1506" t="s">
        <v>6965</v>
      </c>
      <c r="Q1506">
        <v>0</v>
      </c>
      <c r="R1506">
        <v>0</v>
      </c>
      <c r="S1506">
        <v>0</v>
      </c>
      <c r="T1506">
        <v>0</v>
      </c>
      <c r="U1506">
        <v>0</v>
      </c>
      <c r="V1506">
        <v>38990.851881000002</v>
      </c>
      <c r="W1506">
        <v>1505</v>
      </c>
      <c r="X1506">
        <v>0</v>
      </c>
      <c r="Y1506">
        <v>1504</v>
      </c>
      <c r="Z1506" t="s">
        <v>6966</v>
      </c>
      <c r="AA1506" t="s">
        <v>6966</v>
      </c>
      <c r="AB1506" t="s">
        <v>6966</v>
      </c>
      <c r="AC1506" t="s">
        <v>6966</v>
      </c>
      <c r="AD1506" t="s">
        <v>6966</v>
      </c>
      <c r="AE1506" t="s">
        <v>6966</v>
      </c>
      <c r="AF1506" t="s">
        <v>6966</v>
      </c>
      <c r="AG1506" t="s">
        <v>6966</v>
      </c>
      <c r="AH1506" t="s">
        <v>6966</v>
      </c>
      <c r="AI1506" t="s">
        <v>6966</v>
      </c>
      <c r="AJ1506" t="s">
        <v>6966</v>
      </c>
      <c r="AK1506" t="s">
        <v>6966</v>
      </c>
      <c r="AL1506" t="s">
        <v>6966</v>
      </c>
      <c r="AM1506" t="s">
        <v>6966</v>
      </c>
      <c r="AN1506" t="s">
        <v>6966</v>
      </c>
      <c r="AO1506" t="s">
        <v>6966</v>
      </c>
      <c r="AP1506" t="s">
        <v>6966</v>
      </c>
      <c r="AQ1506" t="s">
        <v>6966</v>
      </c>
      <c r="AR1506" t="s">
        <v>6966</v>
      </c>
      <c r="AS1506" t="s">
        <v>6966</v>
      </c>
      <c r="AT1506" t="s">
        <v>6966</v>
      </c>
      <c r="AU1506" t="s">
        <v>6966</v>
      </c>
      <c r="AV1506" t="s">
        <v>6966</v>
      </c>
      <c r="AW1506" t="s">
        <v>6966</v>
      </c>
      <c r="AX1506" t="s">
        <v>6966</v>
      </c>
      <c r="AY1506" t="s">
        <v>6966</v>
      </c>
      <c r="AZ1506">
        <v>0.39287</v>
      </c>
      <c r="BA1506">
        <v>3.7260000000000001E-3</v>
      </c>
    </row>
    <row r="1507" spans="1:53" x14ac:dyDescent="0.25">
      <c r="A1507">
        <v>1505</v>
      </c>
      <c r="B1507" t="s">
        <v>7625</v>
      </c>
      <c r="C1507">
        <v>803056</v>
      </c>
      <c r="D1507" t="s">
        <v>1294</v>
      </c>
      <c r="E1507" t="s">
        <v>1267</v>
      </c>
      <c r="F1507">
        <v>6304097</v>
      </c>
      <c r="G1507">
        <v>16326.107421999999</v>
      </c>
      <c r="H1507">
        <v>1507</v>
      </c>
      <c r="I1507">
        <v>1751</v>
      </c>
      <c r="J1507">
        <v>62245</v>
      </c>
      <c r="K1507" t="s">
        <v>8152</v>
      </c>
      <c r="L1507">
        <v>21</v>
      </c>
      <c r="M1507">
        <v>21</v>
      </c>
      <c r="N1507">
        <v>62245</v>
      </c>
      <c r="O1507">
        <v>1475</v>
      </c>
      <c r="P1507" t="s">
        <v>3213</v>
      </c>
      <c r="Q1507">
        <v>4.0999999999999996</v>
      </c>
      <c r="R1507">
        <v>69.290000000000006</v>
      </c>
      <c r="S1507">
        <v>0.94</v>
      </c>
      <c r="T1507">
        <v>16</v>
      </c>
      <c r="U1507">
        <v>6304096.9012599997</v>
      </c>
      <c r="V1507">
        <v>16326.107323</v>
      </c>
      <c r="W1507">
        <v>1506</v>
      </c>
      <c r="X1507">
        <v>0</v>
      </c>
      <c r="Y1507">
        <v>1505</v>
      </c>
      <c r="Z1507" t="s">
        <v>6966</v>
      </c>
      <c r="AA1507" t="s">
        <v>6966</v>
      </c>
      <c r="AB1507" t="s">
        <v>6966</v>
      </c>
      <c r="AC1507" t="s">
        <v>6966</v>
      </c>
      <c r="AD1507" t="s">
        <v>6966</v>
      </c>
      <c r="AE1507" t="s">
        <v>6966</v>
      </c>
      <c r="AF1507" t="s">
        <v>6966</v>
      </c>
      <c r="AG1507" t="s">
        <v>6966</v>
      </c>
      <c r="AH1507" t="s">
        <v>6966</v>
      </c>
      <c r="AI1507" t="s">
        <v>6966</v>
      </c>
      <c r="AJ1507" t="s">
        <v>6966</v>
      </c>
      <c r="AK1507" t="s">
        <v>6966</v>
      </c>
      <c r="AL1507" t="s">
        <v>6966</v>
      </c>
      <c r="AM1507" t="s">
        <v>6966</v>
      </c>
      <c r="AN1507" t="s">
        <v>6966</v>
      </c>
      <c r="AO1507" t="s">
        <v>6966</v>
      </c>
      <c r="AP1507" t="s">
        <v>6966</v>
      </c>
      <c r="AQ1507" t="s">
        <v>6966</v>
      </c>
      <c r="AR1507" t="s">
        <v>6966</v>
      </c>
      <c r="AS1507" t="s">
        <v>6966</v>
      </c>
      <c r="AT1507" t="s">
        <v>6966</v>
      </c>
      <c r="AU1507" t="s">
        <v>6966</v>
      </c>
      <c r="AV1507" t="s">
        <v>6966</v>
      </c>
      <c r="AW1507" t="s">
        <v>6966</v>
      </c>
      <c r="AX1507" t="s">
        <v>6966</v>
      </c>
      <c r="AY1507" t="s">
        <v>6966</v>
      </c>
      <c r="AZ1507">
        <v>0.16156599999999999</v>
      </c>
      <c r="BA1507">
        <v>6.0999999999999997E-4</v>
      </c>
    </row>
    <row r="1508" spans="1:53" x14ac:dyDescent="0.25">
      <c r="A1508">
        <v>1506</v>
      </c>
      <c r="B1508" t="s">
        <v>7625</v>
      </c>
      <c r="C1508">
        <v>603009</v>
      </c>
      <c r="D1508" t="s">
        <v>1514</v>
      </c>
      <c r="E1508" t="s">
        <v>1508</v>
      </c>
      <c r="F1508">
        <v>6167337.5</v>
      </c>
      <c r="G1508">
        <v>12783.162109000001</v>
      </c>
      <c r="H1508">
        <v>1508</v>
      </c>
      <c r="I1508">
        <v>1752</v>
      </c>
      <c r="J1508">
        <v>73146</v>
      </c>
      <c r="K1508" t="s">
        <v>2766</v>
      </c>
      <c r="L1508">
        <v>25</v>
      </c>
      <c r="M1508">
        <v>25</v>
      </c>
      <c r="N1508">
        <v>73146</v>
      </c>
      <c r="O1508">
        <v>1476</v>
      </c>
      <c r="P1508" t="s">
        <v>6965</v>
      </c>
      <c r="Q1508">
        <v>1.2</v>
      </c>
      <c r="R1508">
        <v>17.43</v>
      </c>
      <c r="S1508">
        <v>0.37</v>
      </c>
      <c r="T1508">
        <v>5</v>
      </c>
      <c r="U1508">
        <v>6167337.61778</v>
      </c>
      <c r="V1508">
        <v>12783.161791</v>
      </c>
      <c r="W1508">
        <v>1507</v>
      </c>
      <c r="X1508">
        <v>0</v>
      </c>
      <c r="Y1508">
        <v>1506</v>
      </c>
      <c r="Z1508" t="s">
        <v>6966</v>
      </c>
      <c r="AA1508" t="s">
        <v>6966</v>
      </c>
      <c r="AB1508" t="s">
        <v>6966</v>
      </c>
      <c r="AC1508" t="s">
        <v>6966</v>
      </c>
      <c r="AD1508" t="s">
        <v>6966</v>
      </c>
      <c r="AE1508" t="s">
        <v>6966</v>
      </c>
      <c r="AF1508" t="s">
        <v>6966</v>
      </c>
      <c r="AG1508" t="s">
        <v>6966</v>
      </c>
      <c r="AH1508" t="s">
        <v>6966</v>
      </c>
      <c r="AI1508" t="s">
        <v>6966</v>
      </c>
      <c r="AJ1508" t="s">
        <v>6966</v>
      </c>
      <c r="AK1508" t="s">
        <v>6966</v>
      </c>
      <c r="AL1508" t="s">
        <v>6966</v>
      </c>
      <c r="AM1508" t="s">
        <v>6966</v>
      </c>
      <c r="AN1508" t="s">
        <v>6966</v>
      </c>
      <c r="AO1508" t="s">
        <v>6966</v>
      </c>
      <c r="AP1508" t="s">
        <v>6966</v>
      </c>
      <c r="AQ1508" t="s">
        <v>6966</v>
      </c>
      <c r="AR1508" t="s">
        <v>6966</v>
      </c>
      <c r="AS1508" t="s">
        <v>6966</v>
      </c>
      <c r="AT1508" t="s">
        <v>6966</v>
      </c>
      <c r="AU1508" t="s">
        <v>6966</v>
      </c>
      <c r="AV1508" t="s">
        <v>6966</v>
      </c>
      <c r="AW1508" t="s">
        <v>6966</v>
      </c>
      <c r="AX1508" t="s">
        <v>6966</v>
      </c>
      <c r="AY1508" t="s">
        <v>6966</v>
      </c>
      <c r="AZ1508">
        <v>0.124579</v>
      </c>
      <c r="BA1508">
        <v>5.9699999999999998E-4</v>
      </c>
    </row>
    <row r="1509" spans="1:53" x14ac:dyDescent="0.25">
      <c r="A1509">
        <v>1507</v>
      </c>
      <c r="B1509" t="s">
        <v>7625</v>
      </c>
      <c r="C1509">
        <v>803034</v>
      </c>
      <c r="D1509" t="s">
        <v>8153</v>
      </c>
      <c r="E1509" t="s">
        <v>1267</v>
      </c>
      <c r="F1509">
        <v>4430356.5</v>
      </c>
      <c r="G1509">
        <v>12299.866211</v>
      </c>
      <c r="H1509">
        <v>1509</v>
      </c>
      <c r="I1509">
        <v>1753</v>
      </c>
      <c r="J1509">
        <v>62269</v>
      </c>
      <c r="K1509" t="s">
        <v>8154</v>
      </c>
      <c r="L1509">
        <v>21</v>
      </c>
      <c r="M1509">
        <v>21</v>
      </c>
      <c r="N1509">
        <v>62269</v>
      </c>
      <c r="O1509">
        <v>1477</v>
      </c>
      <c r="P1509" t="s">
        <v>3213</v>
      </c>
      <c r="Q1509">
        <v>2.9</v>
      </c>
      <c r="R1509">
        <v>65.37</v>
      </c>
      <c r="S1509">
        <v>0.6</v>
      </c>
      <c r="T1509">
        <v>13</v>
      </c>
      <c r="U1509">
        <v>4430356.26841</v>
      </c>
      <c r="V1509">
        <v>12299.866276000001</v>
      </c>
      <c r="W1509">
        <v>1508</v>
      </c>
      <c r="X1509">
        <v>0</v>
      </c>
      <c r="Y1509">
        <v>1507</v>
      </c>
      <c r="Z1509" t="s">
        <v>6966</v>
      </c>
      <c r="AA1509" t="s">
        <v>6966</v>
      </c>
      <c r="AB1509" t="s">
        <v>6966</v>
      </c>
      <c r="AC1509" t="s">
        <v>6966</v>
      </c>
      <c r="AD1509" t="s">
        <v>6966</v>
      </c>
      <c r="AE1509" t="s">
        <v>6966</v>
      </c>
      <c r="AF1509" t="s">
        <v>6966</v>
      </c>
      <c r="AG1509" t="s">
        <v>6966</v>
      </c>
      <c r="AH1509" t="s">
        <v>6966</v>
      </c>
      <c r="AI1509" t="s">
        <v>6966</v>
      </c>
      <c r="AJ1509" t="s">
        <v>6966</v>
      </c>
      <c r="AK1509" t="s">
        <v>6966</v>
      </c>
      <c r="AL1509" t="s">
        <v>6966</v>
      </c>
      <c r="AM1509" t="s">
        <v>6966</v>
      </c>
      <c r="AN1509" t="s">
        <v>6966</v>
      </c>
      <c r="AO1509" t="s">
        <v>6966</v>
      </c>
      <c r="AP1509" t="s">
        <v>6966</v>
      </c>
      <c r="AQ1509" t="s">
        <v>6966</v>
      </c>
      <c r="AR1509" t="s">
        <v>6966</v>
      </c>
      <c r="AS1509" t="s">
        <v>6966</v>
      </c>
      <c r="AT1509" t="s">
        <v>6966</v>
      </c>
      <c r="AU1509" t="s">
        <v>6966</v>
      </c>
      <c r="AV1509" t="s">
        <v>6966</v>
      </c>
      <c r="AW1509" t="s">
        <v>6966</v>
      </c>
      <c r="AX1509" t="s">
        <v>6966</v>
      </c>
      <c r="AY1509" t="s">
        <v>6966</v>
      </c>
      <c r="AZ1509">
        <v>0.12109300000000001</v>
      </c>
      <c r="BA1509">
        <v>4.2900000000000002E-4</v>
      </c>
    </row>
    <row r="1510" spans="1:53" x14ac:dyDescent="0.25">
      <c r="A1510">
        <v>1508</v>
      </c>
      <c r="B1510" t="s">
        <v>7625</v>
      </c>
      <c r="C1510">
        <v>803019</v>
      </c>
      <c r="D1510" t="s">
        <v>1317</v>
      </c>
      <c r="E1510" t="s">
        <v>1267</v>
      </c>
      <c r="F1510">
        <v>1169262</v>
      </c>
      <c r="G1510">
        <v>6420.7495120000003</v>
      </c>
      <c r="H1510">
        <v>1510</v>
      </c>
      <c r="I1510">
        <v>1754</v>
      </c>
      <c r="J1510">
        <v>62283</v>
      </c>
      <c r="K1510" t="s">
        <v>2611</v>
      </c>
      <c r="L1510">
        <v>21</v>
      </c>
      <c r="M1510">
        <v>21</v>
      </c>
      <c r="N1510">
        <v>62283</v>
      </c>
      <c r="O1510">
        <v>1478</v>
      </c>
      <c r="P1510" t="s">
        <v>3213</v>
      </c>
      <c r="Q1510">
        <v>23.2</v>
      </c>
      <c r="R1510">
        <v>186.96</v>
      </c>
      <c r="S1510">
        <v>4.78</v>
      </c>
      <c r="T1510">
        <v>39</v>
      </c>
      <c r="U1510">
        <v>1169261.9735600001</v>
      </c>
      <c r="V1510">
        <v>6420.7503669999996</v>
      </c>
      <c r="W1510">
        <v>1509</v>
      </c>
      <c r="X1510">
        <v>0</v>
      </c>
      <c r="Y1510">
        <v>1508</v>
      </c>
      <c r="Z1510" t="s">
        <v>6966</v>
      </c>
      <c r="AA1510" t="s">
        <v>6966</v>
      </c>
      <c r="AB1510" t="s">
        <v>6966</v>
      </c>
      <c r="AC1510" t="s">
        <v>6966</v>
      </c>
      <c r="AD1510" t="s">
        <v>6966</v>
      </c>
      <c r="AE1510" t="s">
        <v>6966</v>
      </c>
      <c r="AF1510" t="s">
        <v>6966</v>
      </c>
      <c r="AG1510" t="s">
        <v>6966</v>
      </c>
      <c r="AH1510" t="s">
        <v>6966</v>
      </c>
      <c r="AI1510" t="s">
        <v>6966</v>
      </c>
      <c r="AJ1510" t="s">
        <v>6966</v>
      </c>
      <c r="AK1510" t="s">
        <v>6966</v>
      </c>
      <c r="AL1510" t="s">
        <v>6966</v>
      </c>
      <c r="AM1510" t="s">
        <v>6966</v>
      </c>
      <c r="AN1510" t="s">
        <v>6966</v>
      </c>
      <c r="AO1510" t="s">
        <v>6966</v>
      </c>
      <c r="AP1510" t="s">
        <v>6966</v>
      </c>
      <c r="AQ1510" t="s">
        <v>6966</v>
      </c>
      <c r="AR1510" t="s">
        <v>6966</v>
      </c>
      <c r="AS1510" t="s">
        <v>6966</v>
      </c>
      <c r="AT1510" t="s">
        <v>6966</v>
      </c>
      <c r="AU1510" t="s">
        <v>6966</v>
      </c>
      <c r="AV1510" t="s">
        <v>6966</v>
      </c>
      <c r="AW1510" t="s">
        <v>6966</v>
      </c>
      <c r="AX1510" t="s">
        <v>6966</v>
      </c>
      <c r="AY1510" t="s">
        <v>6966</v>
      </c>
      <c r="AZ1510">
        <v>6.4201999999999995E-2</v>
      </c>
      <c r="BA1510">
        <v>1.13E-4</v>
      </c>
    </row>
    <row r="1511" spans="1:53" x14ac:dyDescent="0.25">
      <c r="A1511">
        <v>1509</v>
      </c>
      <c r="B1511" t="s">
        <v>7625</v>
      </c>
      <c r="C1511">
        <v>803001</v>
      </c>
      <c r="D1511" t="s">
        <v>1313</v>
      </c>
      <c r="E1511" t="s">
        <v>1267</v>
      </c>
      <c r="F1511">
        <v>0</v>
      </c>
      <c r="G1511">
        <v>30944.890625</v>
      </c>
      <c r="H1511">
        <v>1511</v>
      </c>
      <c r="I1511">
        <v>1755</v>
      </c>
      <c r="J1511">
        <v>62276</v>
      </c>
      <c r="K1511" t="s">
        <v>2607</v>
      </c>
      <c r="L1511">
        <v>21</v>
      </c>
      <c r="M1511">
        <v>21</v>
      </c>
      <c r="N1511">
        <v>62276</v>
      </c>
      <c r="O1511">
        <v>1479</v>
      </c>
      <c r="P1511" t="s">
        <v>3213</v>
      </c>
      <c r="Q1511">
        <v>6.8</v>
      </c>
      <c r="R1511">
        <v>121.1</v>
      </c>
      <c r="S1511">
        <v>1.66</v>
      </c>
      <c r="T1511">
        <v>30</v>
      </c>
      <c r="U1511">
        <v>0</v>
      </c>
      <c r="V1511">
        <v>30944.891187000001</v>
      </c>
      <c r="W1511">
        <v>1510</v>
      </c>
      <c r="X1511">
        <v>3</v>
      </c>
      <c r="Y1511">
        <v>1509</v>
      </c>
      <c r="Z1511">
        <v>74401</v>
      </c>
      <c r="AA1511" s="76">
        <v>45966</v>
      </c>
      <c r="AB1511">
        <v>2025</v>
      </c>
      <c r="AC1511" t="s">
        <v>7516</v>
      </c>
      <c r="AD1511">
        <v>5</v>
      </c>
      <c r="AE1511" t="s">
        <v>7520</v>
      </c>
      <c r="AF1511" t="s">
        <v>3213</v>
      </c>
      <c r="AG1511" t="s">
        <v>1267</v>
      </c>
      <c r="AH1511" t="s">
        <v>1313</v>
      </c>
      <c r="AI1511" t="s">
        <v>3159</v>
      </c>
      <c r="AJ1511" t="s">
        <v>6966</v>
      </c>
      <c r="AK1511">
        <v>33.29851</v>
      </c>
      <c r="AL1511">
        <v>35.282170000000001</v>
      </c>
      <c r="AM1511" t="s">
        <v>7013</v>
      </c>
      <c r="AN1511" t="s">
        <v>7013</v>
      </c>
      <c r="AO1511" t="s">
        <v>7008</v>
      </c>
      <c r="AP1511" t="s">
        <v>7521</v>
      </c>
      <c r="AQ1511" t="s">
        <v>6998</v>
      </c>
      <c r="AR1511" t="s">
        <v>6999</v>
      </c>
      <c r="AS1511" t="s">
        <v>7000</v>
      </c>
      <c r="AT1511">
        <v>0</v>
      </c>
      <c r="AU1511">
        <v>0</v>
      </c>
      <c r="AV1511" t="s">
        <v>7522</v>
      </c>
      <c r="AW1511" t="s">
        <v>7043</v>
      </c>
      <c r="AX1511" t="s">
        <v>6966</v>
      </c>
      <c r="AY1511" t="s">
        <v>7003</v>
      </c>
      <c r="AZ1511">
        <v>0.305782</v>
      </c>
      <c r="BA1511">
        <v>1.7099999999999999E-3</v>
      </c>
    </row>
    <row r="1512" spans="1:53" x14ac:dyDescent="0.25">
      <c r="A1512">
        <v>1510</v>
      </c>
      <c r="B1512" t="s">
        <v>7625</v>
      </c>
      <c r="C1512">
        <v>803051</v>
      </c>
      <c r="D1512" t="s">
        <v>1318</v>
      </c>
      <c r="E1512" t="s">
        <v>1267</v>
      </c>
      <c r="F1512">
        <v>2400943.5</v>
      </c>
      <c r="G1512">
        <v>10005.995117</v>
      </c>
      <c r="H1512">
        <v>1512</v>
      </c>
      <c r="I1512">
        <v>1756</v>
      </c>
      <c r="J1512">
        <v>62284</v>
      </c>
      <c r="K1512" t="s">
        <v>2612</v>
      </c>
      <c r="L1512">
        <v>21</v>
      </c>
      <c r="M1512">
        <v>21</v>
      </c>
      <c r="N1512">
        <v>62284</v>
      </c>
      <c r="O1512">
        <v>1480</v>
      </c>
      <c r="P1512" t="s">
        <v>3213</v>
      </c>
      <c r="Q1512">
        <v>0</v>
      </c>
      <c r="R1512">
        <v>0</v>
      </c>
      <c r="S1512">
        <v>0.01</v>
      </c>
      <c r="T1512">
        <v>0</v>
      </c>
      <c r="U1512">
        <v>2400943.4213200002</v>
      </c>
      <c r="V1512">
        <v>10005.995181</v>
      </c>
      <c r="W1512">
        <v>1511</v>
      </c>
      <c r="X1512">
        <v>0</v>
      </c>
      <c r="Y1512">
        <v>1510</v>
      </c>
      <c r="Z1512" t="s">
        <v>6966</v>
      </c>
      <c r="AA1512" t="s">
        <v>6966</v>
      </c>
      <c r="AB1512" t="s">
        <v>6966</v>
      </c>
      <c r="AC1512" t="s">
        <v>6966</v>
      </c>
      <c r="AD1512" t="s">
        <v>6966</v>
      </c>
      <c r="AE1512" t="s">
        <v>6966</v>
      </c>
      <c r="AF1512" t="s">
        <v>6966</v>
      </c>
      <c r="AG1512" t="s">
        <v>6966</v>
      </c>
      <c r="AH1512" t="s">
        <v>6966</v>
      </c>
      <c r="AI1512" t="s">
        <v>6966</v>
      </c>
      <c r="AJ1512" t="s">
        <v>6966</v>
      </c>
      <c r="AK1512" t="s">
        <v>6966</v>
      </c>
      <c r="AL1512" t="s">
        <v>6966</v>
      </c>
      <c r="AM1512" t="s">
        <v>6966</v>
      </c>
      <c r="AN1512" t="s">
        <v>6966</v>
      </c>
      <c r="AO1512" t="s">
        <v>6966</v>
      </c>
      <c r="AP1512" t="s">
        <v>6966</v>
      </c>
      <c r="AQ1512" t="s">
        <v>6966</v>
      </c>
      <c r="AR1512" t="s">
        <v>6966</v>
      </c>
      <c r="AS1512" t="s">
        <v>6966</v>
      </c>
      <c r="AT1512" t="s">
        <v>6966</v>
      </c>
      <c r="AU1512" t="s">
        <v>6966</v>
      </c>
      <c r="AV1512" t="s">
        <v>6966</v>
      </c>
      <c r="AW1512" t="s">
        <v>6966</v>
      </c>
      <c r="AX1512" t="s">
        <v>6966</v>
      </c>
      <c r="AY1512" t="s">
        <v>6966</v>
      </c>
      <c r="AZ1512">
        <v>9.8448999999999995E-2</v>
      </c>
      <c r="BA1512">
        <v>2.32E-4</v>
      </c>
    </row>
    <row r="1513" spans="1:53" x14ac:dyDescent="0.25">
      <c r="A1513">
        <v>1511</v>
      </c>
      <c r="B1513" t="s">
        <v>7625</v>
      </c>
      <c r="C1513">
        <v>603012</v>
      </c>
      <c r="D1513" t="s">
        <v>1518</v>
      </c>
      <c r="E1513" t="s">
        <v>1508</v>
      </c>
      <c r="F1513">
        <v>4375168.5</v>
      </c>
      <c r="G1513">
        <v>10795.821289</v>
      </c>
      <c r="H1513">
        <v>1513</v>
      </c>
      <c r="I1513">
        <v>1757</v>
      </c>
      <c r="J1513">
        <v>73167</v>
      </c>
      <c r="K1513" t="s">
        <v>1518</v>
      </c>
      <c r="L1513">
        <v>25</v>
      </c>
      <c r="M1513">
        <v>25</v>
      </c>
      <c r="N1513">
        <v>73167</v>
      </c>
      <c r="O1513">
        <v>1481</v>
      </c>
      <c r="P1513" t="s">
        <v>6965</v>
      </c>
      <c r="Q1513">
        <v>2.6</v>
      </c>
      <c r="R1513">
        <v>53.06</v>
      </c>
      <c r="S1513">
        <v>0.78</v>
      </c>
      <c r="T1513">
        <v>16</v>
      </c>
      <c r="U1513">
        <v>4375168.60078</v>
      </c>
      <c r="V1513">
        <v>10795.82159</v>
      </c>
      <c r="W1513">
        <v>1512</v>
      </c>
      <c r="X1513">
        <v>0</v>
      </c>
      <c r="Y1513">
        <v>1511</v>
      </c>
      <c r="Z1513" t="s">
        <v>6966</v>
      </c>
      <c r="AA1513" t="s">
        <v>6966</v>
      </c>
      <c r="AB1513" t="s">
        <v>6966</v>
      </c>
      <c r="AC1513" t="s">
        <v>6966</v>
      </c>
      <c r="AD1513" t="s">
        <v>6966</v>
      </c>
      <c r="AE1513" t="s">
        <v>6966</v>
      </c>
      <c r="AF1513" t="s">
        <v>6966</v>
      </c>
      <c r="AG1513" t="s">
        <v>6966</v>
      </c>
      <c r="AH1513" t="s">
        <v>6966</v>
      </c>
      <c r="AI1513" t="s">
        <v>6966</v>
      </c>
      <c r="AJ1513" t="s">
        <v>6966</v>
      </c>
      <c r="AK1513" t="s">
        <v>6966</v>
      </c>
      <c r="AL1513" t="s">
        <v>6966</v>
      </c>
      <c r="AM1513" t="s">
        <v>6966</v>
      </c>
      <c r="AN1513" t="s">
        <v>6966</v>
      </c>
      <c r="AO1513" t="s">
        <v>6966</v>
      </c>
      <c r="AP1513" t="s">
        <v>6966</v>
      </c>
      <c r="AQ1513" t="s">
        <v>6966</v>
      </c>
      <c r="AR1513" t="s">
        <v>6966</v>
      </c>
      <c r="AS1513" t="s">
        <v>6966</v>
      </c>
      <c r="AT1513" t="s">
        <v>6966</v>
      </c>
      <c r="AU1513" t="s">
        <v>6966</v>
      </c>
      <c r="AV1513" t="s">
        <v>6966</v>
      </c>
      <c r="AW1513" t="s">
        <v>6966</v>
      </c>
      <c r="AX1513" t="s">
        <v>6966</v>
      </c>
      <c r="AY1513" t="s">
        <v>6966</v>
      </c>
      <c r="AZ1513">
        <v>0.104564</v>
      </c>
      <c r="BA1513">
        <v>4.2299999999999998E-4</v>
      </c>
    </row>
    <row r="1514" spans="1:53" x14ac:dyDescent="0.25">
      <c r="A1514">
        <v>1512</v>
      </c>
      <c r="B1514" t="s">
        <v>7625</v>
      </c>
      <c r="C1514">
        <v>803031</v>
      </c>
      <c r="D1514" t="s">
        <v>1305</v>
      </c>
      <c r="E1514" t="s">
        <v>1267</v>
      </c>
      <c r="F1514">
        <v>3980913.25</v>
      </c>
      <c r="G1514">
        <v>10921.558594</v>
      </c>
      <c r="H1514">
        <v>1514</v>
      </c>
      <c r="I1514">
        <v>1758</v>
      </c>
      <c r="J1514">
        <v>62263</v>
      </c>
      <c r="K1514" t="s">
        <v>2601</v>
      </c>
      <c r="L1514">
        <v>21</v>
      </c>
      <c r="M1514">
        <v>21</v>
      </c>
      <c r="N1514">
        <v>62263</v>
      </c>
      <c r="O1514">
        <v>1482</v>
      </c>
      <c r="P1514" t="s">
        <v>3213</v>
      </c>
      <c r="Q1514">
        <v>8.1999999999999993</v>
      </c>
      <c r="R1514">
        <v>90.64</v>
      </c>
      <c r="S1514">
        <v>2.12</v>
      </c>
      <c r="T1514">
        <v>24</v>
      </c>
      <c r="U1514">
        <v>3980913.1735200002</v>
      </c>
      <c r="V1514">
        <v>10921.559041</v>
      </c>
      <c r="W1514">
        <v>1513</v>
      </c>
      <c r="X1514">
        <v>0</v>
      </c>
      <c r="Y1514">
        <v>1512</v>
      </c>
      <c r="Z1514" t="s">
        <v>6966</v>
      </c>
      <c r="AA1514" t="s">
        <v>6966</v>
      </c>
      <c r="AB1514" t="s">
        <v>6966</v>
      </c>
      <c r="AC1514" t="s">
        <v>6966</v>
      </c>
      <c r="AD1514" t="s">
        <v>6966</v>
      </c>
      <c r="AE1514" t="s">
        <v>6966</v>
      </c>
      <c r="AF1514" t="s">
        <v>6966</v>
      </c>
      <c r="AG1514" t="s">
        <v>6966</v>
      </c>
      <c r="AH1514" t="s">
        <v>6966</v>
      </c>
      <c r="AI1514" t="s">
        <v>6966</v>
      </c>
      <c r="AJ1514" t="s">
        <v>6966</v>
      </c>
      <c r="AK1514" t="s">
        <v>6966</v>
      </c>
      <c r="AL1514" t="s">
        <v>6966</v>
      </c>
      <c r="AM1514" t="s">
        <v>6966</v>
      </c>
      <c r="AN1514" t="s">
        <v>6966</v>
      </c>
      <c r="AO1514" t="s">
        <v>6966</v>
      </c>
      <c r="AP1514" t="s">
        <v>6966</v>
      </c>
      <c r="AQ1514" t="s">
        <v>6966</v>
      </c>
      <c r="AR1514" t="s">
        <v>6966</v>
      </c>
      <c r="AS1514" t="s">
        <v>6966</v>
      </c>
      <c r="AT1514" t="s">
        <v>6966</v>
      </c>
      <c r="AU1514" t="s">
        <v>6966</v>
      </c>
      <c r="AV1514" t="s">
        <v>6966</v>
      </c>
      <c r="AW1514" t="s">
        <v>6966</v>
      </c>
      <c r="AX1514" t="s">
        <v>6966</v>
      </c>
      <c r="AY1514" t="s">
        <v>6966</v>
      </c>
      <c r="AZ1514">
        <v>0.10919</v>
      </c>
      <c r="BA1514">
        <v>3.8499999999999998E-4</v>
      </c>
    </row>
    <row r="1515" spans="1:53" x14ac:dyDescent="0.25">
      <c r="A1515">
        <v>1513</v>
      </c>
      <c r="B1515" t="s">
        <v>7625</v>
      </c>
      <c r="C1515">
        <v>803025</v>
      </c>
      <c r="D1515" t="s">
        <v>1306</v>
      </c>
      <c r="E1515" t="s">
        <v>1267</v>
      </c>
      <c r="F1515">
        <v>7807127.5</v>
      </c>
      <c r="G1515">
        <v>16903.205077999999</v>
      </c>
      <c r="H1515">
        <v>1515</v>
      </c>
      <c r="I1515">
        <v>1759</v>
      </c>
      <c r="J1515">
        <v>62264</v>
      </c>
      <c r="K1515" t="s">
        <v>1306</v>
      </c>
      <c r="L1515">
        <v>21</v>
      </c>
      <c r="M1515">
        <v>21</v>
      </c>
      <c r="N1515">
        <v>62264</v>
      </c>
      <c r="O1515">
        <v>1483</v>
      </c>
      <c r="P1515" t="s">
        <v>3213</v>
      </c>
      <c r="Q1515">
        <v>2.1</v>
      </c>
      <c r="R1515">
        <v>26.47</v>
      </c>
      <c r="S1515">
        <v>1.08</v>
      </c>
      <c r="T1515">
        <v>14</v>
      </c>
      <c r="U1515">
        <v>7807127.4205900002</v>
      </c>
      <c r="V1515">
        <v>16903.205043000002</v>
      </c>
      <c r="W1515">
        <v>1514</v>
      </c>
      <c r="X1515">
        <v>0</v>
      </c>
      <c r="Y1515">
        <v>1513</v>
      </c>
      <c r="Z1515" t="s">
        <v>6966</v>
      </c>
      <c r="AA1515" t="s">
        <v>6966</v>
      </c>
      <c r="AB1515" t="s">
        <v>6966</v>
      </c>
      <c r="AC1515" t="s">
        <v>6966</v>
      </c>
      <c r="AD1515" t="s">
        <v>6966</v>
      </c>
      <c r="AE1515" t="s">
        <v>6966</v>
      </c>
      <c r="AF1515" t="s">
        <v>6966</v>
      </c>
      <c r="AG1515" t="s">
        <v>6966</v>
      </c>
      <c r="AH1515" t="s">
        <v>6966</v>
      </c>
      <c r="AI1515" t="s">
        <v>6966</v>
      </c>
      <c r="AJ1515" t="s">
        <v>6966</v>
      </c>
      <c r="AK1515" t="s">
        <v>6966</v>
      </c>
      <c r="AL1515" t="s">
        <v>6966</v>
      </c>
      <c r="AM1515" t="s">
        <v>6966</v>
      </c>
      <c r="AN1515" t="s">
        <v>6966</v>
      </c>
      <c r="AO1515" t="s">
        <v>6966</v>
      </c>
      <c r="AP1515" t="s">
        <v>6966</v>
      </c>
      <c r="AQ1515" t="s">
        <v>6966</v>
      </c>
      <c r="AR1515" t="s">
        <v>6966</v>
      </c>
      <c r="AS1515" t="s">
        <v>6966</v>
      </c>
      <c r="AT1515" t="s">
        <v>6966</v>
      </c>
      <c r="AU1515" t="s">
        <v>6966</v>
      </c>
      <c r="AV1515" t="s">
        <v>6966</v>
      </c>
      <c r="AW1515" t="s">
        <v>6966</v>
      </c>
      <c r="AX1515" t="s">
        <v>6966</v>
      </c>
      <c r="AY1515" t="s">
        <v>6966</v>
      </c>
      <c r="AZ1515">
        <v>0.166131</v>
      </c>
      <c r="BA1515">
        <v>7.5500000000000003E-4</v>
      </c>
    </row>
    <row r="1516" spans="1:53" x14ac:dyDescent="0.25">
      <c r="A1516">
        <v>1514</v>
      </c>
      <c r="B1516" t="s">
        <v>7625</v>
      </c>
      <c r="C1516">
        <v>603004</v>
      </c>
      <c r="D1516" t="s">
        <v>1540</v>
      </c>
      <c r="E1516" t="s">
        <v>1508</v>
      </c>
      <c r="F1516">
        <v>6868536.5</v>
      </c>
      <c r="G1516">
        <v>14336.324219</v>
      </c>
      <c r="H1516">
        <v>1516</v>
      </c>
      <c r="I1516">
        <v>1760</v>
      </c>
      <c r="J1516">
        <v>73293</v>
      </c>
      <c r="K1516" t="s">
        <v>1731</v>
      </c>
      <c r="L1516">
        <v>25</v>
      </c>
      <c r="M1516">
        <v>25</v>
      </c>
      <c r="N1516">
        <v>73293</v>
      </c>
      <c r="O1516">
        <v>1484</v>
      </c>
      <c r="P1516" t="s">
        <v>6965</v>
      </c>
      <c r="Q1516">
        <v>0</v>
      </c>
      <c r="R1516">
        <v>0</v>
      </c>
      <c r="S1516">
        <v>0</v>
      </c>
      <c r="T1516">
        <v>0</v>
      </c>
      <c r="U1516">
        <v>6868536.5521400003</v>
      </c>
      <c r="V1516">
        <v>14336.323651999999</v>
      </c>
      <c r="W1516">
        <v>1515</v>
      </c>
      <c r="X1516">
        <v>0</v>
      </c>
      <c r="Y1516">
        <v>1514</v>
      </c>
      <c r="Z1516" t="s">
        <v>6966</v>
      </c>
      <c r="AA1516" t="s">
        <v>6966</v>
      </c>
      <c r="AB1516" t="s">
        <v>6966</v>
      </c>
      <c r="AC1516" t="s">
        <v>6966</v>
      </c>
      <c r="AD1516" t="s">
        <v>6966</v>
      </c>
      <c r="AE1516" t="s">
        <v>6966</v>
      </c>
      <c r="AF1516" t="s">
        <v>6966</v>
      </c>
      <c r="AG1516" t="s">
        <v>6966</v>
      </c>
      <c r="AH1516" t="s">
        <v>6966</v>
      </c>
      <c r="AI1516" t="s">
        <v>6966</v>
      </c>
      <c r="AJ1516" t="s">
        <v>6966</v>
      </c>
      <c r="AK1516" t="s">
        <v>6966</v>
      </c>
      <c r="AL1516" t="s">
        <v>6966</v>
      </c>
      <c r="AM1516" t="s">
        <v>6966</v>
      </c>
      <c r="AN1516" t="s">
        <v>6966</v>
      </c>
      <c r="AO1516" t="s">
        <v>6966</v>
      </c>
      <c r="AP1516" t="s">
        <v>6966</v>
      </c>
      <c r="AQ1516" t="s">
        <v>6966</v>
      </c>
      <c r="AR1516" t="s">
        <v>6966</v>
      </c>
      <c r="AS1516" t="s">
        <v>6966</v>
      </c>
      <c r="AT1516" t="s">
        <v>6966</v>
      </c>
      <c r="AU1516" t="s">
        <v>6966</v>
      </c>
      <c r="AV1516" t="s">
        <v>6966</v>
      </c>
      <c r="AW1516" t="s">
        <v>6966</v>
      </c>
      <c r="AX1516" t="s">
        <v>6966</v>
      </c>
      <c r="AY1516" t="s">
        <v>6966</v>
      </c>
      <c r="AZ1516">
        <v>0.144928</v>
      </c>
      <c r="BA1516">
        <v>6.6500000000000001E-4</v>
      </c>
    </row>
    <row r="1517" spans="1:53" x14ac:dyDescent="0.25">
      <c r="A1517">
        <v>1515</v>
      </c>
      <c r="B1517" t="s">
        <v>7625</v>
      </c>
      <c r="C1517">
        <v>601014</v>
      </c>
      <c r="D1517" t="s">
        <v>1502</v>
      </c>
      <c r="E1517" t="s">
        <v>8155</v>
      </c>
      <c r="F1517">
        <v>5278576.5</v>
      </c>
      <c r="G1517">
        <v>13234.383789</v>
      </c>
      <c r="H1517">
        <v>1517</v>
      </c>
      <c r="I1517">
        <v>1761</v>
      </c>
      <c r="J1517">
        <v>72276</v>
      </c>
      <c r="K1517" t="s">
        <v>2759</v>
      </c>
      <c r="L1517">
        <v>24</v>
      </c>
      <c r="M1517">
        <v>21</v>
      </c>
      <c r="N1517">
        <v>72276</v>
      </c>
      <c r="O1517">
        <v>1485</v>
      </c>
      <c r="P1517" t="s">
        <v>6965</v>
      </c>
      <c r="Q1517">
        <v>1.6</v>
      </c>
      <c r="R1517">
        <v>40.01</v>
      </c>
      <c r="S1517">
        <v>0.39</v>
      </c>
      <c r="T1517">
        <v>10</v>
      </c>
      <c r="U1517">
        <v>5278576.6478000004</v>
      </c>
      <c r="V1517">
        <v>13234.383814999999</v>
      </c>
      <c r="W1517">
        <v>1516</v>
      </c>
      <c r="X1517">
        <v>0</v>
      </c>
      <c r="Y1517">
        <v>1515</v>
      </c>
      <c r="Z1517" t="s">
        <v>6966</v>
      </c>
      <c r="AA1517" t="s">
        <v>6966</v>
      </c>
      <c r="AB1517" t="s">
        <v>6966</v>
      </c>
      <c r="AC1517" t="s">
        <v>6966</v>
      </c>
      <c r="AD1517" t="s">
        <v>6966</v>
      </c>
      <c r="AE1517" t="s">
        <v>6966</v>
      </c>
      <c r="AF1517" t="s">
        <v>6966</v>
      </c>
      <c r="AG1517" t="s">
        <v>6966</v>
      </c>
      <c r="AH1517" t="s">
        <v>6966</v>
      </c>
      <c r="AI1517" t="s">
        <v>6966</v>
      </c>
      <c r="AJ1517" t="s">
        <v>6966</v>
      </c>
      <c r="AK1517" t="s">
        <v>6966</v>
      </c>
      <c r="AL1517" t="s">
        <v>6966</v>
      </c>
      <c r="AM1517" t="s">
        <v>6966</v>
      </c>
      <c r="AN1517" t="s">
        <v>6966</v>
      </c>
      <c r="AO1517" t="s">
        <v>6966</v>
      </c>
      <c r="AP1517" t="s">
        <v>6966</v>
      </c>
      <c r="AQ1517" t="s">
        <v>6966</v>
      </c>
      <c r="AR1517" t="s">
        <v>6966</v>
      </c>
      <c r="AS1517" t="s">
        <v>6966</v>
      </c>
      <c r="AT1517" t="s">
        <v>6966</v>
      </c>
      <c r="AU1517" t="s">
        <v>6966</v>
      </c>
      <c r="AV1517" t="s">
        <v>6966</v>
      </c>
      <c r="AW1517" t="s">
        <v>6966</v>
      </c>
      <c r="AX1517" t="s">
        <v>6966</v>
      </c>
      <c r="AY1517" t="s">
        <v>6966</v>
      </c>
      <c r="AZ1517">
        <v>0.129965</v>
      </c>
      <c r="BA1517">
        <v>5.1099999999999995E-4</v>
      </c>
    </row>
    <row r="1518" spans="1:53" x14ac:dyDescent="0.25">
      <c r="A1518">
        <v>1516</v>
      </c>
      <c r="B1518" t="s">
        <v>7625</v>
      </c>
      <c r="C1518">
        <v>603003</v>
      </c>
      <c r="D1518" t="s">
        <v>1517</v>
      </c>
      <c r="E1518" t="s">
        <v>1508</v>
      </c>
      <c r="F1518">
        <v>4821432</v>
      </c>
      <c r="G1518">
        <v>11583.229492</v>
      </c>
      <c r="H1518">
        <v>1518</v>
      </c>
      <c r="I1518">
        <v>1762</v>
      </c>
      <c r="J1518">
        <v>73162</v>
      </c>
      <c r="K1518" t="s">
        <v>2769</v>
      </c>
      <c r="L1518">
        <v>25</v>
      </c>
      <c r="M1518">
        <v>25</v>
      </c>
      <c r="N1518">
        <v>73162</v>
      </c>
      <c r="O1518">
        <v>1486</v>
      </c>
      <c r="P1518" t="s">
        <v>6965</v>
      </c>
      <c r="Q1518">
        <v>0</v>
      </c>
      <c r="R1518">
        <v>0</v>
      </c>
      <c r="S1518">
        <v>0.04</v>
      </c>
      <c r="T1518">
        <v>12</v>
      </c>
      <c r="U1518">
        <v>4821431.8484300002</v>
      </c>
      <c r="V1518">
        <v>11583.229947</v>
      </c>
      <c r="W1518">
        <v>1517</v>
      </c>
      <c r="X1518">
        <v>0</v>
      </c>
      <c r="Y1518">
        <v>1516</v>
      </c>
      <c r="Z1518" t="s">
        <v>6966</v>
      </c>
      <c r="AA1518" t="s">
        <v>6966</v>
      </c>
      <c r="AB1518" t="s">
        <v>6966</v>
      </c>
      <c r="AC1518" t="s">
        <v>6966</v>
      </c>
      <c r="AD1518" t="s">
        <v>6966</v>
      </c>
      <c r="AE1518" t="s">
        <v>6966</v>
      </c>
      <c r="AF1518" t="s">
        <v>6966</v>
      </c>
      <c r="AG1518" t="s">
        <v>6966</v>
      </c>
      <c r="AH1518" t="s">
        <v>6966</v>
      </c>
      <c r="AI1518" t="s">
        <v>6966</v>
      </c>
      <c r="AJ1518" t="s">
        <v>6966</v>
      </c>
      <c r="AK1518" t="s">
        <v>6966</v>
      </c>
      <c r="AL1518" t="s">
        <v>6966</v>
      </c>
      <c r="AM1518" t="s">
        <v>6966</v>
      </c>
      <c r="AN1518" t="s">
        <v>6966</v>
      </c>
      <c r="AO1518" t="s">
        <v>6966</v>
      </c>
      <c r="AP1518" t="s">
        <v>6966</v>
      </c>
      <c r="AQ1518" t="s">
        <v>6966</v>
      </c>
      <c r="AR1518" t="s">
        <v>6966</v>
      </c>
      <c r="AS1518" t="s">
        <v>6966</v>
      </c>
      <c r="AT1518" t="s">
        <v>6966</v>
      </c>
      <c r="AU1518" t="s">
        <v>6966</v>
      </c>
      <c r="AV1518" t="s">
        <v>6966</v>
      </c>
      <c r="AW1518" t="s">
        <v>6966</v>
      </c>
      <c r="AX1518" t="s">
        <v>6966</v>
      </c>
      <c r="AY1518" t="s">
        <v>6966</v>
      </c>
      <c r="AZ1518">
        <v>0.113589</v>
      </c>
      <c r="BA1518">
        <v>4.6700000000000002E-4</v>
      </c>
    </row>
    <row r="1519" spans="1:53" x14ac:dyDescent="0.25">
      <c r="A1519">
        <v>1517</v>
      </c>
      <c r="B1519" t="s">
        <v>7625</v>
      </c>
      <c r="C1519">
        <v>803054</v>
      </c>
      <c r="D1519" t="s">
        <v>1316</v>
      </c>
      <c r="E1519" t="s">
        <v>1267</v>
      </c>
      <c r="F1519">
        <v>2646536.75</v>
      </c>
      <c r="G1519">
        <v>8735.5605469999991</v>
      </c>
      <c r="H1519">
        <v>1519</v>
      </c>
      <c r="I1519">
        <v>1763</v>
      </c>
      <c r="J1519">
        <v>62281</v>
      </c>
      <c r="K1519" t="s">
        <v>2610</v>
      </c>
      <c r="L1519">
        <v>21</v>
      </c>
      <c r="M1519">
        <v>21</v>
      </c>
      <c r="N1519">
        <v>62281</v>
      </c>
      <c r="O1519">
        <v>1487</v>
      </c>
      <c r="P1519" t="s">
        <v>3213</v>
      </c>
      <c r="Q1519">
        <v>0</v>
      </c>
      <c r="R1519">
        <v>0</v>
      </c>
      <c r="S1519">
        <v>0</v>
      </c>
      <c r="T1519">
        <v>0</v>
      </c>
      <c r="U1519">
        <v>2646536.86314</v>
      </c>
      <c r="V1519">
        <v>8735.5608740000007</v>
      </c>
      <c r="W1519">
        <v>1518</v>
      </c>
      <c r="X1519">
        <v>0</v>
      </c>
      <c r="Y1519">
        <v>1517</v>
      </c>
      <c r="Z1519" t="s">
        <v>6966</v>
      </c>
      <c r="AA1519" t="s">
        <v>6966</v>
      </c>
      <c r="AB1519" t="s">
        <v>6966</v>
      </c>
      <c r="AC1519" t="s">
        <v>6966</v>
      </c>
      <c r="AD1519" t="s">
        <v>6966</v>
      </c>
      <c r="AE1519" t="s">
        <v>6966</v>
      </c>
      <c r="AF1519" t="s">
        <v>6966</v>
      </c>
      <c r="AG1519" t="s">
        <v>6966</v>
      </c>
      <c r="AH1519" t="s">
        <v>6966</v>
      </c>
      <c r="AI1519" t="s">
        <v>6966</v>
      </c>
      <c r="AJ1519" t="s">
        <v>6966</v>
      </c>
      <c r="AK1519" t="s">
        <v>6966</v>
      </c>
      <c r="AL1519" t="s">
        <v>6966</v>
      </c>
      <c r="AM1519" t="s">
        <v>6966</v>
      </c>
      <c r="AN1519" t="s">
        <v>6966</v>
      </c>
      <c r="AO1519" t="s">
        <v>6966</v>
      </c>
      <c r="AP1519" t="s">
        <v>6966</v>
      </c>
      <c r="AQ1519" t="s">
        <v>6966</v>
      </c>
      <c r="AR1519" t="s">
        <v>6966</v>
      </c>
      <c r="AS1519" t="s">
        <v>6966</v>
      </c>
      <c r="AT1519" t="s">
        <v>6966</v>
      </c>
      <c r="AU1519" t="s">
        <v>6966</v>
      </c>
      <c r="AV1519" t="s">
        <v>6966</v>
      </c>
      <c r="AW1519" t="s">
        <v>6966</v>
      </c>
      <c r="AX1519" t="s">
        <v>6966</v>
      </c>
      <c r="AY1519" t="s">
        <v>6966</v>
      </c>
      <c r="AZ1519">
        <v>8.5863999999999996E-2</v>
      </c>
      <c r="BA1519">
        <v>2.5599999999999999E-4</v>
      </c>
    </row>
    <row r="1520" spans="1:53" x14ac:dyDescent="0.25">
      <c r="A1520">
        <v>1518</v>
      </c>
      <c r="B1520" t="s">
        <v>7625</v>
      </c>
      <c r="C1520">
        <v>603025</v>
      </c>
      <c r="D1520" t="s">
        <v>1519</v>
      </c>
      <c r="E1520" t="s">
        <v>1508</v>
      </c>
      <c r="F1520">
        <v>3510201.75</v>
      </c>
      <c r="G1520">
        <v>9346.8828130000002</v>
      </c>
      <c r="H1520">
        <v>1520</v>
      </c>
      <c r="I1520">
        <v>1764</v>
      </c>
      <c r="J1520">
        <v>73175</v>
      </c>
      <c r="K1520" t="s">
        <v>2770</v>
      </c>
      <c r="L1520">
        <v>25</v>
      </c>
      <c r="M1520">
        <v>25</v>
      </c>
      <c r="N1520">
        <v>73175</v>
      </c>
      <c r="O1520">
        <v>1488</v>
      </c>
      <c r="P1520" t="s">
        <v>6965</v>
      </c>
      <c r="Q1520">
        <v>0.1</v>
      </c>
      <c r="R1520">
        <v>0</v>
      </c>
      <c r="S1520">
        <v>0.02</v>
      </c>
      <c r="T1520">
        <v>0</v>
      </c>
      <c r="U1520">
        <v>3510201.9352199999</v>
      </c>
      <c r="V1520">
        <v>9346.8831030000001</v>
      </c>
      <c r="W1520">
        <v>1519</v>
      </c>
      <c r="X1520">
        <v>0</v>
      </c>
      <c r="Y1520">
        <v>1518</v>
      </c>
      <c r="Z1520" t="s">
        <v>6966</v>
      </c>
      <c r="AA1520" t="s">
        <v>6966</v>
      </c>
      <c r="AB1520" t="s">
        <v>6966</v>
      </c>
      <c r="AC1520" t="s">
        <v>6966</v>
      </c>
      <c r="AD1520" t="s">
        <v>6966</v>
      </c>
      <c r="AE1520" t="s">
        <v>6966</v>
      </c>
      <c r="AF1520" t="s">
        <v>6966</v>
      </c>
      <c r="AG1520" t="s">
        <v>6966</v>
      </c>
      <c r="AH1520" t="s">
        <v>6966</v>
      </c>
      <c r="AI1520" t="s">
        <v>6966</v>
      </c>
      <c r="AJ1520" t="s">
        <v>6966</v>
      </c>
      <c r="AK1520" t="s">
        <v>6966</v>
      </c>
      <c r="AL1520" t="s">
        <v>6966</v>
      </c>
      <c r="AM1520" t="s">
        <v>6966</v>
      </c>
      <c r="AN1520" t="s">
        <v>6966</v>
      </c>
      <c r="AO1520" t="s">
        <v>6966</v>
      </c>
      <c r="AP1520" t="s">
        <v>6966</v>
      </c>
      <c r="AQ1520" t="s">
        <v>6966</v>
      </c>
      <c r="AR1520" t="s">
        <v>6966</v>
      </c>
      <c r="AS1520" t="s">
        <v>6966</v>
      </c>
      <c r="AT1520" t="s">
        <v>6966</v>
      </c>
      <c r="AU1520" t="s">
        <v>6966</v>
      </c>
      <c r="AV1520" t="s">
        <v>6966</v>
      </c>
      <c r="AW1520" t="s">
        <v>6966</v>
      </c>
      <c r="AX1520" t="s">
        <v>6966</v>
      </c>
      <c r="AY1520" t="s">
        <v>6966</v>
      </c>
      <c r="AZ1520">
        <v>9.1332999999999998E-2</v>
      </c>
      <c r="BA1520">
        <v>3.4000000000000002E-4</v>
      </c>
    </row>
    <row r="1521" spans="1:53" x14ac:dyDescent="0.25">
      <c r="A1521">
        <v>1519</v>
      </c>
      <c r="B1521" t="s">
        <v>7625</v>
      </c>
      <c r="C1521">
        <v>803038</v>
      </c>
      <c r="D1521" t="s">
        <v>1293</v>
      </c>
      <c r="E1521" t="s">
        <v>1267</v>
      </c>
      <c r="F1521">
        <v>1548863.25</v>
      </c>
      <c r="G1521">
        <v>5602.4882809999999</v>
      </c>
      <c r="H1521">
        <v>1521</v>
      </c>
      <c r="I1521">
        <v>1765</v>
      </c>
      <c r="J1521">
        <v>62244</v>
      </c>
      <c r="K1521" t="s">
        <v>8156</v>
      </c>
      <c r="L1521">
        <v>21</v>
      </c>
      <c r="M1521">
        <v>21</v>
      </c>
      <c r="N1521">
        <v>62244</v>
      </c>
      <c r="O1521">
        <v>1489</v>
      </c>
      <c r="P1521" t="s">
        <v>3213</v>
      </c>
      <c r="Q1521">
        <v>3.8</v>
      </c>
      <c r="R1521">
        <v>25.96</v>
      </c>
      <c r="S1521">
        <v>0.76</v>
      </c>
      <c r="T1521">
        <v>5</v>
      </c>
      <c r="U1521">
        <v>1548863.31109</v>
      </c>
      <c r="V1521">
        <v>5602.4881939999996</v>
      </c>
      <c r="W1521">
        <v>1520</v>
      </c>
      <c r="X1521">
        <v>0</v>
      </c>
      <c r="Y1521">
        <v>1519</v>
      </c>
      <c r="Z1521" t="s">
        <v>6966</v>
      </c>
      <c r="AA1521" t="s">
        <v>6966</v>
      </c>
      <c r="AB1521" t="s">
        <v>6966</v>
      </c>
      <c r="AC1521" t="s">
        <v>6966</v>
      </c>
      <c r="AD1521" t="s">
        <v>6966</v>
      </c>
      <c r="AE1521" t="s">
        <v>6966</v>
      </c>
      <c r="AF1521" t="s">
        <v>6966</v>
      </c>
      <c r="AG1521" t="s">
        <v>6966</v>
      </c>
      <c r="AH1521" t="s">
        <v>6966</v>
      </c>
      <c r="AI1521" t="s">
        <v>6966</v>
      </c>
      <c r="AJ1521" t="s">
        <v>6966</v>
      </c>
      <c r="AK1521" t="s">
        <v>6966</v>
      </c>
      <c r="AL1521" t="s">
        <v>6966</v>
      </c>
      <c r="AM1521" t="s">
        <v>6966</v>
      </c>
      <c r="AN1521" t="s">
        <v>6966</v>
      </c>
      <c r="AO1521" t="s">
        <v>6966</v>
      </c>
      <c r="AP1521" t="s">
        <v>6966</v>
      </c>
      <c r="AQ1521" t="s">
        <v>6966</v>
      </c>
      <c r="AR1521" t="s">
        <v>6966</v>
      </c>
      <c r="AS1521" t="s">
        <v>6966</v>
      </c>
      <c r="AT1521" t="s">
        <v>6966</v>
      </c>
      <c r="AU1521" t="s">
        <v>6966</v>
      </c>
      <c r="AV1521" t="s">
        <v>6966</v>
      </c>
      <c r="AW1521" t="s">
        <v>6966</v>
      </c>
      <c r="AX1521" t="s">
        <v>6966</v>
      </c>
      <c r="AY1521" t="s">
        <v>6966</v>
      </c>
      <c r="AZ1521">
        <v>5.6649999999999999E-2</v>
      </c>
      <c r="BA1521">
        <v>1.4999999999999999E-4</v>
      </c>
    </row>
    <row r="1522" spans="1:53" x14ac:dyDescent="0.25">
      <c r="A1522">
        <v>1520</v>
      </c>
      <c r="B1522" t="s">
        <v>7625</v>
      </c>
      <c r="C1522">
        <v>603016</v>
      </c>
      <c r="D1522" t="s">
        <v>1520</v>
      </c>
      <c r="E1522" t="s">
        <v>1508</v>
      </c>
      <c r="F1522">
        <v>1881600.5</v>
      </c>
      <c r="G1522">
        <v>6389.560547</v>
      </c>
      <c r="H1522">
        <v>1522</v>
      </c>
      <c r="I1522">
        <v>1766</v>
      </c>
      <c r="J1522">
        <v>73183</v>
      </c>
      <c r="K1522" t="s">
        <v>1520</v>
      </c>
      <c r="L1522">
        <v>25</v>
      </c>
      <c r="M1522">
        <v>25</v>
      </c>
      <c r="N1522">
        <v>73183</v>
      </c>
      <c r="O1522">
        <v>1490</v>
      </c>
      <c r="P1522" t="s">
        <v>6965</v>
      </c>
      <c r="Q1522">
        <v>0.4</v>
      </c>
      <c r="R1522">
        <v>7.94</v>
      </c>
      <c r="S1522">
        <v>0.09</v>
      </c>
      <c r="T1522">
        <v>2</v>
      </c>
      <c r="U1522">
        <v>1881600.35521</v>
      </c>
      <c r="V1522">
        <v>6389.5603689999998</v>
      </c>
      <c r="W1522">
        <v>1521</v>
      </c>
      <c r="X1522">
        <v>0</v>
      </c>
      <c r="Y1522">
        <v>1520</v>
      </c>
      <c r="Z1522" t="s">
        <v>6966</v>
      </c>
      <c r="AA1522" t="s">
        <v>6966</v>
      </c>
      <c r="AB1522" t="s">
        <v>6966</v>
      </c>
      <c r="AC1522" t="s">
        <v>6966</v>
      </c>
      <c r="AD1522" t="s">
        <v>6966</v>
      </c>
      <c r="AE1522" t="s">
        <v>6966</v>
      </c>
      <c r="AF1522" t="s">
        <v>6966</v>
      </c>
      <c r="AG1522" t="s">
        <v>6966</v>
      </c>
      <c r="AH1522" t="s">
        <v>6966</v>
      </c>
      <c r="AI1522" t="s">
        <v>6966</v>
      </c>
      <c r="AJ1522" t="s">
        <v>6966</v>
      </c>
      <c r="AK1522" t="s">
        <v>6966</v>
      </c>
      <c r="AL1522" t="s">
        <v>6966</v>
      </c>
      <c r="AM1522" t="s">
        <v>6966</v>
      </c>
      <c r="AN1522" t="s">
        <v>6966</v>
      </c>
      <c r="AO1522" t="s">
        <v>6966</v>
      </c>
      <c r="AP1522" t="s">
        <v>6966</v>
      </c>
      <c r="AQ1522" t="s">
        <v>6966</v>
      </c>
      <c r="AR1522" t="s">
        <v>6966</v>
      </c>
      <c r="AS1522" t="s">
        <v>6966</v>
      </c>
      <c r="AT1522" t="s">
        <v>6966</v>
      </c>
      <c r="AU1522" t="s">
        <v>6966</v>
      </c>
      <c r="AV1522" t="s">
        <v>6966</v>
      </c>
      <c r="AW1522" t="s">
        <v>6966</v>
      </c>
      <c r="AX1522" t="s">
        <v>6966</v>
      </c>
      <c r="AY1522" t="s">
        <v>6966</v>
      </c>
      <c r="AZ1522">
        <v>6.2718999999999997E-2</v>
      </c>
      <c r="BA1522">
        <v>1.8200000000000001E-4</v>
      </c>
    </row>
    <row r="1523" spans="1:53" x14ac:dyDescent="0.25">
      <c r="A1523">
        <v>1521</v>
      </c>
      <c r="B1523" t="s">
        <v>7625</v>
      </c>
      <c r="C1523">
        <v>603013</v>
      </c>
      <c r="D1523" t="s">
        <v>1525</v>
      </c>
      <c r="E1523" t="s">
        <v>1508</v>
      </c>
      <c r="F1523">
        <v>5877270</v>
      </c>
      <c r="G1523">
        <v>12781.556640999999</v>
      </c>
      <c r="H1523">
        <v>1523</v>
      </c>
      <c r="I1523">
        <v>1767</v>
      </c>
      <c r="J1523">
        <v>73230</v>
      </c>
      <c r="K1523" t="s">
        <v>8157</v>
      </c>
      <c r="L1523">
        <v>25</v>
      </c>
      <c r="M1523">
        <v>25</v>
      </c>
      <c r="N1523">
        <v>73230</v>
      </c>
      <c r="O1523">
        <v>1491</v>
      </c>
      <c r="P1523" t="s">
        <v>6965</v>
      </c>
      <c r="Q1523">
        <v>1.2</v>
      </c>
      <c r="R1523">
        <v>67.06</v>
      </c>
      <c r="S1523">
        <v>0.23</v>
      </c>
      <c r="T1523">
        <v>13</v>
      </c>
      <c r="U1523">
        <v>5877269.7238600003</v>
      </c>
      <c r="V1523">
        <v>12781.556409000001</v>
      </c>
      <c r="W1523">
        <v>1522</v>
      </c>
      <c r="X1523">
        <v>1</v>
      </c>
      <c r="Y1523">
        <v>1521</v>
      </c>
      <c r="Z1523">
        <v>73086</v>
      </c>
      <c r="AA1523" s="76">
        <v>45950</v>
      </c>
      <c r="AB1523">
        <v>2025</v>
      </c>
      <c r="AC1523" t="s">
        <v>7473</v>
      </c>
      <c r="AD1523">
        <v>20</v>
      </c>
      <c r="AE1523" t="s">
        <v>7507</v>
      </c>
      <c r="AF1523" t="s">
        <v>3218</v>
      </c>
      <c r="AG1523" t="s">
        <v>1508</v>
      </c>
      <c r="AH1523" t="s">
        <v>1525</v>
      </c>
      <c r="AI1523" t="s">
        <v>1525</v>
      </c>
      <c r="AJ1523" t="s">
        <v>6966</v>
      </c>
      <c r="AK1523">
        <v>33.291229999999999</v>
      </c>
      <c r="AL1523">
        <v>35.506839999999997</v>
      </c>
      <c r="AM1523" t="s">
        <v>6995</v>
      </c>
      <c r="AN1523" t="s">
        <v>6966</v>
      </c>
      <c r="AO1523" t="s">
        <v>7096</v>
      </c>
      <c r="AP1523" t="s">
        <v>7508</v>
      </c>
      <c r="AQ1523" t="s">
        <v>6998</v>
      </c>
      <c r="AR1523" t="s">
        <v>6999</v>
      </c>
      <c r="AS1523" t="s">
        <v>7000</v>
      </c>
      <c r="AT1523">
        <v>0</v>
      </c>
      <c r="AU1523">
        <v>0</v>
      </c>
      <c r="AV1523" t="s">
        <v>7509</v>
      </c>
      <c r="AW1523" t="s">
        <v>7011</v>
      </c>
      <c r="AX1523" t="s">
        <v>6966</v>
      </c>
      <c r="AY1523" t="s">
        <v>7003</v>
      </c>
      <c r="AZ1523">
        <v>0.13104499999999999</v>
      </c>
      <c r="BA1523">
        <v>5.6899999999999995E-4</v>
      </c>
    </row>
    <row r="1524" spans="1:53" x14ac:dyDescent="0.25">
      <c r="A1524">
        <v>1522</v>
      </c>
      <c r="B1524" t="s">
        <v>7625</v>
      </c>
      <c r="C1524">
        <v>602018</v>
      </c>
      <c r="D1524" t="s">
        <v>8158</v>
      </c>
      <c r="E1524" t="s">
        <v>1541</v>
      </c>
      <c r="F1524">
        <v>0</v>
      </c>
      <c r="G1524">
        <v>15459.257813</v>
      </c>
      <c r="H1524">
        <v>1524</v>
      </c>
      <c r="I1524">
        <v>1768</v>
      </c>
      <c r="J1524">
        <v>74177</v>
      </c>
      <c r="K1524" t="s">
        <v>8159</v>
      </c>
      <c r="L1524">
        <v>26</v>
      </c>
      <c r="M1524">
        <v>26</v>
      </c>
      <c r="N1524">
        <v>74177</v>
      </c>
      <c r="O1524">
        <v>1492</v>
      </c>
      <c r="P1524" t="s">
        <v>6965</v>
      </c>
      <c r="Q1524">
        <v>0</v>
      </c>
      <c r="R1524">
        <v>0</v>
      </c>
      <c r="S1524">
        <v>0</v>
      </c>
      <c r="T1524">
        <v>0</v>
      </c>
      <c r="U1524">
        <v>0</v>
      </c>
      <c r="V1524">
        <v>15459.256981</v>
      </c>
      <c r="W1524">
        <v>1523</v>
      </c>
      <c r="X1524">
        <v>0</v>
      </c>
      <c r="Y1524">
        <v>1522</v>
      </c>
      <c r="Z1524" t="s">
        <v>6966</v>
      </c>
      <c r="AA1524" t="s">
        <v>6966</v>
      </c>
      <c r="AB1524" t="s">
        <v>6966</v>
      </c>
      <c r="AC1524" t="s">
        <v>6966</v>
      </c>
      <c r="AD1524" t="s">
        <v>6966</v>
      </c>
      <c r="AE1524" t="s">
        <v>6966</v>
      </c>
      <c r="AF1524" t="s">
        <v>6966</v>
      </c>
      <c r="AG1524" t="s">
        <v>6966</v>
      </c>
      <c r="AH1524" t="s">
        <v>6966</v>
      </c>
      <c r="AI1524" t="s">
        <v>6966</v>
      </c>
      <c r="AJ1524" t="s">
        <v>6966</v>
      </c>
      <c r="AK1524" t="s">
        <v>6966</v>
      </c>
      <c r="AL1524" t="s">
        <v>6966</v>
      </c>
      <c r="AM1524" t="s">
        <v>6966</v>
      </c>
      <c r="AN1524" t="s">
        <v>6966</v>
      </c>
      <c r="AO1524" t="s">
        <v>6966</v>
      </c>
      <c r="AP1524" t="s">
        <v>6966</v>
      </c>
      <c r="AQ1524" t="s">
        <v>6966</v>
      </c>
      <c r="AR1524" t="s">
        <v>6966</v>
      </c>
      <c r="AS1524" t="s">
        <v>6966</v>
      </c>
      <c r="AT1524" t="s">
        <v>6966</v>
      </c>
      <c r="AU1524" t="s">
        <v>6966</v>
      </c>
      <c r="AV1524" t="s">
        <v>6966</v>
      </c>
      <c r="AW1524" t="s">
        <v>6966</v>
      </c>
      <c r="AX1524" t="s">
        <v>6966</v>
      </c>
      <c r="AY1524" t="s">
        <v>6966</v>
      </c>
      <c r="AZ1524">
        <v>0.156884</v>
      </c>
      <c r="BA1524">
        <v>1.0059999999999999E-3</v>
      </c>
    </row>
    <row r="1525" spans="1:53" x14ac:dyDescent="0.25">
      <c r="A1525">
        <v>1523</v>
      </c>
      <c r="B1525" t="s">
        <v>7625</v>
      </c>
      <c r="C1525">
        <v>803072</v>
      </c>
      <c r="D1525" t="s">
        <v>1304</v>
      </c>
      <c r="E1525" t="s">
        <v>1267</v>
      </c>
      <c r="F1525">
        <v>2034367.875</v>
      </c>
      <c r="G1525">
        <v>9364.2373050000006</v>
      </c>
      <c r="H1525">
        <v>1525</v>
      </c>
      <c r="I1525">
        <v>1769</v>
      </c>
      <c r="J1525">
        <v>62261</v>
      </c>
      <c r="K1525" t="s">
        <v>1304</v>
      </c>
      <c r="L1525">
        <v>21</v>
      </c>
      <c r="M1525">
        <v>21</v>
      </c>
      <c r="N1525">
        <v>62261</v>
      </c>
      <c r="O1525">
        <v>1493</v>
      </c>
      <c r="P1525" t="s">
        <v>3213</v>
      </c>
      <c r="Q1525">
        <v>10.6</v>
      </c>
      <c r="R1525">
        <v>79.400000000000006</v>
      </c>
      <c r="S1525">
        <v>2.1800000000000002</v>
      </c>
      <c r="T1525">
        <v>16</v>
      </c>
      <c r="U1525">
        <v>2034367.8811699999</v>
      </c>
      <c r="V1525">
        <v>9364.2365730000001</v>
      </c>
      <c r="W1525">
        <v>1524</v>
      </c>
      <c r="X1525">
        <v>0</v>
      </c>
      <c r="Y1525">
        <v>1523</v>
      </c>
      <c r="Z1525" t="s">
        <v>6966</v>
      </c>
      <c r="AA1525" t="s">
        <v>6966</v>
      </c>
      <c r="AB1525" t="s">
        <v>6966</v>
      </c>
      <c r="AC1525" t="s">
        <v>6966</v>
      </c>
      <c r="AD1525" t="s">
        <v>6966</v>
      </c>
      <c r="AE1525" t="s">
        <v>6966</v>
      </c>
      <c r="AF1525" t="s">
        <v>6966</v>
      </c>
      <c r="AG1525" t="s">
        <v>6966</v>
      </c>
      <c r="AH1525" t="s">
        <v>6966</v>
      </c>
      <c r="AI1525" t="s">
        <v>6966</v>
      </c>
      <c r="AJ1525" t="s">
        <v>6966</v>
      </c>
      <c r="AK1525" t="s">
        <v>6966</v>
      </c>
      <c r="AL1525" t="s">
        <v>6966</v>
      </c>
      <c r="AM1525" t="s">
        <v>6966</v>
      </c>
      <c r="AN1525" t="s">
        <v>6966</v>
      </c>
      <c r="AO1525" t="s">
        <v>6966</v>
      </c>
      <c r="AP1525" t="s">
        <v>6966</v>
      </c>
      <c r="AQ1525" t="s">
        <v>6966</v>
      </c>
      <c r="AR1525" t="s">
        <v>6966</v>
      </c>
      <c r="AS1525" t="s">
        <v>6966</v>
      </c>
      <c r="AT1525" t="s">
        <v>6966</v>
      </c>
      <c r="AU1525" t="s">
        <v>6966</v>
      </c>
      <c r="AV1525" t="s">
        <v>6966</v>
      </c>
      <c r="AW1525" t="s">
        <v>6966</v>
      </c>
      <c r="AX1525" t="s">
        <v>6966</v>
      </c>
      <c r="AY1525" t="s">
        <v>6966</v>
      </c>
      <c r="AZ1525">
        <v>9.4583E-2</v>
      </c>
      <c r="BA1525">
        <v>1.9699999999999999E-4</v>
      </c>
    </row>
    <row r="1526" spans="1:53" x14ac:dyDescent="0.25">
      <c r="A1526">
        <v>1524</v>
      </c>
      <c r="B1526" t="s">
        <v>7625</v>
      </c>
      <c r="C1526">
        <v>803041</v>
      </c>
      <c r="D1526" t="s">
        <v>1288</v>
      </c>
      <c r="E1526" t="s">
        <v>1267</v>
      </c>
      <c r="F1526">
        <v>2558707.75</v>
      </c>
      <c r="G1526">
        <v>9021.7900389999995</v>
      </c>
      <c r="H1526">
        <v>1526</v>
      </c>
      <c r="I1526">
        <v>1770</v>
      </c>
      <c r="J1526">
        <v>62237</v>
      </c>
      <c r="K1526" t="s">
        <v>1288</v>
      </c>
      <c r="L1526">
        <v>21</v>
      </c>
      <c r="M1526">
        <v>21</v>
      </c>
      <c r="N1526">
        <v>62237</v>
      </c>
      <c r="O1526">
        <v>1494</v>
      </c>
      <c r="P1526" t="s">
        <v>3213</v>
      </c>
      <c r="Q1526">
        <v>2.1</v>
      </c>
      <c r="R1526">
        <v>57.64</v>
      </c>
      <c r="S1526">
        <v>0.61</v>
      </c>
      <c r="T1526">
        <v>17</v>
      </c>
      <c r="U1526">
        <v>2558707.68029</v>
      </c>
      <c r="V1526">
        <v>9021.7908769999995</v>
      </c>
      <c r="W1526">
        <v>1525</v>
      </c>
      <c r="X1526">
        <v>0</v>
      </c>
      <c r="Y1526">
        <v>1524</v>
      </c>
      <c r="Z1526" t="s">
        <v>6966</v>
      </c>
      <c r="AA1526" t="s">
        <v>6966</v>
      </c>
      <c r="AB1526" t="s">
        <v>6966</v>
      </c>
      <c r="AC1526" t="s">
        <v>6966</v>
      </c>
      <c r="AD1526" t="s">
        <v>6966</v>
      </c>
      <c r="AE1526" t="s">
        <v>6966</v>
      </c>
      <c r="AF1526" t="s">
        <v>6966</v>
      </c>
      <c r="AG1526" t="s">
        <v>6966</v>
      </c>
      <c r="AH1526" t="s">
        <v>6966</v>
      </c>
      <c r="AI1526" t="s">
        <v>6966</v>
      </c>
      <c r="AJ1526" t="s">
        <v>6966</v>
      </c>
      <c r="AK1526" t="s">
        <v>6966</v>
      </c>
      <c r="AL1526" t="s">
        <v>6966</v>
      </c>
      <c r="AM1526" t="s">
        <v>6966</v>
      </c>
      <c r="AN1526" t="s">
        <v>6966</v>
      </c>
      <c r="AO1526" t="s">
        <v>6966</v>
      </c>
      <c r="AP1526" t="s">
        <v>6966</v>
      </c>
      <c r="AQ1526" t="s">
        <v>6966</v>
      </c>
      <c r="AR1526" t="s">
        <v>6966</v>
      </c>
      <c r="AS1526" t="s">
        <v>6966</v>
      </c>
      <c r="AT1526" t="s">
        <v>6966</v>
      </c>
      <c r="AU1526" t="s">
        <v>6966</v>
      </c>
      <c r="AV1526" t="s">
        <v>6966</v>
      </c>
      <c r="AW1526" t="s">
        <v>6966</v>
      </c>
      <c r="AX1526" t="s">
        <v>6966</v>
      </c>
      <c r="AY1526" t="s">
        <v>6966</v>
      </c>
      <c r="AZ1526">
        <v>8.9997999999999995E-2</v>
      </c>
      <c r="BA1526">
        <v>2.4800000000000001E-4</v>
      </c>
    </row>
    <row r="1527" spans="1:53" x14ac:dyDescent="0.25">
      <c r="A1527">
        <v>1525</v>
      </c>
      <c r="B1527" t="s">
        <v>7625</v>
      </c>
      <c r="C1527">
        <v>803047</v>
      </c>
      <c r="D1527" t="s">
        <v>1286</v>
      </c>
      <c r="E1527" t="s">
        <v>1267</v>
      </c>
      <c r="F1527">
        <v>5415262</v>
      </c>
      <c r="G1527">
        <v>14611.477539</v>
      </c>
      <c r="H1527">
        <v>1527</v>
      </c>
      <c r="I1527">
        <v>1771</v>
      </c>
      <c r="J1527">
        <v>62234</v>
      </c>
      <c r="K1527" t="s">
        <v>2587</v>
      </c>
      <c r="L1527">
        <v>21</v>
      </c>
      <c r="M1527">
        <v>21</v>
      </c>
      <c r="N1527">
        <v>62234</v>
      </c>
      <c r="O1527">
        <v>1495</v>
      </c>
      <c r="P1527" t="s">
        <v>3213</v>
      </c>
      <c r="Q1527">
        <v>3.3</v>
      </c>
      <c r="R1527">
        <v>44.83</v>
      </c>
      <c r="S1527">
        <v>0.66</v>
      </c>
      <c r="T1527">
        <v>9</v>
      </c>
      <c r="U1527">
        <v>5415262.2482899996</v>
      </c>
      <c r="V1527">
        <v>14611.478349000001</v>
      </c>
      <c r="W1527">
        <v>1526</v>
      </c>
      <c r="X1527">
        <v>0</v>
      </c>
      <c r="Y1527">
        <v>1525</v>
      </c>
      <c r="Z1527" t="s">
        <v>6966</v>
      </c>
      <c r="AA1527" t="s">
        <v>6966</v>
      </c>
      <c r="AB1527" t="s">
        <v>6966</v>
      </c>
      <c r="AC1527" t="s">
        <v>6966</v>
      </c>
      <c r="AD1527" t="s">
        <v>6966</v>
      </c>
      <c r="AE1527" t="s">
        <v>6966</v>
      </c>
      <c r="AF1527" t="s">
        <v>6966</v>
      </c>
      <c r="AG1527" t="s">
        <v>6966</v>
      </c>
      <c r="AH1527" t="s">
        <v>6966</v>
      </c>
      <c r="AI1527" t="s">
        <v>6966</v>
      </c>
      <c r="AJ1527" t="s">
        <v>6966</v>
      </c>
      <c r="AK1527" t="s">
        <v>6966</v>
      </c>
      <c r="AL1527" t="s">
        <v>6966</v>
      </c>
      <c r="AM1527" t="s">
        <v>6966</v>
      </c>
      <c r="AN1527" t="s">
        <v>6966</v>
      </c>
      <c r="AO1527" t="s">
        <v>6966</v>
      </c>
      <c r="AP1527" t="s">
        <v>6966</v>
      </c>
      <c r="AQ1527" t="s">
        <v>6966</v>
      </c>
      <c r="AR1527" t="s">
        <v>6966</v>
      </c>
      <c r="AS1527" t="s">
        <v>6966</v>
      </c>
      <c r="AT1527" t="s">
        <v>6966</v>
      </c>
      <c r="AU1527" t="s">
        <v>6966</v>
      </c>
      <c r="AV1527" t="s">
        <v>6966</v>
      </c>
      <c r="AW1527" t="s">
        <v>6966</v>
      </c>
      <c r="AX1527" t="s">
        <v>6966</v>
      </c>
      <c r="AY1527" t="s">
        <v>6966</v>
      </c>
      <c r="AZ1527">
        <v>0.14798900000000001</v>
      </c>
      <c r="BA1527">
        <v>5.2400000000000005E-4</v>
      </c>
    </row>
    <row r="1528" spans="1:53" x14ac:dyDescent="0.25">
      <c r="A1528">
        <v>1526</v>
      </c>
      <c r="B1528" t="s">
        <v>7625</v>
      </c>
      <c r="C1528">
        <v>603002</v>
      </c>
      <c r="D1528" t="s">
        <v>1532</v>
      </c>
      <c r="E1528" t="s">
        <v>1508</v>
      </c>
      <c r="F1528">
        <v>0</v>
      </c>
      <c r="G1528">
        <v>26303.001952999999</v>
      </c>
      <c r="H1528">
        <v>1528</v>
      </c>
      <c r="I1528">
        <v>1772</v>
      </c>
      <c r="J1528">
        <v>73256</v>
      </c>
      <c r="K1528" t="s">
        <v>2779</v>
      </c>
      <c r="L1528">
        <v>25</v>
      </c>
      <c r="M1528">
        <v>25</v>
      </c>
      <c r="N1528">
        <v>73256</v>
      </c>
      <c r="O1528">
        <v>1496</v>
      </c>
      <c r="P1528" t="s">
        <v>6965</v>
      </c>
      <c r="Q1528">
        <v>0.3</v>
      </c>
      <c r="R1528">
        <v>23.67</v>
      </c>
      <c r="S1528">
        <v>0.06</v>
      </c>
      <c r="T1528">
        <v>5</v>
      </c>
      <c r="U1528">
        <v>0</v>
      </c>
      <c r="V1528">
        <v>26303.000876999999</v>
      </c>
      <c r="W1528">
        <v>1527</v>
      </c>
      <c r="X1528">
        <v>0</v>
      </c>
      <c r="Y1528">
        <v>1526</v>
      </c>
      <c r="Z1528" t="s">
        <v>6966</v>
      </c>
      <c r="AA1528" t="s">
        <v>6966</v>
      </c>
      <c r="AB1528" t="s">
        <v>6966</v>
      </c>
      <c r="AC1528" t="s">
        <v>6966</v>
      </c>
      <c r="AD1528" t="s">
        <v>6966</v>
      </c>
      <c r="AE1528" t="s">
        <v>6966</v>
      </c>
      <c r="AF1528" t="s">
        <v>6966</v>
      </c>
      <c r="AG1528" t="s">
        <v>6966</v>
      </c>
      <c r="AH1528" t="s">
        <v>6966</v>
      </c>
      <c r="AI1528" t="s">
        <v>6966</v>
      </c>
      <c r="AJ1528" t="s">
        <v>6966</v>
      </c>
      <c r="AK1528" t="s">
        <v>6966</v>
      </c>
      <c r="AL1528" t="s">
        <v>6966</v>
      </c>
      <c r="AM1528" t="s">
        <v>6966</v>
      </c>
      <c r="AN1528" t="s">
        <v>6966</v>
      </c>
      <c r="AO1528" t="s">
        <v>6966</v>
      </c>
      <c r="AP1528" t="s">
        <v>6966</v>
      </c>
      <c r="AQ1528" t="s">
        <v>6966</v>
      </c>
      <c r="AR1528" t="s">
        <v>6966</v>
      </c>
      <c r="AS1528" t="s">
        <v>6966</v>
      </c>
      <c r="AT1528" t="s">
        <v>6966</v>
      </c>
      <c r="AU1528" t="s">
        <v>6966</v>
      </c>
      <c r="AV1528" t="s">
        <v>6966</v>
      </c>
      <c r="AW1528" t="s">
        <v>6966</v>
      </c>
      <c r="AX1528" t="s">
        <v>6966</v>
      </c>
      <c r="AY1528" t="s">
        <v>6966</v>
      </c>
      <c r="AZ1528">
        <v>0.26326100000000002</v>
      </c>
      <c r="BA1528">
        <v>1.474E-3</v>
      </c>
    </row>
    <row r="1529" spans="1:53" x14ac:dyDescent="0.25">
      <c r="A1529">
        <v>1527</v>
      </c>
      <c r="B1529" t="s">
        <v>7625</v>
      </c>
      <c r="C1529">
        <v>603033</v>
      </c>
      <c r="D1529" t="s">
        <v>1526</v>
      </c>
      <c r="E1529" t="s">
        <v>1508</v>
      </c>
      <c r="F1529">
        <v>8120438</v>
      </c>
      <c r="G1529">
        <v>13179.711914</v>
      </c>
      <c r="H1529">
        <v>1529</v>
      </c>
      <c r="I1529">
        <v>1773</v>
      </c>
      <c r="J1529">
        <v>73232</v>
      </c>
      <c r="K1529" t="s">
        <v>8160</v>
      </c>
      <c r="L1529">
        <v>25</v>
      </c>
      <c r="M1529">
        <v>25</v>
      </c>
      <c r="N1529">
        <v>73232</v>
      </c>
      <c r="O1529">
        <v>1497</v>
      </c>
      <c r="P1529" t="s">
        <v>6965</v>
      </c>
      <c r="Q1529">
        <v>4.8</v>
      </c>
      <c r="R1529">
        <v>52.49</v>
      </c>
      <c r="S1529">
        <v>1.01</v>
      </c>
      <c r="T1529">
        <v>11</v>
      </c>
      <c r="U1529">
        <v>8120438.0693899998</v>
      </c>
      <c r="V1529">
        <v>13179.711108</v>
      </c>
      <c r="W1529">
        <v>1528</v>
      </c>
      <c r="X1529">
        <v>1</v>
      </c>
      <c r="Y1529">
        <v>1527</v>
      </c>
      <c r="Z1529">
        <v>75058</v>
      </c>
      <c r="AA1529" s="76">
        <v>45976</v>
      </c>
      <c r="AB1529">
        <v>2025</v>
      </c>
      <c r="AC1529" t="s">
        <v>7516</v>
      </c>
      <c r="AD1529">
        <v>15</v>
      </c>
      <c r="AE1529" t="s">
        <v>7528</v>
      </c>
      <c r="AF1529" t="s">
        <v>3218</v>
      </c>
      <c r="AG1529" t="s">
        <v>1508</v>
      </c>
      <c r="AH1529" t="s">
        <v>1526</v>
      </c>
      <c r="AI1529" t="s">
        <v>7529</v>
      </c>
      <c r="AJ1529" t="s">
        <v>6966</v>
      </c>
      <c r="AK1529">
        <v>33.276269999999997</v>
      </c>
      <c r="AL1529">
        <v>35.519660000000002</v>
      </c>
      <c r="AM1529" t="s">
        <v>7014</v>
      </c>
      <c r="AN1529" t="s">
        <v>6966</v>
      </c>
      <c r="AO1529" t="s">
        <v>7096</v>
      </c>
      <c r="AP1529" t="s">
        <v>7530</v>
      </c>
      <c r="AQ1529" t="s">
        <v>6998</v>
      </c>
      <c r="AR1529" t="s">
        <v>6999</v>
      </c>
      <c r="AS1529" t="s">
        <v>7000</v>
      </c>
      <c r="AT1529">
        <v>0</v>
      </c>
      <c r="AU1529">
        <v>0</v>
      </c>
      <c r="AV1529" t="s">
        <v>7531</v>
      </c>
      <c r="AW1529" t="s">
        <v>7011</v>
      </c>
      <c r="AX1529" t="s">
        <v>6966</v>
      </c>
      <c r="AY1529" t="s">
        <v>7003</v>
      </c>
      <c r="AZ1529">
        <v>0.129436</v>
      </c>
      <c r="BA1529">
        <v>7.8600000000000002E-4</v>
      </c>
    </row>
    <row r="1530" spans="1:53" x14ac:dyDescent="0.25">
      <c r="A1530">
        <v>1528</v>
      </c>
      <c r="B1530" t="s">
        <v>7625</v>
      </c>
      <c r="C1530">
        <v>803015</v>
      </c>
      <c r="D1530" t="s">
        <v>1297</v>
      </c>
      <c r="E1530" t="s">
        <v>1267</v>
      </c>
      <c r="F1530">
        <v>1217689.875</v>
      </c>
      <c r="G1530">
        <v>13024.998046999999</v>
      </c>
      <c r="H1530">
        <v>1530</v>
      </c>
      <c r="I1530">
        <v>1774</v>
      </c>
      <c r="J1530">
        <v>62249</v>
      </c>
      <c r="K1530" t="s">
        <v>2596</v>
      </c>
      <c r="L1530">
        <v>21</v>
      </c>
      <c r="M1530">
        <v>21</v>
      </c>
      <c r="N1530">
        <v>62249</v>
      </c>
      <c r="O1530">
        <v>1498</v>
      </c>
      <c r="P1530" t="s">
        <v>3213</v>
      </c>
      <c r="Q1530">
        <v>1.1000000000000001</v>
      </c>
      <c r="R1530">
        <v>7.67</v>
      </c>
      <c r="S1530">
        <v>0.34</v>
      </c>
      <c r="T1530">
        <v>2</v>
      </c>
      <c r="U1530">
        <v>1217689.8656899999</v>
      </c>
      <c r="V1530">
        <v>13024.997479</v>
      </c>
      <c r="W1530">
        <v>1529</v>
      </c>
      <c r="X1530">
        <v>0</v>
      </c>
      <c r="Y1530">
        <v>1528</v>
      </c>
      <c r="Z1530" t="s">
        <v>6966</v>
      </c>
      <c r="AA1530" t="s">
        <v>6966</v>
      </c>
      <c r="AB1530" t="s">
        <v>6966</v>
      </c>
      <c r="AC1530" t="s">
        <v>6966</v>
      </c>
      <c r="AD1530" t="s">
        <v>6966</v>
      </c>
      <c r="AE1530" t="s">
        <v>6966</v>
      </c>
      <c r="AF1530" t="s">
        <v>6966</v>
      </c>
      <c r="AG1530" t="s">
        <v>6966</v>
      </c>
      <c r="AH1530" t="s">
        <v>6966</v>
      </c>
      <c r="AI1530" t="s">
        <v>6966</v>
      </c>
      <c r="AJ1530" t="s">
        <v>6966</v>
      </c>
      <c r="AK1530" t="s">
        <v>6966</v>
      </c>
      <c r="AL1530" t="s">
        <v>6966</v>
      </c>
      <c r="AM1530" t="s">
        <v>6966</v>
      </c>
      <c r="AN1530" t="s">
        <v>6966</v>
      </c>
      <c r="AO1530" t="s">
        <v>6966</v>
      </c>
      <c r="AP1530" t="s">
        <v>6966</v>
      </c>
      <c r="AQ1530" t="s">
        <v>6966</v>
      </c>
      <c r="AR1530" t="s">
        <v>6966</v>
      </c>
      <c r="AS1530" t="s">
        <v>6966</v>
      </c>
      <c r="AT1530" t="s">
        <v>6966</v>
      </c>
      <c r="AU1530" t="s">
        <v>6966</v>
      </c>
      <c r="AV1530" t="s">
        <v>6966</v>
      </c>
      <c r="AW1530" t="s">
        <v>6966</v>
      </c>
      <c r="AX1530" t="s">
        <v>6966</v>
      </c>
      <c r="AY1530" t="s">
        <v>6966</v>
      </c>
      <c r="AZ1530">
        <v>0.13236100000000001</v>
      </c>
      <c r="BA1530">
        <v>1.18E-4</v>
      </c>
    </row>
    <row r="1531" spans="1:53" x14ac:dyDescent="0.25">
      <c r="A1531">
        <v>1529</v>
      </c>
      <c r="B1531" t="s">
        <v>7625</v>
      </c>
      <c r="C1531">
        <v>803032</v>
      </c>
      <c r="D1531" t="s">
        <v>1289</v>
      </c>
      <c r="E1531" t="s">
        <v>1267</v>
      </c>
      <c r="F1531">
        <v>3755966.75</v>
      </c>
      <c r="G1531">
        <v>20855.357422000001</v>
      </c>
      <c r="H1531">
        <v>1531</v>
      </c>
      <c r="I1531">
        <v>1775</v>
      </c>
      <c r="J1531">
        <v>62239</v>
      </c>
      <c r="K1531" t="s">
        <v>2589</v>
      </c>
      <c r="L1531">
        <v>21</v>
      </c>
      <c r="M1531">
        <v>21</v>
      </c>
      <c r="N1531">
        <v>62239</v>
      </c>
      <c r="O1531">
        <v>1499</v>
      </c>
      <c r="P1531" t="s">
        <v>3213</v>
      </c>
      <c r="Q1531">
        <v>1.5</v>
      </c>
      <c r="R1531">
        <v>38.08</v>
      </c>
      <c r="S1531">
        <v>0.48</v>
      </c>
      <c r="T1531">
        <v>12</v>
      </c>
      <c r="U1531">
        <v>3755966.6952</v>
      </c>
      <c r="V1531">
        <v>20855.357868999999</v>
      </c>
      <c r="W1531">
        <v>1530</v>
      </c>
      <c r="X1531">
        <v>0</v>
      </c>
      <c r="Y1531">
        <v>1529</v>
      </c>
      <c r="Z1531" t="s">
        <v>6966</v>
      </c>
      <c r="AA1531" t="s">
        <v>6966</v>
      </c>
      <c r="AB1531" t="s">
        <v>6966</v>
      </c>
      <c r="AC1531" t="s">
        <v>6966</v>
      </c>
      <c r="AD1531" t="s">
        <v>6966</v>
      </c>
      <c r="AE1531" t="s">
        <v>6966</v>
      </c>
      <c r="AF1531" t="s">
        <v>6966</v>
      </c>
      <c r="AG1531" t="s">
        <v>6966</v>
      </c>
      <c r="AH1531" t="s">
        <v>6966</v>
      </c>
      <c r="AI1531" t="s">
        <v>6966</v>
      </c>
      <c r="AJ1531" t="s">
        <v>6966</v>
      </c>
      <c r="AK1531" t="s">
        <v>6966</v>
      </c>
      <c r="AL1531" t="s">
        <v>6966</v>
      </c>
      <c r="AM1531" t="s">
        <v>6966</v>
      </c>
      <c r="AN1531" t="s">
        <v>6966</v>
      </c>
      <c r="AO1531" t="s">
        <v>6966</v>
      </c>
      <c r="AP1531" t="s">
        <v>6966</v>
      </c>
      <c r="AQ1531" t="s">
        <v>6966</v>
      </c>
      <c r="AR1531" t="s">
        <v>6966</v>
      </c>
      <c r="AS1531" t="s">
        <v>6966</v>
      </c>
      <c r="AT1531" t="s">
        <v>6966</v>
      </c>
      <c r="AU1531" t="s">
        <v>6966</v>
      </c>
      <c r="AV1531" t="s">
        <v>6966</v>
      </c>
      <c r="AW1531" t="s">
        <v>6966</v>
      </c>
      <c r="AX1531" t="s">
        <v>6966</v>
      </c>
      <c r="AY1531" t="s">
        <v>6966</v>
      </c>
      <c r="AZ1531">
        <v>0.20936199999999999</v>
      </c>
      <c r="BA1531">
        <v>3.6299999999999999E-4</v>
      </c>
    </row>
    <row r="1532" spans="1:53" x14ac:dyDescent="0.25">
      <c r="A1532">
        <v>1530</v>
      </c>
      <c r="B1532" t="s">
        <v>7625</v>
      </c>
      <c r="C1532">
        <v>803068</v>
      </c>
      <c r="D1532" t="s">
        <v>8161</v>
      </c>
      <c r="E1532" t="s">
        <v>1267</v>
      </c>
      <c r="F1532">
        <v>5775758.5</v>
      </c>
      <c r="G1532">
        <v>11992.419921999999</v>
      </c>
      <c r="H1532">
        <v>1532</v>
      </c>
      <c r="I1532">
        <v>1776</v>
      </c>
      <c r="J1532">
        <v>62253</v>
      </c>
      <c r="K1532" t="s">
        <v>8162</v>
      </c>
      <c r="L1532">
        <v>21</v>
      </c>
      <c r="M1532">
        <v>21</v>
      </c>
      <c r="N1532">
        <v>62253</v>
      </c>
      <c r="O1532">
        <v>1500</v>
      </c>
      <c r="P1532" t="s">
        <v>3213</v>
      </c>
      <c r="Q1532">
        <v>6.3</v>
      </c>
      <c r="R1532">
        <v>218.67</v>
      </c>
      <c r="S1532">
        <v>1.42</v>
      </c>
      <c r="T1532">
        <v>49</v>
      </c>
      <c r="U1532">
        <v>5775758.3306299997</v>
      </c>
      <c r="V1532">
        <v>11992.419699</v>
      </c>
      <c r="W1532">
        <v>1531</v>
      </c>
      <c r="X1532">
        <v>0</v>
      </c>
      <c r="Y1532">
        <v>1530</v>
      </c>
      <c r="Z1532" t="s">
        <v>6966</v>
      </c>
      <c r="AA1532" t="s">
        <v>6966</v>
      </c>
      <c r="AB1532" t="s">
        <v>6966</v>
      </c>
      <c r="AC1532" t="s">
        <v>6966</v>
      </c>
      <c r="AD1532" t="s">
        <v>6966</v>
      </c>
      <c r="AE1532" t="s">
        <v>6966</v>
      </c>
      <c r="AF1532" t="s">
        <v>6966</v>
      </c>
      <c r="AG1532" t="s">
        <v>6966</v>
      </c>
      <c r="AH1532" t="s">
        <v>6966</v>
      </c>
      <c r="AI1532" t="s">
        <v>6966</v>
      </c>
      <c r="AJ1532" t="s">
        <v>6966</v>
      </c>
      <c r="AK1532" t="s">
        <v>6966</v>
      </c>
      <c r="AL1532" t="s">
        <v>6966</v>
      </c>
      <c r="AM1532" t="s">
        <v>6966</v>
      </c>
      <c r="AN1532" t="s">
        <v>6966</v>
      </c>
      <c r="AO1532" t="s">
        <v>6966</v>
      </c>
      <c r="AP1532" t="s">
        <v>6966</v>
      </c>
      <c r="AQ1532" t="s">
        <v>6966</v>
      </c>
      <c r="AR1532" t="s">
        <v>6966</v>
      </c>
      <c r="AS1532" t="s">
        <v>6966</v>
      </c>
      <c r="AT1532" t="s">
        <v>6966</v>
      </c>
      <c r="AU1532" t="s">
        <v>6966</v>
      </c>
      <c r="AV1532" t="s">
        <v>6966</v>
      </c>
      <c r="AW1532" t="s">
        <v>6966</v>
      </c>
      <c r="AX1532" t="s">
        <v>6966</v>
      </c>
      <c r="AY1532" t="s">
        <v>6966</v>
      </c>
      <c r="AZ1532">
        <v>0.118325</v>
      </c>
      <c r="BA1532">
        <v>5.5900000000000004E-4</v>
      </c>
    </row>
    <row r="1533" spans="1:53" x14ac:dyDescent="0.25">
      <c r="A1533">
        <v>1531</v>
      </c>
      <c r="B1533" t="s">
        <v>7625</v>
      </c>
      <c r="C1533">
        <v>601015</v>
      </c>
      <c r="D1533" t="s">
        <v>1501</v>
      </c>
      <c r="E1533" t="s">
        <v>8155</v>
      </c>
      <c r="F1533">
        <v>5056267.5</v>
      </c>
      <c r="G1533">
        <v>13287.5</v>
      </c>
      <c r="H1533">
        <v>1533</v>
      </c>
      <c r="I1533">
        <v>1777</v>
      </c>
      <c r="J1533">
        <v>72274</v>
      </c>
      <c r="K1533" t="s">
        <v>8163</v>
      </c>
      <c r="L1533">
        <v>24</v>
      </c>
      <c r="M1533">
        <v>24</v>
      </c>
      <c r="N1533">
        <v>72274</v>
      </c>
      <c r="O1533">
        <v>1501</v>
      </c>
      <c r="P1533" t="s">
        <v>6965</v>
      </c>
      <c r="Q1533">
        <v>1.2</v>
      </c>
      <c r="R1533">
        <v>26.38</v>
      </c>
      <c r="S1533">
        <v>0.34</v>
      </c>
      <c r="T1533">
        <v>8</v>
      </c>
      <c r="U1533">
        <v>5056267.65386</v>
      </c>
      <c r="V1533">
        <v>13287.500008999999</v>
      </c>
      <c r="W1533">
        <v>1532</v>
      </c>
      <c r="X1533">
        <v>0</v>
      </c>
      <c r="Y1533">
        <v>1531</v>
      </c>
      <c r="Z1533" t="s">
        <v>6966</v>
      </c>
      <c r="AA1533" t="s">
        <v>6966</v>
      </c>
      <c r="AB1533" t="s">
        <v>6966</v>
      </c>
      <c r="AC1533" t="s">
        <v>6966</v>
      </c>
      <c r="AD1533" t="s">
        <v>6966</v>
      </c>
      <c r="AE1533" t="s">
        <v>6966</v>
      </c>
      <c r="AF1533" t="s">
        <v>6966</v>
      </c>
      <c r="AG1533" t="s">
        <v>6966</v>
      </c>
      <c r="AH1533" t="s">
        <v>6966</v>
      </c>
      <c r="AI1533" t="s">
        <v>6966</v>
      </c>
      <c r="AJ1533" t="s">
        <v>6966</v>
      </c>
      <c r="AK1533" t="s">
        <v>6966</v>
      </c>
      <c r="AL1533" t="s">
        <v>6966</v>
      </c>
      <c r="AM1533" t="s">
        <v>6966</v>
      </c>
      <c r="AN1533" t="s">
        <v>6966</v>
      </c>
      <c r="AO1533" t="s">
        <v>6966</v>
      </c>
      <c r="AP1533" t="s">
        <v>6966</v>
      </c>
      <c r="AQ1533" t="s">
        <v>6966</v>
      </c>
      <c r="AR1533" t="s">
        <v>6966</v>
      </c>
      <c r="AS1533" t="s">
        <v>6966</v>
      </c>
      <c r="AT1533" t="s">
        <v>6966</v>
      </c>
      <c r="AU1533" t="s">
        <v>6966</v>
      </c>
      <c r="AV1533" t="s">
        <v>6966</v>
      </c>
      <c r="AW1533" t="s">
        <v>6966</v>
      </c>
      <c r="AX1533" t="s">
        <v>6966</v>
      </c>
      <c r="AY1533" t="s">
        <v>6966</v>
      </c>
      <c r="AZ1533">
        <v>0.131747</v>
      </c>
      <c r="BA1533">
        <v>4.8899999999999996E-4</v>
      </c>
    </row>
    <row r="1534" spans="1:53" x14ac:dyDescent="0.25">
      <c r="A1534">
        <v>1532</v>
      </c>
      <c r="B1534" t="s">
        <v>7625</v>
      </c>
      <c r="C1534">
        <v>803046</v>
      </c>
      <c r="D1534" t="s">
        <v>8164</v>
      </c>
      <c r="E1534" t="s">
        <v>1267</v>
      </c>
      <c r="F1534">
        <v>9789488</v>
      </c>
      <c r="G1534">
        <v>20964.966797000001</v>
      </c>
      <c r="H1534">
        <v>1534</v>
      </c>
      <c r="I1534">
        <v>1778</v>
      </c>
      <c r="J1534">
        <v>62231</v>
      </c>
      <c r="K1534" t="s">
        <v>8165</v>
      </c>
      <c r="L1534">
        <v>21</v>
      </c>
      <c r="M1534">
        <v>21</v>
      </c>
      <c r="N1534">
        <v>62231</v>
      </c>
      <c r="O1534">
        <v>1502</v>
      </c>
      <c r="P1534" t="s">
        <v>3213</v>
      </c>
      <c r="Q1534">
        <v>7.3</v>
      </c>
      <c r="R1534">
        <v>222.94</v>
      </c>
      <c r="S1534">
        <v>1.53</v>
      </c>
      <c r="T1534">
        <v>47</v>
      </c>
      <c r="U1534">
        <v>9789487.5189299993</v>
      </c>
      <c r="V1534">
        <v>20964.966179999999</v>
      </c>
      <c r="W1534">
        <v>1533</v>
      </c>
      <c r="X1534">
        <v>0</v>
      </c>
      <c r="Y1534">
        <v>1532</v>
      </c>
      <c r="Z1534" t="s">
        <v>6966</v>
      </c>
      <c r="AA1534" t="s">
        <v>6966</v>
      </c>
      <c r="AB1534" t="s">
        <v>6966</v>
      </c>
      <c r="AC1534" t="s">
        <v>6966</v>
      </c>
      <c r="AD1534" t="s">
        <v>6966</v>
      </c>
      <c r="AE1534" t="s">
        <v>6966</v>
      </c>
      <c r="AF1534" t="s">
        <v>6966</v>
      </c>
      <c r="AG1534" t="s">
        <v>6966</v>
      </c>
      <c r="AH1534" t="s">
        <v>6966</v>
      </c>
      <c r="AI1534" t="s">
        <v>6966</v>
      </c>
      <c r="AJ1534" t="s">
        <v>6966</v>
      </c>
      <c r="AK1534" t="s">
        <v>6966</v>
      </c>
      <c r="AL1534" t="s">
        <v>6966</v>
      </c>
      <c r="AM1534" t="s">
        <v>6966</v>
      </c>
      <c r="AN1534" t="s">
        <v>6966</v>
      </c>
      <c r="AO1534" t="s">
        <v>6966</v>
      </c>
      <c r="AP1534" t="s">
        <v>6966</v>
      </c>
      <c r="AQ1534" t="s">
        <v>6966</v>
      </c>
      <c r="AR1534" t="s">
        <v>6966</v>
      </c>
      <c r="AS1534" t="s">
        <v>6966</v>
      </c>
      <c r="AT1534" t="s">
        <v>6966</v>
      </c>
      <c r="AU1534" t="s">
        <v>6966</v>
      </c>
      <c r="AV1534" t="s">
        <v>6966</v>
      </c>
      <c r="AW1534" t="s">
        <v>6966</v>
      </c>
      <c r="AX1534" t="s">
        <v>6966</v>
      </c>
      <c r="AY1534" t="s">
        <v>6966</v>
      </c>
      <c r="AZ1534">
        <v>0.20971100000000001</v>
      </c>
      <c r="BA1534">
        <v>9.4700000000000003E-4</v>
      </c>
    </row>
    <row r="1535" spans="1:53" x14ac:dyDescent="0.25">
      <c r="A1535">
        <v>1533</v>
      </c>
      <c r="B1535" t="s">
        <v>7625</v>
      </c>
      <c r="C1535">
        <v>602023</v>
      </c>
      <c r="D1535" t="s">
        <v>1554</v>
      </c>
      <c r="E1535" t="s">
        <v>1541</v>
      </c>
      <c r="F1535">
        <v>2610157.5</v>
      </c>
      <c r="G1535">
        <v>6991.2001950000003</v>
      </c>
      <c r="H1535">
        <v>1535</v>
      </c>
      <c r="I1535">
        <v>1779</v>
      </c>
      <c r="J1535">
        <v>74141</v>
      </c>
      <c r="K1535" t="s">
        <v>8166</v>
      </c>
      <c r="L1535">
        <v>26</v>
      </c>
      <c r="M1535">
        <v>26</v>
      </c>
      <c r="N1535">
        <v>74141</v>
      </c>
      <c r="O1535">
        <v>1503</v>
      </c>
      <c r="P1535" t="s">
        <v>6965</v>
      </c>
      <c r="Q1535">
        <v>0.7</v>
      </c>
      <c r="R1535">
        <v>9.8000000000000007</v>
      </c>
      <c r="S1535">
        <v>0.17</v>
      </c>
      <c r="T1535">
        <v>3</v>
      </c>
      <c r="U1535">
        <v>2610157.3599200002</v>
      </c>
      <c r="V1535">
        <v>6991.2001140000002</v>
      </c>
      <c r="W1535">
        <v>1534</v>
      </c>
      <c r="X1535">
        <v>0</v>
      </c>
      <c r="Y1535">
        <v>1533</v>
      </c>
      <c r="Z1535" t="s">
        <v>6966</v>
      </c>
      <c r="AA1535" t="s">
        <v>6966</v>
      </c>
      <c r="AB1535" t="s">
        <v>6966</v>
      </c>
      <c r="AC1535" t="s">
        <v>6966</v>
      </c>
      <c r="AD1535" t="s">
        <v>6966</v>
      </c>
      <c r="AE1535" t="s">
        <v>6966</v>
      </c>
      <c r="AF1535" t="s">
        <v>6966</v>
      </c>
      <c r="AG1535" t="s">
        <v>6966</v>
      </c>
      <c r="AH1535" t="s">
        <v>6966</v>
      </c>
      <c r="AI1535" t="s">
        <v>6966</v>
      </c>
      <c r="AJ1535" t="s">
        <v>6966</v>
      </c>
      <c r="AK1535" t="s">
        <v>6966</v>
      </c>
      <c r="AL1535" t="s">
        <v>6966</v>
      </c>
      <c r="AM1535" t="s">
        <v>6966</v>
      </c>
      <c r="AN1535" t="s">
        <v>6966</v>
      </c>
      <c r="AO1535" t="s">
        <v>6966</v>
      </c>
      <c r="AP1535" t="s">
        <v>6966</v>
      </c>
      <c r="AQ1535" t="s">
        <v>6966</v>
      </c>
      <c r="AR1535" t="s">
        <v>6966</v>
      </c>
      <c r="AS1535" t="s">
        <v>6966</v>
      </c>
      <c r="AT1535" t="s">
        <v>6966</v>
      </c>
      <c r="AU1535" t="s">
        <v>6966</v>
      </c>
      <c r="AV1535" t="s">
        <v>6966</v>
      </c>
      <c r="AW1535" t="s">
        <v>6966</v>
      </c>
      <c r="AX1535" t="s">
        <v>6966</v>
      </c>
      <c r="AY1535" t="s">
        <v>6966</v>
      </c>
      <c r="AZ1535">
        <v>6.8523000000000001E-2</v>
      </c>
      <c r="BA1535">
        <v>2.5300000000000002E-4</v>
      </c>
    </row>
    <row r="1536" spans="1:53" x14ac:dyDescent="0.25">
      <c r="A1536">
        <v>1534</v>
      </c>
      <c r="B1536" t="s">
        <v>7625</v>
      </c>
      <c r="C1536">
        <v>803067</v>
      </c>
      <c r="D1536" t="s">
        <v>1307</v>
      </c>
      <c r="E1536" t="s">
        <v>1267</v>
      </c>
      <c r="F1536">
        <v>2610377.75</v>
      </c>
      <c r="G1536">
        <v>11909.643555000001</v>
      </c>
      <c r="H1536">
        <v>1536</v>
      </c>
      <c r="I1536">
        <v>1780</v>
      </c>
      <c r="J1536">
        <v>62266</v>
      </c>
      <c r="K1536" t="s">
        <v>1307</v>
      </c>
      <c r="L1536">
        <v>21</v>
      </c>
      <c r="M1536">
        <v>21</v>
      </c>
      <c r="N1536">
        <v>62266</v>
      </c>
      <c r="O1536">
        <v>1504</v>
      </c>
      <c r="P1536" t="s">
        <v>3213</v>
      </c>
      <c r="Q1536">
        <v>13.2</v>
      </c>
      <c r="R1536">
        <v>117.56</v>
      </c>
      <c r="S1536">
        <v>2.4</v>
      </c>
      <c r="T1536">
        <v>21</v>
      </c>
      <c r="U1536">
        <v>2610377.7336400002</v>
      </c>
      <c r="V1536">
        <v>11909.644603000001</v>
      </c>
      <c r="W1536">
        <v>1535</v>
      </c>
      <c r="X1536">
        <v>0</v>
      </c>
      <c r="Y1536">
        <v>1534</v>
      </c>
      <c r="Z1536" t="s">
        <v>6966</v>
      </c>
      <c r="AA1536" t="s">
        <v>6966</v>
      </c>
      <c r="AB1536" t="s">
        <v>6966</v>
      </c>
      <c r="AC1536" t="s">
        <v>6966</v>
      </c>
      <c r="AD1536" t="s">
        <v>6966</v>
      </c>
      <c r="AE1536" t="s">
        <v>6966</v>
      </c>
      <c r="AF1536" t="s">
        <v>6966</v>
      </c>
      <c r="AG1536" t="s">
        <v>6966</v>
      </c>
      <c r="AH1536" t="s">
        <v>6966</v>
      </c>
      <c r="AI1536" t="s">
        <v>6966</v>
      </c>
      <c r="AJ1536" t="s">
        <v>6966</v>
      </c>
      <c r="AK1536" t="s">
        <v>6966</v>
      </c>
      <c r="AL1536" t="s">
        <v>6966</v>
      </c>
      <c r="AM1536" t="s">
        <v>6966</v>
      </c>
      <c r="AN1536" t="s">
        <v>6966</v>
      </c>
      <c r="AO1536" t="s">
        <v>6966</v>
      </c>
      <c r="AP1536" t="s">
        <v>6966</v>
      </c>
      <c r="AQ1536" t="s">
        <v>6966</v>
      </c>
      <c r="AR1536" t="s">
        <v>6966</v>
      </c>
      <c r="AS1536" t="s">
        <v>6966</v>
      </c>
      <c r="AT1536" t="s">
        <v>6966</v>
      </c>
      <c r="AU1536" t="s">
        <v>6966</v>
      </c>
      <c r="AV1536" t="s">
        <v>6966</v>
      </c>
      <c r="AW1536" t="s">
        <v>6966</v>
      </c>
      <c r="AX1536" t="s">
        <v>6966</v>
      </c>
      <c r="AY1536" t="s">
        <v>6966</v>
      </c>
      <c r="AZ1536">
        <v>0.11863600000000001</v>
      </c>
      <c r="BA1536">
        <v>2.5300000000000002E-4</v>
      </c>
    </row>
    <row r="1537" spans="1:53" x14ac:dyDescent="0.25">
      <c r="A1537">
        <v>1535</v>
      </c>
      <c r="B1537" t="s">
        <v>7625</v>
      </c>
      <c r="C1537">
        <v>603018</v>
      </c>
      <c r="D1537" t="s">
        <v>1524</v>
      </c>
      <c r="E1537" t="s">
        <v>1508</v>
      </c>
      <c r="F1537">
        <v>9264863</v>
      </c>
      <c r="G1537">
        <v>14578.328125</v>
      </c>
      <c r="H1537">
        <v>1537</v>
      </c>
      <c r="I1537">
        <v>1781</v>
      </c>
      <c r="J1537">
        <v>73228</v>
      </c>
      <c r="K1537" t="s">
        <v>2774</v>
      </c>
      <c r="L1537">
        <v>25</v>
      </c>
      <c r="M1537">
        <v>25</v>
      </c>
      <c r="N1537">
        <v>73228</v>
      </c>
      <c r="O1537">
        <v>1505</v>
      </c>
      <c r="P1537" t="s">
        <v>6965</v>
      </c>
      <c r="Q1537">
        <v>4.9000000000000004</v>
      </c>
      <c r="R1537">
        <v>56.18</v>
      </c>
      <c r="S1537">
        <v>1.38</v>
      </c>
      <c r="T1537">
        <v>16</v>
      </c>
      <c r="U1537">
        <v>9264862.9049800001</v>
      </c>
      <c r="V1537">
        <v>14578.327869999999</v>
      </c>
      <c r="W1537">
        <v>1536</v>
      </c>
      <c r="X1537">
        <v>2</v>
      </c>
      <c r="Y1537">
        <v>1535</v>
      </c>
      <c r="Z1537">
        <v>59691</v>
      </c>
      <c r="AA1537" s="76">
        <v>45745</v>
      </c>
      <c r="AB1537">
        <v>2025</v>
      </c>
      <c r="AC1537" t="s">
        <v>7104</v>
      </c>
      <c r="AD1537">
        <v>29</v>
      </c>
      <c r="AE1537" t="s">
        <v>7180</v>
      </c>
      <c r="AF1537" t="s">
        <v>3218</v>
      </c>
      <c r="AG1537" t="s">
        <v>1508</v>
      </c>
      <c r="AH1537" t="s">
        <v>1524</v>
      </c>
      <c r="AI1537" t="s">
        <v>1524</v>
      </c>
      <c r="AJ1537" t="s">
        <v>6966</v>
      </c>
      <c r="AK1537">
        <v>33.278179999999999</v>
      </c>
      <c r="AL1537">
        <v>35.551409999999997</v>
      </c>
      <c r="AM1537" t="s">
        <v>7014</v>
      </c>
      <c r="AN1537" t="s">
        <v>6966</v>
      </c>
      <c r="AO1537" t="s">
        <v>7147</v>
      </c>
      <c r="AP1537" t="s">
        <v>7181</v>
      </c>
      <c r="AQ1537" t="s">
        <v>6998</v>
      </c>
      <c r="AR1537" t="s">
        <v>6999</v>
      </c>
      <c r="AS1537" t="s">
        <v>7036</v>
      </c>
      <c r="AT1537">
        <v>0</v>
      </c>
      <c r="AU1537">
        <v>0</v>
      </c>
      <c r="AV1537" t="s">
        <v>7182</v>
      </c>
      <c r="AW1537" t="s">
        <v>7011</v>
      </c>
      <c r="AX1537" t="s">
        <v>6966</v>
      </c>
      <c r="AY1537" t="s">
        <v>7003</v>
      </c>
      <c r="AZ1537">
        <v>0.14236099999999999</v>
      </c>
      <c r="BA1537">
        <v>8.9599999999999999E-4</v>
      </c>
    </row>
    <row r="1538" spans="1:53" x14ac:dyDescent="0.25">
      <c r="A1538">
        <v>1536</v>
      </c>
      <c r="B1538" t="s">
        <v>7625</v>
      </c>
      <c r="C1538">
        <v>803009</v>
      </c>
      <c r="D1538" t="s">
        <v>1301</v>
      </c>
      <c r="E1538" t="s">
        <v>1267</v>
      </c>
      <c r="F1538">
        <v>1002430.5</v>
      </c>
      <c r="G1538">
        <v>6928.9926759999998</v>
      </c>
      <c r="H1538">
        <v>1538</v>
      </c>
      <c r="I1538">
        <v>1783</v>
      </c>
      <c r="J1538">
        <v>62256</v>
      </c>
      <c r="K1538" t="s">
        <v>2599</v>
      </c>
      <c r="L1538">
        <v>21</v>
      </c>
      <c r="M1538">
        <v>21</v>
      </c>
      <c r="N1538">
        <v>62256</v>
      </c>
      <c r="O1538">
        <v>1506</v>
      </c>
      <c r="P1538" t="s">
        <v>3213</v>
      </c>
      <c r="Q1538">
        <v>6</v>
      </c>
      <c r="R1538">
        <v>71.16</v>
      </c>
      <c r="S1538">
        <v>1.3</v>
      </c>
      <c r="T1538">
        <v>15</v>
      </c>
      <c r="U1538">
        <v>1002430.51946</v>
      </c>
      <c r="V1538">
        <v>6928.9914429999999</v>
      </c>
      <c r="W1538">
        <v>1537</v>
      </c>
      <c r="X1538">
        <v>0</v>
      </c>
      <c r="Y1538">
        <v>1536</v>
      </c>
      <c r="Z1538" t="s">
        <v>6966</v>
      </c>
      <c r="AA1538" t="s">
        <v>6966</v>
      </c>
      <c r="AB1538" t="s">
        <v>6966</v>
      </c>
      <c r="AC1538" t="s">
        <v>6966</v>
      </c>
      <c r="AD1538" t="s">
        <v>6966</v>
      </c>
      <c r="AE1538" t="s">
        <v>6966</v>
      </c>
      <c r="AF1538" t="s">
        <v>6966</v>
      </c>
      <c r="AG1538" t="s">
        <v>6966</v>
      </c>
      <c r="AH1538" t="s">
        <v>6966</v>
      </c>
      <c r="AI1538" t="s">
        <v>6966</v>
      </c>
      <c r="AJ1538" t="s">
        <v>6966</v>
      </c>
      <c r="AK1538" t="s">
        <v>6966</v>
      </c>
      <c r="AL1538" t="s">
        <v>6966</v>
      </c>
      <c r="AM1538" t="s">
        <v>6966</v>
      </c>
      <c r="AN1538" t="s">
        <v>6966</v>
      </c>
      <c r="AO1538" t="s">
        <v>6966</v>
      </c>
      <c r="AP1538" t="s">
        <v>6966</v>
      </c>
      <c r="AQ1538" t="s">
        <v>6966</v>
      </c>
      <c r="AR1538" t="s">
        <v>6966</v>
      </c>
      <c r="AS1538" t="s">
        <v>6966</v>
      </c>
      <c r="AT1538" t="s">
        <v>6966</v>
      </c>
      <c r="AU1538" t="s">
        <v>6966</v>
      </c>
      <c r="AV1538" t="s">
        <v>6966</v>
      </c>
      <c r="AW1538" t="s">
        <v>6966</v>
      </c>
      <c r="AX1538" t="s">
        <v>6966</v>
      </c>
      <c r="AY1538" t="s">
        <v>6966</v>
      </c>
      <c r="AZ1538">
        <v>6.8572999999999995E-2</v>
      </c>
      <c r="BA1538">
        <v>9.7E-5</v>
      </c>
    </row>
    <row r="1539" spans="1:53" x14ac:dyDescent="0.25">
      <c r="A1539">
        <v>1537</v>
      </c>
      <c r="B1539" t="s">
        <v>7625</v>
      </c>
      <c r="C1539">
        <v>603005</v>
      </c>
      <c r="D1539" t="s">
        <v>1521</v>
      </c>
      <c r="E1539" t="s">
        <v>1508</v>
      </c>
      <c r="F1539">
        <v>0</v>
      </c>
      <c r="G1539">
        <v>17772.371093999998</v>
      </c>
      <c r="H1539">
        <v>1539</v>
      </c>
      <c r="I1539">
        <v>1784</v>
      </c>
      <c r="J1539">
        <v>73191</v>
      </c>
      <c r="K1539" t="s">
        <v>2771</v>
      </c>
      <c r="L1539">
        <v>25</v>
      </c>
      <c r="M1539">
        <v>25</v>
      </c>
      <c r="N1539">
        <v>73191</v>
      </c>
      <c r="O1539">
        <v>1507</v>
      </c>
      <c r="P1539" t="s">
        <v>6965</v>
      </c>
      <c r="Q1539">
        <v>0</v>
      </c>
      <c r="R1539">
        <v>0</v>
      </c>
      <c r="S1539">
        <v>0</v>
      </c>
      <c r="T1539">
        <v>0</v>
      </c>
      <c r="U1539">
        <v>0</v>
      </c>
      <c r="V1539">
        <v>17772.372409</v>
      </c>
      <c r="W1539">
        <v>1538</v>
      </c>
      <c r="X1539">
        <v>0</v>
      </c>
      <c r="Y1539">
        <v>1537</v>
      </c>
      <c r="Z1539" t="s">
        <v>6966</v>
      </c>
      <c r="AA1539" t="s">
        <v>6966</v>
      </c>
      <c r="AB1539" t="s">
        <v>6966</v>
      </c>
      <c r="AC1539" t="s">
        <v>6966</v>
      </c>
      <c r="AD1539" t="s">
        <v>6966</v>
      </c>
      <c r="AE1539" t="s">
        <v>6966</v>
      </c>
      <c r="AF1539" t="s">
        <v>6966</v>
      </c>
      <c r="AG1539" t="s">
        <v>6966</v>
      </c>
      <c r="AH1539" t="s">
        <v>6966</v>
      </c>
      <c r="AI1539" t="s">
        <v>6966</v>
      </c>
      <c r="AJ1539" t="s">
        <v>6966</v>
      </c>
      <c r="AK1539" t="s">
        <v>6966</v>
      </c>
      <c r="AL1539" t="s">
        <v>6966</v>
      </c>
      <c r="AM1539" t="s">
        <v>6966</v>
      </c>
      <c r="AN1539" t="s">
        <v>6966</v>
      </c>
      <c r="AO1539" t="s">
        <v>6966</v>
      </c>
      <c r="AP1539" t="s">
        <v>6966</v>
      </c>
      <c r="AQ1539" t="s">
        <v>6966</v>
      </c>
      <c r="AR1539" t="s">
        <v>6966</v>
      </c>
      <c r="AS1539" t="s">
        <v>6966</v>
      </c>
      <c r="AT1539" t="s">
        <v>6966</v>
      </c>
      <c r="AU1539" t="s">
        <v>6966</v>
      </c>
      <c r="AV1539" t="s">
        <v>6966</v>
      </c>
      <c r="AW1539" t="s">
        <v>6966</v>
      </c>
      <c r="AX1539" t="s">
        <v>6966</v>
      </c>
      <c r="AY1539" t="s">
        <v>6966</v>
      </c>
      <c r="AZ1539">
        <v>0.17357900000000001</v>
      </c>
      <c r="BA1539">
        <v>1.232E-3</v>
      </c>
    </row>
    <row r="1540" spans="1:53" x14ac:dyDescent="0.25">
      <c r="A1540">
        <v>1538</v>
      </c>
      <c r="B1540" t="s">
        <v>7625</v>
      </c>
      <c r="C1540">
        <v>803071</v>
      </c>
      <c r="D1540" t="s">
        <v>1311</v>
      </c>
      <c r="E1540" t="s">
        <v>1267</v>
      </c>
      <c r="F1540">
        <v>2567923</v>
      </c>
      <c r="G1540">
        <v>8271.3486329999996</v>
      </c>
      <c r="H1540">
        <v>1540</v>
      </c>
      <c r="I1540">
        <v>1785</v>
      </c>
      <c r="J1540">
        <v>62273</v>
      </c>
      <c r="K1540" t="s">
        <v>2605</v>
      </c>
      <c r="L1540">
        <v>21</v>
      </c>
      <c r="M1540">
        <v>21</v>
      </c>
      <c r="N1540">
        <v>62273</v>
      </c>
      <c r="O1540">
        <v>1508</v>
      </c>
      <c r="P1540" t="s">
        <v>3213</v>
      </c>
      <c r="Q1540">
        <v>0.2</v>
      </c>
      <c r="R1540">
        <v>101.37</v>
      </c>
      <c r="S1540">
        <v>0.03</v>
      </c>
      <c r="T1540">
        <v>18</v>
      </c>
      <c r="U1540">
        <v>2567922.9506199998</v>
      </c>
      <c r="V1540">
        <v>8271.3487150000001</v>
      </c>
      <c r="W1540">
        <v>1539</v>
      </c>
      <c r="X1540">
        <v>0</v>
      </c>
      <c r="Y1540">
        <v>1538</v>
      </c>
      <c r="Z1540" t="s">
        <v>6966</v>
      </c>
      <c r="AA1540" t="s">
        <v>6966</v>
      </c>
      <c r="AB1540" t="s">
        <v>6966</v>
      </c>
      <c r="AC1540" t="s">
        <v>6966</v>
      </c>
      <c r="AD1540" t="s">
        <v>6966</v>
      </c>
      <c r="AE1540" t="s">
        <v>6966</v>
      </c>
      <c r="AF1540" t="s">
        <v>6966</v>
      </c>
      <c r="AG1540" t="s">
        <v>6966</v>
      </c>
      <c r="AH1540" t="s">
        <v>6966</v>
      </c>
      <c r="AI1540" t="s">
        <v>6966</v>
      </c>
      <c r="AJ1540" t="s">
        <v>6966</v>
      </c>
      <c r="AK1540" t="s">
        <v>6966</v>
      </c>
      <c r="AL1540" t="s">
        <v>6966</v>
      </c>
      <c r="AM1540" t="s">
        <v>6966</v>
      </c>
      <c r="AN1540" t="s">
        <v>6966</v>
      </c>
      <c r="AO1540" t="s">
        <v>6966</v>
      </c>
      <c r="AP1540" t="s">
        <v>6966</v>
      </c>
      <c r="AQ1540" t="s">
        <v>6966</v>
      </c>
      <c r="AR1540" t="s">
        <v>6966</v>
      </c>
      <c r="AS1540" t="s">
        <v>6966</v>
      </c>
      <c r="AT1540" t="s">
        <v>6966</v>
      </c>
      <c r="AU1540" t="s">
        <v>6966</v>
      </c>
      <c r="AV1540" t="s">
        <v>6966</v>
      </c>
      <c r="AW1540" t="s">
        <v>6966</v>
      </c>
      <c r="AX1540" t="s">
        <v>6966</v>
      </c>
      <c r="AY1540" t="s">
        <v>6966</v>
      </c>
      <c r="AZ1540">
        <v>8.1374000000000002E-2</v>
      </c>
      <c r="BA1540">
        <v>2.4800000000000001E-4</v>
      </c>
    </row>
    <row r="1541" spans="1:53" x14ac:dyDescent="0.25">
      <c r="A1541">
        <v>1539</v>
      </c>
      <c r="B1541" t="s">
        <v>7625</v>
      </c>
      <c r="C1541">
        <v>803017</v>
      </c>
      <c r="D1541" t="s">
        <v>1268</v>
      </c>
      <c r="E1541" t="s">
        <v>1267</v>
      </c>
      <c r="F1541">
        <v>0</v>
      </c>
      <c r="G1541">
        <v>21606.5</v>
      </c>
      <c r="H1541">
        <v>1541</v>
      </c>
      <c r="I1541">
        <v>1788</v>
      </c>
      <c r="J1541">
        <v>62128</v>
      </c>
      <c r="K1541" t="s">
        <v>8167</v>
      </c>
      <c r="L1541">
        <v>21</v>
      </c>
      <c r="M1541">
        <v>21</v>
      </c>
      <c r="N1541">
        <v>62128</v>
      </c>
      <c r="O1541">
        <v>1509</v>
      </c>
      <c r="P1541" t="s">
        <v>3213</v>
      </c>
      <c r="Q1541">
        <v>20.9</v>
      </c>
      <c r="R1541">
        <v>169.97</v>
      </c>
      <c r="S1541">
        <v>4.78</v>
      </c>
      <c r="T1541">
        <v>39</v>
      </c>
      <c r="U1541">
        <v>0</v>
      </c>
      <c r="V1541">
        <v>21606.497943999999</v>
      </c>
      <c r="W1541">
        <v>1540</v>
      </c>
      <c r="X1541">
        <v>7</v>
      </c>
      <c r="Y1541">
        <v>1539</v>
      </c>
      <c r="Z1541">
        <v>55061</v>
      </c>
      <c r="AA1541" s="76">
        <v>45665</v>
      </c>
      <c r="AB1541">
        <v>2025</v>
      </c>
      <c r="AC1541" t="s">
        <v>6992</v>
      </c>
      <c r="AD1541">
        <v>8</v>
      </c>
      <c r="AE1541" t="s">
        <v>7026</v>
      </c>
      <c r="AF1541" t="s">
        <v>3213</v>
      </c>
      <c r="AG1541" t="s">
        <v>1267</v>
      </c>
      <c r="AH1541" t="s">
        <v>1268</v>
      </c>
      <c r="AI1541" t="s">
        <v>7027</v>
      </c>
      <c r="AJ1541" t="s">
        <v>6966</v>
      </c>
      <c r="AK1541">
        <v>33.261369999999999</v>
      </c>
      <c r="AL1541">
        <v>35.238210000000002</v>
      </c>
      <c r="AM1541" t="s">
        <v>7028</v>
      </c>
      <c r="AN1541" t="s">
        <v>6995</v>
      </c>
      <c r="AO1541" t="s">
        <v>6996</v>
      </c>
      <c r="AP1541" t="s">
        <v>7029</v>
      </c>
      <c r="AQ1541" t="s">
        <v>6998</v>
      </c>
      <c r="AR1541" t="s">
        <v>6999</v>
      </c>
      <c r="AS1541" t="s">
        <v>7000</v>
      </c>
      <c r="AT1541">
        <v>0</v>
      </c>
      <c r="AU1541">
        <v>0</v>
      </c>
      <c r="AV1541" t="s">
        <v>7030</v>
      </c>
      <c r="AW1541" t="s">
        <v>7031</v>
      </c>
      <c r="AX1541" t="s">
        <v>7032</v>
      </c>
      <c r="AY1541" t="s">
        <v>7003</v>
      </c>
      <c r="AZ1541">
        <v>0.21491499999999999</v>
      </c>
      <c r="BA1541">
        <v>1.0330000000000001E-3</v>
      </c>
    </row>
    <row r="1542" spans="1:53" x14ac:dyDescent="0.25">
      <c r="A1542">
        <v>1540</v>
      </c>
      <c r="B1542" t="s">
        <v>7625</v>
      </c>
      <c r="C1542">
        <v>603028</v>
      </c>
      <c r="D1542" t="s">
        <v>1535</v>
      </c>
      <c r="E1542" t="s">
        <v>1508</v>
      </c>
      <c r="F1542">
        <v>5245989</v>
      </c>
      <c r="G1542">
        <v>10457.033203000001</v>
      </c>
      <c r="H1542">
        <v>1542</v>
      </c>
      <c r="I1542">
        <v>1790</v>
      </c>
      <c r="J1542">
        <v>73276</v>
      </c>
      <c r="K1542" t="s">
        <v>2782</v>
      </c>
      <c r="L1542">
        <v>25</v>
      </c>
      <c r="M1542">
        <v>25</v>
      </c>
      <c r="N1542">
        <v>73276</v>
      </c>
      <c r="O1542">
        <v>1510</v>
      </c>
      <c r="P1542" t="s">
        <v>6965</v>
      </c>
      <c r="Q1542">
        <v>0</v>
      </c>
      <c r="R1542">
        <v>4.6500000000000004</v>
      </c>
      <c r="S1542">
        <v>0.01</v>
      </c>
      <c r="T1542">
        <v>1</v>
      </c>
      <c r="U1542">
        <v>5245989.0887799999</v>
      </c>
      <c r="V1542">
        <v>10457.033347000001</v>
      </c>
      <c r="W1542">
        <v>1541</v>
      </c>
      <c r="X1542">
        <v>0</v>
      </c>
      <c r="Y1542">
        <v>1540</v>
      </c>
      <c r="Z1542" t="s">
        <v>6966</v>
      </c>
      <c r="AA1542" t="s">
        <v>6966</v>
      </c>
      <c r="AB1542" t="s">
        <v>6966</v>
      </c>
      <c r="AC1542" t="s">
        <v>6966</v>
      </c>
      <c r="AD1542" t="s">
        <v>6966</v>
      </c>
      <c r="AE1542" t="s">
        <v>6966</v>
      </c>
      <c r="AF1542" t="s">
        <v>6966</v>
      </c>
      <c r="AG1542" t="s">
        <v>6966</v>
      </c>
      <c r="AH1542" t="s">
        <v>6966</v>
      </c>
      <c r="AI1542" t="s">
        <v>6966</v>
      </c>
      <c r="AJ1542" t="s">
        <v>6966</v>
      </c>
      <c r="AK1542" t="s">
        <v>6966</v>
      </c>
      <c r="AL1542" t="s">
        <v>6966</v>
      </c>
      <c r="AM1542" t="s">
        <v>6966</v>
      </c>
      <c r="AN1542" t="s">
        <v>6966</v>
      </c>
      <c r="AO1542" t="s">
        <v>6966</v>
      </c>
      <c r="AP1542" t="s">
        <v>6966</v>
      </c>
      <c r="AQ1542" t="s">
        <v>6966</v>
      </c>
      <c r="AR1542" t="s">
        <v>6966</v>
      </c>
      <c r="AS1542" t="s">
        <v>6966</v>
      </c>
      <c r="AT1542" t="s">
        <v>6966</v>
      </c>
      <c r="AU1542" t="s">
        <v>6966</v>
      </c>
      <c r="AV1542" t="s">
        <v>6966</v>
      </c>
      <c r="AW1542" t="s">
        <v>6966</v>
      </c>
      <c r="AX1542" t="s">
        <v>6966</v>
      </c>
      <c r="AY1542" t="s">
        <v>6966</v>
      </c>
      <c r="AZ1542">
        <v>0.10304099999999999</v>
      </c>
      <c r="BA1542">
        <v>5.0699999999999996E-4</v>
      </c>
    </row>
    <row r="1543" spans="1:53" x14ac:dyDescent="0.25">
      <c r="A1543">
        <v>1541</v>
      </c>
      <c r="B1543" t="s">
        <v>7625</v>
      </c>
      <c r="C1543">
        <v>803058</v>
      </c>
      <c r="D1543" t="s">
        <v>1302</v>
      </c>
      <c r="E1543" t="s">
        <v>1267</v>
      </c>
      <c r="F1543">
        <v>1275786</v>
      </c>
      <c r="G1543">
        <v>8019.7373049999997</v>
      </c>
      <c r="H1543">
        <v>1543</v>
      </c>
      <c r="I1543">
        <v>1791</v>
      </c>
      <c r="J1543">
        <v>62257</v>
      </c>
      <c r="K1543" t="s">
        <v>1783</v>
      </c>
      <c r="L1543">
        <v>21</v>
      </c>
      <c r="M1543">
        <v>21</v>
      </c>
      <c r="N1543">
        <v>62257</v>
      </c>
      <c r="O1543">
        <v>1511</v>
      </c>
      <c r="P1543" t="s">
        <v>3213</v>
      </c>
      <c r="Q1543">
        <v>2.6</v>
      </c>
      <c r="R1543">
        <v>35.28</v>
      </c>
      <c r="S1543">
        <v>0.45</v>
      </c>
      <c r="T1543">
        <v>6</v>
      </c>
      <c r="U1543">
        <v>1275785.9744200001</v>
      </c>
      <c r="V1543">
        <v>8019.7385860000004</v>
      </c>
      <c r="W1543">
        <v>1542</v>
      </c>
      <c r="X1543">
        <v>0</v>
      </c>
      <c r="Y1543">
        <v>1541</v>
      </c>
      <c r="Z1543" t="s">
        <v>6966</v>
      </c>
      <c r="AA1543" t="s">
        <v>6966</v>
      </c>
      <c r="AB1543" t="s">
        <v>6966</v>
      </c>
      <c r="AC1543" t="s">
        <v>6966</v>
      </c>
      <c r="AD1543" t="s">
        <v>6966</v>
      </c>
      <c r="AE1543" t="s">
        <v>6966</v>
      </c>
      <c r="AF1543" t="s">
        <v>6966</v>
      </c>
      <c r="AG1543" t="s">
        <v>6966</v>
      </c>
      <c r="AH1543" t="s">
        <v>6966</v>
      </c>
      <c r="AI1543" t="s">
        <v>6966</v>
      </c>
      <c r="AJ1543" t="s">
        <v>6966</v>
      </c>
      <c r="AK1543" t="s">
        <v>6966</v>
      </c>
      <c r="AL1543" t="s">
        <v>6966</v>
      </c>
      <c r="AM1543" t="s">
        <v>6966</v>
      </c>
      <c r="AN1543" t="s">
        <v>6966</v>
      </c>
      <c r="AO1543" t="s">
        <v>6966</v>
      </c>
      <c r="AP1543" t="s">
        <v>6966</v>
      </c>
      <c r="AQ1543" t="s">
        <v>6966</v>
      </c>
      <c r="AR1543" t="s">
        <v>6966</v>
      </c>
      <c r="AS1543" t="s">
        <v>6966</v>
      </c>
      <c r="AT1543" t="s">
        <v>6966</v>
      </c>
      <c r="AU1543" t="s">
        <v>6966</v>
      </c>
      <c r="AV1543" t="s">
        <v>6966</v>
      </c>
      <c r="AW1543" t="s">
        <v>6966</v>
      </c>
      <c r="AX1543" t="s">
        <v>6966</v>
      </c>
      <c r="AY1543" t="s">
        <v>6966</v>
      </c>
      <c r="AZ1543">
        <v>8.0450999999999995E-2</v>
      </c>
      <c r="BA1543">
        <v>1.2300000000000001E-4</v>
      </c>
    </row>
    <row r="1544" spans="1:53" ht="105" x14ac:dyDescent="0.25">
      <c r="A1544">
        <v>1542</v>
      </c>
      <c r="B1544" t="s">
        <v>7625</v>
      </c>
      <c r="C1544">
        <v>803066</v>
      </c>
      <c r="D1544" t="s">
        <v>1267</v>
      </c>
      <c r="E1544" t="s">
        <v>1267</v>
      </c>
      <c r="F1544">
        <v>6563324.5</v>
      </c>
      <c r="G1544">
        <v>26287.726563</v>
      </c>
      <c r="H1544">
        <v>1544</v>
      </c>
      <c r="I1544">
        <v>1793</v>
      </c>
      <c r="J1544">
        <v>62111</v>
      </c>
      <c r="K1544" t="s">
        <v>2571</v>
      </c>
      <c r="L1544">
        <v>21</v>
      </c>
      <c r="M1544">
        <v>21</v>
      </c>
      <c r="N1544">
        <v>62111</v>
      </c>
      <c r="O1544">
        <v>1512</v>
      </c>
      <c r="P1544" t="s">
        <v>3213</v>
      </c>
      <c r="Q1544">
        <v>72.400000000000006</v>
      </c>
      <c r="R1544">
        <v>155.13</v>
      </c>
      <c r="S1544">
        <v>14.64</v>
      </c>
      <c r="T1544">
        <v>41</v>
      </c>
      <c r="U1544">
        <v>6563324.4380900003</v>
      </c>
      <c r="V1544">
        <v>26287.726728000001</v>
      </c>
      <c r="W1544">
        <v>1543</v>
      </c>
      <c r="X1544">
        <v>22</v>
      </c>
      <c r="Y1544">
        <v>1542</v>
      </c>
      <c r="Z1544">
        <v>58442</v>
      </c>
      <c r="AA1544" s="76">
        <v>45726</v>
      </c>
      <c r="AB1544">
        <v>2025</v>
      </c>
      <c r="AC1544" t="s">
        <v>7104</v>
      </c>
      <c r="AD1544">
        <v>10</v>
      </c>
      <c r="AE1544" t="s">
        <v>7109</v>
      </c>
      <c r="AF1544" t="s">
        <v>3213</v>
      </c>
      <c r="AG1544" t="s">
        <v>1267</v>
      </c>
      <c r="AH1544" t="s">
        <v>1267</v>
      </c>
      <c r="AI1544" t="s">
        <v>7110</v>
      </c>
      <c r="AJ1544" t="s">
        <v>6966</v>
      </c>
      <c r="AK1544">
        <v>33.23798</v>
      </c>
      <c r="AL1544">
        <v>35.217570000000002</v>
      </c>
      <c r="AM1544" t="s">
        <v>7028</v>
      </c>
      <c r="AN1544" t="s">
        <v>7046</v>
      </c>
      <c r="AO1544" t="s">
        <v>7042</v>
      </c>
      <c r="AP1544" t="s">
        <v>8168</v>
      </c>
      <c r="AQ1544" t="s">
        <v>6998</v>
      </c>
      <c r="AR1544" t="s">
        <v>6999</v>
      </c>
      <c r="AS1544" t="s">
        <v>7036</v>
      </c>
      <c r="AT1544">
        <v>0</v>
      </c>
      <c r="AU1544">
        <v>0</v>
      </c>
      <c r="AV1544" s="77" t="s">
        <v>7111</v>
      </c>
      <c r="AW1544" t="s">
        <v>7043</v>
      </c>
      <c r="AX1544" t="s">
        <v>7032</v>
      </c>
      <c r="AY1544" t="s">
        <v>7044</v>
      </c>
      <c r="AZ1544">
        <v>0.257546</v>
      </c>
      <c r="BA1544">
        <v>6.3500000000000004E-4</v>
      </c>
    </row>
    <row r="1545" spans="1:53" x14ac:dyDescent="0.25">
      <c r="A1545">
        <v>1543</v>
      </c>
      <c r="B1545" t="s">
        <v>7625</v>
      </c>
      <c r="C1545">
        <v>803011</v>
      </c>
      <c r="D1545" t="s">
        <v>1280</v>
      </c>
      <c r="E1545" t="s">
        <v>1267</v>
      </c>
      <c r="F1545">
        <v>4035658.25</v>
      </c>
      <c r="G1545">
        <v>17598.675781000002</v>
      </c>
      <c r="H1545">
        <v>1545</v>
      </c>
      <c r="I1545">
        <v>1794</v>
      </c>
      <c r="J1545">
        <v>62224</v>
      </c>
      <c r="K1545" t="s">
        <v>2581</v>
      </c>
      <c r="L1545">
        <v>21</v>
      </c>
      <c r="M1545">
        <v>21</v>
      </c>
      <c r="N1545">
        <v>62224</v>
      </c>
      <c r="O1545">
        <v>1513</v>
      </c>
      <c r="P1545" t="s">
        <v>3213</v>
      </c>
      <c r="Q1545">
        <v>4.0999999999999996</v>
      </c>
      <c r="R1545">
        <v>71.7</v>
      </c>
      <c r="S1545">
        <v>1.23</v>
      </c>
      <c r="T1545">
        <v>22</v>
      </c>
      <c r="U1545">
        <v>4035658.1126799998</v>
      </c>
      <c r="V1545">
        <v>17598.676056</v>
      </c>
      <c r="W1545">
        <v>1544</v>
      </c>
      <c r="X1545">
        <v>0</v>
      </c>
      <c r="Y1545">
        <v>1543</v>
      </c>
      <c r="Z1545" t="s">
        <v>6966</v>
      </c>
      <c r="AA1545" t="s">
        <v>6966</v>
      </c>
      <c r="AB1545" t="s">
        <v>6966</v>
      </c>
      <c r="AC1545" t="s">
        <v>6966</v>
      </c>
      <c r="AD1545" t="s">
        <v>6966</v>
      </c>
      <c r="AE1545" t="s">
        <v>6966</v>
      </c>
      <c r="AF1545" t="s">
        <v>6966</v>
      </c>
      <c r="AG1545" t="s">
        <v>6966</v>
      </c>
      <c r="AH1545" t="s">
        <v>6966</v>
      </c>
      <c r="AI1545" t="s">
        <v>6966</v>
      </c>
      <c r="AJ1545" t="s">
        <v>6966</v>
      </c>
      <c r="AK1545" t="s">
        <v>6966</v>
      </c>
      <c r="AL1545" t="s">
        <v>6966</v>
      </c>
      <c r="AM1545" t="s">
        <v>6966</v>
      </c>
      <c r="AN1545" t="s">
        <v>6966</v>
      </c>
      <c r="AO1545" t="s">
        <v>6966</v>
      </c>
      <c r="AP1545" t="s">
        <v>6966</v>
      </c>
      <c r="AQ1545" t="s">
        <v>6966</v>
      </c>
      <c r="AR1545" t="s">
        <v>6966</v>
      </c>
      <c r="AS1545" t="s">
        <v>6966</v>
      </c>
      <c r="AT1545" t="s">
        <v>6966</v>
      </c>
      <c r="AU1545" t="s">
        <v>6966</v>
      </c>
      <c r="AV1545" t="s">
        <v>6966</v>
      </c>
      <c r="AW1545" t="s">
        <v>6966</v>
      </c>
      <c r="AX1545" t="s">
        <v>6966</v>
      </c>
      <c r="AY1545" t="s">
        <v>6966</v>
      </c>
      <c r="AZ1545">
        <v>0.178732</v>
      </c>
      <c r="BA1545">
        <v>3.8999999999999999E-4</v>
      </c>
    </row>
    <row r="1546" spans="1:53" x14ac:dyDescent="0.25">
      <c r="A1546">
        <v>1544</v>
      </c>
      <c r="B1546" t="s">
        <v>7625</v>
      </c>
      <c r="C1546">
        <v>803057</v>
      </c>
      <c r="D1546" t="s">
        <v>8169</v>
      </c>
      <c r="E1546" t="s">
        <v>1267</v>
      </c>
      <c r="F1546">
        <v>1405581.375</v>
      </c>
      <c r="G1546">
        <v>7887.5244140000004</v>
      </c>
      <c r="H1546">
        <v>1546</v>
      </c>
      <c r="I1546">
        <v>1795</v>
      </c>
      <c r="J1546">
        <v>62233</v>
      </c>
      <c r="K1546" t="s">
        <v>8170</v>
      </c>
      <c r="L1546">
        <v>21</v>
      </c>
      <c r="M1546">
        <v>21</v>
      </c>
      <c r="N1546">
        <v>62233</v>
      </c>
      <c r="O1546">
        <v>1514</v>
      </c>
      <c r="P1546" t="s">
        <v>3213</v>
      </c>
      <c r="Q1546">
        <v>1.2</v>
      </c>
      <c r="R1546">
        <v>44.12</v>
      </c>
      <c r="S1546">
        <v>0.21</v>
      </c>
      <c r="T1546">
        <v>8</v>
      </c>
      <c r="U1546">
        <v>1405581.3851000001</v>
      </c>
      <c r="V1546">
        <v>7887.5242959999996</v>
      </c>
      <c r="W1546">
        <v>1545</v>
      </c>
      <c r="X1546">
        <v>0</v>
      </c>
      <c r="Y1546">
        <v>1544</v>
      </c>
      <c r="Z1546" t="s">
        <v>6966</v>
      </c>
      <c r="AA1546" t="s">
        <v>6966</v>
      </c>
      <c r="AB1546" t="s">
        <v>6966</v>
      </c>
      <c r="AC1546" t="s">
        <v>6966</v>
      </c>
      <c r="AD1546" t="s">
        <v>6966</v>
      </c>
      <c r="AE1546" t="s">
        <v>6966</v>
      </c>
      <c r="AF1546" t="s">
        <v>6966</v>
      </c>
      <c r="AG1546" t="s">
        <v>6966</v>
      </c>
      <c r="AH1546" t="s">
        <v>6966</v>
      </c>
      <c r="AI1546" t="s">
        <v>6966</v>
      </c>
      <c r="AJ1546" t="s">
        <v>6966</v>
      </c>
      <c r="AK1546" t="s">
        <v>6966</v>
      </c>
      <c r="AL1546" t="s">
        <v>6966</v>
      </c>
      <c r="AM1546" t="s">
        <v>6966</v>
      </c>
      <c r="AN1546" t="s">
        <v>6966</v>
      </c>
      <c r="AO1546" t="s">
        <v>6966</v>
      </c>
      <c r="AP1546" t="s">
        <v>6966</v>
      </c>
      <c r="AQ1546" t="s">
        <v>6966</v>
      </c>
      <c r="AR1546" t="s">
        <v>6966</v>
      </c>
      <c r="AS1546" t="s">
        <v>6966</v>
      </c>
      <c r="AT1546" t="s">
        <v>6966</v>
      </c>
      <c r="AU1546" t="s">
        <v>6966</v>
      </c>
      <c r="AV1546" t="s">
        <v>6966</v>
      </c>
      <c r="AW1546" t="s">
        <v>6966</v>
      </c>
      <c r="AX1546" t="s">
        <v>6966</v>
      </c>
      <c r="AY1546" t="s">
        <v>6966</v>
      </c>
      <c r="AZ1546">
        <v>7.9078999999999997E-2</v>
      </c>
      <c r="BA1546">
        <v>1.36E-4</v>
      </c>
    </row>
    <row r="1547" spans="1:53" x14ac:dyDescent="0.25">
      <c r="A1547">
        <v>1545</v>
      </c>
      <c r="B1547" t="s">
        <v>7625</v>
      </c>
      <c r="C1547">
        <v>803013</v>
      </c>
      <c r="D1547" t="s">
        <v>8171</v>
      </c>
      <c r="E1547" t="s">
        <v>1267</v>
      </c>
      <c r="F1547">
        <v>9940307</v>
      </c>
      <c r="G1547">
        <v>22104.976563</v>
      </c>
      <c r="H1547">
        <v>1547</v>
      </c>
      <c r="I1547">
        <v>1797</v>
      </c>
      <c r="J1547">
        <v>62246</v>
      </c>
      <c r="K1547" t="s">
        <v>2594</v>
      </c>
      <c r="L1547">
        <v>21</v>
      </c>
      <c r="M1547">
        <v>21</v>
      </c>
      <c r="N1547">
        <v>62246</v>
      </c>
      <c r="O1547">
        <v>1515</v>
      </c>
      <c r="P1547" t="s">
        <v>3213</v>
      </c>
      <c r="Q1547">
        <v>5.4</v>
      </c>
      <c r="R1547">
        <v>74.650000000000006</v>
      </c>
      <c r="S1547">
        <v>1.29</v>
      </c>
      <c r="T1547">
        <v>18</v>
      </c>
      <c r="U1547">
        <v>9940307.11142</v>
      </c>
      <c r="V1547">
        <v>22104.976179000001</v>
      </c>
      <c r="W1547">
        <v>1546</v>
      </c>
      <c r="X1547">
        <v>0</v>
      </c>
      <c r="Y1547">
        <v>1545</v>
      </c>
      <c r="Z1547" t="s">
        <v>6966</v>
      </c>
      <c r="AA1547" t="s">
        <v>6966</v>
      </c>
      <c r="AB1547" t="s">
        <v>6966</v>
      </c>
      <c r="AC1547" t="s">
        <v>6966</v>
      </c>
      <c r="AD1547" t="s">
        <v>6966</v>
      </c>
      <c r="AE1547" t="s">
        <v>6966</v>
      </c>
      <c r="AF1547" t="s">
        <v>6966</v>
      </c>
      <c r="AG1547" t="s">
        <v>6966</v>
      </c>
      <c r="AH1547" t="s">
        <v>6966</v>
      </c>
      <c r="AI1547" t="s">
        <v>6966</v>
      </c>
      <c r="AJ1547" t="s">
        <v>6966</v>
      </c>
      <c r="AK1547" t="s">
        <v>6966</v>
      </c>
      <c r="AL1547" t="s">
        <v>6966</v>
      </c>
      <c r="AM1547" t="s">
        <v>6966</v>
      </c>
      <c r="AN1547" t="s">
        <v>6966</v>
      </c>
      <c r="AO1547" t="s">
        <v>6966</v>
      </c>
      <c r="AP1547" t="s">
        <v>6966</v>
      </c>
      <c r="AQ1547" t="s">
        <v>6966</v>
      </c>
      <c r="AR1547" t="s">
        <v>6966</v>
      </c>
      <c r="AS1547" t="s">
        <v>6966</v>
      </c>
      <c r="AT1547" t="s">
        <v>6966</v>
      </c>
      <c r="AU1547" t="s">
        <v>6966</v>
      </c>
      <c r="AV1547" t="s">
        <v>6966</v>
      </c>
      <c r="AW1547" t="s">
        <v>6966</v>
      </c>
      <c r="AX1547" t="s">
        <v>6966</v>
      </c>
      <c r="AY1547" t="s">
        <v>6966</v>
      </c>
      <c r="AZ1547">
        <v>0.222216</v>
      </c>
      <c r="BA1547">
        <v>9.6100000000000005E-4</v>
      </c>
    </row>
    <row r="1548" spans="1:53" x14ac:dyDescent="0.25">
      <c r="A1548">
        <v>1546</v>
      </c>
      <c r="B1548" t="s">
        <v>7625</v>
      </c>
      <c r="C1548">
        <v>803010</v>
      </c>
      <c r="D1548" t="s">
        <v>8172</v>
      </c>
      <c r="E1548" t="s">
        <v>1267</v>
      </c>
      <c r="F1548">
        <v>3445119</v>
      </c>
      <c r="G1548">
        <v>11352.946289</v>
      </c>
      <c r="H1548">
        <v>1548</v>
      </c>
      <c r="I1548">
        <v>1799</v>
      </c>
      <c r="J1548">
        <v>62221</v>
      </c>
      <c r="K1548" t="s">
        <v>8172</v>
      </c>
      <c r="L1548">
        <v>21</v>
      </c>
      <c r="M1548">
        <v>21</v>
      </c>
      <c r="N1548">
        <v>62221</v>
      </c>
      <c r="O1548">
        <v>1516</v>
      </c>
      <c r="P1548" t="s">
        <v>3213</v>
      </c>
      <c r="Q1548">
        <v>3</v>
      </c>
      <c r="R1548">
        <v>74.63</v>
      </c>
      <c r="S1548">
        <v>0.84</v>
      </c>
      <c r="T1548">
        <v>21</v>
      </c>
      <c r="U1548">
        <v>3445119.0035299999</v>
      </c>
      <c r="V1548">
        <v>11352.945825999999</v>
      </c>
      <c r="W1548">
        <v>1547</v>
      </c>
      <c r="X1548">
        <v>0</v>
      </c>
      <c r="Y1548">
        <v>1546</v>
      </c>
      <c r="Z1548" t="s">
        <v>6966</v>
      </c>
      <c r="AA1548" t="s">
        <v>6966</v>
      </c>
      <c r="AB1548" t="s">
        <v>6966</v>
      </c>
      <c r="AC1548" t="s">
        <v>6966</v>
      </c>
      <c r="AD1548" t="s">
        <v>6966</v>
      </c>
      <c r="AE1548" t="s">
        <v>6966</v>
      </c>
      <c r="AF1548" t="s">
        <v>6966</v>
      </c>
      <c r="AG1548" t="s">
        <v>6966</v>
      </c>
      <c r="AH1548" t="s">
        <v>6966</v>
      </c>
      <c r="AI1548" t="s">
        <v>6966</v>
      </c>
      <c r="AJ1548" t="s">
        <v>6966</v>
      </c>
      <c r="AK1548" t="s">
        <v>6966</v>
      </c>
      <c r="AL1548" t="s">
        <v>6966</v>
      </c>
      <c r="AM1548" t="s">
        <v>6966</v>
      </c>
      <c r="AN1548" t="s">
        <v>6966</v>
      </c>
      <c r="AO1548" t="s">
        <v>6966</v>
      </c>
      <c r="AP1548" t="s">
        <v>6966</v>
      </c>
      <c r="AQ1548" t="s">
        <v>6966</v>
      </c>
      <c r="AR1548" t="s">
        <v>6966</v>
      </c>
      <c r="AS1548" t="s">
        <v>6966</v>
      </c>
      <c r="AT1548" t="s">
        <v>6966</v>
      </c>
      <c r="AU1548" t="s">
        <v>6966</v>
      </c>
      <c r="AV1548" t="s">
        <v>6966</v>
      </c>
      <c r="AW1548" t="s">
        <v>6966</v>
      </c>
      <c r="AX1548" t="s">
        <v>6966</v>
      </c>
      <c r="AY1548" t="s">
        <v>6966</v>
      </c>
      <c r="AZ1548">
        <v>0.114561</v>
      </c>
      <c r="BA1548">
        <v>3.3300000000000002E-4</v>
      </c>
    </row>
    <row r="1549" spans="1:53" x14ac:dyDescent="0.25">
      <c r="A1549">
        <v>1547</v>
      </c>
      <c r="B1549" t="s">
        <v>7625</v>
      </c>
      <c r="C1549">
        <v>803029</v>
      </c>
      <c r="D1549" t="s">
        <v>1298</v>
      </c>
      <c r="E1549" t="s">
        <v>1267</v>
      </c>
      <c r="F1549">
        <v>6199932.5</v>
      </c>
      <c r="G1549">
        <v>12913.713867</v>
      </c>
      <c r="H1549">
        <v>1549</v>
      </c>
      <c r="I1549">
        <v>1801</v>
      </c>
      <c r="J1549">
        <v>62251</v>
      </c>
      <c r="K1549" t="s">
        <v>1298</v>
      </c>
      <c r="L1549">
        <v>21</v>
      </c>
      <c r="M1549">
        <v>21</v>
      </c>
      <c r="N1549">
        <v>62251</v>
      </c>
      <c r="O1549">
        <v>1517</v>
      </c>
      <c r="P1549" t="s">
        <v>3213</v>
      </c>
      <c r="Q1549">
        <v>1.9</v>
      </c>
      <c r="R1549">
        <v>27.9</v>
      </c>
      <c r="S1549">
        <v>0.72</v>
      </c>
      <c r="T1549">
        <v>11</v>
      </c>
      <c r="U1549">
        <v>6199932.3914900003</v>
      </c>
      <c r="V1549">
        <v>12913.712815999999</v>
      </c>
      <c r="W1549">
        <v>1548</v>
      </c>
      <c r="X1549">
        <v>0</v>
      </c>
      <c r="Y1549">
        <v>1547</v>
      </c>
      <c r="Z1549" t="s">
        <v>6966</v>
      </c>
      <c r="AA1549" t="s">
        <v>6966</v>
      </c>
      <c r="AB1549" t="s">
        <v>6966</v>
      </c>
      <c r="AC1549" t="s">
        <v>6966</v>
      </c>
      <c r="AD1549" t="s">
        <v>6966</v>
      </c>
      <c r="AE1549" t="s">
        <v>6966</v>
      </c>
      <c r="AF1549" t="s">
        <v>6966</v>
      </c>
      <c r="AG1549" t="s">
        <v>6966</v>
      </c>
      <c r="AH1549" t="s">
        <v>6966</v>
      </c>
      <c r="AI1549" t="s">
        <v>6966</v>
      </c>
      <c r="AJ1549" t="s">
        <v>6966</v>
      </c>
      <c r="AK1549" t="s">
        <v>6966</v>
      </c>
      <c r="AL1549" t="s">
        <v>6966</v>
      </c>
      <c r="AM1549" t="s">
        <v>6966</v>
      </c>
      <c r="AN1549" t="s">
        <v>6966</v>
      </c>
      <c r="AO1549" t="s">
        <v>6966</v>
      </c>
      <c r="AP1549" t="s">
        <v>6966</v>
      </c>
      <c r="AQ1549" t="s">
        <v>6966</v>
      </c>
      <c r="AR1549" t="s">
        <v>6966</v>
      </c>
      <c r="AS1549" t="s">
        <v>6966</v>
      </c>
      <c r="AT1549" t="s">
        <v>6966</v>
      </c>
      <c r="AU1549" t="s">
        <v>6966</v>
      </c>
      <c r="AV1549" t="s">
        <v>6966</v>
      </c>
      <c r="AW1549" t="s">
        <v>6966</v>
      </c>
      <c r="AX1549" t="s">
        <v>6966</v>
      </c>
      <c r="AY1549" t="s">
        <v>6966</v>
      </c>
      <c r="AZ1549">
        <v>0.127691</v>
      </c>
      <c r="BA1549">
        <v>5.9999999999999995E-4</v>
      </c>
    </row>
    <row r="1550" spans="1:53" x14ac:dyDescent="0.25">
      <c r="A1550">
        <v>1548</v>
      </c>
      <c r="B1550" t="s">
        <v>7625</v>
      </c>
      <c r="C1550">
        <v>603027</v>
      </c>
      <c r="D1550" t="s">
        <v>1534</v>
      </c>
      <c r="E1550" t="s">
        <v>1508</v>
      </c>
      <c r="F1550">
        <v>5610694.5</v>
      </c>
      <c r="G1550">
        <v>13866.881836</v>
      </c>
      <c r="H1550">
        <v>1550</v>
      </c>
      <c r="I1550">
        <v>1802</v>
      </c>
      <c r="J1550">
        <v>73262</v>
      </c>
      <c r="K1550" t="s">
        <v>2781</v>
      </c>
      <c r="L1550">
        <v>25</v>
      </c>
      <c r="M1550">
        <v>25</v>
      </c>
      <c r="N1550">
        <v>73262</v>
      </c>
      <c r="O1550">
        <v>1518</v>
      </c>
      <c r="P1550" t="s">
        <v>6965</v>
      </c>
      <c r="Q1550">
        <v>3</v>
      </c>
      <c r="R1550">
        <v>52.77</v>
      </c>
      <c r="S1550">
        <v>0.59</v>
      </c>
      <c r="T1550">
        <v>10</v>
      </c>
      <c r="U1550">
        <v>5610694.79385</v>
      </c>
      <c r="V1550">
        <v>13866.881068999999</v>
      </c>
      <c r="W1550">
        <v>1549</v>
      </c>
      <c r="X1550">
        <v>0</v>
      </c>
      <c r="Y1550">
        <v>1548</v>
      </c>
      <c r="Z1550" t="s">
        <v>6966</v>
      </c>
      <c r="AA1550" t="s">
        <v>6966</v>
      </c>
      <c r="AB1550" t="s">
        <v>6966</v>
      </c>
      <c r="AC1550" t="s">
        <v>6966</v>
      </c>
      <c r="AD1550" t="s">
        <v>6966</v>
      </c>
      <c r="AE1550" t="s">
        <v>6966</v>
      </c>
      <c r="AF1550" t="s">
        <v>6966</v>
      </c>
      <c r="AG1550" t="s">
        <v>6966</v>
      </c>
      <c r="AH1550" t="s">
        <v>6966</v>
      </c>
      <c r="AI1550" t="s">
        <v>6966</v>
      </c>
      <c r="AJ1550" t="s">
        <v>6966</v>
      </c>
      <c r="AK1550" t="s">
        <v>6966</v>
      </c>
      <c r="AL1550" t="s">
        <v>6966</v>
      </c>
      <c r="AM1550" t="s">
        <v>6966</v>
      </c>
      <c r="AN1550" t="s">
        <v>6966</v>
      </c>
      <c r="AO1550" t="s">
        <v>6966</v>
      </c>
      <c r="AP1550" t="s">
        <v>6966</v>
      </c>
      <c r="AQ1550" t="s">
        <v>6966</v>
      </c>
      <c r="AR1550" t="s">
        <v>6966</v>
      </c>
      <c r="AS1550" t="s">
        <v>6966</v>
      </c>
      <c r="AT1550" t="s">
        <v>6966</v>
      </c>
      <c r="AU1550" t="s">
        <v>6966</v>
      </c>
      <c r="AV1550" t="s">
        <v>6966</v>
      </c>
      <c r="AW1550" t="s">
        <v>6966</v>
      </c>
      <c r="AX1550" t="s">
        <v>6966</v>
      </c>
      <c r="AY1550" t="s">
        <v>6966</v>
      </c>
      <c r="AZ1550">
        <v>0.136298</v>
      </c>
      <c r="BA1550">
        <v>5.4299999999999997E-4</v>
      </c>
    </row>
    <row r="1551" spans="1:53" x14ac:dyDescent="0.25">
      <c r="A1551">
        <v>1549</v>
      </c>
      <c r="B1551" t="s">
        <v>7625</v>
      </c>
      <c r="C1551">
        <v>803073</v>
      </c>
      <c r="D1551" t="s">
        <v>1277</v>
      </c>
      <c r="E1551" t="s">
        <v>1267</v>
      </c>
      <c r="F1551">
        <v>3065011.25</v>
      </c>
      <c r="G1551">
        <v>11127.649414</v>
      </c>
      <c r="H1551">
        <v>1551</v>
      </c>
      <c r="I1551">
        <v>1804</v>
      </c>
      <c r="J1551">
        <v>62219</v>
      </c>
      <c r="K1551" t="s">
        <v>1982</v>
      </c>
      <c r="L1551">
        <v>21</v>
      </c>
      <c r="M1551">
        <v>21</v>
      </c>
      <c r="N1551">
        <v>62219</v>
      </c>
      <c r="O1551">
        <v>1519</v>
      </c>
      <c r="P1551" t="s">
        <v>3213</v>
      </c>
      <c r="Q1551">
        <v>3</v>
      </c>
      <c r="R1551">
        <v>95.63</v>
      </c>
      <c r="S1551">
        <v>0.7</v>
      </c>
      <c r="T1551">
        <v>22</v>
      </c>
      <c r="U1551">
        <v>3065011.32473</v>
      </c>
      <c r="V1551">
        <v>11127.648617000001</v>
      </c>
      <c r="W1551">
        <v>1550</v>
      </c>
      <c r="X1551">
        <v>0</v>
      </c>
      <c r="Y1551">
        <v>1549</v>
      </c>
      <c r="Z1551" t="s">
        <v>6966</v>
      </c>
      <c r="AA1551" t="s">
        <v>6966</v>
      </c>
      <c r="AB1551" t="s">
        <v>6966</v>
      </c>
      <c r="AC1551" t="s">
        <v>6966</v>
      </c>
      <c r="AD1551" t="s">
        <v>6966</v>
      </c>
      <c r="AE1551" t="s">
        <v>6966</v>
      </c>
      <c r="AF1551" t="s">
        <v>6966</v>
      </c>
      <c r="AG1551" t="s">
        <v>6966</v>
      </c>
      <c r="AH1551" t="s">
        <v>6966</v>
      </c>
      <c r="AI1551" t="s">
        <v>6966</v>
      </c>
      <c r="AJ1551" t="s">
        <v>6966</v>
      </c>
      <c r="AK1551" t="s">
        <v>6966</v>
      </c>
      <c r="AL1551" t="s">
        <v>6966</v>
      </c>
      <c r="AM1551" t="s">
        <v>6966</v>
      </c>
      <c r="AN1551" t="s">
        <v>6966</v>
      </c>
      <c r="AO1551" t="s">
        <v>6966</v>
      </c>
      <c r="AP1551" t="s">
        <v>6966</v>
      </c>
      <c r="AQ1551" t="s">
        <v>6966</v>
      </c>
      <c r="AR1551" t="s">
        <v>6966</v>
      </c>
      <c r="AS1551" t="s">
        <v>6966</v>
      </c>
      <c r="AT1551" t="s">
        <v>6966</v>
      </c>
      <c r="AU1551" t="s">
        <v>6966</v>
      </c>
      <c r="AV1551" t="s">
        <v>6966</v>
      </c>
      <c r="AW1551" t="s">
        <v>6966</v>
      </c>
      <c r="AX1551" t="s">
        <v>6966</v>
      </c>
      <c r="AY1551" t="s">
        <v>6966</v>
      </c>
      <c r="AZ1551">
        <v>0.110982</v>
      </c>
      <c r="BA1551">
        <v>2.9599999999999998E-4</v>
      </c>
    </row>
    <row r="1552" spans="1:53" x14ac:dyDescent="0.25">
      <c r="A1552">
        <v>1550</v>
      </c>
      <c r="B1552" t="s">
        <v>7625</v>
      </c>
      <c r="C1552">
        <v>803059</v>
      </c>
      <c r="D1552" t="s">
        <v>1276</v>
      </c>
      <c r="E1552" t="s">
        <v>1267</v>
      </c>
      <c r="F1552">
        <v>4333027.5</v>
      </c>
      <c r="G1552">
        <v>14179.148438</v>
      </c>
      <c r="H1552">
        <v>1552</v>
      </c>
      <c r="I1552">
        <v>1805</v>
      </c>
      <c r="J1552">
        <v>62218</v>
      </c>
      <c r="K1552" t="s">
        <v>2579</v>
      </c>
      <c r="L1552">
        <v>21</v>
      </c>
      <c r="M1552">
        <v>21</v>
      </c>
      <c r="N1552">
        <v>62218</v>
      </c>
      <c r="O1552">
        <v>1520</v>
      </c>
      <c r="P1552" t="s">
        <v>3213</v>
      </c>
      <c r="Q1552">
        <v>2.6</v>
      </c>
      <c r="R1552">
        <v>29.05</v>
      </c>
      <c r="S1552">
        <v>0.54</v>
      </c>
      <c r="T1552">
        <v>6</v>
      </c>
      <c r="U1552">
        <v>4333027.6697899997</v>
      </c>
      <c r="V1552">
        <v>14179.147268000001</v>
      </c>
      <c r="W1552">
        <v>1551</v>
      </c>
      <c r="X1552">
        <v>0</v>
      </c>
      <c r="Y1552">
        <v>1550</v>
      </c>
      <c r="Z1552" t="s">
        <v>6966</v>
      </c>
      <c r="AA1552" t="s">
        <v>6966</v>
      </c>
      <c r="AB1552" t="s">
        <v>6966</v>
      </c>
      <c r="AC1552" t="s">
        <v>6966</v>
      </c>
      <c r="AD1552" t="s">
        <v>6966</v>
      </c>
      <c r="AE1552" t="s">
        <v>6966</v>
      </c>
      <c r="AF1552" t="s">
        <v>6966</v>
      </c>
      <c r="AG1552" t="s">
        <v>6966</v>
      </c>
      <c r="AH1552" t="s">
        <v>6966</v>
      </c>
      <c r="AI1552" t="s">
        <v>6966</v>
      </c>
      <c r="AJ1552" t="s">
        <v>6966</v>
      </c>
      <c r="AK1552" t="s">
        <v>6966</v>
      </c>
      <c r="AL1552" t="s">
        <v>6966</v>
      </c>
      <c r="AM1552" t="s">
        <v>6966</v>
      </c>
      <c r="AN1552" t="s">
        <v>6966</v>
      </c>
      <c r="AO1552" t="s">
        <v>6966</v>
      </c>
      <c r="AP1552" t="s">
        <v>6966</v>
      </c>
      <c r="AQ1552" t="s">
        <v>6966</v>
      </c>
      <c r="AR1552" t="s">
        <v>6966</v>
      </c>
      <c r="AS1552" t="s">
        <v>6966</v>
      </c>
      <c r="AT1552" t="s">
        <v>6966</v>
      </c>
      <c r="AU1552" t="s">
        <v>6966</v>
      </c>
      <c r="AV1552" t="s">
        <v>6966</v>
      </c>
      <c r="AW1552" t="s">
        <v>6966</v>
      </c>
      <c r="AX1552" t="s">
        <v>6966</v>
      </c>
      <c r="AY1552" t="s">
        <v>6966</v>
      </c>
      <c r="AZ1552">
        <v>0.14044999999999999</v>
      </c>
      <c r="BA1552">
        <v>4.1899999999999999E-4</v>
      </c>
    </row>
    <row r="1553" spans="1:53" x14ac:dyDescent="0.25">
      <c r="A1553">
        <v>1551</v>
      </c>
      <c r="B1553" t="s">
        <v>7625</v>
      </c>
      <c r="C1553">
        <v>603034</v>
      </c>
      <c r="D1553" t="s">
        <v>1538</v>
      </c>
      <c r="E1553" t="s">
        <v>1508</v>
      </c>
      <c r="F1553">
        <v>5801151.5</v>
      </c>
      <c r="G1553">
        <v>10441.091796999999</v>
      </c>
      <c r="H1553">
        <v>1553</v>
      </c>
      <c r="I1553">
        <v>1806</v>
      </c>
      <c r="J1553">
        <v>73282</v>
      </c>
      <c r="K1553" t="s">
        <v>1538</v>
      </c>
      <c r="L1553">
        <v>25</v>
      </c>
      <c r="M1553">
        <v>25</v>
      </c>
      <c r="N1553">
        <v>73282</v>
      </c>
      <c r="O1553">
        <v>1521</v>
      </c>
      <c r="P1553" t="s">
        <v>6965</v>
      </c>
      <c r="Q1553">
        <v>3.9</v>
      </c>
      <c r="R1553">
        <v>47.63</v>
      </c>
      <c r="S1553">
        <v>0.76</v>
      </c>
      <c r="T1553">
        <v>9</v>
      </c>
      <c r="U1553">
        <v>5801151.5973699996</v>
      </c>
      <c r="V1553">
        <v>10441.091193</v>
      </c>
      <c r="W1553">
        <v>1552</v>
      </c>
      <c r="X1553">
        <v>0</v>
      </c>
      <c r="Y1553">
        <v>1551</v>
      </c>
      <c r="Z1553" t="s">
        <v>6966</v>
      </c>
      <c r="AA1553" t="s">
        <v>6966</v>
      </c>
      <c r="AB1553" t="s">
        <v>6966</v>
      </c>
      <c r="AC1553" t="s">
        <v>6966</v>
      </c>
      <c r="AD1553" t="s">
        <v>6966</v>
      </c>
      <c r="AE1553" t="s">
        <v>6966</v>
      </c>
      <c r="AF1553" t="s">
        <v>6966</v>
      </c>
      <c r="AG1553" t="s">
        <v>6966</v>
      </c>
      <c r="AH1553" t="s">
        <v>6966</v>
      </c>
      <c r="AI1553" t="s">
        <v>6966</v>
      </c>
      <c r="AJ1553" t="s">
        <v>6966</v>
      </c>
      <c r="AK1553" t="s">
        <v>6966</v>
      </c>
      <c r="AL1553" t="s">
        <v>6966</v>
      </c>
      <c r="AM1553" t="s">
        <v>6966</v>
      </c>
      <c r="AN1553" t="s">
        <v>6966</v>
      </c>
      <c r="AO1553" t="s">
        <v>6966</v>
      </c>
      <c r="AP1553" t="s">
        <v>6966</v>
      </c>
      <c r="AQ1553" t="s">
        <v>6966</v>
      </c>
      <c r="AR1553" t="s">
        <v>6966</v>
      </c>
      <c r="AS1553" t="s">
        <v>6966</v>
      </c>
      <c r="AT1553" t="s">
        <v>6966</v>
      </c>
      <c r="AU1553" t="s">
        <v>6966</v>
      </c>
      <c r="AV1553" t="s">
        <v>6966</v>
      </c>
      <c r="AW1553" t="s">
        <v>6966</v>
      </c>
      <c r="AX1553" t="s">
        <v>6966</v>
      </c>
      <c r="AY1553" t="s">
        <v>6966</v>
      </c>
      <c r="AZ1553">
        <v>0.10283200000000001</v>
      </c>
      <c r="BA1553">
        <v>5.6099999999999998E-4</v>
      </c>
    </row>
    <row r="1554" spans="1:53" x14ac:dyDescent="0.25">
      <c r="A1554">
        <v>1552</v>
      </c>
      <c r="B1554" t="s">
        <v>7625</v>
      </c>
      <c r="C1554">
        <v>603030</v>
      </c>
      <c r="D1554" t="s">
        <v>1533</v>
      </c>
      <c r="E1554" t="s">
        <v>1508</v>
      </c>
      <c r="F1554">
        <v>5560221.5</v>
      </c>
      <c r="G1554">
        <v>11235.739258</v>
      </c>
      <c r="H1554">
        <v>1554</v>
      </c>
      <c r="I1554">
        <v>1807</v>
      </c>
      <c r="J1554">
        <v>73257</v>
      </c>
      <c r="K1554" t="s">
        <v>2780</v>
      </c>
      <c r="L1554">
        <v>25</v>
      </c>
      <c r="M1554">
        <v>25</v>
      </c>
      <c r="N1554">
        <v>73257</v>
      </c>
      <c r="O1554">
        <v>1522</v>
      </c>
      <c r="P1554" t="s">
        <v>6965</v>
      </c>
      <c r="Q1554">
        <v>0.9</v>
      </c>
      <c r="R1554">
        <v>28.33</v>
      </c>
      <c r="S1554">
        <v>0.38</v>
      </c>
      <c r="T1554">
        <v>12</v>
      </c>
      <c r="U1554">
        <v>5560221.6693700003</v>
      </c>
      <c r="V1554">
        <v>11235.738426</v>
      </c>
      <c r="W1554">
        <v>1553</v>
      </c>
      <c r="X1554">
        <v>0</v>
      </c>
      <c r="Y1554">
        <v>1552</v>
      </c>
      <c r="Z1554" t="s">
        <v>6966</v>
      </c>
      <c r="AA1554" t="s">
        <v>6966</v>
      </c>
      <c r="AB1554" t="s">
        <v>6966</v>
      </c>
      <c r="AC1554" t="s">
        <v>6966</v>
      </c>
      <c r="AD1554" t="s">
        <v>6966</v>
      </c>
      <c r="AE1554" t="s">
        <v>6966</v>
      </c>
      <c r="AF1554" t="s">
        <v>6966</v>
      </c>
      <c r="AG1554" t="s">
        <v>6966</v>
      </c>
      <c r="AH1554" t="s">
        <v>6966</v>
      </c>
      <c r="AI1554" t="s">
        <v>6966</v>
      </c>
      <c r="AJ1554" t="s">
        <v>6966</v>
      </c>
      <c r="AK1554" t="s">
        <v>6966</v>
      </c>
      <c r="AL1554" t="s">
        <v>6966</v>
      </c>
      <c r="AM1554" t="s">
        <v>6966</v>
      </c>
      <c r="AN1554" t="s">
        <v>6966</v>
      </c>
      <c r="AO1554" t="s">
        <v>6966</v>
      </c>
      <c r="AP1554" t="s">
        <v>6966</v>
      </c>
      <c r="AQ1554" t="s">
        <v>6966</v>
      </c>
      <c r="AR1554" t="s">
        <v>6966</v>
      </c>
      <c r="AS1554" t="s">
        <v>6966</v>
      </c>
      <c r="AT1554" t="s">
        <v>6966</v>
      </c>
      <c r="AU1554" t="s">
        <v>6966</v>
      </c>
      <c r="AV1554" t="s">
        <v>6966</v>
      </c>
      <c r="AW1554" t="s">
        <v>6966</v>
      </c>
      <c r="AX1554" t="s">
        <v>6966</v>
      </c>
      <c r="AY1554" t="s">
        <v>6966</v>
      </c>
      <c r="AZ1554">
        <v>0.110455</v>
      </c>
      <c r="BA1554">
        <v>5.3799999999999996E-4</v>
      </c>
    </row>
    <row r="1555" spans="1:53" x14ac:dyDescent="0.25">
      <c r="A1555">
        <v>1553</v>
      </c>
      <c r="B1555" t="s">
        <v>7625</v>
      </c>
      <c r="C1555">
        <v>803065</v>
      </c>
      <c r="D1555" t="s">
        <v>1282</v>
      </c>
      <c r="E1555" t="s">
        <v>1267</v>
      </c>
      <c r="F1555">
        <v>2196807</v>
      </c>
      <c r="G1555">
        <v>7909.8051759999998</v>
      </c>
      <c r="H1555">
        <v>1555</v>
      </c>
      <c r="I1555">
        <v>1809</v>
      </c>
      <c r="J1555">
        <v>62227</v>
      </c>
      <c r="K1555" t="s">
        <v>2583</v>
      </c>
      <c r="L1555">
        <v>21</v>
      </c>
      <c r="M1555">
        <v>21</v>
      </c>
      <c r="N1555">
        <v>62227</v>
      </c>
      <c r="O1555">
        <v>1523</v>
      </c>
      <c r="P1555" t="s">
        <v>3213</v>
      </c>
      <c r="Q1555">
        <v>7.8</v>
      </c>
      <c r="R1555">
        <v>89.4</v>
      </c>
      <c r="S1555">
        <v>1.69</v>
      </c>
      <c r="T1555">
        <v>19</v>
      </c>
      <c r="U1555">
        <v>2196806.9938500002</v>
      </c>
      <c r="V1555">
        <v>7909.8042180000002</v>
      </c>
      <c r="W1555">
        <v>1554</v>
      </c>
      <c r="X1555">
        <v>0</v>
      </c>
      <c r="Y1555">
        <v>1553</v>
      </c>
      <c r="Z1555" t="s">
        <v>6966</v>
      </c>
      <c r="AA1555" t="s">
        <v>6966</v>
      </c>
      <c r="AB1555" t="s">
        <v>6966</v>
      </c>
      <c r="AC1555" t="s">
        <v>6966</v>
      </c>
      <c r="AD1555" t="s">
        <v>6966</v>
      </c>
      <c r="AE1555" t="s">
        <v>6966</v>
      </c>
      <c r="AF1555" t="s">
        <v>6966</v>
      </c>
      <c r="AG1555" t="s">
        <v>6966</v>
      </c>
      <c r="AH1555" t="s">
        <v>6966</v>
      </c>
      <c r="AI1555" t="s">
        <v>6966</v>
      </c>
      <c r="AJ1555" t="s">
        <v>6966</v>
      </c>
      <c r="AK1555" t="s">
        <v>6966</v>
      </c>
      <c r="AL1555" t="s">
        <v>6966</v>
      </c>
      <c r="AM1555" t="s">
        <v>6966</v>
      </c>
      <c r="AN1555" t="s">
        <v>6966</v>
      </c>
      <c r="AO1555" t="s">
        <v>6966</v>
      </c>
      <c r="AP1555" t="s">
        <v>6966</v>
      </c>
      <c r="AQ1555" t="s">
        <v>6966</v>
      </c>
      <c r="AR1555" t="s">
        <v>6966</v>
      </c>
      <c r="AS1555" t="s">
        <v>6966</v>
      </c>
      <c r="AT1555" t="s">
        <v>6966</v>
      </c>
      <c r="AU1555" t="s">
        <v>6966</v>
      </c>
      <c r="AV1555" t="s">
        <v>6966</v>
      </c>
      <c r="AW1555" t="s">
        <v>6966</v>
      </c>
      <c r="AX1555" t="s">
        <v>6966</v>
      </c>
      <c r="AY1555" t="s">
        <v>6966</v>
      </c>
      <c r="AZ1555">
        <v>7.9378000000000004E-2</v>
      </c>
      <c r="BA1555">
        <v>2.12E-4</v>
      </c>
    </row>
    <row r="1556" spans="1:53" x14ac:dyDescent="0.25">
      <c r="A1556">
        <v>1554</v>
      </c>
      <c r="B1556" t="s">
        <v>7625</v>
      </c>
      <c r="C1556">
        <v>601010</v>
      </c>
      <c r="D1556" t="s">
        <v>8173</v>
      </c>
      <c r="E1556" t="s">
        <v>8155</v>
      </c>
      <c r="F1556">
        <v>1542386.125</v>
      </c>
      <c r="G1556">
        <v>6063.8349609999996</v>
      </c>
      <c r="H1556">
        <v>1556</v>
      </c>
      <c r="I1556">
        <v>1810</v>
      </c>
      <c r="J1556">
        <v>72264</v>
      </c>
      <c r="K1556" t="s">
        <v>8174</v>
      </c>
      <c r="L1556">
        <v>24</v>
      </c>
      <c r="M1556">
        <v>24</v>
      </c>
      <c r="N1556">
        <v>72264</v>
      </c>
      <c r="O1556">
        <v>1524</v>
      </c>
      <c r="P1556" t="s">
        <v>6965</v>
      </c>
      <c r="Q1556">
        <v>5.5</v>
      </c>
      <c r="R1556">
        <v>99.05</v>
      </c>
      <c r="S1556">
        <v>1.17</v>
      </c>
      <c r="T1556">
        <v>21</v>
      </c>
      <c r="U1556">
        <v>1542386.2002699999</v>
      </c>
      <c r="V1556">
        <v>6063.8346959999999</v>
      </c>
      <c r="W1556">
        <v>1555</v>
      </c>
      <c r="X1556">
        <v>0</v>
      </c>
      <c r="Y1556">
        <v>1554</v>
      </c>
      <c r="Z1556" t="s">
        <v>6966</v>
      </c>
      <c r="AA1556" t="s">
        <v>6966</v>
      </c>
      <c r="AB1556" t="s">
        <v>6966</v>
      </c>
      <c r="AC1556" t="s">
        <v>6966</v>
      </c>
      <c r="AD1556" t="s">
        <v>6966</v>
      </c>
      <c r="AE1556" t="s">
        <v>6966</v>
      </c>
      <c r="AF1556" t="s">
        <v>6966</v>
      </c>
      <c r="AG1556" t="s">
        <v>6966</v>
      </c>
      <c r="AH1556" t="s">
        <v>6966</v>
      </c>
      <c r="AI1556" t="s">
        <v>6966</v>
      </c>
      <c r="AJ1556" t="s">
        <v>6966</v>
      </c>
      <c r="AK1556" t="s">
        <v>6966</v>
      </c>
      <c r="AL1556" t="s">
        <v>6966</v>
      </c>
      <c r="AM1556" t="s">
        <v>6966</v>
      </c>
      <c r="AN1556" t="s">
        <v>6966</v>
      </c>
      <c r="AO1556" t="s">
        <v>6966</v>
      </c>
      <c r="AP1556" t="s">
        <v>6966</v>
      </c>
      <c r="AQ1556" t="s">
        <v>6966</v>
      </c>
      <c r="AR1556" t="s">
        <v>6966</v>
      </c>
      <c r="AS1556" t="s">
        <v>6966</v>
      </c>
      <c r="AT1556" t="s">
        <v>6966</v>
      </c>
      <c r="AU1556" t="s">
        <v>6966</v>
      </c>
      <c r="AV1556" t="s">
        <v>6966</v>
      </c>
      <c r="AW1556" t="s">
        <v>6966</v>
      </c>
      <c r="AX1556" t="s">
        <v>6966</v>
      </c>
      <c r="AY1556" t="s">
        <v>6966</v>
      </c>
      <c r="AZ1556">
        <v>6.2102999999999998E-2</v>
      </c>
      <c r="BA1556">
        <v>1.4899999999999999E-4</v>
      </c>
    </row>
    <row r="1557" spans="1:53" x14ac:dyDescent="0.25">
      <c r="A1557">
        <v>1555</v>
      </c>
      <c r="B1557" t="s">
        <v>7625</v>
      </c>
      <c r="C1557">
        <v>803027</v>
      </c>
      <c r="D1557" t="s">
        <v>1272</v>
      </c>
      <c r="E1557" t="s">
        <v>1267</v>
      </c>
      <c r="F1557">
        <v>3584826.25</v>
      </c>
      <c r="G1557">
        <v>9014.0615230000003</v>
      </c>
      <c r="H1557">
        <v>1557</v>
      </c>
      <c r="I1557">
        <v>1811</v>
      </c>
      <c r="J1557">
        <v>62212</v>
      </c>
      <c r="K1557" t="s">
        <v>8175</v>
      </c>
      <c r="L1557">
        <v>21</v>
      </c>
      <c r="M1557">
        <v>21</v>
      </c>
      <c r="N1557">
        <v>62212</v>
      </c>
      <c r="O1557">
        <v>1525</v>
      </c>
      <c r="P1557" t="s">
        <v>3213</v>
      </c>
      <c r="Q1557">
        <v>3.5</v>
      </c>
      <c r="R1557">
        <v>154.34</v>
      </c>
      <c r="S1557">
        <v>0.68</v>
      </c>
      <c r="T1557">
        <v>30</v>
      </c>
      <c r="U1557">
        <v>3584826.1006</v>
      </c>
      <c r="V1557">
        <v>9014.0602469999994</v>
      </c>
      <c r="W1557">
        <v>1556</v>
      </c>
      <c r="X1557">
        <v>0</v>
      </c>
      <c r="Y1557">
        <v>1555</v>
      </c>
      <c r="Z1557" t="s">
        <v>6966</v>
      </c>
      <c r="AA1557" t="s">
        <v>6966</v>
      </c>
      <c r="AB1557" t="s">
        <v>6966</v>
      </c>
      <c r="AC1557" t="s">
        <v>6966</v>
      </c>
      <c r="AD1557" t="s">
        <v>6966</v>
      </c>
      <c r="AE1557" t="s">
        <v>6966</v>
      </c>
      <c r="AF1557" t="s">
        <v>6966</v>
      </c>
      <c r="AG1557" t="s">
        <v>6966</v>
      </c>
      <c r="AH1557" t="s">
        <v>6966</v>
      </c>
      <c r="AI1557" t="s">
        <v>6966</v>
      </c>
      <c r="AJ1557" t="s">
        <v>6966</v>
      </c>
      <c r="AK1557" t="s">
        <v>6966</v>
      </c>
      <c r="AL1557" t="s">
        <v>6966</v>
      </c>
      <c r="AM1557" t="s">
        <v>6966</v>
      </c>
      <c r="AN1557" t="s">
        <v>6966</v>
      </c>
      <c r="AO1557" t="s">
        <v>6966</v>
      </c>
      <c r="AP1557" t="s">
        <v>6966</v>
      </c>
      <c r="AQ1557" t="s">
        <v>6966</v>
      </c>
      <c r="AR1557" t="s">
        <v>6966</v>
      </c>
      <c r="AS1557" t="s">
        <v>6966</v>
      </c>
      <c r="AT1557" t="s">
        <v>6966</v>
      </c>
      <c r="AU1557" t="s">
        <v>6966</v>
      </c>
      <c r="AV1557" t="s">
        <v>6966</v>
      </c>
      <c r="AW1557" t="s">
        <v>6966</v>
      </c>
      <c r="AX1557" t="s">
        <v>6966</v>
      </c>
      <c r="AY1557" t="s">
        <v>6966</v>
      </c>
      <c r="AZ1557">
        <v>8.992E-2</v>
      </c>
      <c r="BA1557">
        <v>3.4699999999999998E-4</v>
      </c>
    </row>
    <row r="1558" spans="1:53" x14ac:dyDescent="0.25">
      <c r="A1558">
        <v>1556</v>
      </c>
      <c r="B1558" t="s">
        <v>7625</v>
      </c>
      <c r="C1558">
        <v>803044</v>
      </c>
      <c r="D1558" t="s">
        <v>1271</v>
      </c>
      <c r="E1558" t="s">
        <v>1267</v>
      </c>
      <c r="F1558">
        <v>9776637</v>
      </c>
      <c r="G1558">
        <v>17575.931640999999</v>
      </c>
      <c r="H1558">
        <v>1558</v>
      </c>
      <c r="I1558">
        <v>1812</v>
      </c>
      <c r="J1558">
        <v>62211</v>
      </c>
      <c r="K1558" t="s">
        <v>2575</v>
      </c>
      <c r="L1558">
        <v>21</v>
      </c>
      <c r="M1558">
        <v>21</v>
      </c>
      <c r="N1558">
        <v>62211</v>
      </c>
      <c r="O1558">
        <v>1526</v>
      </c>
      <c r="P1558" t="s">
        <v>3213</v>
      </c>
      <c r="Q1558">
        <v>7.1</v>
      </c>
      <c r="R1558">
        <v>115.24</v>
      </c>
      <c r="S1558">
        <v>1.77</v>
      </c>
      <c r="T1558">
        <v>29</v>
      </c>
      <c r="U1558">
        <v>9776637.5377699994</v>
      </c>
      <c r="V1558">
        <v>17575.931482</v>
      </c>
      <c r="W1558">
        <v>1557</v>
      </c>
      <c r="X1558">
        <v>0</v>
      </c>
      <c r="Y1558">
        <v>1556</v>
      </c>
      <c r="Z1558" t="s">
        <v>6966</v>
      </c>
      <c r="AA1558" t="s">
        <v>6966</v>
      </c>
      <c r="AB1558" t="s">
        <v>6966</v>
      </c>
      <c r="AC1558" t="s">
        <v>6966</v>
      </c>
      <c r="AD1558" t="s">
        <v>6966</v>
      </c>
      <c r="AE1558" t="s">
        <v>6966</v>
      </c>
      <c r="AF1558" t="s">
        <v>6966</v>
      </c>
      <c r="AG1558" t="s">
        <v>6966</v>
      </c>
      <c r="AH1558" t="s">
        <v>6966</v>
      </c>
      <c r="AI1558" t="s">
        <v>6966</v>
      </c>
      <c r="AJ1558" t="s">
        <v>6966</v>
      </c>
      <c r="AK1558" t="s">
        <v>6966</v>
      </c>
      <c r="AL1558" t="s">
        <v>6966</v>
      </c>
      <c r="AM1558" t="s">
        <v>6966</v>
      </c>
      <c r="AN1558" t="s">
        <v>6966</v>
      </c>
      <c r="AO1558" t="s">
        <v>6966</v>
      </c>
      <c r="AP1558" t="s">
        <v>6966</v>
      </c>
      <c r="AQ1558" t="s">
        <v>6966</v>
      </c>
      <c r="AR1558" t="s">
        <v>6966</v>
      </c>
      <c r="AS1558" t="s">
        <v>6966</v>
      </c>
      <c r="AT1558" t="s">
        <v>6966</v>
      </c>
      <c r="AU1558" t="s">
        <v>6966</v>
      </c>
      <c r="AV1558" t="s">
        <v>6966</v>
      </c>
      <c r="AW1558" t="s">
        <v>6966</v>
      </c>
      <c r="AX1558" t="s">
        <v>6966</v>
      </c>
      <c r="AY1558" t="s">
        <v>6966</v>
      </c>
      <c r="AZ1558">
        <v>0.17697099999999999</v>
      </c>
      <c r="BA1558">
        <v>9.4499999999999998E-4</v>
      </c>
    </row>
    <row r="1559" spans="1:53" x14ac:dyDescent="0.25">
      <c r="A1559">
        <v>1557</v>
      </c>
      <c r="B1559" t="s">
        <v>7625</v>
      </c>
      <c r="C1559">
        <v>603001</v>
      </c>
      <c r="D1559" t="s">
        <v>8176</v>
      </c>
      <c r="E1559" t="s">
        <v>1508</v>
      </c>
      <c r="F1559">
        <v>5228205.5</v>
      </c>
      <c r="G1559">
        <v>10537.100586</v>
      </c>
      <c r="H1559">
        <v>1559</v>
      </c>
      <c r="I1559">
        <v>1813</v>
      </c>
      <c r="J1559">
        <v>73211</v>
      </c>
      <c r="K1559" t="s">
        <v>8177</v>
      </c>
      <c r="L1559">
        <v>25</v>
      </c>
      <c r="M1559">
        <v>25</v>
      </c>
      <c r="N1559">
        <v>73211</v>
      </c>
      <c r="O1559">
        <v>1527</v>
      </c>
      <c r="P1559" t="s">
        <v>6965</v>
      </c>
      <c r="Q1559">
        <v>3.7</v>
      </c>
      <c r="R1559">
        <v>78.64</v>
      </c>
      <c r="S1559">
        <v>1.32</v>
      </c>
      <c r="T1559">
        <v>28</v>
      </c>
      <c r="U1559">
        <v>5228205.4909899998</v>
      </c>
      <c r="V1559">
        <v>10537.100386</v>
      </c>
      <c r="W1559">
        <v>1558</v>
      </c>
      <c r="X1559">
        <v>0</v>
      </c>
      <c r="Y1559">
        <v>1557</v>
      </c>
      <c r="Z1559" t="s">
        <v>6966</v>
      </c>
      <c r="AA1559" t="s">
        <v>6966</v>
      </c>
      <c r="AB1559" t="s">
        <v>6966</v>
      </c>
      <c r="AC1559" t="s">
        <v>6966</v>
      </c>
      <c r="AD1559" t="s">
        <v>6966</v>
      </c>
      <c r="AE1559" t="s">
        <v>6966</v>
      </c>
      <c r="AF1559" t="s">
        <v>6966</v>
      </c>
      <c r="AG1559" t="s">
        <v>6966</v>
      </c>
      <c r="AH1559" t="s">
        <v>6966</v>
      </c>
      <c r="AI1559" t="s">
        <v>6966</v>
      </c>
      <c r="AJ1559" t="s">
        <v>6966</v>
      </c>
      <c r="AK1559" t="s">
        <v>6966</v>
      </c>
      <c r="AL1559" t="s">
        <v>6966</v>
      </c>
      <c r="AM1559" t="s">
        <v>6966</v>
      </c>
      <c r="AN1559" t="s">
        <v>6966</v>
      </c>
      <c r="AO1559" t="s">
        <v>6966</v>
      </c>
      <c r="AP1559" t="s">
        <v>6966</v>
      </c>
      <c r="AQ1559" t="s">
        <v>6966</v>
      </c>
      <c r="AR1559" t="s">
        <v>6966</v>
      </c>
      <c r="AS1559" t="s">
        <v>6966</v>
      </c>
      <c r="AT1559" t="s">
        <v>6966</v>
      </c>
      <c r="AU1559" t="s">
        <v>6966</v>
      </c>
      <c r="AV1559" t="s">
        <v>6966</v>
      </c>
      <c r="AW1559" t="s">
        <v>6966</v>
      </c>
      <c r="AX1559" t="s">
        <v>6966</v>
      </c>
      <c r="AY1559" t="s">
        <v>6966</v>
      </c>
      <c r="AZ1559">
        <v>0.102669</v>
      </c>
      <c r="BA1559">
        <v>5.0600000000000005E-4</v>
      </c>
    </row>
    <row r="1560" spans="1:53" x14ac:dyDescent="0.25">
      <c r="A1560">
        <v>1558</v>
      </c>
      <c r="B1560" t="s">
        <v>7625</v>
      </c>
      <c r="C1560">
        <v>601025</v>
      </c>
      <c r="D1560" t="s">
        <v>8178</v>
      </c>
      <c r="E1560" t="s">
        <v>8155</v>
      </c>
      <c r="F1560">
        <v>1758434.25</v>
      </c>
      <c r="G1560">
        <v>5774.5141599999997</v>
      </c>
      <c r="H1560">
        <v>1560</v>
      </c>
      <c r="I1560">
        <v>1814</v>
      </c>
      <c r="J1560">
        <v>72261</v>
      </c>
      <c r="K1560" t="s">
        <v>8179</v>
      </c>
      <c r="L1560">
        <v>24</v>
      </c>
      <c r="M1560">
        <v>24</v>
      </c>
      <c r="N1560">
        <v>72261</v>
      </c>
      <c r="O1560">
        <v>1528</v>
      </c>
      <c r="P1560" t="s">
        <v>6965</v>
      </c>
      <c r="Q1560">
        <v>4.9000000000000004</v>
      </c>
      <c r="R1560">
        <v>52.28</v>
      </c>
      <c r="S1560">
        <v>1.44</v>
      </c>
      <c r="T1560">
        <v>15</v>
      </c>
      <c r="U1560">
        <v>1758434.31865</v>
      </c>
      <c r="V1560">
        <v>5774.5149339999998</v>
      </c>
      <c r="W1560">
        <v>1559</v>
      </c>
      <c r="X1560">
        <v>0</v>
      </c>
      <c r="Y1560">
        <v>1558</v>
      </c>
      <c r="Z1560" t="s">
        <v>6966</v>
      </c>
      <c r="AA1560" t="s">
        <v>6966</v>
      </c>
      <c r="AB1560" t="s">
        <v>6966</v>
      </c>
      <c r="AC1560" t="s">
        <v>6966</v>
      </c>
      <c r="AD1560" t="s">
        <v>6966</v>
      </c>
      <c r="AE1560" t="s">
        <v>6966</v>
      </c>
      <c r="AF1560" t="s">
        <v>6966</v>
      </c>
      <c r="AG1560" t="s">
        <v>6966</v>
      </c>
      <c r="AH1560" t="s">
        <v>6966</v>
      </c>
      <c r="AI1560" t="s">
        <v>6966</v>
      </c>
      <c r="AJ1560" t="s">
        <v>6966</v>
      </c>
      <c r="AK1560" t="s">
        <v>6966</v>
      </c>
      <c r="AL1560" t="s">
        <v>6966</v>
      </c>
      <c r="AM1560" t="s">
        <v>6966</v>
      </c>
      <c r="AN1560" t="s">
        <v>6966</v>
      </c>
      <c r="AO1560" t="s">
        <v>6966</v>
      </c>
      <c r="AP1560" t="s">
        <v>6966</v>
      </c>
      <c r="AQ1560" t="s">
        <v>6966</v>
      </c>
      <c r="AR1560" t="s">
        <v>6966</v>
      </c>
      <c r="AS1560" t="s">
        <v>6966</v>
      </c>
      <c r="AT1560" t="s">
        <v>6966</v>
      </c>
      <c r="AU1560" t="s">
        <v>6966</v>
      </c>
      <c r="AV1560" t="s">
        <v>6966</v>
      </c>
      <c r="AW1560" t="s">
        <v>6966</v>
      </c>
      <c r="AX1560" t="s">
        <v>6966</v>
      </c>
      <c r="AY1560" t="s">
        <v>6966</v>
      </c>
      <c r="AZ1560">
        <v>5.6863999999999998E-2</v>
      </c>
      <c r="BA1560">
        <v>1.7000000000000001E-4</v>
      </c>
    </row>
    <row r="1561" spans="1:53" x14ac:dyDescent="0.25">
      <c r="A1561">
        <v>1559</v>
      </c>
      <c r="B1561" t="s">
        <v>7625</v>
      </c>
      <c r="C1561">
        <v>603006</v>
      </c>
      <c r="D1561" t="s">
        <v>1523</v>
      </c>
      <c r="E1561" t="s">
        <v>1508</v>
      </c>
      <c r="F1561">
        <v>2888450.5</v>
      </c>
      <c r="G1561">
        <v>7488.9536129999997</v>
      </c>
      <c r="H1561">
        <v>1561</v>
      </c>
      <c r="I1561">
        <v>1815</v>
      </c>
      <c r="J1561">
        <v>73226</v>
      </c>
      <c r="K1561" t="s">
        <v>2773</v>
      </c>
      <c r="L1561">
        <v>25</v>
      </c>
      <c r="M1561">
        <v>25</v>
      </c>
      <c r="N1561">
        <v>73226</v>
      </c>
      <c r="O1561">
        <v>1529</v>
      </c>
      <c r="P1561" t="s">
        <v>6965</v>
      </c>
      <c r="Q1561">
        <v>0.8</v>
      </c>
      <c r="R1561">
        <v>18.22</v>
      </c>
      <c r="S1561">
        <v>0.57999999999999996</v>
      </c>
      <c r="T1561">
        <v>14</v>
      </c>
      <c r="U1561">
        <v>2888450.5095099998</v>
      </c>
      <c r="V1561">
        <v>7488.9530269999996</v>
      </c>
      <c r="W1561">
        <v>1560</v>
      </c>
      <c r="X1561">
        <v>0</v>
      </c>
      <c r="Y1561">
        <v>1559</v>
      </c>
      <c r="Z1561" t="s">
        <v>6966</v>
      </c>
      <c r="AA1561" t="s">
        <v>6966</v>
      </c>
      <c r="AB1561" t="s">
        <v>6966</v>
      </c>
      <c r="AC1561" t="s">
        <v>6966</v>
      </c>
      <c r="AD1561" t="s">
        <v>6966</v>
      </c>
      <c r="AE1561" t="s">
        <v>6966</v>
      </c>
      <c r="AF1561" t="s">
        <v>6966</v>
      </c>
      <c r="AG1561" t="s">
        <v>6966</v>
      </c>
      <c r="AH1561" t="s">
        <v>6966</v>
      </c>
      <c r="AI1561" t="s">
        <v>6966</v>
      </c>
      <c r="AJ1561" t="s">
        <v>6966</v>
      </c>
      <c r="AK1561" t="s">
        <v>6966</v>
      </c>
      <c r="AL1561" t="s">
        <v>6966</v>
      </c>
      <c r="AM1561" t="s">
        <v>6966</v>
      </c>
      <c r="AN1561" t="s">
        <v>6966</v>
      </c>
      <c r="AO1561" t="s">
        <v>6966</v>
      </c>
      <c r="AP1561" t="s">
        <v>6966</v>
      </c>
      <c r="AQ1561" t="s">
        <v>6966</v>
      </c>
      <c r="AR1561" t="s">
        <v>6966</v>
      </c>
      <c r="AS1561" t="s">
        <v>6966</v>
      </c>
      <c r="AT1561" t="s">
        <v>6966</v>
      </c>
      <c r="AU1561" t="s">
        <v>6966</v>
      </c>
      <c r="AV1561" t="s">
        <v>6966</v>
      </c>
      <c r="AW1561" t="s">
        <v>6966</v>
      </c>
      <c r="AX1561" t="s">
        <v>6966</v>
      </c>
      <c r="AY1561" t="s">
        <v>6966</v>
      </c>
      <c r="AZ1561">
        <v>7.4791999999999997E-2</v>
      </c>
      <c r="BA1561">
        <v>2.7900000000000001E-4</v>
      </c>
    </row>
    <row r="1562" spans="1:53" x14ac:dyDescent="0.25">
      <c r="A1562">
        <v>1560</v>
      </c>
      <c r="B1562" t="s">
        <v>7625</v>
      </c>
      <c r="C1562">
        <v>803024</v>
      </c>
      <c r="D1562" t="s">
        <v>8180</v>
      </c>
      <c r="E1562" t="s">
        <v>1267</v>
      </c>
      <c r="F1562">
        <v>5828100.5</v>
      </c>
      <c r="G1562">
        <v>11709.670898</v>
      </c>
      <c r="H1562">
        <v>1562</v>
      </c>
      <c r="I1562">
        <v>1816</v>
      </c>
      <c r="J1562">
        <v>62254</v>
      </c>
      <c r="K1562" t="s">
        <v>2598</v>
      </c>
      <c r="L1562">
        <v>21</v>
      </c>
      <c r="M1562">
        <v>21</v>
      </c>
      <c r="N1562">
        <v>62254</v>
      </c>
      <c r="O1562">
        <v>1530</v>
      </c>
      <c r="P1562" t="s">
        <v>3213</v>
      </c>
      <c r="Q1562">
        <v>9</v>
      </c>
      <c r="R1562">
        <v>144.9</v>
      </c>
      <c r="S1562">
        <v>2.0699999999999998</v>
      </c>
      <c r="T1562">
        <v>33</v>
      </c>
      <c r="U1562">
        <v>5828100.1724699996</v>
      </c>
      <c r="V1562">
        <v>11709.670872000001</v>
      </c>
      <c r="W1562">
        <v>1561</v>
      </c>
      <c r="X1562">
        <v>1</v>
      </c>
      <c r="Y1562">
        <v>1560</v>
      </c>
      <c r="Z1562">
        <v>69599</v>
      </c>
      <c r="AA1562" s="76">
        <v>45902</v>
      </c>
      <c r="AB1562">
        <v>2025</v>
      </c>
      <c r="AC1562" t="s">
        <v>7433</v>
      </c>
      <c r="AD1562">
        <v>2</v>
      </c>
      <c r="AE1562" t="s">
        <v>7434</v>
      </c>
      <c r="AF1562" t="s">
        <v>3213</v>
      </c>
      <c r="AG1562" t="s">
        <v>1267</v>
      </c>
      <c r="AH1562" t="s">
        <v>7435</v>
      </c>
      <c r="AI1562" t="s">
        <v>2990</v>
      </c>
      <c r="AJ1562" t="s">
        <v>6966</v>
      </c>
      <c r="AK1562">
        <v>33.242629999999998</v>
      </c>
      <c r="AL1562">
        <v>35.382629999999999</v>
      </c>
      <c r="AM1562" t="s">
        <v>7013</v>
      </c>
      <c r="AN1562" t="s">
        <v>6966</v>
      </c>
      <c r="AO1562" t="s">
        <v>7008</v>
      </c>
      <c r="AP1562" t="s">
        <v>7436</v>
      </c>
      <c r="AQ1562" t="s">
        <v>6998</v>
      </c>
      <c r="AR1562" t="s">
        <v>6999</v>
      </c>
      <c r="AS1562" t="s">
        <v>7000</v>
      </c>
      <c r="AT1562">
        <v>0</v>
      </c>
      <c r="AU1562">
        <v>0</v>
      </c>
      <c r="AV1562" t="s">
        <v>7437</v>
      </c>
      <c r="AW1562" t="s">
        <v>7043</v>
      </c>
      <c r="AX1562" t="s">
        <v>6966</v>
      </c>
      <c r="AY1562" t="s">
        <v>7003</v>
      </c>
      <c r="AZ1562">
        <v>0.115145</v>
      </c>
      <c r="BA1562">
        <v>5.6400000000000005E-4</v>
      </c>
    </row>
    <row r="1563" spans="1:53" x14ac:dyDescent="0.25">
      <c r="A1563">
        <v>1561</v>
      </c>
      <c r="B1563" t="s">
        <v>7625</v>
      </c>
      <c r="C1563">
        <v>803003</v>
      </c>
      <c r="D1563" t="s">
        <v>1292</v>
      </c>
      <c r="E1563" t="s">
        <v>1267</v>
      </c>
      <c r="F1563">
        <v>6952309.5</v>
      </c>
      <c r="G1563">
        <v>16817.498047000001</v>
      </c>
      <c r="H1563">
        <v>1563</v>
      </c>
      <c r="I1563">
        <v>1818</v>
      </c>
      <c r="J1563">
        <v>62243</v>
      </c>
      <c r="K1563" t="s">
        <v>8181</v>
      </c>
      <c r="L1563">
        <v>21</v>
      </c>
      <c r="M1563">
        <v>21</v>
      </c>
      <c r="N1563">
        <v>62243</v>
      </c>
      <c r="O1563">
        <v>1531</v>
      </c>
      <c r="P1563" t="s">
        <v>3213</v>
      </c>
      <c r="Q1563">
        <v>6.2</v>
      </c>
      <c r="R1563">
        <v>128.66</v>
      </c>
      <c r="S1563">
        <v>1.92</v>
      </c>
      <c r="T1563">
        <v>40</v>
      </c>
      <c r="U1563">
        <v>6952309.6344900001</v>
      </c>
      <c r="V1563">
        <v>16817.499888999999</v>
      </c>
      <c r="W1563">
        <v>1562</v>
      </c>
      <c r="X1563">
        <v>2</v>
      </c>
      <c r="Y1563">
        <v>1561</v>
      </c>
      <c r="Z1563">
        <v>62285</v>
      </c>
      <c r="AA1563" s="76">
        <v>45791</v>
      </c>
      <c r="AB1563">
        <v>2025</v>
      </c>
      <c r="AC1563" t="s">
        <v>7215</v>
      </c>
      <c r="AD1563">
        <v>14</v>
      </c>
      <c r="AE1563" t="s">
        <v>7249</v>
      </c>
      <c r="AF1563" t="s">
        <v>3213</v>
      </c>
      <c r="AG1563" t="s">
        <v>1267</v>
      </c>
      <c r="AH1563" t="s">
        <v>1292</v>
      </c>
      <c r="AI1563" t="s">
        <v>7250</v>
      </c>
      <c r="AJ1563" t="s">
        <v>6966</v>
      </c>
      <c r="AK1563">
        <v>33.23348</v>
      </c>
      <c r="AL1563">
        <v>35.26925</v>
      </c>
      <c r="AM1563" t="s">
        <v>7013</v>
      </c>
      <c r="AN1563" t="s">
        <v>7014</v>
      </c>
      <c r="AO1563" t="s">
        <v>7008</v>
      </c>
      <c r="AP1563" t="s">
        <v>7251</v>
      </c>
      <c r="AQ1563" t="s">
        <v>6998</v>
      </c>
      <c r="AR1563" t="s">
        <v>6999</v>
      </c>
      <c r="AS1563" t="s">
        <v>7000</v>
      </c>
      <c r="AT1563">
        <v>0</v>
      </c>
      <c r="AU1563">
        <v>0</v>
      </c>
      <c r="AV1563" t="s">
        <v>7248</v>
      </c>
      <c r="AW1563" t="s">
        <v>7018</v>
      </c>
      <c r="AX1563" t="s">
        <v>6966</v>
      </c>
      <c r="AY1563" t="s">
        <v>7003</v>
      </c>
      <c r="AZ1563">
        <v>0.16909199999999999</v>
      </c>
      <c r="BA1563">
        <v>6.7199999999999996E-4</v>
      </c>
    </row>
    <row r="1564" spans="1:53" x14ac:dyDescent="0.25">
      <c r="A1564">
        <v>1562</v>
      </c>
      <c r="B1564" t="s">
        <v>7625</v>
      </c>
      <c r="C1564">
        <v>601021</v>
      </c>
      <c r="D1564" t="s">
        <v>1493</v>
      </c>
      <c r="E1564" t="s">
        <v>8155</v>
      </c>
      <c r="F1564">
        <v>7625366.5</v>
      </c>
      <c r="G1564">
        <v>13315.293944999999</v>
      </c>
      <c r="H1564">
        <v>1564</v>
      </c>
      <c r="I1564">
        <v>1819</v>
      </c>
      <c r="J1564">
        <v>72247</v>
      </c>
      <c r="K1564" t="s">
        <v>2751</v>
      </c>
      <c r="L1564">
        <v>24</v>
      </c>
      <c r="M1564">
        <v>24</v>
      </c>
      <c r="N1564">
        <v>72247</v>
      </c>
      <c r="O1564">
        <v>1532</v>
      </c>
      <c r="P1564" t="s">
        <v>6965</v>
      </c>
      <c r="Q1564">
        <v>3</v>
      </c>
      <c r="R1564">
        <v>26.64</v>
      </c>
      <c r="S1564">
        <v>1.21</v>
      </c>
      <c r="T1564">
        <v>11</v>
      </c>
      <c r="U1564">
        <v>7625366.4710299997</v>
      </c>
      <c r="V1564">
        <v>13315.293629</v>
      </c>
      <c r="W1564">
        <v>1563</v>
      </c>
      <c r="X1564">
        <v>0</v>
      </c>
      <c r="Y1564">
        <v>1562</v>
      </c>
      <c r="Z1564" t="s">
        <v>6966</v>
      </c>
      <c r="AA1564" t="s">
        <v>6966</v>
      </c>
      <c r="AB1564" t="s">
        <v>6966</v>
      </c>
      <c r="AC1564" t="s">
        <v>6966</v>
      </c>
      <c r="AD1564" t="s">
        <v>6966</v>
      </c>
      <c r="AE1564" t="s">
        <v>6966</v>
      </c>
      <c r="AF1564" t="s">
        <v>6966</v>
      </c>
      <c r="AG1564" t="s">
        <v>6966</v>
      </c>
      <c r="AH1564" t="s">
        <v>6966</v>
      </c>
      <c r="AI1564" t="s">
        <v>6966</v>
      </c>
      <c r="AJ1564" t="s">
        <v>6966</v>
      </c>
      <c r="AK1564" t="s">
        <v>6966</v>
      </c>
      <c r="AL1564" t="s">
        <v>6966</v>
      </c>
      <c r="AM1564" t="s">
        <v>6966</v>
      </c>
      <c r="AN1564" t="s">
        <v>6966</v>
      </c>
      <c r="AO1564" t="s">
        <v>6966</v>
      </c>
      <c r="AP1564" t="s">
        <v>6966</v>
      </c>
      <c r="AQ1564" t="s">
        <v>6966</v>
      </c>
      <c r="AR1564" t="s">
        <v>6966</v>
      </c>
      <c r="AS1564" t="s">
        <v>6966</v>
      </c>
      <c r="AT1564" t="s">
        <v>6966</v>
      </c>
      <c r="AU1564" t="s">
        <v>6966</v>
      </c>
      <c r="AV1564" t="s">
        <v>6966</v>
      </c>
      <c r="AW1564" t="s">
        <v>6966</v>
      </c>
      <c r="AX1564" t="s">
        <v>6966</v>
      </c>
      <c r="AY1564" t="s">
        <v>6966</v>
      </c>
      <c r="AZ1564">
        <v>0.13200200000000001</v>
      </c>
      <c r="BA1564">
        <v>7.3700000000000002E-4</v>
      </c>
    </row>
    <row r="1565" spans="1:53" x14ac:dyDescent="0.25">
      <c r="A1565">
        <v>1563</v>
      </c>
      <c r="B1565" t="s">
        <v>7625</v>
      </c>
      <c r="C1565">
        <v>601022</v>
      </c>
      <c r="D1565" t="s">
        <v>1489</v>
      </c>
      <c r="E1565" t="s">
        <v>8155</v>
      </c>
      <c r="F1565">
        <v>3791660.75</v>
      </c>
      <c r="G1565">
        <v>8966.4316409999992</v>
      </c>
      <c r="H1565">
        <v>1565</v>
      </c>
      <c r="I1565">
        <v>1820</v>
      </c>
      <c r="J1565">
        <v>72234</v>
      </c>
      <c r="K1565" t="s">
        <v>2748</v>
      </c>
      <c r="L1565">
        <v>24</v>
      </c>
      <c r="M1565">
        <v>24</v>
      </c>
      <c r="N1565">
        <v>72234</v>
      </c>
      <c r="O1565">
        <v>1533</v>
      </c>
      <c r="P1565" t="s">
        <v>6965</v>
      </c>
      <c r="Q1565">
        <v>4.3</v>
      </c>
      <c r="R1565">
        <v>36.880000000000003</v>
      </c>
      <c r="S1565">
        <v>1.88</v>
      </c>
      <c r="T1565">
        <v>16</v>
      </c>
      <c r="U1565">
        <v>3791660.5730099999</v>
      </c>
      <c r="V1565">
        <v>8966.4318779999994</v>
      </c>
      <c r="W1565">
        <v>1564</v>
      </c>
      <c r="X1565">
        <v>0</v>
      </c>
      <c r="Y1565">
        <v>1563</v>
      </c>
      <c r="Z1565" t="s">
        <v>6966</v>
      </c>
      <c r="AA1565" t="s">
        <v>6966</v>
      </c>
      <c r="AB1565" t="s">
        <v>6966</v>
      </c>
      <c r="AC1565" t="s">
        <v>6966</v>
      </c>
      <c r="AD1565" t="s">
        <v>6966</v>
      </c>
      <c r="AE1565" t="s">
        <v>6966</v>
      </c>
      <c r="AF1565" t="s">
        <v>6966</v>
      </c>
      <c r="AG1565" t="s">
        <v>6966</v>
      </c>
      <c r="AH1565" t="s">
        <v>6966</v>
      </c>
      <c r="AI1565" t="s">
        <v>6966</v>
      </c>
      <c r="AJ1565" t="s">
        <v>6966</v>
      </c>
      <c r="AK1565" t="s">
        <v>6966</v>
      </c>
      <c r="AL1565" t="s">
        <v>6966</v>
      </c>
      <c r="AM1565" t="s">
        <v>6966</v>
      </c>
      <c r="AN1565" t="s">
        <v>6966</v>
      </c>
      <c r="AO1565" t="s">
        <v>6966</v>
      </c>
      <c r="AP1565" t="s">
        <v>6966</v>
      </c>
      <c r="AQ1565" t="s">
        <v>6966</v>
      </c>
      <c r="AR1565" t="s">
        <v>6966</v>
      </c>
      <c r="AS1565" t="s">
        <v>6966</v>
      </c>
      <c r="AT1565" t="s">
        <v>6966</v>
      </c>
      <c r="AU1565" t="s">
        <v>6966</v>
      </c>
      <c r="AV1565" t="s">
        <v>6966</v>
      </c>
      <c r="AW1565" t="s">
        <v>6966</v>
      </c>
      <c r="AX1565" t="s">
        <v>6966</v>
      </c>
      <c r="AY1565" t="s">
        <v>6966</v>
      </c>
      <c r="AZ1565">
        <v>8.8234999999999994E-2</v>
      </c>
      <c r="BA1565">
        <v>3.6699999999999998E-4</v>
      </c>
    </row>
    <row r="1566" spans="1:53" x14ac:dyDescent="0.25">
      <c r="A1566">
        <v>1564</v>
      </c>
      <c r="B1566" t="s">
        <v>7625</v>
      </c>
      <c r="C1566">
        <v>603020</v>
      </c>
      <c r="D1566" t="s">
        <v>1536</v>
      </c>
      <c r="E1566" t="s">
        <v>1508</v>
      </c>
      <c r="F1566">
        <v>0</v>
      </c>
      <c r="G1566">
        <v>16277.024414</v>
      </c>
      <c r="H1566">
        <v>1566</v>
      </c>
      <c r="I1566">
        <v>1822</v>
      </c>
      <c r="J1566">
        <v>73279</v>
      </c>
      <c r="K1566" t="s">
        <v>1536</v>
      </c>
      <c r="L1566">
        <v>25</v>
      </c>
      <c r="M1566">
        <v>25</v>
      </c>
      <c r="N1566">
        <v>73279</v>
      </c>
      <c r="O1566">
        <v>1534</v>
      </c>
      <c r="P1566" t="s">
        <v>6965</v>
      </c>
      <c r="Q1566">
        <v>3.4</v>
      </c>
      <c r="R1566">
        <v>53.38</v>
      </c>
      <c r="S1566">
        <v>0.71</v>
      </c>
      <c r="T1566">
        <v>11</v>
      </c>
      <c r="U1566">
        <v>0</v>
      </c>
      <c r="V1566">
        <v>16277.024466000001</v>
      </c>
      <c r="W1566">
        <v>1565</v>
      </c>
      <c r="X1566">
        <v>0</v>
      </c>
      <c r="Y1566">
        <v>1564</v>
      </c>
      <c r="Z1566" t="s">
        <v>6966</v>
      </c>
      <c r="AA1566" t="s">
        <v>6966</v>
      </c>
      <c r="AB1566" t="s">
        <v>6966</v>
      </c>
      <c r="AC1566" t="s">
        <v>6966</v>
      </c>
      <c r="AD1566" t="s">
        <v>6966</v>
      </c>
      <c r="AE1566" t="s">
        <v>6966</v>
      </c>
      <c r="AF1566" t="s">
        <v>6966</v>
      </c>
      <c r="AG1566" t="s">
        <v>6966</v>
      </c>
      <c r="AH1566" t="s">
        <v>6966</v>
      </c>
      <c r="AI1566" t="s">
        <v>6966</v>
      </c>
      <c r="AJ1566" t="s">
        <v>6966</v>
      </c>
      <c r="AK1566" t="s">
        <v>6966</v>
      </c>
      <c r="AL1566" t="s">
        <v>6966</v>
      </c>
      <c r="AM1566" t="s">
        <v>6966</v>
      </c>
      <c r="AN1566" t="s">
        <v>6966</v>
      </c>
      <c r="AO1566" t="s">
        <v>6966</v>
      </c>
      <c r="AP1566" t="s">
        <v>6966</v>
      </c>
      <c r="AQ1566" t="s">
        <v>6966</v>
      </c>
      <c r="AR1566" t="s">
        <v>6966</v>
      </c>
      <c r="AS1566" t="s">
        <v>6966</v>
      </c>
      <c r="AT1566" t="s">
        <v>6966</v>
      </c>
      <c r="AU1566" t="s">
        <v>6966</v>
      </c>
      <c r="AV1566" t="s">
        <v>6966</v>
      </c>
      <c r="AW1566" t="s">
        <v>6966</v>
      </c>
      <c r="AX1566" t="s">
        <v>6966</v>
      </c>
      <c r="AY1566" t="s">
        <v>6966</v>
      </c>
      <c r="AZ1566">
        <v>0.16063</v>
      </c>
      <c r="BA1566">
        <v>1.165E-3</v>
      </c>
    </row>
    <row r="1567" spans="1:53" x14ac:dyDescent="0.25">
      <c r="A1567">
        <v>1565</v>
      </c>
      <c r="B1567" t="s">
        <v>7625</v>
      </c>
      <c r="C1567">
        <v>803012</v>
      </c>
      <c r="D1567" t="s">
        <v>1269</v>
      </c>
      <c r="E1567" t="s">
        <v>1267</v>
      </c>
      <c r="F1567">
        <v>4388593</v>
      </c>
      <c r="G1567">
        <v>14139.304688</v>
      </c>
      <c r="H1567">
        <v>1567</v>
      </c>
      <c r="I1567">
        <v>1823</v>
      </c>
      <c r="J1567">
        <v>62162</v>
      </c>
      <c r="K1567" t="s">
        <v>2573</v>
      </c>
      <c r="L1567">
        <v>21</v>
      </c>
      <c r="M1567">
        <v>21</v>
      </c>
      <c r="N1567">
        <v>62162</v>
      </c>
      <c r="O1567">
        <v>1535</v>
      </c>
      <c r="P1567" t="s">
        <v>3213</v>
      </c>
      <c r="Q1567">
        <v>6.8</v>
      </c>
      <c r="R1567">
        <v>100.02</v>
      </c>
      <c r="S1567">
        <v>1.58</v>
      </c>
      <c r="T1567">
        <v>23</v>
      </c>
      <c r="U1567">
        <v>4388593.2295500003</v>
      </c>
      <c r="V1567">
        <v>14139.305598999999</v>
      </c>
      <c r="W1567">
        <v>1566</v>
      </c>
      <c r="X1567">
        <v>1</v>
      </c>
      <c r="Y1567">
        <v>1565</v>
      </c>
      <c r="Z1567">
        <v>62284</v>
      </c>
      <c r="AA1567" s="76">
        <v>45791</v>
      </c>
      <c r="AB1567">
        <v>2025</v>
      </c>
      <c r="AC1567" t="s">
        <v>7215</v>
      </c>
      <c r="AD1567">
        <v>14</v>
      </c>
      <c r="AE1567" t="s">
        <v>7245</v>
      </c>
      <c r="AF1567" t="s">
        <v>3213</v>
      </c>
      <c r="AG1567" t="s">
        <v>1267</v>
      </c>
      <c r="AH1567" t="s">
        <v>1269</v>
      </c>
      <c r="AI1567" t="s">
        <v>7246</v>
      </c>
      <c r="AJ1567" t="s">
        <v>6966</v>
      </c>
      <c r="AK1567">
        <v>33.2254</v>
      </c>
      <c r="AL1567">
        <v>35.254429999999999</v>
      </c>
      <c r="AM1567" t="s">
        <v>7013</v>
      </c>
      <c r="AN1567" t="s">
        <v>7014</v>
      </c>
      <c r="AO1567" t="s">
        <v>7008</v>
      </c>
      <c r="AP1567" t="s">
        <v>7247</v>
      </c>
      <c r="AQ1567" t="s">
        <v>6998</v>
      </c>
      <c r="AR1567" t="s">
        <v>6999</v>
      </c>
      <c r="AS1567" t="s">
        <v>7000</v>
      </c>
      <c r="AT1567">
        <v>0</v>
      </c>
      <c r="AU1567">
        <v>0</v>
      </c>
      <c r="AV1567" t="s">
        <v>7248</v>
      </c>
      <c r="AW1567" t="s">
        <v>7018</v>
      </c>
      <c r="AX1567" t="s">
        <v>6966</v>
      </c>
      <c r="AY1567" t="s">
        <v>7003</v>
      </c>
      <c r="AZ1567">
        <v>0.14321300000000001</v>
      </c>
      <c r="BA1567">
        <v>4.2400000000000001E-4</v>
      </c>
    </row>
    <row r="1568" spans="1:53" x14ac:dyDescent="0.25">
      <c r="A1568">
        <v>1566</v>
      </c>
      <c r="B1568" t="s">
        <v>7625</v>
      </c>
      <c r="C1568">
        <v>603031</v>
      </c>
      <c r="D1568" t="s">
        <v>1537</v>
      </c>
      <c r="E1568" t="s">
        <v>1508</v>
      </c>
      <c r="F1568">
        <v>4930816.5</v>
      </c>
      <c r="G1568">
        <v>9054.7382809999999</v>
      </c>
      <c r="H1568">
        <v>1568</v>
      </c>
      <c r="I1568">
        <v>1824</v>
      </c>
      <c r="J1568">
        <v>73280</v>
      </c>
      <c r="K1568" t="s">
        <v>8182</v>
      </c>
      <c r="L1568">
        <v>25</v>
      </c>
      <c r="M1568">
        <v>25</v>
      </c>
      <c r="N1568">
        <v>73280</v>
      </c>
      <c r="O1568">
        <v>1536</v>
      </c>
      <c r="P1568" t="s">
        <v>6965</v>
      </c>
      <c r="Q1568">
        <v>3.5</v>
      </c>
      <c r="R1568">
        <v>50.63</v>
      </c>
      <c r="S1568">
        <v>0.69</v>
      </c>
      <c r="T1568">
        <v>10</v>
      </c>
      <c r="U1568">
        <v>4930816.3410799997</v>
      </c>
      <c r="V1568">
        <v>9054.7385099999992</v>
      </c>
      <c r="W1568">
        <v>1567</v>
      </c>
      <c r="X1568">
        <v>0</v>
      </c>
      <c r="Y1568">
        <v>1566</v>
      </c>
      <c r="Z1568" t="s">
        <v>6966</v>
      </c>
      <c r="AA1568" t="s">
        <v>6966</v>
      </c>
      <c r="AB1568" t="s">
        <v>6966</v>
      </c>
      <c r="AC1568" t="s">
        <v>6966</v>
      </c>
      <c r="AD1568" t="s">
        <v>6966</v>
      </c>
      <c r="AE1568" t="s">
        <v>6966</v>
      </c>
      <c r="AF1568" t="s">
        <v>6966</v>
      </c>
      <c r="AG1568" t="s">
        <v>6966</v>
      </c>
      <c r="AH1568" t="s">
        <v>6966</v>
      </c>
      <c r="AI1568" t="s">
        <v>6966</v>
      </c>
      <c r="AJ1568" t="s">
        <v>6966</v>
      </c>
      <c r="AK1568" t="s">
        <v>6966</v>
      </c>
      <c r="AL1568" t="s">
        <v>6966</v>
      </c>
      <c r="AM1568" t="s">
        <v>6966</v>
      </c>
      <c r="AN1568" t="s">
        <v>6966</v>
      </c>
      <c r="AO1568" t="s">
        <v>6966</v>
      </c>
      <c r="AP1568" t="s">
        <v>6966</v>
      </c>
      <c r="AQ1568" t="s">
        <v>6966</v>
      </c>
      <c r="AR1568" t="s">
        <v>6966</v>
      </c>
      <c r="AS1568" t="s">
        <v>6966</v>
      </c>
      <c r="AT1568" t="s">
        <v>6966</v>
      </c>
      <c r="AU1568" t="s">
        <v>6966</v>
      </c>
      <c r="AV1568" t="s">
        <v>6966</v>
      </c>
      <c r="AW1568" t="s">
        <v>6966</v>
      </c>
      <c r="AX1568" t="s">
        <v>6966</v>
      </c>
      <c r="AY1568" t="s">
        <v>6966</v>
      </c>
      <c r="AZ1568">
        <v>9.0991000000000002E-2</v>
      </c>
      <c r="BA1568">
        <v>4.7699999999999999E-4</v>
      </c>
    </row>
    <row r="1569" spans="1:53" x14ac:dyDescent="0.25">
      <c r="A1569">
        <v>1567</v>
      </c>
      <c r="B1569" t="s">
        <v>7625</v>
      </c>
      <c r="C1569">
        <v>603023</v>
      </c>
      <c r="D1569" t="s">
        <v>1529</v>
      </c>
      <c r="E1569" t="s">
        <v>1508</v>
      </c>
      <c r="F1569">
        <v>8084816</v>
      </c>
      <c r="G1569">
        <v>13329.768555000001</v>
      </c>
      <c r="H1569">
        <v>1569</v>
      </c>
      <c r="I1569">
        <v>1825</v>
      </c>
      <c r="J1569">
        <v>73245</v>
      </c>
      <c r="K1569" t="s">
        <v>1529</v>
      </c>
      <c r="L1569">
        <v>25</v>
      </c>
      <c r="M1569">
        <v>25</v>
      </c>
      <c r="N1569">
        <v>73245</v>
      </c>
      <c r="O1569">
        <v>1537</v>
      </c>
      <c r="P1569" t="s">
        <v>6965</v>
      </c>
      <c r="Q1569">
        <v>2</v>
      </c>
      <c r="R1569">
        <v>53.69</v>
      </c>
      <c r="S1569">
        <v>0.67</v>
      </c>
      <c r="T1569">
        <v>18</v>
      </c>
      <c r="U1569">
        <v>8084815.9694600003</v>
      </c>
      <c r="V1569">
        <v>13329.76838</v>
      </c>
      <c r="W1569">
        <v>1568</v>
      </c>
      <c r="X1569">
        <v>0</v>
      </c>
      <c r="Y1569">
        <v>1567</v>
      </c>
      <c r="Z1569" t="s">
        <v>6966</v>
      </c>
      <c r="AA1569" t="s">
        <v>6966</v>
      </c>
      <c r="AB1569" t="s">
        <v>6966</v>
      </c>
      <c r="AC1569" t="s">
        <v>6966</v>
      </c>
      <c r="AD1569" t="s">
        <v>6966</v>
      </c>
      <c r="AE1569" t="s">
        <v>6966</v>
      </c>
      <c r="AF1569" t="s">
        <v>6966</v>
      </c>
      <c r="AG1569" t="s">
        <v>6966</v>
      </c>
      <c r="AH1569" t="s">
        <v>6966</v>
      </c>
      <c r="AI1569" t="s">
        <v>6966</v>
      </c>
      <c r="AJ1569" t="s">
        <v>6966</v>
      </c>
      <c r="AK1569" t="s">
        <v>6966</v>
      </c>
      <c r="AL1569" t="s">
        <v>6966</v>
      </c>
      <c r="AM1569" t="s">
        <v>6966</v>
      </c>
      <c r="AN1569" t="s">
        <v>6966</v>
      </c>
      <c r="AO1569" t="s">
        <v>6966</v>
      </c>
      <c r="AP1569" t="s">
        <v>6966</v>
      </c>
      <c r="AQ1569" t="s">
        <v>6966</v>
      </c>
      <c r="AR1569" t="s">
        <v>6966</v>
      </c>
      <c r="AS1569" t="s">
        <v>6966</v>
      </c>
      <c r="AT1569" t="s">
        <v>6966</v>
      </c>
      <c r="AU1569" t="s">
        <v>6966</v>
      </c>
      <c r="AV1569" t="s">
        <v>6966</v>
      </c>
      <c r="AW1569" t="s">
        <v>6966</v>
      </c>
      <c r="AX1569" t="s">
        <v>6966</v>
      </c>
      <c r="AY1569" t="s">
        <v>6966</v>
      </c>
      <c r="AZ1569">
        <v>0.134044</v>
      </c>
      <c r="BA1569">
        <v>7.8200000000000003E-4</v>
      </c>
    </row>
    <row r="1570" spans="1:53" x14ac:dyDescent="0.25">
      <c r="A1570">
        <v>1568</v>
      </c>
      <c r="B1570" t="s">
        <v>7625</v>
      </c>
      <c r="C1570">
        <v>803006</v>
      </c>
      <c r="D1570" t="s">
        <v>1275</v>
      </c>
      <c r="E1570" t="s">
        <v>1267</v>
      </c>
      <c r="F1570">
        <v>7163505</v>
      </c>
      <c r="G1570">
        <v>13365.865234000001</v>
      </c>
      <c r="H1570">
        <v>1570</v>
      </c>
      <c r="I1570">
        <v>1826</v>
      </c>
      <c r="J1570">
        <v>62217</v>
      </c>
      <c r="K1570" t="s">
        <v>8183</v>
      </c>
      <c r="L1570">
        <v>21</v>
      </c>
      <c r="M1570">
        <v>21</v>
      </c>
      <c r="N1570">
        <v>62217</v>
      </c>
      <c r="O1570">
        <v>1538</v>
      </c>
      <c r="P1570" t="s">
        <v>3213</v>
      </c>
      <c r="Q1570">
        <v>4.4000000000000004</v>
      </c>
      <c r="R1570">
        <v>75.48</v>
      </c>
      <c r="S1570">
        <v>1.0900000000000001</v>
      </c>
      <c r="T1570">
        <v>19</v>
      </c>
      <c r="U1570">
        <v>7163504.7543900004</v>
      </c>
      <c r="V1570">
        <v>13365.864901999999</v>
      </c>
      <c r="W1570">
        <v>1569</v>
      </c>
      <c r="X1570">
        <v>0</v>
      </c>
      <c r="Y1570">
        <v>1568</v>
      </c>
      <c r="Z1570" t="s">
        <v>6966</v>
      </c>
      <c r="AA1570" t="s">
        <v>6966</v>
      </c>
      <c r="AB1570" t="s">
        <v>6966</v>
      </c>
      <c r="AC1570" t="s">
        <v>6966</v>
      </c>
      <c r="AD1570" t="s">
        <v>6966</v>
      </c>
      <c r="AE1570" t="s">
        <v>6966</v>
      </c>
      <c r="AF1570" t="s">
        <v>6966</v>
      </c>
      <c r="AG1570" t="s">
        <v>6966</v>
      </c>
      <c r="AH1570" t="s">
        <v>6966</v>
      </c>
      <c r="AI1570" t="s">
        <v>6966</v>
      </c>
      <c r="AJ1570" t="s">
        <v>6966</v>
      </c>
      <c r="AK1570" t="s">
        <v>6966</v>
      </c>
      <c r="AL1570" t="s">
        <v>6966</v>
      </c>
      <c r="AM1570" t="s">
        <v>6966</v>
      </c>
      <c r="AN1570" t="s">
        <v>6966</v>
      </c>
      <c r="AO1570" t="s">
        <v>6966</v>
      </c>
      <c r="AP1570" t="s">
        <v>6966</v>
      </c>
      <c r="AQ1570" t="s">
        <v>6966</v>
      </c>
      <c r="AR1570" t="s">
        <v>6966</v>
      </c>
      <c r="AS1570" t="s">
        <v>6966</v>
      </c>
      <c r="AT1570" t="s">
        <v>6966</v>
      </c>
      <c r="AU1570" t="s">
        <v>6966</v>
      </c>
      <c r="AV1570" t="s">
        <v>6966</v>
      </c>
      <c r="AW1570" t="s">
        <v>6966</v>
      </c>
      <c r="AX1570" t="s">
        <v>6966</v>
      </c>
      <c r="AY1570" t="s">
        <v>6966</v>
      </c>
      <c r="AZ1570">
        <v>0.13467599999999999</v>
      </c>
      <c r="BA1570">
        <v>6.9200000000000002E-4</v>
      </c>
    </row>
    <row r="1571" spans="1:53" x14ac:dyDescent="0.25">
      <c r="A1571">
        <v>1569</v>
      </c>
      <c r="B1571" t="s">
        <v>7625</v>
      </c>
      <c r="C1571">
        <v>603032</v>
      </c>
      <c r="D1571" t="s">
        <v>1528</v>
      </c>
      <c r="E1571" t="s">
        <v>1508</v>
      </c>
      <c r="F1571">
        <v>4552483.5</v>
      </c>
      <c r="G1571">
        <v>9095.9365230000003</v>
      </c>
      <c r="H1571">
        <v>1571</v>
      </c>
      <c r="I1571">
        <v>1827</v>
      </c>
      <c r="J1571">
        <v>73244</v>
      </c>
      <c r="K1571" t="s">
        <v>1528</v>
      </c>
      <c r="L1571">
        <v>25</v>
      </c>
      <c r="M1571">
        <v>25</v>
      </c>
      <c r="N1571">
        <v>73244</v>
      </c>
      <c r="O1571">
        <v>1539</v>
      </c>
      <c r="P1571" t="s">
        <v>6965</v>
      </c>
      <c r="Q1571">
        <v>1.1000000000000001</v>
      </c>
      <c r="R1571">
        <v>42.76</v>
      </c>
      <c r="S1571">
        <v>0.44</v>
      </c>
      <c r="T1571">
        <v>17</v>
      </c>
      <c r="U1571">
        <v>4552483.5633300003</v>
      </c>
      <c r="V1571">
        <v>9095.9368460000005</v>
      </c>
      <c r="W1571">
        <v>1570</v>
      </c>
      <c r="X1571">
        <v>0</v>
      </c>
      <c r="Y1571">
        <v>1569</v>
      </c>
      <c r="Z1571" t="s">
        <v>6966</v>
      </c>
      <c r="AA1571" t="s">
        <v>6966</v>
      </c>
      <c r="AB1571" t="s">
        <v>6966</v>
      </c>
      <c r="AC1571" t="s">
        <v>6966</v>
      </c>
      <c r="AD1571" t="s">
        <v>6966</v>
      </c>
      <c r="AE1571" t="s">
        <v>6966</v>
      </c>
      <c r="AF1571" t="s">
        <v>6966</v>
      </c>
      <c r="AG1571" t="s">
        <v>6966</v>
      </c>
      <c r="AH1571" t="s">
        <v>6966</v>
      </c>
      <c r="AI1571" t="s">
        <v>6966</v>
      </c>
      <c r="AJ1571" t="s">
        <v>6966</v>
      </c>
      <c r="AK1571" t="s">
        <v>6966</v>
      </c>
      <c r="AL1571" t="s">
        <v>6966</v>
      </c>
      <c r="AM1571" t="s">
        <v>6966</v>
      </c>
      <c r="AN1571" t="s">
        <v>6966</v>
      </c>
      <c r="AO1571" t="s">
        <v>6966</v>
      </c>
      <c r="AP1571" t="s">
        <v>6966</v>
      </c>
      <c r="AQ1571" t="s">
        <v>6966</v>
      </c>
      <c r="AR1571" t="s">
        <v>6966</v>
      </c>
      <c r="AS1571" t="s">
        <v>6966</v>
      </c>
      <c r="AT1571" t="s">
        <v>6966</v>
      </c>
      <c r="AU1571" t="s">
        <v>6966</v>
      </c>
      <c r="AV1571" t="s">
        <v>6966</v>
      </c>
      <c r="AW1571" t="s">
        <v>6966</v>
      </c>
      <c r="AX1571" t="s">
        <v>6966</v>
      </c>
      <c r="AY1571" t="s">
        <v>6966</v>
      </c>
      <c r="AZ1571">
        <v>8.8566000000000006E-2</v>
      </c>
      <c r="BA1571">
        <v>4.4000000000000002E-4</v>
      </c>
    </row>
    <row r="1572" spans="1:53" x14ac:dyDescent="0.25">
      <c r="A1572">
        <v>1570</v>
      </c>
      <c r="B1572" t="s">
        <v>7625</v>
      </c>
      <c r="C1572">
        <v>803048</v>
      </c>
      <c r="D1572" t="s">
        <v>1273</v>
      </c>
      <c r="E1572" t="s">
        <v>1267</v>
      </c>
      <c r="F1572">
        <v>2250984</v>
      </c>
      <c r="G1572">
        <v>7605.4702150000003</v>
      </c>
      <c r="H1572">
        <v>1572</v>
      </c>
      <c r="I1572">
        <v>1828</v>
      </c>
      <c r="J1572">
        <v>62214</v>
      </c>
      <c r="K1572" t="s">
        <v>2577</v>
      </c>
      <c r="L1572">
        <v>21</v>
      </c>
      <c r="M1572">
        <v>21</v>
      </c>
      <c r="N1572">
        <v>62214</v>
      </c>
      <c r="O1572">
        <v>1540</v>
      </c>
      <c r="P1572" t="s">
        <v>3213</v>
      </c>
      <c r="Q1572">
        <v>8.6</v>
      </c>
      <c r="R1572">
        <v>53.04</v>
      </c>
      <c r="S1572">
        <v>2.5299999999999998</v>
      </c>
      <c r="T1572">
        <v>16</v>
      </c>
      <c r="U1572">
        <v>2250983.9122899999</v>
      </c>
      <c r="V1572">
        <v>7605.4704659999998</v>
      </c>
      <c r="W1572">
        <v>1571</v>
      </c>
      <c r="X1572">
        <v>0</v>
      </c>
      <c r="Y1572">
        <v>1570</v>
      </c>
      <c r="Z1572" t="s">
        <v>6966</v>
      </c>
      <c r="AA1572" t="s">
        <v>6966</v>
      </c>
      <c r="AB1572" t="s">
        <v>6966</v>
      </c>
      <c r="AC1572" t="s">
        <v>6966</v>
      </c>
      <c r="AD1572" t="s">
        <v>6966</v>
      </c>
      <c r="AE1572" t="s">
        <v>6966</v>
      </c>
      <c r="AF1572" t="s">
        <v>6966</v>
      </c>
      <c r="AG1572" t="s">
        <v>6966</v>
      </c>
      <c r="AH1572" t="s">
        <v>6966</v>
      </c>
      <c r="AI1572" t="s">
        <v>6966</v>
      </c>
      <c r="AJ1572" t="s">
        <v>6966</v>
      </c>
      <c r="AK1572" t="s">
        <v>6966</v>
      </c>
      <c r="AL1572" t="s">
        <v>6966</v>
      </c>
      <c r="AM1572" t="s">
        <v>6966</v>
      </c>
      <c r="AN1572" t="s">
        <v>6966</v>
      </c>
      <c r="AO1572" t="s">
        <v>6966</v>
      </c>
      <c r="AP1572" t="s">
        <v>6966</v>
      </c>
      <c r="AQ1572" t="s">
        <v>6966</v>
      </c>
      <c r="AR1572" t="s">
        <v>6966</v>
      </c>
      <c r="AS1572" t="s">
        <v>6966</v>
      </c>
      <c r="AT1572" t="s">
        <v>6966</v>
      </c>
      <c r="AU1572" t="s">
        <v>6966</v>
      </c>
      <c r="AV1572" t="s">
        <v>6966</v>
      </c>
      <c r="AW1572" t="s">
        <v>6966</v>
      </c>
      <c r="AX1572" t="s">
        <v>6966</v>
      </c>
      <c r="AY1572" t="s">
        <v>6966</v>
      </c>
      <c r="AZ1572">
        <v>7.7832999999999999E-2</v>
      </c>
      <c r="BA1572">
        <v>2.1800000000000001E-4</v>
      </c>
    </row>
    <row r="1573" spans="1:53" x14ac:dyDescent="0.25">
      <c r="A1573">
        <v>1571</v>
      </c>
      <c r="B1573" t="s">
        <v>7625</v>
      </c>
      <c r="C1573">
        <v>803053</v>
      </c>
      <c r="D1573" t="s">
        <v>1274</v>
      </c>
      <c r="E1573" t="s">
        <v>1267</v>
      </c>
      <c r="F1573">
        <v>0</v>
      </c>
      <c r="G1573">
        <v>20235.757813</v>
      </c>
      <c r="H1573">
        <v>1573</v>
      </c>
      <c r="I1573">
        <v>1830</v>
      </c>
      <c r="J1573">
        <v>62215</v>
      </c>
      <c r="K1573" t="s">
        <v>1274</v>
      </c>
      <c r="L1573">
        <v>21</v>
      </c>
      <c r="M1573">
        <v>21</v>
      </c>
      <c r="N1573">
        <v>62215</v>
      </c>
      <c r="O1573">
        <v>1541</v>
      </c>
      <c r="P1573" t="s">
        <v>3213</v>
      </c>
      <c r="Q1573">
        <v>1.3</v>
      </c>
      <c r="R1573">
        <v>85.92</v>
      </c>
      <c r="S1573">
        <v>0.38</v>
      </c>
      <c r="T1573">
        <v>24</v>
      </c>
      <c r="U1573">
        <v>0</v>
      </c>
      <c r="V1573">
        <v>20235.758709000002</v>
      </c>
      <c r="W1573">
        <v>1572</v>
      </c>
      <c r="X1573">
        <v>0</v>
      </c>
      <c r="Y1573">
        <v>1571</v>
      </c>
      <c r="Z1573" t="s">
        <v>6966</v>
      </c>
      <c r="AA1573" t="s">
        <v>6966</v>
      </c>
      <c r="AB1573" t="s">
        <v>6966</v>
      </c>
      <c r="AC1573" t="s">
        <v>6966</v>
      </c>
      <c r="AD1573" t="s">
        <v>6966</v>
      </c>
      <c r="AE1573" t="s">
        <v>6966</v>
      </c>
      <c r="AF1573" t="s">
        <v>6966</v>
      </c>
      <c r="AG1573" t="s">
        <v>6966</v>
      </c>
      <c r="AH1573" t="s">
        <v>6966</v>
      </c>
      <c r="AI1573" t="s">
        <v>6966</v>
      </c>
      <c r="AJ1573" t="s">
        <v>6966</v>
      </c>
      <c r="AK1573" t="s">
        <v>6966</v>
      </c>
      <c r="AL1573" t="s">
        <v>6966</v>
      </c>
      <c r="AM1573" t="s">
        <v>6966</v>
      </c>
      <c r="AN1573" t="s">
        <v>6966</v>
      </c>
      <c r="AO1573" t="s">
        <v>6966</v>
      </c>
      <c r="AP1573" t="s">
        <v>6966</v>
      </c>
      <c r="AQ1573" t="s">
        <v>6966</v>
      </c>
      <c r="AR1573" t="s">
        <v>6966</v>
      </c>
      <c r="AS1573" t="s">
        <v>6966</v>
      </c>
      <c r="AT1573" t="s">
        <v>6966</v>
      </c>
      <c r="AU1573" t="s">
        <v>6966</v>
      </c>
      <c r="AV1573" t="s">
        <v>6966</v>
      </c>
      <c r="AW1573" t="s">
        <v>6966</v>
      </c>
      <c r="AX1573" t="s">
        <v>6966</v>
      </c>
      <c r="AY1573" t="s">
        <v>6966</v>
      </c>
      <c r="AZ1573">
        <v>0.20346600000000001</v>
      </c>
      <c r="BA1573">
        <v>1.2229999999999999E-3</v>
      </c>
    </row>
    <row r="1574" spans="1:53" x14ac:dyDescent="0.25">
      <c r="A1574">
        <v>1572</v>
      </c>
      <c r="B1574" t="s">
        <v>7625</v>
      </c>
      <c r="C1574">
        <v>803036</v>
      </c>
      <c r="D1574" t="s">
        <v>1296</v>
      </c>
      <c r="E1574" t="s">
        <v>1267</v>
      </c>
      <c r="F1574">
        <v>4647538.5</v>
      </c>
      <c r="G1574">
        <v>10249.230469</v>
      </c>
      <c r="H1574">
        <v>1574</v>
      </c>
      <c r="I1574">
        <v>1831</v>
      </c>
      <c r="J1574">
        <v>62247</v>
      </c>
      <c r="K1574" t="s">
        <v>8184</v>
      </c>
      <c r="L1574">
        <v>21</v>
      </c>
      <c r="M1574">
        <v>21</v>
      </c>
      <c r="N1574">
        <v>62247</v>
      </c>
      <c r="O1574">
        <v>1542</v>
      </c>
      <c r="P1574" t="s">
        <v>3213</v>
      </c>
      <c r="Q1574">
        <v>4.5</v>
      </c>
      <c r="R1574">
        <v>92.3</v>
      </c>
      <c r="S1574">
        <v>1.01</v>
      </c>
      <c r="T1574">
        <v>21</v>
      </c>
      <c r="U1574">
        <v>4647538.6206599995</v>
      </c>
      <c r="V1574">
        <v>10249.231355</v>
      </c>
      <c r="W1574">
        <v>1573</v>
      </c>
      <c r="X1574">
        <v>1</v>
      </c>
      <c r="Y1574">
        <v>1572</v>
      </c>
      <c r="Z1574">
        <v>61697</v>
      </c>
      <c r="AA1574" s="76">
        <v>45782</v>
      </c>
      <c r="AB1574">
        <v>2025</v>
      </c>
      <c r="AC1574" t="s">
        <v>7215</v>
      </c>
      <c r="AD1574">
        <v>5</v>
      </c>
      <c r="AE1574" t="s">
        <v>7224</v>
      </c>
      <c r="AF1574" t="s">
        <v>3213</v>
      </c>
      <c r="AG1574" t="s">
        <v>1267</v>
      </c>
      <c r="AH1574" t="s">
        <v>1296</v>
      </c>
      <c r="AI1574" t="s">
        <v>7225</v>
      </c>
      <c r="AJ1574" t="s">
        <v>6966</v>
      </c>
      <c r="AK1574">
        <v>33.221139999999998</v>
      </c>
      <c r="AL1574">
        <v>35.27657</v>
      </c>
      <c r="AM1574" t="s">
        <v>7013</v>
      </c>
      <c r="AN1574" t="s">
        <v>6995</v>
      </c>
      <c r="AO1574" t="s">
        <v>7008</v>
      </c>
      <c r="AP1574" t="s">
        <v>7226</v>
      </c>
      <c r="AQ1574" t="s">
        <v>6998</v>
      </c>
      <c r="AR1574" t="s">
        <v>6999</v>
      </c>
      <c r="AS1574" t="s">
        <v>7000</v>
      </c>
      <c r="AT1574">
        <v>0</v>
      </c>
      <c r="AU1574">
        <v>0</v>
      </c>
      <c r="AV1574" t="s">
        <v>7219</v>
      </c>
      <c r="AW1574" t="s">
        <v>7018</v>
      </c>
      <c r="AX1574" t="s">
        <v>6966</v>
      </c>
      <c r="AY1574" t="s">
        <v>7003</v>
      </c>
      <c r="AZ1574">
        <v>0.10381899999999999</v>
      </c>
      <c r="BA1574">
        <v>4.4900000000000002E-4</v>
      </c>
    </row>
    <row r="1575" spans="1:53" x14ac:dyDescent="0.25">
      <c r="A1575">
        <v>1573</v>
      </c>
      <c r="B1575" t="s">
        <v>7625</v>
      </c>
      <c r="C1575">
        <v>603011</v>
      </c>
      <c r="D1575" t="s">
        <v>1563</v>
      </c>
      <c r="E1575" t="s">
        <v>1508</v>
      </c>
      <c r="F1575">
        <v>564840.375</v>
      </c>
      <c r="G1575">
        <v>7781.0869140000004</v>
      </c>
      <c r="H1575">
        <v>1575</v>
      </c>
      <c r="I1575">
        <v>1832</v>
      </c>
      <c r="J1575">
        <v>0</v>
      </c>
      <c r="K1575" t="s">
        <v>1563</v>
      </c>
      <c r="L1575">
        <v>25</v>
      </c>
      <c r="M1575">
        <v>25</v>
      </c>
      <c r="N1575">
        <v>0</v>
      </c>
      <c r="O1575">
        <v>1644</v>
      </c>
      <c r="P1575" t="s">
        <v>6965</v>
      </c>
      <c r="Q1575">
        <v>0</v>
      </c>
      <c r="R1575">
        <v>0</v>
      </c>
      <c r="S1575">
        <v>0</v>
      </c>
      <c r="T1575">
        <v>0</v>
      </c>
      <c r="U1575">
        <v>564840.33954099996</v>
      </c>
      <c r="V1575">
        <v>7781.0866429999996</v>
      </c>
      <c r="W1575">
        <v>1574</v>
      </c>
      <c r="X1575">
        <v>0</v>
      </c>
      <c r="Y1575">
        <v>1573</v>
      </c>
      <c r="Z1575" t="s">
        <v>6966</v>
      </c>
      <c r="AA1575" t="s">
        <v>6966</v>
      </c>
      <c r="AB1575" t="s">
        <v>6966</v>
      </c>
      <c r="AC1575" t="s">
        <v>6966</v>
      </c>
      <c r="AD1575" t="s">
        <v>6966</v>
      </c>
      <c r="AE1575" t="s">
        <v>6966</v>
      </c>
      <c r="AF1575" t="s">
        <v>6966</v>
      </c>
      <c r="AG1575" t="s">
        <v>6966</v>
      </c>
      <c r="AH1575" t="s">
        <v>6966</v>
      </c>
      <c r="AI1575" t="s">
        <v>6966</v>
      </c>
      <c r="AJ1575" t="s">
        <v>6966</v>
      </c>
      <c r="AK1575" t="s">
        <v>6966</v>
      </c>
      <c r="AL1575" t="s">
        <v>6966</v>
      </c>
      <c r="AM1575" t="s">
        <v>6966</v>
      </c>
      <c r="AN1575" t="s">
        <v>6966</v>
      </c>
      <c r="AO1575" t="s">
        <v>6966</v>
      </c>
      <c r="AP1575" t="s">
        <v>6966</v>
      </c>
      <c r="AQ1575" t="s">
        <v>6966</v>
      </c>
      <c r="AR1575" t="s">
        <v>6966</v>
      </c>
      <c r="AS1575" t="s">
        <v>6966</v>
      </c>
      <c r="AT1575" t="s">
        <v>6966</v>
      </c>
      <c r="AU1575" t="s">
        <v>6966</v>
      </c>
      <c r="AV1575" t="s">
        <v>6966</v>
      </c>
      <c r="AW1575" t="s">
        <v>6966</v>
      </c>
      <c r="AX1575" t="s">
        <v>6966</v>
      </c>
      <c r="AY1575" t="s">
        <v>6966</v>
      </c>
      <c r="AZ1575">
        <v>7.0835999999999996E-2</v>
      </c>
      <c r="BA1575">
        <v>5.5000000000000002E-5</v>
      </c>
    </row>
    <row r="1576" spans="1:53" x14ac:dyDescent="0.25">
      <c r="A1576">
        <v>1574</v>
      </c>
      <c r="B1576" t="s">
        <v>7625</v>
      </c>
      <c r="C1576">
        <v>803030</v>
      </c>
      <c r="D1576" t="s">
        <v>1270</v>
      </c>
      <c r="E1576" t="s">
        <v>1267</v>
      </c>
      <c r="F1576">
        <v>7961925</v>
      </c>
      <c r="G1576">
        <v>16168.266602</v>
      </c>
      <c r="H1576">
        <v>1576</v>
      </c>
      <c r="I1576">
        <v>1833</v>
      </c>
      <c r="J1576">
        <v>62179</v>
      </c>
      <c r="K1576" t="s">
        <v>8185</v>
      </c>
      <c r="L1576">
        <v>21</v>
      </c>
      <c r="M1576">
        <v>21</v>
      </c>
      <c r="N1576">
        <v>62179</v>
      </c>
      <c r="O1576">
        <v>1543</v>
      </c>
      <c r="P1576" t="s">
        <v>3213</v>
      </c>
      <c r="Q1576">
        <v>5.0999999999999996</v>
      </c>
      <c r="R1576">
        <v>93.7</v>
      </c>
      <c r="S1576">
        <v>1</v>
      </c>
      <c r="T1576">
        <v>19</v>
      </c>
      <c r="U1576">
        <v>7961924.9921399998</v>
      </c>
      <c r="V1576">
        <v>16168.267658000001</v>
      </c>
      <c r="W1576">
        <v>1575</v>
      </c>
      <c r="X1576">
        <v>0</v>
      </c>
      <c r="Y1576">
        <v>1574</v>
      </c>
      <c r="Z1576" t="s">
        <v>6966</v>
      </c>
      <c r="AA1576" t="s">
        <v>6966</v>
      </c>
      <c r="AB1576" t="s">
        <v>6966</v>
      </c>
      <c r="AC1576" t="s">
        <v>6966</v>
      </c>
      <c r="AD1576" t="s">
        <v>6966</v>
      </c>
      <c r="AE1576" t="s">
        <v>6966</v>
      </c>
      <c r="AF1576" t="s">
        <v>6966</v>
      </c>
      <c r="AG1576" t="s">
        <v>6966</v>
      </c>
      <c r="AH1576" t="s">
        <v>6966</v>
      </c>
      <c r="AI1576" t="s">
        <v>6966</v>
      </c>
      <c r="AJ1576" t="s">
        <v>6966</v>
      </c>
      <c r="AK1576" t="s">
        <v>6966</v>
      </c>
      <c r="AL1576" t="s">
        <v>6966</v>
      </c>
      <c r="AM1576" t="s">
        <v>6966</v>
      </c>
      <c r="AN1576" t="s">
        <v>6966</v>
      </c>
      <c r="AO1576" t="s">
        <v>6966</v>
      </c>
      <c r="AP1576" t="s">
        <v>6966</v>
      </c>
      <c r="AQ1576" t="s">
        <v>6966</v>
      </c>
      <c r="AR1576" t="s">
        <v>6966</v>
      </c>
      <c r="AS1576" t="s">
        <v>6966</v>
      </c>
      <c r="AT1576" t="s">
        <v>6966</v>
      </c>
      <c r="AU1576" t="s">
        <v>6966</v>
      </c>
      <c r="AV1576" t="s">
        <v>6966</v>
      </c>
      <c r="AW1576" t="s">
        <v>6966</v>
      </c>
      <c r="AX1576" t="s">
        <v>6966</v>
      </c>
      <c r="AY1576" t="s">
        <v>6966</v>
      </c>
      <c r="AZ1576">
        <v>0.163407</v>
      </c>
      <c r="BA1576">
        <v>7.6900000000000004E-4</v>
      </c>
    </row>
    <row r="1577" spans="1:53" x14ac:dyDescent="0.25">
      <c r="A1577">
        <v>1575</v>
      </c>
      <c r="B1577" t="s">
        <v>7625</v>
      </c>
      <c r="C1577">
        <v>601013</v>
      </c>
      <c r="D1577" t="s">
        <v>1492</v>
      </c>
      <c r="E1577" t="s">
        <v>8155</v>
      </c>
      <c r="F1577">
        <v>4557861.5</v>
      </c>
      <c r="G1577">
        <v>9819.9414059999999</v>
      </c>
      <c r="H1577">
        <v>1577</v>
      </c>
      <c r="I1577">
        <v>1834</v>
      </c>
      <c r="J1577">
        <v>72244</v>
      </c>
      <c r="K1577" t="s">
        <v>1492</v>
      </c>
      <c r="L1577">
        <v>24</v>
      </c>
      <c r="M1577">
        <v>24</v>
      </c>
      <c r="N1577">
        <v>72244</v>
      </c>
      <c r="O1577">
        <v>1544</v>
      </c>
      <c r="P1577" t="s">
        <v>6965</v>
      </c>
      <c r="Q1577">
        <v>4.5999999999999996</v>
      </c>
      <c r="R1577">
        <v>54.34</v>
      </c>
      <c r="S1577">
        <v>0.96</v>
      </c>
      <c r="T1577">
        <v>11</v>
      </c>
      <c r="U1577">
        <v>4557861.41273</v>
      </c>
      <c r="V1577">
        <v>9819.9413870000008</v>
      </c>
      <c r="W1577">
        <v>1576</v>
      </c>
      <c r="X1577">
        <v>0</v>
      </c>
      <c r="Y1577">
        <v>1575</v>
      </c>
      <c r="Z1577" t="s">
        <v>6966</v>
      </c>
      <c r="AA1577" t="s">
        <v>6966</v>
      </c>
      <c r="AB1577" t="s">
        <v>6966</v>
      </c>
      <c r="AC1577" t="s">
        <v>6966</v>
      </c>
      <c r="AD1577" t="s">
        <v>6966</v>
      </c>
      <c r="AE1577" t="s">
        <v>6966</v>
      </c>
      <c r="AF1577" t="s">
        <v>6966</v>
      </c>
      <c r="AG1577" t="s">
        <v>6966</v>
      </c>
      <c r="AH1577" t="s">
        <v>6966</v>
      </c>
      <c r="AI1577" t="s">
        <v>6966</v>
      </c>
      <c r="AJ1577" t="s">
        <v>6966</v>
      </c>
      <c r="AK1577" t="s">
        <v>6966</v>
      </c>
      <c r="AL1577" t="s">
        <v>6966</v>
      </c>
      <c r="AM1577" t="s">
        <v>6966</v>
      </c>
      <c r="AN1577" t="s">
        <v>6966</v>
      </c>
      <c r="AO1577" t="s">
        <v>6966</v>
      </c>
      <c r="AP1577" t="s">
        <v>6966</v>
      </c>
      <c r="AQ1577" t="s">
        <v>6966</v>
      </c>
      <c r="AR1577" t="s">
        <v>6966</v>
      </c>
      <c r="AS1577" t="s">
        <v>6966</v>
      </c>
      <c r="AT1577" t="s">
        <v>6966</v>
      </c>
      <c r="AU1577" t="s">
        <v>6966</v>
      </c>
      <c r="AV1577" t="s">
        <v>6966</v>
      </c>
      <c r="AW1577" t="s">
        <v>6966</v>
      </c>
      <c r="AX1577" t="s">
        <v>6966</v>
      </c>
      <c r="AY1577" t="s">
        <v>6966</v>
      </c>
      <c r="AZ1577">
        <v>9.9513000000000004E-2</v>
      </c>
      <c r="BA1577">
        <v>4.4099999999999999E-4</v>
      </c>
    </row>
    <row r="1578" spans="1:53" x14ac:dyDescent="0.25">
      <c r="A1578">
        <v>1576</v>
      </c>
      <c r="B1578" t="s">
        <v>7625</v>
      </c>
      <c r="C1578">
        <v>601019</v>
      </c>
      <c r="D1578" t="s">
        <v>8186</v>
      </c>
      <c r="E1578" t="s">
        <v>8155</v>
      </c>
      <c r="F1578">
        <v>5141887.5</v>
      </c>
      <c r="G1578">
        <v>11046.581055000001</v>
      </c>
      <c r="H1578">
        <v>1578</v>
      </c>
      <c r="I1578">
        <v>1835</v>
      </c>
      <c r="J1578">
        <v>72221</v>
      </c>
      <c r="K1578" t="s">
        <v>8187</v>
      </c>
      <c r="L1578">
        <v>24</v>
      </c>
      <c r="M1578">
        <v>24</v>
      </c>
      <c r="N1578">
        <v>72221</v>
      </c>
      <c r="O1578">
        <v>1545</v>
      </c>
      <c r="P1578" t="s">
        <v>6965</v>
      </c>
      <c r="Q1578">
        <v>2.8</v>
      </c>
      <c r="R1578">
        <v>35.659999999999997</v>
      </c>
      <c r="S1578">
        <v>0.67</v>
      </c>
      <c r="T1578">
        <v>9</v>
      </c>
      <c r="U1578">
        <v>5141887.68432</v>
      </c>
      <c r="V1578">
        <v>11046.580856</v>
      </c>
      <c r="W1578">
        <v>1577</v>
      </c>
      <c r="X1578">
        <v>0</v>
      </c>
      <c r="Y1578">
        <v>1576</v>
      </c>
      <c r="Z1578" t="s">
        <v>6966</v>
      </c>
      <c r="AA1578" t="s">
        <v>6966</v>
      </c>
      <c r="AB1578" t="s">
        <v>6966</v>
      </c>
      <c r="AC1578" t="s">
        <v>6966</v>
      </c>
      <c r="AD1578" t="s">
        <v>6966</v>
      </c>
      <c r="AE1578" t="s">
        <v>6966</v>
      </c>
      <c r="AF1578" t="s">
        <v>6966</v>
      </c>
      <c r="AG1578" t="s">
        <v>6966</v>
      </c>
      <c r="AH1578" t="s">
        <v>6966</v>
      </c>
      <c r="AI1578" t="s">
        <v>6966</v>
      </c>
      <c r="AJ1578" t="s">
        <v>6966</v>
      </c>
      <c r="AK1578" t="s">
        <v>6966</v>
      </c>
      <c r="AL1578" t="s">
        <v>6966</v>
      </c>
      <c r="AM1578" t="s">
        <v>6966</v>
      </c>
      <c r="AN1578" t="s">
        <v>6966</v>
      </c>
      <c r="AO1578" t="s">
        <v>6966</v>
      </c>
      <c r="AP1578" t="s">
        <v>6966</v>
      </c>
      <c r="AQ1578" t="s">
        <v>6966</v>
      </c>
      <c r="AR1578" t="s">
        <v>6966</v>
      </c>
      <c r="AS1578" t="s">
        <v>6966</v>
      </c>
      <c r="AT1578" t="s">
        <v>6966</v>
      </c>
      <c r="AU1578" t="s">
        <v>6966</v>
      </c>
      <c r="AV1578" t="s">
        <v>6966</v>
      </c>
      <c r="AW1578" t="s">
        <v>6966</v>
      </c>
      <c r="AX1578" t="s">
        <v>6966</v>
      </c>
      <c r="AY1578" t="s">
        <v>6966</v>
      </c>
      <c r="AZ1578">
        <v>0.10721600000000001</v>
      </c>
      <c r="BA1578">
        <v>4.9700000000000005E-4</v>
      </c>
    </row>
    <row r="1579" spans="1:53" x14ac:dyDescent="0.25">
      <c r="A1579">
        <v>1577</v>
      </c>
      <c r="B1579" t="s">
        <v>7625</v>
      </c>
      <c r="C1579">
        <v>603015</v>
      </c>
      <c r="D1579" t="s">
        <v>1527</v>
      </c>
      <c r="E1579" t="s">
        <v>1508</v>
      </c>
      <c r="F1579">
        <v>0</v>
      </c>
      <c r="G1579">
        <v>16554.158202999999</v>
      </c>
      <c r="H1579">
        <v>1579</v>
      </c>
      <c r="I1579">
        <v>1836</v>
      </c>
      <c r="J1579">
        <v>73234</v>
      </c>
      <c r="K1579" t="s">
        <v>1527</v>
      </c>
      <c r="L1579">
        <v>25</v>
      </c>
      <c r="M1579">
        <v>25</v>
      </c>
      <c r="N1579">
        <v>73234</v>
      </c>
      <c r="O1579">
        <v>1546</v>
      </c>
      <c r="P1579" t="s">
        <v>6965</v>
      </c>
      <c r="Q1579">
        <v>2.4</v>
      </c>
      <c r="R1579">
        <v>74.33</v>
      </c>
      <c r="S1579">
        <v>0.56999999999999995</v>
      </c>
      <c r="T1579">
        <v>18</v>
      </c>
      <c r="U1579">
        <v>0</v>
      </c>
      <c r="V1579">
        <v>16554.158796</v>
      </c>
      <c r="W1579">
        <v>1578</v>
      </c>
      <c r="X1579">
        <v>1</v>
      </c>
      <c r="Y1579">
        <v>1577</v>
      </c>
      <c r="Z1579">
        <v>72571</v>
      </c>
      <c r="AA1579" s="76">
        <v>45942</v>
      </c>
      <c r="AB1579">
        <v>2025</v>
      </c>
      <c r="AC1579" t="s">
        <v>7473</v>
      </c>
      <c r="AD1579">
        <v>12</v>
      </c>
      <c r="AE1579" t="s">
        <v>7496</v>
      </c>
      <c r="AF1579" t="s">
        <v>3218</v>
      </c>
      <c r="AG1579" t="s">
        <v>1508</v>
      </c>
      <c r="AH1579" t="s">
        <v>1527</v>
      </c>
      <c r="AI1579" t="s">
        <v>1527</v>
      </c>
      <c r="AJ1579" t="s">
        <v>6966</v>
      </c>
      <c r="AK1579">
        <v>33.209060000000001</v>
      </c>
      <c r="AL1579">
        <v>35.51538</v>
      </c>
      <c r="AM1579" t="s">
        <v>6995</v>
      </c>
      <c r="AN1579" t="s">
        <v>6966</v>
      </c>
      <c r="AO1579" t="s">
        <v>7096</v>
      </c>
      <c r="AP1579" t="s">
        <v>7497</v>
      </c>
      <c r="AQ1579" t="s">
        <v>6998</v>
      </c>
      <c r="AR1579" t="s">
        <v>6999</v>
      </c>
      <c r="AS1579" t="s">
        <v>7000</v>
      </c>
      <c r="AT1579">
        <v>0</v>
      </c>
      <c r="AU1579">
        <v>0</v>
      </c>
      <c r="AV1579" t="s">
        <v>7498</v>
      </c>
      <c r="AW1579" t="s">
        <v>7011</v>
      </c>
      <c r="AX1579" t="s">
        <v>6966</v>
      </c>
      <c r="AY1579" t="s">
        <v>7003</v>
      </c>
      <c r="AZ1579">
        <v>0.165687</v>
      </c>
      <c r="BA1579">
        <v>1.4220000000000001E-3</v>
      </c>
    </row>
    <row r="1580" spans="1:53" x14ac:dyDescent="0.25">
      <c r="A1580">
        <v>1578</v>
      </c>
      <c r="B1580" t="s">
        <v>7625</v>
      </c>
      <c r="C1580">
        <v>803060</v>
      </c>
      <c r="D1580" t="s">
        <v>1283</v>
      </c>
      <c r="E1580" t="s">
        <v>1267</v>
      </c>
      <c r="F1580">
        <v>7223221</v>
      </c>
      <c r="G1580">
        <v>11516.670898</v>
      </c>
      <c r="H1580">
        <v>1580</v>
      </c>
      <c r="I1580">
        <v>1837</v>
      </c>
      <c r="J1580">
        <v>62229</v>
      </c>
      <c r="K1580" t="s">
        <v>2584</v>
      </c>
      <c r="L1580">
        <v>21</v>
      </c>
      <c r="M1580">
        <v>21</v>
      </c>
      <c r="N1580">
        <v>62229</v>
      </c>
      <c r="O1580">
        <v>1547</v>
      </c>
      <c r="P1580" t="s">
        <v>3213</v>
      </c>
      <c r="Q1580">
        <v>6.9</v>
      </c>
      <c r="R1580">
        <v>119.61</v>
      </c>
      <c r="S1580">
        <v>1.85</v>
      </c>
      <c r="T1580">
        <v>32</v>
      </c>
      <c r="U1580">
        <v>7223220.8233899996</v>
      </c>
      <c r="V1580">
        <v>11516.670818000001</v>
      </c>
      <c r="W1580">
        <v>1579</v>
      </c>
      <c r="X1580">
        <v>2</v>
      </c>
      <c r="Y1580">
        <v>1578</v>
      </c>
      <c r="Z1580">
        <v>61698</v>
      </c>
      <c r="AA1580" s="76">
        <v>45782</v>
      </c>
      <c r="AB1580">
        <v>2025</v>
      </c>
      <c r="AC1580" t="s">
        <v>7215</v>
      </c>
      <c r="AD1580">
        <v>5</v>
      </c>
      <c r="AE1580" t="s">
        <v>7227</v>
      </c>
      <c r="AF1580" t="s">
        <v>3213</v>
      </c>
      <c r="AG1580" t="s">
        <v>1267</v>
      </c>
      <c r="AH1580" t="s">
        <v>1283</v>
      </c>
      <c r="AI1580" t="s">
        <v>1283</v>
      </c>
      <c r="AJ1580" t="s">
        <v>6966</v>
      </c>
      <c r="AK1580">
        <v>33.208289999999998</v>
      </c>
      <c r="AL1580">
        <v>35.299329999999998</v>
      </c>
      <c r="AM1580" t="s">
        <v>7013</v>
      </c>
      <c r="AN1580" t="s">
        <v>6995</v>
      </c>
      <c r="AO1580" t="s">
        <v>7008</v>
      </c>
      <c r="AP1580" t="s">
        <v>7228</v>
      </c>
      <c r="AQ1580" t="s">
        <v>6998</v>
      </c>
      <c r="AR1580" t="s">
        <v>6999</v>
      </c>
      <c r="AS1580" t="s">
        <v>7000</v>
      </c>
      <c r="AT1580">
        <v>0</v>
      </c>
      <c r="AU1580">
        <v>0</v>
      </c>
      <c r="AV1580" t="s">
        <v>7219</v>
      </c>
      <c r="AW1580" t="s">
        <v>7018</v>
      </c>
      <c r="AX1580" t="s">
        <v>6966</v>
      </c>
      <c r="AY1580" t="s">
        <v>7003</v>
      </c>
      <c r="AZ1580">
        <v>0.11514000000000001</v>
      </c>
      <c r="BA1580">
        <v>6.9800000000000005E-4</v>
      </c>
    </row>
    <row r="1581" spans="1:53" x14ac:dyDescent="0.25">
      <c r="A1581">
        <v>1579</v>
      </c>
      <c r="B1581" t="s">
        <v>7625</v>
      </c>
      <c r="C1581">
        <v>803022</v>
      </c>
      <c r="D1581" t="s">
        <v>8188</v>
      </c>
      <c r="E1581" t="s">
        <v>1267</v>
      </c>
      <c r="F1581">
        <v>4818380.5</v>
      </c>
      <c r="G1581">
        <v>15925.933594</v>
      </c>
      <c r="H1581">
        <v>1581</v>
      </c>
      <c r="I1581">
        <v>1838</v>
      </c>
      <c r="J1581">
        <v>62277</v>
      </c>
      <c r="K1581" t="s">
        <v>8189</v>
      </c>
      <c r="L1581">
        <v>21</v>
      </c>
      <c r="M1581">
        <v>21</v>
      </c>
      <c r="N1581">
        <v>62277</v>
      </c>
      <c r="O1581">
        <v>1548</v>
      </c>
      <c r="P1581" t="s">
        <v>3213</v>
      </c>
      <c r="Q1581">
        <v>4.8</v>
      </c>
      <c r="R1581">
        <v>109.46</v>
      </c>
      <c r="S1581">
        <v>1</v>
      </c>
      <c r="T1581">
        <v>23</v>
      </c>
      <c r="U1581">
        <v>4818380.4997300003</v>
      </c>
      <c r="V1581">
        <v>15925.934053000001</v>
      </c>
      <c r="W1581">
        <v>1580</v>
      </c>
      <c r="X1581">
        <v>0</v>
      </c>
      <c r="Y1581">
        <v>1579</v>
      </c>
      <c r="Z1581" t="s">
        <v>6966</v>
      </c>
      <c r="AA1581" t="s">
        <v>6966</v>
      </c>
      <c r="AB1581" t="s">
        <v>6966</v>
      </c>
      <c r="AC1581" t="s">
        <v>6966</v>
      </c>
      <c r="AD1581" t="s">
        <v>6966</v>
      </c>
      <c r="AE1581" t="s">
        <v>6966</v>
      </c>
      <c r="AF1581" t="s">
        <v>6966</v>
      </c>
      <c r="AG1581" t="s">
        <v>6966</v>
      </c>
      <c r="AH1581" t="s">
        <v>6966</v>
      </c>
      <c r="AI1581" t="s">
        <v>6966</v>
      </c>
      <c r="AJ1581" t="s">
        <v>6966</v>
      </c>
      <c r="AK1581" t="s">
        <v>6966</v>
      </c>
      <c r="AL1581" t="s">
        <v>6966</v>
      </c>
      <c r="AM1581" t="s">
        <v>6966</v>
      </c>
      <c r="AN1581" t="s">
        <v>6966</v>
      </c>
      <c r="AO1581" t="s">
        <v>6966</v>
      </c>
      <c r="AP1581" t="s">
        <v>6966</v>
      </c>
      <c r="AQ1581" t="s">
        <v>6966</v>
      </c>
      <c r="AR1581" t="s">
        <v>6966</v>
      </c>
      <c r="AS1581" t="s">
        <v>6966</v>
      </c>
      <c r="AT1581" t="s">
        <v>6966</v>
      </c>
      <c r="AU1581" t="s">
        <v>6966</v>
      </c>
      <c r="AV1581" t="s">
        <v>6966</v>
      </c>
      <c r="AW1581" t="s">
        <v>6966</v>
      </c>
      <c r="AX1581" t="s">
        <v>6966</v>
      </c>
      <c r="AY1581" t="s">
        <v>6966</v>
      </c>
      <c r="AZ1581">
        <v>0.158586</v>
      </c>
      <c r="BA1581">
        <v>4.66E-4</v>
      </c>
    </row>
    <row r="1582" spans="1:53" x14ac:dyDescent="0.25">
      <c r="A1582">
        <v>1580</v>
      </c>
      <c r="B1582" t="s">
        <v>7625</v>
      </c>
      <c r="C1582">
        <v>803061</v>
      </c>
      <c r="D1582" t="s">
        <v>8190</v>
      </c>
      <c r="E1582" t="s">
        <v>1267</v>
      </c>
      <c r="F1582">
        <v>0</v>
      </c>
      <c r="G1582">
        <v>22223.949218999998</v>
      </c>
      <c r="H1582">
        <v>1582</v>
      </c>
      <c r="I1582">
        <v>1839</v>
      </c>
      <c r="J1582">
        <v>62287</v>
      </c>
      <c r="K1582" t="s">
        <v>8191</v>
      </c>
      <c r="L1582">
        <v>21</v>
      </c>
      <c r="M1582">
        <v>21</v>
      </c>
      <c r="N1582">
        <v>62287</v>
      </c>
      <c r="O1582">
        <v>1549</v>
      </c>
      <c r="P1582" t="s">
        <v>3213</v>
      </c>
      <c r="Q1582">
        <v>3.4</v>
      </c>
      <c r="R1582">
        <v>125.08</v>
      </c>
      <c r="S1582">
        <v>0.78</v>
      </c>
      <c r="T1582">
        <v>29</v>
      </c>
      <c r="U1582">
        <v>0</v>
      </c>
      <c r="V1582">
        <v>22223.948376</v>
      </c>
      <c r="W1582">
        <v>1581</v>
      </c>
      <c r="X1582">
        <v>0</v>
      </c>
      <c r="Y1582">
        <v>1580</v>
      </c>
      <c r="Z1582" t="s">
        <v>6966</v>
      </c>
      <c r="AA1582" t="s">
        <v>6966</v>
      </c>
      <c r="AB1582" t="s">
        <v>6966</v>
      </c>
      <c r="AC1582" t="s">
        <v>6966</v>
      </c>
      <c r="AD1582" t="s">
        <v>6966</v>
      </c>
      <c r="AE1582" t="s">
        <v>6966</v>
      </c>
      <c r="AF1582" t="s">
        <v>6966</v>
      </c>
      <c r="AG1582" t="s">
        <v>6966</v>
      </c>
      <c r="AH1582" t="s">
        <v>6966</v>
      </c>
      <c r="AI1582" t="s">
        <v>6966</v>
      </c>
      <c r="AJ1582" t="s">
        <v>6966</v>
      </c>
      <c r="AK1582" t="s">
        <v>6966</v>
      </c>
      <c r="AL1582" t="s">
        <v>6966</v>
      </c>
      <c r="AM1582" t="s">
        <v>6966</v>
      </c>
      <c r="AN1582" t="s">
        <v>6966</v>
      </c>
      <c r="AO1582" t="s">
        <v>6966</v>
      </c>
      <c r="AP1582" t="s">
        <v>6966</v>
      </c>
      <c r="AQ1582" t="s">
        <v>6966</v>
      </c>
      <c r="AR1582" t="s">
        <v>6966</v>
      </c>
      <c r="AS1582" t="s">
        <v>6966</v>
      </c>
      <c r="AT1582" t="s">
        <v>6966</v>
      </c>
      <c r="AU1582" t="s">
        <v>6966</v>
      </c>
      <c r="AV1582" t="s">
        <v>6966</v>
      </c>
      <c r="AW1582" t="s">
        <v>6966</v>
      </c>
      <c r="AX1582" t="s">
        <v>6966</v>
      </c>
      <c r="AY1582" t="s">
        <v>6966</v>
      </c>
      <c r="AZ1582">
        <v>0.223137</v>
      </c>
      <c r="BA1582">
        <v>1.0269999999999999E-3</v>
      </c>
    </row>
    <row r="1583" spans="1:53" x14ac:dyDescent="0.25">
      <c r="A1583">
        <v>1581</v>
      </c>
      <c r="B1583" t="s">
        <v>7625</v>
      </c>
      <c r="C1583">
        <v>601033</v>
      </c>
      <c r="D1583" t="s">
        <v>1482</v>
      </c>
      <c r="E1583" t="s">
        <v>8155</v>
      </c>
      <c r="F1583">
        <v>8990382</v>
      </c>
      <c r="G1583">
        <v>17096.240234000001</v>
      </c>
      <c r="H1583">
        <v>1583</v>
      </c>
      <c r="I1583">
        <v>1840</v>
      </c>
      <c r="J1583">
        <v>72214</v>
      </c>
      <c r="K1583" t="s">
        <v>8192</v>
      </c>
      <c r="L1583">
        <v>24</v>
      </c>
      <c r="M1583">
        <v>24</v>
      </c>
      <c r="N1583">
        <v>72214</v>
      </c>
      <c r="O1583">
        <v>1550</v>
      </c>
      <c r="P1583" t="s">
        <v>6965</v>
      </c>
      <c r="Q1583">
        <v>0.8</v>
      </c>
      <c r="R1583">
        <v>17.91</v>
      </c>
      <c r="S1583">
        <v>0.5</v>
      </c>
      <c r="T1583">
        <v>11</v>
      </c>
      <c r="U1583">
        <v>8990382.2084899992</v>
      </c>
      <c r="V1583">
        <v>17096.239905999999</v>
      </c>
      <c r="W1583">
        <v>1582</v>
      </c>
      <c r="X1583">
        <v>0</v>
      </c>
      <c r="Y1583">
        <v>1581</v>
      </c>
      <c r="Z1583" t="s">
        <v>6966</v>
      </c>
      <c r="AA1583" t="s">
        <v>6966</v>
      </c>
      <c r="AB1583" t="s">
        <v>6966</v>
      </c>
      <c r="AC1583" t="s">
        <v>6966</v>
      </c>
      <c r="AD1583" t="s">
        <v>6966</v>
      </c>
      <c r="AE1583" t="s">
        <v>6966</v>
      </c>
      <c r="AF1583" t="s">
        <v>6966</v>
      </c>
      <c r="AG1583" t="s">
        <v>6966</v>
      </c>
      <c r="AH1583" t="s">
        <v>6966</v>
      </c>
      <c r="AI1583" t="s">
        <v>6966</v>
      </c>
      <c r="AJ1583" t="s">
        <v>6966</v>
      </c>
      <c r="AK1583" t="s">
        <v>6966</v>
      </c>
      <c r="AL1583" t="s">
        <v>6966</v>
      </c>
      <c r="AM1583" t="s">
        <v>6966</v>
      </c>
      <c r="AN1583" t="s">
        <v>6966</v>
      </c>
      <c r="AO1583" t="s">
        <v>6966</v>
      </c>
      <c r="AP1583" t="s">
        <v>6966</v>
      </c>
      <c r="AQ1583" t="s">
        <v>6966</v>
      </c>
      <c r="AR1583" t="s">
        <v>6966</v>
      </c>
      <c r="AS1583" t="s">
        <v>6966</v>
      </c>
      <c r="AT1583" t="s">
        <v>6966</v>
      </c>
      <c r="AU1583" t="s">
        <v>6966</v>
      </c>
      <c r="AV1583" t="s">
        <v>6966</v>
      </c>
      <c r="AW1583" t="s">
        <v>6966</v>
      </c>
      <c r="AX1583" t="s">
        <v>6966</v>
      </c>
      <c r="AY1583" t="s">
        <v>6966</v>
      </c>
      <c r="AZ1583">
        <v>0.17391699999999999</v>
      </c>
      <c r="BA1583">
        <v>8.6899999999999998E-4</v>
      </c>
    </row>
    <row r="1584" spans="1:53" x14ac:dyDescent="0.25">
      <c r="A1584">
        <v>1582</v>
      </c>
      <c r="B1584" t="s">
        <v>7625</v>
      </c>
      <c r="C1584">
        <v>803045</v>
      </c>
      <c r="D1584" t="s">
        <v>1308</v>
      </c>
      <c r="E1584" t="s">
        <v>1267</v>
      </c>
      <c r="F1584">
        <v>1154752</v>
      </c>
      <c r="G1584">
        <v>4939.4628910000001</v>
      </c>
      <c r="H1584">
        <v>1584</v>
      </c>
      <c r="I1584">
        <v>1841</v>
      </c>
      <c r="J1584">
        <v>62267</v>
      </c>
      <c r="K1584" t="s">
        <v>8193</v>
      </c>
      <c r="L1584">
        <v>21</v>
      </c>
      <c r="M1584">
        <v>21</v>
      </c>
      <c r="N1584">
        <v>62267</v>
      </c>
      <c r="O1584">
        <v>1551</v>
      </c>
      <c r="P1584" t="s">
        <v>3213</v>
      </c>
      <c r="Q1584">
        <v>5.5</v>
      </c>
      <c r="R1584">
        <v>0</v>
      </c>
      <c r="S1584">
        <v>1.2</v>
      </c>
      <c r="T1584">
        <v>0</v>
      </c>
      <c r="U1584">
        <v>1154752.0682399999</v>
      </c>
      <c r="V1584">
        <v>4939.463127</v>
      </c>
      <c r="W1584">
        <v>1583</v>
      </c>
      <c r="X1584">
        <v>0</v>
      </c>
      <c r="Y1584">
        <v>1582</v>
      </c>
      <c r="Z1584" t="s">
        <v>6966</v>
      </c>
      <c r="AA1584" t="s">
        <v>6966</v>
      </c>
      <c r="AB1584" t="s">
        <v>6966</v>
      </c>
      <c r="AC1584" t="s">
        <v>6966</v>
      </c>
      <c r="AD1584" t="s">
        <v>6966</v>
      </c>
      <c r="AE1584" t="s">
        <v>6966</v>
      </c>
      <c r="AF1584" t="s">
        <v>6966</v>
      </c>
      <c r="AG1584" t="s">
        <v>6966</v>
      </c>
      <c r="AH1584" t="s">
        <v>6966</v>
      </c>
      <c r="AI1584" t="s">
        <v>6966</v>
      </c>
      <c r="AJ1584" t="s">
        <v>6966</v>
      </c>
      <c r="AK1584" t="s">
        <v>6966</v>
      </c>
      <c r="AL1584" t="s">
        <v>6966</v>
      </c>
      <c r="AM1584" t="s">
        <v>6966</v>
      </c>
      <c r="AN1584" t="s">
        <v>6966</v>
      </c>
      <c r="AO1584" t="s">
        <v>6966</v>
      </c>
      <c r="AP1584" t="s">
        <v>6966</v>
      </c>
      <c r="AQ1584" t="s">
        <v>6966</v>
      </c>
      <c r="AR1584" t="s">
        <v>6966</v>
      </c>
      <c r="AS1584" t="s">
        <v>6966</v>
      </c>
      <c r="AT1584" t="s">
        <v>6966</v>
      </c>
      <c r="AU1584" t="s">
        <v>6966</v>
      </c>
      <c r="AV1584" t="s">
        <v>6966</v>
      </c>
      <c r="AW1584" t="s">
        <v>6966</v>
      </c>
      <c r="AX1584" t="s">
        <v>6966</v>
      </c>
      <c r="AY1584" t="s">
        <v>6966</v>
      </c>
      <c r="AZ1584">
        <v>4.8878999999999999E-2</v>
      </c>
      <c r="BA1584">
        <v>1.12E-4</v>
      </c>
    </row>
    <row r="1585" spans="1:53" x14ac:dyDescent="0.25">
      <c r="A1585">
        <v>1583</v>
      </c>
      <c r="B1585" t="s">
        <v>7625</v>
      </c>
      <c r="C1585">
        <v>803063</v>
      </c>
      <c r="D1585" t="s">
        <v>8194</v>
      </c>
      <c r="E1585" t="s">
        <v>1267</v>
      </c>
      <c r="F1585">
        <v>3045439.5</v>
      </c>
      <c r="G1585">
        <v>7657.6547849999997</v>
      </c>
      <c r="H1585">
        <v>1585</v>
      </c>
      <c r="I1585">
        <v>1842</v>
      </c>
      <c r="J1585">
        <v>62259</v>
      </c>
      <c r="K1585" t="s">
        <v>2600</v>
      </c>
      <c r="L1585">
        <v>21</v>
      </c>
      <c r="M1585">
        <v>21</v>
      </c>
      <c r="N1585">
        <v>62259</v>
      </c>
      <c r="O1585">
        <v>1552</v>
      </c>
      <c r="P1585" t="s">
        <v>3213</v>
      </c>
      <c r="Q1585">
        <v>4.7</v>
      </c>
      <c r="R1585">
        <v>35.17</v>
      </c>
      <c r="S1585">
        <v>1.17</v>
      </c>
      <c r="T1585">
        <v>9</v>
      </c>
      <c r="U1585">
        <v>3045439.3525399999</v>
      </c>
      <c r="V1585">
        <v>7657.6549910000003</v>
      </c>
      <c r="W1585">
        <v>1584</v>
      </c>
      <c r="X1585">
        <v>0</v>
      </c>
      <c r="Y1585">
        <v>1583</v>
      </c>
      <c r="Z1585" t="s">
        <v>6966</v>
      </c>
      <c r="AA1585" t="s">
        <v>6966</v>
      </c>
      <c r="AB1585" t="s">
        <v>6966</v>
      </c>
      <c r="AC1585" t="s">
        <v>6966</v>
      </c>
      <c r="AD1585" t="s">
        <v>6966</v>
      </c>
      <c r="AE1585" t="s">
        <v>6966</v>
      </c>
      <c r="AF1585" t="s">
        <v>6966</v>
      </c>
      <c r="AG1585" t="s">
        <v>6966</v>
      </c>
      <c r="AH1585" t="s">
        <v>6966</v>
      </c>
      <c r="AI1585" t="s">
        <v>6966</v>
      </c>
      <c r="AJ1585" t="s">
        <v>6966</v>
      </c>
      <c r="AK1585" t="s">
        <v>6966</v>
      </c>
      <c r="AL1585" t="s">
        <v>6966</v>
      </c>
      <c r="AM1585" t="s">
        <v>6966</v>
      </c>
      <c r="AN1585" t="s">
        <v>6966</v>
      </c>
      <c r="AO1585" t="s">
        <v>6966</v>
      </c>
      <c r="AP1585" t="s">
        <v>6966</v>
      </c>
      <c r="AQ1585" t="s">
        <v>6966</v>
      </c>
      <c r="AR1585" t="s">
        <v>6966</v>
      </c>
      <c r="AS1585" t="s">
        <v>6966</v>
      </c>
      <c r="AT1585" t="s">
        <v>6966</v>
      </c>
      <c r="AU1585" t="s">
        <v>6966</v>
      </c>
      <c r="AV1585" t="s">
        <v>6966</v>
      </c>
      <c r="AW1585" t="s">
        <v>6966</v>
      </c>
      <c r="AX1585" t="s">
        <v>6966</v>
      </c>
      <c r="AY1585" t="s">
        <v>6966</v>
      </c>
      <c r="AZ1585">
        <v>7.6031000000000001E-2</v>
      </c>
      <c r="BA1585">
        <v>2.9399999999999999E-4</v>
      </c>
    </row>
    <row r="1586" spans="1:53" x14ac:dyDescent="0.25">
      <c r="A1586">
        <v>1584</v>
      </c>
      <c r="B1586" t="s">
        <v>7625</v>
      </c>
      <c r="C1586">
        <v>803016</v>
      </c>
      <c r="D1586" t="s">
        <v>1281</v>
      </c>
      <c r="E1586" t="s">
        <v>1267</v>
      </c>
      <c r="F1586">
        <v>2111636.75</v>
      </c>
      <c r="G1586">
        <v>7550.46875</v>
      </c>
      <c r="H1586">
        <v>1586</v>
      </c>
      <c r="I1586">
        <v>1843</v>
      </c>
      <c r="J1586">
        <v>62226</v>
      </c>
      <c r="K1586" t="s">
        <v>2582</v>
      </c>
      <c r="L1586">
        <v>21</v>
      </c>
      <c r="M1586">
        <v>21</v>
      </c>
      <c r="N1586">
        <v>62226</v>
      </c>
      <c r="O1586">
        <v>1553</v>
      </c>
      <c r="P1586" t="s">
        <v>3213</v>
      </c>
      <c r="Q1586">
        <v>4.5999999999999996</v>
      </c>
      <c r="R1586">
        <v>72.95</v>
      </c>
      <c r="S1586">
        <v>1.0900000000000001</v>
      </c>
      <c r="T1586">
        <v>17</v>
      </c>
      <c r="U1586">
        <v>2111636.8824700001</v>
      </c>
      <c r="V1586">
        <v>7550.4676220000001</v>
      </c>
      <c r="W1586">
        <v>1585</v>
      </c>
      <c r="X1586">
        <v>0</v>
      </c>
      <c r="Y1586">
        <v>1584</v>
      </c>
      <c r="Z1586" t="s">
        <v>6966</v>
      </c>
      <c r="AA1586" t="s">
        <v>6966</v>
      </c>
      <c r="AB1586" t="s">
        <v>6966</v>
      </c>
      <c r="AC1586" t="s">
        <v>6966</v>
      </c>
      <c r="AD1586" t="s">
        <v>6966</v>
      </c>
      <c r="AE1586" t="s">
        <v>6966</v>
      </c>
      <c r="AF1586" t="s">
        <v>6966</v>
      </c>
      <c r="AG1586" t="s">
        <v>6966</v>
      </c>
      <c r="AH1586" t="s">
        <v>6966</v>
      </c>
      <c r="AI1586" t="s">
        <v>6966</v>
      </c>
      <c r="AJ1586" t="s">
        <v>6966</v>
      </c>
      <c r="AK1586" t="s">
        <v>6966</v>
      </c>
      <c r="AL1586" t="s">
        <v>6966</v>
      </c>
      <c r="AM1586" t="s">
        <v>6966</v>
      </c>
      <c r="AN1586" t="s">
        <v>6966</v>
      </c>
      <c r="AO1586" t="s">
        <v>6966</v>
      </c>
      <c r="AP1586" t="s">
        <v>6966</v>
      </c>
      <c r="AQ1586" t="s">
        <v>6966</v>
      </c>
      <c r="AR1586" t="s">
        <v>6966</v>
      </c>
      <c r="AS1586" t="s">
        <v>6966</v>
      </c>
      <c r="AT1586" t="s">
        <v>6966</v>
      </c>
      <c r="AU1586" t="s">
        <v>6966</v>
      </c>
      <c r="AV1586" t="s">
        <v>6966</v>
      </c>
      <c r="AW1586" t="s">
        <v>6966</v>
      </c>
      <c r="AX1586" t="s">
        <v>6966</v>
      </c>
      <c r="AY1586" t="s">
        <v>6966</v>
      </c>
      <c r="AZ1586">
        <v>7.6066999999999996E-2</v>
      </c>
      <c r="BA1586">
        <v>2.04E-4</v>
      </c>
    </row>
    <row r="1587" spans="1:53" x14ac:dyDescent="0.25">
      <c r="A1587">
        <v>1585</v>
      </c>
      <c r="B1587" t="s">
        <v>7625</v>
      </c>
      <c r="C1587">
        <v>803028</v>
      </c>
      <c r="D1587" t="s">
        <v>1279</v>
      </c>
      <c r="E1587" t="s">
        <v>1267</v>
      </c>
      <c r="F1587">
        <v>1642235.375</v>
      </c>
      <c r="G1587">
        <v>6526.3959960000002</v>
      </c>
      <c r="H1587">
        <v>1587</v>
      </c>
      <c r="I1587">
        <v>1844</v>
      </c>
      <c r="J1587">
        <v>62223</v>
      </c>
      <c r="K1587" t="s">
        <v>2580</v>
      </c>
      <c r="L1587">
        <v>21</v>
      </c>
      <c r="M1587">
        <v>21</v>
      </c>
      <c r="N1587">
        <v>62223</v>
      </c>
      <c r="O1587">
        <v>1554</v>
      </c>
      <c r="P1587" t="s">
        <v>3213</v>
      </c>
      <c r="Q1587">
        <v>7.1</v>
      </c>
      <c r="R1587">
        <v>59.53</v>
      </c>
      <c r="S1587">
        <v>1.75</v>
      </c>
      <c r="T1587">
        <v>15</v>
      </c>
      <c r="U1587">
        <v>1642235.32342</v>
      </c>
      <c r="V1587">
        <v>6526.3958069999999</v>
      </c>
      <c r="W1587">
        <v>1586</v>
      </c>
      <c r="X1587">
        <v>0</v>
      </c>
      <c r="Y1587">
        <v>1585</v>
      </c>
      <c r="Z1587" t="s">
        <v>6966</v>
      </c>
      <c r="AA1587" t="s">
        <v>6966</v>
      </c>
      <c r="AB1587" t="s">
        <v>6966</v>
      </c>
      <c r="AC1587" t="s">
        <v>6966</v>
      </c>
      <c r="AD1587" t="s">
        <v>6966</v>
      </c>
      <c r="AE1587" t="s">
        <v>6966</v>
      </c>
      <c r="AF1587" t="s">
        <v>6966</v>
      </c>
      <c r="AG1587" t="s">
        <v>6966</v>
      </c>
      <c r="AH1587" t="s">
        <v>6966</v>
      </c>
      <c r="AI1587" t="s">
        <v>6966</v>
      </c>
      <c r="AJ1587" t="s">
        <v>6966</v>
      </c>
      <c r="AK1587" t="s">
        <v>6966</v>
      </c>
      <c r="AL1587" t="s">
        <v>6966</v>
      </c>
      <c r="AM1587" t="s">
        <v>6966</v>
      </c>
      <c r="AN1587" t="s">
        <v>6966</v>
      </c>
      <c r="AO1587" t="s">
        <v>6966</v>
      </c>
      <c r="AP1587" t="s">
        <v>6966</v>
      </c>
      <c r="AQ1587" t="s">
        <v>6966</v>
      </c>
      <c r="AR1587" t="s">
        <v>6966</v>
      </c>
      <c r="AS1587" t="s">
        <v>6966</v>
      </c>
      <c r="AT1587" t="s">
        <v>6966</v>
      </c>
      <c r="AU1587" t="s">
        <v>6966</v>
      </c>
      <c r="AV1587" t="s">
        <v>6966</v>
      </c>
      <c r="AW1587" t="s">
        <v>6966</v>
      </c>
      <c r="AX1587" t="s">
        <v>6966</v>
      </c>
      <c r="AY1587" t="s">
        <v>6966</v>
      </c>
      <c r="AZ1587">
        <v>6.2753000000000003E-2</v>
      </c>
      <c r="BA1587">
        <v>1.5899999999999999E-4</v>
      </c>
    </row>
    <row r="1588" spans="1:53" x14ac:dyDescent="0.25">
      <c r="A1588">
        <v>1586</v>
      </c>
      <c r="B1588" t="s">
        <v>7625</v>
      </c>
      <c r="C1588">
        <v>803062</v>
      </c>
      <c r="D1588" t="s">
        <v>1287</v>
      </c>
      <c r="E1588" t="s">
        <v>1267</v>
      </c>
      <c r="F1588">
        <v>6153240.5</v>
      </c>
      <c r="G1588">
        <v>11366.708008</v>
      </c>
      <c r="H1588">
        <v>1588</v>
      </c>
      <c r="I1588">
        <v>1845</v>
      </c>
      <c r="J1588">
        <v>62236</v>
      </c>
      <c r="K1588" t="s">
        <v>2588</v>
      </c>
      <c r="L1588">
        <v>21</v>
      </c>
      <c r="M1588">
        <v>21</v>
      </c>
      <c r="N1588">
        <v>62236</v>
      </c>
      <c r="O1588">
        <v>1555</v>
      </c>
      <c r="P1588" t="s">
        <v>3213</v>
      </c>
      <c r="Q1588">
        <v>1.2</v>
      </c>
      <c r="R1588">
        <v>67.59</v>
      </c>
      <c r="S1588">
        <v>0.27</v>
      </c>
      <c r="T1588">
        <v>16</v>
      </c>
      <c r="U1588">
        <v>6153240.3985099997</v>
      </c>
      <c r="V1588">
        <v>11366.706928</v>
      </c>
      <c r="W1588">
        <v>1587</v>
      </c>
      <c r="X1588">
        <v>0</v>
      </c>
      <c r="Y1588">
        <v>1586</v>
      </c>
      <c r="Z1588" t="s">
        <v>6966</v>
      </c>
      <c r="AA1588" t="s">
        <v>6966</v>
      </c>
      <c r="AB1588" t="s">
        <v>6966</v>
      </c>
      <c r="AC1588" t="s">
        <v>6966</v>
      </c>
      <c r="AD1588" t="s">
        <v>6966</v>
      </c>
      <c r="AE1588" t="s">
        <v>6966</v>
      </c>
      <c r="AF1588" t="s">
        <v>6966</v>
      </c>
      <c r="AG1588" t="s">
        <v>6966</v>
      </c>
      <c r="AH1588" t="s">
        <v>6966</v>
      </c>
      <c r="AI1588" t="s">
        <v>6966</v>
      </c>
      <c r="AJ1588" t="s">
        <v>6966</v>
      </c>
      <c r="AK1588" t="s">
        <v>6966</v>
      </c>
      <c r="AL1588" t="s">
        <v>6966</v>
      </c>
      <c r="AM1588" t="s">
        <v>6966</v>
      </c>
      <c r="AN1588" t="s">
        <v>6966</v>
      </c>
      <c r="AO1588" t="s">
        <v>6966</v>
      </c>
      <c r="AP1588" t="s">
        <v>6966</v>
      </c>
      <c r="AQ1588" t="s">
        <v>6966</v>
      </c>
      <c r="AR1588" t="s">
        <v>6966</v>
      </c>
      <c r="AS1588" t="s">
        <v>6966</v>
      </c>
      <c r="AT1588" t="s">
        <v>6966</v>
      </c>
      <c r="AU1588" t="s">
        <v>6966</v>
      </c>
      <c r="AV1588" t="s">
        <v>6966</v>
      </c>
      <c r="AW1588" t="s">
        <v>6966</v>
      </c>
      <c r="AX1588" t="s">
        <v>6966</v>
      </c>
      <c r="AY1588" t="s">
        <v>6966</v>
      </c>
      <c r="AZ1588">
        <v>0.111794</v>
      </c>
      <c r="BA1588">
        <v>5.9500000000000004E-4</v>
      </c>
    </row>
    <row r="1589" spans="1:53" x14ac:dyDescent="0.25">
      <c r="A1589">
        <v>1587</v>
      </c>
      <c r="B1589" t="s">
        <v>7625</v>
      </c>
      <c r="C1589">
        <v>601035</v>
      </c>
      <c r="D1589" t="s">
        <v>1481</v>
      </c>
      <c r="E1589" t="s">
        <v>8155</v>
      </c>
      <c r="F1589">
        <v>7906733</v>
      </c>
      <c r="G1589">
        <v>14894.515625</v>
      </c>
      <c r="H1589">
        <v>1589</v>
      </c>
      <c r="I1589">
        <v>1846</v>
      </c>
      <c r="J1589">
        <v>72211</v>
      </c>
      <c r="K1589" t="s">
        <v>1481</v>
      </c>
      <c r="L1589">
        <v>24</v>
      </c>
      <c r="M1589">
        <v>24</v>
      </c>
      <c r="N1589">
        <v>72211</v>
      </c>
      <c r="O1589">
        <v>1556</v>
      </c>
      <c r="P1589" t="s">
        <v>6965</v>
      </c>
      <c r="Q1589">
        <v>3.6</v>
      </c>
      <c r="R1589">
        <v>24.86</v>
      </c>
      <c r="S1589">
        <v>1.39</v>
      </c>
      <c r="T1589">
        <v>9</v>
      </c>
      <c r="U1589">
        <v>7906732.9078599997</v>
      </c>
      <c r="V1589">
        <v>14894.515464</v>
      </c>
      <c r="W1589">
        <v>1588</v>
      </c>
      <c r="X1589">
        <v>0</v>
      </c>
      <c r="Y1589">
        <v>1587</v>
      </c>
      <c r="Z1589" t="s">
        <v>6966</v>
      </c>
      <c r="AA1589" t="s">
        <v>6966</v>
      </c>
      <c r="AB1589" t="s">
        <v>6966</v>
      </c>
      <c r="AC1589" t="s">
        <v>6966</v>
      </c>
      <c r="AD1589" t="s">
        <v>6966</v>
      </c>
      <c r="AE1589" t="s">
        <v>6966</v>
      </c>
      <c r="AF1589" t="s">
        <v>6966</v>
      </c>
      <c r="AG1589" t="s">
        <v>6966</v>
      </c>
      <c r="AH1589" t="s">
        <v>6966</v>
      </c>
      <c r="AI1589" t="s">
        <v>6966</v>
      </c>
      <c r="AJ1589" t="s">
        <v>6966</v>
      </c>
      <c r="AK1589" t="s">
        <v>6966</v>
      </c>
      <c r="AL1589" t="s">
        <v>6966</v>
      </c>
      <c r="AM1589" t="s">
        <v>6966</v>
      </c>
      <c r="AN1589" t="s">
        <v>6966</v>
      </c>
      <c r="AO1589" t="s">
        <v>6966</v>
      </c>
      <c r="AP1589" t="s">
        <v>6966</v>
      </c>
      <c r="AQ1589" t="s">
        <v>6966</v>
      </c>
      <c r="AR1589" t="s">
        <v>6966</v>
      </c>
      <c r="AS1589" t="s">
        <v>6966</v>
      </c>
      <c r="AT1589" t="s">
        <v>6966</v>
      </c>
      <c r="AU1589" t="s">
        <v>6966</v>
      </c>
      <c r="AV1589" t="s">
        <v>6966</v>
      </c>
      <c r="AW1589" t="s">
        <v>6966</v>
      </c>
      <c r="AX1589" t="s">
        <v>6966</v>
      </c>
      <c r="AY1589" t="s">
        <v>6966</v>
      </c>
      <c r="AZ1589">
        <v>0.15024899999999999</v>
      </c>
      <c r="BA1589">
        <v>7.6400000000000003E-4</v>
      </c>
    </row>
    <row r="1590" spans="1:53" x14ac:dyDescent="0.25">
      <c r="A1590">
        <v>1588</v>
      </c>
      <c r="B1590" t="s">
        <v>7625</v>
      </c>
      <c r="C1590">
        <v>601031</v>
      </c>
      <c r="D1590" t="s">
        <v>1483</v>
      </c>
      <c r="E1590" t="s">
        <v>8155</v>
      </c>
      <c r="F1590">
        <v>1691006.625</v>
      </c>
      <c r="G1590">
        <v>6413.9790039999998</v>
      </c>
      <c r="H1590">
        <v>1590</v>
      </c>
      <c r="I1590">
        <v>1847</v>
      </c>
      <c r="J1590">
        <v>72217</v>
      </c>
      <c r="K1590" t="s">
        <v>2742</v>
      </c>
      <c r="L1590">
        <v>24</v>
      </c>
      <c r="M1590">
        <v>24</v>
      </c>
      <c r="N1590">
        <v>72217</v>
      </c>
      <c r="O1590">
        <v>1557</v>
      </c>
      <c r="P1590" t="s">
        <v>6965</v>
      </c>
      <c r="Q1590">
        <v>3.3</v>
      </c>
      <c r="R1590">
        <v>60.17</v>
      </c>
      <c r="S1590">
        <v>0.75</v>
      </c>
      <c r="T1590">
        <v>14</v>
      </c>
      <c r="U1590">
        <v>1691006.6438800001</v>
      </c>
      <c r="V1590">
        <v>6413.9787770000003</v>
      </c>
      <c r="W1590">
        <v>1589</v>
      </c>
      <c r="X1590">
        <v>0</v>
      </c>
      <c r="Y1590">
        <v>1588</v>
      </c>
      <c r="Z1590" t="s">
        <v>6966</v>
      </c>
      <c r="AA1590" t="s">
        <v>6966</v>
      </c>
      <c r="AB1590" t="s">
        <v>6966</v>
      </c>
      <c r="AC1590" t="s">
        <v>6966</v>
      </c>
      <c r="AD1590" t="s">
        <v>6966</v>
      </c>
      <c r="AE1590" t="s">
        <v>6966</v>
      </c>
      <c r="AF1590" t="s">
        <v>6966</v>
      </c>
      <c r="AG1590" t="s">
        <v>6966</v>
      </c>
      <c r="AH1590" t="s">
        <v>6966</v>
      </c>
      <c r="AI1590" t="s">
        <v>6966</v>
      </c>
      <c r="AJ1590" t="s">
        <v>6966</v>
      </c>
      <c r="AK1590" t="s">
        <v>6966</v>
      </c>
      <c r="AL1590" t="s">
        <v>6966</v>
      </c>
      <c r="AM1590" t="s">
        <v>6966</v>
      </c>
      <c r="AN1590" t="s">
        <v>6966</v>
      </c>
      <c r="AO1590" t="s">
        <v>6966</v>
      </c>
      <c r="AP1590" t="s">
        <v>6966</v>
      </c>
      <c r="AQ1590" t="s">
        <v>6966</v>
      </c>
      <c r="AR1590" t="s">
        <v>6966</v>
      </c>
      <c r="AS1590" t="s">
        <v>6966</v>
      </c>
      <c r="AT1590" t="s">
        <v>6966</v>
      </c>
      <c r="AU1590" t="s">
        <v>6966</v>
      </c>
      <c r="AV1590" t="s">
        <v>6966</v>
      </c>
      <c r="AW1590" t="s">
        <v>6966</v>
      </c>
      <c r="AX1590" t="s">
        <v>6966</v>
      </c>
      <c r="AY1590" t="s">
        <v>6966</v>
      </c>
      <c r="AZ1590">
        <v>6.4313999999999996E-2</v>
      </c>
      <c r="BA1590">
        <v>1.63E-4</v>
      </c>
    </row>
    <row r="1591" spans="1:53" x14ac:dyDescent="0.25">
      <c r="A1591">
        <v>1589</v>
      </c>
      <c r="B1591" t="s">
        <v>7625</v>
      </c>
      <c r="C1591">
        <v>601011</v>
      </c>
      <c r="D1591" t="s">
        <v>1487</v>
      </c>
      <c r="E1591" t="s">
        <v>8155</v>
      </c>
      <c r="F1591">
        <v>0</v>
      </c>
      <c r="G1591">
        <v>19995.304688</v>
      </c>
      <c r="H1591">
        <v>1591</v>
      </c>
      <c r="I1591">
        <v>1848</v>
      </c>
      <c r="J1591">
        <v>72229</v>
      </c>
      <c r="K1591" t="s">
        <v>2746</v>
      </c>
      <c r="L1591">
        <v>24</v>
      </c>
      <c r="M1591">
        <v>24</v>
      </c>
      <c r="N1591">
        <v>72229</v>
      </c>
      <c r="O1591">
        <v>1558</v>
      </c>
      <c r="P1591" t="s">
        <v>6965</v>
      </c>
      <c r="Q1591">
        <v>2.4</v>
      </c>
      <c r="R1591">
        <v>44.59</v>
      </c>
      <c r="S1591">
        <v>0.72</v>
      </c>
      <c r="T1591">
        <v>13</v>
      </c>
      <c r="U1591">
        <v>0</v>
      </c>
      <c r="V1591">
        <v>19995.304096</v>
      </c>
      <c r="W1591">
        <v>1590</v>
      </c>
      <c r="X1591">
        <v>0</v>
      </c>
      <c r="Y1591">
        <v>1589</v>
      </c>
      <c r="Z1591" t="s">
        <v>6966</v>
      </c>
      <c r="AA1591" t="s">
        <v>6966</v>
      </c>
      <c r="AB1591" t="s">
        <v>6966</v>
      </c>
      <c r="AC1591" t="s">
        <v>6966</v>
      </c>
      <c r="AD1591" t="s">
        <v>6966</v>
      </c>
      <c r="AE1591" t="s">
        <v>6966</v>
      </c>
      <c r="AF1591" t="s">
        <v>6966</v>
      </c>
      <c r="AG1591" t="s">
        <v>6966</v>
      </c>
      <c r="AH1591" t="s">
        <v>6966</v>
      </c>
      <c r="AI1591" t="s">
        <v>6966</v>
      </c>
      <c r="AJ1591" t="s">
        <v>6966</v>
      </c>
      <c r="AK1591" t="s">
        <v>6966</v>
      </c>
      <c r="AL1591" t="s">
        <v>6966</v>
      </c>
      <c r="AM1591" t="s">
        <v>6966</v>
      </c>
      <c r="AN1591" t="s">
        <v>6966</v>
      </c>
      <c r="AO1591" t="s">
        <v>6966</v>
      </c>
      <c r="AP1591" t="s">
        <v>6966</v>
      </c>
      <c r="AQ1591" t="s">
        <v>6966</v>
      </c>
      <c r="AR1591" t="s">
        <v>6966</v>
      </c>
      <c r="AS1591" t="s">
        <v>6966</v>
      </c>
      <c r="AT1591" t="s">
        <v>6966</v>
      </c>
      <c r="AU1591" t="s">
        <v>6966</v>
      </c>
      <c r="AV1591" t="s">
        <v>6966</v>
      </c>
      <c r="AW1591" t="s">
        <v>6966</v>
      </c>
      <c r="AX1591" t="s">
        <v>6966</v>
      </c>
      <c r="AY1591" t="s">
        <v>6966</v>
      </c>
      <c r="AZ1591">
        <v>0.19520199999999999</v>
      </c>
      <c r="BA1591">
        <v>1.632E-3</v>
      </c>
    </row>
    <row r="1592" spans="1:53" x14ac:dyDescent="0.25">
      <c r="A1592">
        <v>1590</v>
      </c>
      <c r="B1592" t="s">
        <v>7625</v>
      </c>
      <c r="C1592">
        <v>601020</v>
      </c>
      <c r="D1592" t="s">
        <v>1496</v>
      </c>
      <c r="E1592" t="s">
        <v>8155</v>
      </c>
      <c r="F1592">
        <v>0</v>
      </c>
      <c r="G1592">
        <v>21616.699218999998</v>
      </c>
      <c r="H1592">
        <v>1592</v>
      </c>
      <c r="I1592">
        <v>1849</v>
      </c>
      <c r="J1592">
        <v>72257</v>
      </c>
      <c r="K1592" t="s">
        <v>2753</v>
      </c>
      <c r="L1592">
        <v>24</v>
      </c>
      <c r="M1592">
        <v>24</v>
      </c>
      <c r="N1592">
        <v>72257</v>
      </c>
      <c r="O1592">
        <v>1559</v>
      </c>
      <c r="P1592" t="s">
        <v>6965</v>
      </c>
      <c r="Q1592">
        <v>1.4</v>
      </c>
      <c r="R1592">
        <v>25.32</v>
      </c>
      <c r="S1592">
        <v>0.57999999999999996</v>
      </c>
      <c r="T1592">
        <v>11</v>
      </c>
      <c r="U1592">
        <v>0</v>
      </c>
      <c r="V1592">
        <v>21616.699365</v>
      </c>
      <c r="W1592">
        <v>1591</v>
      </c>
      <c r="X1592">
        <v>1</v>
      </c>
      <c r="Y1592">
        <v>1590</v>
      </c>
      <c r="Z1592">
        <v>73875</v>
      </c>
      <c r="AA1592" s="76">
        <v>45957</v>
      </c>
      <c r="AB1592">
        <v>2025</v>
      </c>
      <c r="AC1592" t="s">
        <v>7473</v>
      </c>
      <c r="AD1592">
        <v>27</v>
      </c>
      <c r="AE1592" t="s">
        <v>7513</v>
      </c>
      <c r="AF1592" t="s">
        <v>3218</v>
      </c>
      <c r="AG1592" t="s">
        <v>3230</v>
      </c>
      <c r="AH1592" t="s">
        <v>1496</v>
      </c>
      <c r="AI1592" t="s">
        <v>7514</v>
      </c>
      <c r="AJ1592" t="s">
        <v>6966</v>
      </c>
      <c r="AK1592">
        <v>33.176020000000001</v>
      </c>
      <c r="AL1592">
        <v>35.350729999999999</v>
      </c>
      <c r="AM1592" t="s">
        <v>7151</v>
      </c>
      <c r="AN1592" t="s">
        <v>7014</v>
      </c>
      <c r="AO1592" t="s">
        <v>7015</v>
      </c>
      <c r="AP1592" t="s">
        <v>7515</v>
      </c>
      <c r="AQ1592" t="s">
        <v>6998</v>
      </c>
      <c r="AR1592" t="s">
        <v>6999</v>
      </c>
      <c r="AS1592" t="s">
        <v>7000</v>
      </c>
      <c r="AT1592">
        <v>0</v>
      </c>
      <c r="AU1592">
        <v>0</v>
      </c>
      <c r="AV1592" t="s">
        <v>7512</v>
      </c>
      <c r="AW1592" t="s">
        <v>7043</v>
      </c>
      <c r="AX1592" t="s">
        <v>6966</v>
      </c>
      <c r="AY1592" t="s">
        <v>7003</v>
      </c>
      <c r="AZ1592">
        <v>0.217807</v>
      </c>
      <c r="BA1592">
        <v>1.0319999999999999E-3</v>
      </c>
    </row>
    <row r="1593" spans="1:53" x14ac:dyDescent="0.25">
      <c r="A1593">
        <v>1591</v>
      </c>
      <c r="B1593" t="s">
        <v>7625</v>
      </c>
      <c r="C1593">
        <v>803064</v>
      </c>
      <c r="D1593" t="s">
        <v>1290</v>
      </c>
      <c r="E1593" t="s">
        <v>1267</v>
      </c>
      <c r="F1593">
        <v>2196717</v>
      </c>
      <c r="G1593">
        <v>7011.5151370000003</v>
      </c>
      <c r="H1593">
        <v>1593</v>
      </c>
      <c r="I1593">
        <v>1850</v>
      </c>
      <c r="J1593">
        <v>62241</v>
      </c>
      <c r="K1593" t="s">
        <v>2590</v>
      </c>
      <c r="L1593">
        <v>21</v>
      </c>
      <c r="M1593">
        <v>21</v>
      </c>
      <c r="N1593">
        <v>62241</v>
      </c>
      <c r="O1593">
        <v>1560</v>
      </c>
      <c r="P1593" t="s">
        <v>3213</v>
      </c>
      <c r="Q1593">
        <v>9.8000000000000007</v>
      </c>
      <c r="R1593">
        <v>42.51</v>
      </c>
      <c r="S1593">
        <v>2.04</v>
      </c>
      <c r="T1593">
        <v>9</v>
      </c>
      <c r="U1593">
        <v>2196717.0572700002</v>
      </c>
      <c r="V1593">
        <v>7011.5144609999998</v>
      </c>
      <c r="W1593">
        <v>1592</v>
      </c>
      <c r="X1593">
        <v>1</v>
      </c>
      <c r="Y1593">
        <v>1591</v>
      </c>
      <c r="Z1593">
        <v>61699</v>
      </c>
      <c r="AA1593" s="76">
        <v>45782</v>
      </c>
      <c r="AB1593">
        <v>2025</v>
      </c>
      <c r="AC1593" t="s">
        <v>7215</v>
      </c>
      <c r="AD1593">
        <v>5</v>
      </c>
      <c r="AE1593" t="s">
        <v>7229</v>
      </c>
      <c r="AF1593" t="s">
        <v>3213</v>
      </c>
      <c r="AG1593" t="s">
        <v>1267</v>
      </c>
      <c r="AH1593" t="s">
        <v>1290</v>
      </c>
      <c r="AI1593" t="s">
        <v>7230</v>
      </c>
      <c r="AJ1593" t="s">
        <v>6966</v>
      </c>
      <c r="AK1593">
        <v>33.189810000000001</v>
      </c>
      <c r="AL1593">
        <v>35.309249999999999</v>
      </c>
      <c r="AM1593" t="s">
        <v>7013</v>
      </c>
      <c r="AN1593" t="s">
        <v>6995</v>
      </c>
      <c r="AO1593" t="s">
        <v>7008</v>
      </c>
      <c r="AP1593" t="s">
        <v>7231</v>
      </c>
      <c r="AQ1593" t="s">
        <v>6998</v>
      </c>
      <c r="AR1593" t="s">
        <v>6999</v>
      </c>
      <c r="AS1593" t="s">
        <v>7000</v>
      </c>
      <c r="AT1593">
        <v>0</v>
      </c>
      <c r="AU1593">
        <v>0</v>
      </c>
      <c r="AV1593" t="s">
        <v>7219</v>
      </c>
      <c r="AW1593" t="s">
        <v>7018</v>
      </c>
      <c r="AX1593" t="s">
        <v>6966</v>
      </c>
      <c r="AY1593" t="s">
        <v>7003</v>
      </c>
      <c r="AZ1593">
        <v>7.0592000000000002E-2</v>
      </c>
      <c r="BA1593">
        <v>2.12E-4</v>
      </c>
    </row>
    <row r="1594" spans="1:53" x14ac:dyDescent="0.25">
      <c r="A1594">
        <v>1592</v>
      </c>
      <c r="B1594" t="s">
        <v>7625</v>
      </c>
      <c r="C1594">
        <v>603026</v>
      </c>
      <c r="D1594" t="s">
        <v>1531</v>
      </c>
      <c r="E1594" t="s">
        <v>1508</v>
      </c>
      <c r="F1594">
        <v>0</v>
      </c>
      <c r="G1594">
        <v>20795.949218999998</v>
      </c>
      <c r="H1594">
        <v>1594</v>
      </c>
      <c r="I1594">
        <v>1851</v>
      </c>
      <c r="J1594">
        <v>73250</v>
      </c>
      <c r="K1594" t="s">
        <v>2778</v>
      </c>
      <c r="L1594">
        <v>25</v>
      </c>
      <c r="M1594">
        <v>25</v>
      </c>
      <c r="N1594">
        <v>73250</v>
      </c>
      <c r="O1594">
        <v>1561</v>
      </c>
      <c r="P1594" t="s">
        <v>6965</v>
      </c>
      <c r="Q1594">
        <v>1.6</v>
      </c>
      <c r="R1594">
        <v>67.87</v>
      </c>
      <c r="S1594">
        <v>0.67</v>
      </c>
      <c r="T1594">
        <v>28</v>
      </c>
      <c r="U1594">
        <v>0</v>
      </c>
      <c r="V1594">
        <v>20795.949331</v>
      </c>
      <c r="W1594">
        <v>1593</v>
      </c>
      <c r="X1594">
        <v>0</v>
      </c>
      <c r="Y1594">
        <v>1592</v>
      </c>
      <c r="Z1594" t="s">
        <v>6966</v>
      </c>
      <c r="AA1594" t="s">
        <v>6966</v>
      </c>
      <c r="AB1594" t="s">
        <v>6966</v>
      </c>
      <c r="AC1594" t="s">
        <v>6966</v>
      </c>
      <c r="AD1594" t="s">
        <v>6966</v>
      </c>
      <c r="AE1594" t="s">
        <v>6966</v>
      </c>
      <c r="AF1594" t="s">
        <v>6966</v>
      </c>
      <c r="AG1594" t="s">
        <v>6966</v>
      </c>
      <c r="AH1594" t="s">
        <v>6966</v>
      </c>
      <c r="AI1594" t="s">
        <v>6966</v>
      </c>
      <c r="AJ1594" t="s">
        <v>6966</v>
      </c>
      <c r="AK1594" t="s">
        <v>6966</v>
      </c>
      <c r="AL1594" t="s">
        <v>6966</v>
      </c>
      <c r="AM1594" t="s">
        <v>6966</v>
      </c>
      <c r="AN1594" t="s">
        <v>6966</v>
      </c>
      <c r="AO1594" t="s">
        <v>6966</v>
      </c>
      <c r="AP1594" t="s">
        <v>6966</v>
      </c>
      <c r="AQ1594" t="s">
        <v>6966</v>
      </c>
      <c r="AR1594" t="s">
        <v>6966</v>
      </c>
      <c r="AS1594" t="s">
        <v>6966</v>
      </c>
      <c r="AT1594" t="s">
        <v>6966</v>
      </c>
      <c r="AU1594" t="s">
        <v>6966</v>
      </c>
      <c r="AV1594" t="s">
        <v>6966</v>
      </c>
      <c r="AW1594" t="s">
        <v>6966</v>
      </c>
      <c r="AX1594" t="s">
        <v>6966</v>
      </c>
      <c r="AY1594" t="s">
        <v>6966</v>
      </c>
      <c r="AZ1594">
        <v>0.20539399999999999</v>
      </c>
      <c r="BA1594">
        <v>1.859E-3</v>
      </c>
    </row>
    <row r="1595" spans="1:53" x14ac:dyDescent="0.25">
      <c r="A1595">
        <v>1593</v>
      </c>
      <c r="B1595" t="s">
        <v>7625</v>
      </c>
      <c r="C1595">
        <v>803037</v>
      </c>
      <c r="D1595" t="s">
        <v>8195</v>
      </c>
      <c r="E1595" t="s">
        <v>1267</v>
      </c>
      <c r="F1595">
        <v>1645284.75</v>
      </c>
      <c r="G1595">
        <v>7422.6816410000001</v>
      </c>
      <c r="H1595">
        <v>1595</v>
      </c>
      <c r="I1595">
        <v>1852</v>
      </c>
      <c r="J1595">
        <v>62293</v>
      </c>
      <c r="K1595" t="s">
        <v>8196</v>
      </c>
      <c r="L1595">
        <v>21</v>
      </c>
      <c r="M1595">
        <v>21</v>
      </c>
      <c r="N1595">
        <v>62293</v>
      </c>
      <c r="O1595">
        <v>1562</v>
      </c>
      <c r="P1595" t="s">
        <v>3213</v>
      </c>
      <c r="Q1595">
        <v>4.7</v>
      </c>
      <c r="R1595">
        <v>48.82</v>
      </c>
      <c r="S1595">
        <v>1.1200000000000001</v>
      </c>
      <c r="T1595">
        <v>12</v>
      </c>
      <c r="U1595">
        <v>1645284.6999600001</v>
      </c>
      <c r="V1595">
        <v>7422.6829950000001</v>
      </c>
      <c r="W1595">
        <v>1594</v>
      </c>
      <c r="X1595">
        <v>0</v>
      </c>
      <c r="Y1595">
        <v>1593</v>
      </c>
      <c r="Z1595" t="s">
        <v>6966</v>
      </c>
      <c r="AA1595" t="s">
        <v>6966</v>
      </c>
      <c r="AB1595" t="s">
        <v>6966</v>
      </c>
      <c r="AC1595" t="s">
        <v>6966</v>
      </c>
      <c r="AD1595" t="s">
        <v>6966</v>
      </c>
      <c r="AE1595" t="s">
        <v>6966</v>
      </c>
      <c r="AF1595" t="s">
        <v>6966</v>
      </c>
      <c r="AG1595" t="s">
        <v>6966</v>
      </c>
      <c r="AH1595" t="s">
        <v>6966</v>
      </c>
      <c r="AI1595" t="s">
        <v>6966</v>
      </c>
      <c r="AJ1595" t="s">
        <v>6966</v>
      </c>
      <c r="AK1595" t="s">
        <v>6966</v>
      </c>
      <c r="AL1595" t="s">
        <v>6966</v>
      </c>
      <c r="AM1595" t="s">
        <v>6966</v>
      </c>
      <c r="AN1595" t="s">
        <v>6966</v>
      </c>
      <c r="AO1595" t="s">
        <v>6966</v>
      </c>
      <c r="AP1595" t="s">
        <v>6966</v>
      </c>
      <c r="AQ1595" t="s">
        <v>6966</v>
      </c>
      <c r="AR1595" t="s">
        <v>6966</v>
      </c>
      <c r="AS1595" t="s">
        <v>6966</v>
      </c>
      <c r="AT1595" t="s">
        <v>6966</v>
      </c>
      <c r="AU1595" t="s">
        <v>6966</v>
      </c>
      <c r="AV1595" t="s">
        <v>6966</v>
      </c>
      <c r="AW1595" t="s">
        <v>6966</v>
      </c>
      <c r="AX1595" t="s">
        <v>6966</v>
      </c>
      <c r="AY1595" t="s">
        <v>6966</v>
      </c>
      <c r="AZ1595">
        <v>7.5082999999999997E-2</v>
      </c>
      <c r="BA1595">
        <v>1.5899999999999999E-4</v>
      </c>
    </row>
    <row r="1596" spans="1:53" x14ac:dyDescent="0.25">
      <c r="A1596">
        <v>1594</v>
      </c>
      <c r="B1596" t="s">
        <v>7625</v>
      </c>
      <c r="C1596">
        <v>803040</v>
      </c>
      <c r="D1596" t="s">
        <v>1315</v>
      </c>
      <c r="E1596" t="s">
        <v>1267</v>
      </c>
      <c r="F1596">
        <v>0</v>
      </c>
      <c r="G1596">
        <v>19601.630859000001</v>
      </c>
      <c r="H1596">
        <v>1596</v>
      </c>
      <c r="I1596">
        <v>1853</v>
      </c>
      <c r="J1596">
        <v>62279</v>
      </c>
      <c r="K1596" t="s">
        <v>2609</v>
      </c>
      <c r="L1596">
        <v>21</v>
      </c>
      <c r="M1596">
        <v>21</v>
      </c>
      <c r="N1596">
        <v>62279</v>
      </c>
      <c r="O1596">
        <v>1563</v>
      </c>
      <c r="P1596" t="s">
        <v>3213</v>
      </c>
      <c r="Q1596">
        <v>0.8</v>
      </c>
      <c r="R1596">
        <v>71.72</v>
      </c>
      <c r="S1596">
        <v>0.21</v>
      </c>
      <c r="T1596">
        <v>19</v>
      </c>
      <c r="U1596">
        <v>0</v>
      </c>
      <c r="V1596">
        <v>19601.629798000002</v>
      </c>
      <c r="W1596">
        <v>1595</v>
      </c>
      <c r="X1596">
        <v>1</v>
      </c>
      <c r="Y1596">
        <v>1594</v>
      </c>
      <c r="Z1596">
        <v>72226</v>
      </c>
      <c r="AA1596" s="76">
        <v>45937</v>
      </c>
      <c r="AB1596">
        <v>2025</v>
      </c>
      <c r="AC1596" t="s">
        <v>7473</v>
      </c>
      <c r="AD1596">
        <v>7</v>
      </c>
      <c r="AE1596" t="s">
        <v>7483</v>
      </c>
      <c r="AF1596" t="s">
        <v>3213</v>
      </c>
      <c r="AG1596" t="s">
        <v>1267</v>
      </c>
      <c r="AH1596" t="s">
        <v>1315</v>
      </c>
      <c r="AI1596" t="s">
        <v>7484</v>
      </c>
      <c r="AJ1596" t="s">
        <v>6966</v>
      </c>
      <c r="AK1596">
        <v>33.17651</v>
      </c>
      <c r="AL1596">
        <v>35.290570000000002</v>
      </c>
      <c r="AM1596" t="s">
        <v>7013</v>
      </c>
      <c r="AN1596" t="s">
        <v>6995</v>
      </c>
      <c r="AO1596" t="s">
        <v>7008</v>
      </c>
      <c r="AP1596" t="s">
        <v>7485</v>
      </c>
      <c r="AQ1596" t="s">
        <v>6998</v>
      </c>
      <c r="AR1596" t="s">
        <v>6999</v>
      </c>
      <c r="AS1596" t="s">
        <v>7000</v>
      </c>
      <c r="AT1596">
        <v>0</v>
      </c>
      <c r="AU1596">
        <v>0</v>
      </c>
      <c r="AV1596" t="s">
        <v>7482</v>
      </c>
      <c r="AW1596" t="s">
        <v>7018</v>
      </c>
      <c r="AX1596" t="s">
        <v>6966</v>
      </c>
      <c r="AY1596" t="s">
        <v>7003</v>
      </c>
      <c r="AZ1596">
        <v>0.19333800000000001</v>
      </c>
      <c r="BA1596">
        <v>1.3979999999999999E-3</v>
      </c>
    </row>
    <row r="1597" spans="1:53" x14ac:dyDescent="0.25">
      <c r="A1597">
        <v>1595</v>
      </c>
      <c r="B1597" t="s">
        <v>7625</v>
      </c>
      <c r="C1597">
        <v>601018</v>
      </c>
      <c r="D1597" t="s">
        <v>1491</v>
      </c>
      <c r="E1597" t="s">
        <v>8155</v>
      </c>
      <c r="F1597">
        <v>8008706.5</v>
      </c>
      <c r="G1597">
        <v>15925.074219</v>
      </c>
      <c r="H1597">
        <v>1597</v>
      </c>
      <c r="I1597">
        <v>1854</v>
      </c>
      <c r="J1597">
        <v>72241</v>
      </c>
      <c r="K1597" t="s">
        <v>2750</v>
      </c>
      <c r="L1597">
        <v>24</v>
      </c>
      <c r="M1597">
        <v>24</v>
      </c>
      <c r="N1597">
        <v>72241</v>
      </c>
      <c r="O1597">
        <v>1564</v>
      </c>
      <c r="P1597" t="s">
        <v>6965</v>
      </c>
      <c r="Q1597">
        <v>4.4000000000000004</v>
      </c>
      <c r="R1597">
        <v>60.94</v>
      </c>
      <c r="S1597">
        <v>0.88</v>
      </c>
      <c r="T1597">
        <v>12</v>
      </c>
      <c r="U1597">
        <v>8008706.7121099997</v>
      </c>
      <c r="V1597">
        <v>15925.074628</v>
      </c>
      <c r="W1597">
        <v>1596</v>
      </c>
      <c r="X1597">
        <v>0</v>
      </c>
      <c r="Y1597">
        <v>1595</v>
      </c>
      <c r="Z1597" t="s">
        <v>6966</v>
      </c>
      <c r="AA1597" t="s">
        <v>6966</v>
      </c>
      <c r="AB1597" t="s">
        <v>6966</v>
      </c>
      <c r="AC1597" t="s">
        <v>6966</v>
      </c>
      <c r="AD1597" t="s">
        <v>6966</v>
      </c>
      <c r="AE1597" t="s">
        <v>6966</v>
      </c>
      <c r="AF1597" t="s">
        <v>6966</v>
      </c>
      <c r="AG1597" t="s">
        <v>6966</v>
      </c>
      <c r="AH1597" t="s">
        <v>6966</v>
      </c>
      <c r="AI1597" t="s">
        <v>6966</v>
      </c>
      <c r="AJ1597" t="s">
        <v>6966</v>
      </c>
      <c r="AK1597" t="s">
        <v>6966</v>
      </c>
      <c r="AL1597" t="s">
        <v>6966</v>
      </c>
      <c r="AM1597" t="s">
        <v>6966</v>
      </c>
      <c r="AN1597" t="s">
        <v>6966</v>
      </c>
      <c r="AO1597" t="s">
        <v>6966</v>
      </c>
      <c r="AP1597" t="s">
        <v>6966</v>
      </c>
      <c r="AQ1597" t="s">
        <v>6966</v>
      </c>
      <c r="AR1597" t="s">
        <v>6966</v>
      </c>
      <c r="AS1597" t="s">
        <v>6966</v>
      </c>
      <c r="AT1597" t="s">
        <v>6966</v>
      </c>
      <c r="AU1597" t="s">
        <v>6966</v>
      </c>
      <c r="AV1597" t="s">
        <v>6966</v>
      </c>
      <c r="AW1597" t="s">
        <v>6966</v>
      </c>
      <c r="AX1597" t="s">
        <v>6966</v>
      </c>
      <c r="AY1597" t="s">
        <v>6966</v>
      </c>
      <c r="AZ1597">
        <v>0.15872800000000001</v>
      </c>
      <c r="BA1597">
        <v>7.7399999999999995E-4</v>
      </c>
    </row>
    <row r="1598" spans="1:53" x14ac:dyDescent="0.25">
      <c r="A1598">
        <v>1596</v>
      </c>
      <c r="B1598" t="s">
        <v>7625</v>
      </c>
      <c r="C1598">
        <v>601006</v>
      </c>
      <c r="D1598" t="s">
        <v>1486</v>
      </c>
      <c r="E1598" t="s">
        <v>8155</v>
      </c>
      <c r="F1598">
        <v>6306558.5</v>
      </c>
      <c r="G1598">
        <v>12473.796875</v>
      </c>
      <c r="H1598">
        <v>1598</v>
      </c>
      <c r="I1598">
        <v>1855</v>
      </c>
      <c r="J1598">
        <v>72227</v>
      </c>
      <c r="K1598" t="s">
        <v>2745</v>
      </c>
      <c r="L1598">
        <v>24</v>
      </c>
      <c r="M1598">
        <v>24</v>
      </c>
      <c r="N1598">
        <v>72227</v>
      </c>
      <c r="O1598">
        <v>1565</v>
      </c>
      <c r="P1598" t="s">
        <v>6965</v>
      </c>
      <c r="Q1598">
        <v>2.4</v>
      </c>
      <c r="R1598">
        <v>29.85</v>
      </c>
      <c r="S1598">
        <v>1.03</v>
      </c>
      <c r="T1598">
        <v>13</v>
      </c>
      <c r="U1598">
        <v>6306558.4266400002</v>
      </c>
      <c r="V1598">
        <v>12473.797134</v>
      </c>
      <c r="W1598">
        <v>1597</v>
      </c>
      <c r="X1598">
        <v>0</v>
      </c>
      <c r="Y1598">
        <v>1596</v>
      </c>
      <c r="Z1598" t="s">
        <v>6966</v>
      </c>
      <c r="AA1598" t="s">
        <v>6966</v>
      </c>
      <c r="AB1598" t="s">
        <v>6966</v>
      </c>
      <c r="AC1598" t="s">
        <v>6966</v>
      </c>
      <c r="AD1598" t="s">
        <v>6966</v>
      </c>
      <c r="AE1598" t="s">
        <v>6966</v>
      </c>
      <c r="AF1598" t="s">
        <v>6966</v>
      </c>
      <c r="AG1598" t="s">
        <v>6966</v>
      </c>
      <c r="AH1598" t="s">
        <v>6966</v>
      </c>
      <c r="AI1598" t="s">
        <v>6966</v>
      </c>
      <c r="AJ1598" t="s">
        <v>6966</v>
      </c>
      <c r="AK1598" t="s">
        <v>6966</v>
      </c>
      <c r="AL1598" t="s">
        <v>6966</v>
      </c>
      <c r="AM1598" t="s">
        <v>6966</v>
      </c>
      <c r="AN1598" t="s">
        <v>6966</v>
      </c>
      <c r="AO1598" t="s">
        <v>6966</v>
      </c>
      <c r="AP1598" t="s">
        <v>6966</v>
      </c>
      <c r="AQ1598" t="s">
        <v>6966</v>
      </c>
      <c r="AR1598" t="s">
        <v>6966</v>
      </c>
      <c r="AS1598" t="s">
        <v>6966</v>
      </c>
      <c r="AT1598" t="s">
        <v>6966</v>
      </c>
      <c r="AU1598" t="s">
        <v>6966</v>
      </c>
      <c r="AV1598" t="s">
        <v>6966</v>
      </c>
      <c r="AW1598" t="s">
        <v>6966</v>
      </c>
      <c r="AX1598" t="s">
        <v>6966</v>
      </c>
      <c r="AY1598" t="s">
        <v>6966</v>
      </c>
      <c r="AZ1598">
        <v>0.120795</v>
      </c>
      <c r="BA1598">
        <v>6.0899999999999995E-4</v>
      </c>
    </row>
    <row r="1599" spans="1:53" x14ac:dyDescent="0.25">
      <c r="A1599">
        <v>1597</v>
      </c>
      <c r="B1599" t="s">
        <v>7625</v>
      </c>
      <c r="C1599">
        <v>803050</v>
      </c>
      <c r="D1599" t="s">
        <v>1327</v>
      </c>
      <c r="E1599" t="s">
        <v>1267</v>
      </c>
      <c r="F1599">
        <v>7461654</v>
      </c>
      <c r="G1599">
        <v>14723.708984000001</v>
      </c>
      <c r="H1599">
        <v>1599</v>
      </c>
      <c r="I1599">
        <v>1856</v>
      </c>
      <c r="J1599">
        <v>62296</v>
      </c>
      <c r="K1599" t="s">
        <v>2620</v>
      </c>
      <c r="L1599">
        <v>21</v>
      </c>
      <c r="M1599">
        <v>21</v>
      </c>
      <c r="N1599">
        <v>62296</v>
      </c>
      <c r="O1599">
        <v>1566</v>
      </c>
      <c r="P1599" t="s">
        <v>3213</v>
      </c>
      <c r="Q1599">
        <v>3.1</v>
      </c>
      <c r="R1599">
        <v>60.41</v>
      </c>
      <c r="S1599">
        <v>0.94</v>
      </c>
      <c r="T1599">
        <v>18</v>
      </c>
      <c r="U1599">
        <v>7461654.2921000002</v>
      </c>
      <c r="V1599">
        <v>14723.709639000001</v>
      </c>
      <c r="W1599">
        <v>1598</v>
      </c>
      <c r="X1599">
        <v>0</v>
      </c>
      <c r="Y1599">
        <v>1597</v>
      </c>
      <c r="Z1599" t="s">
        <v>6966</v>
      </c>
      <c r="AA1599" t="s">
        <v>6966</v>
      </c>
      <c r="AB1599" t="s">
        <v>6966</v>
      </c>
      <c r="AC1599" t="s">
        <v>6966</v>
      </c>
      <c r="AD1599" t="s">
        <v>6966</v>
      </c>
      <c r="AE1599" t="s">
        <v>6966</v>
      </c>
      <c r="AF1599" t="s">
        <v>6966</v>
      </c>
      <c r="AG1599" t="s">
        <v>6966</v>
      </c>
      <c r="AH1599" t="s">
        <v>6966</v>
      </c>
      <c r="AI1599" t="s">
        <v>6966</v>
      </c>
      <c r="AJ1599" t="s">
        <v>6966</v>
      </c>
      <c r="AK1599" t="s">
        <v>6966</v>
      </c>
      <c r="AL1599" t="s">
        <v>6966</v>
      </c>
      <c r="AM1599" t="s">
        <v>6966</v>
      </c>
      <c r="AN1599" t="s">
        <v>6966</v>
      </c>
      <c r="AO1599" t="s">
        <v>6966</v>
      </c>
      <c r="AP1599" t="s">
        <v>6966</v>
      </c>
      <c r="AQ1599" t="s">
        <v>6966</v>
      </c>
      <c r="AR1599" t="s">
        <v>6966</v>
      </c>
      <c r="AS1599" t="s">
        <v>6966</v>
      </c>
      <c r="AT1599" t="s">
        <v>6966</v>
      </c>
      <c r="AU1599" t="s">
        <v>6966</v>
      </c>
      <c r="AV1599" t="s">
        <v>6966</v>
      </c>
      <c r="AW1599" t="s">
        <v>6966</v>
      </c>
      <c r="AX1599" t="s">
        <v>6966</v>
      </c>
      <c r="AY1599" t="s">
        <v>6966</v>
      </c>
      <c r="AZ1599">
        <v>0.14821699999999999</v>
      </c>
      <c r="BA1599">
        <v>7.2099999999999996E-4</v>
      </c>
    </row>
    <row r="1600" spans="1:53" x14ac:dyDescent="0.25">
      <c r="A1600">
        <v>1598</v>
      </c>
      <c r="B1600" t="s">
        <v>7625</v>
      </c>
      <c r="C1600">
        <v>803007</v>
      </c>
      <c r="D1600" t="s">
        <v>8197</v>
      </c>
      <c r="E1600" t="s">
        <v>1267</v>
      </c>
      <c r="F1600">
        <v>7685934.5</v>
      </c>
      <c r="G1600">
        <v>16685.126952999999</v>
      </c>
      <c r="H1600">
        <v>1600</v>
      </c>
      <c r="I1600">
        <v>1857</v>
      </c>
      <c r="J1600">
        <v>62294</v>
      </c>
      <c r="K1600" t="s">
        <v>8198</v>
      </c>
      <c r="L1600">
        <v>21</v>
      </c>
      <c r="M1600">
        <v>21</v>
      </c>
      <c r="N1600">
        <v>62294</v>
      </c>
      <c r="O1600">
        <v>1567</v>
      </c>
      <c r="P1600" t="s">
        <v>3213</v>
      </c>
      <c r="Q1600">
        <v>0</v>
      </c>
      <c r="R1600">
        <v>3.42</v>
      </c>
      <c r="S1600">
        <v>0.01</v>
      </c>
      <c r="T1600">
        <v>1</v>
      </c>
      <c r="U1600">
        <v>7685934.4112</v>
      </c>
      <c r="V1600">
        <v>16685.126402999998</v>
      </c>
      <c r="W1600">
        <v>1599</v>
      </c>
      <c r="X1600">
        <v>0</v>
      </c>
      <c r="Y1600">
        <v>1598</v>
      </c>
      <c r="Z1600" t="s">
        <v>6966</v>
      </c>
      <c r="AA1600" t="s">
        <v>6966</v>
      </c>
      <c r="AB1600" t="s">
        <v>6966</v>
      </c>
      <c r="AC1600" t="s">
        <v>6966</v>
      </c>
      <c r="AD1600" t="s">
        <v>6966</v>
      </c>
      <c r="AE1600" t="s">
        <v>6966</v>
      </c>
      <c r="AF1600" t="s">
        <v>6966</v>
      </c>
      <c r="AG1600" t="s">
        <v>6966</v>
      </c>
      <c r="AH1600" t="s">
        <v>6966</v>
      </c>
      <c r="AI1600" t="s">
        <v>6966</v>
      </c>
      <c r="AJ1600" t="s">
        <v>6966</v>
      </c>
      <c r="AK1600" t="s">
        <v>6966</v>
      </c>
      <c r="AL1600" t="s">
        <v>6966</v>
      </c>
      <c r="AM1600" t="s">
        <v>6966</v>
      </c>
      <c r="AN1600" t="s">
        <v>6966</v>
      </c>
      <c r="AO1600" t="s">
        <v>6966</v>
      </c>
      <c r="AP1600" t="s">
        <v>6966</v>
      </c>
      <c r="AQ1600" t="s">
        <v>6966</v>
      </c>
      <c r="AR1600" t="s">
        <v>6966</v>
      </c>
      <c r="AS1600" t="s">
        <v>6966</v>
      </c>
      <c r="AT1600" t="s">
        <v>6966</v>
      </c>
      <c r="AU1600" t="s">
        <v>6966</v>
      </c>
      <c r="AV1600" t="s">
        <v>6966</v>
      </c>
      <c r="AW1600" t="s">
        <v>6966</v>
      </c>
      <c r="AX1600" t="s">
        <v>6966</v>
      </c>
      <c r="AY1600" t="s">
        <v>6966</v>
      </c>
      <c r="AZ1600">
        <v>0.16617799999999999</v>
      </c>
      <c r="BA1600">
        <v>7.4200000000000004E-4</v>
      </c>
    </row>
    <row r="1601" spans="1:53" x14ac:dyDescent="0.25">
      <c r="A1601">
        <v>1599</v>
      </c>
      <c r="B1601" t="s">
        <v>7625</v>
      </c>
      <c r="C1601">
        <v>803075</v>
      </c>
      <c r="D1601" t="s">
        <v>1320</v>
      </c>
      <c r="E1601" t="s">
        <v>1267</v>
      </c>
      <c r="F1601">
        <v>0</v>
      </c>
      <c r="G1601">
        <v>21732.289063</v>
      </c>
      <c r="H1601">
        <v>1601</v>
      </c>
      <c r="I1601">
        <v>1858</v>
      </c>
      <c r="J1601">
        <v>62286</v>
      </c>
      <c r="K1601" t="s">
        <v>2613</v>
      </c>
      <c r="L1601">
        <v>21</v>
      </c>
      <c r="M1601">
        <v>21</v>
      </c>
      <c r="N1601">
        <v>62286</v>
      </c>
      <c r="O1601">
        <v>1568</v>
      </c>
      <c r="P1601" t="s">
        <v>3213</v>
      </c>
      <c r="Q1601">
        <v>0.8</v>
      </c>
      <c r="R1601">
        <v>207.6</v>
      </c>
      <c r="S1601">
        <v>0.2</v>
      </c>
      <c r="T1601">
        <v>52</v>
      </c>
      <c r="U1601">
        <v>0</v>
      </c>
      <c r="V1601">
        <v>21732.288658000001</v>
      </c>
      <c r="W1601">
        <v>1600</v>
      </c>
      <c r="X1601">
        <v>0</v>
      </c>
      <c r="Y1601">
        <v>1599</v>
      </c>
      <c r="Z1601" t="s">
        <v>6966</v>
      </c>
      <c r="AA1601" t="s">
        <v>6966</v>
      </c>
      <c r="AB1601" t="s">
        <v>6966</v>
      </c>
      <c r="AC1601" t="s">
        <v>6966</v>
      </c>
      <c r="AD1601" t="s">
        <v>6966</v>
      </c>
      <c r="AE1601" t="s">
        <v>6966</v>
      </c>
      <c r="AF1601" t="s">
        <v>6966</v>
      </c>
      <c r="AG1601" t="s">
        <v>6966</v>
      </c>
      <c r="AH1601" t="s">
        <v>6966</v>
      </c>
      <c r="AI1601" t="s">
        <v>6966</v>
      </c>
      <c r="AJ1601" t="s">
        <v>6966</v>
      </c>
      <c r="AK1601" t="s">
        <v>6966</v>
      </c>
      <c r="AL1601" t="s">
        <v>6966</v>
      </c>
      <c r="AM1601" t="s">
        <v>6966</v>
      </c>
      <c r="AN1601" t="s">
        <v>6966</v>
      </c>
      <c r="AO1601" t="s">
        <v>6966</v>
      </c>
      <c r="AP1601" t="s">
        <v>6966</v>
      </c>
      <c r="AQ1601" t="s">
        <v>6966</v>
      </c>
      <c r="AR1601" t="s">
        <v>6966</v>
      </c>
      <c r="AS1601" t="s">
        <v>6966</v>
      </c>
      <c r="AT1601" t="s">
        <v>6966</v>
      </c>
      <c r="AU1601" t="s">
        <v>6966</v>
      </c>
      <c r="AV1601" t="s">
        <v>6966</v>
      </c>
      <c r="AW1601" t="s">
        <v>6966</v>
      </c>
      <c r="AX1601" t="s">
        <v>6966</v>
      </c>
      <c r="AY1601" t="s">
        <v>6966</v>
      </c>
      <c r="AZ1601">
        <v>0.211953</v>
      </c>
      <c r="BA1601">
        <v>1.407E-3</v>
      </c>
    </row>
    <row r="1602" spans="1:53" x14ac:dyDescent="0.25">
      <c r="A1602">
        <v>1600</v>
      </c>
      <c r="B1602" t="s">
        <v>7625</v>
      </c>
      <c r="C1602">
        <v>803004</v>
      </c>
      <c r="D1602" t="s">
        <v>8199</v>
      </c>
      <c r="E1602" t="s">
        <v>1267</v>
      </c>
      <c r="F1602">
        <v>1435701.625</v>
      </c>
      <c r="G1602">
        <v>5702.9331050000001</v>
      </c>
      <c r="H1602">
        <v>1602</v>
      </c>
      <c r="I1602">
        <v>1859</v>
      </c>
      <c r="J1602">
        <v>62242</v>
      </c>
      <c r="K1602" t="s">
        <v>8199</v>
      </c>
      <c r="L1602">
        <v>21</v>
      </c>
      <c r="M1602">
        <v>21</v>
      </c>
      <c r="N1602">
        <v>62242</v>
      </c>
      <c r="O1602">
        <v>1569</v>
      </c>
      <c r="P1602" t="s">
        <v>3213</v>
      </c>
      <c r="Q1602">
        <v>4.0999999999999996</v>
      </c>
      <c r="R1602">
        <v>31.08</v>
      </c>
      <c r="S1602">
        <v>0.84</v>
      </c>
      <c r="T1602">
        <v>6</v>
      </c>
      <c r="U1602">
        <v>1435701.6869900001</v>
      </c>
      <c r="V1602">
        <v>5702.9329280000002</v>
      </c>
      <c r="W1602">
        <v>1601</v>
      </c>
      <c r="X1602">
        <v>0</v>
      </c>
      <c r="Y1602">
        <v>1600</v>
      </c>
      <c r="Z1602" t="s">
        <v>6966</v>
      </c>
      <c r="AA1602" t="s">
        <v>6966</v>
      </c>
      <c r="AB1602" t="s">
        <v>6966</v>
      </c>
      <c r="AC1602" t="s">
        <v>6966</v>
      </c>
      <c r="AD1602" t="s">
        <v>6966</v>
      </c>
      <c r="AE1602" t="s">
        <v>6966</v>
      </c>
      <c r="AF1602" t="s">
        <v>6966</v>
      </c>
      <c r="AG1602" t="s">
        <v>6966</v>
      </c>
      <c r="AH1602" t="s">
        <v>6966</v>
      </c>
      <c r="AI1602" t="s">
        <v>6966</v>
      </c>
      <c r="AJ1602" t="s">
        <v>6966</v>
      </c>
      <c r="AK1602" t="s">
        <v>6966</v>
      </c>
      <c r="AL1602" t="s">
        <v>6966</v>
      </c>
      <c r="AM1602" t="s">
        <v>6966</v>
      </c>
      <c r="AN1602" t="s">
        <v>6966</v>
      </c>
      <c r="AO1602" t="s">
        <v>6966</v>
      </c>
      <c r="AP1602" t="s">
        <v>6966</v>
      </c>
      <c r="AQ1602" t="s">
        <v>6966</v>
      </c>
      <c r="AR1602" t="s">
        <v>6966</v>
      </c>
      <c r="AS1602" t="s">
        <v>6966</v>
      </c>
      <c r="AT1602" t="s">
        <v>6966</v>
      </c>
      <c r="AU1602" t="s">
        <v>6966</v>
      </c>
      <c r="AV1602" t="s">
        <v>6966</v>
      </c>
      <c r="AW1602" t="s">
        <v>6966</v>
      </c>
      <c r="AX1602" t="s">
        <v>6966</v>
      </c>
      <c r="AY1602" t="s">
        <v>6966</v>
      </c>
      <c r="AZ1602">
        <v>5.7644000000000001E-2</v>
      </c>
      <c r="BA1602">
        <v>1.3899999999999999E-4</v>
      </c>
    </row>
    <row r="1603" spans="1:53" x14ac:dyDescent="0.25">
      <c r="A1603">
        <v>1601</v>
      </c>
      <c r="B1603" t="s">
        <v>7625</v>
      </c>
      <c r="C1603">
        <v>601003</v>
      </c>
      <c r="D1603" t="s">
        <v>1485</v>
      </c>
      <c r="E1603" t="s">
        <v>8155</v>
      </c>
      <c r="F1603">
        <v>4985979.5</v>
      </c>
      <c r="G1603">
        <v>11722.277344</v>
      </c>
      <c r="H1603">
        <v>1603</v>
      </c>
      <c r="I1603">
        <v>1860</v>
      </c>
      <c r="J1603">
        <v>72224</v>
      </c>
      <c r="K1603" t="s">
        <v>8200</v>
      </c>
      <c r="L1603">
        <v>24</v>
      </c>
      <c r="M1603">
        <v>24</v>
      </c>
      <c r="N1603">
        <v>72224</v>
      </c>
      <c r="O1603">
        <v>1570</v>
      </c>
      <c r="P1603" t="s">
        <v>6965</v>
      </c>
      <c r="Q1603">
        <v>1.8</v>
      </c>
      <c r="R1603">
        <v>24.46</v>
      </c>
      <c r="S1603">
        <v>0.48</v>
      </c>
      <c r="T1603">
        <v>6</v>
      </c>
      <c r="U1603">
        <v>4985979.8394099995</v>
      </c>
      <c r="V1603">
        <v>11722.277728999999</v>
      </c>
      <c r="W1603">
        <v>1602</v>
      </c>
      <c r="X1603">
        <v>0</v>
      </c>
      <c r="Y1603">
        <v>1601</v>
      </c>
      <c r="Z1603" t="s">
        <v>6966</v>
      </c>
      <c r="AA1603" t="s">
        <v>6966</v>
      </c>
      <c r="AB1603" t="s">
        <v>6966</v>
      </c>
      <c r="AC1603" t="s">
        <v>6966</v>
      </c>
      <c r="AD1603" t="s">
        <v>6966</v>
      </c>
      <c r="AE1603" t="s">
        <v>6966</v>
      </c>
      <c r="AF1603" t="s">
        <v>6966</v>
      </c>
      <c r="AG1603" t="s">
        <v>6966</v>
      </c>
      <c r="AH1603" t="s">
        <v>6966</v>
      </c>
      <c r="AI1603" t="s">
        <v>6966</v>
      </c>
      <c r="AJ1603" t="s">
        <v>6966</v>
      </c>
      <c r="AK1603" t="s">
        <v>6966</v>
      </c>
      <c r="AL1603" t="s">
        <v>6966</v>
      </c>
      <c r="AM1603" t="s">
        <v>6966</v>
      </c>
      <c r="AN1603" t="s">
        <v>6966</v>
      </c>
      <c r="AO1603" t="s">
        <v>6966</v>
      </c>
      <c r="AP1603" t="s">
        <v>6966</v>
      </c>
      <c r="AQ1603" t="s">
        <v>6966</v>
      </c>
      <c r="AR1603" t="s">
        <v>6966</v>
      </c>
      <c r="AS1603" t="s">
        <v>6966</v>
      </c>
      <c r="AT1603" t="s">
        <v>6966</v>
      </c>
      <c r="AU1603" t="s">
        <v>6966</v>
      </c>
      <c r="AV1603" t="s">
        <v>6966</v>
      </c>
      <c r="AW1603" t="s">
        <v>6966</v>
      </c>
      <c r="AX1603" t="s">
        <v>6966</v>
      </c>
      <c r="AY1603" t="s">
        <v>6966</v>
      </c>
      <c r="AZ1603">
        <v>0.118774</v>
      </c>
      <c r="BA1603">
        <v>4.8200000000000001E-4</v>
      </c>
    </row>
    <row r="1604" spans="1:53" ht="240" x14ac:dyDescent="0.25">
      <c r="A1604">
        <v>1602</v>
      </c>
      <c r="B1604" t="s">
        <v>7625</v>
      </c>
      <c r="C1604">
        <v>803049</v>
      </c>
      <c r="D1604" t="s">
        <v>1328</v>
      </c>
      <c r="E1604" t="s">
        <v>1267</v>
      </c>
      <c r="F1604">
        <v>0</v>
      </c>
      <c r="G1604">
        <v>17824.033202999999</v>
      </c>
      <c r="H1604">
        <v>1604</v>
      </c>
      <c r="I1604">
        <v>1861</v>
      </c>
      <c r="J1604">
        <v>62297</v>
      </c>
      <c r="K1604" t="s">
        <v>2621</v>
      </c>
      <c r="L1604">
        <v>21</v>
      </c>
      <c r="M1604">
        <v>21</v>
      </c>
      <c r="N1604">
        <v>62297</v>
      </c>
      <c r="O1604">
        <v>1571</v>
      </c>
      <c r="P1604" t="s">
        <v>3213</v>
      </c>
      <c r="Q1604">
        <v>0.9</v>
      </c>
      <c r="R1604">
        <v>36.590000000000003</v>
      </c>
      <c r="S1604">
        <v>0.31</v>
      </c>
      <c r="T1604">
        <v>12</v>
      </c>
      <c r="U1604">
        <v>0</v>
      </c>
      <c r="V1604">
        <v>17824.032791000001</v>
      </c>
      <c r="W1604">
        <v>1603</v>
      </c>
      <c r="X1604">
        <v>1</v>
      </c>
      <c r="Y1604">
        <v>1602</v>
      </c>
      <c r="Z1604">
        <v>57023</v>
      </c>
      <c r="AA1604" s="76">
        <v>45697</v>
      </c>
      <c r="AB1604">
        <v>2025</v>
      </c>
      <c r="AC1604" t="s">
        <v>7081</v>
      </c>
      <c r="AD1604">
        <v>9</v>
      </c>
      <c r="AE1604" t="s">
        <v>7087</v>
      </c>
      <c r="AF1604" t="s">
        <v>3213</v>
      </c>
      <c r="AG1604" t="s">
        <v>1267</v>
      </c>
      <c r="AH1604" t="s">
        <v>1328</v>
      </c>
      <c r="AI1604" t="s">
        <v>7088</v>
      </c>
      <c r="AJ1604" t="s">
        <v>6966</v>
      </c>
      <c r="AK1604">
        <v>33.15119</v>
      </c>
      <c r="AL1604">
        <v>35.226179999999999</v>
      </c>
      <c r="AM1604" t="s">
        <v>7089</v>
      </c>
      <c r="AN1604" t="s">
        <v>6995</v>
      </c>
      <c r="AO1604" t="s">
        <v>7008</v>
      </c>
      <c r="AP1604" s="77" t="s">
        <v>7090</v>
      </c>
      <c r="AQ1604" t="s">
        <v>6998</v>
      </c>
      <c r="AR1604" t="s">
        <v>6999</v>
      </c>
      <c r="AS1604" t="s">
        <v>7000</v>
      </c>
      <c r="AT1604">
        <v>0</v>
      </c>
      <c r="AU1604">
        <v>0</v>
      </c>
      <c r="AV1604" s="77" t="s">
        <v>7091</v>
      </c>
      <c r="AW1604" t="s">
        <v>7011</v>
      </c>
      <c r="AX1604" t="s">
        <v>6966</v>
      </c>
      <c r="AY1604" t="s">
        <v>7003</v>
      </c>
      <c r="AZ1604">
        <v>0.17891099999999999</v>
      </c>
      <c r="BA1604">
        <v>1.049E-3</v>
      </c>
    </row>
    <row r="1605" spans="1:53" x14ac:dyDescent="0.25">
      <c r="A1605">
        <v>1603</v>
      </c>
      <c r="B1605" t="s">
        <v>7625</v>
      </c>
      <c r="C1605">
        <v>803039</v>
      </c>
      <c r="D1605" t="s">
        <v>1330</v>
      </c>
      <c r="E1605" t="s">
        <v>1267</v>
      </c>
      <c r="F1605">
        <v>8084353.5</v>
      </c>
      <c r="G1605">
        <v>12997.841796999999</v>
      </c>
      <c r="H1605">
        <v>1605</v>
      </c>
      <c r="I1605">
        <v>1862</v>
      </c>
      <c r="J1605">
        <v>62299</v>
      </c>
      <c r="K1605" t="s">
        <v>2623</v>
      </c>
      <c r="L1605">
        <v>21</v>
      </c>
      <c r="M1605">
        <v>21</v>
      </c>
      <c r="N1605">
        <v>62299</v>
      </c>
      <c r="O1605">
        <v>1572</v>
      </c>
      <c r="P1605" t="s">
        <v>3213</v>
      </c>
      <c r="Q1605">
        <v>0</v>
      </c>
      <c r="R1605">
        <v>27.48</v>
      </c>
      <c r="S1605">
        <v>0</v>
      </c>
      <c r="T1605">
        <v>0</v>
      </c>
      <c r="U1605">
        <v>8084353.2144499999</v>
      </c>
      <c r="V1605">
        <v>12997.842060999999</v>
      </c>
      <c r="W1605">
        <v>1604</v>
      </c>
      <c r="X1605">
        <v>0</v>
      </c>
      <c r="Y1605">
        <v>1603</v>
      </c>
      <c r="Z1605" t="s">
        <v>6966</v>
      </c>
      <c r="AA1605" t="s">
        <v>6966</v>
      </c>
      <c r="AB1605" t="s">
        <v>6966</v>
      </c>
      <c r="AC1605" t="s">
        <v>6966</v>
      </c>
      <c r="AD1605" t="s">
        <v>6966</v>
      </c>
      <c r="AE1605" t="s">
        <v>6966</v>
      </c>
      <c r="AF1605" t="s">
        <v>6966</v>
      </c>
      <c r="AG1605" t="s">
        <v>6966</v>
      </c>
      <c r="AH1605" t="s">
        <v>6966</v>
      </c>
      <c r="AI1605" t="s">
        <v>6966</v>
      </c>
      <c r="AJ1605" t="s">
        <v>6966</v>
      </c>
      <c r="AK1605" t="s">
        <v>6966</v>
      </c>
      <c r="AL1605" t="s">
        <v>6966</v>
      </c>
      <c r="AM1605" t="s">
        <v>6966</v>
      </c>
      <c r="AN1605" t="s">
        <v>6966</v>
      </c>
      <c r="AO1605" t="s">
        <v>6966</v>
      </c>
      <c r="AP1605" t="s">
        <v>6966</v>
      </c>
      <c r="AQ1605" t="s">
        <v>6966</v>
      </c>
      <c r="AR1605" t="s">
        <v>6966</v>
      </c>
      <c r="AS1605" t="s">
        <v>6966</v>
      </c>
      <c r="AT1605" t="s">
        <v>6966</v>
      </c>
      <c r="AU1605" t="s">
        <v>6966</v>
      </c>
      <c r="AV1605" t="s">
        <v>6966</v>
      </c>
      <c r="AW1605" t="s">
        <v>6966</v>
      </c>
      <c r="AX1605" t="s">
        <v>6966</v>
      </c>
      <c r="AY1605" t="s">
        <v>6966</v>
      </c>
      <c r="AZ1605">
        <v>0.12965499999999999</v>
      </c>
      <c r="BA1605">
        <v>7.8100000000000001E-4</v>
      </c>
    </row>
    <row r="1606" spans="1:53" x14ac:dyDescent="0.25">
      <c r="A1606">
        <v>1604</v>
      </c>
      <c r="B1606" t="s">
        <v>7625</v>
      </c>
      <c r="C1606">
        <v>601016</v>
      </c>
      <c r="D1606" t="s">
        <v>1488</v>
      </c>
      <c r="E1606" t="s">
        <v>8155</v>
      </c>
      <c r="F1606">
        <v>6428525</v>
      </c>
      <c r="G1606">
        <v>12060.528319999999</v>
      </c>
      <c r="H1606">
        <v>1606</v>
      </c>
      <c r="I1606">
        <v>1863</v>
      </c>
      <c r="J1606">
        <v>72231</v>
      </c>
      <c r="K1606" t="s">
        <v>8201</v>
      </c>
      <c r="L1606">
        <v>24</v>
      </c>
      <c r="M1606">
        <v>24</v>
      </c>
      <c r="N1606">
        <v>72231</v>
      </c>
      <c r="O1606">
        <v>1573</v>
      </c>
      <c r="P1606" t="s">
        <v>6965</v>
      </c>
      <c r="Q1606">
        <v>3.3</v>
      </c>
      <c r="R1606">
        <v>43.58</v>
      </c>
      <c r="S1606">
        <v>0.63</v>
      </c>
      <c r="T1606">
        <v>8</v>
      </c>
      <c r="U1606">
        <v>6428525.1965300003</v>
      </c>
      <c r="V1606">
        <v>12060.528774</v>
      </c>
      <c r="W1606">
        <v>1605</v>
      </c>
      <c r="X1606">
        <v>0</v>
      </c>
      <c r="Y1606">
        <v>1604</v>
      </c>
      <c r="Z1606" t="s">
        <v>6966</v>
      </c>
      <c r="AA1606" t="s">
        <v>6966</v>
      </c>
      <c r="AB1606" t="s">
        <v>6966</v>
      </c>
      <c r="AC1606" t="s">
        <v>6966</v>
      </c>
      <c r="AD1606" t="s">
        <v>6966</v>
      </c>
      <c r="AE1606" t="s">
        <v>6966</v>
      </c>
      <c r="AF1606" t="s">
        <v>6966</v>
      </c>
      <c r="AG1606" t="s">
        <v>6966</v>
      </c>
      <c r="AH1606" t="s">
        <v>6966</v>
      </c>
      <c r="AI1606" t="s">
        <v>6966</v>
      </c>
      <c r="AJ1606" t="s">
        <v>6966</v>
      </c>
      <c r="AK1606" t="s">
        <v>6966</v>
      </c>
      <c r="AL1606" t="s">
        <v>6966</v>
      </c>
      <c r="AM1606" t="s">
        <v>6966</v>
      </c>
      <c r="AN1606" t="s">
        <v>6966</v>
      </c>
      <c r="AO1606" t="s">
        <v>6966</v>
      </c>
      <c r="AP1606" t="s">
        <v>6966</v>
      </c>
      <c r="AQ1606" t="s">
        <v>6966</v>
      </c>
      <c r="AR1606" t="s">
        <v>6966</v>
      </c>
      <c r="AS1606" t="s">
        <v>6966</v>
      </c>
      <c r="AT1606" t="s">
        <v>6966</v>
      </c>
      <c r="AU1606" t="s">
        <v>6966</v>
      </c>
      <c r="AV1606" t="s">
        <v>6966</v>
      </c>
      <c r="AW1606" t="s">
        <v>6966</v>
      </c>
      <c r="AX1606" t="s">
        <v>6966</v>
      </c>
      <c r="AY1606" t="s">
        <v>6966</v>
      </c>
      <c r="AZ1606">
        <v>0.117628</v>
      </c>
      <c r="BA1606">
        <v>6.2100000000000002E-4</v>
      </c>
    </row>
    <row r="1607" spans="1:53" x14ac:dyDescent="0.25">
      <c r="A1607">
        <v>1605</v>
      </c>
      <c r="B1607" t="s">
        <v>7625</v>
      </c>
      <c r="C1607">
        <v>601008</v>
      </c>
      <c r="D1607" t="s">
        <v>1490</v>
      </c>
      <c r="E1607" t="s">
        <v>8155</v>
      </c>
      <c r="F1607">
        <v>4854413</v>
      </c>
      <c r="G1607">
        <v>11231.046875</v>
      </c>
      <c r="H1607">
        <v>1607</v>
      </c>
      <c r="I1607">
        <v>1864</v>
      </c>
      <c r="J1607">
        <v>72237</v>
      </c>
      <c r="K1607" t="s">
        <v>2749</v>
      </c>
      <c r="L1607">
        <v>24</v>
      </c>
      <c r="M1607">
        <v>24</v>
      </c>
      <c r="N1607">
        <v>72237</v>
      </c>
      <c r="O1607">
        <v>1574</v>
      </c>
      <c r="P1607" t="s">
        <v>6965</v>
      </c>
      <c r="Q1607">
        <v>0.5</v>
      </c>
      <c r="R1607">
        <v>6.26</v>
      </c>
      <c r="S1607">
        <v>0.11</v>
      </c>
      <c r="T1607">
        <v>1</v>
      </c>
      <c r="U1607">
        <v>4854413.09834</v>
      </c>
      <c r="V1607">
        <v>11231.046544000001</v>
      </c>
      <c r="W1607">
        <v>1606</v>
      </c>
      <c r="X1607">
        <v>0</v>
      </c>
      <c r="Y1607">
        <v>1605</v>
      </c>
      <c r="Z1607" t="s">
        <v>6966</v>
      </c>
      <c r="AA1607" t="s">
        <v>6966</v>
      </c>
      <c r="AB1607" t="s">
        <v>6966</v>
      </c>
      <c r="AC1607" t="s">
        <v>6966</v>
      </c>
      <c r="AD1607" t="s">
        <v>6966</v>
      </c>
      <c r="AE1607" t="s">
        <v>6966</v>
      </c>
      <c r="AF1607" t="s">
        <v>6966</v>
      </c>
      <c r="AG1607" t="s">
        <v>6966</v>
      </c>
      <c r="AH1607" t="s">
        <v>6966</v>
      </c>
      <c r="AI1607" t="s">
        <v>6966</v>
      </c>
      <c r="AJ1607" t="s">
        <v>6966</v>
      </c>
      <c r="AK1607" t="s">
        <v>6966</v>
      </c>
      <c r="AL1607" t="s">
        <v>6966</v>
      </c>
      <c r="AM1607" t="s">
        <v>6966</v>
      </c>
      <c r="AN1607" t="s">
        <v>6966</v>
      </c>
      <c r="AO1607" t="s">
        <v>6966</v>
      </c>
      <c r="AP1607" t="s">
        <v>6966</v>
      </c>
      <c r="AQ1607" t="s">
        <v>6966</v>
      </c>
      <c r="AR1607" t="s">
        <v>6966</v>
      </c>
      <c r="AS1607" t="s">
        <v>6966</v>
      </c>
      <c r="AT1607" t="s">
        <v>6966</v>
      </c>
      <c r="AU1607" t="s">
        <v>6966</v>
      </c>
      <c r="AV1607" t="s">
        <v>6966</v>
      </c>
      <c r="AW1607" t="s">
        <v>6966</v>
      </c>
      <c r="AX1607" t="s">
        <v>6966</v>
      </c>
      <c r="AY1607" t="s">
        <v>6966</v>
      </c>
      <c r="AZ1607">
        <v>0.11122899999999999</v>
      </c>
      <c r="BA1607">
        <v>4.6900000000000002E-4</v>
      </c>
    </row>
    <row r="1608" spans="1:53" x14ac:dyDescent="0.25">
      <c r="A1608">
        <v>1606</v>
      </c>
      <c r="B1608" t="s">
        <v>7625</v>
      </c>
      <c r="C1608">
        <v>601038</v>
      </c>
      <c r="D1608" t="s">
        <v>1503</v>
      </c>
      <c r="E1608" t="s">
        <v>8155</v>
      </c>
      <c r="F1608">
        <v>0</v>
      </c>
      <c r="G1608">
        <v>15247.875</v>
      </c>
      <c r="H1608">
        <v>1608</v>
      </c>
      <c r="I1608">
        <v>1865</v>
      </c>
      <c r="J1608">
        <v>72277</v>
      </c>
      <c r="K1608" t="s">
        <v>1503</v>
      </c>
      <c r="L1608">
        <v>24</v>
      </c>
      <c r="M1608">
        <v>24</v>
      </c>
      <c r="N1608">
        <v>72277</v>
      </c>
      <c r="O1608">
        <v>1575</v>
      </c>
      <c r="P1608" t="s">
        <v>6965</v>
      </c>
      <c r="Q1608">
        <v>1.4</v>
      </c>
      <c r="R1608">
        <v>30.29</v>
      </c>
      <c r="S1608">
        <v>0.61</v>
      </c>
      <c r="T1608">
        <v>13</v>
      </c>
      <c r="U1608">
        <v>0</v>
      </c>
      <c r="V1608">
        <v>15247.875454000001</v>
      </c>
      <c r="W1608">
        <v>1607</v>
      </c>
      <c r="X1608">
        <v>0</v>
      </c>
      <c r="Y1608">
        <v>1606</v>
      </c>
      <c r="Z1608" t="s">
        <v>6966</v>
      </c>
      <c r="AA1608" t="s">
        <v>6966</v>
      </c>
      <c r="AB1608" t="s">
        <v>6966</v>
      </c>
      <c r="AC1608" t="s">
        <v>6966</v>
      </c>
      <c r="AD1608" t="s">
        <v>6966</v>
      </c>
      <c r="AE1608" t="s">
        <v>6966</v>
      </c>
      <c r="AF1608" t="s">
        <v>6966</v>
      </c>
      <c r="AG1608" t="s">
        <v>6966</v>
      </c>
      <c r="AH1608" t="s">
        <v>6966</v>
      </c>
      <c r="AI1608" t="s">
        <v>6966</v>
      </c>
      <c r="AJ1608" t="s">
        <v>6966</v>
      </c>
      <c r="AK1608" t="s">
        <v>6966</v>
      </c>
      <c r="AL1608" t="s">
        <v>6966</v>
      </c>
      <c r="AM1608" t="s">
        <v>6966</v>
      </c>
      <c r="AN1608" t="s">
        <v>6966</v>
      </c>
      <c r="AO1608" t="s">
        <v>6966</v>
      </c>
      <c r="AP1608" t="s">
        <v>6966</v>
      </c>
      <c r="AQ1608" t="s">
        <v>6966</v>
      </c>
      <c r="AR1608" t="s">
        <v>6966</v>
      </c>
      <c r="AS1608" t="s">
        <v>6966</v>
      </c>
      <c r="AT1608" t="s">
        <v>6966</v>
      </c>
      <c r="AU1608" t="s">
        <v>6966</v>
      </c>
      <c r="AV1608" t="s">
        <v>6966</v>
      </c>
      <c r="AW1608" t="s">
        <v>6966</v>
      </c>
      <c r="AX1608" t="s">
        <v>6966</v>
      </c>
      <c r="AY1608" t="s">
        <v>6966</v>
      </c>
      <c r="AZ1608">
        <v>0.15085999999999999</v>
      </c>
      <c r="BA1608">
        <v>9.6900000000000003E-4</v>
      </c>
    </row>
    <row r="1609" spans="1:53" x14ac:dyDescent="0.25">
      <c r="A1609">
        <v>1607</v>
      </c>
      <c r="B1609" t="s">
        <v>7625</v>
      </c>
      <c r="C1609">
        <v>601023</v>
      </c>
      <c r="D1609" t="s">
        <v>1494</v>
      </c>
      <c r="E1609" t="s">
        <v>8155</v>
      </c>
      <c r="F1609">
        <v>0</v>
      </c>
      <c r="G1609">
        <v>18066.146484000001</v>
      </c>
      <c r="H1609">
        <v>1609</v>
      </c>
      <c r="I1609">
        <v>1866</v>
      </c>
      <c r="J1609">
        <v>72251</v>
      </c>
      <c r="K1609" t="s">
        <v>1494</v>
      </c>
      <c r="L1609">
        <v>24</v>
      </c>
      <c r="M1609">
        <v>24</v>
      </c>
      <c r="N1609">
        <v>72251</v>
      </c>
      <c r="O1609">
        <v>1576</v>
      </c>
      <c r="P1609" t="s">
        <v>6965</v>
      </c>
      <c r="Q1609">
        <v>0.2</v>
      </c>
      <c r="R1609">
        <v>11.45</v>
      </c>
      <c r="S1609">
        <v>0.04</v>
      </c>
      <c r="T1609">
        <v>2</v>
      </c>
      <c r="U1609">
        <v>0</v>
      </c>
      <c r="V1609">
        <v>18066.14558</v>
      </c>
      <c r="W1609">
        <v>1608</v>
      </c>
      <c r="X1609">
        <v>0</v>
      </c>
      <c r="Y1609">
        <v>1607</v>
      </c>
      <c r="Z1609" t="s">
        <v>6966</v>
      </c>
      <c r="AA1609" t="s">
        <v>6966</v>
      </c>
      <c r="AB1609" t="s">
        <v>6966</v>
      </c>
      <c r="AC1609" t="s">
        <v>6966</v>
      </c>
      <c r="AD1609" t="s">
        <v>6966</v>
      </c>
      <c r="AE1609" t="s">
        <v>6966</v>
      </c>
      <c r="AF1609" t="s">
        <v>6966</v>
      </c>
      <c r="AG1609" t="s">
        <v>6966</v>
      </c>
      <c r="AH1609" t="s">
        <v>6966</v>
      </c>
      <c r="AI1609" t="s">
        <v>6966</v>
      </c>
      <c r="AJ1609" t="s">
        <v>6966</v>
      </c>
      <c r="AK1609" t="s">
        <v>6966</v>
      </c>
      <c r="AL1609" t="s">
        <v>6966</v>
      </c>
      <c r="AM1609" t="s">
        <v>6966</v>
      </c>
      <c r="AN1609" t="s">
        <v>6966</v>
      </c>
      <c r="AO1609" t="s">
        <v>6966</v>
      </c>
      <c r="AP1609" t="s">
        <v>6966</v>
      </c>
      <c r="AQ1609" t="s">
        <v>6966</v>
      </c>
      <c r="AR1609" t="s">
        <v>6966</v>
      </c>
      <c r="AS1609" t="s">
        <v>6966</v>
      </c>
      <c r="AT1609" t="s">
        <v>6966</v>
      </c>
      <c r="AU1609" t="s">
        <v>6966</v>
      </c>
      <c r="AV1609" t="s">
        <v>6966</v>
      </c>
      <c r="AW1609" t="s">
        <v>6966</v>
      </c>
      <c r="AX1609" t="s">
        <v>6966</v>
      </c>
      <c r="AY1609" t="s">
        <v>6966</v>
      </c>
      <c r="AZ1609">
        <v>0.18126400000000001</v>
      </c>
      <c r="BA1609">
        <v>1.2489999999999999E-3</v>
      </c>
    </row>
    <row r="1610" spans="1:53" x14ac:dyDescent="0.25">
      <c r="A1610">
        <v>1608</v>
      </c>
      <c r="B1610" t="s">
        <v>7625</v>
      </c>
      <c r="C1610">
        <v>601034</v>
      </c>
      <c r="D1610" t="s">
        <v>1499</v>
      </c>
      <c r="E1610" t="s">
        <v>8155</v>
      </c>
      <c r="F1610">
        <v>3950298.75</v>
      </c>
      <c r="G1610">
        <v>10979.006836</v>
      </c>
      <c r="H1610">
        <v>1610</v>
      </c>
      <c r="I1610">
        <v>1867</v>
      </c>
      <c r="J1610">
        <v>72267</v>
      </c>
      <c r="K1610" t="s">
        <v>2756</v>
      </c>
      <c r="L1610">
        <v>24</v>
      </c>
      <c r="M1610">
        <v>24</v>
      </c>
      <c r="N1610">
        <v>72267</v>
      </c>
      <c r="O1610">
        <v>1577</v>
      </c>
      <c r="P1610" t="s">
        <v>6965</v>
      </c>
      <c r="Q1610">
        <v>0.2</v>
      </c>
      <c r="R1610">
        <v>9.3800000000000008</v>
      </c>
      <c r="S1610">
        <v>0.17</v>
      </c>
      <c r="T1610">
        <v>10</v>
      </c>
      <c r="U1610">
        <v>3950298.8820199999</v>
      </c>
      <c r="V1610">
        <v>10979.006089</v>
      </c>
      <c r="W1610">
        <v>1609</v>
      </c>
      <c r="X1610">
        <v>0</v>
      </c>
      <c r="Y1610">
        <v>1608</v>
      </c>
      <c r="Z1610" t="s">
        <v>6966</v>
      </c>
      <c r="AA1610" t="s">
        <v>6966</v>
      </c>
      <c r="AB1610" t="s">
        <v>6966</v>
      </c>
      <c r="AC1610" t="s">
        <v>6966</v>
      </c>
      <c r="AD1610" t="s">
        <v>6966</v>
      </c>
      <c r="AE1610" t="s">
        <v>6966</v>
      </c>
      <c r="AF1610" t="s">
        <v>6966</v>
      </c>
      <c r="AG1610" t="s">
        <v>6966</v>
      </c>
      <c r="AH1610" t="s">
        <v>6966</v>
      </c>
      <c r="AI1610" t="s">
        <v>6966</v>
      </c>
      <c r="AJ1610" t="s">
        <v>6966</v>
      </c>
      <c r="AK1610" t="s">
        <v>6966</v>
      </c>
      <c r="AL1610" t="s">
        <v>6966</v>
      </c>
      <c r="AM1610" t="s">
        <v>6966</v>
      </c>
      <c r="AN1610" t="s">
        <v>6966</v>
      </c>
      <c r="AO1610" t="s">
        <v>6966</v>
      </c>
      <c r="AP1610" t="s">
        <v>6966</v>
      </c>
      <c r="AQ1610" t="s">
        <v>6966</v>
      </c>
      <c r="AR1610" t="s">
        <v>6966</v>
      </c>
      <c r="AS1610" t="s">
        <v>6966</v>
      </c>
      <c r="AT1610" t="s">
        <v>6966</v>
      </c>
      <c r="AU1610" t="s">
        <v>6966</v>
      </c>
      <c r="AV1610" t="s">
        <v>6966</v>
      </c>
      <c r="AW1610" t="s">
        <v>6966</v>
      </c>
      <c r="AX1610" t="s">
        <v>6966</v>
      </c>
      <c r="AY1610" t="s">
        <v>6966</v>
      </c>
      <c r="AZ1610">
        <v>0.108918</v>
      </c>
      <c r="BA1610">
        <v>3.8200000000000002E-4</v>
      </c>
    </row>
    <row r="1611" spans="1:53" x14ac:dyDescent="0.25">
      <c r="A1611">
        <v>1609</v>
      </c>
      <c r="B1611" t="s">
        <v>7625</v>
      </c>
      <c r="C1611">
        <v>803023</v>
      </c>
      <c r="D1611" t="s">
        <v>1329</v>
      </c>
      <c r="E1611" t="s">
        <v>1267</v>
      </c>
      <c r="F1611">
        <v>4136347.75</v>
      </c>
      <c r="G1611">
        <v>8879.2666019999997</v>
      </c>
      <c r="H1611">
        <v>1611</v>
      </c>
      <c r="I1611">
        <v>1868</v>
      </c>
      <c r="J1611">
        <v>62298</v>
      </c>
      <c r="K1611" t="s">
        <v>2622</v>
      </c>
      <c r="L1611">
        <v>21</v>
      </c>
      <c r="M1611">
        <v>21</v>
      </c>
      <c r="N1611">
        <v>62298</v>
      </c>
      <c r="O1611">
        <v>1578</v>
      </c>
      <c r="P1611" t="s">
        <v>3213</v>
      </c>
      <c r="Q1611">
        <v>0.5</v>
      </c>
      <c r="R1611">
        <v>26.87</v>
      </c>
      <c r="S1611">
        <v>0.2</v>
      </c>
      <c r="T1611">
        <v>10</v>
      </c>
      <c r="U1611">
        <v>4136347.7005500002</v>
      </c>
      <c r="V1611">
        <v>8879.2662909999999</v>
      </c>
      <c r="W1611">
        <v>1610</v>
      </c>
      <c r="X1611">
        <v>0</v>
      </c>
      <c r="Y1611">
        <v>1609</v>
      </c>
      <c r="Z1611" t="s">
        <v>6966</v>
      </c>
      <c r="AA1611" t="s">
        <v>6966</v>
      </c>
      <c r="AB1611" t="s">
        <v>6966</v>
      </c>
      <c r="AC1611" t="s">
        <v>6966</v>
      </c>
      <c r="AD1611" t="s">
        <v>6966</v>
      </c>
      <c r="AE1611" t="s">
        <v>6966</v>
      </c>
      <c r="AF1611" t="s">
        <v>6966</v>
      </c>
      <c r="AG1611" t="s">
        <v>6966</v>
      </c>
      <c r="AH1611" t="s">
        <v>6966</v>
      </c>
      <c r="AI1611" t="s">
        <v>6966</v>
      </c>
      <c r="AJ1611" t="s">
        <v>6966</v>
      </c>
      <c r="AK1611" t="s">
        <v>6966</v>
      </c>
      <c r="AL1611" t="s">
        <v>6966</v>
      </c>
      <c r="AM1611" t="s">
        <v>6966</v>
      </c>
      <c r="AN1611" t="s">
        <v>6966</v>
      </c>
      <c r="AO1611" t="s">
        <v>6966</v>
      </c>
      <c r="AP1611" t="s">
        <v>6966</v>
      </c>
      <c r="AQ1611" t="s">
        <v>6966</v>
      </c>
      <c r="AR1611" t="s">
        <v>6966</v>
      </c>
      <c r="AS1611" t="s">
        <v>6966</v>
      </c>
      <c r="AT1611" t="s">
        <v>6966</v>
      </c>
      <c r="AU1611" t="s">
        <v>6966</v>
      </c>
      <c r="AV1611" t="s">
        <v>6966</v>
      </c>
      <c r="AW1611" t="s">
        <v>6966</v>
      </c>
      <c r="AX1611" t="s">
        <v>6966</v>
      </c>
      <c r="AY1611" t="s">
        <v>6966</v>
      </c>
      <c r="AZ1611">
        <v>8.6956000000000006E-2</v>
      </c>
      <c r="BA1611">
        <v>3.9899999999999999E-4</v>
      </c>
    </row>
    <row r="1612" spans="1:53" x14ac:dyDescent="0.25">
      <c r="A1612">
        <v>1610</v>
      </c>
      <c r="B1612" t="s">
        <v>7625</v>
      </c>
      <c r="C1612">
        <v>603027</v>
      </c>
      <c r="D1612" t="s">
        <v>1530</v>
      </c>
      <c r="E1612" t="s">
        <v>1508</v>
      </c>
      <c r="F1612">
        <v>4754452.5</v>
      </c>
      <c r="G1612">
        <v>11022.622069999999</v>
      </c>
      <c r="H1612">
        <v>1612</v>
      </c>
      <c r="I1612">
        <v>1869</v>
      </c>
      <c r="J1612">
        <v>73248</v>
      </c>
      <c r="K1612" t="s">
        <v>8202</v>
      </c>
      <c r="L1612">
        <v>25</v>
      </c>
      <c r="M1612">
        <v>25</v>
      </c>
      <c r="N1612">
        <v>73248</v>
      </c>
      <c r="O1612">
        <v>1579</v>
      </c>
      <c r="P1612" t="s">
        <v>6965</v>
      </c>
      <c r="Q1612">
        <v>1.4</v>
      </c>
      <c r="R1612">
        <v>60.22</v>
      </c>
      <c r="S1612">
        <v>0.34</v>
      </c>
      <c r="T1612">
        <v>14</v>
      </c>
      <c r="U1612">
        <v>4754452.6043699998</v>
      </c>
      <c r="V1612">
        <v>11022.62261</v>
      </c>
      <c r="W1612">
        <v>1611</v>
      </c>
      <c r="X1612">
        <v>0</v>
      </c>
      <c r="Y1612">
        <v>1610</v>
      </c>
      <c r="Z1612" t="s">
        <v>6966</v>
      </c>
      <c r="AA1612" t="s">
        <v>6966</v>
      </c>
      <c r="AB1612" t="s">
        <v>6966</v>
      </c>
      <c r="AC1612" t="s">
        <v>6966</v>
      </c>
      <c r="AD1612" t="s">
        <v>6966</v>
      </c>
      <c r="AE1612" t="s">
        <v>6966</v>
      </c>
      <c r="AF1612" t="s">
        <v>6966</v>
      </c>
      <c r="AG1612" t="s">
        <v>6966</v>
      </c>
      <c r="AH1612" t="s">
        <v>6966</v>
      </c>
      <c r="AI1612" t="s">
        <v>6966</v>
      </c>
      <c r="AJ1612" t="s">
        <v>6966</v>
      </c>
      <c r="AK1612" t="s">
        <v>6966</v>
      </c>
      <c r="AL1612" t="s">
        <v>6966</v>
      </c>
      <c r="AM1612" t="s">
        <v>6966</v>
      </c>
      <c r="AN1612" t="s">
        <v>6966</v>
      </c>
      <c r="AO1612" t="s">
        <v>6966</v>
      </c>
      <c r="AP1612" t="s">
        <v>6966</v>
      </c>
      <c r="AQ1612" t="s">
        <v>6966</v>
      </c>
      <c r="AR1612" t="s">
        <v>6966</v>
      </c>
      <c r="AS1612" t="s">
        <v>6966</v>
      </c>
      <c r="AT1612" t="s">
        <v>6966</v>
      </c>
      <c r="AU1612" t="s">
        <v>6966</v>
      </c>
      <c r="AV1612" t="s">
        <v>6966</v>
      </c>
      <c r="AW1612" t="s">
        <v>6966</v>
      </c>
      <c r="AX1612" t="s">
        <v>6966</v>
      </c>
      <c r="AY1612" t="s">
        <v>6966</v>
      </c>
      <c r="AZ1612">
        <v>0.110787</v>
      </c>
      <c r="BA1612">
        <v>4.5899999999999999E-4</v>
      </c>
    </row>
    <row r="1613" spans="1:53" x14ac:dyDescent="0.25">
      <c r="A1613">
        <v>1611</v>
      </c>
      <c r="B1613" t="s">
        <v>7625</v>
      </c>
      <c r="C1613">
        <v>603008</v>
      </c>
      <c r="D1613" t="s">
        <v>1539</v>
      </c>
      <c r="E1613" t="s">
        <v>1508</v>
      </c>
      <c r="F1613">
        <v>0</v>
      </c>
      <c r="G1613">
        <v>17456.640625</v>
      </c>
      <c r="H1613">
        <v>1613</v>
      </c>
      <c r="I1613">
        <v>1870</v>
      </c>
      <c r="J1613">
        <v>73288</v>
      </c>
      <c r="K1613" t="s">
        <v>1539</v>
      </c>
      <c r="L1613">
        <v>25</v>
      </c>
      <c r="M1613">
        <v>25</v>
      </c>
      <c r="N1613">
        <v>73288</v>
      </c>
      <c r="O1613">
        <v>1580</v>
      </c>
      <c r="P1613" t="s">
        <v>6965</v>
      </c>
      <c r="Q1613">
        <v>1.2</v>
      </c>
      <c r="R1613">
        <v>28.08</v>
      </c>
      <c r="S1613">
        <v>0.48</v>
      </c>
      <c r="T1613">
        <v>12</v>
      </c>
      <c r="U1613">
        <v>0</v>
      </c>
      <c r="V1613">
        <v>17456.640733</v>
      </c>
      <c r="W1613">
        <v>1612</v>
      </c>
      <c r="X1613">
        <v>1</v>
      </c>
      <c r="Y1613">
        <v>1611</v>
      </c>
      <c r="Z1613">
        <v>81428</v>
      </c>
      <c r="AA1613" s="76">
        <v>46063</v>
      </c>
      <c r="AB1613">
        <v>2026</v>
      </c>
      <c r="AC1613" t="s">
        <v>7081</v>
      </c>
      <c r="AD1613">
        <v>10</v>
      </c>
      <c r="AE1613" t="s">
        <v>7591</v>
      </c>
      <c r="AF1613" t="s">
        <v>3218</v>
      </c>
      <c r="AG1613" t="s">
        <v>1508</v>
      </c>
      <c r="AH1613" t="s">
        <v>1539</v>
      </c>
      <c r="AI1613" t="s">
        <v>1539</v>
      </c>
      <c r="AJ1613" t="s">
        <v>6966</v>
      </c>
      <c r="AK1613">
        <v>33.138240000000003</v>
      </c>
      <c r="AL1613">
        <v>35.516039999999997</v>
      </c>
      <c r="AM1613" t="s">
        <v>6995</v>
      </c>
      <c r="AN1613" t="s">
        <v>6966</v>
      </c>
      <c r="AO1613" t="s">
        <v>7586</v>
      </c>
      <c r="AP1613" t="s">
        <v>7592</v>
      </c>
      <c r="AQ1613" t="s">
        <v>6998</v>
      </c>
      <c r="AR1613" t="s">
        <v>6999</v>
      </c>
      <c r="AS1613" t="s">
        <v>7000</v>
      </c>
      <c r="AT1613">
        <v>0</v>
      </c>
      <c r="AU1613">
        <v>0</v>
      </c>
      <c r="AV1613" t="s">
        <v>7593</v>
      </c>
      <c r="AW1613" t="s">
        <v>7581</v>
      </c>
      <c r="AX1613" t="s">
        <v>6966</v>
      </c>
      <c r="AY1613" t="s">
        <v>7003</v>
      </c>
      <c r="AZ1613">
        <v>0.172206</v>
      </c>
      <c r="BA1613">
        <v>1.284E-3</v>
      </c>
    </row>
    <row r="1614" spans="1:53" x14ac:dyDescent="0.25">
      <c r="A1614">
        <v>1612</v>
      </c>
      <c r="B1614" t="s">
        <v>7625</v>
      </c>
      <c r="C1614">
        <v>803035</v>
      </c>
      <c r="D1614" t="s">
        <v>1334</v>
      </c>
      <c r="E1614" t="s">
        <v>1267</v>
      </c>
      <c r="F1614">
        <v>7663315.5</v>
      </c>
      <c r="G1614">
        <v>13712.175781</v>
      </c>
      <c r="H1614">
        <v>1614</v>
      </c>
      <c r="I1614">
        <v>1871</v>
      </c>
      <c r="J1614">
        <v>62314</v>
      </c>
      <c r="K1614" t="s">
        <v>1334</v>
      </c>
      <c r="L1614">
        <v>21</v>
      </c>
      <c r="M1614">
        <v>21</v>
      </c>
      <c r="N1614">
        <v>62314</v>
      </c>
      <c r="O1614">
        <v>1581</v>
      </c>
      <c r="P1614" t="s">
        <v>3213</v>
      </c>
      <c r="Q1614">
        <v>0</v>
      </c>
      <c r="R1614">
        <v>0</v>
      </c>
      <c r="S1614">
        <v>0</v>
      </c>
      <c r="T1614">
        <v>0</v>
      </c>
      <c r="U1614">
        <v>7663315.41395</v>
      </c>
      <c r="V1614">
        <v>13712.175286</v>
      </c>
      <c r="W1614">
        <v>1613</v>
      </c>
      <c r="X1614">
        <v>0</v>
      </c>
      <c r="Y1614">
        <v>1612</v>
      </c>
      <c r="Z1614" t="s">
        <v>6966</v>
      </c>
      <c r="AA1614" t="s">
        <v>6966</v>
      </c>
      <c r="AB1614" t="s">
        <v>6966</v>
      </c>
      <c r="AC1614" t="s">
        <v>6966</v>
      </c>
      <c r="AD1614" t="s">
        <v>6966</v>
      </c>
      <c r="AE1614" t="s">
        <v>6966</v>
      </c>
      <c r="AF1614" t="s">
        <v>6966</v>
      </c>
      <c r="AG1614" t="s">
        <v>6966</v>
      </c>
      <c r="AH1614" t="s">
        <v>6966</v>
      </c>
      <c r="AI1614" t="s">
        <v>6966</v>
      </c>
      <c r="AJ1614" t="s">
        <v>6966</v>
      </c>
      <c r="AK1614" t="s">
        <v>6966</v>
      </c>
      <c r="AL1614" t="s">
        <v>6966</v>
      </c>
      <c r="AM1614" t="s">
        <v>6966</v>
      </c>
      <c r="AN1614" t="s">
        <v>6966</v>
      </c>
      <c r="AO1614" t="s">
        <v>6966</v>
      </c>
      <c r="AP1614" t="s">
        <v>6966</v>
      </c>
      <c r="AQ1614" t="s">
        <v>6966</v>
      </c>
      <c r="AR1614" t="s">
        <v>6966</v>
      </c>
      <c r="AS1614" t="s">
        <v>6966</v>
      </c>
      <c r="AT1614" t="s">
        <v>6966</v>
      </c>
      <c r="AU1614" t="s">
        <v>6966</v>
      </c>
      <c r="AV1614" t="s">
        <v>6966</v>
      </c>
      <c r="AW1614" t="s">
        <v>6966</v>
      </c>
      <c r="AX1614" t="s">
        <v>6966</v>
      </c>
      <c r="AY1614" t="s">
        <v>6966</v>
      </c>
      <c r="AZ1614">
        <v>0.136624</v>
      </c>
      <c r="BA1614">
        <v>7.3999999999999999E-4</v>
      </c>
    </row>
    <row r="1615" spans="1:53" x14ac:dyDescent="0.25">
      <c r="A1615">
        <v>1613</v>
      </c>
      <c r="B1615" t="s">
        <v>7625</v>
      </c>
      <c r="C1615">
        <v>601036</v>
      </c>
      <c r="D1615" t="s">
        <v>1495</v>
      </c>
      <c r="E1615" t="s">
        <v>8155</v>
      </c>
      <c r="F1615">
        <v>7622825</v>
      </c>
      <c r="G1615">
        <v>16823.361327999999</v>
      </c>
      <c r="H1615">
        <v>1615</v>
      </c>
      <c r="I1615">
        <v>1872</v>
      </c>
      <c r="J1615">
        <v>72254</v>
      </c>
      <c r="K1615" t="s">
        <v>8203</v>
      </c>
      <c r="L1615">
        <v>24</v>
      </c>
      <c r="M1615">
        <v>24</v>
      </c>
      <c r="N1615">
        <v>72254</v>
      </c>
      <c r="O1615">
        <v>1582</v>
      </c>
      <c r="P1615" t="s">
        <v>6965</v>
      </c>
      <c r="Q1615">
        <v>0.5</v>
      </c>
      <c r="R1615">
        <v>22.67</v>
      </c>
      <c r="S1615">
        <v>0.41</v>
      </c>
      <c r="T1615">
        <v>20</v>
      </c>
      <c r="U1615">
        <v>7622825.0214999998</v>
      </c>
      <c r="V1615">
        <v>16823.361241999999</v>
      </c>
      <c r="W1615">
        <v>1614</v>
      </c>
      <c r="X1615">
        <v>0</v>
      </c>
      <c r="Y1615">
        <v>1613</v>
      </c>
      <c r="Z1615" t="s">
        <v>6966</v>
      </c>
      <c r="AA1615" t="s">
        <v>6966</v>
      </c>
      <c r="AB1615" t="s">
        <v>6966</v>
      </c>
      <c r="AC1615" t="s">
        <v>6966</v>
      </c>
      <c r="AD1615" t="s">
        <v>6966</v>
      </c>
      <c r="AE1615" t="s">
        <v>6966</v>
      </c>
      <c r="AF1615" t="s">
        <v>6966</v>
      </c>
      <c r="AG1615" t="s">
        <v>6966</v>
      </c>
      <c r="AH1615" t="s">
        <v>6966</v>
      </c>
      <c r="AI1615" t="s">
        <v>6966</v>
      </c>
      <c r="AJ1615" t="s">
        <v>6966</v>
      </c>
      <c r="AK1615" t="s">
        <v>6966</v>
      </c>
      <c r="AL1615" t="s">
        <v>6966</v>
      </c>
      <c r="AM1615" t="s">
        <v>6966</v>
      </c>
      <c r="AN1615" t="s">
        <v>6966</v>
      </c>
      <c r="AO1615" t="s">
        <v>6966</v>
      </c>
      <c r="AP1615" t="s">
        <v>6966</v>
      </c>
      <c r="AQ1615" t="s">
        <v>6966</v>
      </c>
      <c r="AR1615" t="s">
        <v>6966</v>
      </c>
      <c r="AS1615" t="s">
        <v>6966</v>
      </c>
      <c r="AT1615" t="s">
        <v>6966</v>
      </c>
      <c r="AU1615" t="s">
        <v>6966</v>
      </c>
      <c r="AV1615" t="s">
        <v>6966</v>
      </c>
      <c r="AW1615" t="s">
        <v>6966</v>
      </c>
      <c r="AX1615" t="s">
        <v>6966</v>
      </c>
      <c r="AY1615" t="s">
        <v>6966</v>
      </c>
      <c r="AZ1615">
        <v>0.169436</v>
      </c>
      <c r="BA1615">
        <v>7.36E-4</v>
      </c>
    </row>
    <row r="1616" spans="1:53" x14ac:dyDescent="0.25">
      <c r="A1616">
        <v>1614</v>
      </c>
      <c r="B1616" t="s">
        <v>7625</v>
      </c>
      <c r="C1616">
        <v>601028</v>
      </c>
      <c r="D1616" t="s">
        <v>1500</v>
      </c>
      <c r="E1616" t="s">
        <v>8155</v>
      </c>
      <c r="F1616">
        <v>3490410.5</v>
      </c>
      <c r="G1616">
        <v>7542.5795900000003</v>
      </c>
      <c r="H1616">
        <v>1616</v>
      </c>
      <c r="I1616">
        <v>1873</v>
      </c>
      <c r="J1616">
        <v>72271</v>
      </c>
      <c r="K1616" t="s">
        <v>2757</v>
      </c>
      <c r="L1616">
        <v>24</v>
      </c>
      <c r="M1616">
        <v>24</v>
      </c>
      <c r="N1616">
        <v>72271</v>
      </c>
      <c r="O1616">
        <v>1583</v>
      </c>
      <c r="P1616" t="s">
        <v>6965</v>
      </c>
      <c r="Q1616">
        <v>0</v>
      </c>
      <c r="R1616">
        <v>0</v>
      </c>
      <c r="S1616">
        <v>0.11</v>
      </c>
      <c r="T1616">
        <v>1</v>
      </c>
      <c r="U1616">
        <v>3490410.3485900001</v>
      </c>
      <c r="V1616">
        <v>7542.579514</v>
      </c>
      <c r="W1616">
        <v>1615</v>
      </c>
      <c r="X1616">
        <v>0</v>
      </c>
      <c r="Y1616">
        <v>1614</v>
      </c>
      <c r="Z1616" t="s">
        <v>6966</v>
      </c>
      <c r="AA1616" t="s">
        <v>6966</v>
      </c>
      <c r="AB1616" t="s">
        <v>6966</v>
      </c>
      <c r="AC1616" t="s">
        <v>6966</v>
      </c>
      <c r="AD1616" t="s">
        <v>6966</v>
      </c>
      <c r="AE1616" t="s">
        <v>6966</v>
      </c>
      <c r="AF1616" t="s">
        <v>6966</v>
      </c>
      <c r="AG1616" t="s">
        <v>6966</v>
      </c>
      <c r="AH1616" t="s">
        <v>6966</v>
      </c>
      <c r="AI1616" t="s">
        <v>6966</v>
      </c>
      <c r="AJ1616" t="s">
        <v>6966</v>
      </c>
      <c r="AK1616" t="s">
        <v>6966</v>
      </c>
      <c r="AL1616" t="s">
        <v>6966</v>
      </c>
      <c r="AM1616" t="s">
        <v>6966</v>
      </c>
      <c r="AN1616" t="s">
        <v>6966</v>
      </c>
      <c r="AO1616" t="s">
        <v>6966</v>
      </c>
      <c r="AP1616" t="s">
        <v>6966</v>
      </c>
      <c r="AQ1616" t="s">
        <v>6966</v>
      </c>
      <c r="AR1616" t="s">
        <v>6966</v>
      </c>
      <c r="AS1616" t="s">
        <v>6966</v>
      </c>
      <c r="AT1616" t="s">
        <v>6966</v>
      </c>
      <c r="AU1616" t="s">
        <v>6966</v>
      </c>
      <c r="AV1616" t="s">
        <v>6966</v>
      </c>
      <c r="AW1616" t="s">
        <v>6966</v>
      </c>
      <c r="AX1616" t="s">
        <v>6966</v>
      </c>
      <c r="AY1616" t="s">
        <v>6966</v>
      </c>
      <c r="AZ1616">
        <v>7.5399999999999995E-2</v>
      </c>
      <c r="BA1616">
        <v>3.3700000000000001E-4</v>
      </c>
    </row>
    <row r="1617" spans="1:53" x14ac:dyDescent="0.25">
      <c r="A1617">
        <v>1615</v>
      </c>
      <c r="B1617" t="s">
        <v>7625</v>
      </c>
      <c r="C1617">
        <v>803070</v>
      </c>
      <c r="D1617" t="s">
        <v>1326</v>
      </c>
      <c r="E1617" t="s">
        <v>1267</v>
      </c>
      <c r="F1617">
        <v>4469693.5</v>
      </c>
      <c r="G1617">
        <v>9918.0820309999999</v>
      </c>
      <c r="H1617">
        <v>1617</v>
      </c>
      <c r="I1617">
        <v>1874</v>
      </c>
      <c r="J1617">
        <v>62295</v>
      </c>
      <c r="K1617" t="s">
        <v>2619</v>
      </c>
      <c r="L1617">
        <v>21</v>
      </c>
      <c r="M1617">
        <v>21</v>
      </c>
      <c r="N1617">
        <v>62295</v>
      </c>
      <c r="O1617">
        <v>1584</v>
      </c>
      <c r="P1617" t="s">
        <v>3213</v>
      </c>
      <c r="Q1617">
        <v>1.5</v>
      </c>
      <c r="R1617">
        <v>52.55</v>
      </c>
      <c r="S1617">
        <v>0.43</v>
      </c>
      <c r="T1617">
        <v>15</v>
      </c>
      <c r="U1617">
        <v>4469693.3778799996</v>
      </c>
      <c r="V1617">
        <v>9918.0819289999999</v>
      </c>
      <c r="W1617">
        <v>1616</v>
      </c>
      <c r="X1617">
        <v>0</v>
      </c>
      <c r="Y1617">
        <v>1615</v>
      </c>
      <c r="Z1617" t="s">
        <v>6966</v>
      </c>
      <c r="AA1617" t="s">
        <v>6966</v>
      </c>
      <c r="AB1617" t="s">
        <v>6966</v>
      </c>
      <c r="AC1617" t="s">
        <v>6966</v>
      </c>
      <c r="AD1617" t="s">
        <v>6966</v>
      </c>
      <c r="AE1617" t="s">
        <v>6966</v>
      </c>
      <c r="AF1617" t="s">
        <v>6966</v>
      </c>
      <c r="AG1617" t="s">
        <v>6966</v>
      </c>
      <c r="AH1617" t="s">
        <v>6966</v>
      </c>
      <c r="AI1617" t="s">
        <v>6966</v>
      </c>
      <c r="AJ1617" t="s">
        <v>6966</v>
      </c>
      <c r="AK1617" t="s">
        <v>6966</v>
      </c>
      <c r="AL1617" t="s">
        <v>6966</v>
      </c>
      <c r="AM1617" t="s">
        <v>6966</v>
      </c>
      <c r="AN1617" t="s">
        <v>6966</v>
      </c>
      <c r="AO1617" t="s">
        <v>6966</v>
      </c>
      <c r="AP1617" t="s">
        <v>6966</v>
      </c>
      <c r="AQ1617" t="s">
        <v>6966</v>
      </c>
      <c r="AR1617" t="s">
        <v>6966</v>
      </c>
      <c r="AS1617" t="s">
        <v>6966</v>
      </c>
      <c r="AT1617" t="s">
        <v>6966</v>
      </c>
      <c r="AU1617" t="s">
        <v>6966</v>
      </c>
      <c r="AV1617" t="s">
        <v>6966</v>
      </c>
      <c r="AW1617" t="s">
        <v>6966</v>
      </c>
      <c r="AX1617" t="s">
        <v>6966</v>
      </c>
      <c r="AY1617" t="s">
        <v>6966</v>
      </c>
      <c r="AZ1617">
        <v>9.6466999999999997E-2</v>
      </c>
      <c r="BA1617">
        <v>4.3199999999999998E-4</v>
      </c>
    </row>
    <row r="1618" spans="1:53" x14ac:dyDescent="0.25">
      <c r="A1618">
        <v>1616</v>
      </c>
      <c r="B1618" t="s">
        <v>7625</v>
      </c>
      <c r="C1618">
        <v>601007</v>
      </c>
      <c r="D1618" t="s">
        <v>1506</v>
      </c>
      <c r="E1618" t="s">
        <v>8155</v>
      </c>
      <c r="F1618">
        <v>4598505</v>
      </c>
      <c r="G1618">
        <v>12891.276367</v>
      </c>
      <c r="H1618">
        <v>1618</v>
      </c>
      <c r="I1618">
        <v>1875</v>
      </c>
      <c r="J1618">
        <v>72287</v>
      </c>
      <c r="K1618" t="s">
        <v>1506</v>
      </c>
      <c r="L1618">
        <v>24</v>
      </c>
      <c r="M1618">
        <v>24</v>
      </c>
      <c r="N1618">
        <v>72287</v>
      </c>
      <c r="O1618">
        <v>1585</v>
      </c>
      <c r="P1618" t="s">
        <v>6965</v>
      </c>
      <c r="Q1618">
        <v>4.5</v>
      </c>
      <c r="R1618">
        <v>110.58</v>
      </c>
      <c r="S1618">
        <v>0.94</v>
      </c>
      <c r="T1618">
        <v>23</v>
      </c>
      <c r="U1618">
        <v>4598504.90099</v>
      </c>
      <c r="V1618">
        <v>12891.276811</v>
      </c>
      <c r="W1618">
        <v>1617</v>
      </c>
      <c r="X1618">
        <v>2</v>
      </c>
      <c r="Y1618">
        <v>1616</v>
      </c>
      <c r="Z1618">
        <v>73873</v>
      </c>
      <c r="AA1618" s="76">
        <v>45957</v>
      </c>
      <c r="AB1618">
        <v>2025</v>
      </c>
      <c r="AC1618" t="s">
        <v>7473</v>
      </c>
      <c r="AD1618">
        <v>27</v>
      </c>
      <c r="AE1618" t="s">
        <v>7510</v>
      </c>
      <c r="AF1618" t="s">
        <v>3218</v>
      </c>
      <c r="AG1618" t="s">
        <v>3230</v>
      </c>
      <c r="AH1618" t="s">
        <v>1506</v>
      </c>
      <c r="AI1618" t="s">
        <v>1506</v>
      </c>
      <c r="AJ1618" t="s">
        <v>6966</v>
      </c>
      <c r="AK1618">
        <v>33.133650000000003</v>
      </c>
      <c r="AL1618">
        <v>35.331850000000003</v>
      </c>
      <c r="AM1618" t="s">
        <v>7059</v>
      </c>
      <c r="AN1618" t="s">
        <v>6995</v>
      </c>
      <c r="AO1618" t="s">
        <v>7008</v>
      </c>
      <c r="AP1618" t="s">
        <v>7511</v>
      </c>
      <c r="AQ1618" t="s">
        <v>6998</v>
      </c>
      <c r="AR1618" t="s">
        <v>7048</v>
      </c>
      <c r="AS1618" t="s">
        <v>7000</v>
      </c>
      <c r="AT1618">
        <v>0</v>
      </c>
      <c r="AU1618">
        <v>0</v>
      </c>
      <c r="AV1618" t="s">
        <v>7512</v>
      </c>
      <c r="AW1618" t="s">
        <v>7043</v>
      </c>
      <c r="AX1618" t="s">
        <v>6966</v>
      </c>
      <c r="AY1618" t="s">
        <v>7003</v>
      </c>
      <c r="AZ1618">
        <v>0.127274</v>
      </c>
      <c r="BA1618">
        <v>4.44E-4</v>
      </c>
    </row>
    <row r="1619" spans="1:53" x14ac:dyDescent="0.25">
      <c r="A1619">
        <v>1617</v>
      </c>
      <c r="B1619" t="s">
        <v>7625</v>
      </c>
      <c r="C1619">
        <v>803042</v>
      </c>
      <c r="D1619" t="s">
        <v>1323</v>
      </c>
      <c r="E1619" t="s">
        <v>1267</v>
      </c>
      <c r="F1619">
        <v>2996224.25</v>
      </c>
      <c r="G1619">
        <v>8883.5322269999997</v>
      </c>
      <c r="H1619">
        <v>1619</v>
      </c>
      <c r="I1619">
        <v>1876</v>
      </c>
      <c r="J1619">
        <v>62292</v>
      </c>
      <c r="K1619" t="s">
        <v>2616</v>
      </c>
      <c r="L1619">
        <v>21</v>
      </c>
      <c r="M1619">
        <v>21</v>
      </c>
      <c r="N1619">
        <v>62292</v>
      </c>
      <c r="O1619">
        <v>1586</v>
      </c>
      <c r="P1619" t="s">
        <v>3213</v>
      </c>
      <c r="Q1619">
        <v>1.3</v>
      </c>
      <c r="R1619">
        <v>36.86</v>
      </c>
      <c r="S1619">
        <v>0.28000000000000003</v>
      </c>
      <c r="T1619">
        <v>8</v>
      </c>
      <c r="U1619">
        <v>2996224.3741000001</v>
      </c>
      <c r="V1619">
        <v>8883.5323769999995</v>
      </c>
      <c r="W1619">
        <v>1618</v>
      </c>
      <c r="X1619">
        <v>0</v>
      </c>
      <c r="Y1619">
        <v>1617</v>
      </c>
      <c r="Z1619" t="s">
        <v>6966</v>
      </c>
      <c r="AA1619" t="s">
        <v>6966</v>
      </c>
      <c r="AB1619" t="s">
        <v>6966</v>
      </c>
      <c r="AC1619" t="s">
        <v>6966</v>
      </c>
      <c r="AD1619" t="s">
        <v>6966</v>
      </c>
      <c r="AE1619" t="s">
        <v>6966</v>
      </c>
      <c r="AF1619" t="s">
        <v>6966</v>
      </c>
      <c r="AG1619" t="s">
        <v>6966</v>
      </c>
      <c r="AH1619" t="s">
        <v>6966</v>
      </c>
      <c r="AI1619" t="s">
        <v>6966</v>
      </c>
      <c r="AJ1619" t="s">
        <v>6966</v>
      </c>
      <c r="AK1619" t="s">
        <v>6966</v>
      </c>
      <c r="AL1619" t="s">
        <v>6966</v>
      </c>
      <c r="AM1619" t="s">
        <v>6966</v>
      </c>
      <c r="AN1619" t="s">
        <v>6966</v>
      </c>
      <c r="AO1619" t="s">
        <v>6966</v>
      </c>
      <c r="AP1619" t="s">
        <v>6966</v>
      </c>
      <c r="AQ1619" t="s">
        <v>6966</v>
      </c>
      <c r="AR1619" t="s">
        <v>6966</v>
      </c>
      <c r="AS1619" t="s">
        <v>6966</v>
      </c>
      <c r="AT1619" t="s">
        <v>6966</v>
      </c>
      <c r="AU1619" t="s">
        <v>6966</v>
      </c>
      <c r="AV1619" t="s">
        <v>6966</v>
      </c>
      <c r="AW1619" t="s">
        <v>6966</v>
      </c>
      <c r="AX1619" t="s">
        <v>6966</v>
      </c>
      <c r="AY1619" t="s">
        <v>6966</v>
      </c>
      <c r="AZ1619">
        <v>8.6737999999999996E-2</v>
      </c>
      <c r="BA1619">
        <v>2.8899999999999998E-4</v>
      </c>
    </row>
    <row r="1620" spans="1:53" x14ac:dyDescent="0.25">
      <c r="A1620">
        <v>1618</v>
      </c>
      <c r="B1620" t="s">
        <v>7625</v>
      </c>
      <c r="C1620">
        <v>803026</v>
      </c>
      <c r="D1620" t="s">
        <v>1319</v>
      </c>
      <c r="E1620" t="s">
        <v>1267</v>
      </c>
      <c r="F1620">
        <v>5486698</v>
      </c>
      <c r="G1620">
        <v>9846.7929690000001</v>
      </c>
      <c r="H1620">
        <v>1620</v>
      </c>
      <c r="I1620">
        <v>1877</v>
      </c>
      <c r="J1620">
        <v>62285</v>
      </c>
      <c r="K1620" t="s">
        <v>1319</v>
      </c>
      <c r="L1620">
        <v>21</v>
      </c>
      <c r="M1620">
        <v>21</v>
      </c>
      <c r="N1620">
        <v>62285</v>
      </c>
      <c r="O1620">
        <v>1587</v>
      </c>
      <c r="P1620" t="s">
        <v>3213</v>
      </c>
      <c r="Q1620">
        <v>1</v>
      </c>
      <c r="R1620">
        <v>91.78</v>
      </c>
      <c r="S1620">
        <v>0.22</v>
      </c>
      <c r="T1620">
        <v>21</v>
      </c>
      <c r="U1620">
        <v>5486697.9780599996</v>
      </c>
      <c r="V1620">
        <v>9846.7929330000006</v>
      </c>
      <c r="W1620">
        <v>1619</v>
      </c>
      <c r="X1620">
        <v>0</v>
      </c>
      <c r="Y1620">
        <v>1618</v>
      </c>
      <c r="Z1620" t="s">
        <v>6966</v>
      </c>
      <c r="AA1620" t="s">
        <v>6966</v>
      </c>
      <c r="AB1620" t="s">
        <v>6966</v>
      </c>
      <c r="AC1620" t="s">
        <v>6966</v>
      </c>
      <c r="AD1620" t="s">
        <v>6966</v>
      </c>
      <c r="AE1620" t="s">
        <v>6966</v>
      </c>
      <c r="AF1620" t="s">
        <v>6966</v>
      </c>
      <c r="AG1620" t="s">
        <v>6966</v>
      </c>
      <c r="AH1620" t="s">
        <v>6966</v>
      </c>
      <c r="AI1620" t="s">
        <v>6966</v>
      </c>
      <c r="AJ1620" t="s">
        <v>6966</v>
      </c>
      <c r="AK1620" t="s">
        <v>6966</v>
      </c>
      <c r="AL1620" t="s">
        <v>6966</v>
      </c>
      <c r="AM1620" t="s">
        <v>6966</v>
      </c>
      <c r="AN1620" t="s">
        <v>6966</v>
      </c>
      <c r="AO1620" t="s">
        <v>6966</v>
      </c>
      <c r="AP1620" t="s">
        <v>6966</v>
      </c>
      <c r="AQ1620" t="s">
        <v>6966</v>
      </c>
      <c r="AR1620" t="s">
        <v>6966</v>
      </c>
      <c r="AS1620" t="s">
        <v>6966</v>
      </c>
      <c r="AT1620" t="s">
        <v>6966</v>
      </c>
      <c r="AU1620" t="s">
        <v>6966</v>
      </c>
      <c r="AV1620" t="s">
        <v>6966</v>
      </c>
      <c r="AW1620" t="s">
        <v>6966</v>
      </c>
      <c r="AX1620" t="s">
        <v>6966</v>
      </c>
      <c r="AY1620" t="s">
        <v>6966</v>
      </c>
      <c r="AZ1620">
        <v>9.8909999999999998E-2</v>
      </c>
      <c r="BA1620">
        <v>5.2999999999999998E-4</v>
      </c>
    </row>
    <row r="1621" spans="1:53" x14ac:dyDescent="0.25">
      <c r="A1621">
        <v>1619</v>
      </c>
      <c r="B1621" t="s">
        <v>7625</v>
      </c>
      <c r="C1621">
        <v>803043</v>
      </c>
      <c r="D1621" t="s">
        <v>1336</v>
      </c>
      <c r="E1621" t="s">
        <v>1267</v>
      </c>
      <c r="F1621">
        <v>3160760.25</v>
      </c>
      <c r="G1621">
        <v>7558.751953</v>
      </c>
      <c r="H1621">
        <v>1621</v>
      </c>
      <c r="I1621">
        <v>1878</v>
      </c>
      <c r="J1621">
        <v>62318</v>
      </c>
      <c r="K1621" t="s">
        <v>2627</v>
      </c>
      <c r="L1621">
        <v>21</v>
      </c>
      <c r="M1621">
        <v>21</v>
      </c>
      <c r="N1621">
        <v>62318</v>
      </c>
      <c r="O1621">
        <v>1588</v>
      </c>
      <c r="P1621" t="s">
        <v>3213</v>
      </c>
      <c r="Q1621">
        <v>0</v>
      </c>
      <c r="R1621">
        <v>0</v>
      </c>
      <c r="S1621">
        <v>0</v>
      </c>
      <c r="T1621">
        <v>0</v>
      </c>
      <c r="U1621">
        <v>3160760.29532</v>
      </c>
      <c r="V1621">
        <v>7558.7514369999999</v>
      </c>
      <c r="W1621">
        <v>1620</v>
      </c>
      <c r="X1621">
        <v>0</v>
      </c>
      <c r="Y1621">
        <v>1619</v>
      </c>
      <c r="Z1621" t="s">
        <v>6966</v>
      </c>
      <c r="AA1621" t="s">
        <v>6966</v>
      </c>
      <c r="AB1621" t="s">
        <v>6966</v>
      </c>
      <c r="AC1621" t="s">
        <v>6966</v>
      </c>
      <c r="AD1621" t="s">
        <v>6966</v>
      </c>
      <c r="AE1621" t="s">
        <v>6966</v>
      </c>
      <c r="AF1621" t="s">
        <v>6966</v>
      </c>
      <c r="AG1621" t="s">
        <v>6966</v>
      </c>
      <c r="AH1621" t="s">
        <v>6966</v>
      </c>
      <c r="AI1621" t="s">
        <v>6966</v>
      </c>
      <c r="AJ1621" t="s">
        <v>6966</v>
      </c>
      <c r="AK1621" t="s">
        <v>6966</v>
      </c>
      <c r="AL1621" t="s">
        <v>6966</v>
      </c>
      <c r="AM1621" t="s">
        <v>6966</v>
      </c>
      <c r="AN1621" t="s">
        <v>6966</v>
      </c>
      <c r="AO1621" t="s">
        <v>6966</v>
      </c>
      <c r="AP1621" t="s">
        <v>6966</v>
      </c>
      <c r="AQ1621" t="s">
        <v>6966</v>
      </c>
      <c r="AR1621" t="s">
        <v>6966</v>
      </c>
      <c r="AS1621" t="s">
        <v>6966</v>
      </c>
      <c r="AT1621" t="s">
        <v>6966</v>
      </c>
      <c r="AU1621" t="s">
        <v>6966</v>
      </c>
      <c r="AV1621" t="s">
        <v>6966</v>
      </c>
      <c r="AW1621" t="s">
        <v>6966</v>
      </c>
      <c r="AX1621" t="s">
        <v>6966</v>
      </c>
      <c r="AY1621" t="s">
        <v>6966</v>
      </c>
      <c r="AZ1621">
        <v>7.4952000000000005E-2</v>
      </c>
      <c r="BA1621">
        <v>3.0499999999999999E-4</v>
      </c>
    </row>
    <row r="1622" spans="1:53" x14ac:dyDescent="0.25">
      <c r="A1622">
        <v>1620</v>
      </c>
      <c r="B1622" t="s">
        <v>7625</v>
      </c>
      <c r="C1622">
        <v>803008</v>
      </c>
      <c r="D1622" t="s">
        <v>1337</v>
      </c>
      <c r="E1622" t="s">
        <v>1267</v>
      </c>
      <c r="F1622">
        <v>2516951.25</v>
      </c>
      <c r="G1622">
        <v>6987.1865230000003</v>
      </c>
      <c r="H1622">
        <v>1622</v>
      </c>
      <c r="I1622">
        <v>1879</v>
      </c>
      <c r="J1622">
        <v>62319</v>
      </c>
      <c r="K1622" t="s">
        <v>1337</v>
      </c>
      <c r="L1622">
        <v>21</v>
      </c>
      <c r="M1622">
        <v>21</v>
      </c>
      <c r="N1622">
        <v>62319</v>
      </c>
      <c r="O1622">
        <v>1589</v>
      </c>
      <c r="P1622" t="s">
        <v>3213</v>
      </c>
      <c r="Q1622">
        <v>0.4</v>
      </c>
      <c r="R1622">
        <v>35.57</v>
      </c>
      <c r="S1622">
        <v>0.06</v>
      </c>
      <c r="T1622">
        <v>6</v>
      </c>
      <c r="U1622">
        <v>2516951.2763700001</v>
      </c>
      <c r="V1622">
        <v>6987.1860319999996</v>
      </c>
      <c r="W1622">
        <v>1621</v>
      </c>
      <c r="X1622">
        <v>0</v>
      </c>
      <c r="Y1622">
        <v>1620</v>
      </c>
      <c r="Z1622" t="s">
        <v>6966</v>
      </c>
      <c r="AA1622" t="s">
        <v>6966</v>
      </c>
      <c r="AB1622" t="s">
        <v>6966</v>
      </c>
      <c r="AC1622" t="s">
        <v>6966</v>
      </c>
      <c r="AD1622" t="s">
        <v>6966</v>
      </c>
      <c r="AE1622" t="s">
        <v>6966</v>
      </c>
      <c r="AF1622" t="s">
        <v>6966</v>
      </c>
      <c r="AG1622" t="s">
        <v>6966</v>
      </c>
      <c r="AH1622" t="s">
        <v>6966</v>
      </c>
      <c r="AI1622" t="s">
        <v>6966</v>
      </c>
      <c r="AJ1622" t="s">
        <v>6966</v>
      </c>
      <c r="AK1622" t="s">
        <v>6966</v>
      </c>
      <c r="AL1622" t="s">
        <v>6966</v>
      </c>
      <c r="AM1622" t="s">
        <v>6966</v>
      </c>
      <c r="AN1622" t="s">
        <v>6966</v>
      </c>
      <c r="AO1622" t="s">
        <v>6966</v>
      </c>
      <c r="AP1622" t="s">
        <v>6966</v>
      </c>
      <c r="AQ1622" t="s">
        <v>6966</v>
      </c>
      <c r="AR1622" t="s">
        <v>6966</v>
      </c>
      <c r="AS1622" t="s">
        <v>6966</v>
      </c>
      <c r="AT1622" t="s">
        <v>6966</v>
      </c>
      <c r="AU1622" t="s">
        <v>6966</v>
      </c>
      <c r="AV1622" t="s">
        <v>6966</v>
      </c>
      <c r="AW1622" t="s">
        <v>6966</v>
      </c>
      <c r="AX1622" t="s">
        <v>6966</v>
      </c>
      <c r="AY1622" t="s">
        <v>6966</v>
      </c>
      <c r="AZ1622">
        <v>6.9038000000000002E-2</v>
      </c>
      <c r="BA1622">
        <v>2.43E-4</v>
      </c>
    </row>
    <row r="1623" spans="1:53" x14ac:dyDescent="0.25">
      <c r="A1623">
        <v>1621</v>
      </c>
      <c r="B1623" t="s">
        <v>7625</v>
      </c>
      <c r="C1623">
        <v>601009</v>
      </c>
      <c r="D1623" t="s">
        <v>1470</v>
      </c>
      <c r="E1623" t="s">
        <v>8155</v>
      </c>
      <c r="F1623">
        <v>8015348</v>
      </c>
      <c r="G1623">
        <v>16958.021484000001</v>
      </c>
      <c r="H1623">
        <v>1623</v>
      </c>
      <c r="I1623">
        <v>1880</v>
      </c>
      <c r="J1623">
        <v>72111</v>
      </c>
      <c r="K1623" t="s">
        <v>2731</v>
      </c>
      <c r="L1623">
        <v>24</v>
      </c>
      <c r="M1623">
        <v>24</v>
      </c>
      <c r="N1623">
        <v>72111</v>
      </c>
      <c r="O1623">
        <v>1590</v>
      </c>
      <c r="P1623" t="s">
        <v>6965</v>
      </c>
      <c r="Q1623">
        <v>11.5</v>
      </c>
      <c r="R1623">
        <v>81.239999999999995</v>
      </c>
      <c r="S1623">
        <v>2.91</v>
      </c>
      <c r="T1623">
        <v>21</v>
      </c>
      <c r="U1623">
        <v>8015348.2674900005</v>
      </c>
      <c r="V1623">
        <v>16958.021380999999</v>
      </c>
      <c r="W1623">
        <v>1622</v>
      </c>
      <c r="X1623">
        <v>0</v>
      </c>
      <c r="Y1623">
        <v>1621</v>
      </c>
      <c r="Z1623" t="s">
        <v>6966</v>
      </c>
      <c r="AA1623" t="s">
        <v>6966</v>
      </c>
      <c r="AB1623" t="s">
        <v>6966</v>
      </c>
      <c r="AC1623" t="s">
        <v>6966</v>
      </c>
      <c r="AD1623" t="s">
        <v>6966</v>
      </c>
      <c r="AE1623" t="s">
        <v>6966</v>
      </c>
      <c r="AF1623" t="s">
        <v>6966</v>
      </c>
      <c r="AG1623" t="s">
        <v>6966</v>
      </c>
      <c r="AH1623" t="s">
        <v>6966</v>
      </c>
      <c r="AI1623" t="s">
        <v>6966</v>
      </c>
      <c r="AJ1623" t="s">
        <v>6966</v>
      </c>
      <c r="AK1623" t="s">
        <v>6966</v>
      </c>
      <c r="AL1623" t="s">
        <v>6966</v>
      </c>
      <c r="AM1623" t="s">
        <v>6966</v>
      </c>
      <c r="AN1623" t="s">
        <v>6966</v>
      </c>
      <c r="AO1623" t="s">
        <v>6966</v>
      </c>
      <c r="AP1623" t="s">
        <v>6966</v>
      </c>
      <c r="AQ1623" t="s">
        <v>6966</v>
      </c>
      <c r="AR1623" t="s">
        <v>6966</v>
      </c>
      <c r="AS1623" t="s">
        <v>6966</v>
      </c>
      <c r="AT1623" t="s">
        <v>6966</v>
      </c>
      <c r="AU1623" t="s">
        <v>6966</v>
      </c>
      <c r="AV1623" t="s">
        <v>6966</v>
      </c>
      <c r="AW1623" t="s">
        <v>6966</v>
      </c>
      <c r="AX1623" t="s">
        <v>6966</v>
      </c>
      <c r="AY1623" t="s">
        <v>6966</v>
      </c>
      <c r="AZ1623">
        <v>0.16781299999999999</v>
      </c>
      <c r="BA1623">
        <v>7.7399999999999995E-4</v>
      </c>
    </row>
    <row r="1624" spans="1:53" x14ac:dyDescent="0.25">
      <c r="A1624">
        <v>1622</v>
      </c>
      <c r="B1624" t="s">
        <v>7625</v>
      </c>
      <c r="C1624">
        <v>601032</v>
      </c>
      <c r="D1624" t="s">
        <v>1473</v>
      </c>
      <c r="E1624" t="s">
        <v>8155</v>
      </c>
      <c r="F1624">
        <v>1816621.625</v>
      </c>
      <c r="G1624">
        <v>5340.4013670000004</v>
      </c>
      <c r="H1624">
        <v>1624</v>
      </c>
      <c r="I1624">
        <v>1881</v>
      </c>
      <c r="J1624">
        <v>72135</v>
      </c>
      <c r="K1624" t="s">
        <v>8204</v>
      </c>
      <c r="L1624">
        <v>24</v>
      </c>
      <c r="M1624">
        <v>24</v>
      </c>
      <c r="N1624">
        <v>72135</v>
      </c>
      <c r="O1624">
        <v>1591</v>
      </c>
      <c r="P1624" t="s">
        <v>6965</v>
      </c>
      <c r="Q1624">
        <v>0</v>
      </c>
      <c r="R1624">
        <v>0</v>
      </c>
      <c r="S1624">
        <v>0.01</v>
      </c>
      <c r="T1624">
        <v>2</v>
      </c>
      <c r="U1624">
        <v>1816621.6333699999</v>
      </c>
      <c r="V1624">
        <v>5340.4013269999996</v>
      </c>
      <c r="W1624">
        <v>1623</v>
      </c>
      <c r="X1624">
        <v>0</v>
      </c>
      <c r="Y1624">
        <v>1622</v>
      </c>
      <c r="Z1624" t="s">
        <v>6966</v>
      </c>
      <c r="AA1624" t="s">
        <v>6966</v>
      </c>
      <c r="AB1624" t="s">
        <v>6966</v>
      </c>
      <c r="AC1624" t="s">
        <v>6966</v>
      </c>
      <c r="AD1624" t="s">
        <v>6966</v>
      </c>
      <c r="AE1624" t="s">
        <v>6966</v>
      </c>
      <c r="AF1624" t="s">
        <v>6966</v>
      </c>
      <c r="AG1624" t="s">
        <v>6966</v>
      </c>
      <c r="AH1624" t="s">
        <v>6966</v>
      </c>
      <c r="AI1624" t="s">
        <v>6966</v>
      </c>
      <c r="AJ1624" t="s">
        <v>6966</v>
      </c>
      <c r="AK1624" t="s">
        <v>6966</v>
      </c>
      <c r="AL1624" t="s">
        <v>6966</v>
      </c>
      <c r="AM1624" t="s">
        <v>6966</v>
      </c>
      <c r="AN1624" t="s">
        <v>6966</v>
      </c>
      <c r="AO1624" t="s">
        <v>6966</v>
      </c>
      <c r="AP1624" t="s">
        <v>6966</v>
      </c>
      <c r="AQ1624" t="s">
        <v>6966</v>
      </c>
      <c r="AR1624" t="s">
        <v>6966</v>
      </c>
      <c r="AS1624" t="s">
        <v>6966</v>
      </c>
      <c r="AT1624" t="s">
        <v>6966</v>
      </c>
      <c r="AU1624" t="s">
        <v>6966</v>
      </c>
      <c r="AV1624" t="s">
        <v>6966</v>
      </c>
      <c r="AW1624" t="s">
        <v>6966</v>
      </c>
      <c r="AX1624" t="s">
        <v>6966</v>
      </c>
      <c r="AY1624" t="s">
        <v>6966</v>
      </c>
      <c r="AZ1624">
        <v>5.2873000000000003E-2</v>
      </c>
      <c r="BA1624">
        <v>1.75E-4</v>
      </c>
    </row>
    <row r="1625" spans="1:53" x14ac:dyDescent="0.25">
      <c r="A1625">
        <v>1623</v>
      </c>
      <c r="B1625" t="s">
        <v>7625</v>
      </c>
      <c r="C1625">
        <v>601012</v>
      </c>
      <c r="D1625" t="s">
        <v>1504</v>
      </c>
      <c r="E1625" t="s">
        <v>8155</v>
      </c>
      <c r="F1625">
        <v>8479741</v>
      </c>
      <c r="G1625">
        <v>17936.806640999999</v>
      </c>
      <c r="H1625">
        <v>1625</v>
      </c>
      <c r="I1625">
        <v>1882</v>
      </c>
      <c r="J1625">
        <v>72281</v>
      </c>
      <c r="K1625" t="s">
        <v>2760</v>
      </c>
      <c r="L1625">
        <v>24</v>
      </c>
      <c r="M1625">
        <v>24</v>
      </c>
      <c r="N1625">
        <v>72281</v>
      </c>
      <c r="O1625">
        <v>1592</v>
      </c>
      <c r="P1625" t="s">
        <v>6965</v>
      </c>
      <c r="Q1625">
        <v>1.9</v>
      </c>
      <c r="R1625">
        <v>63.87</v>
      </c>
      <c r="S1625">
        <v>0.44</v>
      </c>
      <c r="T1625">
        <v>15</v>
      </c>
      <c r="U1625">
        <v>8479741.1335700005</v>
      </c>
      <c r="V1625">
        <v>17936.806289</v>
      </c>
      <c r="W1625">
        <v>1624</v>
      </c>
      <c r="X1625">
        <v>0</v>
      </c>
      <c r="Y1625">
        <v>1623</v>
      </c>
      <c r="Z1625" t="s">
        <v>6966</v>
      </c>
      <c r="AA1625" t="s">
        <v>6966</v>
      </c>
      <c r="AB1625" t="s">
        <v>6966</v>
      </c>
      <c r="AC1625" t="s">
        <v>6966</v>
      </c>
      <c r="AD1625" t="s">
        <v>6966</v>
      </c>
      <c r="AE1625" t="s">
        <v>6966</v>
      </c>
      <c r="AF1625" t="s">
        <v>6966</v>
      </c>
      <c r="AG1625" t="s">
        <v>6966</v>
      </c>
      <c r="AH1625" t="s">
        <v>6966</v>
      </c>
      <c r="AI1625" t="s">
        <v>6966</v>
      </c>
      <c r="AJ1625" t="s">
        <v>6966</v>
      </c>
      <c r="AK1625" t="s">
        <v>6966</v>
      </c>
      <c r="AL1625" t="s">
        <v>6966</v>
      </c>
      <c r="AM1625" t="s">
        <v>6966</v>
      </c>
      <c r="AN1625" t="s">
        <v>6966</v>
      </c>
      <c r="AO1625" t="s">
        <v>6966</v>
      </c>
      <c r="AP1625" t="s">
        <v>6966</v>
      </c>
      <c r="AQ1625" t="s">
        <v>6966</v>
      </c>
      <c r="AR1625" t="s">
        <v>6966</v>
      </c>
      <c r="AS1625" t="s">
        <v>6966</v>
      </c>
      <c r="AT1625" t="s">
        <v>6966</v>
      </c>
      <c r="AU1625" t="s">
        <v>6966</v>
      </c>
      <c r="AV1625" t="s">
        <v>6966</v>
      </c>
      <c r="AW1625" t="s">
        <v>6966</v>
      </c>
      <c r="AX1625" t="s">
        <v>6966</v>
      </c>
      <c r="AY1625" t="s">
        <v>6966</v>
      </c>
      <c r="AZ1625">
        <v>0.179949</v>
      </c>
      <c r="BA1625">
        <v>8.1899999999999996E-4</v>
      </c>
    </row>
    <row r="1626" spans="1:53" x14ac:dyDescent="0.25">
      <c r="A1626">
        <v>1624</v>
      </c>
      <c r="B1626" t="s">
        <v>7625</v>
      </c>
      <c r="C1626">
        <v>601004</v>
      </c>
      <c r="D1626" t="s">
        <v>1471</v>
      </c>
      <c r="E1626" t="s">
        <v>8155</v>
      </c>
      <c r="F1626">
        <v>4371018</v>
      </c>
      <c r="G1626">
        <v>10642.270508</v>
      </c>
      <c r="H1626">
        <v>1626</v>
      </c>
      <c r="I1626">
        <v>1883</v>
      </c>
      <c r="J1626">
        <v>72119</v>
      </c>
      <c r="K1626" t="s">
        <v>7759</v>
      </c>
      <c r="L1626">
        <v>24</v>
      </c>
      <c r="M1626">
        <v>24</v>
      </c>
      <c r="N1626">
        <v>72119</v>
      </c>
      <c r="O1626">
        <v>1593</v>
      </c>
      <c r="P1626" t="s">
        <v>6965</v>
      </c>
      <c r="Q1626">
        <v>8.1</v>
      </c>
      <c r="R1626">
        <v>43.14</v>
      </c>
      <c r="S1626">
        <v>1.46</v>
      </c>
      <c r="T1626">
        <v>8</v>
      </c>
      <c r="U1626">
        <v>4371017.8841700004</v>
      </c>
      <c r="V1626">
        <v>10642.269973</v>
      </c>
      <c r="W1626">
        <v>1625</v>
      </c>
      <c r="X1626">
        <v>0</v>
      </c>
      <c r="Y1626">
        <v>1624</v>
      </c>
      <c r="Z1626" t="s">
        <v>6966</v>
      </c>
      <c r="AA1626" t="s">
        <v>6966</v>
      </c>
      <c r="AB1626" t="s">
        <v>6966</v>
      </c>
      <c r="AC1626" t="s">
        <v>6966</v>
      </c>
      <c r="AD1626" t="s">
        <v>6966</v>
      </c>
      <c r="AE1626" t="s">
        <v>6966</v>
      </c>
      <c r="AF1626" t="s">
        <v>6966</v>
      </c>
      <c r="AG1626" t="s">
        <v>6966</v>
      </c>
      <c r="AH1626" t="s">
        <v>6966</v>
      </c>
      <c r="AI1626" t="s">
        <v>6966</v>
      </c>
      <c r="AJ1626" t="s">
        <v>6966</v>
      </c>
      <c r="AK1626" t="s">
        <v>6966</v>
      </c>
      <c r="AL1626" t="s">
        <v>6966</v>
      </c>
      <c r="AM1626" t="s">
        <v>6966</v>
      </c>
      <c r="AN1626" t="s">
        <v>6966</v>
      </c>
      <c r="AO1626" t="s">
        <v>6966</v>
      </c>
      <c r="AP1626" t="s">
        <v>6966</v>
      </c>
      <c r="AQ1626" t="s">
        <v>6966</v>
      </c>
      <c r="AR1626" t="s">
        <v>6966</v>
      </c>
      <c r="AS1626" t="s">
        <v>6966</v>
      </c>
      <c r="AT1626" t="s">
        <v>6966</v>
      </c>
      <c r="AU1626" t="s">
        <v>6966</v>
      </c>
      <c r="AV1626" t="s">
        <v>6966</v>
      </c>
      <c r="AW1626" t="s">
        <v>6966</v>
      </c>
      <c r="AX1626" t="s">
        <v>6966</v>
      </c>
      <c r="AY1626" t="s">
        <v>6966</v>
      </c>
      <c r="AZ1626">
        <v>0.107506</v>
      </c>
      <c r="BA1626">
        <v>4.2200000000000001E-4</v>
      </c>
    </row>
    <row r="1627" spans="1:53" x14ac:dyDescent="0.25">
      <c r="A1627">
        <v>1625</v>
      </c>
      <c r="B1627" t="s">
        <v>7625</v>
      </c>
      <c r="C1627">
        <v>601026</v>
      </c>
      <c r="D1627" t="s">
        <v>1507</v>
      </c>
      <c r="E1627" t="s">
        <v>8155</v>
      </c>
      <c r="F1627">
        <v>5410454.5</v>
      </c>
      <c r="G1627">
        <v>11446.729492</v>
      </c>
      <c r="H1627">
        <v>1627</v>
      </c>
      <c r="I1627">
        <v>1884</v>
      </c>
      <c r="J1627">
        <v>72291</v>
      </c>
      <c r="K1627" t="s">
        <v>2761</v>
      </c>
      <c r="L1627">
        <v>24</v>
      </c>
      <c r="M1627">
        <v>24</v>
      </c>
      <c r="N1627">
        <v>72291</v>
      </c>
      <c r="O1627">
        <v>1594</v>
      </c>
      <c r="P1627" t="s">
        <v>6965</v>
      </c>
      <c r="Q1627">
        <v>1.2</v>
      </c>
      <c r="R1627">
        <v>77.22</v>
      </c>
      <c r="S1627">
        <v>0.21</v>
      </c>
      <c r="T1627">
        <v>14</v>
      </c>
      <c r="U1627">
        <v>5410454.6587199997</v>
      </c>
      <c r="V1627">
        <v>11446.729772000001</v>
      </c>
      <c r="W1627">
        <v>1626</v>
      </c>
      <c r="X1627">
        <v>0</v>
      </c>
      <c r="Y1627">
        <v>1625</v>
      </c>
      <c r="Z1627" t="s">
        <v>6966</v>
      </c>
      <c r="AA1627" t="s">
        <v>6966</v>
      </c>
      <c r="AB1627" t="s">
        <v>6966</v>
      </c>
      <c r="AC1627" t="s">
        <v>6966</v>
      </c>
      <c r="AD1627" t="s">
        <v>6966</v>
      </c>
      <c r="AE1627" t="s">
        <v>6966</v>
      </c>
      <c r="AF1627" t="s">
        <v>6966</v>
      </c>
      <c r="AG1627" t="s">
        <v>6966</v>
      </c>
      <c r="AH1627" t="s">
        <v>6966</v>
      </c>
      <c r="AI1627" t="s">
        <v>6966</v>
      </c>
      <c r="AJ1627" t="s">
        <v>6966</v>
      </c>
      <c r="AK1627" t="s">
        <v>6966</v>
      </c>
      <c r="AL1627" t="s">
        <v>6966</v>
      </c>
      <c r="AM1627" t="s">
        <v>6966</v>
      </c>
      <c r="AN1627" t="s">
        <v>6966</v>
      </c>
      <c r="AO1627" t="s">
        <v>6966</v>
      </c>
      <c r="AP1627" t="s">
        <v>6966</v>
      </c>
      <c r="AQ1627" t="s">
        <v>6966</v>
      </c>
      <c r="AR1627" t="s">
        <v>6966</v>
      </c>
      <c r="AS1627" t="s">
        <v>6966</v>
      </c>
      <c r="AT1627" t="s">
        <v>6966</v>
      </c>
      <c r="AU1627" t="s">
        <v>6966</v>
      </c>
      <c r="AV1627" t="s">
        <v>6966</v>
      </c>
      <c r="AW1627" t="s">
        <v>6966</v>
      </c>
      <c r="AX1627" t="s">
        <v>6966</v>
      </c>
      <c r="AY1627" t="s">
        <v>6966</v>
      </c>
      <c r="AZ1627">
        <v>0.113513</v>
      </c>
      <c r="BA1627">
        <v>5.22E-4</v>
      </c>
    </row>
    <row r="1628" spans="1:53" x14ac:dyDescent="0.25">
      <c r="A1628">
        <v>1626</v>
      </c>
      <c r="B1628" t="s">
        <v>7625</v>
      </c>
      <c r="C1628">
        <v>803018</v>
      </c>
      <c r="D1628" t="s">
        <v>1333</v>
      </c>
      <c r="E1628" t="s">
        <v>1267</v>
      </c>
      <c r="F1628">
        <v>0</v>
      </c>
      <c r="G1628">
        <v>19477.533202999999</v>
      </c>
      <c r="H1628">
        <v>1628</v>
      </c>
      <c r="I1628">
        <v>1885</v>
      </c>
      <c r="J1628">
        <v>62312</v>
      </c>
      <c r="K1628" t="s">
        <v>2625</v>
      </c>
      <c r="L1628">
        <v>21</v>
      </c>
      <c r="M1628">
        <v>21</v>
      </c>
      <c r="N1628">
        <v>62312</v>
      </c>
      <c r="O1628">
        <v>1595</v>
      </c>
      <c r="P1628" t="s">
        <v>3213</v>
      </c>
      <c r="Q1628">
        <v>1.8</v>
      </c>
      <c r="R1628">
        <v>29.36</v>
      </c>
      <c r="S1628">
        <v>0.36</v>
      </c>
      <c r="T1628">
        <v>9</v>
      </c>
      <c r="U1628">
        <v>0</v>
      </c>
      <c r="V1628">
        <v>19477.534256999999</v>
      </c>
      <c r="W1628">
        <v>1627</v>
      </c>
      <c r="X1628">
        <v>0</v>
      </c>
      <c r="Y1628">
        <v>1626</v>
      </c>
      <c r="Z1628" t="s">
        <v>6966</v>
      </c>
      <c r="AA1628" t="s">
        <v>6966</v>
      </c>
      <c r="AB1628" t="s">
        <v>6966</v>
      </c>
      <c r="AC1628" t="s">
        <v>6966</v>
      </c>
      <c r="AD1628" t="s">
        <v>6966</v>
      </c>
      <c r="AE1628" t="s">
        <v>6966</v>
      </c>
      <c r="AF1628" t="s">
        <v>6966</v>
      </c>
      <c r="AG1628" t="s">
        <v>6966</v>
      </c>
      <c r="AH1628" t="s">
        <v>6966</v>
      </c>
      <c r="AI1628" t="s">
        <v>6966</v>
      </c>
      <c r="AJ1628" t="s">
        <v>6966</v>
      </c>
      <c r="AK1628" t="s">
        <v>6966</v>
      </c>
      <c r="AL1628" t="s">
        <v>6966</v>
      </c>
      <c r="AM1628" t="s">
        <v>6966</v>
      </c>
      <c r="AN1628" t="s">
        <v>6966</v>
      </c>
      <c r="AO1628" t="s">
        <v>6966</v>
      </c>
      <c r="AP1628" t="s">
        <v>6966</v>
      </c>
      <c r="AQ1628" t="s">
        <v>6966</v>
      </c>
      <c r="AR1628" t="s">
        <v>6966</v>
      </c>
      <c r="AS1628" t="s">
        <v>6966</v>
      </c>
      <c r="AT1628" t="s">
        <v>6966</v>
      </c>
      <c r="AU1628" t="s">
        <v>6966</v>
      </c>
      <c r="AV1628" t="s">
        <v>6966</v>
      </c>
      <c r="AW1628" t="s">
        <v>6966</v>
      </c>
      <c r="AX1628" t="s">
        <v>6966</v>
      </c>
      <c r="AY1628" t="s">
        <v>6966</v>
      </c>
      <c r="AZ1628">
        <v>0.192997</v>
      </c>
      <c r="BA1628">
        <v>1.018E-3</v>
      </c>
    </row>
    <row r="1629" spans="1:53" x14ac:dyDescent="0.25">
      <c r="A1629">
        <v>1627</v>
      </c>
      <c r="B1629" t="s">
        <v>7625</v>
      </c>
      <c r="C1629">
        <v>601001</v>
      </c>
      <c r="D1629" t="s">
        <v>1474</v>
      </c>
      <c r="E1629" t="s">
        <v>8155</v>
      </c>
      <c r="F1629">
        <v>0</v>
      </c>
      <c r="G1629">
        <v>16659.177734000001</v>
      </c>
      <c r="H1629">
        <v>1629</v>
      </c>
      <c r="I1629">
        <v>1886</v>
      </c>
      <c r="J1629">
        <v>72143</v>
      </c>
      <c r="K1629" t="s">
        <v>8205</v>
      </c>
      <c r="L1629">
        <v>24</v>
      </c>
      <c r="M1629">
        <v>24</v>
      </c>
      <c r="N1629">
        <v>72143</v>
      </c>
      <c r="O1629">
        <v>1596</v>
      </c>
      <c r="P1629" t="s">
        <v>6965</v>
      </c>
      <c r="Q1629">
        <v>2.2000000000000002</v>
      </c>
      <c r="R1629">
        <v>33.11</v>
      </c>
      <c r="S1629">
        <v>0.51</v>
      </c>
      <c r="T1629">
        <v>8</v>
      </c>
      <c r="U1629">
        <v>0</v>
      </c>
      <c r="V1629">
        <v>16659.178549</v>
      </c>
      <c r="W1629">
        <v>1628</v>
      </c>
      <c r="X1629">
        <v>0</v>
      </c>
      <c r="Y1629">
        <v>1627</v>
      </c>
      <c r="Z1629" t="s">
        <v>6966</v>
      </c>
      <c r="AA1629" t="s">
        <v>6966</v>
      </c>
      <c r="AB1629" t="s">
        <v>6966</v>
      </c>
      <c r="AC1629" t="s">
        <v>6966</v>
      </c>
      <c r="AD1629" t="s">
        <v>6966</v>
      </c>
      <c r="AE1629" t="s">
        <v>6966</v>
      </c>
      <c r="AF1629" t="s">
        <v>6966</v>
      </c>
      <c r="AG1629" t="s">
        <v>6966</v>
      </c>
      <c r="AH1629" t="s">
        <v>6966</v>
      </c>
      <c r="AI1629" t="s">
        <v>6966</v>
      </c>
      <c r="AJ1629" t="s">
        <v>6966</v>
      </c>
      <c r="AK1629" t="s">
        <v>6966</v>
      </c>
      <c r="AL1629" t="s">
        <v>6966</v>
      </c>
      <c r="AM1629" t="s">
        <v>6966</v>
      </c>
      <c r="AN1629" t="s">
        <v>6966</v>
      </c>
      <c r="AO1629" t="s">
        <v>6966</v>
      </c>
      <c r="AP1629" t="s">
        <v>6966</v>
      </c>
      <c r="AQ1629" t="s">
        <v>6966</v>
      </c>
      <c r="AR1629" t="s">
        <v>6966</v>
      </c>
      <c r="AS1629" t="s">
        <v>6966</v>
      </c>
      <c r="AT1629" t="s">
        <v>6966</v>
      </c>
      <c r="AU1629" t="s">
        <v>6966</v>
      </c>
      <c r="AV1629" t="s">
        <v>6966</v>
      </c>
      <c r="AW1629" t="s">
        <v>6966</v>
      </c>
      <c r="AX1629" t="s">
        <v>6966</v>
      </c>
      <c r="AY1629" t="s">
        <v>6966</v>
      </c>
      <c r="AZ1629">
        <v>0.162796</v>
      </c>
      <c r="BA1629">
        <v>1.116E-3</v>
      </c>
    </row>
    <row r="1630" spans="1:53" x14ac:dyDescent="0.25">
      <c r="A1630">
        <v>1628</v>
      </c>
      <c r="B1630" t="s">
        <v>7625</v>
      </c>
      <c r="C1630">
        <v>601002</v>
      </c>
      <c r="D1630" t="s">
        <v>1475</v>
      </c>
      <c r="E1630" t="s">
        <v>8155</v>
      </c>
      <c r="F1630">
        <v>0</v>
      </c>
      <c r="G1630">
        <v>20037.796875</v>
      </c>
      <c r="H1630">
        <v>1630</v>
      </c>
      <c r="I1630">
        <v>1887</v>
      </c>
      <c r="J1630">
        <v>72151</v>
      </c>
      <c r="K1630" t="s">
        <v>8206</v>
      </c>
      <c r="L1630">
        <v>24</v>
      </c>
      <c r="M1630">
        <v>24</v>
      </c>
      <c r="N1630">
        <v>72151</v>
      </c>
      <c r="O1630">
        <v>1597</v>
      </c>
      <c r="P1630" t="s">
        <v>6965</v>
      </c>
      <c r="Q1630">
        <v>3.1</v>
      </c>
      <c r="R1630">
        <v>47.59</v>
      </c>
      <c r="S1630">
        <v>0.91</v>
      </c>
      <c r="T1630">
        <v>14</v>
      </c>
      <c r="U1630">
        <v>0</v>
      </c>
      <c r="V1630">
        <v>20037.797118999999</v>
      </c>
      <c r="W1630">
        <v>1629</v>
      </c>
      <c r="X1630">
        <v>2</v>
      </c>
      <c r="Y1630">
        <v>1628</v>
      </c>
      <c r="Z1630">
        <v>65757</v>
      </c>
      <c r="AA1630" s="76">
        <v>45852</v>
      </c>
      <c r="AB1630">
        <v>2025</v>
      </c>
      <c r="AC1630" t="s">
        <v>7313</v>
      </c>
      <c r="AD1630">
        <v>14</v>
      </c>
      <c r="AE1630" t="s">
        <v>7341</v>
      </c>
      <c r="AF1630" t="s">
        <v>3218</v>
      </c>
      <c r="AG1630" t="s">
        <v>3230</v>
      </c>
      <c r="AH1630" t="s">
        <v>1475</v>
      </c>
      <c r="AI1630" t="s">
        <v>6964</v>
      </c>
      <c r="AJ1630" t="s">
        <v>6966</v>
      </c>
      <c r="AK1630">
        <v>33.115639999999999</v>
      </c>
      <c r="AL1630">
        <v>35.467829999999999</v>
      </c>
      <c r="AM1630" t="s">
        <v>7059</v>
      </c>
      <c r="AN1630" t="s">
        <v>6966</v>
      </c>
      <c r="AO1630" t="s">
        <v>7342</v>
      </c>
      <c r="AP1630" t="s">
        <v>7343</v>
      </c>
      <c r="AQ1630" t="s">
        <v>6998</v>
      </c>
      <c r="AR1630" t="s">
        <v>6999</v>
      </c>
      <c r="AS1630" t="s">
        <v>7036</v>
      </c>
      <c r="AT1630">
        <v>0</v>
      </c>
      <c r="AU1630">
        <v>0</v>
      </c>
      <c r="AV1630" t="s">
        <v>8207</v>
      </c>
      <c r="AW1630" t="s">
        <v>7119</v>
      </c>
      <c r="AX1630" t="s">
        <v>6966</v>
      </c>
      <c r="AY1630" t="s">
        <v>7003</v>
      </c>
      <c r="AZ1630">
        <v>0.199984</v>
      </c>
      <c r="BA1630">
        <v>1.315E-3</v>
      </c>
    </row>
    <row r="1631" spans="1:53" x14ac:dyDescent="0.25">
      <c r="A1631">
        <v>1629</v>
      </c>
      <c r="B1631" t="s">
        <v>7625</v>
      </c>
      <c r="C1631">
        <v>803005</v>
      </c>
      <c r="D1631" t="s">
        <v>1335</v>
      </c>
      <c r="E1631" t="s">
        <v>1267</v>
      </c>
      <c r="F1631">
        <v>0</v>
      </c>
      <c r="G1631">
        <v>27237.419922000001</v>
      </c>
      <c r="H1631">
        <v>1631</v>
      </c>
      <c r="I1631">
        <v>1888</v>
      </c>
      <c r="J1631">
        <v>62316</v>
      </c>
      <c r="K1631" t="s">
        <v>2626</v>
      </c>
      <c r="L1631">
        <v>21</v>
      </c>
      <c r="M1631">
        <v>21</v>
      </c>
      <c r="N1631">
        <v>62316</v>
      </c>
      <c r="O1631">
        <v>1598</v>
      </c>
      <c r="P1631" t="s">
        <v>3213</v>
      </c>
      <c r="Q1631">
        <v>0.7</v>
      </c>
      <c r="R1631">
        <v>59.14</v>
      </c>
      <c r="S1631">
        <v>0.19</v>
      </c>
      <c r="T1631">
        <v>17</v>
      </c>
      <c r="U1631">
        <v>0</v>
      </c>
      <c r="V1631">
        <v>27237.420195999999</v>
      </c>
      <c r="W1631">
        <v>1630</v>
      </c>
      <c r="X1631">
        <v>0</v>
      </c>
      <c r="Y1631">
        <v>1629</v>
      </c>
      <c r="Z1631" t="s">
        <v>6966</v>
      </c>
      <c r="AA1631" t="s">
        <v>6966</v>
      </c>
      <c r="AB1631" t="s">
        <v>6966</v>
      </c>
      <c r="AC1631" t="s">
        <v>6966</v>
      </c>
      <c r="AD1631" t="s">
        <v>6966</v>
      </c>
      <c r="AE1631" t="s">
        <v>6966</v>
      </c>
      <c r="AF1631" t="s">
        <v>6966</v>
      </c>
      <c r="AG1631" t="s">
        <v>6966</v>
      </c>
      <c r="AH1631" t="s">
        <v>6966</v>
      </c>
      <c r="AI1631" t="s">
        <v>6966</v>
      </c>
      <c r="AJ1631" t="s">
        <v>6966</v>
      </c>
      <c r="AK1631" t="s">
        <v>6966</v>
      </c>
      <c r="AL1631" t="s">
        <v>6966</v>
      </c>
      <c r="AM1631" t="s">
        <v>6966</v>
      </c>
      <c r="AN1631" t="s">
        <v>6966</v>
      </c>
      <c r="AO1631" t="s">
        <v>6966</v>
      </c>
      <c r="AP1631" t="s">
        <v>6966</v>
      </c>
      <c r="AQ1631" t="s">
        <v>6966</v>
      </c>
      <c r="AR1631" t="s">
        <v>6966</v>
      </c>
      <c r="AS1631" t="s">
        <v>6966</v>
      </c>
      <c r="AT1631" t="s">
        <v>6966</v>
      </c>
      <c r="AU1631" t="s">
        <v>6966</v>
      </c>
      <c r="AV1631" t="s">
        <v>6966</v>
      </c>
      <c r="AW1631" t="s">
        <v>6966</v>
      </c>
      <c r="AX1631" t="s">
        <v>6966</v>
      </c>
      <c r="AY1631" t="s">
        <v>6966</v>
      </c>
      <c r="AZ1631">
        <v>0.27290199999999998</v>
      </c>
      <c r="BA1631">
        <v>1.8929999999999999E-3</v>
      </c>
    </row>
    <row r="1632" spans="1:53" x14ac:dyDescent="0.25">
      <c r="A1632">
        <v>1630</v>
      </c>
      <c r="B1632" t="s">
        <v>7625</v>
      </c>
      <c r="C1632">
        <v>803055</v>
      </c>
      <c r="D1632" t="s">
        <v>1332</v>
      </c>
      <c r="E1632" t="s">
        <v>1267</v>
      </c>
      <c r="F1632">
        <v>0</v>
      </c>
      <c r="G1632">
        <v>15388.474609000001</v>
      </c>
      <c r="H1632">
        <v>1632</v>
      </c>
      <c r="I1632">
        <v>1889</v>
      </c>
      <c r="J1632">
        <v>62311</v>
      </c>
      <c r="K1632" t="s">
        <v>2624</v>
      </c>
      <c r="L1632">
        <v>21</v>
      </c>
      <c r="M1632">
        <v>21</v>
      </c>
      <c r="N1632">
        <v>62311</v>
      </c>
      <c r="O1632">
        <v>1599</v>
      </c>
      <c r="P1632" t="s">
        <v>3213</v>
      </c>
      <c r="Q1632">
        <v>1.7</v>
      </c>
      <c r="R1632">
        <v>59.64</v>
      </c>
      <c r="S1632">
        <v>0.3</v>
      </c>
      <c r="T1632">
        <v>12</v>
      </c>
      <c r="U1632">
        <v>0</v>
      </c>
      <c r="V1632">
        <v>15388.475354</v>
      </c>
      <c r="W1632">
        <v>1631</v>
      </c>
      <c r="X1632">
        <v>0</v>
      </c>
      <c r="Y1632">
        <v>1630</v>
      </c>
      <c r="Z1632" t="s">
        <v>6966</v>
      </c>
      <c r="AA1632" t="s">
        <v>6966</v>
      </c>
      <c r="AB1632" t="s">
        <v>6966</v>
      </c>
      <c r="AC1632" t="s">
        <v>6966</v>
      </c>
      <c r="AD1632" t="s">
        <v>6966</v>
      </c>
      <c r="AE1632" t="s">
        <v>6966</v>
      </c>
      <c r="AF1632" t="s">
        <v>6966</v>
      </c>
      <c r="AG1632" t="s">
        <v>6966</v>
      </c>
      <c r="AH1632" t="s">
        <v>6966</v>
      </c>
      <c r="AI1632" t="s">
        <v>6966</v>
      </c>
      <c r="AJ1632" t="s">
        <v>6966</v>
      </c>
      <c r="AK1632" t="s">
        <v>6966</v>
      </c>
      <c r="AL1632" t="s">
        <v>6966</v>
      </c>
      <c r="AM1632" t="s">
        <v>6966</v>
      </c>
      <c r="AN1632" t="s">
        <v>6966</v>
      </c>
      <c r="AO1632" t="s">
        <v>6966</v>
      </c>
      <c r="AP1632" t="s">
        <v>6966</v>
      </c>
      <c r="AQ1632" t="s">
        <v>6966</v>
      </c>
      <c r="AR1632" t="s">
        <v>6966</v>
      </c>
      <c r="AS1632" t="s">
        <v>6966</v>
      </c>
      <c r="AT1632" t="s">
        <v>6966</v>
      </c>
      <c r="AU1632" t="s">
        <v>6966</v>
      </c>
      <c r="AV1632" t="s">
        <v>6966</v>
      </c>
      <c r="AW1632" t="s">
        <v>6966</v>
      </c>
      <c r="AX1632" t="s">
        <v>6966</v>
      </c>
      <c r="AY1632" t="s">
        <v>6966</v>
      </c>
      <c r="AZ1632">
        <v>0.15626000000000001</v>
      </c>
      <c r="BA1632">
        <v>9.6599999999999995E-4</v>
      </c>
    </row>
    <row r="1633" spans="1:53" x14ac:dyDescent="0.25">
      <c r="A1633">
        <v>1631</v>
      </c>
      <c r="B1633" t="s">
        <v>7625</v>
      </c>
      <c r="C1633">
        <v>601029</v>
      </c>
      <c r="D1633" t="s">
        <v>1480</v>
      </c>
      <c r="E1633" t="s">
        <v>8155</v>
      </c>
      <c r="F1633">
        <v>6121938.5</v>
      </c>
      <c r="G1633">
        <v>11489.975586</v>
      </c>
      <c r="H1633">
        <v>1633</v>
      </c>
      <c r="I1633">
        <v>1890</v>
      </c>
      <c r="J1633">
        <v>72191</v>
      </c>
      <c r="K1633" t="s">
        <v>8208</v>
      </c>
      <c r="L1633">
        <v>24</v>
      </c>
      <c r="M1633">
        <v>24</v>
      </c>
      <c r="N1633">
        <v>72191</v>
      </c>
      <c r="O1633">
        <v>1600</v>
      </c>
      <c r="P1633" t="s">
        <v>6965</v>
      </c>
      <c r="Q1633">
        <v>2</v>
      </c>
      <c r="R1633">
        <v>91.98</v>
      </c>
      <c r="S1633">
        <v>0.42</v>
      </c>
      <c r="T1633">
        <v>19</v>
      </c>
      <c r="U1633">
        <v>6121938.2636299999</v>
      </c>
      <c r="V1633">
        <v>11489.975279</v>
      </c>
      <c r="W1633">
        <v>1632</v>
      </c>
      <c r="X1633">
        <v>0</v>
      </c>
      <c r="Y1633">
        <v>1631</v>
      </c>
      <c r="Z1633" t="s">
        <v>6966</v>
      </c>
      <c r="AA1633" t="s">
        <v>6966</v>
      </c>
      <c r="AB1633" t="s">
        <v>6966</v>
      </c>
      <c r="AC1633" t="s">
        <v>6966</v>
      </c>
      <c r="AD1633" t="s">
        <v>6966</v>
      </c>
      <c r="AE1633" t="s">
        <v>6966</v>
      </c>
      <c r="AF1633" t="s">
        <v>6966</v>
      </c>
      <c r="AG1633" t="s">
        <v>6966</v>
      </c>
      <c r="AH1633" t="s">
        <v>6966</v>
      </c>
      <c r="AI1633" t="s">
        <v>6966</v>
      </c>
      <c r="AJ1633" t="s">
        <v>6966</v>
      </c>
      <c r="AK1633" t="s">
        <v>6966</v>
      </c>
      <c r="AL1633" t="s">
        <v>6966</v>
      </c>
      <c r="AM1633" t="s">
        <v>6966</v>
      </c>
      <c r="AN1633" t="s">
        <v>6966</v>
      </c>
      <c r="AO1633" t="s">
        <v>6966</v>
      </c>
      <c r="AP1633" t="s">
        <v>6966</v>
      </c>
      <c r="AQ1633" t="s">
        <v>6966</v>
      </c>
      <c r="AR1633" t="s">
        <v>6966</v>
      </c>
      <c r="AS1633" t="s">
        <v>6966</v>
      </c>
      <c r="AT1633" t="s">
        <v>6966</v>
      </c>
      <c r="AU1633" t="s">
        <v>6966</v>
      </c>
      <c r="AV1633" t="s">
        <v>6966</v>
      </c>
      <c r="AW1633" t="s">
        <v>6966</v>
      </c>
      <c r="AX1633" t="s">
        <v>6966</v>
      </c>
      <c r="AY1633" t="s">
        <v>6966</v>
      </c>
      <c r="AZ1633">
        <v>0.11501500000000001</v>
      </c>
      <c r="BA1633">
        <v>5.9100000000000005E-4</v>
      </c>
    </row>
    <row r="1634" spans="1:53" x14ac:dyDescent="0.25">
      <c r="A1634">
        <v>1632</v>
      </c>
      <c r="B1634" t="s">
        <v>7625</v>
      </c>
      <c r="C1634">
        <v>803021</v>
      </c>
      <c r="D1634" t="s">
        <v>8209</v>
      </c>
      <c r="E1634" t="s">
        <v>1267</v>
      </c>
      <c r="F1634">
        <v>2589331.5</v>
      </c>
      <c r="G1634">
        <v>8034.4272460000002</v>
      </c>
      <c r="H1634">
        <v>1634</v>
      </c>
      <c r="I1634">
        <v>1891</v>
      </c>
      <c r="J1634">
        <v>62331</v>
      </c>
      <c r="K1634" t="s">
        <v>8209</v>
      </c>
      <c r="L1634">
        <v>21</v>
      </c>
      <c r="M1634">
        <v>21</v>
      </c>
      <c r="N1634">
        <v>62331</v>
      </c>
      <c r="O1634">
        <v>1601</v>
      </c>
      <c r="P1634" t="s">
        <v>3213</v>
      </c>
      <c r="Q1634">
        <v>0.2</v>
      </c>
      <c r="R1634">
        <v>0</v>
      </c>
      <c r="S1634">
        <v>0.03</v>
      </c>
      <c r="T1634">
        <v>0</v>
      </c>
      <c r="U1634">
        <v>2589331.4512200002</v>
      </c>
      <c r="V1634">
        <v>8034.427498</v>
      </c>
      <c r="W1634">
        <v>1633</v>
      </c>
      <c r="X1634">
        <v>0</v>
      </c>
      <c r="Y1634">
        <v>1632</v>
      </c>
      <c r="Z1634" t="s">
        <v>6966</v>
      </c>
      <c r="AA1634" t="s">
        <v>6966</v>
      </c>
      <c r="AB1634" t="s">
        <v>6966</v>
      </c>
      <c r="AC1634" t="s">
        <v>6966</v>
      </c>
      <c r="AD1634" t="s">
        <v>6966</v>
      </c>
      <c r="AE1634" t="s">
        <v>6966</v>
      </c>
      <c r="AF1634" t="s">
        <v>6966</v>
      </c>
      <c r="AG1634" t="s">
        <v>6966</v>
      </c>
      <c r="AH1634" t="s">
        <v>6966</v>
      </c>
      <c r="AI1634" t="s">
        <v>6966</v>
      </c>
      <c r="AJ1634" t="s">
        <v>6966</v>
      </c>
      <c r="AK1634" t="s">
        <v>6966</v>
      </c>
      <c r="AL1634" t="s">
        <v>6966</v>
      </c>
      <c r="AM1634" t="s">
        <v>6966</v>
      </c>
      <c r="AN1634" t="s">
        <v>6966</v>
      </c>
      <c r="AO1634" t="s">
        <v>6966</v>
      </c>
      <c r="AP1634" t="s">
        <v>6966</v>
      </c>
      <c r="AQ1634" t="s">
        <v>6966</v>
      </c>
      <c r="AR1634" t="s">
        <v>6966</v>
      </c>
      <c r="AS1634" t="s">
        <v>6966</v>
      </c>
      <c r="AT1634" t="s">
        <v>6966</v>
      </c>
      <c r="AU1634" t="s">
        <v>6966</v>
      </c>
      <c r="AV1634" t="s">
        <v>6966</v>
      </c>
      <c r="AW1634" t="s">
        <v>6966</v>
      </c>
      <c r="AX1634" t="s">
        <v>6966</v>
      </c>
      <c r="AY1634" t="s">
        <v>6966</v>
      </c>
      <c r="AZ1634">
        <v>7.9089999999999994E-2</v>
      </c>
      <c r="BA1634">
        <v>2.5000000000000001E-4</v>
      </c>
    </row>
    <row r="1635" spans="1:53" x14ac:dyDescent="0.25">
      <c r="A1635">
        <v>1633</v>
      </c>
      <c r="B1635" t="s">
        <v>7625</v>
      </c>
      <c r="C1635">
        <v>803033</v>
      </c>
      <c r="D1635" t="s">
        <v>1340</v>
      </c>
      <c r="E1635" t="s">
        <v>1267</v>
      </c>
      <c r="F1635">
        <v>3720453.5</v>
      </c>
      <c r="G1635">
        <v>11508.595703000001</v>
      </c>
      <c r="H1635">
        <v>1635</v>
      </c>
      <c r="I1635">
        <v>1892</v>
      </c>
      <c r="J1635">
        <v>62341</v>
      </c>
      <c r="K1635" t="s">
        <v>2628</v>
      </c>
      <c r="L1635">
        <v>21</v>
      </c>
      <c r="M1635">
        <v>21</v>
      </c>
      <c r="N1635">
        <v>62341</v>
      </c>
      <c r="O1635">
        <v>1602</v>
      </c>
      <c r="P1635" t="s">
        <v>3213</v>
      </c>
      <c r="Q1635">
        <v>1.7</v>
      </c>
      <c r="R1635">
        <v>30.01</v>
      </c>
      <c r="S1635">
        <v>0.38</v>
      </c>
      <c r="T1635">
        <v>7</v>
      </c>
      <c r="U1635">
        <v>3720453.4714199998</v>
      </c>
      <c r="V1635">
        <v>11508.59585</v>
      </c>
      <c r="W1635">
        <v>1634</v>
      </c>
      <c r="X1635">
        <v>0</v>
      </c>
      <c r="Y1635">
        <v>1633</v>
      </c>
      <c r="Z1635" t="s">
        <v>6966</v>
      </c>
      <c r="AA1635" t="s">
        <v>6966</v>
      </c>
      <c r="AB1635" t="s">
        <v>6966</v>
      </c>
      <c r="AC1635" t="s">
        <v>6966</v>
      </c>
      <c r="AD1635" t="s">
        <v>6966</v>
      </c>
      <c r="AE1635" t="s">
        <v>6966</v>
      </c>
      <c r="AF1635" t="s">
        <v>6966</v>
      </c>
      <c r="AG1635" t="s">
        <v>6966</v>
      </c>
      <c r="AH1635" t="s">
        <v>6966</v>
      </c>
      <c r="AI1635" t="s">
        <v>6966</v>
      </c>
      <c r="AJ1635" t="s">
        <v>6966</v>
      </c>
      <c r="AK1635" t="s">
        <v>6966</v>
      </c>
      <c r="AL1635" t="s">
        <v>6966</v>
      </c>
      <c r="AM1635" t="s">
        <v>6966</v>
      </c>
      <c r="AN1635" t="s">
        <v>6966</v>
      </c>
      <c r="AO1635" t="s">
        <v>6966</v>
      </c>
      <c r="AP1635" t="s">
        <v>6966</v>
      </c>
      <c r="AQ1635" t="s">
        <v>6966</v>
      </c>
      <c r="AR1635" t="s">
        <v>6966</v>
      </c>
      <c r="AS1635" t="s">
        <v>6966</v>
      </c>
      <c r="AT1635" t="s">
        <v>6966</v>
      </c>
      <c r="AU1635" t="s">
        <v>6966</v>
      </c>
      <c r="AV1635" t="s">
        <v>6966</v>
      </c>
      <c r="AW1635" t="s">
        <v>6966</v>
      </c>
      <c r="AX1635" t="s">
        <v>6966</v>
      </c>
      <c r="AY1635" t="s">
        <v>6966</v>
      </c>
      <c r="AZ1635">
        <v>0.114639</v>
      </c>
      <c r="BA1635">
        <v>3.59E-4</v>
      </c>
    </row>
    <row r="1636" spans="1:53" x14ac:dyDescent="0.25">
      <c r="A1636">
        <v>1634</v>
      </c>
      <c r="B1636" t="s">
        <v>7625</v>
      </c>
      <c r="C1636">
        <v>803052</v>
      </c>
      <c r="D1636" t="s">
        <v>1341</v>
      </c>
      <c r="E1636" t="s">
        <v>1267</v>
      </c>
      <c r="F1636">
        <v>2104092</v>
      </c>
      <c r="G1636">
        <v>10149.898438</v>
      </c>
      <c r="H1636">
        <v>1636</v>
      </c>
      <c r="I1636">
        <v>1893</v>
      </c>
      <c r="J1636">
        <v>62351</v>
      </c>
      <c r="K1636" t="s">
        <v>2629</v>
      </c>
      <c r="L1636">
        <v>21</v>
      </c>
      <c r="M1636">
        <v>21</v>
      </c>
      <c r="N1636">
        <v>62351</v>
      </c>
      <c r="O1636">
        <v>1603</v>
      </c>
      <c r="P1636" t="s">
        <v>3213</v>
      </c>
      <c r="Q1636">
        <v>0.4</v>
      </c>
      <c r="R1636">
        <v>6.92</v>
      </c>
      <c r="S1636">
        <v>0.06</v>
      </c>
      <c r="T1636">
        <v>1</v>
      </c>
      <c r="U1636">
        <v>2104092.1056400002</v>
      </c>
      <c r="V1636">
        <v>10149.898155000001</v>
      </c>
      <c r="W1636">
        <v>1635</v>
      </c>
      <c r="X1636">
        <v>0</v>
      </c>
      <c r="Y1636">
        <v>1634</v>
      </c>
      <c r="Z1636" t="s">
        <v>6966</v>
      </c>
      <c r="AA1636" t="s">
        <v>6966</v>
      </c>
      <c r="AB1636" t="s">
        <v>6966</v>
      </c>
      <c r="AC1636" t="s">
        <v>6966</v>
      </c>
      <c r="AD1636" t="s">
        <v>6966</v>
      </c>
      <c r="AE1636" t="s">
        <v>6966</v>
      </c>
      <c r="AF1636" t="s">
        <v>6966</v>
      </c>
      <c r="AG1636" t="s">
        <v>6966</v>
      </c>
      <c r="AH1636" t="s">
        <v>6966</v>
      </c>
      <c r="AI1636" t="s">
        <v>6966</v>
      </c>
      <c r="AJ1636" t="s">
        <v>6966</v>
      </c>
      <c r="AK1636" t="s">
        <v>6966</v>
      </c>
      <c r="AL1636" t="s">
        <v>6966</v>
      </c>
      <c r="AM1636" t="s">
        <v>6966</v>
      </c>
      <c r="AN1636" t="s">
        <v>6966</v>
      </c>
      <c r="AO1636" t="s">
        <v>6966</v>
      </c>
      <c r="AP1636" t="s">
        <v>6966</v>
      </c>
      <c r="AQ1636" t="s">
        <v>6966</v>
      </c>
      <c r="AR1636" t="s">
        <v>6966</v>
      </c>
      <c r="AS1636" t="s">
        <v>6966</v>
      </c>
      <c r="AT1636" t="s">
        <v>6966</v>
      </c>
      <c r="AU1636" t="s">
        <v>6966</v>
      </c>
      <c r="AV1636" t="s">
        <v>6966</v>
      </c>
      <c r="AW1636" t="s">
        <v>6966</v>
      </c>
      <c r="AX1636" t="s">
        <v>6966</v>
      </c>
      <c r="AY1636" t="s">
        <v>6966</v>
      </c>
      <c r="AZ1636">
        <v>0.10270899999999999</v>
      </c>
      <c r="BA1636">
        <v>2.03E-4</v>
      </c>
    </row>
    <row r="1637" spans="1:53" x14ac:dyDescent="0.25">
      <c r="A1637">
        <v>1635</v>
      </c>
      <c r="B1637" t="s">
        <v>7625</v>
      </c>
      <c r="C1637">
        <v>803074</v>
      </c>
      <c r="D1637" t="s">
        <v>1331</v>
      </c>
      <c r="E1637" t="s">
        <v>1267</v>
      </c>
      <c r="F1637">
        <v>3280209.25</v>
      </c>
      <c r="G1637">
        <v>10388.646484000001</v>
      </c>
      <c r="H1637">
        <v>1637</v>
      </c>
      <c r="I1637">
        <v>1894</v>
      </c>
      <c r="J1637">
        <v>62308</v>
      </c>
      <c r="K1637" t="s">
        <v>1331</v>
      </c>
      <c r="L1637">
        <v>21</v>
      </c>
      <c r="M1637">
        <v>21</v>
      </c>
      <c r="N1637">
        <v>62308</v>
      </c>
      <c r="O1637">
        <v>1604</v>
      </c>
      <c r="P1637" t="s">
        <v>3213</v>
      </c>
      <c r="Q1637">
        <v>4.2</v>
      </c>
      <c r="R1637">
        <v>73.099999999999994</v>
      </c>
      <c r="S1637">
        <v>0.81</v>
      </c>
      <c r="T1637">
        <v>14</v>
      </c>
      <c r="U1637">
        <v>3280209.22358</v>
      </c>
      <c r="V1637">
        <v>10388.645973999999</v>
      </c>
      <c r="W1637">
        <v>1636</v>
      </c>
      <c r="X1637">
        <v>0</v>
      </c>
      <c r="Y1637">
        <v>1635</v>
      </c>
      <c r="Z1637" t="s">
        <v>6966</v>
      </c>
      <c r="AA1637" t="s">
        <v>6966</v>
      </c>
      <c r="AB1637" t="s">
        <v>6966</v>
      </c>
      <c r="AC1637" t="s">
        <v>6966</v>
      </c>
      <c r="AD1637" t="s">
        <v>6966</v>
      </c>
      <c r="AE1637" t="s">
        <v>6966</v>
      </c>
      <c r="AF1637" t="s">
        <v>6966</v>
      </c>
      <c r="AG1637" t="s">
        <v>6966</v>
      </c>
      <c r="AH1637" t="s">
        <v>6966</v>
      </c>
      <c r="AI1637" t="s">
        <v>6966</v>
      </c>
      <c r="AJ1637" t="s">
        <v>6966</v>
      </c>
      <c r="AK1637" t="s">
        <v>6966</v>
      </c>
      <c r="AL1637" t="s">
        <v>6966</v>
      </c>
      <c r="AM1637" t="s">
        <v>6966</v>
      </c>
      <c r="AN1637" t="s">
        <v>6966</v>
      </c>
      <c r="AO1637" t="s">
        <v>6966</v>
      </c>
      <c r="AP1637" t="s">
        <v>6966</v>
      </c>
      <c r="AQ1637" t="s">
        <v>6966</v>
      </c>
      <c r="AR1637" t="s">
        <v>6966</v>
      </c>
      <c r="AS1637" t="s">
        <v>6966</v>
      </c>
      <c r="AT1637" t="s">
        <v>6966</v>
      </c>
      <c r="AU1637" t="s">
        <v>6966</v>
      </c>
      <c r="AV1637" t="s">
        <v>6966</v>
      </c>
      <c r="AW1637" t="s">
        <v>6966</v>
      </c>
      <c r="AX1637" t="s">
        <v>6966</v>
      </c>
      <c r="AY1637" t="s">
        <v>6966</v>
      </c>
      <c r="AZ1637">
        <v>0.10267999999999999</v>
      </c>
      <c r="BA1637">
        <v>3.1700000000000001E-4</v>
      </c>
    </row>
    <row r="1638" spans="1:53" x14ac:dyDescent="0.25">
      <c r="A1638">
        <v>1636</v>
      </c>
      <c r="B1638" t="s">
        <v>7625</v>
      </c>
      <c r="C1638">
        <v>601017</v>
      </c>
      <c r="D1638" t="s">
        <v>1505</v>
      </c>
      <c r="E1638" t="s">
        <v>8155</v>
      </c>
      <c r="F1638">
        <v>6176239</v>
      </c>
      <c r="G1638">
        <v>11040.754883</v>
      </c>
      <c r="H1638">
        <v>1638</v>
      </c>
      <c r="I1638">
        <v>1895</v>
      </c>
      <c r="J1638">
        <v>72284</v>
      </c>
      <c r="K1638" t="s">
        <v>1505</v>
      </c>
      <c r="L1638">
        <v>24</v>
      </c>
      <c r="M1638">
        <v>24</v>
      </c>
      <c r="N1638">
        <v>72284</v>
      </c>
      <c r="O1638">
        <v>1605</v>
      </c>
      <c r="P1638" t="s">
        <v>6965</v>
      </c>
      <c r="Q1638">
        <v>0</v>
      </c>
      <c r="R1638">
        <v>2.5299999999999998</v>
      </c>
      <c r="S1638">
        <v>0.09</v>
      </c>
      <c r="T1638">
        <v>6</v>
      </c>
      <c r="U1638">
        <v>6176238.8130000001</v>
      </c>
      <c r="V1638">
        <v>11040.754843000001</v>
      </c>
      <c r="W1638">
        <v>1637</v>
      </c>
      <c r="X1638">
        <v>0</v>
      </c>
      <c r="Y1638">
        <v>1636</v>
      </c>
      <c r="Z1638" t="s">
        <v>6966</v>
      </c>
      <c r="AA1638" t="s">
        <v>6966</v>
      </c>
      <c r="AB1638" t="s">
        <v>6966</v>
      </c>
      <c r="AC1638" t="s">
        <v>6966</v>
      </c>
      <c r="AD1638" t="s">
        <v>6966</v>
      </c>
      <c r="AE1638" t="s">
        <v>6966</v>
      </c>
      <c r="AF1638" t="s">
        <v>6966</v>
      </c>
      <c r="AG1638" t="s">
        <v>6966</v>
      </c>
      <c r="AH1638" t="s">
        <v>6966</v>
      </c>
      <c r="AI1638" t="s">
        <v>6966</v>
      </c>
      <c r="AJ1638" t="s">
        <v>6966</v>
      </c>
      <c r="AK1638" t="s">
        <v>6966</v>
      </c>
      <c r="AL1638" t="s">
        <v>6966</v>
      </c>
      <c r="AM1638" t="s">
        <v>6966</v>
      </c>
      <c r="AN1638" t="s">
        <v>6966</v>
      </c>
      <c r="AO1638" t="s">
        <v>6966</v>
      </c>
      <c r="AP1638" t="s">
        <v>6966</v>
      </c>
      <c r="AQ1638" t="s">
        <v>6966</v>
      </c>
      <c r="AR1638" t="s">
        <v>6966</v>
      </c>
      <c r="AS1638" t="s">
        <v>6966</v>
      </c>
      <c r="AT1638" t="s">
        <v>6966</v>
      </c>
      <c r="AU1638" t="s">
        <v>6966</v>
      </c>
      <c r="AV1638" t="s">
        <v>6966</v>
      </c>
      <c r="AW1638" t="s">
        <v>6966</v>
      </c>
      <c r="AX1638" t="s">
        <v>6966</v>
      </c>
      <c r="AY1638" t="s">
        <v>6966</v>
      </c>
      <c r="AZ1638">
        <v>0.106988</v>
      </c>
      <c r="BA1638">
        <v>5.9599999999999996E-4</v>
      </c>
    </row>
    <row r="1639" spans="1:53" x14ac:dyDescent="0.25">
      <c r="A1639">
        <v>1637</v>
      </c>
      <c r="B1639" t="s">
        <v>7625</v>
      </c>
      <c r="C1639">
        <v>601024</v>
      </c>
      <c r="D1639" t="s">
        <v>1472</v>
      </c>
      <c r="E1639" t="s">
        <v>8155</v>
      </c>
      <c r="F1639">
        <v>7532816.5</v>
      </c>
      <c r="G1639">
        <v>14171.948242</v>
      </c>
      <c r="H1639">
        <v>1639</v>
      </c>
      <c r="I1639">
        <v>1896</v>
      </c>
      <c r="J1639">
        <v>72127</v>
      </c>
      <c r="K1639" t="s">
        <v>2732</v>
      </c>
      <c r="L1639">
        <v>24</v>
      </c>
      <c r="M1639">
        <v>24</v>
      </c>
      <c r="N1639">
        <v>72127</v>
      </c>
      <c r="O1639">
        <v>1606</v>
      </c>
      <c r="P1639" t="s">
        <v>6965</v>
      </c>
      <c r="Q1639">
        <v>0.5</v>
      </c>
      <c r="R1639">
        <v>5.4</v>
      </c>
      <c r="S1639">
        <v>0.14000000000000001</v>
      </c>
      <c r="T1639">
        <v>2</v>
      </c>
      <c r="U1639">
        <v>7532816.6342799999</v>
      </c>
      <c r="V1639">
        <v>14171.948575</v>
      </c>
      <c r="W1639">
        <v>1638</v>
      </c>
      <c r="X1639">
        <v>0</v>
      </c>
      <c r="Y1639">
        <v>1637</v>
      </c>
      <c r="Z1639" t="s">
        <v>6966</v>
      </c>
      <c r="AA1639" t="s">
        <v>6966</v>
      </c>
      <c r="AB1639" t="s">
        <v>6966</v>
      </c>
      <c r="AC1639" t="s">
        <v>6966</v>
      </c>
      <c r="AD1639" t="s">
        <v>6966</v>
      </c>
      <c r="AE1639" t="s">
        <v>6966</v>
      </c>
      <c r="AF1639" t="s">
        <v>6966</v>
      </c>
      <c r="AG1639" t="s">
        <v>6966</v>
      </c>
      <c r="AH1639" t="s">
        <v>6966</v>
      </c>
      <c r="AI1639" t="s">
        <v>6966</v>
      </c>
      <c r="AJ1639" t="s">
        <v>6966</v>
      </c>
      <c r="AK1639" t="s">
        <v>6966</v>
      </c>
      <c r="AL1639" t="s">
        <v>6966</v>
      </c>
      <c r="AM1639" t="s">
        <v>6966</v>
      </c>
      <c r="AN1639" t="s">
        <v>6966</v>
      </c>
      <c r="AO1639" t="s">
        <v>6966</v>
      </c>
      <c r="AP1639" t="s">
        <v>6966</v>
      </c>
      <c r="AQ1639" t="s">
        <v>6966</v>
      </c>
      <c r="AR1639" t="s">
        <v>6966</v>
      </c>
      <c r="AS1639" t="s">
        <v>6966</v>
      </c>
      <c r="AT1639" t="s">
        <v>6966</v>
      </c>
      <c r="AU1639" t="s">
        <v>6966</v>
      </c>
      <c r="AV1639" t="s">
        <v>6966</v>
      </c>
      <c r="AW1639" t="s">
        <v>6966</v>
      </c>
      <c r="AX1639" t="s">
        <v>6966</v>
      </c>
      <c r="AY1639" t="s">
        <v>6966</v>
      </c>
      <c r="AZ1639">
        <v>0.14305100000000001</v>
      </c>
      <c r="BA1639">
        <v>7.27E-4</v>
      </c>
    </row>
    <row r="1640" spans="1:53" x14ac:dyDescent="0.25">
      <c r="A1640">
        <v>1638</v>
      </c>
      <c r="B1640" t="s">
        <v>7625</v>
      </c>
      <c r="C1640">
        <v>601005</v>
      </c>
      <c r="D1640" t="s">
        <v>1479</v>
      </c>
      <c r="E1640" t="s">
        <v>8155</v>
      </c>
      <c r="F1640">
        <v>0</v>
      </c>
      <c r="G1640">
        <v>14780.965819999999</v>
      </c>
      <c r="H1640">
        <v>1640</v>
      </c>
      <c r="I1640">
        <v>1897</v>
      </c>
      <c r="J1640">
        <v>72183</v>
      </c>
      <c r="K1640" t="s">
        <v>8210</v>
      </c>
      <c r="L1640">
        <v>24</v>
      </c>
      <c r="M1640">
        <v>24</v>
      </c>
      <c r="N1640">
        <v>72183</v>
      </c>
      <c r="O1640">
        <v>1607</v>
      </c>
      <c r="P1640" t="s">
        <v>6965</v>
      </c>
      <c r="Q1640">
        <v>2.6</v>
      </c>
      <c r="R1640">
        <v>72.73</v>
      </c>
      <c r="S1640">
        <v>0.64</v>
      </c>
      <c r="T1640">
        <v>18</v>
      </c>
      <c r="U1640">
        <v>0</v>
      </c>
      <c r="V1640">
        <v>14780.966117</v>
      </c>
      <c r="W1640">
        <v>1639</v>
      </c>
      <c r="X1640">
        <v>0</v>
      </c>
      <c r="Y1640">
        <v>1638</v>
      </c>
      <c r="Z1640" t="s">
        <v>6966</v>
      </c>
      <c r="AA1640" t="s">
        <v>6966</v>
      </c>
      <c r="AB1640" t="s">
        <v>6966</v>
      </c>
      <c r="AC1640" t="s">
        <v>6966</v>
      </c>
      <c r="AD1640" t="s">
        <v>6966</v>
      </c>
      <c r="AE1640" t="s">
        <v>6966</v>
      </c>
      <c r="AF1640" t="s">
        <v>6966</v>
      </c>
      <c r="AG1640" t="s">
        <v>6966</v>
      </c>
      <c r="AH1640" t="s">
        <v>6966</v>
      </c>
      <c r="AI1640" t="s">
        <v>6966</v>
      </c>
      <c r="AJ1640" t="s">
        <v>6966</v>
      </c>
      <c r="AK1640" t="s">
        <v>6966</v>
      </c>
      <c r="AL1640" t="s">
        <v>6966</v>
      </c>
      <c r="AM1640" t="s">
        <v>6966</v>
      </c>
      <c r="AN1640" t="s">
        <v>6966</v>
      </c>
      <c r="AO1640" t="s">
        <v>6966</v>
      </c>
      <c r="AP1640" t="s">
        <v>6966</v>
      </c>
      <c r="AQ1640" t="s">
        <v>6966</v>
      </c>
      <c r="AR1640" t="s">
        <v>6966</v>
      </c>
      <c r="AS1640" t="s">
        <v>6966</v>
      </c>
      <c r="AT1640" t="s">
        <v>6966</v>
      </c>
      <c r="AU1640" t="s">
        <v>6966</v>
      </c>
      <c r="AV1640" t="s">
        <v>6966</v>
      </c>
      <c r="AW1640" t="s">
        <v>6966</v>
      </c>
      <c r="AX1640" t="s">
        <v>6966</v>
      </c>
      <c r="AY1640" t="s">
        <v>6966</v>
      </c>
      <c r="AZ1640">
        <v>0.145152</v>
      </c>
      <c r="BA1640">
        <v>1.059E-3</v>
      </c>
    </row>
    <row r="1641" spans="1:53" x14ac:dyDescent="0.25">
      <c r="A1641">
        <v>1639</v>
      </c>
      <c r="B1641" t="s">
        <v>7625</v>
      </c>
      <c r="C1641">
        <v>803020</v>
      </c>
      <c r="D1641" t="s">
        <v>1338</v>
      </c>
      <c r="E1641" t="s">
        <v>1267</v>
      </c>
      <c r="F1641">
        <v>1974917</v>
      </c>
      <c r="G1641">
        <v>7561.0444340000004</v>
      </c>
      <c r="H1641">
        <v>1641</v>
      </c>
      <c r="I1641">
        <v>1898</v>
      </c>
      <c r="J1641">
        <v>62321</v>
      </c>
      <c r="K1641" t="s">
        <v>1338</v>
      </c>
      <c r="L1641">
        <v>21</v>
      </c>
      <c r="M1641">
        <v>21</v>
      </c>
      <c r="N1641">
        <v>62321</v>
      </c>
      <c r="O1641">
        <v>1608</v>
      </c>
      <c r="P1641" t="s">
        <v>3213</v>
      </c>
      <c r="Q1641">
        <v>1.3</v>
      </c>
      <c r="R1641">
        <v>735.48</v>
      </c>
      <c r="S1641">
        <v>0.43</v>
      </c>
      <c r="T1641">
        <v>241</v>
      </c>
      <c r="U1641">
        <v>1974917.01819</v>
      </c>
      <c r="V1641">
        <v>7561.0440930000004</v>
      </c>
      <c r="W1641">
        <v>1640</v>
      </c>
      <c r="X1641">
        <v>0</v>
      </c>
      <c r="Y1641">
        <v>1639</v>
      </c>
      <c r="Z1641" t="s">
        <v>6966</v>
      </c>
      <c r="AA1641" t="s">
        <v>6966</v>
      </c>
      <c r="AB1641" t="s">
        <v>6966</v>
      </c>
      <c r="AC1641" t="s">
        <v>6966</v>
      </c>
      <c r="AD1641" t="s">
        <v>6966</v>
      </c>
      <c r="AE1641" t="s">
        <v>6966</v>
      </c>
      <c r="AF1641" t="s">
        <v>6966</v>
      </c>
      <c r="AG1641" t="s">
        <v>6966</v>
      </c>
      <c r="AH1641" t="s">
        <v>6966</v>
      </c>
      <c r="AI1641" t="s">
        <v>6966</v>
      </c>
      <c r="AJ1641" t="s">
        <v>6966</v>
      </c>
      <c r="AK1641" t="s">
        <v>6966</v>
      </c>
      <c r="AL1641" t="s">
        <v>6966</v>
      </c>
      <c r="AM1641" t="s">
        <v>6966</v>
      </c>
      <c r="AN1641" t="s">
        <v>6966</v>
      </c>
      <c r="AO1641" t="s">
        <v>6966</v>
      </c>
      <c r="AP1641" t="s">
        <v>6966</v>
      </c>
      <c r="AQ1641" t="s">
        <v>6966</v>
      </c>
      <c r="AR1641" t="s">
        <v>6966</v>
      </c>
      <c r="AS1641" t="s">
        <v>6966</v>
      </c>
      <c r="AT1641" t="s">
        <v>6966</v>
      </c>
      <c r="AU1641" t="s">
        <v>6966</v>
      </c>
      <c r="AV1641" t="s">
        <v>6966</v>
      </c>
      <c r="AW1641" t="s">
        <v>6966</v>
      </c>
      <c r="AX1641" t="s">
        <v>6966</v>
      </c>
      <c r="AY1641" t="s">
        <v>6966</v>
      </c>
      <c r="AZ1641">
        <v>7.7354999999999993E-2</v>
      </c>
      <c r="BA1641">
        <v>1.9100000000000001E-4</v>
      </c>
    </row>
    <row r="1642" spans="1:53" x14ac:dyDescent="0.25">
      <c r="A1642">
        <v>1640</v>
      </c>
      <c r="B1642" t="s">
        <v>7625</v>
      </c>
      <c r="C1642">
        <v>601037</v>
      </c>
      <c r="D1642" t="s">
        <v>1476</v>
      </c>
      <c r="E1642" t="s">
        <v>8155</v>
      </c>
      <c r="F1642">
        <v>0</v>
      </c>
      <c r="G1642">
        <v>17508.328125</v>
      </c>
      <c r="H1642">
        <v>1642</v>
      </c>
      <c r="I1642">
        <v>1900</v>
      </c>
      <c r="J1642">
        <v>72159</v>
      </c>
      <c r="K1642" t="s">
        <v>2736</v>
      </c>
      <c r="L1642">
        <v>24</v>
      </c>
      <c r="M1642">
        <v>24</v>
      </c>
      <c r="N1642">
        <v>72159</v>
      </c>
      <c r="O1642">
        <v>1609</v>
      </c>
      <c r="P1642" t="s">
        <v>6965</v>
      </c>
      <c r="Q1642">
        <v>1.7</v>
      </c>
      <c r="R1642">
        <v>34.090000000000003</v>
      </c>
      <c r="S1642">
        <v>0.46</v>
      </c>
      <c r="T1642">
        <v>9</v>
      </c>
      <c r="U1642">
        <v>0</v>
      </c>
      <c r="V1642">
        <v>17508.328623000001</v>
      </c>
      <c r="W1642">
        <v>1641</v>
      </c>
      <c r="X1642">
        <v>0</v>
      </c>
      <c r="Y1642">
        <v>1640</v>
      </c>
      <c r="Z1642" t="s">
        <v>6966</v>
      </c>
      <c r="AA1642" t="s">
        <v>6966</v>
      </c>
      <c r="AB1642" t="s">
        <v>6966</v>
      </c>
      <c r="AC1642" t="s">
        <v>6966</v>
      </c>
      <c r="AD1642" t="s">
        <v>6966</v>
      </c>
      <c r="AE1642" t="s">
        <v>6966</v>
      </c>
      <c r="AF1642" t="s">
        <v>6966</v>
      </c>
      <c r="AG1642" t="s">
        <v>6966</v>
      </c>
      <c r="AH1642" t="s">
        <v>6966</v>
      </c>
      <c r="AI1642" t="s">
        <v>6966</v>
      </c>
      <c r="AJ1642" t="s">
        <v>6966</v>
      </c>
      <c r="AK1642" t="s">
        <v>6966</v>
      </c>
      <c r="AL1642" t="s">
        <v>6966</v>
      </c>
      <c r="AM1642" t="s">
        <v>6966</v>
      </c>
      <c r="AN1642" t="s">
        <v>6966</v>
      </c>
      <c r="AO1642" t="s">
        <v>6966</v>
      </c>
      <c r="AP1642" t="s">
        <v>6966</v>
      </c>
      <c r="AQ1642" t="s">
        <v>6966</v>
      </c>
      <c r="AR1642" t="s">
        <v>6966</v>
      </c>
      <c r="AS1642" t="s">
        <v>6966</v>
      </c>
      <c r="AT1642" t="s">
        <v>6966</v>
      </c>
      <c r="AU1642" t="s">
        <v>6966</v>
      </c>
      <c r="AV1642" t="s">
        <v>6966</v>
      </c>
      <c r="AW1642" t="s">
        <v>6966</v>
      </c>
      <c r="AX1642" t="s">
        <v>6966</v>
      </c>
      <c r="AY1642" t="s">
        <v>6966</v>
      </c>
      <c r="AZ1642">
        <v>0.17424600000000001</v>
      </c>
      <c r="BA1642">
        <v>1.4859999999999999E-3</v>
      </c>
    </row>
    <row r="1643" spans="1:53" x14ac:dyDescent="0.25">
      <c r="A1643">
        <v>1641</v>
      </c>
      <c r="B1643" t="s">
        <v>7625</v>
      </c>
      <c r="C1643">
        <v>601030</v>
      </c>
      <c r="D1643" t="s">
        <v>1477</v>
      </c>
      <c r="E1643" t="s">
        <v>8155</v>
      </c>
      <c r="F1643">
        <v>0</v>
      </c>
      <c r="G1643">
        <v>21051.185547000001</v>
      </c>
      <c r="H1643">
        <v>1643</v>
      </c>
      <c r="I1643">
        <v>1914</v>
      </c>
      <c r="J1643">
        <v>72167</v>
      </c>
      <c r="K1643" t="s">
        <v>2737</v>
      </c>
      <c r="L1643">
        <v>24</v>
      </c>
      <c r="M1643">
        <v>24</v>
      </c>
      <c r="N1643">
        <v>72167</v>
      </c>
      <c r="O1643">
        <v>1610</v>
      </c>
      <c r="P1643" t="s">
        <v>6965</v>
      </c>
      <c r="Q1643">
        <v>3</v>
      </c>
      <c r="R1643">
        <v>66.42</v>
      </c>
      <c r="S1643">
        <v>0.65</v>
      </c>
      <c r="T1643">
        <v>14</v>
      </c>
      <c r="U1643">
        <v>0</v>
      </c>
      <c r="V1643">
        <v>21051.185356999998</v>
      </c>
      <c r="W1643">
        <v>1642</v>
      </c>
      <c r="X1643">
        <v>0</v>
      </c>
      <c r="Y1643">
        <v>1641</v>
      </c>
      <c r="Z1643" t="s">
        <v>6966</v>
      </c>
      <c r="AA1643" t="s">
        <v>6966</v>
      </c>
      <c r="AB1643" t="s">
        <v>6966</v>
      </c>
      <c r="AC1643" t="s">
        <v>6966</v>
      </c>
      <c r="AD1643" t="s">
        <v>6966</v>
      </c>
      <c r="AE1643" t="s">
        <v>6966</v>
      </c>
      <c r="AF1643" t="s">
        <v>6966</v>
      </c>
      <c r="AG1643" t="s">
        <v>6966</v>
      </c>
      <c r="AH1643" t="s">
        <v>6966</v>
      </c>
      <c r="AI1643" t="s">
        <v>6966</v>
      </c>
      <c r="AJ1643" t="s">
        <v>6966</v>
      </c>
      <c r="AK1643" t="s">
        <v>6966</v>
      </c>
      <c r="AL1643" t="s">
        <v>6966</v>
      </c>
      <c r="AM1643" t="s">
        <v>6966</v>
      </c>
      <c r="AN1643" t="s">
        <v>6966</v>
      </c>
      <c r="AO1643" t="s">
        <v>6966</v>
      </c>
      <c r="AP1643" t="s">
        <v>6966</v>
      </c>
      <c r="AQ1643" t="s">
        <v>6966</v>
      </c>
      <c r="AR1643" t="s">
        <v>6966</v>
      </c>
      <c r="AS1643" t="s">
        <v>6966</v>
      </c>
      <c r="AT1643" t="s">
        <v>6966</v>
      </c>
      <c r="AU1643" t="s">
        <v>6966</v>
      </c>
      <c r="AV1643" t="s">
        <v>6966</v>
      </c>
      <c r="AW1643" t="s">
        <v>6966</v>
      </c>
      <c r="AX1643" t="s">
        <v>6966</v>
      </c>
      <c r="AY1643" t="s">
        <v>6966</v>
      </c>
      <c r="AZ1643">
        <v>0.20934700000000001</v>
      </c>
      <c r="BA1643">
        <v>1.439E-3</v>
      </c>
    </row>
    <row r="1644" spans="1:53" x14ac:dyDescent="0.25">
      <c r="A1644">
        <v>1642</v>
      </c>
      <c r="B1644" t="s">
        <v>7625</v>
      </c>
      <c r="C1644">
        <v>601027</v>
      </c>
      <c r="D1644" t="s">
        <v>1478</v>
      </c>
      <c r="E1644" t="s">
        <v>8155</v>
      </c>
      <c r="F1644">
        <v>1739276.625</v>
      </c>
      <c r="G1644">
        <v>5356.4604490000002</v>
      </c>
      <c r="H1644">
        <v>1644</v>
      </c>
      <c r="I1644">
        <v>1940</v>
      </c>
      <c r="J1644">
        <v>72175</v>
      </c>
      <c r="K1644" t="s">
        <v>8211</v>
      </c>
      <c r="L1644">
        <v>24</v>
      </c>
      <c r="M1644">
        <v>24</v>
      </c>
      <c r="N1644">
        <v>72175</v>
      </c>
      <c r="O1644">
        <v>1611</v>
      </c>
      <c r="P1644" t="s">
        <v>6965</v>
      </c>
      <c r="Q1644">
        <v>0</v>
      </c>
      <c r="R1644">
        <v>0</v>
      </c>
      <c r="S1644">
        <v>0</v>
      </c>
      <c r="T1644">
        <v>0</v>
      </c>
      <c r="U1644">
        <v>1739276.60586</v>
      </c>
      <c r="V1644">
        <v>5356.4606949999998</v>
      </c>
      <c r="W1644">
        <v>1643</v>
      </c>
      <c r="X1644">
        <v>0</v>
      </c>
      <c r="Y1644">
        <v>1642</v>
      </c>
      <c r="Z1644" t="s">
        <v>6966</v>
      </c>
      <c r="AA1644" t="s">
        <v>6966</v>
      </c>
      <c r="AB1644" t="s">
        <v>6966</v>
      </c>
      <c r="AC1644" t="s">
        <v>6966</v>
      </c>
      <c r="AD1644" t="s">
        <v>6966</v>
      </c>
      <c r="AE1644" t="s">
        <v>6966</v>
      </c>
      <c r="AF1644" t="s">
        <v>6966</v>
      </c>
      <c r="AG1644" t="s">
        <v>6966</v>
      </c>
      <c r="AH1644" t="s">
        <v>6966</v>
      </c>
      <c r="AI1644" t="s">
        <v>6966</v>
      </c>
      <c r="AJ1644" t="s">
        <v>6966</v>
      </c>
      <c r="AK1644" t="s">
        <v>6966</v>
      </c>
      <c r="AL1644" t="s">
        <v>6966</v>
      </c>
      <c r="AM1644" t="s">
        <v>6966</v>
      </c>
      <c r="AN1644" t="s">
        <v>6966</v>
      </c>
      <c r="AO1644" t="s">
        <v>6966</v>
      </c>
      <c r="AP1644" t="s">
        <v>6966</v>
      </c>
      <c r="AQ1644" t="s">
        <v>6966</v>
      </c>
      <c r="AR1644" t="s">
        <v>6966</v>
      </c>
      <c r="AS1644" t="s">
        <v>6966</v>
      </c>
      <c r="AT1644" t="s">
        <v>6966</v>
      </c>
      <c r="AU1644" t="s">
        <v>6966</v>
      </c>
      <c r="AV1644" t="s">
        <v>6966</v>
      </c>
      <c r="AW1644" t="s">
        <v>6966</v>
      </c>
      <c r="AX1644" t="s">
        <v>6966</v>
      </c>
      <c r="AY1644" t="s">
        <v>6966</v>
      </c>
      <c r="AZ1644">
        <v>5.3298999999999999E-2</v>
      </c>
      <c r="BA1644">
        <v>1.6799999999999999E-4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Master Sheet</vt:lpstr>
      <vt:lpstr>Sheet13</vt:lpstr>
      <vt:lpstr>Sheet8</vt:lpstr>
      <vt:lpstr>Sheet7</vt:lpstr>
      <vt:lpstr>Displacement</vt:lpstr>
      <vt:lpstr>Sheet10</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Nasser</dc:creator>
  <cp:lastModifiedBy>Martin Szigeti</cp:lastModifiedBy>
  <dcterms:created xsi:type="dcterms:W3CDTF">2026-03-19T10:11:23Z</dcterms:created>
  <dcterms:modified xsi:type="dcterms:W3CDTF">2026-06-09T10:27:04Z</dcterms:modified>
</cp:coreProperties>
</file>